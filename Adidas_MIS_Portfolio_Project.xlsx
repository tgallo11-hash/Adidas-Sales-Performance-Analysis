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allo11\Documents\"/>
    </mc:Choice>
  </mc:AlternateContent>
  <xr:revisionPtr revIDLastSave="0" documentId="13_ncr:1_{BC3835C3-FDD1-46A1-9006-2171AFE93324}" xr6:coauthVersionLast="47" xr6:coauthVersionMax="47" xr10:uidLastSave="{00000000-0000-0000-0000-000000000000}"/>
  <bookViews>
    <workbookView xWindow="14295" yWindow="0" windowWidth="14610" windowHeight="15585" firstSheet="2" activeTab="3" xr2:uid="{58E5E4EA-2B03-3A46-AF6C-8F13AC19AFFC}"/>
  </bookViews>
  <sheets>
    <sheet name="Regional Analysis" sheetId="3" r:id="rId1"/>
    <sheet name="Product Analysis" sheetId="5" r:id="rId2"/>
    <sheet name="Retailer Analysis" sheetId="6" r:id="rId3"/>
    <sheet name="Monthly Analysis" sheetId="7" r:id="rId4"/>
    <sheet name="Sales" sheetId="1" r:id="rId5"/>
    <sheet name="Sales Analysis" sheetId="2" r:id="rId6"/>
  </sheets>
  <calcPr calcId="191029"/>
  <pivotCaches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6" l="1"/>
  <c r="H5" i="6"/>
  <c r="G6" i="6"/>
  <c r="H6" i="6"/>
  <c r="G7" i="6"/>
  <c r="H7" i="6"/>
  <c r="G8" i="6"/>
  <c r="H8" i="6"/>
  <c r="G9" i="6"/>
  <c r="H9" i="6"/>
  <c r="H4" i="6"/>
  <c r="G4" i="6"/>
  <c r="E5" i="6"/>
  <c r="E6" i="6"/>
  <c r="E7" i="6"/>
  <c r="E8" i="6"/>
  <c r="E9" i="6"/>
  <c r="E10" i="6"/>
  <c r="E4" i="6"/>
  <c r="G5" i="5"/>
  <c r="H5" i="5"/>
  <c r="G6" i="5"/>
  <c r="H6" i="5"/>
  <c r="G7" i="5"/>
  <c r="H7" i="5"/>
  <c r="G8" i="5"/>
  <c r="H8" i="5"/>
  <c r="G9" i="5"/>
  <c r="H9" i="5"/>
  <c r="H4" i="5"/>
  <c r="G4" i="5"/>
  <c r="E5" i="5"/>
  <c r="E6" i="5"/>
  <c r="E7" i="5"/>
  <c r="E8" i="5"/>
  <c r="E9" i="5"/>
  <c r="E10" i="5"/>
  <c r="E4" i="5"/>
  <c r="K5" i="3"/>
  <c r="K6" i="3"/>
  <c r="K7" i="3"/>
  <c r="K8" i="3"/>
  <c r="K9" i="3"/>
  <c r="K4" i="3"/>
  <c r="B6" i="2"/>
  <c r="B5" i="2"/>
  <c r="B4" i="2"/>
  <c r="B3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2" i="1"/>
</calcChain>
</file>

<file path=xl/sharedStrings.xml><?xml version="1.0" encoding="utf-8"?>
<sst xmlns="http://schemas.openxmlformats.org/spreadsheetml/2006/main" count="50131" uniqueCount="145">
  <si>
    <t>Retailer</t>
  </si>
  <si>
    <t>Retailer ID</t>
  </si>
  <si>
    <t>Invoice Date</t>
  </si>
  <si>
    <t>Region</t>
  </si>
  <si>
    <t>State</t>
  </si>
  <si>
    <t>City</t>
  </si>
  <si>
    <t>Sales Method</t>
  </si>
  <si>
    <t>Product</t>
  </si>
  <si>
    <t>Price per Unit</t>
  </si>
  <si>
    <t>Units Sold</t>
  </si>
  <si>
    <t>COGS</t>
  </si>
  <si>
    <t>West Gear</t>
  </si>
  <si>
    <t>West</t>
  </si>
  <si>
    <t>California</t>
  </si>
  <si>
    <t>San Francisco</t>
  </si>
  <si>
    <t>Outlet</t>
  </si>
  <si>
    <t>Women's Apparel</t>
  </si>
  <si>
    <t>Men's Athletic Footwear</t>
  </si>
  <si>
    <t>In-store</t>
  </si>
  <si>
    <t>Foot Locker</t>
  </si>
  <si>
    <t>Hawaii</t>
  </si>
  <si>
    <t>Honolulu</t>
  </si>
  <si>
    <t>Men's Apparel</t>
  </si>
  <si>
    <t>Walmart</t>
  </si>
  <si>
    <t>Alaska</t>
  </si>
  <si>
    <t>Anchorage</t>
  </si>
  <si>
    <t>Sports Direct</t>
  </si>
  <si>
    <t>Kohl's</t>
  </si>
  <si>
    <t>Los Angeles</t>
  </si>
  <si>
    <t>Northeast</t>
  </si>
  <si>
    <t>Maine</t>
  </si>
  <si>
    <t>Portland</t>
  </si>
  <si>
    <t>Southeast</t>
  </si>
  <si>
    <t>Florida</t>
  </si>
  <si>
    <t>Orlando</t>
  </si>
  <si>
    <t>Women's Street Footwear</t>
  </si>
  <si>
    <t>Amazon</t>
  </si>
  <si>
    <t>Women's Athletic Footwear</t>
  </si>
  <si>
    <t>Men's Street Footwear</t>
  </si>
  <si>
    <t>Arizona</t>
  </si>
  <si>
    <t>Phoenix</t>
  </si>
  <si>
    <t>Online</t>
  </si>
  <si>
    <t>New Mexico</t>
  </si>
  <si>
    <t>Albuquerque</t>
  </si>
  <si>
    <t>Georgia</t>
  </si>
  <si>
    <t>Atlanta</t>
  </si>
  <si>
    <t>South Carolina</t>
  </si>
  <si>
    <t>Charleston</t>
  </si>
  <si>
    <t>Rhode Island</t>
  </si>
  <si>
    <t>Providence</t>
  </si>
  <si>
    <t>Massachusetts</t>
  </si>
  <si>
    <t>Boston</t>
  </si>
  <si>
    <t>South</t>
  </si>
  <si>
    <t>Texas</t>
  </si>
  <si>
    <t>Dallas</t>
  </si>
  <si>
    <t>Pennsylvania</t>
  </si>
  <si>
    <t>Philadelphia</t>
  </si>
  <si>
    <t>Midwest</t>
  </si>
  <si>
    <t>Montana</t>
  </si>
  <si>
    <t>Billings</t>
  </si>
  <si>
    <t>New York</t>
  </si>
  <si>
    <t>Albany</t>
  </si>
  <si>
    <t>Wyoming</t>
  </si>
  <si>
    <t>Cheyenne</t>
  </si>
  <si>
    <t>Louisiana</t>
  </si>
  <si>
    <t>New Orleans</t>
  </si>
  <si>
    <t>Idaho</t>
  </si>
  <si>
    <t>Boise</t>
  </si>
  <si>
    <t>New Hampshire</t>
  </si>
  <si>
    <t>Manchester</t>
  </si>
  <si>
    <t>Michigan</t>
  </si>
  <si>
    <t>Detroit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</si>
  <si>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</si>
  <si>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</si>
  <si>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</si>
  <si>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</si>
  <si>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</si>
  <si>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</si>
  <si>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</si>
  <si>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</si>
  <si>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Vermont</t>
  </si>
  <si>
    <t>Burlington</t>
  </si>
  <si>
    <t>Virginia</t>
  </si>
  <si>
    <t>Richmond</t>
  </si>
  <si>
    <t>Oregon</t>
  </si>
  <si>
    <t>Wisconsin</t>
  </si>
  <si>
    <t>Milwaukee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</si>
  <si>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</si>
  <si>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</si>
  <si>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</si>
  <si>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</si>
  <si>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</si>
  <si>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</si>
  <si>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</si>
  <si>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</si>
  <si>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Illinois</t>
  </si>
  <si>
    <t>Chicago</t>
  </si>
  <si>
    <t>Tennessee</t>
  </si>
  <si>
    <t>Knoxville</t>
  </si>
  <si>
    <t>Alabama</t>
  </si>
  <si>
    <t>Birmingham</t>
  </si>
  <si>
    <t>Utah</t>
  </si>
  <si>
    <t>Salt Lake City</t>
  </si>
  <si>
    <t>Indiana</t>
  </si>
  <si>
    <t>Indianapolis</t>
  </si>
  <si>
    <t>West Virginia</t>
  </si>
  <si>
    <t>Missouri</t>
  </si>
  <si>
    <t>St. Louis</t>
  </si>
  <si>
    <t>North Carolina</t>
  </si>
  <si>
    <t>Charlotte</t>
  </si>
  <si>
    <t>Ohio</t>
  </si>
  <si>
    <t>Columbus</t>
  </si>
  <si>
    <t>Mississippi</t>
  </si>
  <si>
    <t>Jackson</t>
  </si>
  <si>
    <t>Arkansas</t>
  </si>
  <si>
    <t>Little Rock</t>
  </si>
  <si>
    <t>Oklahoma</t>
  </si>
  <si>
    <t>Oklahoma City</t>
  </si>
  <si>
    <t>Nebraska</t>
  </si>
  <si>
    <t>Omaha</t>
  </si>
  <si>
    <t>Kentucky</t>
  </si>
  <si>
    <t>Louisville</t>
  </si>
  <si>
    <t>Sales</t>
  </si>
  <si>
    <t>Adidas 2021 Sales Performance Analysis</t>
  </si>
  <si>
    <t>Total Sales Revenue</t>
  </si>
  <si>
    <t>Total Gross Profit</t>
  </si>
  <si>
    <t>Gross Profit Margin</t>
  </si>
  <si>
    <t>Row Labels</t>
  </si>
  <si>
    <t>Grand Total</t>
  </si>
  <si>
    <t>Sum of Sales</t>
  </si>
  <si>
    <t>Sum of COGS</t>
  </si>
  <si>
    <t>Sum of Gross Profit</t>
  </si>
  <si>
    <t>Sales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</si>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</sst>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3" fontId="0" fillId="0" borderId="0" xfId="1" applyFont="1"/>
    <xf numFmtId="43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10" fontId="0" fillId="0" borderId="0" xfId="3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[Adidas_MIS_Portfolio_Project.xlsx]Regional 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Adidas 2021 Sales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Analysis'!$A$4:$A$9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'Regional Analysis'!$B$4:$B$9</c:f>
              <c:numCache>
                <c:formatCode>_(* #,##0.00_);_(* \(#,##0.00\);_(* "-"??_);_(@_)</c:formatCode>
                <c:ptCount val="5"/>
                <c:pt idx="0">
                  <c:v>26417754</c:v>
                </c:pt>
                <c:pt idx="1">
                  <c:v>19267008</c:v>
                </c:pt>
                <c:pt idx="2">
                  <c:v>17500323</c:v>
                </c:pt>
                <c:pt idx="3">
                  <c:v>16973724</c:v>
                </c:pt>
                <c:pt idx="4">
                  <c:v>15770516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F-474F-BE26-9814431BA1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7524528"/>
        <c:axId val="1627525008"/>
      </c:barChart>
      <c:catAx>
        <c:axId val="162752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25008"/>
        <c:crosses val="autoZero"/>
        <c:auto val="1"/>
        <c:lblAlgn val="ctr"/>
        <c:lblOffset val="100"/>
        <c:noMultiLvlLbl val="0"/>
      </c:catAx>
      <c:valAx>
        <c:axId val="162752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52452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Adidas 2021 Sales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Analysis'!$H$3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Analysis'!$G$4:$G$9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'Product Analysis'!$H$4:$H$9</c:f>
              <c:numCache>
                <c:formatCode>_(* #,##0.00_);_(* \(#,##0.00\);_(* "-"??_);_(@_)</c:formatCode>
                <c:ptCount val="6"/>
                <c:pt idx="0">
                  <c:v>22689749</c:v>
                </c:pt>
                <c:pt idx="1">
                  <c:v>19178278</c:v>
                </c:pt>
                <c:pt idx="2">
                  <c:v>16339593</c:v>
                </c:pt>
                <c:pt idx="3">
                  <c:v>13535783</c:v>
                </c:pt>
                <c:pt idx="4">
                  <c:v>13025293</c:v>
                </c:pt>
                <c:pt idx="5">
                  <c:v>11160629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4-4EFF-9B27-CC06838AE6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9863584"/>
        <c:axId val="1669864064"/>
      </c:barChart>
      <c:catAx>
        <c:axId val="166986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64064"/>
        <c:crosses val="autoZero"/>
        <c:auto val="1"/>
        <c:lblAlgn val="ctr"/>
        <c:lblOffset val="100"/>
        <c:noMultiLvlLbl val="0"/>
      </c:catAx>
      <c:valAx>
        <c:axId val="166986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6358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Adidas 2021 Sales Revenue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'Retailer Analysis'!$H$3</c:f>
              <c:strCache>
                <c:ptCount val="1"/>
                <c:pt idx="0">
                  <c:v>Sales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Analysis'!$G$4:$G$9</c:f>
              <c:strCache>
                <c:ptCount val="6"/>
                <c:pt idx="0">
                  <c:v>Foot Locker</c:v>
                </c:pt>
                <c:pt idx="1">
                  <c:v>Sports Direct</c:v>
                </c:pt>
                <c:pt idx="2">
                  <c:v>West Gear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'Retailer Analysis'!$H$4:$H$9</c:f>
              <c:numCache>
                <c:formatCode>_(* #,##0.00_);_(* \(#,##0.00\);_(* "-"??_);_(@_)</c:formatCode>
                <c:ptCount val="6"/>
                <c:pt idx="0">
                  <c:v>23276065</c:v>
                </c:pt>
                <c:pt idx="1">
                  <c:v>22628271</c:v>
                </c:pt>
                <c:pt idx="2">
                  <c:v>20705942</c:v>
                </c:pt>
                <c:pt idx="3">
                  <c:v>13419950</c:v>
                </c:pt>
                <c:pt idx="4">
                  <c:v>10096987</c:v>
                </c:pt>
                <c:pt idx="5">
                  <c:v>5802110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3-44E9-9BB7-9E2E27C23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8082320"/>
        <c:axId val="1618081840"/>
      </c:barChart>
      <c:catAx>
        <c:axId val="161808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1840"/>
        <c:crosses val="autoZero"/>
        <c:auto val="1"/>
        <c:lblAlgn val="ctr"/>
        <c:lblOffset val="100"/>
        <c:noMultiLvlLbl val="0"/>
      </c:catAx>
      <c:valAx>
        <c:axId val="161808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232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[Adidas_MIS_Portfolio_Project.xlsx]Monthly Analysis!PivotTable5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Adidas 2021 Monthly Sales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Analysis'!$B$4:$B$16</c:f>
              <c:numCache>
                <c:formatCode>_(* #,##0.00_);_(* \(#,##0.00\);_(* "-"??_);_(@_)</c:formatCode>
                <c:ptCount val="12"/>
                <c:pt idx="0">
                  <c:v>7432021</c:v>
                </c:pt>
                <c:pt idx="1">
                  <c:v>6123040</c:v>
                </c:pt>
                <c:pt idx="2">
                  <c:v>5220782</c:v>
                </c:pt>
                <c:pt idx="3">
                  <c:v>6498339</c:v>
                </c:pt>
                <c:pt idx="4">
                  <c:v>8576956</c:v>
                </c:pt>
                <c:pt idx="5">
                  <c:v>8718953</c:v>
                </c:pt>
                <c:pt idx="6">
                  <c:v>10368031</c:v>
                </c:pt>
                <c:pt idx="7">
                  <c:v>9651596</c:v>
                </c:pt>
                <c:pt idx="8">
                  <c:v>8037898</c:v>
                </c:pt>
                <c:pt idx="9">
                  <c:v>7110189</c:v>
                </c:pt>
                <c:pt idx="10">
                  <c:v>7855390</c:v>
                </c:pt>
                <c:pt idx="11">
                  <c:v>10336130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5-4F29-8F73-2A1CDED7D11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9865024"/>
        <c:axId val="1669861664"/>
      </c:lineChart>
      <c:catAx>
        <c:axId val="16698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61664"/>
        <c:crosses val="autoZero"/>
        <c:auto val="1"/>
        <c:lblAlgn val="ctr"/>
        <c:lblOffset val="100"/>
        <c:noMultiLvlLbl val="0"/>
      </c:catAx>
      <c:valAx>
        <c:axId val="16698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86502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10</xdr:row>
      <xdr:rowOff>133350</xdr:rowOff>
    </xdr:from>
    <xdr:to>
      <xdr:col>5</xdr:col>
      <xdr:colOff>114300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DB68EE-914E-34FA-3FD5-47699710A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985837</xdr:colOff>
      <xdr:row>10</xdr:row>
      <xdr:rowOff>133350</xdr:rowOff>
    </xdr:from>
    <xdr:to>
      <xdr:col>8</xdr:col>
      <xdr:colOff>61912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0EB26-D161-9ABF-053C-669498AAD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</xdr:colOff>
      <xdr:row>10</xdr:row>
      <xdr:rowOff>133350</xdr:rowOff>
    </xdr:from>
    <xdr:to>
      <xdr:col>7</xdr:col>
      <xdr:colOff>166687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87735-F87E-0DEE-CA66-6CE9B9A22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17</xdr:row>
      <xdr:rowOff>114300</xdr:rowOff>
    </xdr:from>
    <xdr:to>
      <xdr:col>7</xdr:col>
      <xdr:colOff>38100</xdr:colOff>
      <xdr:row>31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998CA2-3D10-65C0-779E-DFF980B66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evor Galloway" refreshedDate="46319.955659143518" createdVersion="8" refreshedVersion="8" minRefreshableVersion="3" recordCount="8342" xr:uid="{7C9DD1B0-0B89-4223-BA9A-C4CC5E5F0C11}">
  <cacheSource type="worksheet">
    <worksheetSource name="AdidasSales2021"/>
  </cacheSource>
  <cacheFields count="15">
    <cacheField name="Retailer" numFmtId="0">
      <sharedItems count="6">
        <s v="West Gear"/>
        <s v="Kohl's"/>
        <s v="Foot Locker"/>
        <s v="Sports Direct"/>
        <s v="Amazon"/>
        <s v="Walmart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1T00:00:00" maxDate="2022-01-01T00:00:00" count="365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14"/>
    </cacheField>
    <cacheField name="Region" numFmtId="0">
      <sharedItems count="5">
        <s v="West"/>
        <s v="Midwest"/>
        <s v="South"/>
        <s v="Southeast"/>
        <s v="Northeast"/>
      </sharedItems>
    </cacheField>
    <cacheField name="State" numFmtId="0">
      <sharedItems/>
    </cacheField>
    <cacheField name="City" numFmtId="0">
      <sharedItems/>
    </cacheField>
    <cacheField name="Sales Method" numFmtId="0">
      <sharedItems/>
    </cacheField>
    <cacheField name="Product" numFmtId="0">
      <sharedItems count="6">
        <s v="Men's Athletic Footwear"/>
        <s v="Men's Apparel"/>
        <s v="Women's Apparel"/>
        <s v="Women's Street Footwear"/>
        <s v="Men's Street Footwear"/>
        <s v="Women's Athletic Footwear"/>
      </sharedItems>
    </cacheField>
    <cacheField name="Price per Unit" numFmtId="43">
      <sharedItems containsSemiMixedTypes="0" containsString="0" containsNumber="1" minValue="7" maxValue="110.00000000000001"/>
    </cacheField>
    <cacheField name="Units Sold" numFmtId="164">
      <sharedItems containsSemiMixedTypes="0" containsString="0" containsNumber="1" containsInteger="1" minValue="6" maxValue="1150"/>
    </cacheField>
    <cacheField name="Sales" numFmtId="43">
      <sharedItems containsSemiMixedTypes="0" containsString="0" containsNumber="1" minValue="160" maxValue="82500.000000000015"/>
    </cacheField>
    <cacheField name="COGS" numFmtId="43">
      <sharedItems containsSemiMixedTypes="0" containsString="0" containsNumber="1" minValue="84.8" maxValue="56700"/>
    </cacheField>
    <cacheField name="Gross Profit" numFmtId="0" formula="Sales-COGS" databaseField="0"/>
    <cacheField name="Days (Invoice Date)" numFmtId="0" databaseField="0">
      <fieldGroup base="2">
        <rangePr groupBy="days" startDate="2021-01-01T00:00:00" endDate="2022-01-01T00:00:00"/>
        <groupItems count="368">
          <s v="&lt;1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2"/>
        </groupItems>
      </fieldGroup>
    </cacheField>
    <cacheField name="Months (Invoice Date)" numFmtId="0" databaseField="0">
      <fieldGroup base="2">
        <rangePr groupBy="months" startDate="2021-01-01T00:00:00" endDate="2022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42">
  <r>
    <x v="0"/>
    <n v="1128299"/>
    <x v="0"/>
    <x v="0"/>
    <s v="California"/>
    <s v="San Francisco"/>
    <s v="Outlet"/>
    <x v="0"/>
    <n v="65"/>
    <n v="750"/>
    <n v="48750"/>
    <n v="36562.5"/>
  </r>
  <r>
    <x v="1"/>
    <n v="1189833"/>
    <x v="0"/>
    <x v="1"/>
    <s v="Montana"/>
    <s v="Billings"/>
    <s v="Outlet"/>
    <x v="1"/>
    <n v="50"/>
    <n v="275"/>
    <n v="13750"/>
    <n v="5499.9999999999982"/>
  </r>
  <r>
    <x v="0"/>
    <n v="1128299"/>
    <x v="0"/>
    <x v="0"/>
    <s v="California"/>
    <s v="San Francisco"/>
    <s v="Outlet"/>
    <x v="0"/>
    <n v="51"/>
    <n v="233"/>
    <n v="11883"/>
    <n v="8674.59"/>
  </r>
  <r>
    <x v="0"/>
    <n v="1128299"/>
    <x v="0"/>
    <x v="0"/>
    <s v="California"/>
    <s v="San Francisco"/>
    <s v="Online"/>
    <x v="0"/>
    <n v="64"/>
    <n v="225"/>
    <n v="14400"/>
    <n v="9216"/>
  </r>
  <r>
    <x v="1"/>
    <n v="1189833"/>
    <x v="0"/>
    <x v="1"/>
    <s v="Montana"/>
    <s v="Billings"/>
    <s v="Online"/>
    <x v="1"/>
    <n v="47"/>
    <n v="77"/>
    <n v="3619"/>
    <n v="904.74999999999955"/>
  </r>
  <r>
    <x v="1"/>
    <n v="1189833"/>
    <x v="1"/>
    <x v="1"/>
    <s v="Montana"/>
    <s v="Billings"/>
    <s v="Outlet"/>
    <x v="2"/>
    <n v="45"/>
    <n v="475"/>
    <n v="21375"/>
    <n v="16031.25"/>
  </r>
  <r>
    <x v="0"/>
    <n v="1128299"/>
    <x v="1"/>
    <x v="0"/>
    <s v="California"/>
    <s v="San Francisco"/>
    <s v="Outlet"/>
    <x v="3"/>
    <n v="65"/>
    <n v="750"/>
    <n v="48750"/>
    <n v="29250"/>
  </r>
  <r>
    <x v="1"/>
    <n v="1189833"/>
    <x v="1"/>
    <x v="1"/>
    <s v="Montana"/>
    <s v="Billings"/>
    <s v="Online"/>
    <x v="2"/>
    <n v="43"/>
    <n v="138"/>
    <n v="5934"/>
    <n v="3619.74"/>
  </r>
  <r>
    <x v="0"/>
    <n v="1128299"/>
    <x v="1"/>
    <x v="0"/>
    <s v="California"/>
    <s v="San Francisco"/>
    <s v="Outlet"/>
    <x v="3"/>
    <n v="46"/>
    <n v="225"/>
    <n v="10350"/>
    <n v="5796"/>
  </r>
  <r>
    <x v="0"/>
    <n v="1128299"/>
    <x v="1"/>
    <x v="0"/>
    <s v="California"/>
    <s v="San Francisco"/>
    <s v="Online"/>
    <x v="3"/>
    <n v="60"/>
    <n v="218"/>
    <n v="13080"/>
    <n v="6409.2"/>
  </r>
  <r>
    <x v="0"/>
    <n v="1185732"/>
    <x v="2"/>
    <x v="1"/>
    <s v="Iowa"/>
    <s v="Des Moines"/>
    <s v="In-store"/>
    <x v="4"/>
    <n v="30.000000000000004"/>
    <n v="450"/>
    <n v="13500.000000000002"/>
    <n v="9450.0000000000036"/>
  </r>
  <r>
    <x v="0"/>
    <n v="1185732"/>
    <x v="2"/>
    <x v="1"/>
    <s v="Iowa"/>
    <s v="Des Moines"/>
    <s v="In-store"/>
    <x v="3"/>
    <n v="20.000000000000007"/>
    <n v="250"/>
    <n v="5000.0000000000018"/>
    <n v="3500.0000000000014"/>
  </r>
  <r>
    <x v="0"/>
    <n v="1185732"/>
    <x v="2"/>
    <x v="1"/>
    <s v="Iowa"/>
    <s v="Des Moines"/>
    <s v="In-store"/>
    <x v="5"/>
    <n v="25.000000000000007"/>
    <n v="100"/>
    <n v="2500.0000000000009"/>
    <n v="1750.0000000000007"/>
  </r>
  <r>
    <x v="0"/>
    <n v="1185732"/>
    <x v="2"/>
    <x v="1"/>
    <s v="Iowa"/>
    <s v="Des Moines"/>
    <s v="In-store"/>
    <x v="0"/>
    <n v="30.000000000000004"/>
    <n v="250"/>
    <n v="7500.0000000000009"/>
    <n v="4875.0000000000018"/>
  </r>
  <r>
    <x v="0"/>
    <n v="1128299"/>
    <x v="2"/>
    <x v="0"/>
    <s v="California"/>
    <s v="San Francisco"/>
    <s v="Outlet"/>
    <x v="5"/>
    <n v="60"/>
    <n v="650"/>
    <n v="39000"/>
    <n v="25350"/>
  </r>
  <r>
    <x v="0"/>
    <n v="1185732"/>
    <x v="2"/>
    <x v="1"/>
    <s v="Iowa"/>
    <s v="Des Moines"/>
    <s v="In-store"/>
    <x v="2"/>
    <n v="30.000000000000004"/>
    <n v="250"/>
    <n v="7500.0000000000009"/>
    <n v="4500.0000000000009"/>
  </r>
  <r>
    <x v="1"/>
    <n v="1189833"/>
    <x v="2"/>
    <x v="1"/>
    <s v="Montana"/>
    <s v="Billings"/>
    <s v="Outlet"/>
    <x v="4"/>
    <n v="35"/>
    <n v="525"/>
    <n v="18375"/>
    <n v="10106.25"/>
  </r>
  <r>
    <x v="0"/>
    <n v="1185732"/>
    <x v="2"/>
    <x v="1"/>
    <s v="Iowa"/>
    <s v="Des Moines"/>
    <s v="In-store"/>
    <x v="1"/>
    <n v="40"/>
    <n v="150"/>
    <n v="6000"/>
    <n v="3000"/>
  </r>
  <r>
    <x v="0"/>
    <n v="1185732"/>
    <x v="2"/>
    <x v="1"/>
    <s v="Iowa"/>
    <s v="Des Moines"/>
    <s v="Online"/>
    <x v="3"/>
    <n v="18"/>
    <n v="65"/>
    <n v="1170"/>
    <n v="690.3"/>
  </r>
  <r>
    <x v="0"/>
    <n v="1128299"/>
    <x v="2"/>
    <x v="0"/>
    <s v="California"/>
    <s v="San Francisco"/>
    <s v="Outlet"/>
    <x v="5"/>
    <n v="42"/>
    <n v="228"/>
    <n v="9576"/>
    <n v="5554.08"/>
  </r>
  <r>
    <x v="0"/>
    <n v="1128299"/>
    <x v="2"/>
    <x v="0"/>
    <s v="California"/>
    <s v="San Francisco"/>
    <s v="Online"/>
    <x v="5"/>
    <n v="56"/>
    <n v="182"/>
    <n v="10192"/>
    <n v="5605.6"/>
  </r>
  <r>
    <x v="0"/>
    <n v="1185732"/>
    <x v="2"/>
    <x v="1"/>
    <s v="Iowa"/>
    <s v="Des Moines"/>
    <s v="Online"/>
    <x v="4"/>
    <n v="28"/>
    <n v="126"/>
    <n v="3528"/>
    <n v="1940.4"/>
  </r>
  <r>
    <x v="0"/>
    <n v="1185732"/>
    <x v="2"/>
    <x v="1"/>
    <s v="Iowa"/>
    <s v="Des Moines"/>
    <s v="Online"/>
    <x v="5"/>
    <n v="23"/>
    <n v="29"/>
    <n v="667"/>
    <n v="366.85"/>
  </r>
  <r>
    <x v="0"/>
    <n v="1185732"/>
    <x v="2"/>
    <x v="1"/>
    <s v="Iowa"/>
    <s v="Des Moines"/>
    <s v="Online"/>
    <x v="0"/>
    <n v="29"/>
    <n v="70"/>
    <n v="2030"/>
    <n v="1096.2"/>
  </r>
  <r>
    <x v="0"/>
    <n v="1185732"/>
    <x v="2"/>
    <x v="1"/>
    <s v="Iowa"/>
    <s v="Des Moines"/>
    <s v="Online"/>
    <x v="2"/>
    <n v="28"/>
    <n v="73"/>
    <n v="2044"/>
    <n v="919.8"/>
  </r>
  <r>
    <x v="1"/>
    <n v="1189833"/>
    <x v="2"/>
    <x v="1"/>
    <s v="Montana"/>
    <s v="Billings"/>
    <s v="Online"/>
    <x v="4"/>
    <n v="34"/>
    <n v="158"/>
    <n v="5372"/>
    <n v="2309.9599999999996"/>
  </r>
  <r>
    <x v="0"/>
    <n v="1185732"/>
    <x v="2"/>
    <x v="1"/>
    <s v="Iowa"/>
    <s v="Des Moines"/>
    <s v="Online"/>
    <x v="1"/>
    <n v="38"/>
    <n v="45"/>
    <n v="1710"/>
    <n v="649.79999999999995"/>
  </r>
  <r>
    <x v="1"/>
    <n v="1189833"/>
    <x v="3"/>
    <x v="1"/>
    <s v="Montana"/>
    <s v="Billings"/>
    <s v="Outlet"/>
    <x v="0"/>
    <n v="45"/>
    <n v="425"/>
    <n v="19125"/>
    <n v="13387.5"/>
  </r>
  <r>
    <x v="0"/>
    <n v="1128299"/>
    <x v="3"/>
    <x v="0"/>
    <s v="California"/>
    <s v="San Francisco"/>
    <s v="Outlet"/>
    <x v="1"/>
    <n v="65"/>
    <n v="550"/>
    <n v="35750"/>
    <n v="16087.499999999996"/>
  </r>
  <r>
    <x v="1"/>
    <n v="1189833"/>
    <x v="3"/>
    <x v="1"/>
    <s v="Montana"/>
    <s v="Billings"/>
    <s v="Online"/>
    <x v="0"/>
    <n v="42"/>
    <n v="123"/>
    <n v="5166"/>
    <n v="2841.3"/>
  </r>
  <r>
    <x v="0"/>
    <n v="1128299"/>
    <x v="3"/>
    <x v="0"/>
    <s v="California"/>
    <s v="San Francisco"/>
    <s v="Outlet"/>
    <x v="1"/>
    <n v="49"/>
    <n v="182"/>
    <n v="8918"/>
    <n v="3834.74"/>
  </r>
  <r>
    <x v="0"/>
    <n v="1128299"/>
    <x v="3"/>
    <x v="0"/>
    <s v="California"/>
    <s v="San Francisco"/>
    <s v="Online"/>
    <x v="1"/>
    <n v="60"/>
    <n v="154"/>
    <n v="9240"/>
    <n v="3141.5999999999995"/>
  </r>
  <r>
    <x v="0"/>
    <n v="1128299"/>
    <x v="4"/>
    <x v="0"/>
    <s v="California"/>
    <s v="San Francisco"/>
    <s v="Outlet"/>
    <x v="2"/>
    <n v="80"/>
    <n v="725"/>
    <n v="58000"/>
    <n v="46400"/>
  </r>
  <r>
    <x v="2"/>
    <n v="1197831"/>
    <x v="4"/>
    <x v="2"/>
    <s v="Louisiana"/>
    <s v="New Orleans"/>
    <s v="Online"/>
    <x v="1"/>
    <n v="40"/>
    <n v="325"/>
    <n v="13000"/>
    <n v="9750"/>
  </r>
  <r>
    <x v="2"/>
    <n v="1197831"/>
    <x v="4"/>
    <x v="2"/>
    <s v="Louisiana"/>
    <s v="New Orleans"/>
    <s v="Online"/>
    <x v="4"/>
    <n v="20"/>
    <n v="675"/>
    <n v="13500"/>
    <n v="9450"/>
  </r>
  <r>
    <x v="2"/>
    <n v="1197831"/>
    <x v="4"/>
    <x v="2"/>
    <s v="Louisiana"/>
    <s v="New Orleans"/>
    <s v="Online"/>
    <x v="0"/>
    <n v="30"/>
    <n v="675"/>
    <n v="20250"/>
    <n v="14175"/>
  </r>
  <r>
    <x v="2"/>
    <n v="1197831"/>
    <x v="4"/>
    <x v="2"/>
    <s v="Louisiana"/>
    <s v="New Orleans"/>
    <s v="Online"/>
    <x v="3"/>
    <n v="30"/>
    <n v="475"/>
    <n v="14250"/>
    <n v="9975"/>
  </r>
  <r>
    <x v="2"/>
    <n v="1197831"/>
    <x v="4"/>
    <x v="2"/>
    <s v="Louisiana"/>
    <s v="New Orleans"/>
    <s v="Online"/>
    <x v="5"/>
    <n v="35"/>
    <n v="475"/>
    <n v="16625"/>
    <n v="9975"/>
  </r>
  <r>
    <x v="1"/>
    <n v="1189833"/>
    <x v="4"/>
    <x v="1"/>
    <s v="Montana"/>
    <s v="Billings"/>
    <s v="Outlet"/>
    <x v="3"/>
    <n v="45"/>
    <n v="450"/>
    <n v="20250"/>
    <n v="11137.5"/>
  </r>
  <r>
    <x v="0"/>
    <n v="1197831"/>
    <x v="4"/>
    <x v="2"/>
    <s v="Louisiana"/>
    <s v="New Orleans"/>
    <s v="Online"/>
    <x v="2"/>
    <n v="35"/>
    <n v="475"/>
    <n v="16625"/>
    <n v="9143.75"/>
  </r>
  <r>
    <x v="0"/>
    <n v="1128299"/>
    <x v="4"/>
    <x v="0"/>
    <s v="California"/>
    <s v="San Francisco"/>
    <s v="Outlet"/>
    <x v="2"/>
    <n v="58"/>
    <n v="225"/>
    <n v="13050"/>
    <n v="10048.5"/>
  </r>
  <r>
    <x v="2"/>
    <n v="1197831"/>
    <x v="4"/>
    <x v="2"/>
    <s v="Louisiana"/>
    <s v="New Orleans"/>
    <s v="Outlet"/>
    <x v="1"/>
    <n v="28"/>
    <n v="111"/>
    <n v="3108"/>
    <n v="2237.7599999999998"/>
  </r>
  <r>
    <x v="0"/>
    <n v="1128299"/>
    <x v="4"/>
    <x v="0"/>
    <s v="California"/>
    <s v="San Francisco"/>
    <s v="Online"/>
    <x v="2"/>
    <n v="72"/>
    <n v="189"/>
    <n v="13608"/>
    <n v="9117.36"/>
  </r>
  <r>
    <x v="2"/>
    <n v="1197831"/>
    <x v="4"/>
    <x v="2"/>
    <s v="Louisiana"/>
    <s v="New Orleans"/>
    <s v="Outlet"/>
    <x v="4"/>
    <n v="14"/>
    <n v="223"/>
    <n v="3122"/>
    <n v="2060.5200000000004"/>
  </r>
  <r>
    <x v="2"/>
    <n v="1197831"/>
    <x v="4"/>
    <x v="2"/>
    <s v="Louisiana"/>
    <s v="New Orleans"/>
    <s v="Outlet"/>
    <x v="0"/>
    <n v="20"/>
    <n v="209"/>
    <n v="4180"/>
    <n v="2675.2"/>
  </r>
  <r>
    <x v="2"/>
    <n v="1197831"/>
    <x v="4"/>
    <x v="2"/>
    <s v="Louisiana"/>
    <s v="New Orleans"/>
    <s v="Outlet"/>
    <x v="3"/>
    <n v="21"/>
    <n v="162"/>
    <n v="3402"/>
    <n v="2143.2600000000002"/>
  </r>
  <r>
    <x v="2"/>
    <n v="1197831"/>
    <x v="4"/>
    <x v="2"/>
    <s v="Louisiana"/>
    <s v="New Orleans"/>
    <s v="Online"/>
    <x v="1"/>
    <n v="36"/>
    <n v="85"/>
    <n v="3060"/>
    <n v="1927.8"/>
  </r>
  <r>
    <x v="2"/>
    <n v="1197831"/>
    <x v="4"/>
    <x v="2"/>
    <s v="Louisiana"/>
    <s v="New Orleans"/>
    <s v="Online"/>
    <x v="3"/>
    <n v="28"/>
    <n v="119"/>
    <n v="3332"/>
    <n v="1999.1999999999998"/>
  </r>
  <r>
    <x v="2"/>
    <n v="1197831"/>
    <x v="4"/>
    <x v="2"/>
    <s v="Louisiana"/>
    <s v="New Orleans"/>
    <s v="Outlet"/>
    <x v="5"/>
    <n v="26"/>
    <n v="166"/>
    <n v="4316"/>
    <n v="2503.2799999999997"/>
  </r>
  <r>
    <x v="2"/>
    <n v="1197831"/>
    <x v="4"/>
    <x v="2"/>
    <s v="Louisiana"/>
    <s v="New Orleans"/>
    <s v="Online"/>
    <x v="4"/>
    <n v="19"/>
    <n v="182"/>
    <n v="3458"/>
    <n v="1971.06"/>
  </r>
  <r>
    <x v="2"/>
    <n v="1197831"/>
    <x v="4"/>
    <x v="2"/>
    <s v="Louisiana"/>
    <s v="New Orleans"/>
    <s v="Online"/>
    <x v="0"/>
    <n v="28"/>
    <n v="196"/>
    <n v="5488"/>
    <n v="3018.4"/>
  </r>
  <r>
    <x v="0"/>
    <n v="1197831"/>
    <x v="4"/>
    <x v="2"/>
    <s v="Louisiana"/>
    <s v="New Orleans"/>
    <s v="Outlet"/>
    <x v="2"/>
    <n v="23"/>
    <n v="147"/>
    <n v="3381"/>
    <n v="1690.5"/>
  </r>
  <r>
    <x v="2"/>
    <n v="1197831"/>
    <x v="4"/>
    <x v="2"/>
    <s v="Louisiana"/>
    <s v="New Orleans"/>
    <s v="Online"/>
    <x v="5"/>
    <n v="33"/>
    <n v="133"/>
    <n v="4389"/>
    <n v="2062.83"/>
  </r>
  <r>
    <x v="1"/>
    <n v="1189833"/>
    <x v="4"/>
    <x v="1"/>
    <s v="Montana"/>
    <s v="Billings"/>
    <s v="Online"/>
    <x v="3"/>
    <n v="43"/>
    <n v="122"/>
    <n v="5246"/>
    <n v="2255.7799999999997"/>
  </r>
  <r>
    <x v="0"/>
    <n v="1197831"/>
    <x v="4"/>
    <x v="2"/>
    <s v="Louisiana"/>
    <s v="New Orleans"/>
    <s v="Online"/>
    <x v="2"/>
    <n v="34"/>
    <n v="143"/>
    <n v="4862"/>
    <n v="1944.8000000000002"/>
  </r>
  <r>
    <x v="2"/>
    <n v="1185732"/>
    <x v="5"/>
    <x v="1"/>
    <s v="North Dakota"/>
    <s v="Fargo"/>
    <s v="In-store"/>
    <x v="4"/>
    <n v="30.000000000000004"/>
    <n v="450"/>
    <n v="13500.000000000002"/>
    <n v="9450.0000000000036"/>
  </r>
  <r>
    <x v="2"/>
    <n v="1185732"/>
    <x v="5"/>
    <x v="1"/>
    <s v="North Dakota"/>
    <s v="Fargo"/>
    <s v="In-store"/>
    <x v="3"/>
    <n v="20.000000000000007"/>
    <n v="250"/>
    <n v="5000.0000000000018"/>
    <n v="3500.0000000000014"/>
  </r>
  <r>
    <x v="2"/>
    <n v="1185732"/>
    <x v="5"/>
    <x v="1"/>
    <s v="North Dakota"/>
    <s v="Fargo"/>
    <s v="In-store"/>
    <x v="5"/>
    <n v="25.000000000000007"/>
    <n v="100"/>
    <n v="2500.0000000000009"/>
    <n v="1750.0000000000007"/>
  </r>
  <r>
    <x v="2"/>
    <n v="1185732"/>
    <x v="5"/>
    <x v="1"/>
    <s v="North Dakota"/>
    <s v="Fargo"/>
    <s v="In-store"/>
    <x v="0"/>
    <n v="30.000000000000004"/>
    <n v="250"/>
    <n v="7500.0000000000009"/>
    <n v="4875.0000000000018"/>
  </r>
  <r>
    <x v="3"/>
    <n v="1185732"/>
    <x v="5"/>
    <x v="3"/>
    <s v="South Carolina"/>
    <s v="Charleston"/>
    <s v="Online"/>
    <x v="0"/>
    <n v="35"/>
    <n v="725"/>
    <n v="25375"/>
    <n v="16493.75"/>
  </r>
  <r>
    <x v="3"/>
    <n v="1185732"/>
    <x v="5"/>
    <x v="3"/>
    <s v="South Carolina"/>
    <s v="Charleston"/>
    <s v="Online"/>
    <x v="1"/>
    <n v="45"/>
    <n v="625"/>
    <n v="28125"/>
    <n v="18281.25"/>
  </r>
  <r>
    <x v="3"/>
    <n v="1185732"/>
    <x v="5"/>
    <x v="3"/>
    <s v="South Carolina"/>
    <s v="Charleston"/>
    <s v="Online"/>
    <x v="3"/>
    <n v="25.000000000000007"/>
    <n v="725"/>
    <n v="18125.000000000004"/>
    <n v="10875.000000000004"/>
  </r>
  <r>
    <x v="0"/>
    <n v="1128299"/>
    <x v="5"/>
    <x v="0"/>
    <s v="California"/>
    <s v="San Francisco"/>
    <s v="Outlet"/>
    <x v="4"/>
    <n v="60"/>
    <n v="975"/>
    <n v="58500"/>
    <n v="35100"/>
  </r>
  <r>
    <x v="1"/>
    <n v="1189833"/>
    <x v="5"/>
    <x v="1"/>
    <s v="Montana"/>
    <s v="Billings"/>
    <s v="Outlet"/>
    <x v="5"/>
    <n v="45"/>
    <n v="300"/>
    <n v="13500"/>
    <n v="8100"/>
  </r>
  <r>
    <x v="3"/>
    <n v="1185732"/>
    <x v="5"/>
    <x v="3"/>
    <s v="South Carolina"/>
    <s v="Charleston"/>
    <s v="Online"/>
    <x v="4"/>
    <n v="35"/>
    <n v="925"/>
    <n v="32375"/>
    <n v="19425"/>
  </r>
  <r>
    <x v="3"/>
    <n v="1185732"/>
    <x v="5"/>
    <x v="3"/>
    <s v="South Carolina"/>
    <s v="Charleston"/>
    <s v="Online"/>
    <x v="5"/>
    <n v="30"/>
    <n v="575"/>
    <n v="17250"/>
    <n v="10350"/>
  </r>
  <r>
    <x v="2"/>
    <n v="1185732"/>
    <x v="5"/>
    <x v="1"/>
    <s v="North Dakota"/>
    <s v="Fargo"/>
    <s v="In-store"/>
    <x v="2"/>
    <n v="30.000000000000004"/>
    <n v="250"/>
    <n v="7500.0000000000009"/>
    <n v="4500.0000000000009"/>
  </r>
  <r>
    <x v="3"/>
    <n v="1185732"/>
    <x v="5"/>
    <x v="3"/>
    <s v="South Carolina"/>
    <s v="Charleston"/>
    <s v="Online"/>
    <x v="2"/>
    <n v="35"/>
    <n v="725"/>
    <n v="25375"/>
    <n v="12687.5"/>
  </r>
  <r>
    <x v="2"/>
    <n v="1185732"/>
    <x v="5"/>
    <x v="1"/>
    <s v="North Dakota"/>
    <s v="Fargo"/>
    <s v="In-store"/>
    <x v="1"/>
    <n v="40"/>
    <n v="150"/>
    <n v="6000"/>
    <n v="3000"/>
  </r>
  <r>
    <x v="0"/>
    <n v="1128299"/>
    <x v="5"/>
    <x v="0"/>
    <s v="California"/>
    <s v="San Francisco"/>
    <s v="Outlet"/>
    <x v="4"/>
    <n v="41"/>
    <n v="341"/>
    <n v="13981"/>
    <n v="7969.1699999999992"/>
  </r>
  <r>
    <x v="2"/>
    <n v="1185732"/>
    <x v="5"/>
    <x v="1"/>
    <s v="North Dakota"/>
    <s v="Fargo"/>
    <s v="Online"/>
    <x v="5"/>
    <n v="24"/>
    <n v="26"/>
    <n v="624"/>
    <n v="343.20000000000005"/>
  </r>
  <r>
    <x v="2"/>
    <n v="1185732"/>
    <x v="5"/>
    <x v="1"/>
    <s v="North Dakota"/>
    <s v="Fargo"/>
    <s v="Online"/>
    <x v="4"/>
    <n v="27"/>
    <n v="113"/>
    <n v="3051"/>
    <n v="1678.0500000000002"/>
  </r>
  <r>
    <x v="2"/>
    <n v="1185732"/>
    <x v="5"/>
    <x v="1"/>
    <s v="North Dakota"/>
    <s v="Fargo"/>
    <s v="Online"/>
    <x v="3"/>
    <n v="19"/>
    <n v="68"/>
    <n v="1292"/>
    <n v="710.6"/>
  </r>
  <r>
    <x v="3"/>
    <n v="1185732"/>
    <x v="5"/>
    <x v="3"/>
    <s v="South Carolina"/>
    <s v="Charleston"/>
    <s v="Online"/>
    <x v="1"/>
    <n v="42"/>
    <n v="156"/>
    <n v="6552"/>
    <n v="3538.0800000000004"/>
  </r>
  <r>
    <x v="2"/>
    <n v="1185732"/>
    <x v="5"/>
    <x v="1"/>
    <s v="North Dakota"/>
    <s v="Fargo"/>
    <s v="Online"/>
    <x v="0"/>
    <n v="29"/>
    <n v="70"/>
    <n v="2030"/>
    <n v="1096.2"/>
  </r>
  <r>
    <x v="0"/>
    <n v="1128299"/>
    <x v="5"/>
    <x v="0"/>
    <s v="California"/>
    <s v="San Francisco"/>
    <s v="Online"/>
    <x v="4"/>
    <n v="56"/>
    <n v="273"/>
    <n v="15288"/>
    <n v="7644"/>
  </r>
  <r>
    <x v="3"/>
    <n v="1185732"/>
    <x v="5"/>
    <x v="3"/>
    <s v="South Carolina"/>
    <s v="Charleston"/>
    <s v="Online"/>
    <x v="4"/>
    <n v="33"/>
    <n v="231"/>
    <n v="7623"/>
    <n v="3811.5"/>
  </r>
  <r>
    <x v="3"/>
    <n v="1185732"/>
    <x v="5"/>
    <x v="3"/>
    <s v="South Carolina"/>
    <s v="Charleston"/>
    <s v="Online"/>
    <x v="0"/>
    <n v="34"/>
    <n v="181"/>
    <n v="6154"/>
    <n v="3077"/>
  </r>
  <r>
    <x v="2"/>
    <n v="1185732"/>
    <x v="5"/>
    <x v="1"/>
    <s v="North Dakota"/>
    <s v="Fargo"/>
    <s v="Online"/>
    <x v="2"/>
    <n v="28"/>
    <n v="75"/>
    <n v="2100"/>
    <n v="1008"/>
  </r>
  <r>
    <x v="3"/>
    <n v="1185732"/>
    <x v="5"/>
    <x v="3"/>
    <s v="South Carolina"/>
    <s v="Charleston"/>
    <s v="Online"/>
    <x v="3"/>
    <n v="24"/>
    <n v="189"/>
    <n v="4536"/>
    <n v="2086.56"/>
  </r>
  <r>
    <x v="1"/>
    <n v="1189833"/>
    <x v="5"/>
    <x v="1"/>
    <s v="Montana"/>
    <s v="Billings"/>
    <s v="Online"/>
    <x v="5"/>
    <n v="44"/>
    <n v="81"/>
    <n v="3564"/>
    <n v="1603.8000000000002"/>
  </r>
  <r>
    <x v="3"/>
    <n v="1185732"/>
    <x v="5"/>
    <x v="3"/>
    <s v="South Carolina"/>
    <s v="Charleston"/>
    <s v="Online"/>
    <x v="5"/>
    <n v="29"/>
    <n v="173"/>
    <n v="5017"/>
    <n v="2257.6499999999996"/>
  </r>
  <r>
    <x v="2"/>
    <n v="1185732"/>
    <x v="5"/>
    <x v="1"/>
    <s v="North Dakota"/>
    <s v="Fargo"/>
    <s v="Online"/>
    <x v="1"/>
    <n v="38"/>
    <n v="42"/>
    <n v="1596"/>
    <n v="590.52"/>
  </r>
  <r>
    <x v="3"/>
    <n v="1185732"/>
    <x v="5"/>
    <x v="3"/>
    <s v="South Carolina"/>
    <s v="Charleston"/>
    <s v="Online"/>
    <x v="2"/>
    <n v="34"/>
    <n v="196"/>
    <n v="6664"/>
    <n v="2399.04"/>
  </r>
  <r>
    <x v="0"/>
    <n v="1128299"/>
    <x v="6"/>
    <x v="0"/>
    <s v="California"/>
    <s v="San Francisco"/>
    <s v="Outlet"/>
    <x v="0"/>
    <n v="65"/>
    <n v="825"/>
    <n v="53625"/>
    <n v="40218.75"/>
  </r>
  <r>
    <x v="3"/>
    <n v="1185732"/>
    <x v="6"/>
    <x v="4"/>
    <s v="New Jersey"/>
    <s v="Newark"/>
    <s v="In-store"/>
    <x v="3"/>
    <n v="30.000000000000004"/>
    <n v="300"/>
    <n v="9000.0000000000018"/>
    <n v="6300.0000000000018"/>
  </r>
  <r>
    <x v="3"/>
    <n v="1185732"/>
    <x v="6"/>
    <x v="4"/>
    <s v="New Jersey"/>
    <s v="Newark"/>
    <s v="In-store"/>
    <x v="5"/>
    <n v="35"/>
    <n v="150"/>
    <n v="5250"/>
    <n v="3675"/>
  </r>
  <r>
    <x v="3"/>
    <n v="1185732"/>
    <x v="6"/>
    <x v="4"/>
    <s v="New Jersey"/>
    <s v="Newark"/>
    <s v="In-store"/>
    <x v="1"/>
    <n v="50"/>
    <n v="200"/>
    <n v="10000"/>
    <n v="7000"/>
  </r>
  <r>
    <x v="3"/>
    <n v="1185732"/>
    <x v="6"/>
    <x v="4"/>
    <s v="New Jersey"/>
    <s v="Newark"/>
    <s v="In-store"/>
    <x v="2"/>
    <n v="40"/>
    <n v="300"/>
    <n v="12000"/>
    <n v="7800"/>
  </r>
  <r>
    <x v="3"/>
    <n v="1185732"/>
    <x v="6"/>
    <x v="4"/>
    <s v="New Jersey"/>
    <s v="Newark"/>
    <s v="In-store"/>
    <x v="4"/>
    <n v="40"/>
    <n v="500"/>
    <n v="20000"/>
    <n v="12000"/>
  </r>
  <r>
    <x v="3"/>
    <n v="1185732"/>
    <x v="6"/>
    <x v="4"/>
    <s v="New Jersey"/>
    <s v="Newark"/>
    <s v="In-store"/>
    <x v="0"/>
    <n v="40"/>
    <n v="300"/>
    <n v="12000"/>
    <n v="7200"/>
  </r>
  <r>
    <x v="1"/>
    <n v="1189833"/>
    <x v="6"/>
    <x v="1"/>
    <s v="Montana"/>
    <s v="Billings"/>
    <s v="Outlet"/>
    <x v="1"/>
    <n v="50"/>
    <n v="225"/>
    <n v="11250"/>
    <n v="4499.9999999999982"/>
  </r>
  <r>
    <x v="0"/>
    <n v="1128299"/>
    <x v="6"/>
    <x v="0"/>
    <s v="California"/>
    <s v="San Francisco"/>
    <s v="Outlet"/>
    <x v="0"/>
    <n v="50"/>
    <n v="256"/>
    <n v="12800"/>
    <n v="8960"/>
  </r>
  <r>
    <x v="0"/>
    <n v="1128299"/>
    <x v="6"/>
    <x v="0"/>
    <s v="California"/>
    <s v="San Francisco"/>
    <s v="Online"/>
    <x v="0"/>
    <n v="63"/>
    <n v="248"/>
    <n v="15624"/>
    <n v="9843.119999999999"/>
  </r>
  <r>
    <x v="3"/>
    <n v="1185732"/>
    <x v="6"/>
    <x v="4"/>
    <s v="New Jersey"/>
    <s v="Newark"/>
    <s v="Online"/>
    <x v="3"/>
    <n v="28"/>
    <n v="90"/>
    <n v="2520"/>
    <n v="1512"/>
  </r>
  <r>
    <x v="3"/>
    <n v="1185732"/>
    <x v="6"/>
    <x v="4"/>
    <s v="New Jersey"/>
    <s v="Newark"/>
    <s v="Online"/>
    <x v="1"/>
    <n v="49"/>
    <n v="60"/>
    <n v="2940"/>
    <n v="1734.6000000000001"/>
  </r>
  <r>
    <x v="3"/>
    <n v="1185732"/>
    <x v="6"/>
    <x v="4"/>
    <s v="New Jersey"/>
    <s v="Newark"/>
    <s v="Online"/>
    <x v="5"/>
    <n v="33"/>
    <n v="42"/>
    <n v="1386"/>
    <n v="776.16"/>
  </r>
  <r>
    <x v="3"/>
    <n v="1185732"/>
    <x v="6"/>
    <x v="4"/>
    <s v="New Jersey"/>
    <s v="Newark"/>
    <s v="Online"/>
    <x v="2"/>
    <n v="37"/>
    <n v="81"/>
    <n v="2997"/>
    <n v="1498.5"/>
  </r>
  <r>
    <x v="3"/>
    <n v="1185732"/>
    <x v="6"/>
    <x v="4"/>
    <s v="New Jersey"/>
    <s v="Newark"/>
    <s v="Online"/>
    <x v="4"/>
    <n v="38"/>
    <n v="125"/>
    <n v="4750"/>
    <n v="2327.5"/>
  </r>
  <r>
    <x v="3"/>
    <n v="1185732"/>
    <x v="6"/>
    <x v="4"/>
    <s v="New Jersey"/>
    <s v="Newark"/>
    <s v="Online"/>
    <x v="0"/>
    <n v="37"/>
    <n v="87"/>
    <n v="3219"/>
    <n v="1545.12"/>
  </r>
  <r>
    <x v="1"/>
    <n v="1189833"/>
    <x v="6"/>
    <x v="1"/>
    <s v="Montana"/>
    <s v="Billings"/>
    <s v="Online"/>
    <x v="1"/>
    <n v="48"/>
    <n v="59"/>
    <n v="2832"/>
    <n v="792.95999999999981"/>
  </r>
  <r>
    <x v="1"/>
    <n v="1189833"/>
    <x v="7"/>
    <x v="1"/>
    <s v="Montana"/>
    <s v="Billings"/>
    <s v="Outlet"/>
    <x v="2"/>
    <n v="45"/>
    <n v="425"/>
    <n v="19125"/>
    <n v="14343.75"/>
  </r>
  <r>
    <x v="0"/>
    <n v="1128299"/>
    <x v="7"/>
    <x v="0"/>
    <s v="California"/>
    <s v="San Francisco"/>
    <s v="Outlet"/>
    <x v="3"/>
    <n v="65"/>
    <n v="825"/>
    <n v="53625"/>
    <n v="32175"/>
  </r>
  <r>
    <x v="1"/>
    <n v="1189833"/>
    <x v="7"/>
    <x v="1"/>
    <s v="Montana"/>
    <s v="Billings"/>
    <s v="Online"/>
    <x v="2"/>
    <n v="43"/>
    <n v="119"/>
    <n v="5117"/>
    <n v="3223.71"/>
  </r>
  <r>
    <x v="0"/>
    <n v="1128299"/>
    <x v="7"/>
    <x v="0"/>
    <s v="California"/>
    <s v="San Francisco"/>
    <s v="Outlet"/>
    <x v="3"/>
    <n v="42"/>
    <n v="281"/>
    <n v="11802"/>
    <n v="6491.0999999999995"/>
  </r>
  <r>
    <x v="0"/>
    <n v="1128299"/>
    <x v="7"/>
    <x v="0"/>
    <s v="California"/>
    <s v="San Francisco"/>
    <s v="Online"/>
    <x v="3"/>
    <n v="64"/>
    <n v="206"/>
    <n v="13184"/>
    <n v="5932.7999999999993"/>
  </r>
  <r>
    <x v="2"/>
    <n v="1185732"/>
    <x v="8"/>
    <x v="3"/>
    <s v="Georgia"/>
    <s v="Atlanta"/>
    <s v="Online"/>
    <x v="3"/>
    <n v="30.000000000000004"/>
    <n v="825"/>
    <n v="24750.000000000004"/>
    <n v="18562.500000000004"/>
  </r>
  <r>
    <x v="3"/>
    <n v="1185732"/>
    <x v="8"/>
    <x v="1"/>
    <s v="South Dakota"/>
    <s v="Sioux Falls"/>
    <s v="Online"/>
    <x v="3"/>
    <n v="25.000000000000007"/>
    <n v="275"/>
    <n v="6875.0000000000018"/>
    <n v="4812.5000000000018"/>
  </r>
  <r>
    <x v="3"/>
    <n v="1185732"/>
    <x v="8"/>
    <x v="1"/>
    <s v="South Dakota"/>
    <s v="Sioux Falls"/>
    <s v="Online"/>
    <x v="5"/>
    <n v="30.000000000000004"/>
    <n v="125"/>
    <n v="3750.0000000000005"/>
    <n v="2625.0000000000009"/>
  </r>
  <r>
    <x v="2"/>
    <n v="1185732"/>
    <x v="8"/>
    <x v="3"/>
    <s v="Georgia"/>
    <s v="Atlanta"/>
    <s v="Online"/>
    <x v="5"/>
    <n v="35"/>
    <n v="675"/>
    <n v="23625"/>
    <n v="16537.5"/>
  </r>
  <r>
    <x v="3"/>
    <n v="1185732"/>
    <x v="8"/>
    <x v="1"/>
    <s v="South Dakota"/>
    <s v="Sioux Falls"/>
    <s v="Online"/>
    <x v="0"/>
    <n v="35"/>
    <n v="275"/>
    <n v="9625"/>
    <n v="6737.5"/>
  </r>
  <r>
    <x v="0"/>
    <n v="1128299"/>
    <x v="8"/>
    <x v="0"/>
    <s v="California"/>
    <s v="San Francisco"/>
    <s v="Outlet"/>
    <x v="5"/>
    <n v="60"/>
    <n v="700"/>
    <n v="42000"/>
    <n v="27300"/>
  </r>
  <r>
    <x v="2"/>
    <n v="1185732"/>
    <x v="8"/>
    <x v="3"/>
    <s v="Georgia"/>
    <s v="Atlanta"/>
    <s v="Online"/>
    <x v="0"/>
    <n v="40"/>
    <n v="825"/>
    <n v="33000"/>
    <n v="21450"/>
  </r>
  <r>
    <x v="2"/>
    <n v="1185732"/>
    <x v="8"/>
    <x v="3"/>
    <s v="Georgia"/>
    <s v="Atlanta"/>
    <s v="Online"/>
    <x v="1"/>
    <n v="50"/>
    <n v="725"/>
    <n v="36250"/>
    <n v="23562.5"/>
  </r>
  <r>
    <x v="3"/>
    <n v="1185732"/>
    <x v="8"/>
    <x v="1"/>
    <s v="South Dakota"/>
    <s v="Sioux Falls"/>
    <s v="Online"/>
    <x v="4"/>
    <n v="35"/>
    <n v="475"/>
    <n v="16625"/>
    <n v="10806.25"/>
  </r>
  <r>
    <x v="3"/>
    <n v="1185732"/>
    <x v="8"/>
    <x v="1"/>
    <s v="South Dakota"/>
    <s v="Sioux Falls"/>
    <s v="Online"/>
    <x v="1"/>
    <n v="44.999999999999993"/>
    <n v="175"/>
    <n v="7874.9999999999991"/>
    <n v="5118.7499999999991"/>
  </r>
  <r>
    <x v="3"/>
    <n v="1185732"/>
    <x v="8"/>
    <x v="1"/>
    <s v="South Dakota"/>
    <s v="Sioux Falls"/>
    <s v="Online"/>
    <x v="2"/>
    <n v="35"/>
    <n v="275"/>
    <n v="9625"/>
    <n v="5775"/>
  </r>
  <r>
    <x v="1"/>
    <n v="1189833"/>
    <x v="8"/>
    <x v="1"/>
    <s v="Montana"/>
    <s v="Billings"/>
    <s v="Outlet"/>
    <x v="4"/>
    <n v="35"/>
    <n v="575"/>
    <n v="20125"/>
    <n v="11068.75"/>
  </r>
  <r>
    <x v="2"/>
    <n v="1185732"/>
    <x v="8"/>
    <x v="3"/>
    <s v="Georgia"/>
    <s v="Atlanta"/>
    <s v="Online"/>
    <x v="4"/>
    <n v="40"/>
    <n v="1025"/>
    <n v="41000"/>
    <n v="22550"/>
  </r>
  <r>
    <x v="2"/>
    <n v="1185732"/>
    <x v="8"/>
    <x v="3"/>
    <s v="Georgia"/>
    <s v="Atlanta"/>
    <s v="Online"/>
    <x v="2"/>
    <n v="40"/>
    <n v="825"/>
    <n v="33000"/>
    <n v="16500"/>
  </r>
  <r>
    <x v="2"/>
    <n v="1185732"/>
    <x v="8"/>
    <x v="3"/>
    <s v="Georgia"/>
    <s v="Atlanta"/>
    <s v="Outlet"/>
    <x v="3"/>
    <n v="24"/>
    <n v="264"/>
    <n v="6336"/>
    <n v="4308.4799999999996"/>
  </r>
  <r>
    <x v="2"/>
    <n v="1185732"/>
    <x v="8"/>
    <x v="3"/>
    <s v="Georgia"/>
    <s v="Atlanta"/>
    <s v="Outlet"/>
    <x v="5"/>
    <n v="25"/>
    <n v="209"/>
    <n v="5225"/>
    <n v="3396.25"/>
  </r>
  <r>
    <x v="2"/>
    <n v="1185732"/>
    <x v="8"/>
    <x v="3"/>
    <s v="Georgia"/>
    <s v="Atlanta"/>
    <s v="Outlet"/>
    <x v="1"/>
    <n v="35"/>
    <n v="247"/>
    <n v="8645"/>
    <n v="5273.4500000000007"/>
  </r>
  <r>
    <x v="2"/>
    <n v="1185732"/>
    <x v="8"/>
    <x v="3"/>
    <s v="Georgia"/>
    <s v="Atlanta"/>
    <s v="Online"/>
    <x v="3"/>
    <n v="29"/>
    <n v="248"/>
    <n v="7192"/>
    <n v="4387.12"/>
  </r>
  <r>
    <x v="3"/>
    <n v="1185732"/>
    <x v="8"/>
    <x v="1"/>
    <s v="South Dakota"/>
    <s v="Sioux Falls"/>
    <s v="Online"/>
    <x v="3"/>
    <n v="25"/>
    <n v="74"/>
    <n v="1850"/>
    <n v="1110"/>
  </r>
  <r>
    <x v="2"/>
    <n v="1185732"/>
    <x v="8"/>
    <x v="3"/>
    <s v="Georgia"/>
    <s v="Atlanta"/>
    <s v="Outlet"/>
    <x v="0"/>
    <n v="30"/>
    <n v="256"/>
    <n v="7680"/>
    <n v="4608"/>
  </r>
  <r>
    <x v="0"/>
    <n v="1128299"/>
    <x v="8"/>
    <x v="0"/>
    <s v="California"/>
    <s v="San Francisco"/>
    <s v="Outlet"/>
    <x v="5"/>
    <n v="41"/>
    <n v="224"/>
    <n v="9184"/>
    <n v="5418.56"/>
  </r>
  <r>
    <x v="2"/>
    <n v="1185732"/>
    <x v="8"/>
    <x v="3"/>
    <s v="Georgia"/>
    <s v="Atlanta"/>
    <s v="Online"/>
    <x v="5"/>
    <n v="34"/>
    <n v="203"/>
    <n v="6902"/>
    <n v="3865.12"/>
  </r>
  <r>
    <x v="3"/>
    <n v="1185732"/>
    <x v="8"/>
    <x v="1"/>
    <s v="South Dakota"/>
    <s v="Sioux Falls"/>
    <s v="Online"/>
    <x v="0"/>
    <n v="32"/>
    <n v="74"/>
    <n v="2368"/>
    <n v="1326.08"/>
  </r>
  <r>
    <x v="2"/>
    <n v="1185732"/>
    <x v="8"/>
    <x v="3"/>
    <s v="Georgia"/>
    <s v="Atlanta"/>
    <s v="Online"/>
    <x v="0"/>
    <n v="37"/>
    <n v="206"/>
    <n v="7622"/>
    <n v="4192.1000000000004"/>
  </r>
  <r>
    <x v="3"/>
    <n v="1185732"/>
    <x v="8"/>
    <x v="1"/>
    <s v="South Dakota"/>
    <s v="Sioux Falls"/>
    <s v="Online"/>
    <x v="4"/>
    <n v="33"/>
    <n v="128"/>
    <n v="4224"/>
    <n v="2323.2000000000003"/>
  </r>
  <r>
    <x v="3"/>
    <n v="1185732"/>
    <x v="8"/>
    <x v="1"/>
    <s v="South Dakota"/>
    <s v="Sioux Falls"/>
    <s v="Online"/>
    <x v="5"/>
    <n v="28"/>
    <n v="33"/>
    <n v="924"/>
    <n v="508.20000000000005"/>
  </r>
  <r>
    <x v="2"/>
    <n v="1185732"/>
    <x v="8"/>
    <x v="3"/>
    <s v="Georgia"/>
    <s v="Atlanta"/>
    <s v="Online"/>
    <x v="1"/>
    <n v="47"/>
    <n v="189"/>
    <n v="8883"/>
    <n v="4707.99"/>
  </r>
  <r>
    <x v="2"/>
    <n v="1185732"/>
    <x v="8"/>
    <x v="3"/>
    <s v="Georgia"/>
    <s v="Atlanta"/>
    <s v="Outlet"/>
    <x v="4"/>
    <n v="26"/>
    <n v="349"/>
    <n v="9074"/>
    <n v="4809.2199999999993"/>
  </r>
  <r>
    <x v="0"/>
    <n v="1128299"/>
    <x v="8"/>
    <x v="0"/>
    <s v="California"/>
    <s v="San Francisco"/>
    <s v="Online"/>
    <x v="5"/>
    <n v="59"/>
    <n v="210"/>
    <n v="12390"/>
    <n v="6318.9000000000005"/>
  </r>
  <r>
    <x v="3"/>
    <n v="1185732"/>
    <x v="8"/>
    <x v="1"/>
    <s v="South Dakota"/>
    <s v="Sioux Falls"/>
    <s v="Online"/>
    <x v="1"/>
    <n v="43"/>
    <n v="49"/>
    <n v="2107"/>
    <n v="1074.57"/>
  </r>
  <r>
    <x v="3"/>
    <n v="1185732"/>
    <x v="8"/>
    <x v="1"/>
    <s v="South Dakota"/>
    <s v="Sioux Falls"/>
    <s v="Online"/>
    <x v="2"/>
    <n v="33"/>
    <n v="72"/>
    <n v="2376"/>
    <n v="1164.24"/>
  </r>
  <r>
    <x v="2"/>
    <n v="1185732"/>
    <x v="8"/>
    <x v="3"/>
    <s v="Georgia"/>
    <s v="Atlanta"/>
    <s v="Outlet"/>
    <x v="2"/>
    <n v="30"/>
    <n v="281"/>
    <n v="8430"/>
    <n v="3962.0999999999995"/>
  </r>
  <r>
    <x v="1"/>
    <n v="1189833"/>
    <x v="8"/>
    <x v="1"/>
    <s v="Montana"/>
    <s v="Billings"/>
    <s v="Online"/>
    <x v="4"/>
    <n v="32"/>
    <n v="173"/>
    <n v="5536"/>
    <n v="2491.1999999999998"/>
  </r>
  <r>
    <x v="2"/>
    <n v="1185732"/>
    <x v="8"/>
    <x v="3"/>
    <s v="Georgia"/>
    <s v="Atlanta"/>
    <s v="Online"/>
    <x v="4"/>
    <n v="39"/>
    <n v="256"/>
    <n v="9984"/>
    <n v="4193.2799999999988"/>
  </r>
  <r>
    <x v="2"/>
    <n v="1185732"/>
    <x v="8"/>
    <x v="3"/>
    <s v="Georgia"/>
    <s v="Atlanta"/>
    <s v="Online"/>
    <x v="2"/>
    <n v="37"/>
    <n v="239"/>
    <n v="8843"/>
    <n v="3537.2"/>
  </r>
  <r>
    <x v="2"/>
    <n v="1128299"/>
    <x v="9"/>
    <x v="0"/>
    <s v="Alaska"/>
    <s v="Anchorage"/>
    <s v="Outlet"/>
    <x v="1"/>
    <n v="50"/>
    <n v="175"/>
    <n v="8750"/>
    <n v="7437.5"/>
  </r>
  <r>
    <x v="0"/>
    <n v="1128299"/>
    <x v="9"/>
    <x v="4"/>
    <s v="Maine"/>
    <s v="Portland"/>
    <s v="Outlet"/>
    <x v="0"/>
    <n v="45"/>
    <n v="375"/>
    <n v="16875"/>
    <n v="13500"/>
  </r>
  <r>
    <x v="2"/>
    <n v="1128299"/>
    <x v="9"/>
    <x v="0"/>
    <s v="Alaska"/>
    <s v="Anchorage"/>
    <s v="Outlet"/>
    <x v="0"/>
    <n v="45"/>
    <n v="375"/>
    <n v="16875"/>
    <n v="13500"/>
  </r>
  <r>
    <x v="0"/>
    <n v="1128299"/>
    <x v="9"/>
    <x v="4"/>
    <s v="Maine"/>
    <s v="Portland"/>
    <s v="Outlet"/>
    <x v="4"/>
    <n v="35"/>
    <n v="375"/>
    <n v="13125"/>
    <n v="9843.75"/>
  </r>
  <r>
    <x v="0"/>
    <n v="1128299"/>
    <x v="9"/>
    <x v="4"/>
    <s v="Maine"/>
    <s v="Portland"/>
    <s v="Outlet"/>
    <x v="3"/>
    <n v="45"/>
    <n v="375"/>
    <n v="16875"/>
    <n v="12656.25"/>
  </r>
  <r>
    <x v="0"/>
    <n v="1128299"/>
    <x v="9"/>
    <x v="4"/>
    <s v="Maine"/>
    <s v="Portland"/>
    <s v="Outlet"/>
    <x v="5"/>
    <n v="45"/>
    <n v="225"/>
    <n v="10125"/>
    <n v="7593.75"/>
  </r>
  <r>
    <x v="2"/>
    <n v="1128299"/>
    <x v="9"/>
    <x v="0"/>
    <s v="Alaska"/>
    <s v="Anchorage"/>
    <s v="Outlet"/>
    <x v="4"/>
    <n v="35"/>
    <n v="375"/>
    <n v="13125"/>
    <n v="9843.75"/>
  </r>
  <r>
    <x v="2"/>
    <n v="1128299"/>
    <x v="9"/>
    <x v="0"/>
    <s v="Alaska"/>
    <s v="Anchorage"/>
    <s v="Outlet"/>
    <x v="3"/>
    <n v="45"/>
    <n v="375"/>
    <n v="16875"/>
    <n v="12656.25"/>
  </r>
  <r>
    <x v="2"/>
    <n v="1128299"/>
    <x v="9"/>
    <x v="0"/>
    <s v="Alaska"/>
    <s v="Anchorage"/>
    <s v="Outlet"/>
    <x v="5"/>
    <n v="45"/>
    <n v="225"/>
    <n v="10125"/>
    <n v="7593.75"/>
  </r>
  <r>
    <x v="1"/>
    <n v="1189833"/>
    <x v="9"/>
    <x v="1"/>
    <s v="Montana"/>
    <s v="Billings"/>
    <s v="Outlet"/>
    <x v="0"/>
    <n v="45"/>
    <n v="425"/>
    <n v="19125"/>
    <n v="13387.5"/>
  </r>
  <r>
    <x v="0"/>
    <n v="1185732"/>
    <x v="9"/>
    <x v="1"/>
    <s v="Wisconsin"/>
    <s v="Milwaukee"/>
    <s v="In-store"/>
    <x v="1"/>
    <n v="44.999999999999993"/>
    <n v="200"/>
    <n v="8999.9999999999982"/>
    <n v="6299.9999999999982"/>
  </r>
  <r>
    <x v="1"/>
    <n v="1185732"/>
    <x v="9"/>
    <x v="4"/>
    <s v="Delaware"/>
    <s v="Wilmington"/>
    <s v="In-store"/>
    <x v="1"/>
    <n v="45"/>
    <n v="175"/>
    <n v="7875"/>
    <n v="5512.5"/>
  </r>
  <r>
    <x v="2"/>
    <n v="1185732"/>
    <x v="9"/>
    <x v="4"/>
    <s v="Connecticut"/>
    <s v="Hartford"/>
    <s v="In-store"/>
    <x v="1"/>
    <n v="45"/>
    <n v="125"/>
    <n v="5625"/>
    <n v="3937.5"/>
  </r>
  <r>
    <x v="0"/>
    <n v="1185732"/>
    <x v="9"/>
    <x v="1"/>
    <s v="Wisconsin"/>
    <s v="Milwaukee"/>
    <s v="In-store"/>
    <x v="3"/>
    <n v="25.000000000000007"/>
    <n v="300"/>
    <n v="7500.0000000000018"/>
    <n v="4875.0000000000018"/>
  </r>
  <r>
    <x v="0"/>
    <n v="1185732"/>
    <x v="9"/>
    <x v="1"/>
    <s v="Wisconsin"/>
    <s v="Milwaukee"/>
    <s v="In-store"/>
    <x v="5"/>
    <n v="30.000000000000004"/>
    <n v="150"/>
    <n v="4500.0000000000009"/>
    <n v="2925.0000000000009"/>
  </r>
  <r>
    <x v="1"/>
    <n v="1185732"/>
    <x v="9"/>
    <x v="4"/>
    <s v="Delaware"/>
    <s v="Wilmington"/>
    <s v="In-store"/>
    <x v="4"/>
    <n v="35"/>
    <n v="475"/>
    <n v="16625"/>
    <n v="10806.25"/>
  </r>
  <r>
    <x v="1"/>
    <n v="1185732"/>
    <x v="9"/>
    <x v="4"/>
    <s v="Delaware"/>
    <s v="Wilmington"/>
    <s v="In-store"/>
    <x v="0"/>
    <n v="35"/>
    <n v="275"/>
    <n v="9625"/>
    <n v="6256.25"/>
  </r>
  <r>
    <x v="2"/>
    <n v="1185732"/>
    <x v="9"/>
    <x v="4"/>
    <s v="Connecticut"/>
    <s v="Hartford"/>
    <s v="In-store"/>
    <x v="4"/>
    <n v="35"/>
    <n v="425"/>
    <n v="14875"/>
    <n v="9668.75"/>
  </r>
  <r>
    <x v="2"/>
    <n v="1185732"/>
    <x v="9"/>
    <x v="4"/>
    <s v="Connecticut"/>
    <s v="Hartford"/>
    <s v="In-store"/>
    <x v="0"/>
    <n v="35"/>
    <n v="225"/>
    <n v="7875"/>
    <n v="5118.75"/>
  </r>
  <r>
    <x v="2"/>
    <n v="1128299"/>
    <x v="9"/>
    <x v="0"/>
    <s v="Alaska"/>
    <s v="Anchorage"/>
    <s v="Outlet"/>
    <x v="2"/>
    <n v="45"/>
    <n v="425"/>
    <n v="19125"/>
    <n v="11475"/>
  </r>
  <r>
    <x v="0"/>
    <n v="1185732"/>
    <x v="9"/>
    <x v="1"/>
    <s v="Wisconsin"/>
    <s v="Milwaukee"/>
    <s v="In-store"/>
    <x v="4"/>
    <n v="35"/>
    <n v="500"/>
    <n v="17500"/>
    <n v="10500"/>
  </r>
  <r>
    <x v="0"/>
    <n v="1185732"/>
    <x v="9"/>
    <x v="1"/>
    <s v="Wisconsin"/>
    <s v="Milwaukee"/>
    <s v="In-store"/>
    <x v="0"/>
    <n v="35"/>
    <n v="300"/>
    <n v="10500"/>
    <n v="6300"/>
  </r>
  <r>
    <x v="0"/>
    <n v="1185732"/>
    <x v="9"/>
    <x v="1"/>
    <s v="Wisconsin"/>
    <s v="Milwaukee"/>
    <s v="In-store"/>
    <x v="2"/>
    <n v="35"/>
    <n v="300"/>
    <n v="10500"/>
    <n v="6300"/>
  </r>
  <r>
    <x v="1"/>
    <n v="1185732"/>
    <x v="9"/>
    <x v="4"/>
    <s v="Delaware"/>
    <s v="Wilmington"/>
    <s v="In-store"/>
    <x v="3"/>
    <n v="25.000000000000007"/>
    <n v="275"/>
    <n v="6875.0000000000018"/>
    <n v="4125.0000000000009"/>
  </r>
  <r>
    <x v="1"/>
    <n v="1185732"/>
    <x v="9"/>
    <x v="4"/>
    <s v="Delaware"/>
    <s v="Wilmington"/>
    <s v="In-store"/>
    <x v="5"/>
    <n v="30"/>
    <n v="125"/>
    <n v="3750"/>
    <n v="2250"/>
  </r>
  <r>
    <x v="1"/>
    <n v="1185732"/>
    <x v="9"/>
    <x v="4"/>
    <s v="Delaware"/>
    <s v="Wilmington"/>
    <s v="In-store"/>
    <x v="2"/>
    <n v="35"/>
    <n v="275"/>
    <n v="9625"/>
    <n v="5775"/>
  </r>
  <r>
    <x v="2"/>
    <n v="1185732"/>
    <x v="9"/>
    <x v="4"/>
    <s v="Connecticut"/>
    <s v="Hartford"/>
    <s v="In-store"/>
    <x v="3"/>
    <n v="25.000000000000007"/>
    <n v="225"/>
    <n v="5625.0000000000018"/>
    <n v="3375.0000000000009"/>
  </r>
  <r>
    <x v="2"/>
    <n v="1185732"/>
    <x v="9"/>
    <x v="4"/>
    <s v="Connecticut"/>
    <s v="Hartford"/>
    <s v="In-store"/>
    <x v="5"/>
    <n v="30"/>
    <n v="75"/>
    <n v="2250"/>
    <n v="1350"/>
  </r>
  <r>
    <x v="2"/>
    <n v="1185732"/>
    <x v="9"/>
    <x v="4"/>
    <s v="Connecticut"/>
    <s v="Hartford"/>
    <s v="In-store"/>
    <x v="2"/>
    <n v="35"/>
    <n v="225"/>
    <n v="7875"/>
    <n v="4725"/>
  </r>
  <r>
    <x v="0"/>
    <n v="1128299"/>
    <x v="9"/>
    <x v="0"/>
    <s v="California"/>
    <s v="San Francisco"/>
    <s v="Outlet"/>
    <x v="1"/>
    <n v="65"/>
    <n v="575"/>
    <n v="37375"/>
    <n v="16818.749999999996"/>
  </r>
  <r>
    <x v="2"/>
    <n v="1128299"/>
    <x v="9"/>
    <x v="0"/>
    <s v="Alaska"/>
    <s v="Anchorage"/>
    <s v="Online"/>
    <x v="1"/>
    <n v="46"/>
    <n v="46"/>
    <n v="2116"/>
    <n v="1481.2"/>
  </r>
  <r>
    <x v="0"/>
    <n v="1128299"/>
    <x v="9"/>
    <x v="4"/>
    <s v="Maine"/>
    <s v="Portland"/>
    <s v="Online"/>
    <x v="0"/>
    <n v="41"/>
    <n v="109"/>
    <n v="4469"/>
    <n v="2994.23"/>
  </r>
  <r>
    <x v="2"/>
    <n v="1128299"/>
    <x v="9"/>
    <x v="0"/>
    <s v="Alaska"/>
    <s v="Anchorage"/>
    <s v="Online"/>
    <x v="0"/>
    <n v="43"/>
    <n v="109"/>
    <n v="4687"/>
    <n v="3140.29"/>
  </r>
  <r>
    <x v="0"/>
    <n v="1128299"/>
    <x v="9"/>
    <x v="4"/>
    <s v="Maine"/>
    <s v="Portland"/>
    <s v="Online"/>
    <x v="4"/>
    <n v="33"/>
    <n v="98"/>
    <n v="3234"/>
    <n v="2102.1000000000004"/>
  </r>
  <r>
    <x v="2"/>
    <n v="1128299"/>
    <x v="9"/>
    <x v="0"/>
    <s v="Alaska"/>
    <s v="Anchorage"/>
    <s v="Online"/>
    <x v="5"/>
    <n v="43"/>
    <n v="56"/>
    <n v="2408"/>
    <n v="1565.2"/>
  </r>
  <r>
    <x v="2"/>
    <n v="1185732"/>
    <x v="9"/>
    <x v="4"/>
    <s v="Connecticut"/>
    <s v="Hartford"/>
    <s v="Outlet"/>
    <x v="1"/>
    <n v="34"/>
    <n v="44"/>
    <n v="1496"/>
    <n v="957.44"/>
  </r>
  <r>
    <x v="2"/>
    <n v="1128299"/>
    <x v="9"/>
    <x v="0"/>
    <s v="Alaska"/>
    <s v="Anchorage"/>
    <s v="Online"/>
    <x v="3"/>
    <n v="41"/>
    <n v="113"/>
    <n v="4633"/>
    <n v="2965.12"/>
  </r>
  <r>
    <x v="2"/>
    <n v="1128299"/>
    <x v="9"/>
    <x v="0"/>
    <s v="Alaska"/>
    <s v="Anchorage"/>
    <s v="Online"/>
    <x v="4"/>
    <n v="33"/>
    <n v="109"/>
    <n v="3597"/>
    <n v="2230.14"/>
  </r>
  <r>
    <x v="0"/>
    <n v="1128299"/>
    <x v="9"/>
    <x v="4"/>
    <s v="Maine"/>
    <s v="Portland"/>
    <s v="Online"/>
    <x v="5"/>
    <n v="43"/>
    <n v="59"/>
    <n v="2537"/>
    <n v="1547.57"/>
  </r>
  <r>
    <x v="0"/>
    <n v="1128299"/>
    <x v="9"/>
    <x v="4"/>
    <s v="Maine"/>
    <s v="Portland"/>
    <s v="Online"/>
    <x v="3"/>
    <n v="43"/>
    <n v="101"/>
    <n v="4343"/>
    <n v="2605.8000000000002"/>
  </r>
  <r>
    <x v="2"/>
    <n v="1185732"/>
    <x v="9"/>
    <x v="4"/>
    <s v="Connecticut"/>
    <s v="Hartford"/>
    <s v="Outlet"/>
    <x v="0"/>
    <n v="28"/>
    <n v="79"/>
    <n v="2212"/>
    <n v="1327.2"/>
  </r>
  <r>
    <x v="2"/>
    <n v="1185732"/>
    <x v="9"/>
    <x v="4"/>
    <s v="Connecticut"/>
    <s v="Hartford"/>
    <s v="Online"/>
    <x v="1"/>
    <n v="44"/>
    <n v="33"/>
    <n v="1452"/>
    <n v="871.19999999999993"/>
  </r>
  <r>
    <x v="1"/>
    <n v="1185732"/>
    <x v="9"/>
    <x v="4"/>
    <s v="Delaware"/>
    <s v="Wilmington"/>
    <s v="Online"/>
    <x v="1"/>
    <n v="41"/>
    <n v="47"/>
    <n v="1927"/>
    <n v="1156.1999999999998"/>
  </r>
  <r>
    <x v="1"/>
    <n v="1189833"/>
    <x v="9"/>
    <x v="1"/>
    <s v="Montana"/>
    <s v="Billings"/>
    <s v="Online"/>
    <x v="0"/>
    <n v="41"/>
    <n v="115"/>
    <n v="4715"/>
    <n v="2781.8500000000004"/>
  </r>
  <r>
    <x v="2"/>
    <n v="1185732"/>
    <x v="9"/>
    <x v="4"/>
    <s v="Connecticut"/>
    <s v="Hartford"/>
    <s v="Outlet"/>
    <x v="4"/>
    <n v="23"/>
    <n v="149"/>
    <n v="3427"/>
    <n v="1987.66"/>
  </r>
  <r>
    <x v="2"/>
    <n v="1185732"/>
    <x v="9"/>
    <x v="4"/>
    <s v="Connecticut"/>
    <s v="Hartford"/>
    <s v="Outlet"/>
    <x v="3"/>
    <n v="19"/>
    <n v="72"/>
    <n v="1368"/>
    <n v="793.43999999999994"/>
  </r>
  <r>
    <x v="0"/>
    <n v="1185732"/>
    <x v="9"/>
    <x v="1"/>
    <s v="Wisconsin"/>
    <s v="Milwaukee"/>
    <s v="Online"/>
    <x v="1"/>
    <n v="41"/>
    <n v="58"/>
    <n v="2378"/>
    <n v="1331.68"/>
  </r>
  <r>
    <x v="0"/>
    <n v="1185732"/>
    <x v="9"/>
    <x v="1"/>
    <s v="Wisconsin"/>
    <s v="Milwaukee"/>
    <s v="Online"/>
    <x v="3"/>
    <n v="24"/>
    <n v="87"/>
    <n v="2088"/>
    <n v="1148.4000000000001"/>
  </r>
  <r>
    <x v="2"/>
    <n v="1185732"/>
    <x v="9"/>
    <x v="4"/>
    <s v="Connecticut"/>
    <s v="Hartford"/>
    <s v="Online"/>
    <x v="0"/>
    <n v="34"/>
    <n v="63"/>
    <n v="2142"/>
    <n v="1178.1000000000001"/>
  </r>
  <r>
    <x v="2"/>
    <n v="1185732"/>
    <x v="9"/>
    <x v="4"/>
    <s v="Connecticut"/>
    <s v="Hartford"/>
    <s v="Online"/>
    <x v="4"/>
    <n v="34"/>
    <n v="115"/>
    <n v="3910"/>
    <n v="2111.4"/>
  </r>
  <r>
    <x v="2"/>
    <n v="1185732"/>
    <x v="9"/>
    <x v="4"/>
    <s v="Connecticut"/>
    <s v="Hartford"/>
    <s v="Outlet"/>
    <x v="5"/>
    <n v="24"/>
    <n v="24"/>
    <n v="576"/>
    <n v="311.03999999999996"/>
  </r>
  <r>
    <x v="1"/>
    <n v="1185732"/>
    <x v="9"/>
    <x v="4"/>
    <s v="Delaware"/>
    <s v="Wilmington"/>
    <s v="Online"/>
    <x v="0"/>
    <n v="33"/>
    <n v="77"/>
    <n v="2541"/>
    <n v="1346.73"/>
  </r>
  <r>
    <x v="2"/>
    <n v="1185732"/>
    <x v="9"/>
    <x v="4"/>
    <s v="Connecticut"/>
    <s v="Hartford"/>
    <s v="Outlet"/>
    <x v="2"/>
    <n v="26"/>
    <n v="72"/>
    <n v="1872"/>
    <n v="992.16"/>
  </r>
  <r>
    <x v="0"/>
    <n v="1185732"/>
    <x v="9"/>
    <x v="1"/>
    <s v="Wisconsin"/>
    <s v="Milwaukee"/>
    <s v="Online"/>
    <x v="5"/>
    <n v="28"/>
    <n v="44"/>
    <n v="1232"/>
    <n v="640.64"/>
  </r>
  <r>
    <x v="0"/>
    <n v="1185732"/>
    <x v="9"/>
    <x v="1"/>
    <s v="Wisconsin"/>
    <s v="Milwaukee"/>
    <s v="Online"/>
    <x v="2"/>
    <n v="32"/>
    <n v="84"/>
    <n v="2688"/>
    <n v="1344"/>
  </r>
  <r>
    <x v="1"/>
    <n v="1185732"/>
    <x v="9"/>
    <x v="4"/>
    <s v="Delaware"/>
    <s v="Wilmington"/>
    <s v="Online"/>
    <x v="4"/>
    <n v="32"/>
    <n v="138"/>
    <n v="4416"/>
    <n v="2208"/>
  </r>
  <r>
    <x v="1"/>
    <n v="1185732"/>
    <x v="9"/>
    <x v="4"/>
    <s v="Delaware"/>
    <s v="Wilmington"/>
    <s v="Online"/>
    <x v="5"/>
    <n v="27"/>
    <n v="38"/>
    <n v="1026"/>
    <n v="513"/>
  </r>
  <r>
    <x v="0"/>
    <n v="1185732"/>
    <x v="9"/>
    <x v="1"/>
    <s v="Wisconsin"/>
    <s v="Milwaukee"/>
    <s v="Online"/>
    <x v="0"/>
    <n v="32"/>
    <n v="78"/>
    <n v="2496"/>
    <n v="1223.04"/>
  </r>
  <r>
    <x v="1"/>
    <n v="1185732"/>
    <x v="9"/>
    <x v="4"/>
    <s v="Delaware"/>
    <s v="Wilmington"/>
    <s v="Online"/>
    <x v="3"/>
    <n v="24"/>
    <n v="72"/>
    <n v="1728"/>
    <n v="846.72"/>
  </r>
  <r>
    <x v="0"/>
    <n v="1185732"/>
    <x v="9"/>
    <x v="1"/>
    <s v="Wisconsin"/>
    <s v="Milwaukee"/>
    <s v="Online"/>
    <x v="4"/>
    <n v="32"/>
    <n v="140"/>
    <n v="4480"/>
    <n v="2150.4"/>
  </r>
  <r>
    <x v="2"/>
    <n v="1185732"/>
    <x v="9"/>
    <x v="4"/>
    <s v="Connecticut"/>
    <s v="Hartford"/>
    <s v="Online"/>
    <x v="5"/>
    <n v="29"/>
    <n v="20"/>
    <n v="580"/>
    <n v="272.59999999999997"/>
  </r>
  <r>
    <x v="2"/>
    <n v="1128299"/>
    <x v="9"/>
    <x v="0"/>
    <s v="Alaska"/>
    <s v="Anchorage"/>
    <s v="Online"/>
    <x v="2"/>
    <n v="42"/>
    <n v="123"/>
    <n v="5166"/>
    <n v="2376.3599999999997"/>
  </r>
  <r>
    <x v="2"/>
    <n v="1185732"/>
    <x v="9"/>
    <x v="4"/>
    <s v="Connecticut"/>
    <s v="Hartford"/>
    <s v="Online"/>
    <x v="2"/>
    <n v="33"/>
    <n v="63"/>
    <n v="2079"/>
    <n v="956.33999999999992"/>
  </r>
  <r>
    <x v="1"/>
    <n v="1185732"/>
    <x v="9"/>
    <x v="4"/>
    <s v="Delaware"/>
    <s v="Wilmington"/>
    <s v="Online"/>
    <x v="2"/>
    <n v="33"/>
    <n v="69"/>
    <n v="2277"/>
    <n v="1024.6499999999999"/>
  </r>
  <r>
    <x v="2"/>
    <n v="1185732"/>
    <x v="9"/>
    <x v="4"/>
    <s v="Connecticut"/>
    <s v="Hartford"/>
    <s v="Online"/>
    <x v="3"/>
    <n v="24"/>
    <n v="63"/>
    <n v="1512"/>
    <n v="680.4"/>
  </r>
  <r>
    <x v="0"/>
    <n v="1128299"/>
    <x v="9"/>
    <x v="0"/>
    <s v="California"/>
    <s v="San Francisco"/>
    <s v="Outlet"/>
    <x v="1"/>
    <n v="44"/>
    <n v="196"/>
    <n v="8624"/>
    <n v="3363.3599999999988"/>
  </r>
  <r>
    <x v="0"/>
    <n v="1128299"/>
    <x v="9"/>
    <x v="0"/>
    <s v="California"/>
    <s v="San Francisco"/>
    <s v="Online"/>
    <x v="1"/>
    <n v="62"/>
    <n v="155"/>
    <n v="9610"/>
    <n v="3267.3999999999996"/>
  </r>
  <r>
    <x v="0"/>
    <n v="1128299"/>
    <x v="10"/>
    <x v="0"/>
    <s v="California"/>
    <s v="San Francisco"/>
    <s v="Outlet"/>
    <x v="2"/>
    <n v="80"/>
    <n v="875"/>
    <n v="70000"/>
    <n v="56000"/>
  </r>
  <r>
    <x v="0"/>
    <n v="1185732"/>
    <x v="10"/>
    <x v="1"/>
    <s v="Missouri"/>
    <s v="St. Louis"/>
    <s v="In-store"/>
    <x v="3"/>
    <n v="15.000000000000002"/>
    <n v="475"/>
    <n v="7125.0000000000009"/>
    <n v="4631.2500000000018"/>
  </r>
  <r>
    <x v="0"/>
    <n v="1185732"/>
    <x v="10"/>
    <x v="1"/>
    <s v="Missouri"/>
    <s v="St. Louis"/>
    <s v="In-store"/>
    <x v="0"/>
    <n v="25"/>
    <n v="475"/>
    <n v="11875"/>
    <n v="7718.75"/>
  </r>
  <r>
    <x v="0"/>
    <n v="1185732"/>
    <x v="10"/>
    <x v="1"/>
    <s v="Missouri"/>
    <s v="St. Louis"/>
    <s v="In-store"/>
    <x v="1"/>
    <n v="35"/>
    <n v="375"/>
    <n v="13125"/>
    <n v="8531.25"/>
  </r>
  <r>
    <x v="0"/>
    <n v="1185732"/>
    <x v="10"/>
    <x v="1"/>
    <s v="Missouri"/>
    <s v="St. Louis"/>
    <s v="In-store"/>
    <x v="4"/>
    <n v="25"/>
    <n v="675"/>
    <n v="16875"/>
    <n v="10125"/>
  </r>
  <r>
    <x v="0"/>
    <n v="1185732"/>
    <x v="10"/>
    <x v="1"/>
    <s v="Missouri"/>
    <s v="St. Louis"/>
    <s v="In-store"/>
    <x v="5"/>
    <n v="20.000000000000007"/>
    <n v="325"/>
    <n v="6500.0000000000027"/>
    <n v="3900.0000000000014"/>
  </r>
  <r>
    <x v="1"/>
    <n v="1189833"/>
    <x v="10"/>
    <x v="1"/>
    <s v="Montana"/>
    <s v="Billings"/>
    <s v="Outlet"/>
    <x v="3"/>
    <n v="45"/>
    <n v="425"/>
    <n v="19125"/>
    <n v="10518.75"/>
  </r>
  <r>
    <x v="0"/>
    <n v="1185732"/>
    <x v="10"/>
    <x v="1"/>
    <s v="Missouri"/>
    <s v="St. Louis"/>
    <s v="In-store"/>
    <x v="2"/>
    <n v="25"/>
    <n v="475"/>
    <n v="11875"/>
    <n v="5937.5"/>
  </r>
  <r>
    <x v="0"/>
    <n v="1128299"/>
    <x v="10"/>
    <x v="0"/>
    <s v="California"/>
    <s v="San Francisco"/>
    <s v="Outlet"/>
    <x v="2"/>
    <n v="60"/>
    <n v="306"/>
    <n v="18360"/>
    <n v="13586.4"/>
  </r>
  <r>
    <x v="0"/>
    <n v="1128299"/>
    <x v="10"/>
    <x v="0"/>
    <s v="California"/>
    <s v="San Francisco"/>
    <s v="Online"/>
    <x v="2"/>
    <n v="72"/>
    <n v="219"/>
    <n v="15768"/>
    <n v="10249.200000000001"/>
  </r>
  <r>
    <x v="0"/>
    <n v="1185732"/>
    <x v="10"/>
    <x v="1"/>
    <s v="Missouri"/>
    <s v="St. Louis"/>
    <s v="Online"/>
    <x v="0"/>
    <n v="23"/>
    <n v="133"/>
    <n v="3059"/>
    <n v="1621.27"/>
  </r>
  <r>
    <x v="0"/>
    <n v="1185732"/>
    <x v="10"/>
    <x v="1"/>
    <s v="Missouri"/>
    <s v="St. Louis"/>
    <s v="Online"/>
    <x v="3"/>
    <n v="14"/>
    <n v="143"/>
    <n v="2002"/>
    <n v="1061.06"/>
  </r>
  <r>
    <x v="0"/>
    <n v="1185732"/>
    <x v="10"/>
    <x v="1"/>
    <s v="Missouri"/>
    <s v="St. Louis"/>
    <s v="Online"/>
    <x v="1"/>
    <n v="33"/>
    <n v="98"/>
    <n v="3234"/>
    <n v="1714.02"/>
  </r>
  <r>
    <x v="0"/>
    <n v="1185732"/>
    <x v="10"/>
    <x v="1"/>
    <s v="Missouri"/>
    <s v="St. Louis"/>
    <s v="Online"/>
    <x v="5"/>
    <n v="18"/>
    <n v="88"/>
    <n v="1584"/>
    <n v="760.31999999999994"/>
  </r>
  <r>
    <x v="0"/>
    <n v="1185732"/>
    <x v="10"/>
    <x v="1"/>
    <s v="Missouri"/>
    <s v="St. Louis"/>
    <s v="Online"/>
    <x v="4"/>
    <n v="23"/>
    <n v="196"/>
    <n v="4508"/>
    <n v="2028.6"/>
  </r>
  <r>
    <x v="1"/>
    <n v="1189833"/>
    <x v="10"/>
    <x v="1"/>
    <s v="Montana"/>
    <s v="Billings"/>
    <s v="Online"/>
    <x v="3"/>
    <n v="42"/>
    <n v="128"/>
    <n v="5376"/>
    <n v="2311.6799999999998"/>
  </r>
  <r>
    <x v="0"/>
    <n v="1185732"/>
    <x v="10"/>
    <x v="1"/>
    <s v="Missouri"/>
    <s v="St. Louis"/>
    <s v="Online"/>
    <x v="2"/>
    <n v="24"/>
    <n v="138"/>
    <n v="3312"/>
    <n v="1192.3200000000002"/>
  </r>
  <r>
    <x v="0"/>
    <n v="1185732"/>
    <x v="11"/>
    <x v="3"/>
    <s v="Florida"/>
    <s v="Orlando"/>
    <s v="In-store"/>
    <x v="3"/>
    <n v="35"/>
    <n v="650"/>
    <n v="22750"/>
    <n v="17062.5"/>
  </r>
  <r>
    <x v="0"/>
    <n v="1185732"/>
    <x v="11"/>
    <x v="3"/>
    <s v="Florida"/>
    <s v="Orlando"/>
    <s v="In-store"/>
    <x v="5"/>
    <n v="40"/>
    <n v="500"/>
    <n v="20000"/>
    <n v="14000"/>
  </r>
  <r>
    <x v="2"/>
    <n v="1185732"/>
    <x v="11"/>
    <x v="1"/>
    <s v="Kansas"/>
    <s v="Wichita"/>
    <s v="Online"/>
    <x v="0"/>
    <n v="40"/>
    <n v="275"/>
    <n v="11000"/>
    <n v="7700"/>
  </r>
  <r>
    <x v="2"/>
    <n v="1185732"/>
    <x v="11"/>
    <x v="1"/>
    <s v="Kansas"/>
    <s v="Wichita"/>
    <s v="Online"/>
    <x v="3"/>
    <n v="30.000000000000004"/>
    <n v="275"/>
    <n v="8250.0000000000018"/>
    <n v="5775.0000000000018"/>
  </r>
  <r>
    <x v="2"/>
    <n v="1185732"/>
    <x v="11"/>
    <x v="1"/>
    <s v="Kansas"/>
    <s v="Wichita"/>
    <s v="Online"/>
    <x v="5"/>
    <n v="35"/>
    <n v="125"/>
    <n v="4375"/>
    <n v="3062.5"/>
  </r>
  <r>
    <x v="0"/>
    <n v="1185732"/>
    <x v="11"/>
    <x v="3"/>
    <s v="Florida"/>
    <s v="Orlando"/>
    <s v="In-store"/>
    <x v="1"/>
    <n v="55.000000000000007"/>
    <n v="550"/>
    <n v="30250.000000000004"/>
    <n v="19662.500000000007"/>
  </r>
  <r>
    <x v="0"/>
    <n v="1128299"/>
    <x v="11"/>
    <x v="0"/>
    <s v="California"/>
    <s v="San Francisco"/>
    <s v="Outlet"/>
    <x v="4"/>
    <n v="60"/>
    <n v="1025"/>
    <n v="61500"/>
    <n v="39975"/>
  </r>
  <r>
    <x v="0"/>
    <n v="1185732"/>
    <x v="11"/>
    <x v="3"/>
    <s v="Florida"/>
    <s v="Orlando"/>
    <s v="In-store"/>
    <x v="0"/>
    <n v="45"/>
    <n v="650"/>
    <n v="29250"/>
    <n v="19012.5"/>
  </r>
  <r>
    <x v="2"/>
    <n v="1185732"/>
    <x v="11"/>
    <x v="1"/>
    <s v="Kansas"/>
    <s v="Wichita"/>
    <s v="Online"/>
    <x v="4"/>
    <n v="40"/>
    <n v="475"/>
    <n v="19000"/>
    <n v="12350"/>
  </r>
  <r>
    <x v="2"/>
    <n v="1185732"/>
    <x v="11"/>
    <x v="1"/>
    <s v="Kansas"/>
    <s v="Wichita"/>
    <s v="Online"/>
    <x v="1"/>
    <n v="49.999999999999993"/>
    <n v="175"/>
    <n v="8749.9999999999982"/>
    <n v="5687.4999999999991"/>
  </r>
  <r>
    <x v="1"/>
    <n v="1189833"/>
    <x v="11"/>
    <x v="1"/>
    <s v="Montana"/>
    <s v="Billings"/>
    <s v="Outlet"/>
    <x v="5"/>
    <n v="45"/>
    <n v="325"/>
    <n v="14625"/>
    <n v="8775"/>
  </r>
  <r>
    <x v="2"/>
    <n v="1185732"/>
    <x v="11"/>
    <x v="1"/>
    <s v="Kansas"/>
    <s v="Wichita"/>
    <s v="Online"/>
    <x v="2"/>
    <n v="40"/>
    <n v="275"/>
    <n v="11000"/>
    <n v="6600"/>
  </r>
  <r>
    <x v="0"/>
    <n v="1185732"/>
    <x v="11"/>
    <x v="3"/>
    <s v="Florida"/>
    <s v="Orlando"/>
    <s v="In-store"/>
    <x v="4"/>
    <n v="45"/>
    <n v="850"/>
    <n v="38250"/>
    <n v="21037.5"/>
  </r>
  <r>
    <x v="0"/>
    <n v="1185732"/>
    <x v="11"/>
    <x v="3"/>
    <s v="Florida"/>
    <s v="Orlando"/>
    <s v="In-store"/>
    <x v="2"/>
    <n v="45"/>
    <n v="650"/>
    <n v="29250"/>
    <n v="14625"/>
  </r>
  <r>
    <x v="0"/>
    <n v="1185732"/>
    <x v="11"/>
    <x v="3"/>
    <s v="Florida"/>
    <s v="Orlando"/>
    <s v="Outlet"/>
    <x v="3"/>
    <n v="26"/>
    <n v="202"/>
    <n v="5252"/>
    <n v="3728.92"/>
  </r>
  <r>
    <x v="0"/>
    <n v="1185732"/>
    <x v="11"/>
    <x v="3"/>
    <s v="Florida"/>
    <s v="Orlando"/>
    <s v="Outlet"/>
    <x v="5"/>
    <n v="30"/>
    <n v="170"/>
    <n v="5100"/>
    <n v="3213"/>
  </r>
  <r>
    <x v="0"/>
    <n v="1185732"/>
    <x v="11"/>
    <x v="3"/>
    <s v="Florida"/>
    <s v="Orlando"/>
    <s v="Online"/>
    <x v="3"/>
    <n v="32"/>
    <n v="169"/>
    <n v="5408"/>
    <n v="3352.96"/>
  </r>
  <r>
    <x v="0"/>
    <n v="1128299"/>
    <x v="11"/>
    <x v="0"/>
    <s v="California"/>
    <s v="San Francisco"/>
    <s v="Outlet"/>
    <x v="4"/>
    <n v="41"/>
    <n v="338"/>
    <n v="13858"/>
    <n v="8591.9599999999991"/>
  </r>
  <r>
    <x v="0"/>
    <n v="1185732"/>
    <x v="11"/>
    <x v="3"/>
    <s v="Florida"/>
    <s v="Orlando"/>
    <s v="Outlet"/>
    <x v="0"/>
    <n v="36"/>
    <n v="221"/>
    <n v="7956"/>
    <n v="4773.6000000000004"/>
  </r>
  <r>
    <x v="2"/>
    <n v="1185732"/>
    <x v="11"/>
    <x v="1"/>
    <s v="Kansas"/>
    <s v="Wichita"/>
    <s v="Online"/>
    <x v="0"/>
    <n v="37"/>
    <n v="80"/>
    <n v="2960"/>
    <n v="1776"/>
  </r>
  <r>
    <x v="2"/>
    <n v="1185732"/>
    <x v="11"/>
    <x v="1"/>
    <s v="Kansas"/>
    <s v="Wichita"/>
    <s v="Online"/>
    <x v="5"/>
    <n v="34"/>
    <n v="36"/>
    <n v="1224"/>
    <n v="734.4"/>
  </r>
  <r>
    <x v="0"/>
    <n v="1185732"/>
    <x v="11"/>
    <x v="3"/>
    <s v="Florida"/>
    <s v="Orlando"/>
    <s v="Online"/>
    <x v="5"/>
    <n v="37"/>
    <n v="145"/>
    <n v="5365"/>
    <n v="3165.35"/>
  </r>
  <r>
    <x v="0"/>
    <n v="1185732"/>
    <x v="11"/>
    <x v="3"/>
    <s v="Florida"/>
    <s v="Orlando"/>
    <s v="Outlet"/>
    <x v="1"/>
    <n v="36"/>
    <n v="193"/>
    <n v="6948"/>
    <n v="4099.32"/>
  </r>
  <r>
    <x v="2"/>
    <n v="1185732"/>
    <x v="11"/>
    <x v="1"/>
    <s v="Kansas"/>
    <s v="Wichita"/>
    <s v="Online"/>
    <x v="3"/>
    <n v="27"/>
    <n v="83"/>
    <n v="2241"/>
    <n v="1254.96"/>
  </r>
  <r>
    <x v="0"/>
    <n v="1185732"/>
    <x v="11"/>
    <x v="3"/>
    <s v="Florida"/>
    <s v="Orlando"/>
    <s v="Online"/>
    <x v="1"/>
    <n v="51"/>
    <n v="165"/>
    <n v="8415"/>
    <n v="4628.25"/>
  </r>
  <r>
    <x v="0"/>
    <n v="1128299"/>
    <x v="11"/>
    <x v="0"/>
    <s v="California"/>
    <s v="San Francisco"/>
    <s v="Online"/>
    <x v="4"/>
    <n v="56"/>
    <n v="277"/>
    <n v="15512"/>
    <n v="8531.5999999999985"/>
  </r>
  <r>
    <x v="2"/>
    <n v="1185732"/>
    <x v="11"/>
    <x v="1"/>
    <s v="Kansas"/>
    <s v="Wichita"/>
    <s v="Online"/>
    <x v="1"/>
    <n v="48"/>
    <n v="44"/>
    <n v="2112"/>
    <n v="1119.3600000000001"/>
  </r>
  <r>
    <x v="0"/>
    <n v="1185732"/>
    <x v="11"/>
    <x v="3"/>
    <s v="Florida"/>
    <s v="Orlando"/>
    <s v="Online"/>
    <x v="0"/>
    <n v="44"/>
    <n v="189"/>
    <n v="8316"/>
    <n v="4407.4799999999996"/>
  </r>
  <r>
    <x v="2"/>
    <n v="1185732"/>
    <x v="11"/>
    <x v="1"/>
    <s v="Kansas"/>
    <s v="Wichita"/>
    <s v="Online"/>
    <x v="4"/>
    <n v="38"/>
    <n v="138"/>
    <n v="5244"/>
    <n v="2674.44"/>
  </r>
  <r>
    <x v="0"/>
    <n v="1185732"/>
    <x v="11"/>
    <x v="3"/>
    <s v="Florida"/>
    <s v="Orlando"/>
    <s v="Outlet"/>
    <x v="4"/>
    <n v="30"/>
    <n v="272"/>
    <n v="8160"/>
    <n v="3998.3999999999996"/>
  </r>
  <r>
    <x v="1"/>
    <n v="1189833"/>
    <x v="11"/>
    <x v="1"/>
    <s v="Montana"/>
    <s v="Billings"/>
    <s v="Online"/>
    <x v="5"/>
    <n v="44"/>
    <n v="91"/>
    <n v="4004"/>
    <n v="1881.88"/>
  </r>
  <r>
    <x v="0"/>
    <n v="1185732"/>
    <x v="11"/>
    <x v="3"/>
    <s v="Florida"/>
    <s v="Orlando"/>
    <s v="Online"/>
    <x v="4"/>
    <n v="41"/>
    <n v="255"/>
    <n v="10455"/>
    <n v="4704.7499999999991"/>
  </r>
  <r>
    <x v="2"/>
    <n v="1185732"/>
    <x v="11"/>
    <x v="1"/>
    <s v="Kansas"/>
    <s v="Wichita"/>
    <s v="Online"/>
    <x v="2"/>
    <n v="37"/>
    <n v="72"/>
    <n v="2664"/>
    <n v="1198.8"/>
  </r>
  <r>
    <x v="0"/>
    <n v="1185732"/>
    <x v="11"/>
    <x v="3"/>
    <s v="Florida"/>
    <s v="Orlando"/>
    <s v="Outlet"/>
    <x v="2"/>
    <n v="35"/>
    <n v="221"/>
    <n v="7735"/>
    <n v="3480.75"/>
  </r>
  <r>
    <x v="0"/>
    <n v="1185732"/>
    <x v="11"/>
    <x v="3"/>
    <s v="Florida"/>
    <s v="Orlando"/>
    <s v="Online"/>
    <x v="2"/>
    <n v="44"/>
    <n v="176"/>
    <n v="7744"/>
    <n v="2710.3999999999996"/>
  </r>
  <r>
    <x v="0"/>
    <n v="1128299"/>
    <x v="12"/>
    <x v="0"/>
    <s v="California"/>
    <s v="San Francisco"/>
    <s v="Outlet"/>
    <x v="0"/>
    <n v="65"/>
    <n v="875"/>
    <n v="56875"/>
    <n v="45500"/>
  </r>
  <r>
    <x v="3"/>
    <n v="1128299"/>
    <x v="12"/>
    <x v="0"/>
    <s v="New Mexico"/>
    <s v="Albuquerque"/>
    <s v="Online"/>
    <x v="2"/>
    <n v="40"/>
    <n v="450"/>
    <n v="18000"/>
    <n v="13500"/>
  </r>
  <r>
    <x v="3"/>
    <n v="1128299"/>
    <x v="12"/>
    <x v="0"/>
    <s v="New Mexico"/>
    <s v="Albuquerque"/>
    <s v="Online"/>
    <x v="1"/>
    <n v="45.000000000000014"/>
    <n v="250"/>
    <n v="11250.000000000004"/>
    <n v="7312.5000000000027"/>
  </r>
  <r>
    <x v="3"/>
    <n v="1128299"/>
    <x v="12"/>
    <x v="0"/>
    <s v="New Mexico"/>
    <s v="Albuquerque"/>
    <s v="Online"/>
    <x v="3"/>
    <n v="40"/>
    <n v="450"/>
    <n v="18000"/>
    <n v="11700"/>
  </r>
  <r>
    <x v="4"/>
    <n v="1185732"/>
    <x v="12"/>
    <x v="3"/>
    <s v="North Carolina"/>
    <s v="Charlotte"/>
    <s v="Online"/>
    <x v="0"/>
    <n v="35"/>
    <n v="575"/>
    <n v="20125"/>
    <n v="13081.25"/>
  </r>
  <r>
    <x v="4"/>
    <n v="1185732"/>
    <x v="12"/>
    <x v="3"/>
    <s v="North Carolina"/>
    <s v="Charlotte"/>
    <s v="Online"/>
    <x v="1"/>
    <n v="45"/>
    <n v="475"/>
    <n v="21375"/>
    <n v="13893.75"/>
  </r>
  <r>
    <x v="3"/>
    <n v="1128299"/>
    <x v="12"/>
    <x v="0"/>
    <s v="New Mexico"/>
    <s v="Albuquerque"/>
    <s v="Online"/>
    <x v="0"/>
    <n v="40"/>
    <n v="450"/>
    <n v="18000"/>
    <n v="10800"/>
  </r>
  <r>
    <x v="3"/>
    <n v="1128299"/>
    <x v="12"/>
    <x v="0"/>
    <s v="New Mexico"/>
    <s v="Albuquerque"/>
    <s v="Online"/>
    <x v="5"/>
    <n v="40"/>
    <n v="300"/>
    <n v="12000"/>
    <n v="7200"/>
  </r>
  <r>
    <x v="4"/>
    <n v="1185732"/>
    <x v="12"/>
    <x v="3"/>
    <s v="North Carolina"/>
    <s v="Charlotte"/>
    <s v="Online"/>
    <x v="4"/>
    <n v="35"/>
    <n v="775"/>
    <n v="27125"/>
    <n v="16275"/>
  </r>
  <r>
    <x v="4"/>
    <n v="1185732"/>
    <x v="12"/>
    <x v="3"/>
    <s v="North Carolina"/>
    <s v="Charlotte"/>
    <s v="Online"/>
    <x v="3"/>
    <n v="25.000000000000007"/>
    <n v="575"/>
    <n v="14375.000000000004"/>
    <n v="8625.0000000000018"/>
  </r>
  <r>
    <x v="4"/>
    <n v="1185732"/>
    <x v="12"/>
    <x v="3"/>
    <s v="North Carolina"/>
    <s v="Charlotte"/>
    <s v="Online"/>
    <x v="5"/>
    <n v="30"/>
    <n v="425"/>
    <n v="12750"/>
    <n v="7650"/>
  </r>
  <r>
    <x v="3"/>
    <n v="1128299"/>
    <x v="12"/>
    <x v="0"/>
    <s v="New Mexico"/>
    <s v="Albuquerque"/>
    <s v="Online"/>
    <x v="4"/>
    <n v="29.999999999999993"/>
    <n v="450"/>
    <n v="13499.999999999996"/>
    <n v="8099.9999999999973"/>
  </r>
  <r>
    <x v="4"/>
    <n v="1185732"/>
    <x v="12"/>
    <x v="3"/>
    <s v="North Carolina"/>
    <s v="Charlotte"/>
    <s v="Online"/>
    <x v="2"/>
    <n v="35"/>
    <n v="575"/>
    <n v="20125"/>
    <n v="10062.5"/>
  </r>
  <r>
    <x v="1"/>
    <n v="1189833"/>
    <x v="12"/>
    <x v="1"/>
    <s v="Montana"/>
    <s v="Billings"/>
    <s v="Outlet"/>
    <x v="1"/>
    <n v="50"/>
    <n v="200"/>
    <n v="10000"/>
    <n v="3999.9999999999991"/>
  </r>
  <r>
    <x v="0"/>
    <n v="1128299"/>
    <x v="12"/>
    <x v="0"/>
    <s v="California"/>
    <s v="San Francisco"/>
    <s v="Outlet"/>
    <x v="0"/>
    <n v="49"/>
    <n v="263"/>
    <n v="12887"/>
    <n v="9794.119999999999"/>
  </r>
  <r>
    <x v="3"/>
    <n v="1128299"/>
    <x v="12"/>
    <x v="0"/>
    <s v="New Mexico"/>
    <s v="Albuquerque"/>
    <s v="Outlet"/>
    <x v="2"/>
    <n v="28"/>
    <n v="140"/>
    <n v="3920"/>
    <n v="2665.6"/>
  </r>
  <r>
    <x v="0"/>
    <n v="1128299"/>
    <x v="12"/>
    <x v="0"/>
    <s v="California"/>
    <s v="San Francisco"/>
    <s v="Online"/>
    <x v="0"/>
    <n v="59"/>
    <n v="245"/>
    <n v="14455"/>
    <n v="9540.2999999999993"/>
  </r>
  <r>
    <x v="3"/>
    <n v="1128299"/>
    <x v="12"/>
    <x v="0"/>
    <s v="New Mexico"/>
    <s v="Albuquerque"/>
    <s v="Online"/>
    <x v="2"/>
    <n v="36"/>
    <n v="117"/>
    <n v="4212"/>
    <n v="2569.3199999999997"/>
  </r>
  <r>
    <x v="3"/>
    <n v="1128299"/>
    <x v="12"/>
    <x v="0"/>
    <s v="New Mexico"/>
    <s v="Albuquerque"/>
    <s v="Outlet"/>
    <x v="1"/>
    <n v="35"/>
    <n v="75"/>
    <n v="2625"/>
    <n v="1575"/>
  </r>
  <r>
    <x v="3"/>
    <n v="1128299"/>
    <x v="12"/>
    <x v="0"/>
    <s v="New Mexico"/>
    <s v="Albuquerque"/>
    <s v="Outlet"/>
    <x v="3"/>
    <n v="32"/>
    <n v="140"/>
    <n v="4480"/>
    <n v="2598.4"/>
  </r>
  <r>
    <x v="3"/>
    <n v="1128299"/>
    <x v="12"/>
    <x v="0"/>
    <s v="New Mexico"/>
    <s v="Albuquerque"/>
    <s v="Outlet"/>
    <x v="5"/>
    <n v="28"/>
    <n v="99"/>
    <n v="2772"/>
    <n v="1607.76"/>
  </r>
  <r>
    <x v="3"/>
    <n v="1128299"/>
    <x v="12"/>
    <x v="0"/>
    <s v="New Mexico"/>
    <s v="Albuquerque"/>
    <s v="Online"/>
    <x v="3"/>
    <n v="38"/>
    <n v="126"/>
    <n v="4788"/>
    <n v="2633.4"/>
  </r>
  <r>
    <x v="3"/>
    <n v="1128299"/>
    <x v="12"/>
    <x v="0"/>
    <s v="New Mexico"/>
    <s v="Albuquerque"/>
    <s v="Online"/>
    <x v="1"/>
    <n v="41"/>
    <n v="63"/>
    <n v="2583"/>
    <n v="1420.65"/>
  </r>
  <r>
    <x v="3"/>
    <n v="1128299"/>
    <x v="12"/>
    <x v="0"/>
    <s v="New Mexico"/>
    <s v="Albuquerque"/>
    <s v="Outlet"/>
    <x v="4"/>
    <n v="24"/>
    <n v="149"/>
    <n v="3576"/>
    <n v="1931.04"/>
  </r>
  <r>
    <x v="3"/>
    <n v="1128299"/>
    <x v="12"/>
    <x v="0"/>
    <s v="New Mexico"/>
    <s v="Albuquerque"/>
    <s v="Outlet"/>
    <x v="0"/>
    <n v="27"/>
    <n v="140"/>
    <n v="3780"/>
    <n v="2003.3999999999999"/>
  </r>
  <r>
    <x v="3"/>
    <n v="1128299"/>
    <x v="12"/>
    <x v="0"/>
    <s v="New Mexico"/>
    <s v="Albuquerque"/>
    <s v="Online"/>
    <x v="5"/>
    <n v="39"/>
    <n v="75"/>
    <n v="2925"/>
    <n v="1462.5"/>
  </r>
  <r>
    <x v="4"/>
    <n v="1185732"/>
    <x v="12"/>
    <x v="3"/>
    <s v="North Carolina"/>
    <s v="Charlotte"/>
    <s v="Online"/>
    <x v="0"/>
    <n v="33"/>
    <n v="150"/>
    <n v="4950"/>
    <n v="2475"/>
  </r>
  <r>
    <x v="4"/>
    <n v="1185732"/>
    <x v="12"/>
    <x v="3"/>
    <s v="North Carolina"/>
    <s v="Charlotte"/>
    <s v="Online"/>
    <x v="1"/>
    <n v="44"/>
    <n v="128"/>
    <n v="5632"/>
    <n v="2816"/>
  </r>
  <r>
    <x v="3"/>
    <n v="1128299"/>
    <x v="12"/>
    <x v="0"/>
    <s v="New Mexico"/>
    <s v="Albuquerque"/>
    <s v="Online"/>
    <x v="4"/>
    <n v="29"/>
    <n v="131"/>
    <n v="3799"/>
    <n v="1861.51"/>
  </r>
  <r>
    <x v="3"/>
    <n v="1128299"/>
    <x v="12"/>
    <x v="0"/>
    <s v="New Mexico"/>
    <s v="Albuquerque"/>
    <s v="Online"/>
    <x v="0"/>
    <n v="39"/>
    <n v="135"/>
    <n v="5265"/>
    <n v="2579.85"/>
  </r>
  <r>
    <x v="4"/>
    <n v="1185732"/>
    <x v="12"/>
    <x v="3"/>
    <s v="North Carolina"/>
    <s v="Charlotte"/>
    <s v="Online"/>
    <x v="4"/>
    <n v="32"/>
    <n v="194"/>
    <n v="6208"/>
    <n v="2979.8399999999997"/>
  </r>
  <r>
    <x v="4"/>
    <n v="1185732"/>
    <x v="12"/>
    <x v="3"/>
    <s v="North Carolina"/>
    <s v="Charlotte"/>
    <s v="Online"/>
    <x v="5"/>
    <n v="29"/>
    <n v="123"/>
    <n v="3567"/>
    <n v="1712.1599999999999"/>
  </r>
  <r>
    <x v="4"/>
    <n v="1185732"/>
    <x v="12"/>
    <x v="3"/>
    <s v="North Carolina"/>
    <s v="Charlotte"/>
    <s v="Online"/>
    <x v="3"/>
    <n v="24"/>
    <n v="167"/>
    <n v="4008"/>
    <n v="1843.6799999999998"/>
  </r>
  <r>
    <x v="4"/>
    <n v="1185732"/>
    <x v="12"/>
    <x v="3"/>
    <s v="North Carolina"/>
    <s v="Charlotte"/>
    <s v="Online"/>
    <x v="2"/>
    <n v="32"/>
    <n v="173"/>
    <n v="5536"/>
    <n v="1937.6"/>
  </r>
  <r>
    <x v="1"/>
    <n v="1189833"/>
    <x v="12"/>
    <x v="1"/>
    <s v="Montana"/>
    <s v="Billings"/>
    <s v="Online"/>
    <x v="1"/>
    <n v="48"/>
    <n v="60"/>
    <n v="2880"/>
    <n v="835.19999999999982"/>
  </r>
  <r>
    <x v="1"/>
    <n v="1189833"/>
    <x v="13"/>
    <x v="1"/>
    <s v="Montana"/>
    <s v="Billings"/>
    <s v="Outlet"/>
    <x v="2"/>
    <n v="45"/>
    <n v="400"/>
    <n v="18000"/>
    <n v="13500"/>
  </r>
  <r>
    <x v="1"/>
    <n v="1185732"/>
    <x v="13"/>
    <x v="4"/>
    <s v="New York"/>
    <s v="Albany"/>
    <s v="In-store"/>
    <x v="2"/>
    <n v="40"/>
    <n v="600"/>
    <n v="24000"/>
    <n v="18000"/>
  </r>
  <r>
    <x v="1"/>
    <n v="1185732"/>
    <x v="13"/>
    <x v="4"/>
    <s v="New York"/>
    <s v="Albany"/>
    <s v="In-store"/>
    <x v="0"/>
    <n v="40"/>
    <n v="600"/>
    <n v="24000"/>
    <n v="16800"/>
  </r>
  <r>
    <x v="1"/>
    <n v="1185732"/>
    <x v="13"/>
    <x v="4"/>
    <s v="New York"/>
    <s v="Albany"/>
    <s v="In-store"/>
    <x v="1"/>
    <n v="50"/>
    <n v="500"/>
    <n v="25000"/>
    <n v="17500"/>
  </r>
  <r>
    <x v="1"/>
    <n v="1185732"/>
    <x v="13"/>
    <x v="4"/>
    <s v="New York"/>
    <s v="Albany"/>
    <s v="In-store"/>
    <x v="3"/>
    <n v="30.000000000000004"/>
    <n v="600"/>
    <n v="18000.000000000004"/>
    <n v="11700.000000000004"/>
  </r>
  <r>
    <x v="0"/>
    <n v="1128299"/>
    <x v="13"/>
    <x v="0"/>
    <s v="California"/>
    <s v="San Francisco"/>
    <s v="Outlet"/>
    <x v="3"/>
    <n v="65"/>
    <n v="825"/>
    <n v="53625"/>
    <n v="34856.25"/>
  </r>
  <r>
    <x v="1"/>
    <n v="1185732"/>
    <x v="13"/>
    <x v="4"/>
    <s v="New York"/>
    <s v="Albany"/>
    <s v="In-store"/>
    <x v="5"/>
    <n v="35"/>
    <n v="450"/>
    <n v="15750"/>
    <n v="10237.5"/>
  </r>
  <r>
    <x v="4"/>
    <n v="1185732"/>
    <x v="13"/>
    <x v="4"/>
    <s v="Massachusetts"/>
    <s v="Boston"/>
    <s v="In-store"/>
    <x v="3"/>
    <n v="35"/>
    <n v="325"/>
    <n v="11375"/>
    <n v="7393.75"/>
  </r>
  <r>
    <x v="4"/>
    <n v="1185732"/>
    <x v="13"/>
    <x v="4"/>
    <s v="Massachusetts"/>
    <s v="Boston"/>
    <s v="In-store"/>
    <x v="5"/>
    <n v="40"/>
    <n v="175"/>
    <n v="7000"/>
    <n v="4550"/>
  </r>
  <r>
    <x v="4"/>
    <n v="1185732"/>
    <x v="13"/>
    <x v="4"/>
    <s v="Massachusetts"/>
    <s v="Boston"/>
    <s v="In-store"/>
    <x v="1"/>
    <n v="55.000000000000007"/>
    <n v="225"/>
    <n v="12375.000000000002"/>
    <n v="8043.7500000000018"/>
  </r>
  <r>
    <x v="4"/>
    <n v="1185732"/>
    <x v="13"/>
    <x v="4"/>
    <s v="Massachusetts"/>
    <s v="Boston"/>
    <s v="In-store"/>
    <x v="2"/>
    <n v="45"/>
    <n v="325"/>
    <n v="14625"/>
    <n v="8775"/>
  </r>
  <r>
    <x v="4"/>
    <n v="1185732"/>
    <x v="13"/>
    <x v="4"/>
    <s v="Massachusetts"/>
    <s v="Boston"/>
    <s v="In-store"/>
    <x v="4"/>
    <n v="45"/>
    <n v="525"/>
    <n v="23625"/>
    <n v="12993.75"/>
  </r>
  <r>
    <x v="4"/>
    <n v="1185732"/>
    <x v="13"/>
    <x v="4"/>
    <s v="Massachusetts"/>
    <s v="Boston"/>
    <s v="In-store"/>
    <x v="0"/>
    <n v="45"/>
    <n v="325"/>
    <n v="14625"/>
    <n v="8043.75"/>
  </r>
  <r>
    <x v="1"/>
    <n v="1185732"/>
    <x v="13"/>
    <x v="4"/>
    <s v="New York"/>
    <s v="Albany"/>
    <s v="In-store"/>
    <x v="4"/>
    <n v="40"/>
    <n v="800"/>
    <n v="32000"/>
    <n v="16000"/>
  </r>
  <r>
    <x v="4"/>
    <n v="1185732"/>
    <x v="13"/>
    <x v="4"/>
    <s v="Massachusetts"/>
    <s v="Boston"/>
    <s v="Outlet"/>
    <x v="5"/>
    <n v="29"/>
    <n v="53"/>
    <n v="1537"/>
    <n v="937.57"/>
  </r>
  <r>
    <x v="1"/>
    <n v="1189833"/>
    <x v="13"/>
    <x v="1"/>
    <s v="Montana"/>
    <s v="Billings"/>
    <s v="Online"/>
    <x v="2"/>
    <n v="42"/>
    <n v="112"/>
    <n v="4704"/>
    <n v="2869.4399999999996"/>
  </r>
  <r>
    <x v="4"/>
    <n v="1185732"/>
    <x v="13"/>
    <x v="4"/>
    <s v="Massachusetts"/>
    <s v="Boston"/>
    <s v="Outlet"/>
    <x v="3"/>
    <n v="27"/>
    <n v="101"/>
    <n v="2727"/>
    <n v="1636.2"/>
  </r>
  <r>
    <x v="1"/>
    <n v="1185732"/>
    <x v="13"/>
    <x v="4"/>
    <s v="New York"/>
    <s v="Albany"/>
    <s v="Online"/>
    <x v="2"/>
    <n v="38"/>
    <n v="156"/>
    <n v="5928"/>
    <n v="3556.7999999999997"/>
  </r>
  <r>
    <x v="0"/>
    <n v="1128299"/>
    <x v="13"/>
    <x v="0"/>
    <s v="California"/>
    <s v="San Francisco"/>
    <s v="Outlet"/>
    <x v="3"/>
    <n v="46"/>
    <n v="264"/>
    <n v="12144"/>
    <n v="7286.4"/>
  </r>
  <r>
    <x v="4"/>
    <n v="1185732"/>
    <x v="13"/>
    <x v="4"/>
    <s v="Massachusetts"/>
    <s v="Boston"/>
    <s v="Outlet"/>
    <x v="1"/>
    <n v="37"/>
    <n v="70"/>
    <n v="2590"/>
    <n v="1528.1000000000001"/>
  </r>
  <r>
    <x v="4"/>
    <n v="1185732"/>
    <x v="13"/>
    <x v="4"/>
    <s v="Massachusetts"/>
    <s v="Boston"/>
    <s v="Outlet"/>
    <x v="2"/>
    <n v="34"/>
    <n v="104"/>
    <n v="3536"/>
    <n v="2015.5200000000002"/>
  </r>
  <r>
    <x v="1"/>
    <n v="1185732"/>
    <x v="13"/>
    <x v="4"/>
    <s v="New York"/>
    <s v="Albany"/>
    <s v="Online"/>
    <x v="0"/>
    <n v="39"/>
    <n v="156"/>
    <n v="6084"/>
    <n v="3346.2000000000003"/>
  </r>
  <r>
    <x v="1"/>
    <n v="1185732"/>
    <x v="13"/>
    <x v="4"/>
    <s v="New York"/>
    <s v="Albany"/>
    <s v="Online"/>
    <x v="1"/>
    <n v="49"/>
    <n v="145"/>
    <n v="7105"/>
    <n v="3907.7500000000005"/>
  </r>
  <r>
    <x v="4"/>
    <n v="1185732"/>
    <x v="13"/>
    <x v="4"/>
    <s v="Massachusetts"/>
    <s v="Boston"/>
    <s v="Online"/>
    <x v="3"/>
    <n v="32"/>
    <n v="91"/>
    <n v="2912"/>
    <n v="1601.6000000000001"/>
  </r>
  <r>
    <x v="0"/>
    <n v="1128299"/>
    <x v="13"/>
    <x v="0"/>
    <s v="California"/>
    <s v="San Francisco"/>
    <s v="Online"/>
    <x v="3"/>
    <n v="62"/>
    <n v="248"/>
    <n v="15376"/>
    <n v="8303.0400000000009"/>
  </r>
  <r>
    <x v="1"/>
    <n v="1185732"/>
    <x v="13"/>
    <x v="4"/>
    <s v="New York"/>
    <s v="Albany"/>
    <s v="Online"/>
    <x v="5"/>
    <n v="34"/>
    <n v="131"/>
    <n v="4454"/>
    <n v="2360.6200000000003"/>
  </r>
  <r>
    <x v="4"/>
    <n v="1185732"/>
    <x v="13"/>
    <x v="4"/>
    <s v="Massachusetts"/>
    <s v="Boston"/>
    <s v="Online"/>
    <x v="1"/>
    <n v="52"/>
    <n v="68"/>
    <n v="3536"/>
    <n v="1874.0800000000002"/>
  </r>
  <r>
    <x v="1"/>
    <n v="1185732"/>
    <x v="13"/>
    <x v="4"/>
    <s v="New York"/>
    <s v="Albany"/>
    <s v="Online"/>
    <x v="3"/>
    <n v="29"/>
    <n v="168"/>
    <n v="4872"/>
    <n v="2533.44"/>
  </r>
  <r>
    <x v="4"/>
    <n v="1185732"/>
    <x v="13"/>
    <x v="4"/>
    <s v="Massachusetts"/>
    <s v="Boston"/>
    <s v="Online"/>
    <x v="5"/>
    <n v="39"/>
    <n v="44"/>
    <n v="1716"/>
    <n v="875.16"/>
  </r>
  <r>
    <x v="4"/>
    <n v="1185732"/>
    <x v="13"/>
    <x v="4"/>
    <s v="Massachusetts"/>
    <s v="Boston"/>
    <s v="Outlet"/>
    <x v="0"/>
    <n v="36"/>
    <n v="107"/>
    <n v="3852"/>
    <n v="1964.52"/>
  </r>
  <r>
    <x v="4"/>
    <n v="1185732"/>
    <x v="13"/>
    <x v="4"/>
    <s v="Massachusetts"/>
    <s v="Boston"/>
    <s v="Online"/>
    <x v="2"/>
    <n v="44"/>
    <n v="98"/>
    <n v="4312"/>
    <n v="2112.88"/>
  </r>
  <r>
    <x v="4"/>
    <n v="1185732"/>
    <x v="13"/>
    <x v="4"/>
    <s v="Massachusetts"/>
    <s v="Boston"/>
    <s v="Outlet"/>
    <x v="4"/>
    <n v="35"/>
    <n v="179"/>
    <n v="6265"/>
    <n v="3007.2"/>
  </r>
  <r>
    <x v="4"/>
    <n v="1185732"/>
    <x v="13"/>
    <x v="4"/>
    <s v="Massachusetts"/>
    <s v="Boston"/>
    <s v="Online"/>
    <x v="4"/>
    <n v="44"/>
    <n v="152"/>
    <n v="6688"/>
    <n v="3009.6"/>
  </r>
  <r>
    <x v="4"/>
    <n v="1185732"/>
    <x v="13"/>
    <x v="4"/>
    <s v="Massachusetts"/>
    <s v="Boston"/>
    <s v="Online"/>
    <x v="0"/>
    <n v="42"/>
    <n v="94"/>
    <n v="3948"/>
    <n v="1579.2000000000003"/>
  </r>
  <r>
    <x v="1"/>
    <n v="1185732"/>
    <x v="13"/>
    <x v="4"/>
    <s v="New York"/>
    <s v="Albany"/>
    <s v="Online"/>
    <x v="4"/>
    <n v="39"/>
    <n v="216"/>
    <n v="8424"/>
    <n v="3116.88"/>
  </r>
  <r>
    <x v="0"/>
    <n v="1128299"/>
    <x v="14"/>
    <x v="0"/>
    <s v="California"/>
    <s v="San Francisco"/>
    <s v="Outlet"/>
    <x v="5"/>
    <n v="60"/>
    <n v="725"/>
    <n v="43500"/>
    <n v="30450"/>
  </r>
  <r>
    <x v="1"/>
    <n v="1189833"/>
    <x v="14"/>
    <x v="1"/>
    <s v="Montana"/>
    <s v="Billings"/>
    <s v="Outlet"/>
    <x v="4"/>
    <n v="45"/>
    <n v="575"/>
    <n v="25875"/>
    <n v="14231.25"/>
  </r>
  <r>
    <x v="0"/>
    <n v="1128299"/>
    <x v="14"/>
    <x v="0"/>
    <s v="California"/>
    <s v="San Francisco"/>
    <s v="Outlet"/>
    <x v="5"/>
    <n v="46"/>
    <n v="247"/>
    <n v="11362"/>
    <n v="7271.68"/>
  </r>
  <r>
    <x v="0"/>
    <n v="1128299"/>
    <x v="14"/>
    <x v="0"/>
    <s v="California"/>
    <s v="San Francisco"/>
    <s v="Online"/>
    <x v="5"/>
    <n v="55"/>
    <n v="218"/>
    <n v="11990"/>
    <n v="7194"/>
  </r>
  <r>
    <x v="1"/>
    <n v="1189833"/>
    <x v="14"/>
    <x v="1"/>
    <s v="Montana"/>
    <s v="Billings"/>
    <s v="Online"/>
    <x v="4"/>
    <n v="44"/>
    <n v="161"/>
    <n v="7084"/>
    <n v="2904.4399999999996"/>
  </r>
  <r>
    <x v="1"/>
    <n v="1189833"/>
    <x v="15"/>
    <x v="1"/>
    <s v="Montana"/>
    <s v="Billings"/>
    <s v="Outlet"/>
    <x v="0"/>
    <n v="45"/>
    <n v="375"/>
    <n v="16875"/>
    <n v="11812.5"/>
  </r>
  <r>
    <x v="1"/>
    <n v="1197831"/>
    <x v="15"/>
    <x v="2"/>
    <s v="Oklahoma"/>
    <s v="Oklahoma City"/>
    <s v="Online"/>
    <x v="0"/>
    <n v="25.000000000000007"/>
    <n v="350"/>
    <n v="8750.0000000000018"/>
    <n v="5687.5000000000018"/>
  </r>
  <r>
    <x v="1"/>
    <n v="1197831"/>
    <x v="15"/>
    <x v="2"/>
    <s v="Oklahoma"/>
    <s v="Oklahoma City"/>
    <s v="Online"/>
    <x v="2"/>
    <n v="25.000000000000007"/>
    <n v="350"/>
    <n v="8750.0000000000018"/>
    <n v="5687.5000000000018"/>
  </r>
  <r>
    <x v="1"/>
    <n v="1197831"/>
    <x v="15"/>
    <x v="2"/>
    <s v="Oklahoma"/>
    <s v="Oklahoma City"/>
    <s v="Online"/>
    <x v="4"/>
    <n v="25.000000000000007"/>
    <n v="550"/>
    <n v="13750.000000000004"/>
    <n v="8937.5000000000036"/>
  </r>
  <r>
    <x v="1"/>
    <n v="1197831"/>
    <x v="15"/>
    <x v="2"/>
    <s v="Oklahoma"/>
    <s v="Oklahoma City"/>
    <s v="Online"/>
    <x v="5"/>
    <n v="20"/>
    <n v="200"/>
    <n v="4000"/>
    <n v="2600"/>
  </r>
  <r>
    <x v="1"/>
    <n v="1197831"/>
    <x v="15"/>
    <x v="2"/>
    <s v="Oklahoma"/>
    <s v="Oklahoma City"/>
    <s v="Online"/>
    <x v="1"/>
    <n v="35"/>
    <n v="250"/>
    <n v="8750"/>
    <n v="5687.5"/>
  </r>
  <r>
    <x v="1"/>
    <n v="1197831"/>
    <x v="15"/>
    <x v="2"/>
    <s v="Oklahoma"/>
    <s v="Oklahoma City"/>
    <s v="Online"/>
    <x v="3"/>
    <n v="15.000000000000007"/>
    <n v="350"/>
    <n v="5250.0000000000027"/>
    <n v="3412.5000000000014"/>
  </r>
  <r>
    <x v="0"/>
    <n v="1128299"/>
    <x v="15"/>
    <x v="0"/>
    <s v="California"/>
    <s v="San Francisco"/>
    <s v="Outlet"/>
    <x v="1"/>
    <n v="65"/>
    <n v="775"/>
    <n v="50375"/>
    <n v="25187.5"/>
  </r>
  <r>
    <x v="1"/>
    <n v="1197831"/>
    <x v="15"/>
    <x v="2"/>
    <s v="Oklahoma"/>
    <s v="Oklahoma City"/>
    <s v="Outlet"/>
    <x v="2"/>
    <n v="17"/>
    <n v="119"/>
    <n v="2023"/>
    <n v="1274.49"/>
  </r>
  <r>
    <x v="1"/>
    <n v="1197831"/>
    <x v="15"/>
    <x v="2"/>
    <s v="Oklahoma"/>
    <s v="Oklahoma City"/>
    <s v="Outlet"/>
    <x v="4"/>
    <n v="17"/>
    <n v="176"/>
    <n v="2992"/>
    <n v="1855.04"/>
  </r>
  <r>
    <x v="1"/>
    <n v="1197831"/>
    <x v="15"/>
    <x v="2"/>
    <s v="Oklahoma"/>
    <s v="Oklahoma City"/>
    <s v="Outlet"/>
    <x v="0"/>
    <n v="16"/>
    <n v="105"/>
    <n v="1680"/>
    <n v="1041.5999999999999"/>
  </r>
  <r>
    <x v="1"/>
    <n v="1197831"/>
    <x v="15"/>
    <x v="2"/>
    <s v="Oklahoma"/>
    <s v="Oklahoma City"/>
    <s v="Outlet"/>
    <x v="3"/>
    <n v="12"/>
    <n v="116"/>
    <n v="1392"/>
    <n v="835.2"/>
  </r>
  <r>
    <x v="1"/>
    <n v="1197831"/>
    <x v="15"/>
    <x v="2"/>
    <s v="Oklahoma"/>
    <s v="Oklahoma City"/>
    <s v="Outlet"/>
    <x v="5"/>
    <n v="16"/>
    <n v="70"/>
    <n v="1120"/>
    <n v="672"/>
  </r>
  <r>
    <x v="1"/>
    <n v="1197831"/>
    <x v="15"/>
    <x v="2"/>
    <s v="Oklahoma"/>
    <s v="Oklahoma City"/>
    <s v="Outlet"/>
    <x v="1"/>
    <n v="28"/>
    <n v="88"/>
    <n v="2464"/>
    <n v="1453.7600000000002"/>
  </r>
  <r>
    <x v="1"/>
    <n v="1189833"/>
    <x v="15"/>
    <x v="1"/>
    <s v="Montana"/>
    <s v="Billings"/>
    <s v="Online"/>
    <x v="0"/>
    <n v="43"/>
    <n v="101"/>
    <n v="4343"/>
    <n v="2388.65"/>
  </r>
  <r>
    <x v="1"/>
    <n v="1197831"/>
    <x v="15"/>
    <x v="2"/>
    <s v="Oklahoma"/>
    <s v="Oklahoma City"/>
    <s v="Online"/>
    <x v="1"/>
    <n v="33"/>
    <n v="65"/>
    <n v="2145"/>
    <n v="1115.4000000000001"/>
  </r>
  <r>
    <x v="1"/>
    <n v="1197831"/>
    <x v="15"/>
    <x v="2"/>
    <s v="Oklahoma"/>
    <s v="Oklahoma City"/>
    <s v="Online"/>
    <x v="3"/>
    <n v="14"/>
    <n v="88"/>
    <n v="1232"/>
    <n v="640.64"/>
  </r>
  <r>
    <x v="1"/>
    <n v="1197831"/>
    <x v="15"/>
    <x v="2"/>
    <s v="Oklahoma"/>
    <s v="Oklahoma City"/>
    <s v="Online"/>
    <x v="4"/>
    <n v="23"/>
    <n v="149"/>
    <n v="3427"/>
    <n v="1747.77"/>
  </r>
  <r>
    <x v="1"/>
    <n v="1197831"/>
    <x v="15"/>
    <x v="2"/>
    <s v="Oklahoma"/>
    <s v="Oklahoma City"/>
    <s v="Online"/>
    <x v="0"/>
    <n v="23"/>
    <n v="91"/>
    <n v="2093"/>
    <n v="1067.43"/>
  </r>
  <r>
    <x v="1"/>
    <n v="1197831"/>
    <x v="15"/>
    <x v="2"/>
    <s v="Oklahoma"/>
    <s v="Oklahoma City"/>
    <s v="Online"/>
    <x v="5"/>
    <n v="19"/>
    <n v="56"/>
    <n v="1064"/>
    <n v="542.64"/>
  </r>
  <r>
    <x v="1"/>
    <n v="1197831"/>
    <x v="15"/>
    <x v="2"/>
    <s v="Oklahoma"/>
    <s v="Oklahoma City"/>
    <s v="Online"/>
    <x v="2"/>
    <n v="23"/>
    <n v="102"/>
    <n v="2346"/>
    <n v="1173"/>
  </r>
  <r>
    <x v="0"/>
    <n v="1128299"/>
    <x v="15"/>
    <x v="0"/>
    <s v="California"/>
    <s v="San Francisco"/>
    <s v="Outlet"/>
    <x v="1"/>
    <n v="44"/>
    <n v="240"/>
    <n v="10560"/>
    <n v="4646.3999999999996"/>
  </r>
  <r>
    <x v="0"/>
    <n v="1128299"/>
    <x v="15"/>
    <x v="0"/>
    <s v="California"/>
    <s v="San Francisco"/>
    <s v="Online"/>
    <x v="1"/>
    <n v="64"/>
    <n v="233"/>
    <n v="14912"/>
    <n v="5368.32"/>
  </r>
  <r>
    <x v="0"/>
    <n v="1128299"/>
    <x v="16"/>
    <x v="0"/>
    <s v="California"/>
    <s v="San Francisco"/>
    <s v="Outlet"/>
    <x v="2"/>
    <n v="80"/>
    <n v="775"/>
    <n v="62000"/>
    <n v="52700"/>
  </r>
  <r>
    <x v="3"/>
    <n v="1128299"/>
    <x v="16"/>
    <x v="0"/>
    <s v="Hawaii"/>
    <s v="Honolulu"/>
    <s v="Outlet"/>
    <x v="1"/>
    <n v="55.000000000000007"/>
    <n v="225"/>
    <n v="12375.000000000002"/>
    <n v="9900.0000000000018"/>
  </r>
  <r>
    <x v="3"/>
    <n v="1185732"/>
    <x v="16"/>
    <x v="4"/>
    <s v="Rhode Island"/>
    <s v="Providence"/>
    <s v="In-store"/>
    <x v="3"/>
    <n v="30.000000000000004"/>
    <n v="250"/>
    <n v="7500.0000000000009"/>
    <n v="5625.0000000000018"/>
  </r>
  <r>
    <x v="3"/>
    <n v="1128299"/>
    <x v="16"/>
    <x v="0"/>
    <s v="Hawaii"/>
    <s v="Honolulu"/>
    <s v="Outlet"/>
    <x v="0"/>
    <n v="50"/>
    <n v="425"/>
    <n v="21250"/>
    <n v="15937.5"/>
  </r>
  <r>
    <x v="3"/>
    <n v="1185732"/>
    <x v="16"/>
    <x v="4"/>
    <s v="Rhode Island"/>
    <s v="Providence"/>
    <s v="In-store"/>
    <x v="5"/>
    <n v="35"/>
    <n v="100"/>
    <n v="3500"/>
    <n v="2625"/>
  </r>
  <r>
    <x v="3"/>
    <n v="1185732"/>
    <x v="16"/>
    <x v="4"/>
    <s v="Rhode Island"/>
    <s v="Providence"/>
    <s v="In-store"/>
    <x v="1"/>
    <n v="50"/>
    <n v="150"/>
    <n v="7500"/>
    <n v="5625"/>
  </r>
  <r>
    <x v="3"/>
    <n v="1128299"/>
    <x v="16"/>
    <x v="0"/>
    <s v="Hawaii"/>
    <s v="Honolulu"/>
    <s v="Outlet"/>
    <x v="4"/>
    <n v="40"/>
    <n v="425"/>
    <n v="17000"/>
    <n v="11900"/>
  </r>
  <r>
    <x v="3"/>
    <n v="1128299"/>
    <x v="16"/>
    <x v="0"/>
    <s v="Hawaii"/>
    <s v="Honolulu"/>
    <s v="Outlet"/>
    <x v="3"/>
    <n v="50"/>
    <n v="425"/>
    <n v="21250"/>
    <n v="14875"/>
  </r>
  <r>
    <x v="3"/>
    <n v="1128299"/>
    <x v="16"/>
    <x v="0"/>
    <s v="Hawaii"/>
    <s v="Honolulu"/>
    <s v="Outlet"/>
    <x v="5"/>
    <n v="50"/>
    <n v="275"/>
    <n v="13750"/>
    <n v="9625"/>
  </r>
  <r>
    <x v="2"/>
    <n v="1185732"/>
    <x v="16"/>
    <x v="4"/>
    <s v="Maryland"/>
    <s v="Baltimore"/>
    <s v="In-store"/>
    <x v="1"/>
    <n v="50"/>
    <n v="225"/>
    <n v="11250"/>
    <n v="7875"/>
  </r>
  <r>
    <x v="3"/>
    <n v="1185732"/>
    <x v="16"/>
    <x v="4"/>
    <s v="Rhode Island"/>
    <s v="Providence"/>
    <s v="In-store"/>
    <x v="4"/>
    <n v="40"/>
    <n v="450"/>
    <n v="18000"/>
    <n v="12600"/>
  </r>
  <r>
    <x v="3"/>
    <n v="1185732"/>
    <x v="16"/>
    <x v="4"/>
    <s v="Rhode Island"/>
    <s v="Providence"/>
    <s v="In-store"/>
    <x v="0"/>
    <n v="40"/>
    <n v="250"/>
    <n v="10000"/>
    <n v="7000"/>
  </r>
  <r>
    <x v="3"/>
    <n v="1185732"/>
    <x v="16"/>
    <x v="4"/>
    <s v="Rhode Island"/>
    <s v="Providence"/>
    <s v="In-store"/>
    <x v="2"/>
    <n v="40"/>
    <n v="250"/>
    <n v="10000"/>
    <n v="7000"/>
  </r>
  <r>
    <x v="0"/>
    <n v="1128299"/>
    <x v="16"/>
    <x v="0"/>
    <s v="Oregon"/>
    <s v="Portland"/>
    <s v="In-store"/>
    <x v="2"/>
    <n v="45"/>
    <n v="450"/>
    <n v="20250"/>
    <n v="13162.5"/>
  </r>
  <r>
    <x v="2"/>
    <n v="1185732"/>
    <x v="16"/>
    <x v="4"/>
    <s v="Maryland"/>
    <s v="Baltimore"/>
    <s v="In-store"/>
    <x v="4"/>
    <n v="40"/>
    <n v="525"/>
    <n v="21000"/>
    <n v="13650"/>
  </r>
  <r>
    <x v="2"/>
    <n v="1185732"/>
    <x v="16"/>
    <x v="4"/>
    <s v="Maryland"/>
    <s v="Baltimore"/>
    <s v="In-store"/>
    <x v="0"/>
    <n v="40"/>
    <n v="325"/>
    <n v="13000"/>
    <n v="8450"/>
  </r>
  <r>
    <x v="0"/>
    <n v="1128299"/>
    <x v="16"/>
    <x v="0"/>
    <s v="Oregon"/>
    <s v="Portland"/>
    <s v="In-store"/>
    <x v="4"/>
    <n v="35"/>
    <n v="400"/>
    <n v="14000"/>
    <n v="8400"/>
  </r>
  <r>
    <x v="0"/>
    <n v="1128299"/>
    <x v="16"/>
    <x v="0"/>
    <s v="Oregon"/>
    <s v="Portland"/>
    <s v="In-store"/>
    <x v="0"/>
    <n v="45"/>
    <n v="400"/>
    <n v="18000"/>
    <n v="10800"/>
  </r>
  <r>
    <x v="0"/>
    <n v="1128299"/>
    <x v="16"/>
    <x v="0"/>
    <s v="Oregon"/>
    <s v="Portland"/>
    <s v="In-store"/>
    <x v="3"/>
    <n v="45"/>
    <n v="400"/>
    <n v="18000"/>
    <n v="10800"/>
  </r>
  <r>
    <x v="0"/>
    <n v="1128299"/>
    <x v="16"/>
    <x v="0"/>
    <s v="Oregon"/>
    <s v="Portland"/>
    <s v="In-store"/>
    <x v="5"/>
    <n v="45"/>
    <n v="250"/>
    <n v="11250"/>
    <n v="6750"/>
  </r>
  <r>
    <x v="0"/>
    <n v="1185732"/>
    <x v="16"/>
    <x v="1"/>
    <s v="Indiana"/>
    <s v="Indianapolis"/>
    <s v="In-store"/>
    <x v="4"/>
    <n v="35"/>
    <n v="500"/>
    <n v="17500"/>
    <n v="10500"/>
  </r>
  <r>
    <x v="0"/>
    <n v="1185732"/>
    <x v="16"/>
    <x v="1"/>
    <s v="Indiana"/>
    <s v="Indianapolis"/>
    <s v="In-store"/>
    <x v="0"/>
    <n v="35"/>
    <n v="300"/>
    <n v="10500"/>
    <n v="6300"/>
  </r>
  <r>
    <x v="0"/>
    <n v="1185732"/>
    <x v="16"/>
    <x v="1"/>
    <s v="Indiana"/>
    <s v="Indianapolis"/>
    <s v="In-store"/>
    <x v="3"/>
    <n v="25.000000000000007"/>
    <n v="300"/>
    <n v="7500.0000000000018"/>
    <n v="4500.0000000000009"/>
  </r>
  <r>
    <x v="0"/>
    <n v="1185732"/>
    <x v="16"/>
    <x v="1"/>
    <s v="Indiana"/>
    <s v="Indianapolis"/>
    <s v="In-store"/>
    <x v="5"/>
    <n v="30.000000000000004"/>
    <n v="150"/>
    <n v="4500.0000000000009"/>
    <n v="2700.0000000000005"/>
  </r>
  <r>
    <x v="0"/>
    <n v="1185732"/>
    <x v="16"/>
    <x v="1"/>
    <s v="Indiana"/>
    <s v="Indianapolis"/>
    <s v="In-store"/>
    <x v="1"/>
    <n v="44.999999999999993"/>
    <n v="200"/>
    <n v="8999.9999999999982"/>
    <n v="5399.9999999999991"/>
  </r>
  <r>
    <x v="0"/>
    <n v="1185732"/>
    <x v="16"/>
    <x v="1"/>
    <s v="Indiana"/>
    <s v="Indianapolis"/>
    <s v="In-store"/>
    <x v="2"/>
    <n v="35"/>
    <n v="300"/>
    <n v="10500"/>
    <n v="6300"/>
  </r>
  <r>
    <x v="2"/>
    <n v="1185732"/>
    <x v="16"/>
    <x v="4"/>
    <s v="Maryland"/>
    <s v="Baltimore"/>
    <s v="In-store"/>
    <x v="3"/>
    <n v="30.000000000000004"/>
    <n v="325"/>
    <n v="9750.0000000000018"/>
    <n v="5850.0000000000009"/>
  </r>
  <r>
    <x v="2"/>
    <n v="1185732"/>
    <x v="16"/>
    <x v="4"/>
    <s v="Maryland"/>
    <s v="Baltimore"/>
    <s v="In-store"/>
    <x v="5"/>
    <n v="35"/>
    <n v="175"/>
    <n v="6125"/>
    <n v="3675"/>
  </r>
  <r>
    <x v="2"/>
    <n v="1185732"/>
    <x v="16"/>
    <x v="4"/>
    <s v="Maryland"/>
    <s v="Baltimore"/>
    <s v="In-store"/>
    <x v="2"/>
    <n v="40"/>
    <n v="325"/>
    <n v="13000"/>
    <n v="7800"/>
  </r>
  <r>
    <x v="1"/>
    <n v="1189833"/>
    <x v="16"/>
    <x v="1"/>
    <s v="Montana"/>
    <s v="Billings"/>
    <s v="Outlet"/>
    <x v="3"/>
    <n v="45"/>
    <n v="400"/>
    <n v="18000"/>
    <n v="9900"/>
  </r>
  <r>
    <x v="3"/>
    <n v="1128299"/>
    <x v="16"/>
    <x v="0"/>
    <s v="Hawaii"/>
    <s v="Honolulu"/>
    <s v="Outlet"/>
    <x v="2"/>
    <n v="50"/>
    <n v="475"/>
    <n v="23750"/>
    <n v="13062.5"/>
  </r>
  <r>
    <x v="0"/>
    <n v="1128299"/>
    <x v="16"/>
    <x v="0"/>
    <s v="Oregon"/>
    <s v="Portland"/>
    <s v="In-store"/>
    <x v="1"/>
    <n v="50.000000000000014"/>
    <n v="200"/>
    <n v="10000.000000000004"/>
    <n v="5500.0000000000018"/>
  </r>
  <r>
    <x v="0"/>
    <n v="1128299"/>
    <x v="16"/>
    <x v="0"/>
    <s v="California"/>
    <s v="San Francisco"/>
    <s v="Outlet"/>
    <x v="2"/>
    <n v="56"/>
    <n v="264"/>
    <n v="14784"/>
    <n v="11975.039999999999"/>
  </r>
  <r>
    <x v="3"/>
    <n v="1185732"/>
    <x v="16"/>
    <x v="4"/>
    <s v="Rhode Island"/>
    <s v="Providence"/>
    <s v="Outlet"/>
    <x v="3"/>
    <n v="22"/>
    <n v="75"/>
    <n v="1650"/>
    <n v="1171.5"/>
  </r>
  <r>
    <x v="0"/>
    <n v="1128299"/>
    <x v="16"/>
    <x v="0"/>
    <s v="California"/>
    <s v="San Francisco"/>
    <s v="Online"/>
    <x v="2"/>
    <n v="72"/>
    <n v="233"/>
    <n v="16776"/>
    <n v="11910.96"/>
  </r>
  <r>
    <x v="3"/>
    <n v="1128299"/>
    <x v="16"/>
    <x v="0"/>
    <s v="Hawaii"/>
    <s v="Honolulu"/>
    <s v="Online"/>
    <x v="1"/>
    <n v="54"/>
    <n v="68"/>
    <n v="3672"/>
    <n v="2570.3999999999996"/>
  </r>
  <r>
    <x v="3"/>
    <n v="1185732"/>
    <x v="16"/>
    <x v="4"/>
    <s v="Rhode Island"/>
    <s v="Providence"/>
    <s v="Outlet"/>
    <x v="5"/>
    <n v="25"/>
    <n v="33"/>
    <n v="825"/>
    <n v="569.25"/>
  </r>
  <r>
    <x v="3"/>
    <n v="1185732"/>
    <x v="16"/>
    <x v="4"/>
    <s v="Rhode Island"/>
    <s v="Providence"/>
    <s v="Outlet"/>
    <x v="1"/>
    <n v="39"/>
    <n v="47"/>
    <n v="1833"/>
    <n v="1246.44"/>
  </r>
  <r>
    <x v="3"/>
    <n v="1185732"/>
    <x v="16"/>
    <x v="4"/>
    <s v="Rhode Island"/>
    <s v="Providence"/>
    <s v="Outlet"/>
    <x v="4"/>
    <n v="28"/>
    <n v="140"/>
    <n v="3920"/>
    <n v="2626.4"/>
  </r>
  <r>
    <x v="3"/>
    <n v="1185732"/>
    <x v="16"/>
    <x v="4"/>
    <s v="Rhode Island"/>
    <s v="Providence"/>
    <s v="Outlet"/>
    <x v="0"/>
    <n v="28"/>
    <n v="88"/>
    <n v="2464"/>
    <n v="1626.2400000000002"/>
  </r>
  <r>
    <x v="3"/>
    <n v="1185732"/>
    <x v="16"/>
    <x v="4"/>
    <s v="Rhode Island"/>
    <s v="Providence"/>
    <s v="Outlet"/>
    <x v="2"/>
    <n v="26"/>
    <n v="83"/>
    <n v="2158"/>
    <n v="1424.2800000000002"/>
  </r>
  <r>
    <x v="3"/>
    <n v="1128299"/>
    <x v="16"/>
    <x v="0"/>
    <s v="Hawaii"/>
    <s v="Honolulu"/>
    <s v="Online"/>
    <x v="0"/>
    <n v="48"/>
    <n v="123"/>
    <n v="5904"/>
    <n v="3837.6"/>
  </r>
  <r>
    <x v="3"/>
    <n v="1185732"/>
    <x v="16"/>
    <x v="4"/>
    <s v="Rhode Island"/>
    <s v="Providence"/>
    <s v="Online"/>
    <x v="3"/>
    <n v="27"/>
    <n v="73"/>
    <n v="1971"/>
    <n v="1261.44"/>
  </r>
  <r>
    <x v="3"/>
    <n v="1185732"/>
    <x v="16"/>
    <x v="4"/>
    <s v="Rhode Island"/>
    <s v="Providence"/>
    <s v="Online"/>
    <x v="5"/>
    <n v="34"/>
    <n v="26"/>
    <n v="884"/>
    <n v="548.07999999999993"/>
  </r>
  <r>
    <x v="3"/>
    <n v="1185732"/>
    <x v="16"/>
    <x v="4"/>
    <s v="Rhode Island"/>
    <s v="Providence"/>
    <s v="Online"/>
    <x v="1"/>
    <n v="48"/>
    <n v="41"/>
    <n v="1968"/>
    <n v="1200.48"/>
  </r>
  <r>
    <x v="0"/>
    <n v="1128299"/>
    <x v="16"/>
    <x v="0"/>
    <s v="Oregon"/>
    <s v="Portland"/>
    <s v="Outlet"/>
    <x v="2"/>
    <n v="34"/>
    <n v="140"/>
    <n v="4760"/>
    <n v="2856"/>
  </r>
  <r>
    <x v="3"/>
    <n v="1128299"/>
    <x v="16"/>
    <x v="0"/>
    <s v="Hawaii"/>
    <s v="Honolulu"/>
    <s v="Online"/>
    <x v="3"/>
    <n v="45"/>
    <n v="123"/>
    <n v="5535"/>
    <n v="3265.65"/>
  </r>
  <r>
    <x v="3"/>
    <n v="1185732"/>
    <x v="16"/>
    <x v="4"/>
    <s v="Rhode Island"/>
    <s v="Providence"/>
    <s v="Online"/>
    <x v="2"/>
    <n v="38"/>
    <n v="70"/>
    <n v="2660"/>
    <n v="1569.4"/>
  </r>
  <r>
    <x v="2"/>
    <n v="1185732"/>
    <x v="16"/>
    <x v="4"/>
    <s v="Maryland"/>
    <s v="Baltimore"/>
    <s v="Online"/>
    <x v="1"/>
    <n v="49"/>
    <n v="59"/>
    <n v="2891"/>
    <n v="1676.78"/>
  </r>
  <r>
    <x v="0"/>
    <n v="1128299"/>
    <x v="16"/>
    <x v="0"/>
    <s v="Oregon"/>
    <s v="Portland"/>
    <s v="Outlet"/>
    <x v="4"/>
    <n v="28"/>
    <n v="120"/>
    <n v="3360"/>
    <n v="1948.8"/>
  </r>
  <r>
    <x v="0"/>
    <n v="1128299"/>
    <x v="16"/>
    <x v="0"/>
    <s v="Oregon"/>
    <s v="Portland"/>
    <s v="Outlet"/>
    <x v="3"/>
    <n v="33"/>
    <n v="128"/>
    <n v="4224"/>
    <n v="2407.6800000000003"/>
  </r>
  <r>
    <x v="3"/>
    <n v="1128299"/>
    <x v="16"/>
    <x v="0"/>
    <s v="Hawaii"/>
    <s v="Honolulu"/>
    <s v="Online"/>
    <x v="4"/>
    <n v="38"/>
    <n v="115"/>
    <n v="4370"/>
    <n v="2490.9"/>
  </r>
  <r>
    <x v="3"/>
    <n v="1185732"/>
    <x v="16"/>
    <x v="4"/>
    <s v="Rhode Island"/>
    <s v="Providence"/>
    <s v="Online"/>
    <x v="4"/>
    <n v="38"/>
    <n v="126"/>
    <n v="4788"/>
    <n v="2729.16"/>
  </r>
  <r>
    <x v="0"/>
    <n v="1128299"/>
    <x v="16"/>
    <x v="0"/>
    <s v="Oregon"/>
    <s v="Portland"/>
    <s v="Outlet"/>
    <x v="0"/>
    <n v="31"/>
    <n v="124"/>
    <n v="3844"/>
    <n v="2152.6400000000003"/>
  </r>
  <r>
    <x v="3"/>
    <n v="1185732"/>
    <x v="16"/>
    <x v="4"/>
    <s v="Rhode Island"/>
    <s v="Providence"/>
    <s v="Online"/>
    <x v="0"/>
    <n v="38"/>
    <n v="68"/>
    <n v="2584"/>
    <n v="1447.04"/>
  </r>
  <r>
    <x v="3"/>
    <n v="1128299"/>
    <x v="16"/>
    <x v="0"/>
    <s v="Hawaii"/>
    <s v="Honolulu"/>
    <s v="Online"/>
    <x v="5"/>
    <n v="47"/>
    <n v="77"/>
    <n v="3619"/>
    <n v="1990.4500000000003"/>
  </r>
  <r>
    <x v="2"/>
    <n v="1185732"/>
    <x v="16"/>
    <x v="4"/>
    <s v="Maryland"/>
    <s v="Baltimore"/>
    <s v="Online"/>
    <x v="4"/>
    <n v="36"/>
    <n v="137"/>
    <n v="4932"/>
    <n v="2712.6000000000004"/>
  </r>
  <r>
    <x v="0"/>
    <n v="1128299"/>
    <x v="16"/>
    <x v="0"/>
    <s v="Oregon"/>
    <s v="Portland"/>
    <s v="Outlet"/>
    <x v="5"/>
    <n v="34"/>
    <n v="78"/>
    <n v="2652"/>
    <n v="1432.0800000000002"/>
  </r>
  <r>
    <x v="0"/>
    <n v="1128299"/>
    <x v="16"/>
    <x v="0"/>
    <s v="Oregon"/>
    <s v="Portland"/>
    <s v="Online"/>
    <x v="2"/>
    <n v="41"/>
    <n v="122"/>
    <n v="5002"/>
    <n v="2601.04"/>
  </r>
  <r>
    <x v="0"/>
    <n v="1185732"/>
    <x v="16"/>
    <x v="1"/>
    <s v="Indiana"/>
    <s v="Indianapolis"/>
    <s v="Online"/>
    <x v="2"/>
    <n v="34"/>
    <n v="75"/>
    <n v="2550"/>
    <n v="1275"/>
  </r>
  <r>
    <x v="2"/>
    <n v="1185732"/>
    <x v="16"/>
    <x v="4"/>
    <s v="Maryland"/>
    <s v="Baltimore"/>
    <s v="Online"/>
    <x v="0"/>
    <n v="38"/>
    <n v="81"/>
    <n v="3078"/>
    <n v="1539"/>
  </r>
  <r>
    <x v="0"/>
    <n v="1128299"/>
    <x v="16"/>
    <x v="0"/>
    <s v="Oregon"/>
    <s v="Portland"/>
    <s v="Online"/>
    <x v="4"/>
    <n v="33"/>
    <n v="100"/>
    <n v="3300"/>
    <n v="1617"/>
  </r>
  <r>
    <x v="0"/>
    <n v="1185732"/>
    <x v="16"/>
    <x v="1"/>
    <s v="Indiana"/>
    <s v="Indianapolis"/>
    <s v="Online"/>
    <x v="1"/>
    <n v="41"/>
    <n v="54"/>
    <n v="2214"/>
    <n v="1084.8599999999999"/>
  </r>
  <r>
    <x v="2"/>
    <n v="1185732"/>
    <x v="16"/>
    <x v="4"/>
    <s v="Maryland"/>
    <s v="Baltimore"/>
    <s v="Online"/>
    <x v="2"/>
    <n v="36"/>
    <n v="81"/>
    <n v="2916"/>
    <n v="1428.84"/>
  </r>
  <r>
    <x v="0"/>
    <n v="1128299"/>
    <x v="16"/>
    <x v="0"/>
    <s v="Oregon"/>
    <s v="Portland"/>
    <s v="Outlet"/>
    <x v="1"/>
    <n v="33"/>
    <n v="68"/>
    <n v="2244"/>
    <n v="1099.56"/>
  </r>
  <r>
    <x v="0"/>
    <n v="1185732"/>
    <x v="16"/>
    <x v="1"/>
    <s v="Indiana"/>
    <s v="Indianapolis"/>
    <s v="Online"/>
    <x v="4"/>
    <n v="32"/>
    <n v="125"/>
    <n v="4000"/>
    <n v="1920"/>
  </r>
  <r>
    <x v="2"/>
    <n v="1185732"/>
    <x v="16"/>
    <x v="4"/>
    <s v="Maryland"/>
    <s v="Baltimore"/>
    <s v="Online"/>
    <x v="3"/>
    <n v="29"/>
    <n v="91"/>
    <n v="2639"/>
    <n v="1240.33"/>
  </r>
  <r>
    <x v="0"/>
    <n v="1128299"/>
    <x v="16"/>
    <x v="0"/>
    <s v="Oregon"/>
    <s v="Portland"/>
    <s v="Online"/>
    <x v="0"/>
    <n v="42"/>
    <n v="100"/>
    <n v="4200"/>
    <n v="1932"/>
  </r>
  <r>
    <x v="0"/>
    <n v="1128299"/>
    <x v="16"/>
    <x v="0"/>
    <s v="Oregon"/>
    <s v="Portland"/>
    <s v="Online"/>
    <x v="3"/>
    <n v="43"/>
    <n v="112"/>
    <n v="4816"/>
    <n v="2215.3599999999997"/>
  </r>
  <r>
    <x v="0"/>
    <n v="1185732"/>
    <x v="16"/>
    <x v="1"/>
    <s v="Indiana"/>
    <s v="Indianapolis"/>
    <s v="Online"/>
    <x v="5"/>
    <n v="29"/>
    <n v="45"/>
    <n v="1305"/>
    <n v="600.29999999999995"/>
  </r>
  <r>
    <x v="0"/>
    <n v="1128299"/>
    <x v="16"/>
    <x v="0"/>
    <s v="Oregon"/>
    <s v="Portland"/>
    <s v="Online"/>
    <x v="5"/>
    <n v="41"/>
    <n v="68"/>
    <n v="2788"/>
    <n v="1254.6000000000001"/>
  </r>
  <r>
    <x v="0"/>
    <n v="1185732"/>
    <x v="16"/>
    <x v="1"/>
    <s v="Indiana"/>
    <s v="Indianapolis"/>
    <s v="Online"/>
    <x v="0"/>
    <n v="32"/>
    <n v="75"/>
    <n v="2400"/>
    <n v="1080"/>
  </r>
  <r>
    <x v="0"/>
    <n v="1185732"/>
    <x v="16"/>
    <x v="1"/>
    <s v="Indiana"/>
    <s v="Indianapolis"/>
    <s v="Online"/>
    <x v="3"/>
    <n v="25"/>
    <n v="87"/>
    <n v="2175"/>
    <n v="978.75"/>
  </r>
  <r>
    <x v="2"/>
    <n v="1185732"/>
    <x v="16"/>
    <x v="4"/>
    <s v="Maryland"/>
    <s v="Baltimore"/>
    <s v="Online"/>
    <x v="5"/>
    <n v="32"/>
    <n v="47"/>
    <n v="1504"/>
    <n v="676.8"/>
  </r>
  <r>
    <x v="3"/>
    <n v="1128299"/>
    <x v="16"/>
    <x v="0"/>
    <s v="Hawaii"/>
    <s v="Honolulu"/>
    <s v="Online"/>
    <x v="2"/>
    <n v="49"/>
    <n v="124"/>
    <n v="6076"/>
    <n v="2491.1599999999994"/>
  </r>
  <r>
    <x v="0"/>
    <n v="1128299"/>
    <x v="16"/>
    <x v="0"/>
    <s v="Oregon"/>
    <s v="Portland"/>
    <s v="Online"/>
    <x v="1"/>
    <n v="46"/>
    <n v="58"/>
    <n v="2668"/>
    <n v="1093.8799999999999"/>
  </r>
  <r>
    <x v="1"/>
    <n v="1189833"/>
    <x v="16"/>
    <x v="1"/>
    <s v="Montana"/>
    <s v="Billings"/>
    <s v="Online"/>
    <x v="3"/>
    <n v="44"/>
    <n v="120"/>
    <n v="5280"/>
    <n v="2112"/>
  </r>
  <r>
    <x v="0"/>
    <n v="1128299"/>
    <x v="17"/>
    <x v="0"/>
    <s v="California"/>
    <s v="San Francisco"/>
    <s v="Outlet"/>
    <x v="4"/>
    <n v="65"/>
    <n v="975"/>
    <n v="63375"/>
    <n v="41193.75"/>
  </r>
  <r>
    <x v="2"/>
    <n v="1185732"/>
    <x v="17"/>
    <x v="1"/>
    <s v="Michigan"/>
    <s v="Detroit"/>
    <s v="In-store"/>
    <x v="0"/>
    <n v="30"/>
    <n v="425"/>
    <n v="12750"/>
    <n v="8287.5"/>
  </r>
  <r>
    <x v="2"/>
    <n v="1185732"/>
    <x v="17"/>
    <x v="1"/>
    <s v="Michigan"/>
    <s v="Detroit"/>
    <s v="In-store"/>
    <x v="3"/>
    <n v="20"/>
    <n v="425"/>
    <n v="8500"/>
    <n v="5525"/>
  </r>
  <r>
    <x v="2"/>
    <n v="1185732"/>
    <x v="17"/>
    <x v="1"/>
    <s v="Michigan"/>
    <s v="Detroit"/>
    <s v="In-store"/>
    <x v="1"/>
    <n v="40"/>
    <n v="325"/>
    <n v="13000"/>
    <n v="8450"/>
  </r>
  <r>
    <x v="1"/>
    <n v="1189833"/>
    <x v="17"/>
    <x v="1"/>
    <s v="Montana"/>
    <s v="Billings"/>
    <s v="Outlet"/>
    <x v="5"/>
    <n v="40"/>
    <n v="300"/>
    <n v="12000"/>
    <n v="7200"/>
  </r>
  <r>
    <x v="2"/>
    <n v="1185732"/>
    <x v="17"/>
    <x v="1"/>
    <s v="Michigan"/>
    <s v="Detroit"/>
    <s v="In-store"/>
    <x v="4"/>
    <n v="30"/>
    <n v="625"/>
    <n v="18750"/>
    <n v="11250"/>
  </r>
  <r>
    <x v="2"/>
    <n v="1185732"/>
    <x v="17"/>
    <x v="1"/>
    <s v="Michigan"/>
    <s v="Detroit"/>
    <s v="In-store"/>
    <x v="5"/>
    <n v="25.000000000000007"/>
    <n v="275"/>
    <n v="6875.0000000000018"/>
    <n v="4125.0000000000009"/>
  </r>
  <r>
    <x v="2"/>
    <n v="1185732"/>
    <x v="17"/>
    <x v="1"/>
    <s v="Michigan"/>
    <s v="Detroit"/>
    <s v="In-store"/>
    <x v="2"/>
    <n v="30"/>
    <n v="425"/>
    <n v="12750"/>
    <n v="6375"/>
  </r>
  <r>
    <x v="0"/>
    <n v="1128299"/>
    <x v="17"/>
    <x v="0"/>
    <s v="California"/>
    <s v="San Francisco"/>
    <s v="Outlet"/>
    <x v="4"/>
    <n v="45"/>
    <n v="302"/>
    <n v="13590"/>
    <n v="8154"/>
  </r>
  <r>
    <x v="2"/>
    <n v="1185732"/>
    <x v="17"/>
    <x v="1"/>
    <s v="Michigan"/>
    <s v="Detroit"/>
    <s v="Online"/>
    <x v="3"/>
    <n v="19"/>
    <n v="123"/>
    <n v="2337"/>
    <n v="1285.3500000000001"/>
  </r>
  <r>
    <x v="0"/>
    <n v="1128299"/>
    <x v="17"/>
    <x v="0"/>
    <s v="California"/>
    <s v="San Francisco"/>
    <s v="Online"/>
    <x v="4"/>
    <n v="62"/>
    <n v="273"/>
    <n v="16926"/>
    <n v="9140.0400000000009"/>
  </r>
  <r>
    <x v="2"/>
    <n v="1185732"/>
    <x v="17"/>
    <x v="1"/>
    <s v="Michigan"/>
    <s v="Detroit"/>
    <s v="Online"/>
    <x v="0"/>
    <n v="29"/>
    <n v="123"/>
    <n v="3567"/>
    <n v="1890.51"/>
  </r>
  <r>
    <x v="2"/>
    <n v="1185732"/>
    <x v="17"/>
    <x v="1"/>
    <s v="Michigan"/>
    <s v="Detroit"/>
    <s v="Online"/>
    <x v="1"/>
    <n v="39"/>
    <n v="98"/>
    <n v="3822"/>
    <n v="1949.22"/>
  </r>
  <r>
    <x v="1"/>
    <n v="1189833"/>
    <x v="17"/>
    <x v="1"/>
    <s v="Montana"/>
    <s v="Billings"/>
    <s v="Online"/>
    <x v="5"/>
    <n v="36"/>
    <n v="78"/>
    <n v="2808"/>
    <n v="1404"/>
  </r>
  <r>
    <x v="2"/>
    <n v="1185732"/>
    <x v="17"/>
    <x v="1"/>
    <s v="Michigan"/>
    <s v="Detroit"/>
    <s v="Online"/>
    <x v="4"/>
    <n v="27"/>
    <n v="156"/>
    <n v="4212"/>
    <n v="2106"/>
  </r>
  <r>
    <x v="2"/>
    <n v="1185732"/>
    <x v="17"/>
    <x v="1"/>
    <s v="Michigan"/>
    <s v="Detroit"/>
    <s v="Online"/>
    <x v="5"/>
    <n v="24"/>
    <n v="77"/>
    <n v="1848"/>
    <n v="887.04"/>
  </r>
  <r>
    <x v="2"/>
    <n v="1185732"/>
    <x v="17"/>
    <x v="1"/>
    <s v="Michigan"/>
    <s v="Detroit"/>
    <s v="Online"/>
    <x v="2"/>
    <n v="29"/>
    <n v="123"/>
    <n v="3567"/>
    <n v="1319.79"/>
  </r>
  <r>
    <x v="0"/>
    <n v="1128299"/>
    <x v="18"/>
    <x v="0"/>
    <s v="California"/>
    <s v="San Francisco"/>
    <s v="Outlet"/>
    <x v="0"/>
    <n v="70"/>
    <n v="925"/>
    <n v="64750"/>
    <n v="51800"/>
  </r>
  <r>
    <x v="3"/>
    <n v="1185732"/>
    <x v="18"/>
    <x v="3"/>
    <s v="Virginia"/>
    <s v="Richmond"/>
    <s v="In-store"/>
    <x v="3"/>
    <n v="25"/>
    <n v="550"/>
    <n v="13750"/>
    <n v="9625"/>
  </r>
  <r>
    <x v="3"/>
    <n v="1185732"/>
    <x v="18"/>
    <x v="3"/>
    <s v="Virginia"/>
    <s v="Richmond"/>
    <s v="In-store"/>
    <x v="5"/>
    <n v="29.999999999999993"/>
    <n v="400"/>
    <n v="11999.999999999996"/>
    <n v="7799.9999999999982"/>
  </r>
  <r>
    <x v="3"/>
    <n v="1185732"/>
    <x v="18"/>
    <x v="3"/>
    <s v="Virginia"/>
    <s v="Richmond"/>
    <s v="In-store"/>
    <x v="1"/>
    <n v="45.000000000000007"/>
    <n v="450"/>
    <n v="20250.000000000004"/>
    <n v="12150.000000000004"/>
  </r>
  <r>
    <x v="3"/>
    <n v="1185732"/>
    <x v="18"/>
    <x v="3"/>
    <s v="Virginia"/>
    <s v="Richmond"/>
    <s v="In-store"/>
    <x v="0"/>
    <n v="35"/>
    <n v="550"/>
    <n v="19250"/>
    <n v="11550"/>
  </r>
  <r>
    <x v="3"/>
    <n v="1185732"/>
    <x v="18"/>
    <x v="3"/>
    <s v="Virginia"/>
    <s v="Richmond"/>
    <s v="In-store"/>
    <x v="4"/>
    <n v="35"/>
    <n v="750"/>
    <n v="26250"/>
    <n v="13125"/>
  </r>
  <r>
    <x v="3"/>
    <n v="1185732"/>
    <x v="18"/>
    <x v="3"/>
    <s v="Virginia"/>
    <s v="Richmond"/>
    <s v="In-store"/>
    <x v="2"/>
    <n v="35"/>
    <n v="550"/>
    <n v="19250"/>
    <n v="8662.4999999999982"/>
  </r>
  <r>
    <x v="1"/>
    <n v="1189833"/>
    <x v="18"/>
    <x v="1"/>
    <s v="Montana"/>
    <s v="Billings"/>
    <s v="Outlet"/>
    <x v="1"/>
    <n v="45"/>
    <n v="200"/>
    <n v="9000"/>
    <n v="3599.9999999999991"/>
  </r>
  <r>
    <x v="0"/>
    <n v="1128299"/>
    <x v="18"/>
    <x v="0"/>
    <s v="California"/>
    <s v="San Francisco"/>
    <s v="Outlet"/>
    <x v="0"/>
    <n v="47"/>
    <n v="278"/>
    <n v="13066"/>
    <n v="10191.48"/>
  </r>
  <r>
    <x v="0"/>
    <n v="1128299"/>
    <x v="18"/>
    <x v="0"/>
    <s v="California"/>
    <s v="San Francisco"/>
    <s v="Online"/>
    <x v="0"/>
    <n v="66"/>
    <n v="259"/>
    <n v="17094"/>
    <n v="11965.8"/>
  </r>
  <r>
    <x v="3"/>
    <n v="1185732"/>
    <x v="18"/>
    <x v="3"/>
    <s v="Virginia"/>
    <s v="Richmond"/>
    <s v="Outlet"/>
    <x v="3"/>
    <n v="18"/>
    <n v="176"/>
    <n v="3168"/>
    <n v="2154.2399999999998"/>
  </r>
  <r>
    <x v="3"/>
    <n v="1185732"/>
    <x v="18"/>
    <x v="3"/>
    <s v="Virginia"/>
    <s v="Richmond"/>
    <s v="Online"/>
    <x v="3"/>
    <n v="23"/>
    <n v="149"/>
    <n v="3427"/>
    <n v="2056.1999999999998"/>
  </r>
  <r>
    <x v="3"/>
    <n v="1185732"/>
    <x v="18"/>
    <x v="3"/>
    <s v="Virginia"/>
    <s v="Richmond"/>
    <s v="Outlet"/>
    <x v="5"/>
    <n v="21"/>
    <n v="136"/>
    <n v="2856"/>
    <n v="1656.48"/>
  </r>
  <r>
    <x v="3"/>
    <n v="1185732"/>
    <x v="18"/>
    <x v="3"/>
    <s v="Virginia"/>
    <s v="Richmond"/>
    <s v="Outlet"/>
    <x v="1"/>
    <n v="30"/>
    <n v="140"/>
    <n v="4200"/>
    <n v="2310"/>
  </r>
  <r>
    <x v="3"/>
    <n v="1185732"/>
    <x v="18"/>
    <x v="3"/>
    <s v="Virginia"/>
    <s v="Richmond"/>
    <s v="Outlet"/>
    <x v="0"/>
    <n v="28"/>
    <n v="187"/>
    <n v="5236"/>
    <n v="2775.08"/>
  </r>
  <r>
    <x v="3"/>
    <n v="1185732"/>
    <x v="18"/>
    <x v="3"/>
    <s v="Virginia"/>
    <s v="Richmond"/>
    <s v="Online"/>
    <x v="5"/>
    <n v="29"/>
    <n v="116"/>
    <n v="3364"/>
    <n v="1682"/>
  </r>
  <r>
    <x v="3"/>
    <n v="1185732"/>
    <x v="18"/>
    <x v="3"/>
    <s v="Virginia"/>
    <s v="Richmond"/>
    <s v="Online"/>
    <x v="0"/>
    <n v="34"/>
    <n v="154"/>
    <n v="5236"/>
    <n v="2565.64"/>
  </r>
  <r>
    <x v="3"/>
    <n v="1185732"/>
    <x v="18"/>
    <x v="3"/>
    <s v="Virginia"/>
    <s v="Richmond"/>
    <s v="Online"/>
    <x v="1"/>
    <n v="43"/>
    <n v="122"/>
    <n v="5246"/>
    <n v="2518.08"/>
  </r>
  <r>
    <x v="3"/>
    <n v="1185732"/>
    <x v="18"/>
    <x v="3"/>
    <s v="Virginia"/>
    <s v="Richmond"/>
    <s v="Outlet"/>
    <x v="4"/>
    <n v="23"/>
    <n v="233"/>
    <n v="5359"/>
    <n v="2572.3199999999997"/>
  </r>
  <r>
    <x v="3"/>
    <n v="1185732"/>
    <x v="18"/>
    <x v="3"/>
    <s v="Virginia"/>
    <s v="Richmond"/>
    <s v="Outlet"/>
    <x v="2"/>
    <n v="25"/>
    <n v="193"/>
    <n v="4825"/>
    <n v="2026.4999999999995"/>
  </r>
  <r>
    <x v="3"/>
    <n v="1185732"/>
    <x v="18"/>
    <x v="3"/>
    <s v="Virginia"/>
    <s v="Richmond"/>
    <s v="Online"/>
    <x v="4"/>
    <n v="34"/>
    <n v="203"/>
    <n v="6902"/>
    <n v="2691.7799999999997"/>
  </r>
  <r>
    <x v="3"/>
    <n v="1185732"/>
    <x v="18"/>
    <x v="3"/>
    <s v="Virginia"/>
    <s v="Richmond"/>
    <s v="Online"/>
    <x v="2"/>
    <n v="33"/>
    <n v="138"/>
    <n v="4554"/>
    <n v="1457.2799999999997"/>
  </r>
  <r>
    <x v="1"/>
    <n v="1189833"/>
    <x v="18"/>
    <x v="1"/>
    <s v="Montana"/>
    <s v="Billings"/>
    <s v="Online"/>
    <x v="1"/>
    <n v="44"/>
    <n v="56"/>
    <n v="2464"/>
    <n v="640.63999999999965"/>
  </r>
  <r>
    <x v="1"/>
    <n v="1189833"/>
    <x v="19"/>
    <x v="1"/>
    <s v="Montana"/>
    <s v="Billings"/>
    <s v="Outlet"/>
    <x v="2"/>
    <n v="60"/>
    <n v="375"/>
    <n v="22500"/>
    <n v="16875"/>
  </r>
  <r>
    <x v="2"/>
    <n v="1185732"/>
    <x v="19"/>
    <x v="3"/>
    <s v="Kentucky"/>
    <s v="Louisville"/>
    <s v="Online"/>
    <x v="0"/>
    <n v="30.000000000000004"/>
    <n v="525"/>
    <n v="15750.000000000002"/>
    <n v="10237.500000000004"/>
  </r>
  <r>
    <x v="0"/>
    <n v="1128299"/>
    <x v="19"/>
    <x v="0"/>
    <s v="California"/>
    <s v="San Francisco"/>
    <s v="Outlet"/>
    <x v="3"/>
    <n v="65"/>
    <n v="800"/>
    <n v="52000"/>
    <n v="33800"/>
  </r>
  <r>
    <x v="2"/>
    <n v="1185732"/>
    <x v="19"/>
    <x v="3"/>
    <s v="Kentucky"/>
    <s v="Louisville"/>
    <s v="Online"/>
    <x v="1"/>
    <n v="40"/>
    <n v="425"/>
    <n v="17000"/>
    <n v="11050"/>
  </r>
  <r>
    <x v="2"/>
    <n v="1185732"/>
    <x v="19"/>
    <x v="3"/>
    <s v="Kentucky"/>
    <s v="Louisville"/>
    <s v="Online"/>
    <x v="4"/>
    <n v="30.000000000000004"/>
    <n v="725"/>
    <n v="21750.000000000004"/>
    <n v="13050.000000000002"/>
  </r>
  <r>
    <x v="2"/>
    <n v="1185732"/>
    <x v="19"/>
    <x v="3"/>
    <s v="Kentucky"/>
    <s v="Louisville"/>
    <s v="Online"/>
    <x v="3"/>
    <n v="20.000000000000007"/>
    <n v="525"/>
    <n v="10500.000000000004"/>
    <n v="6300.0000000000018"/>
  </r>
  <r>
    <x v="2"/>
    <n v="1185732"/>
    <x v="19"/>
    <x v="3"/>
    <s v="Kentucky"/>
    <s v="Louisville"/>
    <s v="Online"/>
    <x v="5"/>
    <n v="25"/>
    <n v="375"/>
    <n v="9375"/>
    <n v="5625"/>
  </r>
  <r>
    <x v="2"/>
    <n v="1185732"/>
    <x v="19"/>
    <x v="3"/>
    <s v="Kentucky"/>
    <s v="Louisville"/>
    <s v="Online"/>
    <x v="2"/>
    <n v="30.000000000000004"/>
    <n v="525"/>
    <n v="15750.000000000002"/>
    <n v="7875.0000000000018"/>
  </r>
  <r>
    <x v="0"/>
    <n v="1128299"/>
    <x v="19"/>
    <x v="0"/>
    <s v="California"/>
    <s v="San Francisco"/>
    <s v="Outlet"/>
    <x v="3"/>
    <n v="51"/>
    <n v="248"/>
    <n v="12648"/>
    <n v="7715.28"/>
  </r>
  <r>
    <x v="1"/>
    <n v="1189833"/>
    <x v="19"/>
    <x v="1"/>
    <s v="Montana"/>
    <s v="Billings"/>
    <s v="Online"/>
    <x v="2"/>
    <n v="55"/>
    <n v="101"/>
    <n v="5555"/>
    <n v="3388.5499999999997"/>
  </r>
  <r>
    <x v="2"/>
    <n v="1185732"/>
    <x v="19"/>
    <x v="3"/>
    <s v="Kentucky"/>
    <s v="Louisville"/>
    <s v="Online"/>
    <x v="0"/>
    <n v="29"/>
    <n v="142"/>
    <n v="4118"/>
    <n v="2264.9"/>
  </r>
  <r>
    <x v="0"/>
    <n v="1128299"/>
    <x v="19"/>
    <x v="0"/>
    <s v="California"/>
    <s v="San Francisco"/>
    <s v="Online"/>
    <x v="3"/>
    <n v="60"/>
    <n v="200"/>
    <n v="12000"/>
    <n v="6360"/>
  </r>
  <r>
    <x v="2"/>
    <n v="1185732"/>
    <x v="19"/>
    <x v="3"/>
    <s v="Kentucky"/>
    <s v="Louisville"/>
    <s v="Online"/>
    <x v="1"/>
    <n v="38"/>
    <n v="115"/>
    <n v="4370"/>
    <n v="2272.4"/>
  </r>
  <r>
    <x v="2"/>
    <n v="1185732"/>
    <x v="19"/>
    <x v="3"/>
    <s v="Kentucky"/>
    <s v="Louisville"/>
    <s v="Online"/>
    <x v="5"/>
    <n v="23"/>
    <n v="101"/>
    <n v="2323"/>
    <n v="1091.81"/>
  </r>
  <r>
    <x v="2"/>
    <n v="1185732"/>
    <x v="19"/>
    <x v="3"/>
    <s v="Kentucky"/>
    <s v="Louisville"/>
    <s v="Online"/>
    <x v="4"/>
    <n v="29"/>
    <n v="189"/>
    <n v="5481"/>
    <n v="2521.2599999999998"/>
  </r>
  <r>
    <x v="2"/>
    <n v="1185732"/>
    <x v="19"/>
    <x v="3"/>
    <s v="Kentucky"/>
    <s v="Louisville"/>
    <s v="Online"/>
    <x v="3"/>
    <n v="18"/>
    <n v="158"/>
    <n v="2844"/>
    <n v="1279.8"/>
  </r>
  <r>
    <x v="2"/>
    <n v="1185732"/>
    <x v="19"/>
    <x v="3"/>
    <s v="Kentucky"/>
    <s v="Louisville"/>
    <s v="Online"/>
    <x v="2"/>
    <n v="29"/>
    <n v="158"/>
    <n v="4582"/>
    <n v="1741.1599999999999"/>
  </r>
  <r>
    <x v="4"/>
    <n v="1185732"/>
    <x v="20"/>
    <x v="4"/>
    <s v="Vermont"/>
    <s v="Burlington"/>
    <s v="In-store"/>
    <x v="1"/>
    <n v="60.000000000000007"/>
    <n v="225"/>
    <n v="13500.000000000002"/>
    <n v="9450.0000000000036"/>
  </r>
  <r>
    <x v="0"/>
    <n v="1128299"/>
    <x v="20"/>
    <x v="0"/>
    <s v="California"/>
    <s v="San Francisco"/>
    <s v="Outlet"/>
    <x v="5"/>
    <n v="65"/>
    <n v="750"/>
    <n v="48750"/>
    <n v="34125"/>
  </r>
  <r>
    <x v="4"/>
    <n v="1185732"/>
    <x v="20"/>
    <x v="4"/>
    <s v="Vermont"/>
    <s v="Burlington"/>
    <s v="In-store"/>
    <x v="3"/>
    <n v="40"/>
    <n v="325"/>
    <n v="13000"/>
    <n v="9100"/>
  </r>
  <r>
    <x v="4"/>
    <n v="1185732"/>
    <x v="20"/>
    <x v="4"/>
    <s v="Vermont"/>
    <s v="Burlington"/>
    <s v="In-store"/>
    <x v="5"/>
    <n v="44.999999999999993"/>
    <n v="175"/>
    <n v="7874.9999999999991"/>
    <n v="5512.4999999999982"/>
  </r>
  <r>
    <x v="4"/>
    <n v="1185732"/>
    <x v="20"/>
    <x v="4"/>
    <s v="Vermont"/>
    <s v="Burlington"/>
    <s v="In-store"/>
    <x v="2"/>
    <n v="50"/>
    <n v="325"/>
    <n v="16250"/>
    <n v="10562.5"/>
  </r>
  <r>
    <x v="4"/>
    <n v="1185732"/>
    <x v="20"/>
    <x v="4"/>
    <s v="Vermont"/>
    <s v="Burlington"/>
    <s v="In-store"/>
    <x v="4"/>
    <n v="50"/>
    <n v="525"/>
    <n v="26250"/>
    <n v="15750"/>
  </r>
  <r>
    <x v="4"/>
    <n v="1185732"/>
    <x v="20"/>
    <x v="4"/>
    <s v="Vermont"/>
    <s v="Burlington"/>
    <s v="In-store"/>
    <x v="0"/>
    <n v="50"/>
    <n v="325"/>
    <n v="16250"/>
    <n v="9750"/>
  </r>
  <r>
    <x v="1"/>
    <n v="1189833"/>
    <x v="20"/>
    <x v="1"/>
    <s v="Montana"/>
    <s v="Billings"/>
    <s v="Outlet"/>
    <x v="4"/>
    <n v="40"/>
    <n v="575"/>
    <n v="23000"/>
    <n v="12650"/>
  </r>
  <r>
    <x v="4"/>
    <n v="1185732"/>
    <x v="20"/>
    <x v="4"/>
    <s v="Vermont"/>
    <s v="Burlington"/>
    <s v="Outlet"/>
    <x v="5"/>
    <n v="36"/>
    <n v="60"/>
    <n v="2160"/>
    <n v="1468.8"/>
  </r>
  <r>
    <x v="4"/>
    <n v="1185732"/>
    <x v="20"/>
    <x v="4"/>
    <s v="Vermont"/>
    <s v="Burlington"/>
    <s v="Outlet"/>
    <x v="1"/>
    <n v="43"/>
    <n v="74"/>
    <n v="3182"/>
    <n v="2131.94"/>
  </r>
  <r>
    <x v="0"/>
    <n v="1128299"/>
    <x v="20"/>
    <x v="0"/>
    <s v="California"/>
    <s v="San Francisco"/>
    <s v="Outlet"/>
    <x v="5"/>
    <n v="52"/>
    <n v="255"/>
    <n v="13260"/>
    <n v="8751.6"/>
  </r>
  <r>
    <x v="4"/>
    <n v="1185732"/>
    <x v="20"/>
    <x v="4"/>
    <s v="Vermont"/>
    <s v="Burlington"/>
    <s v="Outlet"/>
    <x v="3"/>
    <n v="28"/>
    <n v="101"/>
    <n v="2828"/>
    <n v="1809.92"/>
  </r>
  <r>
    <x v="4"/>
    <n v="1185732"/>
    <x v="20"/>
    <x v="4"/>
    <s v="Vermont"/>
    <s v="Burlington"/>
    <s v="Online"/>
    <x v="5"/>
    <n v="43"/>
    <n v="46"/>
    <n v="1978"/>
    <n v="1186.8"/>
  </r>
  <r>
    <x v="4"/>
    <n v="1185732"/>
    <x v="20"/>
    <x v="4"/>
    <s v="Vermont"/>
    <s v="Burlington"/>
    <s v="Outlet"/>
    <x v="2"/>
    <n v="35"/>
    <n v="101"/>
    <n v="3535"/>
    <n v="2121"/>
  </r>
  <r>
    <x v="0"/>
    <n v="1128299"/>
    <x v="20"/>
    <x v="0"/>
    <s v="California"/>
    <s v="San Francisco"/>
    <s v="Online"/>
    <x v="5"/>
    <n v="59"/>
    <n v="188"/>
    <n v="11092"/>
    <n v="6544.2800000000007"/>
  </r>
  <r>
    <x v="4"/>
    <n v="1185732"/>
    <x v="20"/>
    <x v="4"/>
    <s v="Vermont"/>
    <s v="Burlington"/>
    <s v="Outlet"/>
    <x v="4"/>
    <n v="34"/>
    <n v="173"/>
    <n v="5882"/>
    <n v="3352.74"/>
  </r>
  <r>
    <x v="4"/>
    <n v="1185732"/>
    <x v="20"/>
    <x v="4"/>
    <s v="Vermont"/>
    <s v="Burlington"/>
    <s v="Outlet"/>
    <x v="0"/>
    <n v="39"/>
    <n v="111"/>
    <n v="4329"/>
    <n v="2467.5299999999997"/>
  </r>
  <r>
    <x v="4"/>
    <n v="1185732"/>
    <x v="20"/>
    <x v="4"/>
    <s v="Vermont"/>
    <s v="Burlington"/>
    <s v="Online"/>
    <x v="1"/>
    <n v="59"/>
    <n v="56"/>
    <n v="3304"/>
    <n v="1850.24"/>
  </r>
  <r>
    <x v="4"/>
    <n v="1185732"/>
    <x v="20"/>
    <x v="4"/>
    <s v="Vermont"/>
    <s v="Burlington"/>
    <s v="Online"/>
    <x v="2"/>
    <n v="49"/>
    <n v="88"/>
    <n v="4312"/>
    <n v="2371.6000000000004"/>
  </r>
  <r>
    <x v="4"/>
    <n v="1185732"/>
    <x v="20"/>
    <x v="4"/>
    <s v="Vermont"/>
    <s v="Burlington"/>
    <s v="Online"/>
    <x v="3"/>
    <n v="38"/>
    <n v="81"/>
    <n v="3078"/>
    <n v="1692.9"/>
  </r>
  <r>
    <x v="4"/>
    <n v="1185732"/>
    <x v="20"/>
    <x v="4"/>
    <s v="Vermont"/>
    <s v="Burlington"/>
    <s v="Online"/>
    <x v="0"/>
    <n v="45"/>
    <n v="91"/>
    <n v="4095"/>
    <n v="1924.65"/>
  </r>
  <r>
    <x v="4"/>
    <n v="1185732"/>
    <x v="20"/>
    <x v="4"/>
    <s v="Vermont"/>
    <s v="Burlington"/>
    <s v="Online"/>
    <x v="4"/>
    <n v="49"/>
    <n v="131"/>
    <n v="6419"/>
    <n v="2888.5499999999997"/>
  </r>
  <r>
    <x v="1"/>
    <n v="1189833"/>
    <x v="20"/>
    <x v="1"/>
    <s v="Montana"/>
    <s v="Billings"/>
    <s v="Online"/>
    <x v="4"/>
    <n v="39"/>
    <n v="150"/>
    <n v="5850"/>
    <n v="2515.4999999999995"/>
  </r>
  <r>
    <x v="1"/>
    <n v="1189833"/>
    <x v="21"/>
    <x v="1"/>
    <s v="Montana"/>
    <s v="Billings"/>
    <s v="Outlet"/>
    <x v="0"/>
    <n v="45"/>
    <n v="425"/>
    <n v="19125"/>
    <n v="13387.5"/>
  </r>
  <r>
    <x v="4"/>
    <n v="1185732"/>
    <x v="21"/>
    <x v="1"/>
    <s v="Ohio"/>
    <s v="Columbus"/>
    <s v="Online"/>
    <x v="0"/>
    <n v="40"/>
    <n v="300"/>
    <n v="12000"/>
    <n v="7800"/>
  </r>
  <r>
    <x v="4"/>
    <n v="1185732"/>
    <x v="21"/>
    <x v="1"/>
    <s v="Ohio"/>
    <s v="Columbus"/>
    <s v="Online"/>
    <x v="1"/>
    <n v="49.999999999999993"/>
    <n v="200"/>
    <n v="9999.9999999999982"/>
    <n v="6499.9999999999991"/>
  </r>
  <r>
    <x v="4"/>
    <n v="1185732"/>
    <x v="21"/>
    <x v="1"/>
    <s v="Ohio"/>
    <s v="Columbus"/>
    <s v="Online"/>
    <x v="4"/>
    <n v="40"/>
    <n v="500"/>
    <n v="20000"/>
    <n v="12000"/>
  </r>
  <r>
    <x v="4"/>
    <n v="1185732"/>
    <x v="21"/>
    <x v="1"/>
    <s v="Ohio"/>
    <s v="Columbus"/>
    <s v="Online"/>
    <x v="3"/>
    <n v="30.000000000000004"/>
    <n v="300"/>
    <n v="9000.0000000000018"/>
    <n v="5400.0000000000009"/>
  </r>
  <r>
    <x v="4"/>
    <n v="1185732"/>
    <x v="21"/>
    <x v="1"/>
    <s v="Ohio"/>
    <s v="Columbus"/>
    <s v="Online"/>
    <x v="5"/>
    <n v="35"/>
    <n v="150"/>
    <n v="5250"/>
    <n v="3150"/>
  </r>
  <r>
    <x v="4"/>
    <n v="1185732"/>
    <x v="21"/>
    <x v="1"/>
    <s v="Ohio"/>
    <s v="Columbus"/>
    <s v="Online"/>
    <x v="2"/>
    <n v="40"/>
    <n v="300"/>
    <n v="12000"/>
    <n v="7200"/>
  </r>
  <r>
    <x v="0"/>
    <n v="1128299"/>
    <x v="21"/>
    <x v="0"/>
    <s v="California"/>
    <s v="San Francisco"/>
    <s v="Outlet"/>
    <x v="1"/>
    <n v="75"/>
    <n v="750"/>
    <n v="56250"/>
    <n v="28125"/>
  </r>
  <r>
    <x v="1"/>
    <n v="1189833"/>
    <x v="21"/>
    <x v="1"/>
    <s v="Montana"/>
    <s v="Billings"/>
    <s v="Online"/>
    <x v="0"/>
    <n v="41"/>
    <n v="106"/>
    <n v="4346"/>
    <n v="2433.7600000000002"/>
  </r>
  <r>
    <x v="4"/>
    <n v="1185732"/>
    <x v="21"/>
    <x v="1"/>
    <s v="Ohio"/>
    <s v="Columbus"/>
    <s v="Online"/>
    <x v="0"/>
    <n v="38"/>
    <n v="78"/>
    <n v="2964"/>
    <n v="1570.92"/>
  </r>
  <r>
    <x v="4"/>
    <n v="1185732"/>
    <x v="21"/>
    <x v="1"/>
    <s v="Ohio"/>
    <s v="Columbus"/>
    <s v="Online"/>
    <x v="1"/>
    <n v="46"/>
    <n v="52"/>
    <n v="2392"/>
    <n v="1267.76"/>
  </r>
  <r>
    <x v="4"/>
    <n v="1185732"/>
    <x v="21"/>
    <x v="1"/>
    <s v="Ohio"/>
    <s v="Columbus"/>
    <s v="Online"/>
    <x v="5"/>
    <n v="34"/>
    <n v="42"/>
    <n v="1428"/>
    <n v="714"/>
  </r>
  <r>
    <x v="4"/>
    <n v="1185732"/>
    <x v="21"/>
    <x v="1"/>
    <s v="Ohio"/>
    <s v="Columbus"/>
    <s v="Online"/>
    <x v="3"/>
    <n v="28"/>
    <n v="75"/>
    <n v="2100"/>
    <n v="1008"/>
  </r>
  <r>
    <x v="4"/>
    <n v="1185732"/>
    <x v="21"/>
    <x v="1"/>
    <s v="Ohio"/>
    <s v="Columbus"/>
    <s v="Online"/>
    <x v="4"/>
    <n v="37"/>
    <n v="135"/>
    <n v="4995"/>
    <n v="2297.6999999999998"/>
  </r>
  <r>
    <x v="4"/>
    <n v="1185732"/>
    <x v="21"/>
    <x v="1"/>
    <s v="Ohio"/>
    <s v="Columbus"/>
    <s v="Online"/>
    <x v="2"/>
    <n v="37"/>
    <n v="81"/>
    <n v="2997"/>
    <n v="1378.62"/>
  </r>
  <r>
    <x v="0"/>
    <n v="1128299"/>
    <x v="21"/>
    <x v="0"/>
    <s v="California"/>
    <s v="San Francisco"/>
    <s v="Outlet"/>
    <x v="1"/>
    <n v="59"/>
    <n v="263"/>
    <n v="15517"/>
    <n v="6672.3099999999995"/>
  </r>
  <r>
    <x v="0"/>
    <n v="1128299"/>
    <x v="21"/>
    <x v="0"/>
    <s v="California"/>
    <s v="San Francisco"/>
    <s v="Online"/>
    <x v="1"/>
    <n v="69"/>
    <n v="188"/>
    <n v="12972"/>
    <n v="5059.08"/>
  </r>
  <r>
    <x v="0"/>
    <n v="1128299"/>
    <x v="22"/>
    <x v="0"/>
    <s v="California"/>
    <s v="San Francisco"/>
    <s v="Outlet"/>
    <x v="2"/>
    <n v="80"/>
    <n v="725"/>
    <n v="58000"/>
    <n v="49300"/>
  </r>
  <r>
    <x v="2"/>
    <n v="1128299"/>
    <x v="22"/>
    <x v="0"/>
    <s v="Idaho"/>
    <s v="Boise"/>
    <s v="Online"/>
    <x v="2"/>
    <n v="40"/>
    <n v="425"/>
    <n v="17000"/>
    <n v="12750"/>
  </r>
  <r>
    <x v="2"/>
    <n v="1128299"/>
    <x v="22"/>
    <x v="0"/>
    <s v="Idaho"/>
    <s v="Boise"/>
    <s v="Online"/>
    <x v="1"/>
    <n v="45.000000000000007"/>
    <n v="225"/>
    <n v="10125.000000000002"/>
    <n v="7087.5000000000018"/>
  </r>
  <r>
    <x v="3"/>
    <n v="1197831"/>
    <x v="22"/>
    <x v="2"/>
    <s v="Mississippi"/>
    <s v="Jackson"/>
    <s v="Online"/>
    <x v="0"/>
    <n v="25.000000000000007"/>
    <n v="450"/>
    <n v="11250.000000000004"/>
    <n v="7312.5000000000027"/>
  </r>
  <r>
    <x v="0"/>
    <n v="1197831"/>
    <x v="22"/>
    <x v="2"/>
    <s v="Arkansas"/>
    <s v="Little Rock"/>
    <s v="Online"/>
    <x v="0"/>
    <n v="25.000000000000007"/>
    <n v="375"/>
    <n v="9375.0000000000018"/>
    <n v="6093.7500000000018"/>
  </r>
  <r>
    <x v="2"/>
    <n v="1128299"/>
    <x v="22"/>
    <x v="0"/>
    <s v="Idaho"/>
    <s v="Boise"/>
    <s v="Online"/>
    <x v="4"/>
    <n v="29.999999999999993"/>
    <n v="425"/>
    <n v="12749.999999999996"/>
    <n v="8287.4999999999982"/>
  </r>
  <r>
    <x v="2"/>
    <n v="1128299"/>
    <x v="22"/>
    <x v="0"/>
    <s v="Idaho"/>
    <s v="Boise"/>
    <s v="Online"/>
    <x v="3"/>
    <n v="40"/>
    <n v="425"/>
    <n v="17000"/>
    <n v="11050"/>
  </r>
  <r>
    <x v="2"/>
    <n v="1128299"/>
    <x v="22"/>
    <x v="0"/>
    <s v="Idaho"/>
    <s v="Boise"/>
    <s v="Online"/>
    <x v="5"/>
    <n v="40"/>
    <n v="275"/>
    <n v="11000"/>
    <n v="7150"/>
  </r>
  <r>
    <x v="3"/>
    <n v="1197831"/>
    <x v="22"/>
    <x v="2"/>
    <s v="Mississippi"/>
    <s v="Jackson"/>
    <s v="Online"/>
    <x v="1"/>
    <n v="35"/>
    <n v="350"/>
    <n v="12250"/>
    <n v="7962.5"/>
  </r>
  <r>
    <x v="0"/>
    <n v="1197831"/>
    <x v="22"/>
    <x v="2"/>
    <s v="Arkansas"/>
    <s v="Little Rock"/>
    <s v="Online"/>
    <x v="1"/>
    <n v="35"/>
    <n v="275"/>
    <n v="9625"/>
    <n v="6256.25"/>
  </r>
  <r>
    <x v="0"/>
    <n v="1197831"/>
    <x v="22"/>
    <x v="2"/>
    <s v="Arkansas"/>
    <s v="Little Rock"/>
    <s v="Online"/>
    <x v="2"/>
    <n v="25.000000000000007"/>
    <n v="375"/>
    <n v="9375.0000000000018"/>
    <n v="5625.0000000000018"/>
  </r>
  <r>
    <x v="2"/>
    <n v="1128299"/>
    <x v="22"/>
    <x v="0"/>
    <s v="Idaho"/>
    <s v="Boise"/>
    <s v="Online"/>
    <x v="0"/>
    <n v="40"/>
    <n v="425"/>
    <n v="17000"/>
    <n v="10200"/>
  </r>
  <r>
    <x v="3"/>
    <n v="1197831"/>
    <x v="22"/>
    <x v="2"/>
    <s v="Mississippi"/>
    <s v="Jackson"/>
    <s v="Online"/>
    <x v="4"/>
    <n v="25.000000000000007"/>
    <n v="650"/>
    <n v="16250.000000000005"/>
    <n v="9750.0000000000036"/>
  </r>
  <r>
    <x v="3"/>
    <n v="1197831"/>
    <x v="22"/>
    <x v="2"/>
    <s v="Mississippi"/>
    <s v="Jackson"/>
    <s v="Online"/>
    <x v="5"/>
    <n v="20"/>
    <n v="300"/>
    <n v="6000"/>
    <n v="3600"/>
  </r>
  <r>
    <x v="3"/>
    <n v="1197831"/>
    <x v="22"/>
    <x v="2"/>
    <s v="Mississippi"/>
    <s v="Jackson"/>
    <s v="Online"/>
    <x v="2"/>
    <n v="25.000000000000007"/>
    <n v="450"/>
    <n v="11250.000000000004"/>
    <n v="6750.0000000000018"/>
  </r>
  <r>
    <x v="0"/>
    <n v="1197831"/>
    <x v="22"/>
    <x v="2"/>
    <s v="Arkansas"/>
    <s v="Little Rock"/>
    <s v="Online"/>
    <x v="4"/>
    <n v="25.000000000000007"/>
    <n v="575"/>
    <n v="14375.000000000004"/>
    <n v="8625.0000000000018"/>
  </r>
  <r>
    <x v="0"/>
    <n v="1197831"/>
    <x v="22"/>
    <x v="2"/>
    <s v="Arkansas"/>
    <s v="Little Rock"/>
    <s v="Online"/>
    <x v="5"/>
    <n v="20"/>
    <n v="225"/>
    <n v="4500"/>
    <n v="2700"/>
  </r>
  <r>
    <x v="3"/>
    <n v="1197831"/>
    <x v="22"/>
    <x v="2"/>
    <s v="Mississippi"/>
    <s v="Jackson"/>
    <s v="Online"/>
    <x v="3"/>
    <n v="15.000000000000007"/>
    <n v="450"/>
    <n v="6750.0000000000036"/>
    <n v="4050.0000000000014"/>
  </r>
  <r>
    <x v="0"/>
    <n v="1197831"/>
    <x v="22"/>
    <x v="2"/>
    <s v="Arkansas"/>
    <s v="Little Rock"/>
    <s v="Online"/>
    <x v="3"/>
    <n v="15.000000000000007"/>
    <n v="375"/>
    <n v="5625.0000000000027"/>
    <n v="3375.0000000000014"/>
  </r>
  <r>
    <x v="1"/>
    <n v="1189833"/>
    <x v="22"/>
    <x v="1"/>
    <s v="Montana"/>
    <s v="Billings"/>
    <s v="Outlet"/>
    <x v="3"/>
    <n v="45"/>
    <n v="425"/>
    <n v="19125"/>
    <n v="10518.75"/>
  </r>
  <r>
    <x v="0"/>
    <n v="1128299"/>
    <x v="22"/>
    <x v="0"/>
    <s v="California"/>
    <s v="San Francisco"/>
    <s v="Outlet"/>
    <x v="2"/>
    <n v="60"/>
    <n v="254"/>
    <n v="15240"/>
    <n v="11887.199999999999"/>
  </r>
  <r>
    <x v="0"/>
    <n v="1128299"/>
    <x v="22"/>
    <x v="0"/>
    <s v="California"/>
    <s v="San Francisco"/>
    <s v="Online"/>
    <x v="2"/>
    <n v="76"/>
    <n v="181"/>
    <n v="13756"/>
    <n v="10317"/>
  </r>
  <r>
    <x v="2"/>
    <n v="1128299"/>
    <x v="22"/>
    <x v="0"/>
    <s v="Idaho"/>
    <s v="Boise"/>
    <s v="Outlet"/>
    <x v="2"/>
    <n v="27"/>
    <n v="140"/>
    <n v="3780"/>
    <n v="2759.4"/>
  </r>
  <r>
    <x v="2"/>
    <n v="1128299"/>
    <x v="22"/>
    <x v="0"/>
    <s v="Idaho"/>
    <s v="Boise"/>
    <s v="Outlet"/>
    <x v="1"/>
    <n v="35"/>
    <n v="68"/>
    <n v="2380"/>
    <n v="1570.8000000000002"/>
  </r>
  <r>
    <x v="2"/>
    <n v="1128299"/>
    <x v="22"/>
    <x v="0"/>
    <s v="Idaho"/>
    <s v="Boise"/>
    <s v="Online"/>
    <x v="2"/>
    <n v="36"/>
    <n v="111"/>
    <n v="3996"/>
    <n v="2597.4"/>
  </r>
  <r>
    <x v="2"/>
    <n v="1128299"/>
    <x v="22"/>
    <x v="0"/>
    <s v="Idaho"/>
    <s v="Boise"/>
    <s v="Outlet"/>
    <x v="5"/>
    <n v="30"/>
    <n v="88"/>
    <n v="2640"/>
    <n v="1663.2"/>
  </r>
  <r>
    <x v="0"/>
    <n v="1197831"/>
    <x v="22"/>
    <x v="2"/>
    <s v="Arkansas"/>
    <s v="Little Rock"/>
    <s v="Outlet"/>
    <x v="0"/>
    <n v="18"/>
    <n v="124"/>
    <n v="2232"/>
    <n v="1383.8400000000001"/>
  </r>
  <r>
    <x v="3"/>
    <n v="1197831"/>
    <x v="22"/>
    <x v="2"/>
    <s v="Mississippi"/>
    <s v="Jackson"/>
    <s v="Outlet"/>
    <x v="1"/>
    <n v="26"/>
    <n v="123"/>
    <n v="3198"/>
    <n v="1982.76"/>
  </r>
  <r>
    <x v="2"/>
    <n v="1128299"/>
    <x v="22"/>
    <x v="0"/>
    <s v="Idaho"/>
    <s v="Boise"/>
    <s v="Outlet"/>
    <x v="3"/>
    <n v="31"/>
    <n v="145"/>
    <n v="4495"/>
    <n v="2741.9500000000003"/>
  </r>
  <r>
    <x v="2"/>
    <n v="1128299"/>
    <x v="22"/>
    <x v="0"/>
    <s v="Idaho"/>
    <s v="Boise"/>
    <s v="Outlet"/>
    <x v="4"/>
    <n v="23"/>
    <n v="136"/>
    <n v="3128"/>
    <n v="1876.8000000000002"/>
  </r>
  <r>
    <x v="3"/>
    <n v="1197831"/>
    <x v="22"/>
    <x v="2"/>
    <s v="Mississippi"/>
    <s v="Jackson"/>
    <s v="Outlet"/>
    <x v="0"/>
    <n v="18"/>
    <n v="135"/>
    <n v="2430"/>
    <n v="1458"/>
  </r>
  <r>
    <x v="0"/>
    <n v="1197831"/>
    <x v="22"/>
    <x v="2"/>
    <s v="Arkansas"/>
    <s v="Little Rock"/>
    <s v="Outlet"/>
    <x v="1"/>
    <n v="23"/>
    <n v="91"/>
    <n v="2093"/>
    <n v="1234.8699999999999"/>
  </r>
  <r>
    <x v="2"/>
    <n v="1128299"/>
    <x v="22"/>
    <x v="0"/>
    <s v="Idaho"/>
    <s v="Boise"/>
    <s v="Outlet"/>
    <x v="0"/>
    <n v="30"/>
    <n v="140"/>
    <n v="4200"/>
    <n v="2394"/>
  </r>
  <r>
    <x v="3"/>
    <n v="1197831"/>
    <x v="22"/>
    <x v="2"/>
    <s v="Mississippi"/>
    <s v="Jackson"/>
    <s v="Outlet"/>
    <x v="2"/>
    <n v="18"/>
    <n v="158"/>
    <n v="2844"/>
    <n v="1621.08"/>
  </r>
  <r>
    <x v="0"/>
    <n v="1197831"/>
    <x v="22"/>
    <x v="2"/>
    <s v="Arkansas"/>
    <s v="Little Rock"/>
    <s v="Outlet"/>
    <x v="3"/>
    <n v="10"/>
    <n v="131"/>
    <n v="1310"/>
    <n v="746.69999999999993"/>
  </r>
  <r>
    <x v="0"/>
    <n v="1197831"/>
    <x v="22"/>
    <x v="2"/>
    <s v="Arkansas"/>
    <s v="Little Rock"/>
    <s v="Outlet"/>
    <x v="5"/>
    <n v="13"/>
    <n v="74"/>
    <n v="962"/>
    <n v="548.33999999999992"/>
  </r>
  <r>
    <x v="3"/>
    <n v="1197831"/>
    <x v="22"/>
    <x v="2"/>
    <s v="Mississippi"/>
    <s v="Jackson"/>
    <s v="Outlet"/>
    <x v="4"/>
    <n v="17"/>
    <n v="215"/>
    <n v="3655"/>
    <n v="2046.8"/>
  </r>
  <r>
    <x v="3"/>
    <n v="1197831"/>
    <x v="22"/>
    <x v="2"/>
    <s v="Mississippi"/>
    <s v="Jackson"/>
    <s v="Outlet"/>
    <x v="3"/>
    <n v="11"/>
    <n v="140"/>
    <n v="1540"/>
    <n v="862.4"/>
  </r>
  <r>
    <x v="0"/>
    <n v="1197831"/>
    <x v="22"/>
    <x v="2"/>
    <s v="Arkansas"/>
    <s v="Little Rock"/>
    <s v="Online"/>
    <x v="0"/>
    <n v="25"/>
    <n v="109"/>
    <n v="2725"/>
    <n v="1498.7500000000002"/>
  </r>
  <r>
    <x v="2"/>
    <n v="1128299"/>
    <x v="22"/>
    <x v="0"/>
    <s v="Idaho"/>
    <s v="Boise"/>
    <s v="Online"/>
    <x v="1"/>
    <n v="42"/>
    <n v="63"/>
    <n v="2646"/>
    <n v="1455.3000000000002"/>
  </r>
  <r>
    <x v="3"/>
    <n v="1197831"/>
    <x v="22"/>
    <x v="2"/>
    <s v="Mississippi"/>
    <s v="Jackson"/>
    <s v="Online"/>
    <x v="0"/>
    <n v="25"/>
    <n v="131"/>
    <n v="3275"/>
    <n v="1801.2500000000002"/>
  </r>
  <r>
    <x v="0"/>
    <n v="1197831"/>
    <x v="22"/>
    <x v="2"/>
    <s v="Arkansas"/>
    <s v="Little Rock"/>
    <s v="Outlet"/>
    <x v="2"/>
    <n v="18"/>
    <n v="124"/>
    <n v="2232"/>
    <n v="1227.5999999999999"/>
  </r>
  <r>
    <x v="2"/>
    <n v="1128299"/>
    <x v="22"/>
    <x v="0"/>
    <s v="Idaho"/>
    <s v="Boise"/>
    <s v="Online"/>
    <x v="5"/>
    <n v="38"/>
    <n v="77"/>
    <n v="2926"/>
    <n v="1580.0400000000002"/>
  </r>
  <r>
    <x v="3"/>
    <n v="1197831"/>
    <x v="22"/>
    <x v="2"/>
    <s v="Mississippi"/>
    <s v="Jackson"/>
    <s v="Outlet"/>
    <x v="5"/>
    <n v="13"/>
    <n v="102"/>
    <n v="1326"/>
    <n v="702.78"/>
  </r>
  <r>
    <x v="0"/>
    <n v="1197831"/>
    <x v="22"/>
    <x v="2"/>
    <s v="Arkansas"/>
    <s v="Little Rock"/>
    <s v="Outlet"/>
    <x v="4"/>
    <n v="17"/>
    <n v="178"/>
    <n v="3026"/>
    <n v="1603.78"/>
  </r>
  <r>
    <x v="2"/>
    <n v="1128299"/>
    <x v="22"/>
    <x v="0"/>
    <s v="Idaho"/>
    <s v="Boise"/>
    <s v="Online"/>
    <x v="4"/>
    <n v="29"/>
    <n v="119"/>
    <n v="3451"/>
    <n v="1794.52"/>
  </r>
  <r>
    <x v="3"/>
    <n v="1197831"/>
    <x v="22"/>
    <x v="2"/>
    <s v="Mississippi"/>
    <s v="Jackson"/>
    <s v="Online"/>
    <x v="1"/>
    <n v="34"/>
    <n v="95"/>
    <n v="3230"/>
    <n v="1679.6000000000001"/>
  </r>
  <r>
    <x v="2"/>
    <n v="1128299"/>
    <x v="22"/>
    <x v="0"/>
    <s v="Idaho"/>
    <s v="Boise"/>
    <s v="Online"/>
    <x v="3"/>
    <n v="37"/>
    <n v="106"/>
    <n v="3922"/>
    <n v="2000.22"/>
  </r>
  <r>
    <x v="0"/>
    <n v="1197831"/>
    <x v="22"/>
    <x v="2"/>
    <s v="Arkansas"/>
    <s v="Little Rock"/>
    <s v="Online"/>
    <x v="1"/>
    <n v="33"/>
    <n v="80"/>
    <n v="2640"/>
    <n v="1320"/>
  </r>
  <r>
    <x v="2"/>
    <n v="1128299"/>
    <x v="22"/>
    <x v="0"/>
    <s v="Idaho"/>
    <s v="Boise"/>
    <s v="Online"/>
    <x v="0"/>
    <n v="37"/>
    <n v="106"/>
    <n v="3922"/>
    <n v="1921.78"/>
  </r>
  <r>
    <x v="3"/>
    <n v="1197831"/>
    <x v="22"/>
    <x v="2"/>
    <s v="Mississippi"/>
    <s v="Jackson"/>
    <s v="Online"/>
    <x v="4"/>
    <n v="24"/>
    <n v="176"/>
    <n v="4224"/>
    <n v="2069.7599999999998"/>
  </r>
  <r>
    <x v="3"/>
    <n v="1197831"/>
    <x v="22"/>
    <x v="2"/>
    <s v="Mississippi"/>
    <s v="Jackson"/>
    <s v="Online"/>
    <x v="3"/>
    <n v="14"/>
    <n v="117"/>
    <n v="1638"/>
    <n v="802.62"/>
  </r>
  <r>
    <x v="3"/>
    <n v="1197831"/>
    <x v="22"/>
    <x v="2"/>
    <s v="Mississippi"/>
    <s v="Jackson"/>
    <s v="Online"/>
    <x v="2"/>
    <n v="23"/>
    <n v="122"/>
    <n v="2806"/>
    <n v="1346.8799999999999"/>
  </r>
  <r>
    <x v="0"/>
    <n v="1197831"/>
    <x v="22"/>
    <x v="2"/>
    <s v="Arkansas"/>
    <s v="Little Rock"/>
    <s v="Online"/>
    <x v="2"/>
    <n v="23"/>
    <n v="101"/>
    <n v="2323"/>
    <n v="1115.04"/>
  </r>
  <r>
    <x v="3"/>
    <n v="1197831"/>
    <x v="22"/>
    <x v="2"/>
    <s v="Mississippi"/>
    <s v="Jackson"/>
    <s v="Online"/>
    <x v="5"/>
    <n v="19"/>
    <n v="78"/>
    <n v="1482"/>
    <n v="696.54"/>
  </r>
  <r>
    <x v="0"/>
    <n v="1197831"/>
    <x v="22"/>
    <x v="2"/>
    <s v="Arkansas"/>
    <s v="Little Rock"/>
    <s v="Online"/>
    <x v="4"/>
    <n v="24"/>
    <n v="167"/>
    <n v="4008"/>
    <n v="1883.7599999999998"/>
  </r>
  <r>
    <x v="1"/>
    <n v="1189833"/>
    <x v="22"/>
    <x v="1"/>
    <s v="Montana"/>
    <s v="Billings"/>
    <s v="Online"/>
    <x v="3"/>
    <n v="44"/>
    <n v="111"/>
    <n v="4884"/>
    <n v="2197.7999999999997"/>
  </r>
  <r>
    <x v="0"/>
    <n v="1197831"/>
    <x v="22"/>
    <x v="2"/>
    <s v="Arkansas"/>
    <s v="Little Rock"/>
    <s v="Online"/>
    <x v="3"/>
    <n v="15"/>
    <n v="98"/>
    <n v="1470"/>
    <n v="661.49999999999989"/>
  </r>
  <r>
    <x v="0"/>
    <n v="1197831"/>
    <x v="22"/>
    <x v="2"/>
    <s v="Arkansas"/>
    <s v="Little Rock"/>
    <s v="Online"/>
    <x v="5"/>
    <n v="18"/>
    <n v="65"/>
    <n v="1170"/>
    <n v="526.5"/>
  </r>
  <r>
    <x v="2"/>
    <n v="1185732"/>
    <x v="23"/>
    <x v="4"/>
    <s v="New Hampshire"/>
    <s v="Manchester"/>
    <s v="Outlet"/>
    <x v="3"/>
    <n v="45"/>
    <n v="300"/>
    <n v="13500"/>
    <n v="10125"/>
  </r>
  <r>
    <x v="2"/>
    <n v="1185732"/>
    <x v="23"/>
    <x v="4"/>
    <s v="New Hampshire"/>
    <s v="Manchester"/>
    <s v="Outlet"/>
    <x v="1"/>
    <n v="65.000000000000014"/>
    <n v="200"/>
    <n v="13000.000000000004"/>
    <n v="9750.0000000000036"/>
  </r>
  <r>
    <x v="2"/>
    <n v="1185732"/>
    <x v="23"/>
    <x v="4"/>
    <s v="New Hampshire"/>
    <s v="Manchester"/>
    <s v="Outlet"/>
    <x v="5"/>
    <n v="49.999999999999993"/>
    <n v="150"/>
    <n v="7499.9999999999991"/>
    <n v="5624.9999999999982"/>
  </r>
  <r>
    <x v="4"/>
    <n v="1185732"/>
    <x v="23"/>
    <x v="0"/>
    <s v="Alaska"/>
    <s v="Anchorage"/>
    <s v="Outlet"/>
    <x v="2"/>
    <n v="55.000000000000007"/>
    <n v="300"/>
    <n v="16500.000000000004"/>
    <n v="11550.000000000004"/>
  </r>
  <r>
    <x v="2"/>
    <n v="1128299"/>
    <x v="23"/>
    <x v="0"/>
    <s v="Wyoming"/>
    <s v="Cheyenne"/>
    <s v="In-store"/>
    <x v="2"/>
    <n v="40"/>
    <n v="400"/>
    <n v="16000"/>
    <n v="11200"/>
  </r>
  <r>
    <x v="0"/>
    <n v="1128299"/>
    <x v="23"/>
    <x v="0"/>
    <s v="Utah"/>
    <s v="Salt Lake City"/>
    <s v="In-store"/>
    <x v="2"/>
    <n v="40"/>
    <n v="400"/>
    <n v="16000"/>
    <n v="11200"/>
  </r>
  <r>
    <x v="2"/>
    <n v="1185732"/>
    <x v="23"/>
    <x v="4"/>
    <s v="West Virginia"/>
    <s v="Charleston"/>
    <s v="In-store"/>
    <x v="1"/>
    <n v="45"/>
    <n v="125"/>
    <n v="5625"/>
    <n v="3937.5"/>
  </r>
  <r>
    <x v="2"/>
    <n v="1185732"/>
    <x v="23"/>
    <x v="4"/>
    <s v="West Virginia"/>
    <s v="Charleston"/>
    <s v="In-store"/>
    <x v="2"/>
    <n v="35"/>
    <n v="225"/>
    <n v="7875"/>
    <n v="5512.5"/>
  </r>
  <r>
    <x v="2"/>
    <n v="1185732"/>
    <x v="23"/>
    <x v="4"/>
    <s v="New Hampshire"/>
    <s v="Manchester"/>
    <s v="Outlet"/>
    <x v="2"/>
    <n v="55.000000000000007"/>
    <n v="300"/>
    <n v="16500.000000000004"/>
    <n v="11550.000000000004"/>
  </r>
  <r>
    <x v="0"/>
    <n v="1128299"/>
    <x v="23"/>
    <x v="0"/>
    <s v="California"/>
    <s v="San Francisco"/>
    <s v="Outlet"/>
    <x v="4"/>
    <n v="55.000000000000007"/>
    <n v="925"/>
    <n v="50875.000000000007"/>
    <n v="35612.5"/>
  </r>
  <r>
    <x v="2"/>
    <n v="1185732"/>
    <x v="23"/>
    <x v="4"/>
    <s v="West Virginia"/>
    <s v="Charleston"/>
    <s v="In-store"/>
    <x v="3"/>
    <n v="25.000000000000007"/>
    <n v="225"/>
    <n v="5625.0000000000018"/>
    <n v="3656.2500000000014"/>
  </r>
  <r>
    <x v="2"/>
    <n v="1128299"/>
    <x v="23"/>
    <x v="0"/>
    <s v="Wyoming"/>
    <s v="Cheyenne"/>
    <s v="In-store"/>
    <x v="4"/>
    <n v="30.000000000000004"/>
    <n v="350"/>
    <n v="10500.000000000002"/>
    <n v="6825.0000000000018"/>
  </r>
  <r>
    <x v="2"/>
    <n v="1128299"/>
    <x v="23"/>
    <x v="0"/>
    <s v="Wyoming"/>
    <s v="Cheyenne"/>
    <s v="In-store"/>
    <x v="0"/>
    <n v="40"/>
    <n v="350"/>
    <n v="14000"/>
    <n v="9100"/>
  </r>
  <r>
    <x v="2"/>
    <n v="1128299"/>
    <x v="23"/>
    <x v="0"/>
    <s v="Wyoming"/>
    <s v="Cheyenne"/>
    <s v="In-store"/>
    <x v="3"/>
    <n v="40"/>
    <n v="350"/>
    <n v="14000"/>
    <n v="9100"/>
  </r>
  <r>
    <x v="2"/>
    <n v="1128299"/>
    <x v="23"/>
    <x v="0"/>
    <s v="Wyoming"/>
    <s v="Cheyenne"/>
    <s v="In-store"/>
    <x v="5"/>
    <n v="40"/>
    <n v="200"/>
    <n v="8000"/>
    <n v="5200"/>
  </r>
  <r>
    <x v="0"/>
    <n v="1128299"/>
    <x v="23"/>
    <x v="0"/>
    <s v="Utah"/>
    <s v="Salt Lake City"/>
    <s v="In-store"/>
    <x v="4"/>
    <n v="30.000000000000004"/>
    <n v="350"/>
    <n v="10500.000000000002"/>
    <n v="6825.0000000000018"/>
  </r>
  <r>
    <x v="0"/>
    <n v="1128299"/>
    <x v="23"/>
    <x v="0"/>
    <s v="Utah"/>
    <s v="Salt Lake City"/>
    <s v="In-store"/>
    <x v="0"/>
    <n v="40"/>
    <n v="350"/>
    <n v="14000"/>
    <n v="9100"/>
  </r>
  <r>
    <x v="0"/>
    <n v="1128299"/>
    <x v="23"/>
    <x v="0"/>
    <s v="Utah"/>
    <s v="Salt Lake City"/>
    <s v="In-store"/>
    <x v="3"/>
    <n v="40"/>
    <n v="350"/>
    <n v="14000"/>
    <n v="9100"/>
  </r>
  <r>
    <x v="0"/>
    <n v="1128299"/>
    <x v="23"/>
    <x v="0"/>
    <s v="Utah"/>
    <s v="Salt Lake City"/>
    <s v="In-store"/>
    <x v="5"/>
    <n v="40"/>
    <n v="200"/>
    <n v="8000"/>
    <n v="5200"/>
  </r>
  <r>
    <x v="2"/>
    <n v="1185732"/>
    <x v="23"/>
    <x v="4"/>
    <s v="West Virginia"/>
    <s v="Charleston"/>
    <s v="In-store"/>
    <x v="0"/>
    <n v="35"/>
    <n v="225"/>
    <n v="7875"/>
    <n v="5118.75"/>
  </r>
  <r>
    <x v="2"/>
    <n v="1185732"/>
    <x v="23"/>
    <x v="4"/>
    <s v="West Virginia"/>
    <s v="Charleston"/>
    <s v="In-store"/>
    <x v="5"/>
    <n v="30"/>
    <n v="75"/>
    <n v="2250"/>
    <n v="1462.5"/>
  </r>
  <r>
    <x v="2"/>
    <n v="1185732"/>
    <x v="23"/>
    <x v="4"/>
    <s v="New Hampshire"/>
    <s v="Manchester"/>
    <s v="Outlet"/>
    <x v="4"/>
    <n v="55.000000000000007"/>
    <n v="500"/>
    <n v="27500.000000000004"/>
    <n v="17875.000000000004"/>
  </r>
  <r>
    <x v="2"/>
    <n v="1185732"/>
    <x v="23"/>
    <x v="4"/>
    <s v="New Hampshire"/>
    <s v="Manchester"/>
    <s v="Outlet"/>
    <x v="0"/>
    <n v="55.000000000000007"/>
    <n v="300"/>
    <n v="16500.000000000004"/>
    <n v="10725.000000000002"/>
  </r>
  <r>
    <x v="1"/>
    <n v="1189833"/>
    <x v="23"/>
    <x v="1"/>
    <s v="Montana"/>
    <s v="Billings"/>
    <s v="Outlet"/>
    <x v="5"/>
    <n v="40"/>
    <n v="325"/>
    <n v="13000"/>
    <n v="7800"/>
  </r>
  <r>
    <x v="2"/>
    <n v="1128299"/>
    <x v="23"/>
    <x v="0"/>
    <s v="Wyoming"/>
    <s v="Cheyenne"/>
    <s v="In-store"/>
    <x v="1"/>
    <n v="45.000000000000007"/>
    <n v="150"/>
    <n v="6750.0000000000009"/>
    <n v="4050.0000000000009"/>
  </r>
  <r>
    <x v="0"/>
    <n v="1128299"/>
    <x v="23"/>
    <x v="0"/>
    <s v="Utah"/>
    <s v="Salt Lake City"/>
    <s v="In-store"/>
    <x v="1"/>
    <n v="45.000000000000007"/>
    <n v="150"/>
    <n v="6750.0000000000009"/>
    <n v="4050.0000000000009"/>
  </r>
  <r>
    <x v="2"/>
    <n v="1185732"/>
    <x v="23"/>
    <x v="4"/>
    <s v="West Virginia"/>
    <s v="Charleston"/>
    <s v="In-store"/>
    <x v="4"/>
    <n v="35"/>
    <n v="425"/>
    <n v="14875"/>
    <n v="8925"/>
  </r>
  <r>
    <x v="2"/>
    <n v="1185732"/>
    <x v="23"/>
    <x v="4"/>
    <s v="New Hampshire"/>
    <s v="Manchester"/>
    <s v="Outlet"/>
    <x v="3"/>
    <n v="35"/>
    <n v="99"/>
    <n v="3465"/>
    <n v="2529.4499999999998"/>
  </r>
  <r>
    <x v="2"/>
    <n v="1185732"/>
    <x v="23"/>
    <x v="4"/>
    <s v="New Hampshire"/>
    <s v="Manchester"/>
    <s v="Outlet"/>
    <x v="5"/>
    <n v="33"/>
    <n v="51"/>
    <n v="1683"/>
    <n v="1211.76"/>
  </r>
  <r>
    <x v="2"/>
    <n v="1185732"/>
    <x v="23"/>
    <x v="4"/>
    <s v="New Hampshire"/>
    <s v="Manchester"/>
    <s v="Outlet"/>
    <x v="1"/>
    <n v="50"/>
    <n v="64"/>
    <n v="3200"/>
    <n v="2304"/>
  </r>
  <r>
    <x v="2"/>
    <n v="1185732"/>
    <x v="23"/>
    <x v="4"/>
    <s v="New Hampshire"/>
    <s v="Manchester"/>
    <s v="Outlet"/>
    <x v="2"/>
    <n v="41"/>
    <n v="105"/>
    <n v="4305"/>
    <n v="2927.3999999999996"/>
  </r>
  <r>
    <x v="0"/>
    <n v="1128299"/>
    <x v="23"/>
    <x v="0"/>
    <s v="Utah"/>
    <s v="Salt Lake City"/>
    <s v="Outlet"/>
    <x v="2"/>
    <n v="28"/>
    <n v="132"/>
    <n v="3696"/>
    <n v="2439.36"/>
  </r>
  <r>
    <x v="2"/>
    <n v="1185732"/>
    <x v="23"/>
    <x v="4"/>
    <s v="New Hampshire"/>
    <s v="Manchester"/>
    <s v="Online"/>
    <x v="3"/>
    <n v="44"/>
    <n v="90"/>
    <n v="3960"/>
    <n v="2574"/>
  </r>
  <r>
    <x v="0"/>
    <n v="1128299"/>
    <x v="23"/>
    <x v="0"/>
    <s v="California"/>
    <s v="San Francisco"/>
    <s v="Outlet"/>
    <x v="4"/>
    <n v="40"/>
    <n v="287"/>
    <n v="11480"/>
    <n v="7462"/>
  </r>
  <r>
    <x v="2"/>
    <n v="1185732"/>
    <x v="23"/>
    <x v="4"/>
    <s v="New Hampshire"/>
    <s v="Manchester"/>
    <s v="Online"/>
    <x v="5"/>
    <n v="49"/>
    <n v="39"/>
    <n v="1911"/>
    <n v="1203.93"/>
  </r>
  <r>
    <x v="2"/>
    <n v="1185732"/>
    <x v="23"/>
    <x v="4"/>
    <s v="New Hampshire"/>
    <s v="Manchester"/>
    <s v="Online"/>
    <x v="1"/>
    <n v="60"/>
    <n v="54"/>
    <n v="3240"/>
    <n v="2041.2"/>
  </r>
  <r>
    <x v="0"/>
    <n v="1128299"/>
    <x v="23"/>
    <x v="0"/>
    <s v="Utah"/>
    <s v="Salt Lake City"/>
    <s v="Outlet"/>
    <x v="4"/>
    <n v="24"/>
    <n v="109"/>
    <n v="2616"/>
    <n v="1648.08"/>
  </r>
  <r>
    <x v="2"/>
    <n v="1185732"/>
    <x v="23"/>
    <x v="4"/>
    <s v="New Hampshire"/>
    <s v="Manchester"/>
    <s v="Outlet"/>
    <x v="4"/>
    <n v="36"/>
    <n v="165"/>
    <n v="5940"/>
    <n v="3742.2"/>
  </r>
  <r>
    <x v="0"/>
    <n v="1128299"/>
    <x v="23"/>
    <x v="0"/>
    <s v="Utah"/>
    <s v="Salt Lake City"/>
    <s v="Outlet"/>
    <x v="5"/>
    <n v="30"/>
    <n v="68"/>
    <n v="2040"/>
    <n v="1264.8"/>
  </r>
  <r>
    <x v="0"/>
    <n v="1128299"/>
    <x v="23"/>
    <x v="0"/>
    <s v="Utah"/>
    <s v="Salt Lake City"/>
    <s v="Outlet"/>
    <x v="3"/>
    <n v="31"/>
    <n v="105"/>
    <n v="3255"/>
    <n v="1985.5500000000002"/>
  </r>
  <r>
    <x v="2"/>
    <n v="1185732"/>
    <x v="23"/>
    <x v="4"/>
    <s v="New Hampshire"/>
    <s v="Manchester"/>
    <s v="Outlet"/>
    <x v="0"/>
    <n v="36"/>
    <n v="93"/>
    <n v="3348"/>
    <n v="2008.8"/>
  </r>
  <r>
    <x v="2"/>
    <n v="1185732"/>
    <x v="23"/>
    <x v="4"/>
    <s v="West Virginia"/>
    <s v="Charleston"/>
    <s v="Online"/>
    <x v="2"/>
    <n v="33"/>
    <n v="59"/>
    <n v="1947"/>
    <n v="1168.1999999999998"/>
  </r>
  <r>
    <x v="0"/>
    <n v="1128299"/>
    <x v="23"/>
    <x v="0"/>
    <s v="Utah"/>
    <s v="Salt Lake City"/>
    <s v="Outlet"/>
    <x v="0"/>
    <n v="29"/>
    <n v="123"/>
    <n v="3567"/>
    <n v="2140.1999999999998"/>
  </r>
  <r>
    <x v="4"/>
    <n v="1185732"/>
    <x v="23"/>
    <x v="0"/>
    <s v="Alaska"/>
    <s v="Anchorage"/>
    <s v="Online"/>
    <x v="2"/>
    <n v="52"/>
    <n v="84"/>
    <n v="4368"/>
    <n v="2577.12"/>
  </r>
  <r>
    <x v="0"/>
    <n v="1128299"/>
    <x v="23"/>
    <x v="0"/>
    <s v="California"/>
    <s v="San Francisco"/>
    <s v="Online"/>
    <x v="4"/>
    <n v="51"/>
    <n v="241"/>
    <n v="12291"/>
    <n v="7128.78"/>
  </r>
  <r>
    <x v="0"/>
    <n v="1128299"/>
    <x v="23"/>
    <x v="0"/>
    <s v="Utah"/>
    <s v="Salt Lake City"/>
    <s v="Online"/>
    <x v="2"/>
    <n v="39"/>
    <n v="108"/>
    <n v="4212"/>
    <n v="2400.84"/>
  </r>
  <r>
    <x v="2"/>
    <n v="1185732"/>
    <x v="23"/>
    <x v="4"/>
    <s v="West Virginia"/>
    <s v="Charleston"/>
    <s v="Online"/>
    <x v="1"/>
    <n v="42"/>
    <n v="33"/>
    <n v="1386"/>
    <n v="790.02"/>
  </r>
  <r>
    <x v="2"/>
    <n v="1185732"/>
    <x v="23"/>
    <x v="4"/>
    <s v="New Hampshire"/>
    <s v="Manchester"/>
    <s v="Online"/>
    <x v="2"/>
    <n v="54"/>
    <n v="78"/>
    <n v="4212"/>
    <n v="2316.6000000000004"/>
  </r>
  <r>
    <x v="2"/>
    <n v="1128299"/>
    <x v="23"/>
    <x v="0"/>
    <s v="Wyoming"/>
    <s v="Cheyenne"/>
    <s v="Online"/>
    <x v="2"/>
    <n v="38"/>
    <n v="116"/>
    <n v="4408"/>
    <n v="2424.4"/>
  </r>
  <r>
    <x v="2"/>
    <n v="1128299"/>
    <x v="23"/>
    <x v="0"/>
    <s v="Wyoming"/>
    <s v="Cheyenne"/>
    <s v="Online"/>
    <x v="3"/>
    <n v="39"/>
    <n v="91"/>
    <n v="3549"/>
    <n v="1951.95"/>
  </r>
  <r>
    <x v="2"/>
    <n v="1128299"/>
    <x v="23"/>
    <x v="0"/>
    <s v="Wyoming"/>
    <s v="Cheyenne"/>
    <s v="Online"/>
    <x v="4"/>
    <n v="29"/>
    <n v="91"/>
    <n v="2639"/>
    <n v="1425.0600000000002"/>
  </r>
  <r>
    <x v="2"/>
    <n v="1128299"/>
    <x v="23"/>
    <x v="0"/>
    <s v="Wyoming"/>
    <s v="Cheyenne"/>
    <s v="Online"/>
    <x v="0"/>
    <n v="36"/>
    <n v="105"/>
    <n v="3780"/>
    <n v="2041.2"/>
  </r>
  <r>
    <x v="0"/>
    <n v="1128299"/>
    <x v="23"/>
    <x v="0"/>
    <s v="Utah"/>
    <s v="Salt Lake City"/>
    <s v="Online"/>
    <x v="5"/>
    <n v="39"/>
    <n v="58"/>
    <n v="2262"/>
    <n v="1221.48"/>
  </r>
  <r>
    <x v="2"/>
    <n v="1185732"/>
    <x v="23"/>
    <x v="4"/>
    <s v="West Virginia"/>
    <s v="Charleston"/>
    <s v="Online"/>
    <x v="3"/>
    <n v="24"/>
    <n v="63"/>
    <n v="1512"/>
    <n v="816.48"/>
  </r>
  <r>
    <x v="2"/>
    <n v="1185732"/>
    <x v="23"/>
    <x v="4"/>
    <s v="New Hampshire"/>
    <s v="Manchester"/>
    <s v="Online"/>
    <x v="4"/>
    <n v="52"/>
    <n v="145"/>
    <n v="7540"/>
    <n v="4071.6"/>
  </r>
  <r>
    <x v="0"/>
    <n v="1128299"/>
    <x v="23"/>
    <x v="0"/>
    <s v="Utah"/>
    <s v="Salt Lake City"/>
    <s v="Outlet"/>
    <x v="1"/>
    <n v="35"/>
    <n v="53"/>
    <n v="1855"/>
    <n v="1001.6999999999999"/>
  </r>
  <r>
    <x v="2"/>
    <n v="1185732"/>
    <x v="23"/>
    <x v="4"/>
    <s v="West Virginia"/>
    <s v="Charleston"/>
    <s v="Online"/>
    <x v="0"/>
    <n v="34"/>
    <n v="68"/>
    <n v="2312"/>
    <n v="1225.3600000000001"/>
  </r>
  <r>
    <x v="2"/>
    <n v="1185732"/>
    <x v="23"/>
    <x v="4"/>
    <s v="New Hampshire"/>
    <s v="Manchester"/>
    <s v="Online"/>
    <x v="0"/>
    <n v="50"/>
    <n v="84"/>
    <n v="4200"/>
    <n v="2226"/>
  </r>
  <r>
    <x v="2"/>
    <n v="1128299"/>
    <x v="23"/>
    <x v="0"/>
    <s v="Wyoming"/>
    <s v="Cheyenne"/>
    <s v="Online"/>
    <x v="5"/>
    <n v="38"/>
    <n v="54"/>
    <n v="2052"/>
    <n v="1087.56"/>
  </r>
  <r>
    <x v="0"/>
    <n v="1128299"/>
    <x v="23"/>
    <x v="0"/>
    <s v="Utah"/>
    <s v="Salt Lake City"/>
    <s v="Online"/>
    <x v="4"/>
    <n v="27"/>
    <n v="98"/>
    <n v="2646"/>
    <n v="1375.92"/>
  </r>
  <r>
    <x v="0"/>
    <n v="1128299"/>
    <x v="23"/>
    <x v="0"/>
    <s v="Utah"/>
    <s v="Salt Lake City"/>
    <s v="Online"/>
    <x v="3"/>
    <n v="39"/>
    <n v="105"/>
    <n v="4095"/>
    <n v="2129.4"/>
  </r>
  <r>
    <x v="0"/>
    <n v="1128299"/>
    <x v="23"/>
    <x v="0"/>
    <s v="Utah"/>
    <s v="Salt Lake City"/>
    <s v="Online"/>
    <x v="0"/>
    <n v="39"/>
    <n v="105"/>
    <n v="4095"/>
    <n v="2088.4499999999998"/>
  </r>
  <r>
    <x v="2"/>
    <n v="1185732"/>
    <x v="23"/>
    <x v="4"/>
    <s v="West Virginia"/>
    <s v="Charleston"/>
    <s v="Online"/>
    <x v="4"/>
    <n v="33"/>
    <n v="106"/>
    <n v="3498"/>
    <n v="1749"/>
  </r>
  <r>
    <x v="2"/>
    <n v="1185732"/>
    <x v="23"/>
    <x v="4"/>
    <s v="West Virginia"/>
    <s v="Charleston"/>
    <s v="Online"/>
    <x v="5"/>
    <n v="28"/>
    <n v="20"/>
    <n v="560"/>
    <n v="280"/>
  </r>
  <r>
    <x v="2"/>
    <n v="1128299"/>
    <x v="23"/>
    <x v="0"/>
    <s v="Wyoming"/>
    <s v="Cheyenne"/>
    <s v="Online"/>
    <x v="1"/>
    <n v="42"/>
    <n v="45"/>
    <n v="1890"/>
    <n v="926.1"/>
  </r>
  <r>
    <x v="1"/>
    <n v="1189833"/>
    <x v="23"/>
    <x v="1"/>
    <s v="Montana"/>
    <s v="Billings"/>
    <s v="Online"/>
    <x v="5"/>
    <n v="38"/>
    <n v="88"/>
    <n v="3344"/>
    <n v="1571.6799999999998"/>
  </r>
  <r>
    <x v="0"/>
    <n v="1128299"/>
    <x v="23"/>
    <x v="0"/>
    <s v="Utah"/>
    <s v="Salt Lake City"/>
    <s v="Online"/>
    <x v="1"/>
    <n v="42"/>
    <n v="44"/>
    <n v="1848"/>
    <n v="831.59999999999991"/>
  </r>
  <r>
    <x v="0"/>
    <n v="1128299"/>
    <x v="24"/>
    <x v="0"/>
    <s v="California"/>
    <s v="San Francisco"/>
    <s v="Outlet"/>
    <x v="0"/>
    <n v="60.000000000000007"/>
    <n v="925"/>
    <n v="55500.000000000007"/>
    <n v="47175.000000000015"/>
  </r>
  <r>
    <x v="1"/>
    <n v="1189833"/>
    <x v="24"/>
    <x v="1"/>
    <s v="Montana"/>
    <s v="Billings"/>
    <s v="Outlet"/>
    <x v="1"/>
    <n v="45"/>
    <n v="225"/>
    <n v="10125"/>
    <n v="4049.9999999999991"/>
  </r>
  <r>
    <x v="0"/>
    <n v="1128299"/>
    <x v="24"/>
    <x v="0"/>
    <s v="California"/>
    <s v="San Francisco"/>
    <s v="Outlet"/>
    <x v="0"/>
    <n v="42"/>
    <n v="287"/>
    <n v="12054"/>
    <n v="10004.82"/>
  </r>
  <r>
    <x v="0"/>
    <n v="1128299"/>
    <x v="24"/>
    <x v="0"/>
    <s v="California"/>
    <s v="San Francisco"/>
    <s v="Online"/>
    <x v="0"/>
    <n v="56"/>
    <n v="268"/>
    <n v="15008"/>
    <n v="10805.759999999998"/>
  </r>
  <r>
    <x v="1"/>
    <n v="1189833"/>
    <x v="24"/>
    <x v="1"/>
    <s v="Montana"/>
    <s v="Billings"/>
    <s v="Online"/>
    <x v="1"/>
    <n v="41"/>
    <n v="61"/>
    <n v="2501"/>
    <n v="650.25999999999976"/>
  </r>
  <r>
    <x v="1"/>
    <n v="1189833"/>
    <x v="25"/>
    <x v="1"/>
    <s v="Montana"/>
    <s v="Billings"/>
    <s v="Outlet"/>
    <x v="2"/>
    <n v="60"/>
    <n v="400"/>
    <n v="24000"/>
    <n v="18000"/>
  </r>
  <r>
    <x v="1"/>
    <n v="1128299"/>
    <x v="25"/>
    <x v="0"/>
    <s v="Arizona"/>
    <s v="Phoenix"/>
    <s v="Online"/>
    <x v="2"/>
    <n v="45"/>
    <n v="475"/>
    <n v="21375"/>
    <n v="16031.25"/>
  </r>
  <r>
    <x v="1"/>
    <n v="1128299"/>
    <x v="25"/>
    <x v="0"/>
    <s v="Arizona"/>
    <s v="Phoenix"/>
    <s v="Online"/>
    <x v="1"/>
    <n v="50.000000000000014"/>
    <n v="275"/>
    <n v="13750.000000000004"/>
    <n v="9625.0000000000036"/>
  </r>
  <r>
    <x v="0"/>
    <n v="1128299"/>
    <x v="25"/>
    <x v="0"/>
    <s v="California"/>
    <s v="San Francisco"/>
    <s v="Outlet"/>
    <x v="3"/>
    <n v="55.000000000000007"/>
    <n v="775"/>
    <n v="42625.000000000007"/>
    <n v="29837.5"/>
  </r>
  <r>
    <x v="1"/>
    <n v="1128299"/>
    <x v="25"/>
    <x v="0"/>
    <s v="Arizona"/>
    <s v="Phoenix"/>
    <s v="Online"/>
    <x v="4"/>
    <n v="34.999999999999993"/>
    <n v="475"/>
    <n v="16624.999999999996"/>
    <n v="10806.249999999998"/>
  </r>
  <r>
    <x v="1"/>
    <n v="1128299"/>
    <x v="25"/>
    <x v="0"/>
    <s v="Arizona"/>
    <s v="Phoenix"/>
    <s v="Online"/>
    <x v="3"/>
    <n v="45"/>
    <n v="475"/>
    <n v="21375"/>
    <n v="13893.75"/>
  </r>
  <r>
    <x v="1"/>
    <n v="1128299"/>
    <x v="25"/>
    <x v="0"/>
    <s v="Arizona"/>
    <s v="Phoenix"/>
    <s v="Online"/>
    <x v="5"/>
    <n v="45"/>
    <n v="325"/>
    <n v="14625"/>
    <n v="9506.25"/>
  </r>
  <r>
    <x v="1"/>
    <n v="1128299"/>
    <x v="25"/>
    <x v="0"/>
    <s v="Arizona"/>
    <s v="Phoenix"/>
    <s v="Online"/>
    <x v="0"/>
    <n v="45"/>
    <n v="475"/>
    <n v="21375"/>
    <n v="12825"/>
  </r>
  <r>
    <x v="1"/>
    <n v="1128299"/>
    <x v="25"/>
    <x v="0"/>
    <s v="Arizona"/>
    <s v="Phoenix"/>
    <s v="Outlet"/>
    <x v="2"/>
    <n v="36"/>
    <n v="166"/>
    <n v="5976"/>
    <n v="4362.4799999999996"/>
  </r>
  <r>
    <x v="0"/>
    <n v="1128299"/>
    <x v="25"/>
    <x v="0"/>
    <s v="California"/>
    <s v="San Francisco"/>
    <s v="Outlet"/>
    <x v="3"/>
    <n v="39"/>
    <n v="248"/>
    <n v="9672"/>
    <n v="6383.52"/>
  </r>
  <r>
    <x v="1"/>
    <n v="1128299"/>
    <x v="25"/>
    <x v="0"/>
    <s v="Arizona"/>
    <s v="Phoenix"/>
    <s v="Online"/>
    <x v="2"/>
    <n v="42"/>
    <n v="128"/>
    <n v="5376"/>
    <n v="3440.6400000000003"/>
  </r>
  <r>
    <x v="1"/>
    <n v="1128299"/>
    <x v="25"/>
    <x v="0"/>
    <s v="Arizona"/>
    <s v="Phoenix"/>
    <s v="Outlet"/>
    <x v="1"/>
    <n v="33"/>
    <n v="94"/>
    <n v="3102"/>
    <n v="1954.26"/>
  </r>
  <r>
    <x v="1"/>
    <n v="1189833"/>
    <x v="25"/>
    <x v="1"/>
    <s v="Montana"/>
    <s v="Billings"/>
    <s v="Online"/>
    <x v="2"/>
    <n v="59"/>
    <n v="108"/>
    <n v="6372"/>
    <n v="3950.64"/>
  </r>
  <r>
    <x v="1"/>
    <n v="1128299"/>
    <x v="25"/>
    <x v="0"/>
    <s v="Arizona"/>
    <s v="Phoenix"/>
    <s v="Outlet"/>
    <x v="5"/>
    <n v="30"/>
    <n v="101"/>
    <n v="3030"/>
    <n v="1878.6"/>
  </r>
  <r>
    <x v="1"/>
    <n v="1128299"/>
    <x v="25"/>
    <x v="0"/>
    <s v="Arizona"/>
    <s v="Phoenix"/>
    <s v="Outlet"/>
    <x v="3"/>
    <n v="32"/>
    <n v="157"/>
    <n v="5024"/>
    <n v="3064.6400000000003"/>
  </r>
  <r>
    <x v="0"/>
    <n v="1128299"/>
    <x v="25"/>
    <x v="0"/>
    <s v="California"/>
    <s v="San Francisco"/>
    <s v="Online"/>
    <x v="3"/>
    <n v="52"/>
    <n v="225"/>
    <n v="11700"/>
    <n v="7020"/>
  </r>
  <r>
    <x v="1"/>
    <n v="1128299"/>
    <x v="25"/>
    <x v="0"/>
    <s v="Arizona"/>
    <s v="Phoenix"/>
    <s v="Online"/>
    <x v="1"/>
    <n v="45"/>
    <n v="80"/>
    <n v="3600"/>
    <n v="2124"/>
  </r>
  <r>
    <x v="1"/>
    <n v="1128299"/>
    <x v="25"/>
    <x v="0"/>
    <s v="Arizona"/>
    <s v="Phoenix"/>
    <s v="Outlet"/>
    <x v="4"/>
    <n v="27"/>
    <n v="152"/>
    <n v="4104"/>
    <n v="2421.36"/>
  </r>
  <r>
    <x v="1"/>
    <n v="1128299"/>
    <x v="25"/>
    <x v="0"/>
    <s v="Arizona"/>
    <s v="Phoenix"/>
    <s v="Online"/>
    <x v="3"/>
    <n v="42"/>
    <n v="138"/>
    <n v="5796"/>
    <n v="3129.84"/>
  </r>
  <r>
    <x v="1"/>
    <n v="1128299"/>
    <x v="25"/>
    <x v="0"/>
    <s v="Arizona"/>
    <s v="Phoenix"/>
    <s v="Outlet"/>
    <x v="0"/>
    <n v="30"/>
    <n v="147"/>
    <n v="4410"/>
    <n v="2337.2999999999997"/>
  </r>
  <r>
    <x v="1"/>
    <n v="1128299"/>
    <x v="25"/>
    <x v="0"/>
    <s v="Arizona"/>
    <s v="Phoenix"/>
    <s v="Online"/>
    <x v="5"/>
    <n v="43"/>
    <n v="85"/>
    <n v="3655"/>
    <n v="1864.05"/>
  </r>
  <r>
    <x v="1"/>
    <n v="1128299"/>
    <x v="25"/>
    <x v="0"/>
    <s v="Arizona"/>
    <s v="Phoenix"/>
    <s v="Online"/>
    <x v="4"/>
    <n v="33"/>
    <n v="133"/>
    <n v="4389"/>
    <n v="2238.39"/>
  </r>
  <r>
    <x v="1"/>
    <n v="1128299"/>
    <x v="25"/>
    <x v="0"/>
    <s v="Arizona"/>
    <s v="Phoenix"/>
    <s v="Online"/>
    <x v="0"/>
    <n v="42"/>
    <n v="138"/>
    <n v="5796"/>
    <n v="2724.12"/>
  </r>
  <r>
    <x v="0"/>
    <n v="1128299"/>
    <x v="26"/>
    <x v="0"/>
    <s v="California"/>
    <s v="San Francisco"/>
    <s v="Outlet"/>
    <x v="5"/>
    <n v="55.000000000000007"/>
    <n v="725"/>
    <n v="39875.000000000007"/>
    <n v="29906.250000000007"/>
  </r>
  <r>
    <x v="1"/>
    <n v="1189833"/>
    <x v="26"/>
    <x v="1"/>
    <s v="Montana"/>
    <s v="Billings"/>
    <s v="Outlet"/>
    <x v="4"/>
    <n v="40"/>
    <n v="675"/>
    <n v="27000"/>
    <n v="14850"/>
  </r>
  <r>
    <x v="0"/>
    <n v="1128299"/>
    <x v="26"/>
    <x v="0"/>
    <s v="California"/>
    <s v="San Francisco"/>
    <s v="Outlet"/>
    <x v="5"/>
    <n v="39"/>
    <n v="247"/>
    <n v="9633"/>
    <n v="7032.09"/>
  </r>
  <r>
    <x v="0"/>
    <n v="1128299"/>
    <x v="26"/>
    <x v="0"/>
    <s v="California"/>
    <s v="San Francisco"/>
    <s v="Online"/>
    <x v="5"/>
    <n v="53"/>
    <n v="203"/>
    <n v="10759"/>
    <n v="6993.35"/>
  </r>
  <r>
    <x v="1"/>
    <n v="1189833"/>
    <x v="26"/>
    <x v="1"/>
    <s v="Montana"/>
    <s v="Billings"/>
    <s v="Online"/>
    <x v="4"/>
    <n v="36"/>
    <n v="169"/>
    <n v="6084"/>
    <n v="2494.4399999999996"/>
  </r>
  <r>
    <x v="1"/>
    <n v="1189833"/>
    <x v="27"/>
    <x v="1"/>
    <s v="Montana"/>
    <s v="Billings"/>
    <s v="Outlet"/>
    <x v="0"/>
    <n v="45"/>
    <n v="525"/>
    <n v="23625"/>
    <n v="16537.5"/>
  </r>
  <r>
    <x v="0"/>
    <n v="1128299"/>
    <x v="27"/>
    <x v="0"/>
    <s v="California"/>
    <s v="San Francisco"/>
    <s v="Outlet"/>
    <x v="1"/>
    <n v="65"/>
    <n v="725"/>
    <n v="47125"/>
    <n v="25918.749999999996"/>
  </r>
  <r>
    <x v="1"/>
    <n v="1189833"/>
    <x v="27"/>
    <x v="1"/>
    <s v="Montana"/>
    <s v="Billings"/>
    <s v="Online"/>
    <x v="0"/>
    <n v="42"/>
    <n v="147"/>
    <n v="6174"/>
    <n v="3642.6600000000003"/>
  </r>
  <r>
    <x v="0"/>
    <n v="1128299"/>
    <x v="27"/>
    <x v="0"/>
    <s v="California"/>
    <s v="San Francisco"/>
    <s v="Outlet"/>
    <x v="1"/>
    <n v="43"/>
    <n v="225"/>
    <n v="9675"/>
    <n v="5030.9999999999991"/>
  </r>
  <r>
    <x v="0"/>
    <n v="1128299"/>
    <x v="27"/>
    <x v="0"/>
    <s v="California"/>
    <s v="San Francisco"/>
    <s v="Online"/>
    <x v="1"/>
    <n v="63"/>
    <n v="218"/>
    <n v="13734"/>
    <n v="5768.2799999999988"/>
  </r>
  <r>
    <x v="0"/>
    <n v="1128299"/>
    <x v="28"/>
    <x v="0"/>
    <s v="California"/>
    <s v="San Francisco"/>
    <s v="Outlet"/>
    <x v="2"/>
    <n v="70"/>
    <n v="775"/>
    <n v="54250"/>
    <n v="48825"/>
  </r>
  <r>
    <x v="1"/>
    <n v="1189833"/>
    <x v="28"/>
    <x v="1"/>
    <s v="Montana"/>
    <s v="Billings"/>
    <s v="Outlet"/>
    <x v="3"/>
    <n v="45"/>
    <n v="550"/>
    <n v="24750"/>
    <n v="13612.5"/>
  </r>
  <r>
    <x v="0"/>
    <n v="1128299"/>
    <x v="28"/>
    <x v="0"/>
    <s v="California"/>
    <s v="San Francisco"/>
    <s v="Outlet"/>
    <x v="2"/>
    <n v="51"/>
    <n v="264"/>
    <n v="13464"/>
    <n v="11444.4"/>
  </r>
  <r>
    <x v="0"/>
    <n v="1128299"/>
    <x v="28"/>
    <x v="0"/>
    <s v="California"/>
    <s v="San Francisco"/>
    <s v="Online"/>
    <x v="2"/>
    <n v="65"/>
    <n v="217"/>
    <n v="14105"/>
    <n v="10719.8"/>
  </r>
  <r>
    <x v="1"/>
    <n v="1189833"/>
    <x v="28"/>
    <x v="1"/>
    <s v="Montana"/>
    <s v="Billings"/>
    <s v="Online"/>
    <x v="3"/>
    <n v="44"/>
    <n v="165"/>
    <n v="7260"/>
    <n v="3266.9999999999995"/>
  </r>
  <r>
    <x v="0"/>
    <n v="1128299"/>
    <x v="29"/>
    <x v="0"/>
    <s v="California"/>
    <s v="San Francisco"/>
    <s v="Outlet"/>
    <x v="4"/>
    <n v="55.000000000000007"/>
    <n v="875"/>
    <n v="48125.000000000007"/>
    <n v="33687.5"/>
  </r>
  <r>
    <x v="1"/>
    <n v="1189833"/>
    <x v="29"/>
    <x v="1"/>
    <s v="Montana"/>
    <s v="Billings"/>
    <s v="Outlet"/>
    <x v="5"/>
    <n v="40"/>
    <n v="425"/>
    <n v="17000"/>
    <n v="10200"/>
  </r>
  <r>
    <x v="0"/>
    <n v="1128299"/>
    <x v="29"/>
    <x v="0"/>
    <s v="California"/>
    <s v="San Francisco"/>
    <s v="Outlet"/>
    <x v="4"/>
    <n v="36"/>
    <n v="289"/>
    <n v="10404"/>
    <n v="6970.6799999999994"/>
  </r>
  <r>
    <x v="0"/>
    <n v="1128299"/>
    <x v="29"/>
    <x v="0"/>
    <s v="California"/>
    <s v="San Francisco"/>
    <s v="Online"/>
    <x v="4"/>
    <n v="51"/>
    <n v="236"/>
    <n v="12036"/>
    <n v="6619.7999999999993"/>
  </r>
  <r>
    <x v="1"/>
    <n v="1189833"/>
    <x v="29"/>
    <x v="1"/>
    <s v="Montana"/>
    <s v="Billings"/>
    <s v="Online"/>
    <x v="5"/>
    <n v="38"/>
    <n v="106"/>
    <n v="4028"/>
    <n v="1893.1599999999999"/>
  </r>
  <r>
    <x v="0"/>
    <n v="1128299"/>
    <x v="30"/>
    <x v="0"/>
    <s v="California"/>
    <s v="San Francisco"/>
    <s v="Outlet"/>
    <x v="0"/>
    <n v="60.000000000000007"/>
    <n v="875"/>
    <n v="52500.000000000007"/>
    <n v="44625.000000000015"/>
  </r>
  <r>
    <x v="1"/>
    <n v="1189833"/>
    <x v="30"/>
    <x v="1"/>
    <s v="Montana"/>
    <s v="Billings"/>
    <s v="Outlet"/>
    <x v="1"/>
    <n v="45"/>
    <n v="300"/>
    <n v="13500"/>
    <n v="5399.9999999999982"/>
  </r>
  <r>
    <x v="0"/>
    <n v="1128299"/>
    <x v="30"/>
    <x v="0"/>
    <s v="California"/>
    <s v="San Francisco"/>
    <s v="Outlet"/>
    <x v="0"/>
    <n v="39"/>
    <n v="280"/>
    <n v="10920"/>
    <n v="8954.4"/>
  </r>
  <r>
    <x v="0"/>
    <n v="1128299"/>
    <x v="30"/>
    <x v="0"/>
    <s v="California"/>
    <s v="San Francisco"/>
    <s v="Online"/>
    <x v="0"/>
    <n v="59"/>
    <n v="219"/>
    <n v="12921"/>
    <n v="9173.91"/>
  </r>
  <r>
    <x v="1"/>
    <n v="1189833"/>
    <x v="30"/>
    <x v="1"/>
    <s v="Montana"/>
    <s v="Billings"/>
    <s v="Online"/>
    <x v="1"/>
    <n v="41"/>
    <n v="75"/>
    <n v="3075"/>
    <n v="799.49999999999955"/>
  </r>
  <r>
    <x v="1"/>
    <n v="1189833"/>
    <x v="31"/>
    <x v="1"/>
    <s v="Montana"/>
    <s v="Billings"/>
    <s v="Outlet"/>
    <x v="2"/>
    <n v="60"/>
    <n v="600"/>
    <n v="36000"/>
    <n v="27000"/>
  </r>
  <r>
    <x v="0"/>
    <n v="1128299"/>
    <x v="31"/>
    <x v="0"/>
    <s v="California"/>
    <s v="San Francisco"/>
    <s v="Outlet"/>
    <x v="3"/>
    <n v="55.000000000000007"/>
    <n v="700"/>
    <n v="38500.000000000007"/>
    <n v="26950"/>
  </r>
  <r>
    <x v="0"/>
    <n v="1128299"/>
    <x v="31"/>
    <x v="0"/>
    <s v="California"/>
    <s v="San Francisco"/>
    <s v="Outlet"/>
    <x v="3"/>
    <n v="42"/>
    <n v="210"/>
    <n v="8820"/>
    <n v="5909.4"/>
  </r>
  <r>
    <x v="1"/>
    <n v="1189833"/>
    <x v="31"/>
    <x v="1"/>
    <s v="Montana"/>
    <s v="Billings"/>
    <s v="Online"/>
    <x v="2"/>
    <n v="55"/>
    <n v="150"/>
    <n v="8250"/>
    <n v="5280"/>
  </r>
  <r>
    <x v="0"/>
    <n v="1128299"/>
    <x v="31"/>
    <x v="0"/>
    <s v="California"/>
    <s v="San Francisco"/>
    <s v="Online"/>
    <x v="3"/>
    <n v="50"/>
    <n v="182"/>
    <n v="9100"/>
    <n v="5278"/>
  </r>
  <r>
    <x v="0"/>
    <n v="1128299"/>
    <x v="32"/>
    <x v="0"/>
    <s v="California"/>
    <s v="San Francisco"/>
    <s v="Outlet"/>
    <x v="5"/>
    <n v="55.000000000000007"/>
    <n v="675"/>
    <n v="37125.000000000007"/>
    <n v="27843.750000000007"/>
  </r>
  <r>
    <x v="1"/>
    <n v="1189833"/>
    <x v="32"/>
    <x v="1"/>
    <s v="Montana"/>
    <s v="Billings"/>
    <s v="Outlet"/>
    <x v="4"/>
    <n v="40"/>
    <n v="750"/>
    <n v="30000"/>
    <n v="16500"/>
  </r>
  <r>
    <x v="0"/>
    <n v="1128299"/>
    <x v="32"/>
    <x v="0"/>
    <s v="California"/>
    <s v="San Francisco"/>
    <s v="Outlet"/>
    <x v="5"/>
    <n v="42"/>
    <n v="223"/>
    <n v="9366"/>
    <n v="6462.5400000000009"/>
  </r>
  <r>
    <x v="0"/>
    <n v="1128299"/>
    <x v="32"/>
    <x v="0"/>
    <s v="California"/>
    <s v="San Francisco"/>
    <s v="Online"/>
    <x v="5"/>
    <n v="51"/>
    <n v="203"/>
    <n v="10353"/>
    <n v="6625.92"/>
  </r>
  <r>
    <x v="1"/>
    <n v="1189833"/>
    <x v="32"/>
    <x v="1"/>
    <s v="Montana"/>
    <s v="Billings"/>
    <s v="Online"/>
    <x v="4"/>
    <n v="37"/>
    <n v="203"/>
    <n v="7511"/>
    <n v="3079.5099999999993"/>
  </r>
  <r>
    <x v="0"/>
    <n v="1185732"/>
    <x v="33"/>
    <x v="1"/>
    <s v="Iowa"/>
    <s v="Des Moines"/>
    <s v="In-store"/>
    <x v="4"/>
    <n v="30.000000000000004"/>
    <n v="500"/>
    <n v="15000.000000000002"/>
    <n v="10500.000000000004"/>
  </r>
  <r>
    <x v="0"/>
    <n v="1185732"/>
    <x v="33"/>
    <x v="1"/>
    <s v="Iowa"/>
    <s v="Des Moines"/>
    <s v="In-store"/>
    <x v="3"/>
    <n v="20.000000000000007"/>
    <n v="200"/>
    <n v="4000.0000000000014"/>
    <n v="2800.0000000000009"/>
  </r>
  <r>
    <x v="0"/>
    <n v="1185732"/>
    <x v="33"/>
    <x v="1"/>
    <s v="Wisconsin"/>
    <s v="Milwaukee"/>
    <s v="In-store"/>
    <x v="5"/>
    <n v="25.000000000000007"/>
    <n v="75"/>
    <n v="1875.0000000000005"/>
    <n v="1312.5000000000005"/>
  </r>
  <r>
    <x v="1"/>
    <n v="1189833"/>
    <x v="33"/>
    <x v="1"/>
    <s v="Montana"/>
    <s v="Billings"/>
    <s v="Outlet"/>
    <x v="0"/>
    <n v="45"/>
    <n v="600"/>
    <n v="27000"/>
    <n v="18900"/>
  </r>
  <r>
    <x v="0"/>
    <n v="1185732"/>
    <x v="33"/>
    <x v="1"/>
    <s v="Iowa"/>
    <s v="Des Moines"/>
    <s v="In-store"/>
    <x v="0"/>
    <n v="30.000000000000004"/>
    <n v="150"/>
    <n v="4500.0000000000009"/>
    <n v="2925.0000000000009"/>
  </r>
  <r>
    <x v="0"/>
    <n v="1185732"/>
    <x v="33"/>
    <x v="1"/>
    <s v="Wisconsin"/>
    <s v="Milwaukee"/>
    <s v="In-store"/>
    <x v="2"/>
    <n v="14.999999999999996"/>
    <n v="250"/>
    <n v="3749.9999999999991"/>
    <n v="2249.9999999999991"/>
  </r>
  <r>
    <x v="0"/>
    <n v="1128299"/>
    <x v="33"/>
    <x v="0"/>
    <s v="California"/>
    <s v="San Francisco"/>
    <s v="Outlet"/>
    <x v="1"/>
    <n v="65"/>
    <n v="650"/>
    <n v="42250"/>
    <n v="23237.499999999996"/>
  </r>
  <r>
    <x v="0"/>
    <n v="1185732"/>
    <x v="33"/>
    <x v="1"/>
    <s v="Wisconsin"/>
    <s v="Milwaukee"/>
    <s v="In-store"/>
    <x v="1"/>
    <n v="40"/>
    <n v="150"/>
    <n v="6000"/>
    <n v="3000"/>
  </r>
  <r>
    <x v="0"/>
    <n v="1185732"/>
    <x v="33"/>
    <x v="1"/>
    <s v="Iowa"/>
    <s v="Des Moines"/>
    <s v="Online"/>
    <x v="4"/>
    <n v="29"/>
    <n v="140"/>
    <n v="4060"/>
    <n v="2395.4"/>
  </r>
  <r>
    <x v="0"/>
    <n v="1185732"/>
    <x v="33"/>
    <x v="1"/>
    <s v="Wisconsin"/>
    <s v="Milwaukee"/>
    <s v="Online"/>
    <x v="5"/>
    <n v="23"/>
    <n v="20"/>
    <n v="460"/>
    <n v="262.20000000000005"/>
  </r>
  <r>
    <x v="1"/>
    <n v="1189833"/>
    <x v="33"/>
    <x v="1"/>
    <s v="Montana"/>
    <s v="Billings"/>
    <s v="Online"/>
    <x v="0"/>
    <n v="41"/>
    <n v="156"/>
    <n v="6396"/>
    <n v="3645.7200000000003"/>
  </r>
  <r>
    <x v="0"/>
    <n v="1185732"/>
    <x v="33"/>
    <x v="1"/>
    <s v="Iowa"/>
    <s v="Des Moines"/>
    <s v="Online"/>
    <x v="3"/>
    <n v="20"/>
    <n v="60"/>
    <n v="1200"/>
    <n v="684"/>
  </r>
  <r>
    <x v="0"/>
    <n v="1128299"/>
    <x v="33"/>
    <x v="0"/>
    <s v="California"/>
    <s v="San Francisco"/>
    <s v="Outlet"/>
    <x v="1"/>
    <n v="50"/>
    <n v="221"/>
    <n v="11050"/>
    <n v="5856.4999999999991"/>
  </r>
  <r>
    <x v="0"/>
    <n v="1185732"/>
    <x v="33"/>
    <x v="1"/>
    <s v="Iowa"/>
    <s v="Des Moines"/>
    <s v="Online"/>
    <x v="0"/>
    <n v="29"/>
    <n v="39"/>
    <n v="1131"/>
    <n v="576.81000000000006"/>
  </r>
  <r>
    <x v="0"/>
    <n v="1185732"/>
    <x v="33"/>
    <x v="1"/>
    <s v="Wisconsin"/>
    <s v="Milwaukee"/>
    <s v="Online"/>
    <x v="2"/>
    <n v="14"/>
    <n v="65"/>
    <n v="910"/>
    <n v="445.9"/>
  </r>
  <r>
    <x v="0"/>
    <n v="1128299"/>
    <x v="33"/>
    <x v="0"/>
    <s v="California"/>
    <s v="San Francisco"/>
    <s v="Online"/>
    <x v="1"/>
    <n v="59"/>
    <n v="182"/>
    <n v="10738"/>
    <n v="4509.9599999999991"/>
  </r>
  <r>
    <x v="0"/>
    <n v="1185732"/>
    <x v="33"/>
    <x v="1"/>
    <s v="Wisconsin"/>
    <s v="Milwaukee"/>
    <s v="Online"/>
    <x v="1"/>
    <n v="38"/>
    <n v="38"/>
    <n v="1444"/>
    <n v="563.16"/>
  </r>
  <r>
    <x v="0"/>
    <n v="1128299"/>
    <x v="34"/>
    <x v="0"/>
    <s v="California"/>
    <s v="San Francisco"/>
    <s v="Outlet"/>
    <x v="2"/>
    <n v="70"/>
    <n v="700"/>
    <n v="49000"/>
    <n v="44100"/>
  </r>
  <r>
    <x v="2"/>
    <n v="1197831"/>
    <x v="34"/>
    <x v="0"/>
    <s v="Idaho"/>
    <s v="Boise"/>
    <s v="Online"/>
    <x v="1"/>
    <n v="40"/>
    <n v="250"/>
    <n v="10000"/>
    <n v="7500"/>
  </r>
  <r>
    <x v="2"/>
    <n v="1197831"/>
    <x v="34"/>
    <x v="2"/>
    <s v="Louisiana"/>
    <s v="New Orleans"/>
    <s v="Online"/>
    <x v="4"/>
    <n v="25"/>
    <n v="625"/>
    <n v="15625"/>
    <n v="10937.5"/>
  </r>
  <r>
    <x v="2"/>
    <n v="1197831"/>
    <x v="34"/>
    <x v="2"/>
    <s v="Louisiana"/>
    <s v="New Orleans"/>
    <s v="Online"/>
    <x v="0"/>
    <n v="35"/>
    <n v="600"/>
    <n v="21000"/>
    <n v="14700"/>
  </r>
  <r>
    <x v="2"/>
    <n v="1197831"/>
    <x v="34"/>
    <x v="2"/>
    <s v="Louisiana"/>
    <s v="New Orleans"/>
    <s v="Online"/>
    <x v="3"/>
    <n v="35"/>
    <n v="425"/>
    <n v="14875"/>
    <n v="10412.5"/>
  </r>
  <r>
    <x v="3"/>
    <n v="1185732"/>
    <x v="34"/>
    <x v="3"/>
    <s v="South Carolina"/>
    <s v="Charleston"/>
    <s v="Online"/>
    <x v="0"/>
    <n v="35"/>
    <n v="625"/>
    <n v="21875"/>
    <n v="14218.75"/>
  </r>
  <r>
    <x v="3"/>
    <n v="1185732"/>
    <x v="34"/>
    <x v="3"/>
    <s v="North Carolina"/>
    <s v="Charlotte"/>
    <s v="Online"/>
    <x v="1"/>
    <n v="45"/>
    <n v="600"/>
    <n v="27000"/>
    <n v="17550"/>
  </r>
  <r>
    <x v="3"/>
    <n v="1185732"/>
    <x v="34"/>
    <x v="3"/>
    <s v="South Carolina"/>
    <s v="Charleston"/>
    <s v="Online"/>
    <x v="3"/>
    <n v="25.000000000000007"/>
    <n v="675"/>
    <n v="16875.000000000004"/>
    <n v="10125.000000000004"/>
  </r>
  <r>
    <x v="2"/>
    <n v="1197831"/>
    <x v="34"/>
    <x v="0"/>
    <s v="Idaho"/>
    <s v="Boise"/>
    <s v="Online"/>
    <x v="5"/>
    <n v="35"/>
    <n v="375"/>
    <n v="13125"/>
    <n v="7875"/>
  </r>
  <r>
    <x v="3"/>
    <n v="1185732"/>
    <x v="34"/>
    <x v="3"/>
    <s v="South Carolina"/>
    <s v="Charleston"/>
    <s v="Online"/>
    <x v="4"/>
    <n v="35"/>
    <n v="975"/>
    <n v="34125"/>
    <n v="20475"/>
  </r>
  <r>
    <x v="3"/>
    <n v="1185732"/>
    <x v="34"/>
    <x v="3"/>
    <s v="North Carolina"/>
    <s v="Charlotte"/>
    <s v="Online"/>
    <x v="5"/>
    <n v="30"/>
    <n v="525"/>
    <n v="15750"/>
    <n v="9450"/>
  </r>
  <r>
    <x v="1"/>
    <n v="1189833"/>
    <x v="34"/>
    <x v="1"/>
    <s v="Montana"/>
    <s v="Billings"/>
    <s v="Outlet"/>
    <x v="3"/>
    <n v="45"/>
    <n v="550"/>
    <n v="24750"/>
    <n v="13612.5"/>
  </r>
  <r>
    <x v="2"/>
    <n v="1197831"/>
    <x v="34"/>
    <x v="0"/>
    <s v="Idaho"/>
    <s v="Boise"/>
    <s v="Online"/>
    <x v="2"/>
    <n v="35"/>
    <n v="450"/>
    <n v="15750"/>
    <n v="8662.5"/>
  </r>
  <r>
    <x v="3"/>
    <n v="1185732"/>
    <x v="34"/>
    <x v="3"/>
    <s v="North Carolina"/>
    <s v="Charlotte"/>
    <s v="Online"/>
    <x v="2"/>
    <n v="30"/>
    <n v="700"/>
    <n v="21000"/>
    <n v="10500"/>
  </r>
  <r>
    <x v="0"/>
    <n v="1128299"/>
    <x v="34"/>
    <x v="0"/>
    <s v="California"/>
    <s v="San Francisco"/>
    <s v="Outlet"/>
    <x v="2"/>
    <n v="46"/>
    <n v="224"/>
    <n v="10304"/>
    <n v="9067.52"/>
  </r>
  <r>
    <x v="0"/>
    <n v="1128299"/>
    <x v="34"/>
    <x v="0"/>
    <s v="California"/>
    <s v="San Francisco"/>
    <s v="Online"/>
    <x v="2"/>
    <n v="63"/>
    <n v="196"/>
    <n v="12348"/>
    <n v="9507.9599999999991"/>
  </r>
  <r>
    <x v="2"/>
    <n v="1197831"/>
    <x v="34"/>
    <x v="0"/>
    <s v="Idaho"/>
    <s v="Boise"/>
    <s v="Outlet"/>
    <x v="1"/>
    <n v="31"/>
    <n v="88"/>
    <n v="2728"/>
    <n v="1909.6"/>
  </r>
  <r>
    <x v="2"/>
    <n v="1197831"/>
    <x v="34"/>
    <x v="2"/>
    <s v="Louisiana"/>
    <s v="New Orleans"/>
    <s v="Outlet"/>
    <x v="4"/>
    <n v="18"/>
    <n v="200"/>
    <n v="3600"/>
    <n v="2448"/>
  </r>
  <r>
    <x v="2"/>
    <n v="1197831"/>
    <x v="34"/>
    <x v="2"/>
    <s v="Louisiana"/>
    <s v="New Orleans"/>
    <s v="Outlet"/>
    <x v="0"/>
    <n v="28"/>
    <n v="180"/>
    <n v="5040"/>
    <n v="3376.8"/>
  </r>
  <r>
    <x v="2"/>
    <n v="1197831"/>
    <x v="34"/>
    <x v="2"/>
    <s v="Louisiana"/>
    <s v="New Orleans"/>
    <s v="Outlet"/>
    <x v="3"/>
    <n v="28"/>
    <n v="128"/>
    <n v="3584"/>
    <n v="2329.6000000000004"/>
  </r>
  <r>
    <x v="2"/>
    <n v="1197831"/>
    <x v="34"/>
    <x v="0"/>
    <s v="Idaho"/>
    <s v="Boise"/>
    <s v="Online"/>
    <x v="1"/>
    <n v="39"/>
    <n v="70"/>
    <n v="2730"/>
    <n v="1774.5"/>
  </r>
  <r>
    <x v="2"/>
    <n v="1197831"/>
    <x v="34"/>
    <x v="2"/>
    <s v="Louisiana"/>
    <s v="New Orleans"/>
    <s v="Online"/>
    <x v="4"/>
    <n v="23"/>
    <n v="163"/>
    <n v="3749"/>
    <n v="2249.3999999999996"/>
  </r>
  <r>
    <x v="2"/>
    <n v="1197831"/>
    <x v="34"/>
    <x v="2"/>
    <s v="Louisiana"/>
    <s v="New Orleans"/>
    <s v="Online"/>
    <x v="3"/>
    <n v="34"/>
    <n v="128"/>
    <n v="4352"/>
    <n v="2567.6800000000003"/>
  </r>
  <r>
    <x v="2"/>
    <n v="1197831"/>
    <x v="34"/>
    <x v="2"/>
    <s v="Louisiana"/>
    <s v="New Orleans"/>
    <s v="Online"/>
    <x v="0"/>
    <n v="32"/>
    <n v="174"/>
    <n v="5568"/>
    <n v="3229.44"/>
  </r>
  <r>
    <x v="2"/>
    <n v="1197831"/>
    <x v="34"/>
    <x v="0"/>
    <s v="Idaho"/>
    <s v="Boise"/>
    <s v="Outlet"/>
    <x v="5"/>
    <n v="27"/>
    <n v="116"/>
    <n v="3132"/>
    <n v="1816.56"/>
  </r>
  <r>
    <x v="3"/>
    <n v="1185732"/>
    <x v="34"/>
    <x v="3"/>
    <s v="South Carolina"/>
    <s v="Charleston"/>
    <s v="Online"/>
    <x v="0"/>
    <n v="34"/>
    <n v="188"/>
    <n v="6392"/>
    <n v="3323.84"/>
  </r>
  <r>
    <x v="3"/>
    <n v="1185732"/>
    <x v="34"/>
    <x v="3"/>
    <s v="South Carolina"/>
    <s v="Charleston"/>
    <s v="Online"/>
    <x v="4"/>
    <n v="34"/>
    <n v="263"/>
    <n v="8942"/>
    <n v="4471"/>
  </r>
  <r>
    <x v="3"/>
    <n v="1185732"/>
    <x v="34"/>
    <x v="3"/>
    <s v="North Carolina"/>
    <s v="Charlotte"/>
    <s v="Online"/>
    <x v="5"/>
    <n v="29"/>
    <n v="142"/>
    <n v="4118"/>
    <n v="2059"/>
  </r>
  <r>
    <x v="3"/>
    <n v="1185732"/>
    <x v="34"/>
    <x v="3"/>
    <s v="North Carolina"/>
    <s v="Charlotte"/>
    <s v="Online"/>
    <x v="1"/>
    <n v="44"/>
    <n v="180"/>
    <n v="7920"/>
    <n v="3960"/>
  </r>
  <r>
    <x v="2"/>
    <n v="1197831"/>
    <x v="34"/>
    <x v="0"/>
    <s v="Idaho"/>
    <s v="Boise"/>
    <s v="Outlet"/>
    <x v="2"/>
    <n v="26"/>
    <n v="135"/>
    <n v="3510"/>
    <n v="1684.8"/>
  </r>
  <r>
    <x v="2"/>
    <n v="1197831"/>
    <x v="34"/>
    <x v="0"/>
    <s v="Idaho"/>
    <s v="Boise"/>
    <s v="Online"/>
    <x v="5"/>
    <n v="32"/>
    <n v="109"/>
    <n v="3488"/>
    <n v="1604.4799999999998"/>
  </r>
  <r>
    <x v="2"/>
    <n v="1197831"/>
    <x v="34"/>
    <x v="0"/>
    <s v="Idaho"/>
    <s v="Boise"/>
    <s v="Online"/>
    <x v="2"/>
    <n v="34"/>
    <n v="131"/>
    <n v="4454"/>
    <n v="2004.2999999999997"/>
  </r>
  <r>
    <x v="3"/>
    <n v="1185732"/>
    <x v="34"/>
    <x v="3"/>
    <s v="South Carolina"/>
    <s v="Charleston"/>
    <s v="Online"/>
    <x v="3"/>
    <n v="23"/>
    <n v="169"/>
    <n v="3887"/>
    <n v="1749.1499999999996"/>
  </r>
  <r>
    <x v="1"/>
    <n v="1189833"/>
    <x v="34"/>
    <x v="1"/>
    <s v="Montana"/>
    <s v="Billings"/>
    <s v="Online"/>
    <x v="3"/>
    <n v="44"/>
    <n v="143"/>
    <n v="6292"/>
    <n v="2579.7199999999993"/>
  </r>
  <r>
    <x v="3"/>
    <n v="1185732"/>
    <x v="34"/>
    <x v="3"/>
    <s v="North Carolina"/>
    <s v="Charlotte"/>
    <s v="Online"/>
    <x v="2"/>
    <n v="29"/>
    <n v="203"/>
    <n v="5887"/>
    <n v="2354.8000000000002"/>
  </r>
  <r>
    <x v="3"/>
    <n v="1185732"/>
    <x v="35"/>
    <x v="4"/>
    <s v="New Jersey"/>
    <s v="Newark"/>
    <s v="In-store"/>
    <x v="3"/>
    <n v="30.000000000000004"/>
    <n v="250"/>
    <n v="7500.0000000000009"/>
    <n v="5250.0000000000018"/>
  </r>
  <r>
    <x v="3"/>
    <n v="1185732"/>
    <x v="35"/>
    <x v="4"/>
    <s v="Connecticut"/>
    <s v="Hartford"/>
    <s v="In-store"/>
    <x v="5"/>
    <n v="35"/>
    <n v="125"/>
    <n v="4375"/>
    <n v="3062.5"/>
  </r>
  <r>
    <x v="3"/>
    <n v="1185732"/>
    <x v="35"/>
    <x v="4"/>
    <s v="Connecticut"/>
    <s v="Hartford"/>
    <s v="In-store"/>
    <x v="1"/>
    <n v="50"/>
    <n v="200"/>
    <n v="10000"/>
    <n v="7000"/>
  </r>
  <r>
    <x v="0"/>
    <n v="1128299"/>
    <x v="35"/>
    <x v="0"/>
    <s v="California"/>
    <s v="San Francisco"/>
    <s v="Outlet"/>
    <x v="4"/>
    <n v="55.000000000000007"/>
    <n v="875"/>
    <n v="48125.000000000007"/>
    <n v="33687.5"/>
  </r>
  <r>
    <x v="3"/>
    <n v="1185732"/>
    <x v="35"/>
    <x v="4"/>
    <s v="Connecticut"/>
    <s v="Hartford"/>
    <s v="In-store"/>
    <x v="2"/>
    <n v="40"/>
    <n v="300"/>
    <n v="12000"/>
    <n v="7800"/>
  </r>
  <r>
    <x v="1"/>
    <n v="1189833"/>
    <x v="35"/>
    <x v="1"/>
    <s v="Montana"/>
    <s v="Billings"/>
    <s v="Outlet"/>
    <x v="5"/>
    <n v="40"/>
    <n v="450"/>
    <n v="18000"/>
    <n v="10800"/>
  </r>
  <r>
    <x v="3"/>
    <n v="1185732"/>
    <x v="35"/>
    <x v="4"/>
    <s v="New Jersey"/>
    <s v="Newark"/>
    <s v="In-store"/>
    <x v="4"/>
    <n v="40"/>
    <n v="550"/>
    <n v="22000"/>
    <n v="13200"/>
  </r>
  <r>
    <x v="3"/>
    <n v="1185732"/>
    <x v="35"/>
    <x v="4"/>
    <s v="New Jersey"/>
    <s v="Newark"/>
    <s v="In-store"/>
    <x v="0"/>
    <n v="40"/>
    <n v="200"/>
    <n v="8000"/>
    <n v="4800"/>
  </r>
  <r>
    <x v="3"/>
    <n v="1185732"/>
    <x v="35"/>
    <x v="4"/>
    <s v="Connecticut"/>
    <s v="Hartford"/>
    <s v="Outlet"/>
    <x v="5"/>
    <n v="24"/>
    <n v="39"/>
    <n v="936"/>
    <n v="627.12000000000012"/>
  </r>
  <r>
    <x v="0"/>
    <n v="1128299"/>
    <x v="35"/>
    <x v="0"/>
    <s v="California"/>
    <s v="San Francisco"/>
    <s v="Outlet"/>
    <x v="4"/>
    <n v="39"/>
    <n v="263"/>
    <n v="10257"/>
    <n v="6667.0499999999993"/>
  </r>
  <r>
    <x v="3"/>
    <n v="1185732"/>
    <x v="35"/>
    <x v="4"/>
    <s v="Connecticut"/>
    <s v="Hartford"/>
    <s v="Outlet"/>
    <x v="1"/>
    <n v="39"/>
    <n v="66"/>
    <n v="2574"/>
    <n v="1621.62"/>
  </r>
  <r>
    <x v="3"/>
    <n v="1185732"/>
    <x v="35"/>
    <x v="4"/>
    <s v="Connecticut"/>
    <s v="Hartford"/>
    <s v="Outlet"/>
    <x v="2"/>
    <n v="32"/>
    <n v="96"/>
    <n v="3072"/>
    <n v="1873.92"/>
  </r>
  <r>
    <x v="3"/>
    <n v="1185732"/>
    <x v="35"/>
    <x v="4"/>
    <s v="Connecticut"/>
    <s v="Hartford"/>
    <s v="Online"/>
    <x v="1"/>
    <n v="49"/>
    <n v="60"/>
    <n v="2940"/>
    <n v="1646.4"/>
  </r>
  <r>
    <x v="3"/>
    <n v="1185732"/>
    <x v="35"/>
    <x v="4"/>
    <s v="Connecticut"/>
    <s v="Hartford"/>
    <s v="Online"/>
    <x v="5"/>
    <n v="32"/>
    <n v="34"/>
    <n v="1088"/>
    <n v="609.28"/>
  </r>
  <r>
    <x v="0"/>
    <n v="1128299"/>
    <x v="35"/>
    <x v="0"/>
    <s v="California"/>
    <s v="San Francisco"/>
    <s v="Online"/>
    <x v="4"/>
    <n v="52"/>
    <n v="263"/>
    <n v="13676"/>
    <n v="7658.5599999999995"/>
  </r>
  <r>
    <x v="3"/>
    <n v="1185732"/>
    <x v="35"/>
    <x v="4"/>
    <s v="Connecticut"/>
    <s v="Hartford"/>
    <s v="Online"/>
    <x v="2"/>
    <n v="39"/>
    <n v="84"/>
    <n v="3276"/>
    <n v="1801.8000000000002"/>
  </r>
  <r>
    <x v="3"/>
    <n v="1185732"/>
    <x v="35"/>
    <x v="4"/>
    <s v="New Jersey"/>
    <s v="Newark"/>
    <s v="Online"/>
    <x v="3"/>
    <n v="29"/>
    <n v="65"/>
    <n v="1885"/>
    <n v="1036.75"/>
  </r>
  <r>
    <x v="3"/>
    <n v="1185732"/>
    <x v="35"/>
    <x v="4"/>
    <s v="New Jersey"/>
    <s v="Newark"/>
    <s v="Online"/>
    <x v="4"/>
    <n v="39"/>
    <n v="149"/>
    <n v="5811"/>
    <n v="2905.5"/>
  </r>
  <r>
    <x v="3"/>
    <n v="1185732"/>
    <x v="35"/>
    <x v="4"/>
    <s v="New Jersey"/>
    <s v="Newark"/>
    <s v="Online"/>
    <x v="0"/>
    <n v="37"/>
    <n v="54"/>
    <n v="1998"/>
    <n v="999"/>
  </r>
  <r>
    <x v="1"/>
    <n v="1189833"/>
    <x v="35"/>
    <x v="1"/>
    <s v="Montana"/>
    <s v="Billings"/>
    <s v="Online"/>
    <x v="5"/>
    <n v="36"/>
    <n v="113"/>
    <n v="4068"/>
    <n v="1911.96"/>
  </r>
  <r>
    <x v="0"/>
    <n v="1128299"/>
    <x v="36"/>
    <x v="0"/>
    <s v="California"/>
    <s v="San Francisco"/>
    <s v="Outlet"/>
    <x v="0"/>
    <n v="60.000000000000007"/>
    <n v="875"/>
    <n v="52500.000000000007"/>
    <n v="44625.000000000015"/>
  </r>
  <r>
    <x v="2"/>
    <n v="1185732"/>
    <x v="36"/>
    <x v="1"/>
    <s v="North Dakota"/>
    <s v="Fargo"/>
    <s v="In-store"/>
    <x v="4"/>
    <n v="30.000000000000004"/>
    <n v="500"/>
    <n v="15000.000000000002"/>
    <n v="10500.000000000004"/>
  </r>
  <r>
    <x v="2"/>
    <n v="1185732"/>
    <x v="36"/>
    <x v="1"/>
    <s v="North Dakota"/>
    <s v="Fargo"/>
    <s v="In-store"/>
    <x v="3"/>
    <n v="20.000000000000007"/>
    <n v="200"/>
    <n v="4000.0000000000014"/>
    <n v="2800.0000000000009"/>
  </r>
  <r>
    <x v="2"/>
    <n v="1185732"/>
    <x v="36"/>
    <x v="1"/>
    <s v="Iowa"/>
    <s v="Des Moines"/>
    <s v="In-store"/>
    <x v="5"/>
    <n v="25.000000000000007"/>
    <n v="75"/>
    <n v="1875.0000000000005"/>
    <n v="1312.5000000000005"/>
  </r>
  <r>
    <x v="2"/>
    <n v="1185732"/>
    <x v="36"/>
    <x v="1"/>
    <s v="North Dakota"/>
    <s v="Fargo"/>
    <s v="In-store"/>
    <x v="0"/>
    <n v="30.000000000000004"/>
    <n v="150"/>
    <n v="4500.0000000000009"/>
    <n v="2925.0000000000009"/>
  </r>
  <r>
    <x v="2"/>
    <n v="1185732"/>
    <x v="36"/>
    <x v="1"/>
    <s v="Iowa"/>
    <s v="Des Moines"/>
    <s v="In-store"/>
    <x v="2"/>
    <n v="14.999999999999996"/>
    <n v="250"/>
    <n v="3749.9999999999991"/>
    <n v="2249.9999999999991"/>
  </r>
  <r>
    <x v="2"/>
    <n v="1185732"/>
    <x v="36"/>
    <x v="1"/>
    <s v="Iowa"/>
    <s v="Des Moines"/>
    <s v="In-store"/>
    <x v="1"/>
    <n v="40"/>
    <n v="150"/>
    <n v="6000"/>
    <n v="3000"/>
  </r>
  <r>
    <x v="1"/>
    <n v="1189833"/>
    <x v="36"/>
    <x v="1"/>
    <s v="Montana"/>
    <s v="Billings"/>
    <s v="Outlet"/>
    <x v="1"/>
    <n v="45"/>
    <n v="475"/>
    <n v="21375"/>
    <n v="8549.9999999999982"/>
  </r>
  <r>
    <x v="0"/>
    <n v="1128299"/>
    <x v="36"/>
    <x v="0"/>
    <s v="California"/>
    <s v="San Francisco"/>
    <s v="Outlet"/>
    <x v="0"/>
    <n v="46"/>
    <n v="306"/>
    <n v="14076"/>
    <n v="11260.8"/>
  </r>
  <r>
    <x v="0"/>
    <n v="1128299"/>
    <x v="36"/>
    <x v="0"/>
    <s v="California"/>
    <s v="San Francisco"/>
    <s v="Online"/>
    <x v="0"/>
    <n v="58"/>
    <n v="236"/>
    <n v="13688"/>
    <n v="10266"/>
  </r>
  <r>
    <x v="2"/>
    <n v="1185732"/>
    <x v="36"/>
    <x v="1"/>
    <s v="North Dakota"/>
    <s v="Fargo"/>
    <s v="Online"/>
    <x v="3"/>
    <n v="19"/>
    <n v="56"/>
    <n v="1064"/>
    <n v="627.76"/>
  </r>
  <r>
    <x v="2"/>
    <n v="1185732"/>
    <x v="36"/>
    <x v="1"/>
    <s v="North Dakota"/>
    <s v="Fargo"/>
    <s v="Online"/>
    <x v="4"/>
    <n v="28"/>
    <n v="145"/>
    <n v="4060"/>
    <n v="2273.6"/>
  </r>
  <r>
    <x v="2"/>
    <n v="1185732"/>
    <x v="36"/>
    <x v="1"/>
    <s v="Iowa"/>
    <s v="Des Moines"/>
    <s v="Online"/>
    <x v="5"/>
    <n v="25"/>
    <n v="23"/>
    <n v="575"/>
    <n v="322"/>
  </r>
  <r>
    <x v="2"/>
    <n v="1185732"/>
    <x v="36"/>
    <x v="1"/>
    <s v="North Dakota"/>
    <s v="Fargo"/>
    <s v="Online"/>
    <x v="0"/>
    <n v="28"/>
    <n v="45"/>
    <n v="1260"/>
    <n v="680.40000000000009"/>
  </r>
  <r>
    <x v="2"/>
    <n v="1185732"/>
    <x v="36"/>
    <x v="1"/>
    <s v="Iowa"/>
    <s v="Des Moines"/>
    <s v="Online"/>
    <x v="2"/>
    <n v="14"/>
    <n v="68"/>
    <n v="952"/>
    <n v="437.91999999999996"/>
  </r>
  <r>
    <x v="2"/>
    <n v="1185732"/>
    <x v="36"/>
    <x v="1"/>
    <s v="Iowa"/>
    <s v="Des Moines"/>
    <s v="Online"/>
    <x v="1"/>
    <n v="38"/>
    <n v="38"/>
    <n v="1444"/>
    <n v="505.4"/>
  </r>
  <r>
    <x v="1"/>
    <n v="1189833"/>
    <x v="36"/>
    <x v="1"/>
    <s v="Montana"/>
    <s v="Billings"/>
    <s v="Online"/>
    <x v="1"/>
    <n v="42"/>
    <n v="124"/>
    <n v="5208"/>
    <n v="1562.3999999999996"/>
  </r>
  <r>
    <x v="1"/>
    <n v="1189833"/>
    <x v="37"/>
    <x v="1"/>
    <s v="Montana"/>
    <s v="Billings"/>
    <s v="Outlet"/>
    <x v="2"/>
    <n v="60"/>
    <n v="475"/>
    <n v="28500"/>
    <n v="21375"/>
  </r>
  <r>
    <x v="2"/>
    <n v="1185732"/>
    <x v="37"/>
    <x v="3"/>
    <s v="Georgia"/>
    <s v="Atlanta"/>
    <s v="Online"/>
    <x v="3"/>
    <n v="30.000000000000004"/>
    <n v="775"/>
    <n v="23250.000000000004"/>
    <n v="17437.500000000004"/>
  </r>
  <r>
    <x v="2"/>
    <n v="1185732"/>
    <x v="37"/>
    <x v="3"/>
    <s v="South Carolina"/>
    <s v="Charleston"/>
    <s v="Online"/>
    <x v="5"/>
    <n v="35"/>
    <n v="625"/>
    <n v="21875"/>
    <n v="15312.5"/>
  </r>
  <r>
    <x v="0"/>
    <n v="1128299"/>
    <x v="37"/>
    <x v="0"/>
    <s v="California"/>
    <s v="San Francisco"/>
    <s v="Outlet"/>
    <x v="3"/>
    <n v="55.000000000000007"/>
    <n v="725"/>
    <n v="39875.000000000007"/>
    <n v="27912.5"/>
  </r>
  <r>
    <x v="2"/>
    <n v="1185732"/>
    <x v="37"/>
    <x v="3"/>
    <s v="Georgia"/>
    <s v="Atlanta"/>
    <s v="Online"/>
    <x v="0"/>
    <n v="40"/>
    <n v="725"/>
    <n v="29000"/>
    <n v="18850"/>
  </r>
  <r>
    <x v="2"/>
    <n v="1185732"/>
    <x v="37"/>
    <x v="3"/>
    <s v="South Carolina"/>
    <s v="Charleston"/>
    <s v="Online"/>
    <x v="1"/>
    <n v="50"/>
    <n v="700"/>
    <n v="35000"/>
    <n v="22750"/>
  </r>
  <r>
    <x v="2"/>
    <n v="1185732"/>
    <x v="37"/>
    <x v="3"/>
    <s v="Georgia"/>
    <s v="Atlanta"/>
    <s v="Online"/>
    <x v="4"/>
    <n v="40"/>
    <n v="1075"/>
    <n v="43000"/>
    <n v="23650"/>
  </r>
  <r>
    <x v="2"/>
    <n v="1185732"/>
    <x v="37"/>
    <x v="3"/>
    <s v="South Carolina"/>
    <s v="Charleston"/>
    <s v="Online"/>
    <x v="2"/>
    <n v="35"/>
    <n v="800"/>
    <n v="28000"/>
    <n v="14000"/>
  </r>
  <r>
    <x v="2"/>
    <n v="1185732"/>
    <x v="37"/>
    <x v="3"/>
    <s v="Georgia"/>
    <s v="Atlanta"/>
    <s v="Outlet"/>
    <x v="3"/>
    <n v="21"/>
    <n v="248"/>
    <n v="5208"/>
    <n v="3645.6000000000004"/>
  </r>
  <r>
    <x v="0"/>
    <n v="1128299"/>
    <x v="37"/>
    <x v="0"/>
    <s v="California"/>
    <s v="San Francisco"/>
    <s v="Outlet"/>
    <x v="3"/>
    <n v="40"/>
    <n v="247"/>
    <n v="9880"/>
    <n v="6520.7999999999993"/>
  </r>
  <r>
    <x v="1"/>
    <n v="1189833"/>
    <x v="37"/>
    <x v="1"/>
    <s v="Montana"/>
    <s v="Billings"/>
    <s v="Online"/>
    <x v="2"/>
    <n v="58"/>
    <n v="143"/>
    <n v="8294"/>
    <n v="5391.1"/>
  </r>
  <r>
    <x v="2"/>
    <n v="1185732"/>
    <x v="37"/>
    <x v="3"/>
    <s v="Georgia"/>
    <s v="Atlanta"/>
    <s v="Online"/>
    <x v="3"/>
    <n v="29"/>
    <n v="217"/>
    <n v="6293"/>
    <n v="3964.59"/>
  </r>
  <r>
    <x v="2"/>
    <n v="1185732"/>
    <x v="37"/>
    <x v="3"/>
    <s v="Georgia"/>
    <s v="Atlanta"/>
    <s v="Outlet"/>
    <x v="0"/>
    <n v="27"/>
    <n v="247"/>
    <n v="6669"/>
    <n v="4134.78"/>
  </r>
  <r>
    <x v="0"/>
    <n v="1128299"/>
    <x v="37"/>
    <x v="0"/>
    <s v="California"/>
    <s v="San Francisco"/>
    <s v="Online"/>
    <x v="3"/>
    <n v="50"/>
    <n v="210"/>
    <n v="10500"/>
    <n v="6300"/>
  </r>
  <r>
    <x v="2"/>
    <n v="1185732"/>
    <x v="37"/>
    <x v="3"/>
    <s v="South Carolina"/>
    <s v="Charleston"/>
    <s v="Online"/>
    <x v="5"/>
    <n v="33"/>
    <n v="169"/>
    <n v="5577"/>
    <n v="3067.3500000000004"/>
  </r>
  <r>
    <x v="2"/>
    <n v="1185732"/>
    <x v="37"/>
    <x v="3"/>
    <s v="Georgia"/>
    <s v="Atlanta"/>
    <s v="Online"/>
    <x v="0"/>
    <n v="39"/>
    <n v="218"/>
    <n v="8502"/>
    <n v="4591.08"/>
  </r>
  <r>
    <x v="2"/>
    <n v="1185732"/>
    <x v="37"/>
    <x v="3"/>
    <s v="South Carolina"/>
    <s v="Charleston"/>
    <s v="Online"/>
    <x v="1"/>
    <n v="49"/>
    <n v="189"/>
    <n v="9261"/>
    <n v="4908.33"/>
  </r>
  <r>
    <x v="2"/>
    <n v="1185732"/>
    <x v="37"/>
    <x v="3"/>
    <s v="Georgia"/>
    <s v="Atlanta"/>
    <s v="Outlet"/>
    <x v="4"/>
    <n v="31"/>
    <n v="376"/>
    <n v="11656"/>
    <n v="6061.12"/>
  </r>
  <r>
    <x v="2"/>
    <n v="1185732"/>
    <x v="37"/>
    <x v="3"/>
    <s v="Georgia"/>
    <s v="Atlanta"/>
    <s v="Online"/>
    <x v="4"/>
    <n v="38"/>
    <n v="312"/>
    <n v="11856"/>
    <n v="4860.9599999999991"/>
  </r>
  <r>
    <x v="2"/>
    <n v="1185732"/>
    <x v="37"/>
    <x v="3"/>
    <s v="South Carolina"/>
    <s v="Charleston"/>
    <s v="Online"/>
    <x v="2"/>
    <n v="34"/>
    <n v="216"/>
    <n v="7344"/>
    <n v="2570.3999999999996"/>
  </r>
  <r>
    <x v="0"/>
    <n v="1128299"/>
    <x v="38"/>
    <x v="0"/>
    <s v="California"/>
    <s v="San Francisco"/>
    <s v="Outlet"/>
    <x v="5"/>
    <n v="55.000000000000007"/>
    <n v="700"/>
    <n v="38500.000000000007"/>
    <n v="28875.000000000007"/>
  </r>
  <r>
    <x v="1"/>
    <n v="1185732"/>
    <x v="38"/>
    <x v="4"/>
    <s v="New Jersey"/>
    <s v="Newark"/>
    <s v="In-store"/>
    <x v="1"/>
    <n v="45"/>
    <n v="175"/>
    <n v="7875"/>
    <n v="5512.5"/>
  </r>
  <r>
    <x v="2"/>
    <n v="1185732"/>
    <x v="38"/>
    <x v="4"/>
    <s v="Rhode Island"/>
    <s v="Providence"/>
    <s v="In-store"/>
    <x v="1"/>
    <n v="45"/>
    <n v="125"/>
    <n v="5625"/>
    <n v="3937.5"/>
  </r>
  <r>
    <x v="1"/>
    <n v="1185732"/>
    <x v="38"/>
    <x v="4"/>
    <s v="Delaware"/>
    <s v="Wilmington"/>
    <s v="In-store"/>
    <x v="4"/>
    <n v="35"/>
    <n v="525"/>
    <n v="18375"/>
    <n v="11943.75"/>
  </r>
  <r>
    <x v="1"/>
    <n v="1185732"/>
    <x v="38"/>
    <x v="4"/>
    <s v="Delaware"/>
    <s v="Wilmington"/>
    <s v="In-store"/>
    <x v="0"/>
    <n v="35"/>
    <n v="175"/>
    <n v="6125"/>
    <n v="3981.25"/>
  </r>
  <r>
    <x v="2"/>
    <n v="1185732"/>
    <x v="38"/>
    <x v="4"/>
    <s v="Connecticut"/>
    <s v="Hartford"/>
    <s v="In-store"/>
    <x v="4"/>
    <n v="35"/>
    <n v="475"/>
    <n v="16625"/>
    <n v="10806.25"/>
  </r>
  <r>
    <x v="2"/>
    <n v="1185732"/>
    <x v="38"/>
    <x v="4"/>
    <s v="Connecticut"/>
    <s v="Hartford"/>
    <s v="In-store"/>
    <x v="0"/>
    <n v="35"/>
    <n v="125"/>
    <n v="4375"/>
    <n v="2843.75"/>
  </r>
  <r>
    <x v="2"/>
    <n v="1185732"/>
    <x v="38"/>
    <x v="4"/>
    <s v="Connecticut"/>
    <s v="Hartford"/>
    <s v="In-store"/>
    <x v="3"/>
    <n v="25.000000000000007"/>
    <n v="175"/>
    <n v="4375.0000000000009"/>
    <n v="2625.0000000000009"/>
  </r>
  <r>
    <x v="1"/>
    <n v="1185732"/>
    <x v="38"/>
    <x v="4"/>
    <s v="Delaware"/>
    <s v="Wilmington"/>
    <s v="In-store"/>
    <x v="3"/>
    <n v="25.000000000000007"/>
    <n v="225"/>
    <n v="5625.0000000000018"/>
    <n v="3375.0000000000009"/>
  </r>
  <r>
    <x v="1"/>
    <n v="1185732"/>
    <x v="38"/>
    <x v="4"/>
    <s v="New Jersey"/>
    <s v="Newark"/>
    <s v="In-store"/>
    <x v="5"/>
    <n v="30"/>
    <n v="100"/>
    <n v="3000"/>
    <n v="1800"/>
  </r>
  <r>
    <x v="1"/>
    <n v="1185732"/>
    <x v="38"/>
    <x v="4"/>
    <s v="New Jersey"/>
    <s v="Newark"/>
    <s v="In-store"/>
    <x v="2"/>
    <n v="35"/>
    <n v="275"/>
    <n v="9625"/>
    <n v="5775"/>
  </r>
  <r>
    <x v="2"/>
    <n v="1185732"/>
    <x v="38"/>
    <x v="4"/>
    <s v="Rhode Island"/>
    <s v="Providence"/>
    <s v="In-store"/>
    <x v="5"/>
    <n v="30"/>
    <n v="50"/>
    <n v="1500"/>
    <n v="900"/>
  </r>
  <r>
    <x v="2"/>
    <n v="1185732"/>
    <x v="38"/>
    <x v="4"/>
    <s v="Rhode Island"/>
    <s v="Providence"/>
    <s v="In-store"/>
    <x v="2"/>
    <n v="35"/>
    <n v="225"/>
    <n v="7875"/>
    <n v="4725"/>
  </r>
  <r>
    <x v="1"/>
    <n v="1189833"/>
    <x v="38"/>
    <x v="1"/>
    <s v="Montana"/>
    <s v="Billings"/>
    <s v="Outlet"/>
    <x v="4"/>
    <n v="45"/>
    <n v="675"/>
    <n v="30375"/>
    <n v="16706.25"/>
  </r>
  <r>
    <x v="0"/>
    <n v="1128299"/>
    <x v="38"/>
    <x v="0"/>
    <s v="California"/>
    <s v="San Francisco"/>
    <s v="Outlet"/>
    <x v="5"/>
    <n v="37"/>
    <n v="210"/>
    <n v="7770"/>
    <n v="5516.7000000000007"/>
  </r>
  <r>
    <x v="2"/>
    <n v="1185732"/>
    <x v="38"/>
    <x v="4"/>
    <s v="Rhode Island"/>
    <s v="Providence"/>
    <s v="Outlet"/>
    <x v="1"/>
    <n v="34"/>
    <n v="40"/>
    <n v="1360"/>
    <n v="870.40000000000009"/>
  </r>
  <r>
    <x v="2"/>
    <n v="1185732"/>
    <x v="38"/>
    <x v="4"/>
    <s v="Connecticut"/>
    <s v="Hartford"/>
    <s v="Outlet"/>
    <x v="0"/>
    <n v="24"/>
    <n v="41"/>
    <n v="984"/>
    <n v="600.24"/>
  </r>
  <r>
    <x v="2"/>
    <n v="1185732"/>
    <x v="38"/>
    <x v="4"/>
    <s v="Connecticut"/>
    <s v="Hartford"/>
    <s v="Outlet"/>
    <x v="4"/>
    <n v="24"/>
    <n v="162"/>
    <n v="3888"/>
    <n v="2332.8000000000002"/>
  </r>
  <r>
    <x v="0"/>
    <n v="1128299"/>
    <x v="38"/>
    <x v="0"/>
    <s v="California"/>
    <s v="San Francisco"/>
    <s v="Online"/>
    <x v="5"/>
    <n v="53"/>
    <n v="210"/>
    <n v="11130"/>
    <n v="6678"/>
  </r>
  <r>
    <x v="1"/>
    <n v="1185732"/>
    <x v="38"/>
    <x v="4"/>
    <s v="New Jersey"/>
    <s v="Newark"/>
    <s v="Online"/>
    <x v="1"/>
    <n v="41"/>
    <n v="47"/>
    <n v="1927"/>
    <n v="1156.1999999999998"/>
  </r>
  <r>
    <x v="2"/>
    <n v="1185732"/>
    <x v="38"/>
    <x v="4"/>
    <s v="Rhode Island"/>
    <s v="Providence"/>
    <s v="Online"/>
    <x v="1"/>
    <n v="41"/>
    <n v="35"/>
    <n v="1435"/>
    <n v="846.65000000000009"/>
  </r>
  <r>
    <x v="2"/>
    <n v="1185732"/>
    <x v="38"/>
    <x v="4"/>
    <s v="Connecticut"/>
    <s v="Hartford"/>
    <s v="Outlet"/>
    <x v="3"/>
    <n v="18"/>
    <n v="53"/>
    <n v="954"/>
    <n v="543.78"/>
  </r>
  <r>
    <x v="2"/>
    <n v="1185732"/>
    <x v="38"/>
    <x v="4"/>
    <s v="Rhode Island"/>
    <s v="Providence"/>
    <s v="Outlet"/>
    <x v="5"/>
    <n v="20"/>
    <n v="16"/>
    <n v="320"/>
    <n v="176"/>
  </r>
  <r>
    <x v="2"/>
    <n v="1185732"/>
    <x v="38"/>
    <x v="4"/>
    <s v="Connecticut"/>
    <s v="Hartford"/>
    <s v="Online"/>
    <x v="0"/>
    <n v="34"/>
    <n v="36"/>
    <n v="1224"/>
    <n v="648.72"/>
  </r>
  <r>
    <x v="2"/>
    <n v="1185732"/>
    <x v="38"/>
    <x v="4"/>
    <s v="Rhode Island"/>
    <s v="Providence"/>
    <s v="Outlet"/>
    <x v="2"/>
    <n v="27"/>
    <n v="77"/>
    <n v="2079"/>
    <n v="1101.8699999999999"/>
  </r>
  <r>
    <x v="1"/>
    <n v="1185732"/>
    <x v="38"/>
    <x v="4"/>
    <s v="Delaware"/>
    <s v="Wilmington"/>
    <s v="Online"/>
    <x v="4"/>
    <n v="34"/>
    <n v="147"/>
    <n v="4998"/>
    <n v="2598.96"/>
  </r>
  <r>
    <x v="2"/>
    <n v="1185732"/>
    <x v="38"/>
    <x v="4"/>
    <s v="Connecticut"/>
    <s v="Hartford"/>
    <s v="Online"/>
    <x v="4"/>
    <n v="34"/>
    <n v="119"/>
    <n v="4046"/>
    <n v="2063.46"/>
  </r>
  <r>
    <x v="1"/>
    <n v="1185732"/>
    <x v="38"/>
    <x v="4"/>
    <s v="Delaware"/>
    <s v="Wilmington"/>
    <s v="Online"/>
    <x v="0"/>
    <n v="32"/>
    <n v="53"/>
    <n v="1696"/>
    <n v="848"/>
  </r>
  <r>
    <x v="2"/>
    <n v="1185732"/>
    <x v="38"/>
    <x v="4"/>
    <s v="Connecticut"/>
    <s v="Hartford"/>
    <s v="Online"/>
    <x v="3"/>
    <n v="24"/>
    <n v="49"/>
    <n v="1176"/>
    <n v="588"/>
  </r>
  <r>
    <x v="1"/>
    <n v="1185732"/>
    <x v="38"/>
    <x v="4"/>
    <s v="Delaware"/>
    <s v="Wilmington"/>
    <s v="Online"/>
    <x v="3"/>
    <n v="24"/>
    <n v="63"/>
    <n v="1512"/>
    <n v="740.88"/>
  </r>
  <r>
    <x v="1"/>
    <n v="1185732"/>
    <x v="38"/>
    <x v="4"/>
    <s v="New Jersey"/>
    <s v="Newark"/>
    <s v="Online"/>
    <x v="5"/>
    <n v="29"/>
    <n v="30"/>
    <n v="870"/>
    <n v="408.9"/>
  </r>
  <r>
    <x v="1"/>
    <n v="1185732"/>
    <x v="38"/>
    <x v="4"/>
    <s v="New Jersey"/>
    <s v="Newark"/>
    <s v="Online"/>
    <x v="2"/>
    <n v="32"/>
    <n v="74"/>
    <n v="2368"/>
    <n v="1112.96"/>
  </r>
  <r>
    <x v="2"/>
    <n v="1185732"/>
    <x v="38"/>
    <x v="4"/>
    <s v="Rhode Island"/>
    <s v="Providence"/>
    <s v="Online"/>
    <x v="2"/>
    <n v="33"/>
    <n v="65"/>
    <n v="2145"/>
    <n v="1008.1499999999999"/>
  </r>
  <r>
    <x v="2"/>
    <n v="1185732"/>
    <x v="38"/>
    <x v="4"/>
    <s v="Rhode Island"/>
    <s v="Providence"/>
    <s v="Online"/>
    <x v="5"/>
    <n v="29"/>
    <n v="13"/>
    <n v="377"/>
    <n v="173.42"/>
  </r>
  <r>
    <x v="1"/>
    <n v="1189833"/>
    <x v="38"/>
    <x v="1"/>
    <s v="Montana"/>
    <s v="Billings"/>
    <s v="Online"/>
    <x v="4"/>
    <n v="42"/>
    <n v="203"/>
    <n v="8526"/>
    <n v="3580.9199999999992"/>
  </r>
  <r>
    <x v="3"/>
    <n v="1185732"/>
    <x v="39"/>
    <x v="1"/>
    <s v="South Dakota"/>
    <s v="Sioux Falls"/>
    <s v="Online"/>
    <x v="3"/>
    <n v="25.000000000000007"/>
    <n v="225"/>
    <n v="5625.0000000000018"/>
    <n v="3937.5000000000014"/>
  </r>
  <r>
    <x v="1"/>
    <n v="1189833"/>
    <x v="39"/>
    <x v="1"/>
    <s v="Montana"/>
    <s v="Billings"/>
    <s v="Outlet"/>
    <x v="0"/>
    <n v="55.000000000000007"/>
    <n v="625"/>
    <n v="34375.000000000007"/>
    <n v="24062.500000000007"/>
  </r>
  <r>
    <x v="3"/>
    <n v="1185732"/>
    <x v="39"/>
    <x v="1"/>
    <s v="South Dakota"/>
    <s v="Sioux Falls"/>
    <s v="Online"/>
    <x v="0"/>
    <n v="35"/>
    <n v="175"/>
    <n v="6125"/>
    <n v="4287.5"/>
  </r>
  <r>
    <x v="3"/>
    <n v="1185732"/>
    <x v="39"/>
    <x v="1"/>
    <s v="North Dakota"/>
    <s v="Fargo"/>
    <s v="Online"/>
    <x v="5"/>
    <n v="30.000000000000004"/>
    <n v="100"/>
    <n v="3000.0000000000005"/>
    <n v="2100.0000000000005"/>
  </r>
  <r>
    <x v="3"/>
    <n v="1185732"/>
    <x v="39"/>
    <x v="1"/>
    <s v="South Dakota"/>
    <s v="Sioux Falls"/>
    <s v="Online"/>
    <x v="4"/>
    <n v="35"/>
    <n v="525"/>
    <n v="18375"/>
    <n v="11943.75"/>
  </r>
  <r>
    <x v="3"/>
    <n v="1185732"/>
    <x v="39"/>
    <x v="1"/>
    <s v="North Dakota"/>
    <s v="Fargo"/>
    <s v="Online"/>
    <x v="1"/>
    <n v="44.999999999999993"/>
    <n v="175"/>
    <n v="7874.9999999999991"/>
    <n v="5118.7499999999991"/>
  </r>
  <r>
    <x v="3"/>
    <n v="1185732"/>
    <x v="39"/>
    <x v="1"/>
    <s v="North Dakota"/>
    <s v="Fargo"/>
    <s v="Online"/>
    <x v="2"/>
    <n v="24.999999999999996"/>
    <n v="275"/>
    <n v="6874.9999999999991"/>
    <n v="4124.9999999999982"/>
  </r>
  <r>
    <x v="0"/>
    <n v="1128299"/>
    <x v="39"/>
    <x v="0"/>
    <s v="California"/>
    <s v="San Francisco"/>
    <s v="Outlet"/>
    <x v="1"/>
    <n v="65"/>
    <n v="650"/>
    <n v="42250"/>
    <n v="23237.499999999996"/>
  </r>
  <r>
    <x v="3"/>
    <n v="1185732"/>
    <x v="39"/>
    <x v="1"/>
    <s v="South Dakota"/>
    <s v="Sioux Falls"/>
    <s v="Online"/>
    <x v="3"/>
    <n v="24"/>
    <n v="68"/>
    <n v="1632"/>
    <n v="946.56000000000006"/>
  </r>
  <r>
    <x v="1"/>
    <n v="1189833"/>
    <x v="39"/>
    <x v="1"/>
    <s v="Montana"/>
    <s v="Billings"/>
    <s v="Online"/>
    <x v="0"/>
    <n v="54"/>
    <n v="188"/>
    <n v="10152"/>
    <n v="5786.64"/>
  </r>
  <r>
    <x v="3"/>
    <n v="1185732"/>
    <x v="39"/>
    <x v="1"/>
    <s v="South Dakota"/>
    <s v="Sioux Falls"/>
    <s v="Online"/>
    <x v="0"/>
    <n v="34"/>
    <n v="51"/>
    <n v="1734"/>
    <n v="988.38"/>
  </r>
  <r>
    <x v="3"/>
    <n v="1185732"/>
    <x v="39"/>
    <x v="1"/>
    <s v="South Dakota"/>
    <s v="Sioux Falls"/>
    <s v="Online"/>
    <x v="4"/>
    <n v="34"/>
    <n v="152"/>
    <n v="5168"/>
    <n v="2842.4"/>
  </r>
  <r>
    <x v="3"/>
    <n v="1185732"/>
    <x v="39"/>
    <x v="1"/>
    <s v="North Dakota"/>
    <s v="Fargo"/>
    <s v="Online"/>
    <x v="5"/>
    <n v="29"/>
    <n v="30"/>
    <n v="870"/>
    <n v="478.50000000000006"/>
  </r>
  <r>
    <x v="0"/>
    <n v="1128299"/>
    <x v="39"/>
    <x v="0"/>
    <s v="California"/>
    <s v="San Francisco"/>
    <s v="Outlet"/>
    <x v="1"/>
    <n v="51"/>
    <n v="228"/>
    <n v="11628"/>
    <n v="6162.8399999999992"/>
  </r>
  <r>
    <x v="3"/>
    <n v="1185732"/>
    <x v="39"/>
    <x v="1"/>
    <s v="North Dakota"/>
    <s v="Fargo"/>
    <s v="Online"/>
    <x v="1"/>
    <n v="42"/>
    <n v="51"/>
    <n v="2142"/>
    <n v="1092.42"/>
  </r>
  <r>
    <x v="3"/>
    <n v="1185732"/>
    <x v="39"/>
    <x v="1"/>
    <s v="North Dakota"/>
    <s v="Fargo"/>
    <s v="Online"/>
    <x v="2"/>
    <n v="23"/>
    <n v="69"/>
    <n v="1587"/>
    <n v="777.63"/>
  </r>
  <r>
    <x v="0"/>
    <n v="1128299"/>
    <x v="39"/>
    <x v="0"/>
    <s v="California"/>
    <s v="San Francisco"/>
    <s v="Online"/>
    <x v="1"/>
    <n v="63"/>
    <n v="163"/>
    <n v="10269"/>
    <n v="4415.6699999999992"/>
  </r>
  <r>
    <x v="0"/>
    <n v="1128299"/>
    <x v="40"/>
    <x v="0"/>
    <s v="California"/>
    <s v="San Francisco"/>
    <s v="Outlet"/>
    <x v="2"/>
    <n v="70"/>
    <n v="775"/>
    <n v="54250"/>
    <n v="48825"/>
  </r>
  <r>
    <x v="2"/>
    <n v="1128299"/>
    <x v="40"/>
    <x v="0"/>
    <s v="Hawaii"/>
    <s v="Honolulu"/>
    <s v="Outlet"/>
    <x v="1"/>
    <n v="50"/>
    <n v="150"/>
    <n v="7500"/>
    <n v="6375"/>
  </r>
  <r>
    <x v="2"/>
    <n v="1128299"/>
    <x v="40"/>
    <x v="0"/>
    <s v="Alaska"/>
    <s v="Anchorage"/>
    <s v="Outlet"/>
    <x v="0"/>
    <n v="45"/>
    <n v="375"/>
    <n v="16875"/>
    <n v="13500"/>
  </r>
  <r>
    <x v="2"/>
    <n v="1128299"/>
    <x v="40"/>
    <x v="0"/>
    <s v="Alaska"/>
    <s v="Anchorage"/>
    <s v="Outlet"/>
    <x v="4"/>
    <n v="35"/>
    <n v="475"/>
    <n v="16625"/>
    <n v="12468.75"/>
  </r>
  <r>
    <x v="2"/>
    <n v="1128299"/>
    <x v="40"/>
    <x v="0"/>
    <s v="Alaska"/>
    <s v="Anchorage"/>
    <s v="Outlet"/>
    <x v="3"/>
    <n v="45"/>
    <n v="375"/>
    <n v="16875"/>
    <n v="12656.25"/>
  </r>
  <r>
    <x v="2"/>
    <n v="1128299"/>
    <x v="40"/>
    <x v="0"/>
    <s v="Hawaii"/>
    <s v="Honolulu"/>
    <s v="Outlet"/>
    <x v="5"/>
    <n v="45"/>
    <n v="225"/>
    <n v="10125"/>
    <n v="7593.75"/>
  </r>
  <r>
    <x v="0"/>
    <n v="1185732"/>
    <x v="40"/>
    <x v="3"/>
    <s v="Florida"/>
    <s v="Orlando"/>
    <s v="In-store"/>
    <x v="3"/>
    <n v="35"/>
    <n v="600"/>
    <n v="21000"/>
    <n v="15750"/>
  </r>
  <r>
    <x v="0"/>
    <n v="1185732"/>
    <x v="40"/>
    <x v="4"/>
    <s v="New York"/>
    <s v="Albany"/>
    <s v="In-store"/>
    <x v="5"/>
    <n v="40"/>
    <n v="475"/>
    <n v="19000"/>
    <n v="13300"/>
  </r>
  <r>
    <x v="0"/>
    <n v="1185732"/>
    <x v="40"/>
    <x v="1"/>
    <s v="Indiana"/>
    <s v="Indianapolis"/>
    <s v="In-store"/>
    <x v="1"/>
    <n v="44.999999999999993"/>
    <n v="200"/>
    <n v="8999.9999999999982"/>
    <n v="6299.9999999999982"/>
  </r>
  <r>
    <x v="0"/>
    <n v="1185732"/>
    <x v="40"/>
    <x v="4"/>
    <s v="New York"/>
    <s v="Albany"/>
    <s v="In-store"/>
    <x v="1"/>
    <n v="55.000000000000007"/>
    <n v="550"/>
    <n v="30250.000000000004"/>
    <n v="19662.500000000007"/>
  </r>
  <r>
    <x v="0"/>
    <n v="1185732"/>
    <x v="40"/>
    <x v="1"/>
    <s v="Wisconsin"/>
    <s v="Milwaukee"/>
    <s v="In-store"/>
    <x v="3"/>
    <n v="25.000000000000007"/>
    <n v="250"/>
    <n v="6250.0000000000018"/>
    <n v="4062.5000000000014"/>
  </r>
  <r>
    <x v="0"/>
    <n v="1185732"/>
    <x v="40"/>
    <x v="1"/>
    <s v="Indiana"/>
    <s v="Indianapolis"/>
    <s v="In-store"/>
    <x v="5"/>
    <n v="30.000000000000004"/>
    <n v="125"/>
    <n v="3750.0000000000005"/>
    <n v="2437.5000000000009"/>
  </r>
  <r>
    <x v="0"/>
    <n v="1185732"/>
    <x v="40"/>
    <x v="3"/>
    <s v="Florida"/>
    <s v="Orlando"/>
    <s v="In-store"/>
    <x v="0"/>
    <n v="45"/>
    <n v="550"/>
    <n v="24750"/>
    <n v="16087.5"/>
  </r>
  <r>
    <x v="2"/>
    <n v="1128299"/>
    <x v="40"/>
    <x v="0"/>
    <s v="Hawaii"/>
    <s v="Honolulu"/>
    <s v="Outlet"/>
    <x v="2"/>
    <n v="45"/>
    <n v="350"/>
    <n v="15750"/>
    <n v="9450"/>
  </r>
  <r>
    <x v="0"/>
    <n v="1185732"/>
    <x v="40"/>
    <x v="1"/>
    <s v="Wisconsin"/>
    <s v="Milwaukee"/>
    <s v="In-store"/>
    <x v="4"/>
    <n v="35"/>
    <n v="550"/>
    <n v="19250"/>
    <n v="11550"/>
  </r>
  <r>
    <x v="0"/>
    <n v="1185732"/>
    <x v="40"/>
    <x v="1"/>
    <s v="Wisconsin"/>
    <s v="Milwaukee"/>
    <s v="In-store"/>
    <x v="0"/>
    <n v="35"/>
    <n v="200"/>
    <n v="7000"/>
    <n v="4200"/>
  </r>
  <r>
    <x v="0"/>
    <n v="1185732"/>
    <x v="40"/>
    <x v="1"/>
    <s v="Indiana"/>
    <s v="Indianapolis"/>
    <s v="In-store"/>
    <x v="2"/>
    <n v="19.999999999999996"/>
    <n v="300"/>
    <n v="5999.9999999999991"/>
    <n v="3599.9999999999991"/>
  </r>
  <r>
    <x v="1"/>
    <n v="1189833"/>
    <x v="40"/>
    <x v="1"/>
    <s v="Montana"/>
    <s v="Billings"/>
    <s v="Outlet"/>
    <x v="3"/>
    <n v="50"/>
    <n v="500"/>
    <n v="25000"/>
    <n v="13750"/>
  </r>
  <r>
    <x v="0"/>
    <n v="1185732"/>
    <x v="40"/>
    <x v="3"/>
    <s v="Florida"/>
    <s v="Orlando"/>
    <s v="In-store"/>
    <x v="4"/>
    <n v="45"/>
    <n v="900"/>
    <n v="40500"/>
    <n v="22275"/>
  </r>
  <r>
    <x v="0"/>
    <n v="1185732"/>
    <x v="40"/>
    <x v="4"/>
    <s v="New York"/>
    <s v="Albany"/>
    <s v="In-store"/>
    <x v="2"/>
    <n v="45"/>
    <n v="650"/>
    <n v="29250"/>
    <n v="14625"/>
  </r>
  <r>
    <x v="0"/>
    <n v="1128299"/>
    <x v="40"/>
    <x v="0"/>
    <s v="California"/>
    <s v="San Francisco"/>
    <s v="Outlet"/>
    <x v="2"/>
    <n v="56"/>
    <n v="256"/>
    <n v="14336"/>
    <n v="12185.599999999999"/>
  </r>
  <r>
    <x v="0"/>
    <n v="1128299"/>
    <x v="40"/>
    <x v="0"/>
    <s v="California"/>
    <s v="San Francisco"/>
    <s v="Online"/>
    <x v="2"/>
    <n v="67"/>
    <n v="202"/>
    <n v="13534"/>
    <n v="10691.86"/>
  </r>
  <r>
    <x v="2"/>
    <n v="1128299"/>
    <x v="40"/>
    <x v="0"/>
    <s v="Hawaii"/>
    <s v="Honolulu"/>
    <s v="Online"/>
    <x v="1"/>
    <n v="47"/>
    <n v="38"/>
    <n v="1786"/>
    <n v="1250.2"/>
  </r>
  <r>
    <x v="2"/>
    <n v="1128299"/>
    <x v="40"/>
    <x v="0"/>
    <s v="Alaska"/>
    <s v="Anchorage"/>
    <s v="Online"/>
    <x v="0"/>
    <n v="42"/>
    <n v="98"/>
    <n v="4116"/>
    <n v="2798.88"/>
  </r>
  <r>
    <x v="0"/>
    <n v="1185732"/>
    <x v="40"/>
    <x v="3"/>
    <s v="Florida"/>
    <s v="Orlando"/>
    <s v="Outlet"/>
    <x v="3"/>
    <n v="23"/>
    <n v="204"/>
    <n v="4692"/>
    <n v="3190.56"/>
  </r>
  <r>
    <x v="2"/>
    <n v="1128299"/>
    <x v="40"/>
    <x v="0"/>
    <s v="Alaska"/>
    <s v="Anchorage"/>
    <s v="Online"/>
    <x v="3"/>
    <n v="44"/>
    <n v="94"/>
    <n v="4136"/>
    <n v="2647.04"/>
  </r>
  <r>
    <x v="2"/>
    <n v="1128299"/>
    <x v="40"/>
    <x v="0"/>
    <s v="Alaska"/>
    <s v="Anchorage"/>
    <s v="Online"/>
    <x v="4"/>
    <n v="33"/>
    <n v="143"/>
    <n v="4719"/>
    <n v="3020.16"/>
  </r>
  <r>
    <x v="0"/>
    <n v="1185732"/>
    <x v="40"/>
    <x v="3"/>
    <s v="Florida"/>
    <s v="Orlando"/>
    <s v="Online"/>
    <x v="3"/>
    <n v="33"/>
    <n v="174"/>
    <n v="5742"/>
    <n v="3617.46"/>
  </r>
  <r>
    <x v="2"/>
    <n v="1128299"/>
    <x v="40"/>
    <x v="0"/>
    <s v="Hawaii"/>
    <s v="Honolulu"/>
    <s v="Online"/>
    <x v="5"/>
    <n v="41"/>
    <n v="56"/>
    <n v="2296"/>
    <n v="1400.56"/>
  </r>
  <r>
    <x v="0"/>
    <n v="1185732"/>
    <x v="40"/>
    <x v="3"/>
    <s v="Florida"/>
    <s v="Orlando"/>
    <s v="Outlet"/>
    <x v="0"/>
    <n v="31"/>
    <n v="165"/>
    <n v="5115"/>
    <n v="3017.85"/>
  </r>
  <r>
    <x v="0"/>
    <n v="1185732"/>
    <x v="40"/>
    <x v="4"/>
    <s v="New York"/>
    <s v="Albany"/>
    <s v="Online"/>
    <x v="5"/>
    <n v="37"/>
    <n v="133"/>
    <n v="4921"/>
    <n v="2854.1800000000003"/>
  </r>
  <r>
    <x v="0"/>
    <n v="1185732"/>
    <x v="40"/>
    <x v="1"/>
    <s v="Indiana"/>
    <s v="Indianapolis"/>
    <s v="Online"/>
    <x v="1"/>
    <n v="41"/>
    <n v="58"/>
    <n v="2378"/>
    <n v="1331.68"/>
  </r>
  <r>
    <x v="0"/>
    <n v="1185732"/>
    <x v="40"/>
    <x v="4"/>
    <s v="New York"/>
    <s v="Albany"/>
    <s v="Online"/>
    <x v="1"/>
    <n v="50"/>
    <n v="154"/>
    <n v="7700"/>
    <n v="4158"/>
  </r>
  <r>
    <x v="0"/>
    <n v="1185732"/>
    <x v="40"/>
    <x v="1"/>
    <s v="Indiana"/>
    <s v="Indianapolis"/>
    <s v="Online"/>
    <x v="5"/>
    <n v="29"/>
    <n v="36"/>
    <n v="1044"/>
    <n v="553.32000000000005"/>
  </r>
  <r>
    <x v="0"/>
    <n v="1185732"/>
    <x v="40"/>
    <x v="3"/>
    <s v="Florida"/>
    <s v="Orlando"/>
    <s v="Outlet"/>
    <x v="4"/>
    <n v="36"/>
    <n v="288"/>
    <n v="10368"/>
    <n v="5495.04"/>
  </r>
  <r>
    <x v="0"/>
    <n v="1185732"/>
    <x v="40"/>
    <x v="3"/>
    <s v="Florida"/>
    <s v="Orlando"/>
    <s v="Online"/>
    <x v="0"/>
    <n v="42"/>
    <n v="138"/>
    <n v="5796"/>
    <n v="2955.96"/>
  </r>
  <r>
    <x v="0"/>
    <n v="1185732"/>
    <x v="40"/>
    <x v="1"/>
    <s v="Wisconsin"/>
    <s v="Milwaukee"/>
    <s v="Online"/>
    <x v="3"/>
    <n v="24"/>
    <n v="73"/>
    <n v="1752"/>
    <n v="876"/>
  </r>
  <r>
    <x v="0"/>
    <n v="1185732"/>
    <x v="40"/>
    <x v="1"/>
    <s v="Wisconsin"/>
    <s v="Milwaukee"/>
    <s v="Online"/>
    <x v="0"/>
    <n v="34"/>
    <n v="52"/>
    <n v="1768"/>
    <n v="866.31999999999994"/>
  </r>
  <r>
    <x v="0"/>
    <n v="1185732"/>
    <x v="40"/>
    <x v="1"/>
    <s v="Indiana"/>
    <s v="Indianapolis"/>
    <s v="Online"/>
    <x v="2"/>
    <n v="19"/>
    <n v="75"/>
    <n v="1425"/>
    <n v="698.25"/>
  </r>
  <r>
    <x v="2"/>
    <n v="1128299"/>
    <x v="40"/>
    <x v="0"/>
    <s v="Hawaii"/>
    <s v="Honolulu"/>
    <s v="Online"/>
    <x v="2"/>
    <n v="44"/>
    <n v="102"/>
    <n v="4488"/>
    <n v="2019.6"/>
  </r>
  <r>
    <x v="0"/>
    <n v="1185732"/>
    <x v="40"/>
    <x v="3"/>
    <s v="Florida"/>
    <s v="Orlando"/>
    <s v="Online"/>
    <x v="4"/>
    <n v="44"/>
    <n v="234"/>
    <n v="10296"/>
    <n v="4633.2"/>
  </r>
  <r>
    <x v="0"/>
    <n v="1185732"/>
    <x v="40"/>
    <x v="1"/>
    <s v="Wisconsin"/>
    <s v="Milwaukee"/>
    <s v="Online"/>
    <x v="4"/>
    <n v="34"/>
    <n v="160"/>
    <n v="5440"/>
    <n v="2447.9999999999995"/>
  </r>
  <r>
    <x v="1"/>
    <n v="1189833"/>
    <x v="40"/>
    <x v="1"/>
    <s v="Montana"/>
    <s v="Billings"/>
    <s v="Online"/>
    <x v="3"/>
    <n v="49"/>
    <n v="130"/>
    <n v="6370"/>
    <n v="2611.6999999999994"/>
  </r>
  <r>
    <x v="0"/>
    <n v="1185732"/>
    <x v="40"/>
    <x v="4"/>
    <s v="New York"/>
    <s v="Albany"/>
    <s v="Online"/>
    <x v="2"/>
    <n v="42"/>
    <n v="182"/>
    <n v="7644"/>
    <n v="2751.84"/>
  </r>
  <r>
    <x v="0"/>
    <n v="1128299"/>
    <x v="41"/>
    <x v="0"/>
    <s v="California"/>
    <s v="San Francisco"/>
    <s v="Outlet"/>
    <x v="4"/>
    <n v="55.000000000000007"/>
    <n v="975"/>
    <n v="53625.000000000007"/>
    <n v="37537.500000000007"/>
  </r>
  <r>
    <x v="0"/>
    <n v="1185732"/>
    <x v="41"/>
    <x v="1"/>
    <s v="Missouri"/>
    <s v="St. Louis"/>
    <s v="In-store"/>
    <x v="0"/>
    <n v="25"/>
    <n v="375"/>
    <n v="9375"/>
    <n v="6093.75"/>
  </r>
  <r>
    <x v="0"/>
    <n v="1185732"/>
    <x v="41"/>
    <x v="1"/>
    <s v="Missouri"/>
    <s v="St. Louis"/>
    <s v="In-store"/>
    <x v="3"/>
    <n v="15.000000000000002"/>
    <n v="425"/>
    <n v="6375.0000000000009"/>
    <n v="4143.7500000000009"/>
  </r>
  <r>
    <x v="0"/>
    <n v="1185732"/>
    <x v="41"/>
    <x v="0"/>
    <s v="Utah"/>
    <s v="Salt Lake City"/>
    <s v="In-store"/>
    <x v="1"/>
    <n v="35"/>
    <n v="375"/>
    <n v="13125"/>
    <n v="8531.25"/>
  </r>
  <r>
    <x v="4"/>
    <n v="1185732"/>
    <x v="41"/>
    <x v="3"/>
    <s v="North Carolina"/>
    <s v="Charlotte"/>
    <s v="Online"/>
    <x v="0"/>
    <n v="35"/>
    <n v="475"/>
    <n v="16625"/>
    <n v="10806.25"/>
  </r>
  <r>
    <x v="4"/>
    <n v="1185732"/>
    <x v="41"/>
    <x v="1"/>
    <s v="Ohio"/>
    <s v="Columbus"/>
    <s v="Online"/>
    <x v="1"/>
    <n v="45"/>
    <n v="450"/>
    <n v="20250"/>
    <n v="13162.5"/>
  </r>
  <r>
    <x v="0"/>
    <n v="1185732"/>
    <x v="41"/>
    <x v="0"/>
    <s v="Utah"/>
    <s v="Salt Lake City"/>
    <s v="In-store"/>
    <x v="5"/>
    <n v="20.000000000000007"/>
    <n v="300"/>
    <n v="6000.0000000000018"/>
    <n v="3600.0000000000014"/>
  </r>
  <r>
    <x v="1"/>
    <n v="1189833"/>
    <x v="41"/>
    <x v="1"/>
    <s v="Montana"/>
    <s v="Billings"/>
    <s v="Outlet"/>
    <x v="5"/>
    <n v="45"/>
    <n v="425"/>
    <n v="19125"/>
    <n v="11475"/>
  </r>
  <r>
    <x v="0"/>
    <n v="1185732"/>
    <x v="41"/>
    <x v="1"/>
    <s v="Missouri"/>
    <s v="St. Louis"/>
    <s v="In-store"/>
    <x v="4"/>
    <n v="25"/>
    <n v="725"/>
    <n v="18125"/>
    <n v="10875"/>
  </r>
  <r>
    <x v="4"/>
    <n v="1185732"/>
    <x v="41"/>
    <x v="3"/>
    <s v="North Carolina"/>
    <s v="Charlotte"/>
    <s v="Online"/>
    <x v="4"/>
    <n v="35"/>
    <n v="825"/>
    <n v="28875"/>
    <n v="17325"/>
  </r>
  <r>
    <x v="4"/>
    <n v="1185732"/>
    <x v="41"/>
    <x v="3"/>
    <s v="North Carolina"/>
    <s v="Charlotte"/>
    <s v="Online"/>
    <x v="3"/>
    <n v="25.000000000000007"/>
    <n v="525"/>
    <n v="13125.000000000004"/>
    <n v="7875.0000000000018"/>
  </r>
  <r>
    <x v="4"/>
    <n v="1185732"/>
    <x v="41"/>
    <x v="1"/>
    <s v="Ohio"/>
    <s v="Columbus"/>
    <s v="Online"/>
    <x v="5"/>
    <n v="30"/>
    <n v="375"/>
    <n v="11250"/>
    <n v="6750"/>
  </r>
  <r>
    <x v="0"/>
    <n v="1185732"/>
    <x v="41"/>
    <x v="0"/>
    <s v="Utah"/>
    <s v="Salt Lake City"/>
    <s v="In-store"/>
    <x v="2"/>
    <n v="25"/>
    <n v="450"/>
    <n v="11250"/>
    <n v="5625"/>
  </r>
  <r>
    <x v="4"/>
    <n v="1185732"/>
    <x v="41"/>
    <x v="1"/>
    <s v="Ohio"/>
    <s v="Columbus"/>
    <s v="Online"/>
    <x v="2"/>
    <n v="30"/>
    <n v="550"/>
    <n v="16500"/>
    <n v="8250"/>
  </r>
  <r>
    <x v="0"/>
    <n v="1128299"/>
    <x v="41"/>
    <x v="0"/>
    <s v="California"/>
    <s v="San Francisco"/>
    <s v="Outlet"/>
    <x v="4"/>
    <n v="40"/>
    <n v="322"/>
    <n v="12880"/>
    <n v="8629.5999999999985"/>
  </r>
  <r>
    <x v="0"/>
    <n v="1128299"/>
    <x v="41"/>
    <x v="0"/>
    <s v="California"/>
    <s v="San Francisco"/>
    <s v="Online"/>
    <x v="4"/>
    <n v="51"/>
    <n v="293"/>
    <n v="14943"/>
    <n v="8965.7999999999993"/>
  </r>
  <r>
    <x v="0"/>
    <n v="1185732"/>
    <x v="41"/>
    <x v="0"/>
    <s v="Utah"/>
    <s v="Salt Lake City"/>
    <s v="Outlet"/>
    <x v="5"/>
    <n v="16"/>
    <n v="93"/>
    <n v="1488"/>
    <n v="863.04"/>
  </r>
  <r>
    <x v="0"/>
    <n v="1185732"/>
    <x v="41"/>
    <x v="0"/>
    <s v="Utah"/>
    <s v="Salt Lake City"/>
    <s v="Outlet"/>
    <x v="1"/>
    <n v="28"/>
    <n v="120"/>
    <n v="3360"/>
    <n v="1948.8"/>
  </r>
  <r>
    <x v="0"/>
    <n v="1185732"/>
    <x v="41"/>
    <x v="1"/>
    <s v="Missouri"/>
    <s v="St. Louis"/>
    <s v="Online"/>
    <x v="3"/>
    <n v="14"/>
    <n v="115"/>
    <n v="1610"/>
    <n v="885.50000000000011"/>
  </r>
  <r>
    <x v="0"/>
    <n v="1185732"/>
    <x v="41"/>
    <x v="0"/>
    <s v="Utah"/>
    <s v="Salt Lake City"/>
    <s v="Online"/>
    <x v="1"/>
    <n v="32"/>
    <n v="101"/>
    <n v="3232"/>
    <n v="1777.6000000000001"/>
  </r>
  <r>
    <x v="4"/>
    <n v="1185732"/>
    <x v="41"/>
    <x v="1"/>
    <s v="Ohio"/>
    <s v="Columbus"/>
    <s v="Online"/>
    <x v="1"/>
    <n v="41"/>
    <n v="122"/>
    <n v="5002"/>
    <n v="2701.0800000000004"/>
  </r>
  <r>
    <x v="0"/>
    <n v="1185732"/>
    <x v="41"/>
    <x v="1"/>
    <s v="Missouri"/>
    <s v="St. Louis"/>
    <s v="Online"/>
    <x v="0"/>
    <n v="24"/>
    <n v="101"/>
    <n v="2424"/>
    <n v="1284.72"/>
  </r>
  <r>
    <x v="0"/>
    <n v="1185732"/>
    <x v="41"/>
    <x v="0"/>
    <s v="Utah"/>
    <s v="Salt Lake City"/>
    <s v="Online"/>
    <x v="5"/>
    <n v="19"/>
    <n v="87"/>
    <n v="1653"/>
    <n v="826.5"/>
  </r>
  <r>
    <x v="4"/>
    <n v="1185732"/>
    <x v="41"/>
    <x v="3"/>
    <s v="North Carolina"/>
    <s v="Charlotte"/>
    <s v="Online"/>
    <x v="4"/>
    <n v="32"/>
    <n v="231"/>
    <n v="7392"/>
    <n v="3696"/>
  </r>
  <r>
    <x v="4"/>
    <n v="1185732"/>
    <x v="41"/>
    <x v="3"/>
    <s v="North Carolina"/>
    <s v="Charlotte"/>
    <s v="Online"/>
    <x v="0"/>
    <n v="33"/>
    <n v="143"/>
    <n v="4719"/>
    <n v="2359.5"/>
  </r>
  <r>
    <x v="4"/>
    <n v="1185732"/>
    <x v="41"/>
    <x v="3"/>
    <s v="North Carolina"/>
    <s v="Charlotte"/>
    <s v="Online"/>
    <x v="3"/>
    <n v="23"/>
    <n v="158"/>
    <n v="3634"/>
    <n v="1817"/>
  </r>
  <r>
    <x v="4"/>
    <n v="1185732"/>
    <x v="41"/>
    <x v="1"/>
    <s v="Ohio"/>
    <s v="Columbus"/>
    <s v="Online"/>
    <x v="5"/>
    <n v="29"/>
    <n v="101"/>
    <n v="2929"/>
    <n v="1464.5"/>
  </r>
  <r>
    <x v="0"/>
    <n v="1185732"/>
    <x v="41"/>
    <x v="1"/>
    <s v="Missouri"/>
    <s v="St. Louis"/>
    <s v="Online"/>
    <x v="4"/>
    <n v="25"/>
    <n v="218"/>
    <n v="5450"/>
    <n v="2561.5"/>
  </r>
  <r>
    <x v="1"/>
    <n v="1189833"/>
    <x v="41"/>
    <x v="1"/>
    <s v="Montana"/>
    <s v="Billings"/>
    <s v="Online"/>
    <x v="5"/>
    <n v="41"/>
    <n v="106"/>
    <n v="4346"/>
    <n v="1999.1599999999999"/>
  </r>
  <r>
    <x v="0"/>
    <n v="1185732"/>
    <x v="41"/>
    <x v="0"/>
    <s v="Utah"/>
    <s v="Salt Lake City"/>
    <s v="Outlet"/>
    <x v="2"/>
    <n v="18"/>
    <n v="149"/>
    <n v="2682"/>
    <n v="1206.8999999999999"/>
  </r>
  <r>
    <x v="4"/>
    <n v="1185732"/>
    <x v="41"/>
    <x v="1"/>
    <s v="Ohio"/>
    <s v="Columbus"/>
    <s v="Online"/>
    <x v="2"/>
    <n v="29"/>
    <n v="143"/>
    <n v="4147"/>
    <n v="1617.33"/>
  </r>
  <r>
    <x v="0"/>
    <n v="1185732"/>
    <x v="41"/>
    <x v="0"/>
    <s v="Utah"/>
    <s v="Salt Lake City"/>
    <s v="Online"/>
    <x v="2"/>
    <n v="24"/>
    <n v="131"/>
    <n v="3144"/>
    <n v="1194.72"/>
  </r>
  <r>
    <x v="0"/>
    <n v="1128299"/>
    <x v="42"/>
    <x v="0"/>
    <s v="California"/>
    <s v="San Francisco"/>
    <s v="Outlet"/>
    <x v="0"/>
    <n v="60.000000000000007"/>
    <n v="975"/>
    <n v="58500.000000000007"/>
    <n v="49725.000000000015"/>
  </r>
  <r>
    <x v="1"/>
    <n v="1185732"/>
    <x v="42"/>
    <x v="0"/>
    <s v="Wyoming"/>
    <s v="Cheyenne"/>
    <s v="In-store"/>
    <x v="2"/>
    <n v="40"/>
    <n v="600"/>
    <n v="24000"/>
    <n v="18000"/>
  </r>
  <r>
    <x v="2"/>
    <n v="1185732"/>
    <x v="42"/>
    <x v="1"/>
    <s v="Kansas"/>
    <s v="Wichita"/>
    <s v="Online"/>
    <x v="3"/>
    <n v="30.000000000000004"/>
    <n v="225"/>
    <n v="6750.0000000000009"/>
    <n v="4725.0000000000018"/>
  </r>
  <r>
    <x v="1"/>
    <n v="1185732"/>
    <x v="42"/>
    <x v="4"/>
    <s v="New York"/>
    <s v="Albany"/>
    <s v="In-store"/>
    <x v="0"/>
    <n v="40"/>
    <n v="500"/>
    <n v="20000"/>
    <n v="14000"/>
  </r>
  <r>
    <x v="1"/>
    <n v="1185732"/>
    <x v="42"/>
    <x v="0"/>
    <s v="Wyoming"/>
    <s v="Cheyenne"/>
    <s v="In-store"/>
    <x v="1"/>
    <n v="50"/>
    <n v="500"/>
    <n v="25000"/>
    <n v="17500"/>
  </r>
  <r>
    <x v="2"/>
    <n v="1185732"/>
    <x v="42"/>
    <x v="1"/>
    <s v="Kansas"/>
    <s v="Wichita"/>
    <s v="Online"/>
    <x v="0"/>
    <n v="40"/>
    <n v="175"/>
    <n v="7000"/>
    <n v="4900"/>
  </r>
  <r>
    <x v="2"/>
    <n v="1185732"/>
    <x v="42"/>
    <x v="1"/>
    <s v="South Dakota"/>
    <s v="Sioux Falls"/>
    <s v="Online"/>
    <x v="5"/>
    <n v="35"/>
    <n v="100"/>
    <n v="3500"/>
    <n v="2450"/>
  </r>
  <r>
    <x v="1"/>
    <n v="1185732"/>
    <x v="42"/>
    <x v="4"/>
    <s v="New York"/>
    <s v="Albany"/>
    <s v="In-store"/>
    <x v="3"/>
    <n v="30.000000000000004"/>
    <n v="550"/>
    <n v="16500.000000000004"/>
    <n v="10725.000000000004"/>
  </r>
  <r>
    <x v="1"/>
    <n v="1185732"/>
    <x v="42"/>
    <x v="0"/>
    <s v="Wyoming"/>
    <s v="Cheyenne"/>
    <s v="In-store"/>
    <x v="5"/>
    <n v="35"/>
    <n v="425"/>
    <n v="14875"/>
    <n v="9668.75"/>
  </r>
  <r>
    <x v="2"/>
    <n v="1185732"/>
    <x v="42"/>
    <x v="1"/>
    <s v="Kansas"/>
    <s v="Wichita"/>
    <s v="Online"/>
    <x v="4"/>
    <n v="40"/>
    <n v="525"/>
    <n v="21000"/>
    <n v="13650"/>
  </r>
  <r>
    <x v="2"/>
    <n v="1185732"/>
    <x v="42"/>
    <x v="1"/>
    <s v="South Dakota"/>
    <s v="Sioux Falls"/>
    <s v="Online"/>
    <x v="1"/>
    <n v="49.999999999999993"/>
    <n v="175"/>
    <n v="8749.9999999999982"/>
    <n v="5687.4999999999991"/>
  </r>
  <r>
    <x v="4"/>
    <n v="1185732"/>
    <x v="42"/>
    <x v="4"/>
    <s v="Massachusetts"/>
    <s v="Boston"/>
    <s v="In-store"/>
    <x v="3"/>
    <n v="35"/>
    <n v="275"/>
    <n v="9625"/>
    <n v="6256.25"/>
  </r>
  <r>
    <x v="4"/>
    <n v="1185732"/>
    <x v="42"/>
    <x v="4"/>
    <s v="Vermont"/>
    <s v="Burlington"/>
    <s v="In-store"/>
    <x v="5"/>
    <n v="40"/>
    <n v="150"/>
    <n v="6000"/>
    <n v="3900"/>
  </r>
  <r>
    <x v="4"/>
    <n v="1185732"/>
    <x v="42"/>
    <x v="4"/>
    <s v="Vermont"/>
    <s v="Burlington"/>
    <s v="In-store"/>
    <x v="1"/>
    <n v="55.000000000000007"/>
    <n v="225"/>
    <n v="12375.000000000002"/>
    <n v="8043.7500000000018"/>
  </r>
  <r>
    <x v="2"/>
    <n v="1185732"/>
    <x v="42"/>
    <x v="1"/>
    <s v="South Dakota"/>
    <s v="Sioux Falls"/>
    <s v="Online"/>
    <x v="2"/>
    <n v="35"/>
    <n v="275"/>
    <n v="9625"/>
    <n v="5775"/>
  </r>
  <r>
    <x v="4"/>
    <n v="1185732"/>
    <x v="42"/>
    <x v="4"/>
    <s v="Vermont"/>
    <s v="Burlington"/>
    <s v="In-store"/>
    <x v="2"/>
    <n v="45"/>
    <n v="325"/>
    <n v="14625"/>
    <n v="8775"/>
  </r>
  <r>
    <x v="4"/>
    <n v="1185732"/>
    <x v="42"/>
    <x v="4"/>
    <s v="Massachusetts"/>
    <s v="Boston"/>
    <s v="In-store"/>
    <x v="4"/>
    <n v="45"/>
    <n v="575"/>
    <n v="25875"/>
    <n v="14231.25"/>
  </r>
  <r>
    <x v="4"/>
    <n v="1185732"/>
    <x v="42"/>
    <x v="4"/>
    <s v="Massachusetts"/>
    <s v="Boston"/>
    <s v="In-store"/>
    <x v="0"/>
    <n v="45"/>
    <n v="225"/>
    <n v="10125"/>
    <n v="5568.75"/>
  </r>
  <r>
    <x v="1"/>
    <n v="1185732"/>
    <x v="42"/>
    <x v="4"/>
    <s v="New York"/>
    <s v="Albany"/>
    <s v="In-store"/>
    <x v="4"/>
    <n v="40"/>
    <n v="850"/>
    <n v="34000"/>
    <n v="17000"/>
  </r>
  <r>
    <x v="1"/>
    <n v="1189833"/>
    <x v="42"/>
    <x v="1"/>
    <s v="Montana"/>
    <s v="Billings"/>
    <s v="Outlet"/>
    <x v="1"/>
    <n v="54.999999999999993"/>
    <n v="425"/>
    <n v="23374.999999999996"/>
    <n v="9349.9999999999964"/>
  </r>
  <r>
    <x v="0"/>
    <n v="1128299"/>
    <x v="42"/>
    <x v="0"/>
    <s v="California"/>
    <s v="San Francisco"/>
    <s v="Outlet"/>
    <x v="0"/>
    <n v="46"/>
    <n v="332"/>
    <n v="15272"/>
    <n v="12064.880000000001"/>
  </r>
  <r>
    <x v="0"/>
    <n v="1128299"/>
    <x v="42"/>
    <x v="0"/>
    <s v="California"/>
    <s v="San Francisco"/>
    <s v="Online"/>
    <x v="0"/>
    <n v="58"/>
    <n v="273"/>
    <n v="15834"/>
    <n v="11558.82"/>
  </r>
  <r>
    <x v="4"/>
    <n v="1185732"/>
    <x v="42"/>
    <x v="4"/>
    <s v="Vermont"/>
    <s v="Burlington"/>
    <s v="Outlet"/>
    <x v="5"/>
    <n v="30"/>
    <n v="48"/>
    <n v="1440"/>
    <n v="892.8"/>
  </r>
  <r>
    <x v="4"/>
    <n v="1185732"/>
    <x v="42"/>
    <x v="4"/>
    <s v="Vermont"/>
    <s v="Burlington"/>
    <s v="Outlet"/>
    <x v="1"/>
    <n v="36"/>
    <n v="68"/>
    <n v="2448"/>
    <n v="1493.2800000000002"/>
  </r>
  <r>
    <x v="1"/>
    <n v="1185732"/>
    <x v="42"/>
    <x v="0"/>
    <s v="Wyoming"/>
    <s v="Cheyenne"/>
    <s v="Online"/>
    <x v="2"/>
    <n v="38"/>
    <n v="174"/>
    <n v="6612"/>
    <n v="4033.3199999999997"/>
  </r>
  <r>
    <x v="4"/>
    <n v="1185732"/>
    <x v="42"/>
    <x v="4"/>
    <s v="Massachusetts"/>
    <s v="Boston"/>
    <s v="Outlet"/>
    <x v="3"/>
    <n v="25"/>
    <n v="85"/>
    <n v="2125"/>
    <n v="1275"/>
  </r>
  <r>
    <x v="1"/>
    <n v="1185732"/>
    <x v="42"/>
    <x v="0"/>
    <s v="Wyoming"/>
    <s v="Cheyenne"/>
    <s v="Online"/>
    <x v="1"/>
    <n v="47"/>
    <n v="145"/>
    <n v="6815"/>
    <n v="4020.8500000000004"/>
  </r>
  <r>
    <x v="1"/>
    <n v="1185732"/>
    <x v="42"/>
    <x v="4"/>
    <s v="New York"/>
    <s v="Albany"/>
    <s v="Online"/>
    <x v="0"/>
    <n v="37"/>
    <n v="145"/>
    <n v="5365"/>
    <n v="3165.35"/>
  </r>
  <r>
    <x v="2"/>
    <n v="1185732"/>
    <x v="42"/>
    <x v="1"/>
    <s v="Kansas"/>
    <s v="Wichita"/>
    <s v="Online"/>
    <x v="3"/>
    <n v="29"/>
    <n v="59"/>
    <n v="1711"/>
    <n v="975.27"/>
  </r>
  <r>
    <x v="2"/>
    <n v="1185732"/>
    <x v="42"/>
    <x v="1"/>
    <s v="Kansas"/>
    <s v="Wichita"/>
    <s v="Online"/>
    <x v="0"/>
    <n v="39"/>
    <n v="47"/>
    <n v="1833"/>
    <n v="1026.48"/>
  </r>
  <r>
    <x v="2"/>
    <n v="1185732"/>
    <x v="42"/>
    <x v="1"/>
    <s v="South Dakota"/>
    <s v="Sioux Falls"/>
    <s v="Online"/>
    <x v="5"/>
    <n v="33"/>
    <n v="25"/>
    <n v="825"/>
    <n v="462"/>
  </r>
  <r>
    <x v="2"/>
    <n v="1185732"/>
    <x v="42"/>
    <x v="1"/>
    <s v="South Dakota"/>
    <s v="Sioux Falls"/>
    <s v="Online"/>
    <x v="1"/>
    <n v="48"/>
    <n v="46"/>
    <n v="2208"/>
    <n v="1214.4000000000001"/>
  </r>
  <r>
    <x v="4"/>
    <n v="1185732"/>
    <x v="42"/>
    <x v="4"/>
    <s v="Vermont"/>
    <s v="Burlington"/>
    <s v="Online"/>
    <x v="5"/>
    <n v="36"/>
    <n v="45"/>
    <n v="1620"/>
    <n v="874.80000000000007"/>
  </r>
  <r>
    <x v="4"/>
    <n v="1185732"/>
    <x v="42"/>
    <x v="4"/>
    <s v="Vermont"/>
    <s v="Burlington"/>
    <s v="Outlet"/>
    <x v="2"/>
    <n v="35"/>
    <n v="107"/>
    <n v="3745"/>
    <n v="1984.8500000000001"/>
  </r>
  <r>
    <x v="4"/>
    <n v="1185732"/>
    <x v="42"/>
    <x v="4"/>
    <s v="Massachusetts"/>
    <s v="Boston"/>
    <s v="Outlet"/>
    <x v="4"/>
    <n v="33"/>
    <n v="184"/>
    <n v="6072"/>
    <n v="3218.16"/>
  </r>
  <r>
    <x v="4"/>
    <n v="1185732"/>
    <x v="42"/>
    <x v="4"/>
    <s v="Massachusetts"/>
    <s v="Boston"/>
    <s v="Outlet"/>
    <x v="0"/>
    <n v="33"/>
    <n v="72"/>
    <n v="2376"/>
    <n v="1259.28"/>
  </r>
  <r>
    <x v="1"/>
    <n v="1185732"/>
    <x v="42"/>
    <x v="0"/>
    <s v="Wyoming"/>
    <s v="Cheyenne"/>
    <s v="Online"/>
    <x v="5"/>
    <n v="32"/>
    <n v="123"/>
    <n v="3936"/>
    <n v="2046.72"/>
  </r>
  <r>
    <x v="1"/>
    <n v="1185732"/>
    <x v="42"/>
    <x v="4"/>
    <s v="New York"/>
    <s v="Albany"/>
    <s v="Online"/>
    <x v="3"/>
    <n v="29"/>
    <n v="143"/>
    <n v="4147"/>
    <n v="2114.9700000000003"/>
  </r>
  <r>
    <x v="2"/>
    <n v="1185732"/>
    <x v="42"/>
    <x v="1"/>
    <s v="Kansas"/>
    <s v="Wichita"/>
    <s v="Online"/>
    <x v="4"/>
    <n v="37"/>
    <n v="158"/>
    <n v="5846"/>
    <n v="2923"/>
  </r>
  <r>
    <x v="4"/>
    <n v="1185732"/>
    <x v="42"/>
    <x v="4"/>
    <s v="Massachusetts"/>
    <s v="Boston"/>
    <s v="Online"/>
    <x v="3"/>
    <n v="33"/>
    <n v="74"/>
    <n v="2442"/>
    <n v="1221"/>
  </r>
  <r>
    <x v="4"/>
    <n v="1185732"/>
    <x v="42"/>
    <x v="4"/>
    <s v="Vermont"/>
    <s v="Burlington"/>
    <s v="Online"/>
    <x v="1"/>
    <n v="54"/>
    <n v="63"/>
    <n v="3402"/>
    <n v="1701"/>
  </r>
  <r>
    <x v="4"/>
    <n v="1185732"/>
    <x v="42"/>
    <x v="4"/>
    <s v="Vermont"/>
    <s v="Burlington"/>
    <s v="Online"/>
    <x v="2"/>
    <n v="43"/>
    <n v="85"/>
    <n v="3655"/>
    <n v="1681.3"/>
  </r>
  <r>
    <x v="2"/>
    <n v="1185732"/>
    <x v="42"/>
    <x v="1"/>
    <s v="South Dakota"/>
    <s v="Sioux Falls"/>
    <s v="Online"/>
    <x v="2"/>
    <n v="32"/>
    <n v="80"/>
    <n v="2560"/>
    <n v="1152"/>
  </r>
  <r>
    <x v="4"/>
    <n v="1185732"/>
    <x v="42"/>
    <x v="4"/>
    <s v="Massachusetts"/>
    <s v="Boston"/>
    <s v="Online"/>
    <x v="4"/>
    <n v="41"/>
    <n v="167"/>
    <n v="6847"/>
    <n v="3012.68"/>
  </r>
  <r>
    <x v="4"/>
    <n v="1185732"/>
    <x v="42"/>
    <x v="4"/>
    <s v="Massachusetts"/>
    <s v="Boston"/>
    <s v="Online"/>
    <x v="0"/>
    <n v="44"/>
    <n v="61"/>
    <n v="2684"/>
    <n v="1073.6000000000001"/>
  </r>
  <r>
    <x v="1"/>
    <n v="1185732"/>
    <x v="42"/>
    <x v="4"/>
    <s v="New York"/>
    <s v="Albany"/>
    <s v="Online"/>
    <x v="4"/>
    <n v="37"/>
    <n v="238"/>
    <n v="8806"/>
    <n v="3434.34"/>
  </r>
  <r>
    <x v="1"/>
    <n v="1189833"/>
    <x v="42"/>
    <x v="1"/>
    <s v="Montana"/>
    <s v="Billings"/>
    <s v="Online"/>
    <x v="1"/>
    <n v="52"/>
    <n v="106"/>
    <n v="5512"/>
    <n v="1653.5999999999995"/>
  </r>
  <r>
    <x v="1"/>
    <n v="1189833"/>
    <x v="43"/>
    <x v="1"/>
    <s v="Montana"/>
    <s v="Billings"/>
    <s v="Outlet"/>
    <x v="2"/>
    <n v="60"/>
    <n v="400"/>
    <n v="24000"/>
    <n v="18000"/>
  </r>
  <r>
    <x v="3"/>
    <n v="1128299"/>
    <x v="43"/>
    <x v="3"/>
    <s v="Georgia"/>
    <s v="Atlanta"/>
    <s v="Online"/>
    <x v="2"/>
    <n v="40"/>
    <n v="375"/>
    <n v="15000"/>
    <n v="11250"/>
  </r>
  <r>
    <x v="0"/>
    <n v="1128299"/>
    <x v="43"/>
    <x v="0"/>
    <s v="California"/>
    <s v="San Francisco"/>
    <s v="Outlet"/>
    <x v="3"/>
    <n v="55.000000000000007"/>
    <n v="775"/>
    <n v="42625.000000000007"/>
    <n v="29837.5"/>
  </r>
  <r>
    <x v="3"/>
    <n v="1128299"/>
    <x v="43"/>
    <x v="3"/>
    <s v="Georgia"/>
    <s v="Atlanta"/>
    <s v="Online"/>
    <x v="1"/>
    <n v="45.000000000000014"/>
    <n v="175"/>
    <n v="7875.0000000000027"/>
    <n v="5118.7500000000018"/>
  </r>
  <r>
    <x v="3"/>
    <n v="1128299"/>
    <x v="43"/>
    <x v="0"/>
    <s v="New Mexico"/>
    <s v="Albuquerque"/>
    <s v="Online"/>
    <x v="3"/>
    <n v="40"/>
    <n v="400"/>
    <n v="16000"/>
    <n v="10400"/>
  </r>
  <r>
    <x v="3"/>
    <n v="1128299"/>
    <x v="43"/>
    <x v="0"/>
    <s v="New Mexico"/>
    <s v="Albuquerque"/>
    <s v="Online"/>
    <x v="0"/>
    <n v="40"/>
    <n v="400"/>
    <n v="16000"/>
    <n v="9600"/>
  </r>
  <r>
    <x v="3"/>
    <n v="1128299"/>
    <x v="43"/>
    <x v="3"/>
    <s v="Georgia"/>
    <s v="Atlanta"/>
    <s v="Online"/>
    <x v="5"/>
    <n v="40"/>
    <n v="250"/>
    <n v="10000"/>
    <n v="6000"/>
  </r>
  <r>
    <x v="3"/>
    <n v="1128299"/>
    <x v="43"/>
    <x v="0"/>
    <s v="New Mexico"/>
    <s v="Albuquerque"/>
    <s v="Online"/>
    <x v="4"/>
    <n v="29.999999999999993"/>
    <n v="500"/>
    <n v="14999.999999999996"/>
    <n v="8999.9999999999964"/>
  </r>
  <r>
    <x v="3"/>
    <n v="1128299"/>
    <x v="43"/>
    <x v="3"/>
    <s v="Georgia"/>
    <s v="Atlanta"/>
    <s v="Outlet"/>
    <x v="2"/>
    <n v="28"/>
    <n v="131"/>
    <n v="3668"/>
    <n v="2604.2799999999997"/>
  </r>
  <r>
    <x v="0"/>
    <n v="1128299"/>
    <x v="43"/>
    <x v="0"/>
    <s v="California"/>
    <s v="San Francisco"/>
    <s v="Outlet"/>
    <x v="3"/>
    <n v="44"/>
    <n v="256"/>
    <n v="11264"/>
    <n v="7546.8799999999992"/>
  </r>
  <r>
    <x v="3"/>
    <n v="1128299"/>
    <x v="43"/>
    <x v="3"/>
    <s v="Georgia"/>
    <s v="Atlanta"/>
    <s v="Online"/>
    <x v="2"/>
    <n v="37"/>
    <n v="98"/>
    <n v="3626"/>
    <n v="2320.6400000000003"/>
  </r>
  <r>
    <x v="1"/>
    <n v="1189833"/>
    <x v="43"/>
    <x v="1"/>
    <s v="Montana"/>
    <s v="Billings"/>
    <s v="Online"/>
    <x v="2"/>
    <n v="56"/>
    <n v="112"/>
    <n v="6272"/>
    <n v="3888.64"/>
  </r>
  <r>
    <x v="3"/>
    <n v="1128299"/>
    <x v="43"/>
    <x v="3"/>
    <s v="Georgia"/>
    <s v="Atlanta"/>
    <s v="Outlet"/>
    <x v="1"/>
    <n v="34"/>
    <n v="60"/>
    <n v="2040"/>
    <n v="1244.4000000000001"/>
  </r>
  <r>
    <x v="0"/>
    <n v="1128299"/>
    <x v="43"/>
    <x v="0"/>
    <s v="California"/>
    <s v="San Francisco"/>
    <s v="Online"/>
    <x v="3"/>
    <n v="52"/>
    <n v="233"/>
    <n v="12116"/>
    <n v="7269.5999999999995"/>
  </r>
  <r>
    <x v="3"/>
    <n v="1128299"/>
    <x v="43"/>
    <x v="0"/>
    <s v="New Mexico"/>
    <s v="Albuquerque"/>
    <s v="Outlet"/>
    <x v="3"/>
    <n v="28"/>
    <n v="120"/>
    <n v="3360"/>
    <n v="1982.4"/>
  </r>
  <r>
    <x v="3"/>
    <n v="1128299"/>
    <x v="43"/>
    <x v="0"/>
    <s v="New Mexico"/>
    <s v="Albuquerque"/>
    <s v="Outlet"/>
    <x v="4"/>
    <n v="23"/>
    <n v="150"/>
    <n v="3450"/>
    <n v="1966.4999999999998"/>
  </r>
  <r>
    <x v="3"/>
    <n v="1128299"/>
    <x v="43"/>
    <x v="3"/>
    <s v="Georgia"/>
    <s v="Atlanta"/>
    <s v="Outlet"/>
    <x v="5"/>
    <n v="30"/>
    <n v="80"/>
    <n v="2400"/>
    <n v="1344"/>
  </r>
  <r>
    <x v="3"/>
    <n v="1128299"/>
    <x v="43"/>
    <x v="0"/>
    <s v="New Mexico"/>
    <s v="Albuquerque"/>
    <s v="Outlet"/>
    <x v="0"/>
    <n v="27"/>
    <n v="124"/>
    <n v="3348"/>
    <n v="1807.9199999999998"/>
  </r>
  <r>
    <x v="3"/>
    <n v="1128299"/>
    <x v="43"/>
    <x v="3"/>
    <s v="Georgia"/>
    <s v="Atlanta"/>
    <s v="Online"/>
    <x v="1"/>
    <n v="41"/>
    <n v="51"/>
    <n v="2091"/>
    <n v="1087.3200000000002"/>
  </r>
  <r>
    <x v="3"/>
    <n v="1128299"/>
    <x v="43"/>
    <x v="0"/>
    <s v="New Mexico"/>
    <s v="Albuquerque"/>
    <s v="Online"/>
    <x v="3"/>
    <n v="37"/>
    <n v="104"/>
    <n v="3848"/>
    <n v="1924"/>
  </r>
  <r>
    <x v="3"/>
    <n v="1128299"/>
    <x v="43"/>
    <x v="3"/>
    <s v="Georgia"/>
    <s v="Atlanta"/>
    <s v="Online"/>
    <x v="5"/>
    <n v="36"/>
    <n v="63"/>
    <n v="2268"/>
    <n v="1088.6399999999999"/>
  </r>
  <r>
    <x v="3"/>
    <n v="1128299"/>
    <x v="43"/>
    <x v="0"/>
    <s v="New Mexico"/>
    <s v="Albuquerque"/>
    <s v="Online"/>
    <x v="4"/>
    <n v="29"/>
    <n v="145"/>
    <n v="4205"/>
    <n v="1976.35"/>
  </r>
  <r>
    <x v="3"/>
    <n v="1128299"/>
    <x v="43"/>
    <x v="0"/>
    <s v="New Mexico"/>
    <s v="Albuquerque"/>
    <s v="Online"/>
    <x v="0"/>
    <n v="37"/>
    <n v="112"/>
    <n v="4144"/>
    <n v="1864.7999999999997"/>
  </r>
  <r>
    <x v="0"/>
    <n v="1128299"/>
    <x v="44"/>
    <x v="0"/>
    <s v="California"/>
    <s v="San Francisco"/>
    <s v="Outlet"/>
    <x v="5"/>
    <n v="55.000000000000007"/>
    <n v="775"/>
    <n v="42625.000000000007"/>
    <n v="31968.750000000007"/>
  </r>
  <r>
    <x v="1"/>
    <n v="1197831"/>
    <x v="44"/>
    <x v="2"/>
    <s v="Oklahoma"/>
    <s v="Oklahoma City"/>
    <s v="Online"/>
    <x v="4"/>
    <n v="25.000000000000007"/>
    <n v="600"/>
    <n v="15000.000000000004"/>
    <n v="9750.0000000000036"/>
  </r>
  <r>
    <x v="1"/>
    <n v="1197831"/>
    <x v="44"/>
    <x v="2"/>
    <s v="Oklahoma"/>
    <s v="Oklahoma City"/>
    <s v="Online"/>
    <x v="0"/>
    <n v="25.000000000000007"/>
    <n v="250"/>
    <n v="6250.0000000000018"/>
    <n v="4062.5000000000014"/>
  </r>
  <r>
    <x v="1"/>
    <n v="1197831"/>
    <x v="44"/>
    <x v="2"/>
    <s v="Oklahoma"/>
    <s v="Oklahoma City"/>
    <s v="Online"/>
    <x v="3"/>
    <n v="15.000000000000007"/>
    <n v="300"/>
    <n v="4500.0000000000018"/>
    <n v="2925.0000000000014"/>
  </r>
  <r>
    <x v="1"/>
    <n v="1197831"/>
    <x v="44"/>
    <x v="1"/>
    <s v="Kansas"/>
    <s v="Wichita"/>
    <s v="Online"/>
    <x v="5"/>
    <n v="20"/>
    <n v="150"/>
    <n v="3000"/>
    <n v="1950"/>
  </r>
  <r>
    <x v="1"/>
    <n v="1197831"/>
    <x v="44"/>
    <x v="1"/>
    <s v="Kansas"/>
    <s v="Wichita"/>
    <s v="Online"/>
    <x v="1"/>
    <n v="35"/>
    <n v="225"/>
    <n v="7875"/>
    <n v="5118.75"/>
  </r>
  <r>
    <x v="1"/>
    <n v="1197831"/>
    <x v="44"/>
    <x v="1"/>
    <s v="Kansas"/>
    <s v="Wichita"/>
    <s v="Online"/>
    <x v="2"/>
    <n v="20"/>
    <n v="325"/>
    <n v="6500"/>
    <n v="4225"/>
  </r>
  <r>
    <x v="1"/>
    <n v="1189833"/>
    <x v="44"/>
    <x v="1"/>
    <s v="Montana"/>
    <s v="Billings"/>
    <s v="Outlet"/>
    <x v="4"/>
    <n v="45"/>
    <n v="600"/>
    <n v="27000"/>
    <n v="14850"/>
  </r>
  <r>
    <x v="0"/>
    <n v="1128299"/>
    <x v="44"/>
    <x v="0"/>
    <s v="California"/>
    <s v="San Francisco"/>
    <s v="Outlet"/>
    <x v="5"/>
    <n v="40"/>
    <n v="271"/>
    <n v="10840"/>
    <n v="7588"/>
  </r>
  <r>
    <x v="1"/>
    <n v="1197831"/>
    <x v="44"/>
    <x v="2"/>
    <s v="Oklahoma"/>
    <s v="Oklahoma City"/>
    <s v="Outlet"/>
    <x v="3"/>
    <n v="11"/>
    <n v="90"/>
    <n v="990"/>
    <n v="603.90000000000009"/>
  </r>
  <r>
    <x v="0"/>
    <n v="1128299"/>
    <x v="44"/>
    <x v="0"/>
    <s v="California"/>
    <s v="San Francisco"/>
    <s v="Online"/>
    <x v="5"/>
    <n v="51"/>
    <n v="194"/>
    <n v="9894"/>
    <n v="5936.4000000000005"/>
  </r>
  <r>
    <x v="1"/>
    <n v="1197831"/>
    <x v="44"/>
    <x v="2"/>
    <s v="Oklahoma"/>
    <s v="Oklahoma City"/>
    <s v="Outlet"/>
    <x v="4"/>
    <n v="18"/>
    <n v="204"/>
    <n v="3672"/>
    <n v="2203.1999999999998"/>
  </r>
  <r>
    <x v="1"/>
    <n v="1197831"/>
    <x v="44"/>
    <x v="2"/>
    <s v="Oklahoma"/>
    <s v="Oklahoma City"/>
    <s v="Outlet"/>
    <x v="0"/>
    <n v="17"/>
    <n v="75"/>
    <n v="1275"/>
    <n v="752.25"/>
  </r>
  <r>
    <x v="1"/>
    <n v="1197831"/>
    <x v="44"/>
    <x v="1"/>
    <s v="Kansas"/>
    <s v="Wichita"/>
    <s v="Online"/>
    <x v="5"/>
    <n v="20"/>
    <n v="42"/>
    <n v="840"/>
    <n v="462.00000000000006"/>
  </r>
  <r>
    <x v="1"/>
    <n v="1197831"/>
    <x v="44"/>
    <x v="2"/>
    <s v="Oklahoma"/>
    <s v="Oklahoma City"/>
    <s v="Online"/>
    <x v="4"/>
    <n v="23"/>
    <n v="162"/>
    <n v="3726"/>
    <n v="1974.7800000000002"/>
  </r>
  <r>
    <x v="1"/>
    <n v="1197831"/>
    <x v="44"/>
    <x v="1"/>
    <s v="Kansas"/>
    <s v="Wichita"/>
    <s v="Online"/>
    <x v="1"/>
    <n v="32"/>
    <n v="68"/>
    <n v="2176"/>
    <n v="1131.52"/>
  </r>
  <r>
    <x v="1"/>
    <n v="1197831"/>
    <x v="44"/>
    <x v="2"/>
    <s v="Oklahoma"/>
    <s v="Oklahoma City"/>
    <s v="Online"/>
    <x v="3"/>
    <n v="14"/>
    <n v="75"/>
    <n v="1050"/>
    <n v="535.5"/>
  </r>
  <r>
    <x v="1"/>
    <n v="1197831"/>
    <x v="44"/>
    <x v="1"/>
    <s v="Kansas"/>
    <s v="Wichita"/>
    <s v="Online"/>
    <x v="2"/>
    <n v="18"/>
    <n v="98"/>
    <n v="1764"/>
    <n v="899.64"/>
  </r>
  <r>
    <x v="1"/>
    <n v="1197831"/>
    <x v="44"/>
    <x v="2"/>
    <s v="Oklahoma"/>
    <s v="Oklahoma City"/>
    <s v="Online"/>
    <x v="0"/>
    <n v="23"/>
    <n v="65"/>
    <n v="1495"/>
    <n v="747.5"/>
  </r>
  <r>
    <x v="1"/>
    <n v="1189833"/>
    <x v="44"/>
    <x v="1"/>
    <s v="Montana"/>
    <s v="Billings"/>
    <s v="Online"/>
    <x v="4"/>
    <n v="41"/>
    <n v="180"/>
    <n v="7380"/>
    <n v="3099.5999999999995"/>
  </r>
  <r>
    <x v="3"/>
    <n v="1185732"/>
    <x v="45"/>
    <x v="4"/>
    <s v="Rhode Island"/>
    <s v="Providence"/>
    <s v="In-store"/>
    <x v="3"/>
    <n v="30.000000000000004"/>
    <n v="200"/>
    <n v="6000.0000000000009"/>
    <n v="4500.0000000000009"/>
  </r>
  <r>
    <x v="3"/>
    <n v="1185732"/>
    <x v="45"/>
    <x v="4"/>
    <s v="Massachusetts"/>
    <s v="Boston"/>
    <s v="In-store"/>
    <x v="5"/>
    <n v="35"/>
    <n v="250"/>
    <n v="8750"/>
    <n v="6562.5"/>
  </r>
  <r>
    <x v="3"/>
    <n v="1185732"/>
    <x v="45"/>
    <x v="4"/>
    <s v="Massachusetts"/>
    <s v="Boston"/>
    <s v="In-store"/>
    <x v="1"/>
    <n v="50"/>
    <n v="150"/>
    <n v="7500"/>
    <n v="5625"/>
  </r>
  <r>
    <x v="1"/>
    <n v="1189833"/>
    <x v="45"/>
    <x v="1"/>
    <s v="Montana"/>
    <s v="Billings"/>
    <s v="Outlet"/>
    <x v="0"/>
    <n v="50"/>
    <n v="600"/>
    <n v="30000"/>
    <n v="21000"/>
  </r>
  <r>
    <x v="2"/>
    <n v="1185732"/>
    <x v="45"/>
    <x v="4"/>
    <s v="Delaware"/>
    <s v="Wilmington"/>
    <s v="In-store"/>
    <x v="1"/>
    <n v="50"/>
    <n v="225"/>
    <n v="11250"/>
    <n v="7875"/>
  </r>
  <r>
    <x v="3"/>
    <n v="1185732"/>
    <x v="45"/>
    <x v="4"/>
    <s v="Rhode Island"/>
    <s v="Providence"/>
    <s v="In-store"/>
    <x v="4"/>
    <n v="40"/>
    <n v="500"/>
    <n v="20000"/>
    <n v="14000"/>
  </r>
  <r>
    <x v="3"/>
    <n v="1185732"/>
    <x v="45"/>
    <x v="4"/>
    <s v="Rhode Island"/>
    <s v="Providence"/>
    <s v="In-store"/>
    <x v="0"/>
    <n v="40"/>
    <n v="150"/>
    <n v="6000"/>
    <n v="4200"/>
  </r>
  <r>
    <x v="3"/>
    <n v="1185732"/>
    <x v="45"/>
    <x v="4"/>
    <s v="Massachusetts"/>
    <s v="Boston"/>
    <s v="In-store"/>
    <x v="2"/>
    <n v="40"/>
    <n v="250"/>
    <n v="10000"/>
    <n v="7000"/>
  </r>
  <r>
    <x v="2"/>
    <n v="1185732"/>
    <x v="45"/>
    <x v="4"/>
    <s v="Maryland"/>
    <s v="Baltimore"/>
    <s v="In-store"/>
    <x v="4"/>
    <n v="40"/>
    <n v="575"/>
    <n v="23000"/>
    <n v="14950"/>
  </r>
  <r>
    <x v="2"/>
    <n v="1185732"/>
    <x v="45"/>
    <x v="4"/>
    <s v="Maryland"/>
    <s v="Baltimore"/>
    <s v="In-store"/>
    <x v="0"/>
    <n v="40"/>
    <n v="225"/>
    <n v="9000"/>
    <n v="5850"/>
  </r>
  <r>
    <x v="2"/>
    <n v="1185732"/>
    <x v="45"/>
    <x v="4"/>
    <s v="Maryland"/>
    <s v="Baltimore"/>
    <s v="In-store"/>
    <x v="3"/>
    <n v="30.000000000000004"/>
    <n v="275"/>
    <n v="8250.0000000000018"/>
    <n v="4950.0000000000009"/>
  </r>
  <r>
    <x v="2"/>
    <n v="1185732"/>
    <x v="45"/>
    <x v="4"/>
    <s v="Delaware"/>
    <s v="Wilmington"/>
    <s v="In-store"/>
    <x v="5"/>
    <n v="35"/>
    <n v="150"/>
    <n v="5250"/>
    <n v="3150"/>
  </r>
  <r>
    <x v="2"/>
    <n v="1185732"/>
    <x v="45"/>
    <x v="4"/>
    <s v="Delaware"/>
    <s v="Wilmington"/>
    <s v="In-store"/>
    <x v="2"/>
    <n v="40"/>
    <n v="325"/>
    <n v="13000"/>
    <n v="7800"/>
  </r>
  <r>
    <x v="0"/>
    <n v="1128299"/>
    <x v="45"/>
    <x v="0"/>
    <s v="California"/>
    <s v="San Francisco"/>
    <s v="Outlet"/>
    <x v="1"/>
    <n v="65"/>
    <n v="700"/>
    <n v="45500"/>
    <n v="25024.999999999996"/>
  </r>
  <r>
    <x v="3"/>
    <n v="1185732"/>
    <x v="45"/>
    <x v="4"/>
    <s v="Massachusetts"/>
    <s v="Boston"/>
    <s v="Outlet"/>
    <x v="1"/>
    <n v="36"/>
    <n v="53"/>
    <n v="1908"/>
    <n v="1392.84"/>
  </r>
  <r>
    <x v="3"/>
    <n v="1185732"/>
    <x v="45"/>
    <x v="4"/>
    <s v="Rhode Island"/>
    <s v="Providence"/>
    <s v="Outlet"/>
    <x v="3"/>
    <n v="24"/>
    <n v="70"/>
    <n v="1680"/>
    <n v="1192.8"/>
  </r>
  <r>
    <x v="3"/>
    <n v="1185732"/>
    <x v="45"/>
    <x v="4"/>
    <s v="Massachusetts"/>
    <s v="Boston"/>
    <s v="Outlet"/>
    <x v="5"/>
    <n v="27"/>
    <n v="75"/>
    <n v="2025"/>
    <n v="1377"/>
  </r>
  <r>
    <x v="3"/>
    <n v="1185732"/>
    <x v="45"/>
    <x v="4"/>
    <s v="Massachusetts"/>
    <s v="Boston"/>
    <s v="Outlet"/>
    <x v="2"/>
    <n v="30"/>
    <n v="80"/>
    <n v="2400"/>
    <n v="1632"/>
  </r>
  <r>
    <x v="3"/>
    <n v="1185732"/>
    <x v="45"/>
    <x v="4"/>
    <s v="Rhode Island"/>
    <s v="Providence"/>
    <s v="Outlet"/>
    <x v="0"/>
    <n v="31"/>
    <n v="53"/>
    <n v="1643"/>
    <n v="1067.95"/>
  </r>
  <r>
    <x v="3"/>
    <n v="1185732"/>
    <x v="45"/>
    <x v="4"/>
    <s v="Rhode Island"/>
    <s v="Providence"/>
    <s v="Outlet"/>
    <x v="4"/>
    <n v="26"/>
    <n v="155"/>
    <n v="4030"/>
    <n v="2538.9"/>
  </r>
  <r>
    <x v="3"/>
    <n v="1185732"/>
    <x v="45"/>
    <x v="4"/>
    <s v="Rhode Island"/>
    <s v="Providence"/>
    <s v="Online"/>
    <x v="3"/>
    <n v="29"/>
    <n v="60"/>
    <n v="1740"/>
    <n v="1078.8"/>
  </r>
  <r>
    <x v="3"/>
    <n v="1185732"/>
    <x v="45"/>
    <x v="4"/>
    <s v="Massachusetts"/>
    <s v="Boston"/>
    <s v="Online"/>
    <x v="5"/>
    <n v="32"/>
    <n v="68"/>
    <n v="2176"/>
    <n v="1349.12"/>
  </r>
  <r>
    <x v="3"/>
    <n v="1185732"/>
    <x v="45"/>
    <x v="4"/>
    <s v="Massachusetts"/>
    <s v="Boston"/>
    <s v="Online"/>
    <x v="1"/>
    <n v="48"/>
    <n v="41"/>
    <n v="1968"/>
    <n v="1220.1599999999999"/>
  </r>
  <r>
    <x v="2"/>
    <n v="1185732"/>
    <x v="45"/>
    <x v="4"/>
    <s v="Delaware"/>
    <s v="Wilmington"/>
    <s v="Online"/>
    <x v="1"/>
    <n v="45"/>
    <n v="65"/>
    <n v="2925"/>
    <n v="1725.75"/>
  </r>
  <r>
    <x v="3"/>
    <n v="1185732"/>
    <x v="45"/>
    <x v="4"/>
    <s v="Rhode Island"/>
    <s v="Providence"/>
    <s v="Online"/>
    <x v="4"/>
    <n v="36"/>
    <n v="140"/>
    <n v="5040"/>
    <n v="2973.6"/>
  </r>
  <r>
    <x v="3"/>
    <n v="1185732"/>
    <x v="45"/>
    <x v="4"/>
    <s v="Rhode Island"/>
    <s v="Providence"/>
    <s v="Online"/>
    <x v="0"/>
    <n v="38"/>
    <n v="41"/>
    <n v="1558"/>
    <n v="903.64"/>
  </r>
  <r>
    <x v="1"/>
    <n v="1189833"/>
    <x v="45"/>
    <x v="1"/>
    <s v="Montana"/>
    <s v="Billings"/>
    <s v="Online"/>
    <x v="0"/>
    <n v="48"/>
    <n v="156"/>
    <n v="7488"/>
    <n v="4193.2800000000007"/>
  </r>
  <r>
    <x v="3"/>
    <n v="1185732"/>
    <x v="45"/>
    <x v="4"/>
    <s v="Massachusetts"/>
    <s v="Boston"/>
    <s v="Online"/>
    <x v="2"/>
    <n v="38"/>
    <n v="75"/>
    <n v="2850"/>
    <n v="1596"/>
  </r>
  <r>
    <x v="2"/>
    <n v="1185732"/>
    <x v="45"/>
    <x v="4"/>
    <s v="Maryland"/>
    <s v="Baltimore"/>
    <s v="Online"/>
    <x v="0"/>
    <n v="37"/>
    <n v="61"/>
    <n v="2257"/>
    <n v="1218.78"/>
  </r>
  <r>
    <x v="2"/>
    <n v="1185732"/>
    <x v="45"/>
    <x v="4"/>
    <s v="Maryland"/>
    <s v="Baltimore"/>
    <s v="Online"/>
    <x v="4"/>
    <n v="39"/>
    <n v="144"/>
    <n v="5616"/>
    <n v="2808"/>
  </r>
  <r>
    <x v="2"/>
    <n v="1185732"/>
    <x v="45"/>
    <x v="4"/>
    <s v="Maryland"/>
    <s v="Baltimore"/>
    <s v="Online"/>
    <x v="3"/>
    <n v="27"/>
    <n v="69"/>
    <n v="1863"/>
    <n v="912.87"/>
  </r>
  <r>
    <x v="0"/>
    <n v="1128299"/>
    <x v="45"/>
    <x v="0"/>
    <s v="California"/>
    <s v="San Francisco"/>
    <s v="Outlet"/>
    <x v="1"/>
    <n v="43"/>
    <n v="245"/>
    <n v="10535"/>
    <n v="5056.8"/>
  </r>
  <r>
    <x v="2"/>
    <n v="1185732"/>
    <x v="45"/>
    <x v="4"/>
    <s v="Delaware"/>
    <s v="Wilmington"/>
    <s v="Online"/>
    <x v="2"/>
    <n v="39"/>
    <n v="98"/>
    <n v="3822"/>
    <n v="1796.34"/>
  </r>
  <r>
    <x v="2"/>
    <n v="1185732"/>
    <x v="45"/>
    <x v="4"/>
    <s v="Delaware"/>
    <s v="Wilmington"/>
    <s v="Online"/>
    <x v="5"/>
    <n v="33"/>
    <n v="45"/>
    <n v="1485"/>
    <n v="668.24999999999989"/>
  </r>
  <r>
    <x v="0"/>
    <n v="1128299"/>
    <x v="45"/>
    <x v="0"/>
    <s v="California"/>
    <s v="San Francisco"/>
    <s v="Online"/>
    <x v="1"/>
    <n v="59"/>
    <n v="175"/>
    <n v="10325"/>
    <n v="4129.9999999999991"/>
  </r>
  <r>
    <x v="0"/>
    <n v="1128299"/>
    <x v="46"/>
    <x v="0"/>
    <s v="California"/>
    <s v="San Francisco"/>
    <s v="Outlet"/>
    <x v="2"/>
    <n v="70"/>
    <n v="800"/>
    <n v="56000"/>
    <n v="50400"/>
  </r>
  <r>
    <x v="1"/>
    <n v="1189833"/>
    <x v="46"/>
    <x v="1"/>
    <s v="Montana"/>
    <s v="Billings"/>
    <s v="Outlet"/>
    <x v="3"/>
    <n v="45"/>
    <n v="450"/>
    <n v="20250"/>
    <n v="11137.5"/>
  </r>
  <r>
    <x v="0"/>
    <n v="1128299"/>
    <x v="46"/>
    <x v="0"/>
    <s v="California"/>
    <s v="San Francisco"/>
    <s v="Outlet"/>
    <x v="2"/>
    <n v="50"/>
    <n v="256"/>
    <n v="12800"/>
    <n v="10624"/>
  </r>
  <r>
    <x v="0"/>
    <n v="1128299"/>
    <x v="46"/>
    <x v="0"/>
    <s v="California"/>
    <s v="San Francisco"/>
    <s v="Online"/>
    <x v="2"/>
    <n v="67"/>
    <n v="208"/>
    <n v="13936"/>
    <n v="10730.72"/>
  </r>
  <r>
    <x v="1"/>
    <n v="1189833"/>
    <x v="46"/>
    <x v="1"/>
    <s v="Montana"/>
    <s v="Billings"/>
    <s v="Online"/>
    <x v="3"/>
    <n v="42"/>
    <n v="117"/>
    <n v="4914"/>
    <n v="2162.16"/>
  </r>
  <r>
    <x v="3"/>
    <n v="1128299"/>
    <x v="47"/>
    <x v="3"/>
    <s v="Florida"/>
    <s v="Orlando"/>
    <s v="Outlet"/>
    <x v="1"/>
    <n v="55.000000000000007"/>
    <n v="200"/>
    <n v="11000.000000000002"/>
    <n v="8800.0000000000018"/>
  </r>
  <r>
    <x v="3"/>
    <n v="1128299"/>
    <x v="47"/>
    <x v="0"/>
    <s v="Hawaii"/>
    <s v="Honolulu"/>
    <s v="Outlet"/>
    <x v="0"/>
    <n v="50"/>
    <n v="425"/>
    <n v="21250"/>
    <n v="15937.5"/>
  </r>
  <r>
    <x v="3"/>
    <n v="1128299"/>
    <x v="47"/>
    <x v="0"/>
    <s v="Hawaii"/>
    <s v="Honolulu"/>
    <s v="Outlet"/>
    <x v="4"/>
    <n v="40"/>
    <n v="525"/>
    <n v="21000"/>
    <n v="14700"/>
  </r>
  <r>
    <x v="3"/>
    <n v="1128299"/>
    <x v="47"/>
    <x v="0"/>
    <s v="Hawaii"/>
    <s v="Honolulu"/>
    <s v="Outlet"/>
    <x v="3"/>
    <n v="50"/>
    <n v="425"/>
    <n v="21250"/>
    <n v="14875"/>
  </r>
  <r>
    <x v="3"/>
    <n v="1128299"/>
    <x v="47"/>
    <x v="3"/>
    <s v="Florida"/>
    <s v="Orlando"/>
    <s v="Outlet"/>
    <x v="5"/>
    <n v="50"/>
    <n v="275"/>
    <n v="13750"/>
    <n v="9625"/>
  </r>
  <r>
    <x v="3"/>
    <n v="1185732"/>
    <x v="47"/>
    <x v="3"/>
    <s v="Virginia"/>
    <s v="Richmond"/>
    <s v="In-store"/>
    <x v="3"/>
    <n v="25"/>
    <n v="500"/>
    <n v="12500"/>
    <n v="8750"/>
  </r>
  <r>
    <x v="3"/>
    <n v="1185732"/>
    <x v="47"/>
    <x v="1"/>
    <s v="Michigan"/>
    <s v="Detroit"/>
    <s v="In-store"/>
    <x v="5"/>
    <n v="29.999999999999993"/>
    <n v="375"/>
    <n v="11249.999999999998"/>
    <n v="7312.4999999999982"/>
  </r>
  <r>
    <x v="0"/>
    <n v="1128299"/>
    <x v="47"/>
    <x v="2"/>
    <s v="Louisiana"/>
    <s v="New Orleans"/>
    <s v="In-store"/>
    <x v="2"/>
    <n v="45"/>
    <n v="375"/>
    <n v="16875"/>
    <n v="10968.75"/>
  </r>
  <r>
    <x v="3"/>
    <n v="1185732"/>
    <x v="47"/>
    <x v="1"/>
    <s v="Michigan"/>
    <s v="Detroit"/>
    <s v="In-store"/>
    <x v="1"/>
    <n v="45.000000000000007"/>
    <n v="450"/>
    <n v="20250.000000000004"/>
    <n v="12150.000000000004"/>
  </r>
  <r>
    <x v="1"/>
    <n v="1189833"/>
    <x v="47"/>
    <x v="0"/>
    <s v="California"/>
    <s v="San Francisco"/>
    <s v="Outlet"/>
    <x v="4"/>
    <n v="35"/>
    <n v="700"/>
    <n v="24500"/>
    <n v="14700"/>
  </r>
  <r>
    <x v="1"/>
    <n v="1189833"/>
    <x v="47"/>
    <x v="1"/>
    <s v="Montana"/>
    <s v="Billings"/>
    <s v="Outlet"/>
    <x v="5"/>
    <n v="45"/>
    <n v="400"/>
    <n v="18000"/>
    <n v="10800"/>
  </r>
  <r>
    <x v="3"/>
    <n v="1185732"/>
    <x v="47"/>
    <x v="3"/>
    <s v="Virginia"/>
    <s v="Richmond"/>
    <s v="In-store"/>
    <x v="0"/>
    <n v="35"/>
    <n v="450"/>
    <n v="15750"/>
    <n v="9450"/>
  </r>
  <r>
    <x v="0"/>
    <n v="1128299"/>
    <x v="47"/>
    <x v="0"/>
    <s v="Oregon"/>
    <s v="Portland"/>
    <s v="In-store"/>
    <x v="4"/>
    <n v="35"/>
    <n v="500"/>
    <n v="17500"/>
    <n v="10500"/>
  </r>
  <r>
    <x v="0"/>
    <n v="1128299"/>
    <x v="47"/>
    <x v="0"/>
    <s v="Oregon"/>
    <s v="Portland"/>
    <s v="In-store"/>
    <x v="0"/>
    <n v="45"/>
    <n v="400"/>
    <n v="18000"/>
    <n v="10800"/>
  </r>
  <r>
    <x v="0"/>
    <n v="1128299"/>
    <x v="47"/>
    <x v="0"/>
    <s v="Oregon"/>
    <s v="Portland"/>
    <s v="In-store"/>
    <x v="3"/>
    <n v="45"/>
    <n v="400"/>
    <n v="18000"/>
    <n v="10800"/>
  </r>
  <r>
    <x v="0"/>
    <n v="1128299"/>
    <x v="47"/>
    <x v="2"/>
    <s v="Louisiana"/>
    <s v="New Orleans"/>
    <s v="In-store"/>
    <x v="5"/>
    <n v="45"/>
    <n v="250"/>
    <n v="11250"/>
    <n v="6750"/>
  </r>
  <r>
    <x v="0"/>
    <n v="1185732"/>
    <x v="47"/>
    <x v="1"/>
    <s v="Indiana"/>
    <s v="Indianapolis"/>
    <s v="In-store"/>
    <x v="4"/>
    <n v="35"/>
    <n v="550"/>
    <n v="19250"/>
    <n v="11550"/>
  </r>
  <r>
    <x v="0"/>
    <n v="1185732"/>
    <x v="47"/>
    <x v="1"/>
    <s v="Indiana"/>
    <s v="Indianapolis"/>
    <s v="In-store"/>
    <x v="0"/>
    <n v="40"/>
    <n v="200"/>
    <n v="8000"/>
    <n v="4800"/>
  </r>
  <r>
    <x v="0"/>
    <n v="1185732"/>
    <x v="47"/>
    <x v="1"/>
    <s v="Indiana"/>
    <s v="Indianapolis"/>
    <s v="In-store"/>
    <x v="3"/>
    <n v="30.000000000000004"/>
    <n v="300"/>
    <n v="9000.0000000000018"/>
    <n v="5400.0000000000009"/>
  </r>
  <r>
    <x v="0"/>
    <n v="1185732"/>
    <x v="47"/>
    <x v="4"/>
    <s v="West Virginia"/>
    <s v="Charleston"/>
    <s v="In-store"/>
    <x v="5"/>
    <n v="35"/>
    <n v="175"/>
    <n v="6125"/>
    <n v="3675"/>
  </r>
  <r>
    <x v="0"/>
    <n v="1185732"/>
    <x v="47"/>
    <x v="4"/>
    <s v="West Virginia"/>
    <s v="Charleston"/>
    <s v="In-store"/>
    <x v="1"/>
    <n v="49.999999999999993"/>
    <n v="250"/>
    <n v="12499.999999999998"/>
    <n v="7499.9999999999982"/>
  </r>
  <r>
    <x v="0"/>
    <n v="1185732"/>
    <x v="47"/>
    <x v="4"/>
    <s v="West Virginia"/>
    <s v="Charleston"/>
    <s v="In-store"/>
    <x v="2"/>
    <n v="24.999999999999993"/>
    <n v="350"/>
    <n v="8749.9999999999982"/>
    <n v="5249.9999999999982"/>
  </r>
  <r>
    <x v="0"/>
    <n v="1128299"/>
    <x v="47"/>
    <x v="2"/>
    <s v="Louisiana"/>
    <s v="New Orleans"/>
    <s v="In-store"/>
    <x v="1"/>
    <n v="50.000000000000014"/>
    <n v="175"/>
    <n v="8750.0000000000018"/>
    <n v="4812.5000000000018"/>
  </r>
  <r>
    <x v="3"/>
    <n v="1128299"/>
    <x v="47"/>
    <x v="3"/>
    <s v="Florida"/>
    <s v="Orlando"/>
    <s v="Outlet"/>
    <x v="2"/>
    <n v="50"/>
    <n v="400"/>
    <n v="20000"/>
    <n v="11000"/>
  </r>
  <r>
    <x v="3"/>
    <n v="1185732"/>
    <x v="47"/>
    <x v="3"/>
    <s v="Virginia"/>
    <s v="Richmond"/>
    <s v="In-store"/>
    <x v="4"/>
    <n v="35"/>
    <n v="800"/>
    <n v="28000"/>
    <n v="14000"/>
  </r>
  <r>
    <x v="3"/>
    <n v="1185732"/>
    <x v="47"/>
    <x v="1"/>
    <s v="Michigan"/>
    <s v="Detroit"/>
    <s v="In-store"/>
    <x v="2"/>
    <n v="35"/>
    <n v="550"/>
    <n v="19250"/>
    <n v="8662.4999999999982"/>
  </r>
  <r>
    <x v="3"/>
    <n v="1128299"/>
    <x v="47"/>
    <x v="3"/>
    <s v="Florida"/>
    <s v="Orlando"/>
    <s v="Outlet"/>
    <x v="1"/>
    <n v="44"/>
    <n v="62"/>
    <n v="2728"/>
    <n v="2073.2799999999997"/>
  </r>
  <r>
    <x v="3"/>
    <n v="1128299"/>
    <x v="47"/>
    <x v="3"/>
    <s v="Florida"/>
    <s v="Orlando"/>
    <s v="Online"/>
    <x v="1"/>
    <n v="52"/>
    <n v="60"/>
    <n v="3120"/>
    <n v="2121.6"/>
  </r>
  <r>
    <x v="3"/>
    <n v="1128299"/>
    <x v="47"/>
    <x v="0"/>
    <s v="Hawaii"/>
    <s v="Honolulu"/>
    <s v="Online"/>
    <x v="0"/>
    <n v="49"/>
    <n v="111"/>
    <n v="5439"/>
    <n v="3535.3500000000004"/>
  </r>
  <r>
    <x v="3"/>
    <n v="1185732"/>
    <x v="47"/>
    <x v="3"/>
    <s v="Virginia"/>
    <s v="Richmond"/>
    <s v="Outlet"/>
    <x v="3"/>
    <n v="17"/>
    <n v="170"/>
    <n v="2890"/>
    <n v="1849.6000000000001"/>
  </r>
  <r>
    <x v="3"/>
    <n v="1128299"/>
    <x v="47"/>
    <x v="3"/>
    <s v="Florida"/>
    <s v="Orlando"/>
    <s v="Outlet"/>
    <x v="5"/>
    <n v="36"/>
    <n v="94"/>
    <n v="3384"/>
    <n v="2131.92"/>
  </r>
  <r>
    <x v="0"/>
    <n v="1128299"/>
    <x v="47"/>
    <x v="2"/>
    <s v="Louisiana"/>
    <s v="New Orleans"/>
    <s v="Outlet"/>
    <x v="2"/>
    <n v="32"/>
    <n v="131"/>
    <n v="4192"/>
    <n v="2640.96"/>
  </r>
  <r>
    <x v="3"/>
    <n v="1128299"/>
    <x v="47"/>
    <x v="0"/>
    <s v="Hawaii"/>
    <s v="Honolulu"/>
    <s v="Online"/>
    <x v="3"/>
    <n v="49"/>
    <n v="111"/>
    <n v="5439"/>
    <n v="3263.4"/>
  </r>
  <r>
    <x v="3"/>
    <n v="1128299"/>
    <x v="47"/>
    <x v="0"/>
    <s v="Hawaii"/>
    <s v="Honolulu"/>
    <s v="Online"/>
    <x v="4"/>
    <n v="36"/>
    <n v="137"/>
    <n v="4932"/>
    <n v="2860.56"/>
  </r>
  <r>
    <x v="0"/>
    <n v="1128299"/>
    <x v="47"/>
    <x v="0"/>
    <s v="Oregon"/>
    <s v="Portland"/>
    <s v="Outlet"/>
    <x v="3"/>
    <n v="34"/>
    <n v="132"/>
    <n v="4488"/>
    <n v="2558.1600000000003"/>
  </r>
  <r>
    <x v="3"/>
    <n v="1185732"/>
    <x v="47"/>
    <x v="3"/>
    <s v="Virginia"/>
    <s v="Richmond"/>
    <s v="Online"/>
    <x v="3"/>
    <n v="23"/>
    <n v="150"/>
    <n v="3450"/>
    <n v="1966.5"/>
  </r>
  <r>
    <x v="0"/>
    <n v="1128299"/>
    <x v="47"/>
    <x v="0"/>
    <s v="Oregon"/>
    <s v="Portland"/>
    <s v="Outlet"/>
    <x v="0"/>
    <n v="31"/>
    <n v="124"/>
    <n v="3844"/>
    <n v="2191.08"/>
  </r>
  <r>
    <x v="1"/>
    <n v="1189833"/>
    <x v="47"/>
    <x v="0"/>
    <s v="California"/>
    <s v="San Francisco"/>
    <s v="Outlet"/>
    <x v="4"/>
    <n v="26"/>
    <n v="224"/>
    <n v="5824"/>
    <n v="3319.68"/>
  </r>
  <r>
    <x v="3"/>
    <n v="1128299"/>
    <x v="47"/>
    <x v="3"/>
    <s v="Florida"/>
    <s v="Orlando"/>
    <s v="Online"/>
    <x v="5"/>
    <n v="45"/>
    <n v="74"/>
    <n v="3330"/>
    <n v="1864.8"/>
  </r>
  <r>
    <x v="3"/>
    <n v="1185732"/>
    <x v="47"/>
    <x v="3"/>
    <s v="Virginia"/>
    <s v="Richmond"/>
    <s v="Outlet"/>
    <x v="0"/>
    <n v="27"/>
    <n v="153"/>
    <n v="4131"/>
    <n v="2272.0500000000002"/>
  </r>
  <r>
    <x v="0"/>
    <n v="1128299"/>
    <x v="47"/>
    <x v="0"/>
    <s v="Oregon"/>
    <s v="Portland"/>
    <s v="Outlet"/>
    <x v="4"/>
    <n v="24"/>
    <n v="175"/>
    <n v="4200"/>
    <n v="2310"/>
  </r>
  <r>
    <x v="0"/>
    <n v="1128299"/>
    <x v="47"/>
    <x v="2"/>
    <s v="Louisiana"/>
    <s v="New Orleans"/>
    <s v="Outlet"/>
    <x v="5"/>
    <n v="33"/>
    <n v="75"/>
    <n v="2475"/>
    <n v="1311.75"/>
  </r>
  <r>
    <x v="0"/>
    <n v="1128299"/>
    <x v="47"/>
    <x v="2"/>
    <s v="Louisiana"/>
    <s v="New Orleans"/>
    <s v="Outlet"/>
    <x v="1"/>
    <n v="33"/>
    <n v="53"/>
    <n v="1749"/>
    <n v="926.96999999999991"/>
  </r>
  <r>
    <x v="0"/>
    <n v="1128299"/>
    <x v="47"/>
    <x v="2"/>
    <s v="Louisiana"/>
    <s v="New Orleans"/>
    <s v="Online"/>
    <x v="2"/>
    <n v="44"/>
    <n v="105"/>
    <n v="4620"/>
    <n v="2402.4"/>
  </r>
  <r>
    <x v="3"/>
    <n v="1185732"/>
    <x v="47"/>
    <x v="1"/>
    <s v="Michigan"/>
    <s v="Detroit"/>
    <s v="Online"/>
    <x v="5"/>
    <n v="28"/>
    <n v="109"/>
    <n v="3052"/>
    <n v="1556.52"/>
  </r>
  <r>
    <x v="1"/>
    <n v="1189833"/>
    <x v="47"/>
    <x v="0"/>
    <s v="California"/>
    <s v="San Francisco"/>
    <s v="Online"/>
    <x v="4"/>
    <n v="32"/>
    <n v="203"/>
    <n v="6496"/>
    <n v="3183.04"/>
  </r>
  <r>
    <x v="0"/>
    <n v="1128299"/>
    <x v="47"/>
    <x v="0"/>
    <s v="Oregon"/>
    <s v="Portland"/>
    <s v="Online"/>
    <x v="0"/>
    <n v="41"/>
    <n v="116"/>
    <n v="4756"/>
    <n v="2330.44"/>
  </r>
  <r>
    <x v="0"/>
    <n v="1185732"/>
    <x v="47"/>
    <x v="1"/>
    <s v="Indiana"/>
    <s v="Indianapolis"/>
    <s v="Online"/>
    <x v="3"/>
    <n v="27"/>
    <n v="75"/>
    <n v="2025"/>
    <n v="992.25"/>
  </r>
  <r>
    <x v="3"/>
    <n v="1128299"/>
    <x v="47"/>
    <x v="3"/>
    <s v="Florida"/>
    <s v="Orlando"/>
    <s v="Outlet"/>
    <x v="2"/>
    <n v="33"/>
    <n v="124"/>
    <n v="4092"/>
    <n v="2005.08"/>
  </r>
  <r>
    <x v="3"/>
    <n v="1185732"/>
    <x v="47"/>
    <x v="3"/>
    <s v="Virginia"/>
    <s v="Richmond"/>
    <s v="Online"/>
    <x v="0"/>
    <n v="33"/>
    <n v="117"/>
    <n v="3861"/>
    <n v="1853.28"/>
  </r>
  <r>
    <x v="0"/>
    <n v="1128299"/>
    <x v="47"/>
    <x v="0"/>
    <s v="Oregon"/>
    <s v="Portland"/>
    <s v="Online"/>
    <x v="3"/>
    <n v="41"/>
    <n v="120"/>
    <n v="4920"/>
    <n v="2361.6"/>
  </r>
  <r>
    <x v="0"/>
    <n v="1128299"/>
    <x v="47"/>
    <x v="0"/>
    <s v="Oregon"/>
    <s v="Portland"/>
    <s v="Online"/>
    <x v="4"/>
    <n v="33"/>
    <n v="140"/>
    <n v="4620"/>
    <n v="2171.4"/>
  </r>
  <r>
    <x v="0"/>
    <n v="1185732"/>
    <x v="47"/>
    <x v="4"/>
    <s v="West Virginia"/>
    <s v="Charleston"/>
    <s v="Online"/>
    <x v="5"/>
    <n v="34"/>
    <n v="49"/>
    <n v="1666"/>
    <n v="783.02"/>
  </r>
  <r>
    <x v="0"/>
    <n v="1185732"/>
    <x v="47"/>
    <x v="4"/>
    <s v="West Virginia"/>
    <s v="Charleston"/>
    <s v="Online"/>
    <x v="1"/>
    <n v="48"/>
    <n v="65"/>
    <n v="3120"/>
    <n v="1466.3999999999999"/>
  </r>
  <r>
    <x v="0"/>
    <n v="1185732"/>
    <x v="47"/>
    <x v="1"/>
    <s v="Indiana"/>
    <s v="Indianapolis"/>
    <s v="Online"/>
    <x v="4"/>
    <n v="33"/>
    <n v="149"/>
    <n v="4917"/>
    <n v="2261.8199999999997"/>
  </r>
  <r>
    <x v="0"/>
    <n v="1185732"/>
    <x v="47"/>
    <x v="4"/>
    <s v="West Virginia"/>
    <s v="Charleston"/>
    <s v="Online"/>
    <x v="2"/>
    <n v="24"/>
    <n v="105"/>
    <n v="2520"/>
    <n v="1159.1999999999998"/>
  </r>
  <r>
    <x v="1"/>
    <n v="1189833"/>
    <x v="47"/>
    <x v="1"/>
    <s v="Montana"/>
    <s v="Billings"/>
    <s v="Online"/>
    <x v="5"/>
    <n v="41"/>
    <n v="116"/>
    <n v="4756"/>
    <n v="2140.2000000000003"/>
  </r>
  <r>
    <x v="3"/>
    <n v="1185732"/>
    <x v="47"/>
    <x v="1"/>
    <s v="Michigan"/>
    <s v="Detroit"/>
    <s v="Online"/>
    <x v="1"/>
    <n v="41"/>
    <n v="126"/>
    <n v="5166"/>
    <n v="2324.7000000000003"/>
  </r>
  <r>
    <x v="0"/>
    <n v="1128299"/>
    <x v="47"/>
    <x v="2"/>
    <s v="Louisiana"/>
    <s v="New Orleans"/>
    <s v="Online"/>
    <x v="5"/>
    <n v="44"/>
    <n v="73"/>
    <n v="3212"/>
    <n v="1445.4000000000003"/>
  </r>
  <r>
    <x v="0"/>
    <n v="1185732"/>
    <x v="47"/>
    <x v="1"/>
    <s v="Indiana"/>
    <s v="Indianapolis"/>
    <s v="Online"/>
    <x v="0"/>
    <n v="38"/>
    <n v="50"/>
    <n v="1900"/>
    <n v="855"/>
  </r>
  <r>
    <x v="3"/>
    <n v="1185732"/>
    <x v="47"/>
    <x v="3"/>
    <s v="Virginia"/>
    <s v="Richmond"/>
    <s v="Outlet"/>
    <x v="4"/>
    <n v="26"/>
    <n v="256"/>
    <n v="6656"/>
    <n v="2995.2"/>
  </r>
  <r>
    <x v="3"/>
    <n v="1128299"/>
    <x v="47"/>
    <x v="3"/>
    <s v="Florida"/>
    <s v="Orlando"/>
    <s v="Online"/>
    <x v="2"/>
    <n v="47"/>
    <n v="108"/>
    <n v="5076"/>
    <n v="2131.9199999999996"/>
  </r>
  <r>
    <x v="0"/>
    <n v="1128299"/>
    <x v="47"/>
    <x v="2"/>
    <s v="Louisiana"/>
    <s v="New Orleans"/>
    <s v="Online"/>
    <x v="1"/>
    <n v="48"/>
    <n v="51"/>
    <n v="2448"/>
    <n v="979.2"/>
  </r>
  <r>
    <x v="3"/>
    <n v="1185732"/>
    <x v="47"/>
    <x v="3"/>
    <s v="Virginia"/>
    <s v="Richmond"/>
    <s v="Online"/>
    <x v="4"/>
    <n v="34"/>
    <n v="200"/>
    <n v="6800"/>
    <n v="2516"/>
  </r>
  <r>
    <x v="3"/>
    <n v="1185732"/>
    <x v="47"/>
    <x v="1"/>
    <s v="Michigan"/>
    <s v="Detroit"/>
    <s v="Online"/>
    <x v="2"/>
    <n v="33"/>
    <n v="138"/>
    <n v="4554"/>
    <n v="1502.8199999999997"/>
  </r>
  <r>
    <x v="1"/>
    <n v="1189833"/>
    <x v="48"/>
    <x v="0"/>
    <s v="California"/>
    <s v="San Francisco"/>
    <s v="Outlet"/>
    <x v="0"/>
    <n v="45"/>
    <n v="700"/>
    <n v="31500"/>
    <n v="23625"/>
  </r>
  <r>
    <x v="2"/>
    <n v="1185732"/>
    <x v="48"/>
    <x v="1"/>
    <s v="Michigan"/>
    <s v="Detroit"/>
    <s v="In-store"/>
    <x v="0"/>
    <n v="30"/>
    <n v="325"/>
    <n v="9750"/>
    <n v="6337.5"/>
  </r>
  <r>
    <x v="2"/>
    <n v="1185732"/>
    <x v="48"/>
    <x v="1"/>
    <s v="Michigan"/>
    <s v="Detroit"/>
    <s v="In-store"/>
    <x v="3"/>
    <n v="20"/>
    <n v="375"/>
    <n v="7500"/>
    <n v="4875"/>
  </r>
  <r>
    <x v="2"/>
    <n v="1185732"/>
    <x v="48"/>
    <x v="1"/>
    <s v="Missouri"/>
    <s v="St. Louis"/>
    <s v="In-store"/>
    <x v="1"/>
    <n v="40"/>
    <n v="325"/>
    <n v="13000"/>
    <n v="8450"/>
  </r>
  <r>
    <x v="2"/>
    <n v="1185732"/>
    <x v="48"/>
    <x v="3"/>
    <s v="Kentucky"/>
    <s v="Louisville"/>
    <s v="Online"/>
    <x v="0"/>
    <n v="30.000000000000004"/>
    <n v="425"/>
    <n v="12750.000000000002"/>
    <n v="8287.5000000000018"/>
  </r>
  <r>
    <x v="2"/>
    <n v="1185732"/>
    <x v="48"/>
    <x v="2"/>
    <s v="Mississippi"/>
    <s v="Jackson"/>
    <s v="Online"/>
    <x v="1"/>
    <n v="40"/>
    <n v="400"/>
    <n v="16000"/>
    <n v="10400"/>
  </r>
  <r>
    <x v="2"/>
    <n v="1185732"/>
    <x v="48"/>
    <x v="1"/>
    <s v="Michigan"/>
    <s v="Detroit"/>
    <s v="In-store"/>
    <x v="4"/>
    <n v="30"/>
    <n v="675"/>
    <n v="20250"/>
    <n v="12150"/>
  </r>
  <r>
    <x v="2"/>
    <n v="1185732"/>
    <x v="48"/>
    <x v="1"/>
    <s v="Missouri"/>
    <s v="St. Louis"/>
    <s v="In-store"/>
    <x v="5"/>
    <n v="25.000000000000007"/>
    <n v="250"/>
    <n v="6250.0000000000018"/>
    <n v="3750.0000000000009"/>
  </r>
  <r>
    <x v="2"/>
    <n v="1185732"/>
    <x v="48"/>
    <x v="3"/>
    <s v="Kentucky"/>
    <s v="Louisville"/>
    <s v="Online"/>
    <x v="3"/>
    <n v="20.000000000000007"/>
    <n v="475"/>
    <n v="9500.0000000000036"/>
    <n v="5700.0000000000018"/>
  </r>
  <r>
    <x v="2"/>
    <n v="1185732"/>
    <x v="48"/>
    <x v="2"/>
    <s v="Mississippi"/>
    <s v="Jackson"/>
    <s v="Online"/>
    <x v="5"/>
    <n v="25"/>
    <n v="325"/>
    <n v="8125"/>
    <n v="4875"/>
  </r>
  <r>
    <x v="2"/>
    <n v="1185732"/>
    <x v="48"/>
    <x v="3"/>
    <s v="Kentucky"/>
    <s v="Louisville"/>
    <s v="Online"/>
    <x v="4"/>
    <n v="30.000000000000004"/>
    <n v="775"/>
    <n v="23250.000000000004"/>
    <n v="13950"/>
  </r>
  <r>
    <x v="2"/>
    <n v="1185732"/>
    <x v="48"/>
    <x v="1"/>
    <s v="Missouri"/>
    <s v="St. Louis"/>
    <s v="In-store"/>
    <x v="2"/>
    <n v="30"/>
    <n v="400"/>
    <n v="12000"/>
    <n v="6000"/>
  </r>
  <r>
    <x v="2"/>
    <n v="1185732"/>
    <x v="48"/>
    <x v="2"/>
    <s v="Mississippi"/>
    <s v="Jackson"/>
    <s v="Online"/>
    <x v="2"/>
    <n v="25"/>
    <n v="500"/>
    <n v="12500"/>
    <n v="6250"/>
  </r>
  <r>
    <x v="1"/>
    <n v="1189833"/>
    <x v="48"/>
    <x v="1"/>
    <s v="Montana"/>
    <s v="Billings"/>
    <s v="Outlet"/>
    <x v="1"/>
    <n v="54.999999999999993"/>
    <n v="400"/>
    <n v="21999.999999999996"/>
    <n v="8799.9999999999964"/>
  </r>
  <r>
    <x v="1"/>
    <n v="1189833"/>
    <x v="48"/>
    <x v="0"/>
    <s v="California"/>
    <s v="San Francisco"/>
    <s v="Outlet"/>
    <x v="0"/>
    <n v="35"/>
    <n v="224"/>
    <n v="7840"/>
    <n v="5488"/>
  </r>
  <r>
    <x v="1"/>
    <n v="1189833"/>
    <x v="48"/>
    <x v="0"/>
    <s v="California"/>
    <s v="San Francisco"/>
    <s v="Online"/>
    <x v="0"/>
    <n v="41"/>
    <n v="196"/>
    <n v="8036"/>
    <n v="5143.04"/>
  </r>
  <r>
    <x v="2"/>
    <n v="1185732"/>
    <x v="48"/>
    <x v="2"/>
    <s v="Mississippi"/>
    <s v="Jackson"/>
    <s v="Outlet"/>
    <x v="1"/>
    <n v="26"/>
    <n v="136"/>
    <n v="3536"/>
    <n v="2156.96"/>
  </r>
  <r>
    <x v="2"/>
    <n v="1185732"/>
    <x v="48"/>
    <x v="1"/>
    <s v="Michigan"/>
    <s v="Detroit"/>
    <s v="Online"/>
    <x v="3"/>
    <n v="19"/>
    <n v="113"/>
    <n v="2147"/>
    <n v="1180.8500000000001"/>
  </r>
  <r>
    <x v="2"/>
    <n v="1185732"/>
    <x v="48"/>
    <x v="1"/>
    <s v="Missouri"/>
    <s v="St. Louis"/>
    <s v="Online"/>
    <x v="1"/>
    <n v="38"/>
    <n v="88"/>
    <n v="3344"/>
    <n v="1839.2"/>
  </r>
  <r>
    <x v="2"/>
    <n v="1185732"/>
    <x v="48"/>
    <x v="2"/>
    <s v="Mississippi"/>
    <s v="Jackson"/>
    <s v="Online"/>
    <x v="1"/>
    <n v="39"/>
    <n v="108"/>
    <n v="4212"/>
    <n v="2274.4800000000005"/>
  </r>
  <r>
    <x v="2"/>
    <n v="1185732"/>
    <x v="48"/>
    <x v="2"/>
    <s v="Mississippi"/>
    <s v="Jackson"/>
    <s v="Outlet"/>
    <x v="5"/>
    <n v="19"/>
    <n v="98"/>
    <n v="1862"/>
    <n v="1005.48"/>
  </r>
  <r>
    <x v="2"/>
    <n v="1185732"/>
    <x v="48"/>
    <x v="3"/>
    <s v="Kentucky"/>
    <s v="Louisville"/>
    <s v="Online"/>
    <x v="0"/>
    <n v="27"/>
    <n v="106"/>
    <n v="2862"/>
    <n v="1488.24"/>
  </r>
  <r>
    <x v="2"/>
    <n v="1185732"/>
    <x v="48"/>
    <x v="1"/>
    <s v="Michigan"/>
    <s v="Detroit"/>
    <s v="Online"/>
    <x v="0"/>
    <n v="28"/>
    <n v="94"/>
    <n v="2632"/>
    <n v="1342.32"/>
  </r>
  <r>
    <x v="2"/>
    <n v="1185732"/>
    <x v="48"/>
    <x v="2"/>
    <s v="Mississippi"/>
    <s v="Jackson"/>
    <s v="Online"/>
    <x v="5"/>
    <n v="25"/>
    <n v="91"/>
    <n v="2275"/>
    <n v="1137.5"/>
  </r>
  <r>
    <x v="2"/>
    <n v="1185732"/>
    <x v="48"/>
    <x v="1"/>
    <s v="Missouri"/>
    <s v="St. Louis"/>
    <s v="Online"/>
    <x v="5"/>
    <n v="24"/>
    <n v="70"/>
    <n v="1680"/>
    <n v="806.4"/>
  </r>
  <r>
    <x v="2"/>
    <n v="1185732"/>
    <x v="48"/>
    <x v="3"/>
    <s v="Kentucky"/>
    <s v="Louisville"/>
    <s v="Online"/>
    <x v="4"/>
    <n v="28"/>
    <n v="225"/>
    <n v="6300"/>
    <n v="3024"/>
  </r>
  <r>
    <x v="2"/>
    <n v="1185732"/>
    <x v="48"/>
    <x v="1"/>
    <s v="Michigan"/>
    <s v="Detroit"/>
    <s v="Online"/>
    <x v="4"/>
    <n v="29"/>
    <n v="182"/>
    <n v="5278"/>
    <n v="2480.66"/>
  </r>
  <r>
    <x v="2"/>
    <n v="1185732"/>
    <x v="48"/>
    <x v="3"/>
    <s v="Kentucky"/>
    <s v="Louisville"/>
    <s v="Online"/>
    <x v="3"/>
    <n v="18"/>
    <n v="124"/>
    <n v="2232"/>
    <n v="1004.3999999999999"/>
  </r>
  <r>
    <x v="2"/>
    <n v="1185732"/>
    <x v="48"/>
    <x v="2"/>
    <s v="Mississippi"/>
    <s v="Jackson"/>
    <s v="Outlet"/>
    <x v="2"/>
    <n v="20"/>
    <n v="160"/>
    <n v="3200"/>
    <n v="1375.9999999999998"/>
  </r>
  <r>
    <x v="2"/>
    <n v="1185732"/>
    <x v="48"/>
    <x v="2"/>
    <s v="Mississippi"/>
    <s v="Jackson"/>
    <s v="Online"/>
    <x v="2"/>
    <n v="24"/>
    <n v="125"/>
    <n v="3000"/>
    <n v="1200"/>
  </r>
  <r>
    <x v="2"/>
    <n v="1185732"/>
    <x v="48"/>
    <x v="1"/>
    <s v="Missouri"/>
    <s v="St. Louis"/>
    <s v="Online"/>
    <x v="2"/>
    <n v="28"/>
    <n v="120"/>
    <n v="3360"/>
    <n v="1243.1999999999998"/>
  </r>
  <r>
    <x v="1"/>
    <n v="1189833"/>
    <x v="48"/>
    <x v="1"/>
    <s v="Montana"/>
    <s v="Billings"/>
    <s v="Online"/>
    <x v="1"/>
    <n v="50"/>
    <n v="100"/>
    <n v="5000"/>
    <n v="1349.9999999999995"/>
  </r>
  <r>
    <x v="1"/>
    <n v="1189833"/>
    <x v="49"/>
    <x v="1"/>
    <s v="Montana"/>
    <s v="Billings"/>
    <s v="Outlet"/>
    <x v="2"/>
    <n v="60"/>
    <n v="450"/>
    <n v="27000"/>
    <n v="20250"/>
  </r>
  <r>
    <x v="4"/>
    <n v="1185732"/>
    <x v="49"/>
    <x v="4"/>
    <s v="Vermont"/>
    <s v="Burlington"/>
    <s v="In-store"/>
    <x v="3"/>
    <n v="40"/>
    <n v="300"/>
    <n v="12000"/>
    <n v="8400"/>
  </r>
  <r>
    <x v="4"/>
    <n v="1185732"/>
    <x v="49"/>
    <x v="4"/>
    <s v="New Hampshire"/>
    <s v="Manchester"/>
    <s v="In-store"/>
    <x v="5"/>
    <n v="44.999999999999993"/>
    <n v="200"/>
    <n v="8999.9999999999982"/>
    <n v="6299.9999999999982"/>
  </r>
  <r>
    <x v="4"/>
    <n v="1185732"/>
    <x v="49"/>
    <x v="4"/>
    <s v="New Hampshire"/>
    <s v="Manchester"/>
    <s v="In-store"/>
    <x v="1"/>
    <n v="60.000000000000007"/>
    <n v="275"/>
    <n v="16500.000000000004"/>
    <n v="11550.000000000004"/>
  </r>
  <r>
    <x v="4"/>
    <n v="1185732"/>
    <x v="49"/>
    <x v="4"/>
    <s v="New Hampshire"/>
    <s v="Manchester"/>
    <s v="In-store"/>
    <x v="2"/>
    <n v="50"/>
    <n v="375"/>
    <n v="18750"/>
    <n v="12187.5"/>
  </r>
  <r>
    <x v="4"/>
    <n v="1185732"/>
    <x v="49"/>
    <x v="4"/>
    <s v="Vermont"/>
    <s v="Burlington"/>
    <s v="In-store"/>
    <x v="4"/>
    <n v="50"/>
    <n v="600"/>
    <n v="30000"/>
    <n v="18000"/>
  </r>
  <r>
    <x v="4"/>
    <n v="1185732"/>
    <x v="49"/>
    <x v="4"/>
    <s v="Vermont"/>
    <s v="Burlington"/>
    <s v="In-store"/>
    <x v="0"/>
    <n v="50"/>
    <n v="250"/>
    <n v="12500"/>
    <n v="7500"/>
  </r>
  <r>
    <x v="4"/>
    <n v="1185732"/>
    <x v="49"/>
    <x v="4"/>
    <s v="New Hampshire"/>
    <s v="Manchester"/>
    <s v="Outlet"/>
    <x v="1"/>
    <n v="41"/>
    <n v="96"/>
    <n v="3936"/>
    <n v="2637.12"/>
  </r>
  <r>
    <x v="4"/>
    <n v="1185732"/>
    <x v="49"/>
    <x v="4"/>
    <s v="New Hampshire"/>
    <s v="Manchester"/>
    <s v="Outlet"/>
    <x v="5"/>
    <n v="31"/>
    <n v="68"/>
    <n v="2108"/>
    <n v="1391.2800000000002"/>
  </r>
  <r>
    <x v="4"/>
    <n v="1185732"/>
    <x v="49"/>
    <x v="4"/>
    <s v="Vermont"/>
    <s v="Burlington"/>
    <s v="Outlet"/>
    <x v="3"/>
    <n v="31"/>
    <n v="96"/>
    <n v="2976"/>
    <n v="1964.16"/>
  </r>
  <r>
    <x v="4"/>
    <n v="1185732"/>
    <x v="49"/>
    <x v="4"/>
    <s v="New Hampshire"/>
    <s v="Manchester"/>
    <s v="Outlet"/>
    <x v="2"/>
    <n v="36"/>
    <n v="124"/>
    <n v="4464"/>
    <n v="2678.4"/>
  </r>
  <r>
    <x v="1"/>
    <n v="1189833"/>
    <x v="49"/>
    <x v="1"/>
    <s v="Montana"/>
    <s v="Billings"/>
    <s v="Online"/>
    <x v="2"/>
    <n v="59"/>
    <n v="122"/>
    <n v="7198"/>
    <n v="4318.7999999999993"/>
  </r>
  <r>
    <x v="4"/>
    <n v="1185732"/>
    <x v="49"/>
    <x v="4"/>
    <s v="New Hampshire"/>
    <s v="Manchester"/>
    <s v="Online"/>
    <x v="5"/>
    <n v="42"/>
    <n v="58"/>
    <n v="2436"/>
    <n v="1388.52"/>
  </r>
  <r>
    <x v="4"/>
    <n v="1185732"/>
    <x v="49"/>
    <x v="4"/>
    <s v="New Hampshire"/>
    <s v="Manchester"/>
    <s v="Online"/>
    <x v="1"/>
    <n v="56"/>
    <n v="83"/>
    <n v="4648"/>
    <n v="2649.36"/>
  </r>
  <r>
    <x v="4"/>
    <n v="1185732"/>
    <x v="49"/>
    <x v="4"/>
    <s v="Vermont"/>
    <s v="Burlington"/>
    <s v="Outlet"/>
    <x v="0"/>
    <n v="37"/>
    <n v="85"/>
    <n v="3145"/>
    <n v="1792.6499999999999"/>
  </r>
  <r>
    <x v="4"/>
    <n v="1185732"/>
    <x v="49"/>
    <x v="4"/>
    <s v="Vermont"/>
    <s v="Burlington"/>
    <s v="Online"/>
    <x v="3"/>
    <n v="39"/>
    <n v="90"/>
    <n v="3510"/>
    <n v="1965.6"/>
  </r>
  <r>
    <x v="4"/>
    <n v="1185732"/>
    <x v="49"/>
    <x v="4"/>
    <s v="Vermont"/>
    <s v="Burlington"/>
    <s v="Outlet"/>
    <x v="4"/>
    <n v="34"/>
    <n v="186"/>
    <n v="6324"/>
    <n v="3541.44"/>
  </r>
  <r>
    <x v="4"/>
    <n v="1185732"/>
    <x v="49"/>
    <x v="4"/>
    <s v="New Hampshire"/>
    <s v="Manchester"/>
    <s v="Online"/>
    <x v="2"/>
    <n v="46"/>
    <n v="98"/>
    <n v="4508"/>
    <n v="2344.16"/>
  </r>
  <r>
    <x v="4"/>
    <n v="1185732"/>
    <x v="49"/>
    <x v="4"/>
    <s v="Vermont"/>
    <s v="Burlington"/>
    <s v="Online"/>
    <x v="0"/>
    <n v="45"/>
    <n v="75"/>
    <n v="3375"/>
    <n v="1653.75"/>
  </r>
  <r>
    <x v="4"/>
    <n v="1185732"/>
    <x v="49"/>
    <x v="4"/>
    <s v="Vermont"/>
    <s v="Burlington"/>
    <s v="Online"/>
    <x v="4"/>
    <n v="49"/>
    <n v="180"/>
    <n v="8820"/>
    <n v="4145.3999999999996"/>
  </r>
  <r>
    <x v="1"/>
    <n v="1189833"/>
    <x v="50"/>
    <x v="1"/>
    <s v="Montana"/>
    <s v="Billings"/>
    <s v="Outlet"/>
    <x v="4"/>
    <n v="45"/>
    <n v="550"/>
    <n v="24750"/>
    <n v="13612.5"/>
  </r>
  <r>
    <x v="1"/>
    <n v="1189833"/>
    <x v="50"/>
    <x v="1"/>
    <s v="Montana"/>
    <s v="Billings"/>
    <s v="Online"/>
    <x v="4"/>
    <n v="44"/>
    <n v="160"/>
    <n v="7040"/>
    <n v="3097.5999999999995"/>
  </r>
  <r>
    <x v="1"/>
    <n v="1189833"/>
    <x v="51"/>
    <x v="1"/>
    <s v="Montana"/>
    <s v="Billings"/>
    <s v="Outlet"/>
    <x v="0"/>
    <n v="50"/>
    <n v="550"/>
    <n v="27500"/>
    <n v="19250"/>
  </r>
  <r>
    <x v="3"/>
    <n v="1197831"/>
    <x v="51"/>
    <x v="2"/>
    <s v="Mississippi"/>
    <s v="Jackson"/>
    <s v="Online"/>
    <x v="0"/>
    <n v="25.000000000000007"/>
    <n v="350"/>
    <n v="8750.0000000000018"/>
    <n v="5687.5000000000018"/>
  </r>
  <r>
    <x v="0"/>
    <n v="1197831"/>
    <x v="51"/>
    <x v="2"/>
    <s v="Arkansas"/>
    <s v="Little Rock"/>
    <s v="Online"/>
    <x v="0"/>
    <n v="25.000000000000007"/>
    <n v="275"/>
    <n v="6875.0000000000018"/>
    <n v="4468.7500000000018"/>
  </r>
  <r>
    <x v="5"/>
    <n v="1197831"/>
    <x v="51"/>
    <x v="2"/>
    <s v="Arkansas"/>
    <s v="Little Rock"/>
    <s v="Online"/>
    <x v="1"/>
    <n v="35"/>
    <n v="325"/>
    <n v="11375"/>
    <n v="7393.75"/>
  </r>
  <r>
    <x v="0"/>
    <n v="1197831"/>
    <x v="51"/>
    <x v="2"/>
    <s v="Oklahoma"/>
    <s v="Oklahoma City"/>
    <s v="Online"/>
    <x v="1"/>
    <n v="35"/>
    <n v="250"/>
    <n v="8750"/>
    <n v="5687.5"/>
  </r>
  <r>
    <x v="3"/>
    <n v="1197831"/>
    <x v="51"/>
    <x v="2"/>
    <s v="Mississippi"/>
    <s v="Jackson"/>
    <s v="Online"/>
    <x v="4"/>
    <n v="25.000000000000007"/>
    <n v="700"/>
    <n v="17500.000000000004"/>
    <n v="10500.000000000004"/>
  </r>
  <r>
    <x v="0"/>
    <n v="1197831"/>
    <x v="51"/>
    <x v="2"/>
    <s v="Arkansas"/>
    <s v="Little Rock"/>
    <s v="Online"/>
    <x v="4"/>
    <n v="25.000000000000007"/>
    <n v="625"/>
    <n v="15625.000000000004"/>
    <n v="9375.0000000000036"/>
  </r>
  <r>
    <x v="5"/>
    <n v="1197831"/>
    <x v="51"/>
    <x v="2"/>
    <s v="Arkansas"/>
    <s v="Little Rock"/>
    <s v="Online"/>
    <x v="5"/>
    <n v="20"/>
    <n v="250"/>
    <n v="5000"/>
    <n v="3000"/>
  </r>
  <r>
    <x v="5"/>
    <n v="1197831"/>
    <x v="51"/>
    <x v="2"/>
    <s v="Arkansas"/>
    <s v="Little Rock"/>
    <s v="Online"/>
    <x v="2"/>
    <n v="20"/>
    <n v="425"/>
    <n v="8500"/>
    <n v="5100"/>
  </r>
  <r>
    <x v="0"/>
    <n v="1197831"/>
    <x v="51"/>
    <x v="2"/>
    <s v="Oklahoma"/>
    <s v="Oklahoma City"/>
    <s v="Online"/>
    <x v="5"/>
    <n v="20"/>
    <n v="175"/>
    <n v="3500"/>
    <n v="2100"/>
  </r>
  <r>
    <x v="0"/>
    <n v="1197831"/>
    <x v="51"/>
    <x v="2"/>
    <s v="Oklahoma"/>
    <s v="Oklahoma City"/>
    <s v="Online"/>
    <x v="2"/>
    <n v="20"/>
    <n v="350"/>
    <n v="7000"/>
    <n v="4200"/>
  </r>
  <r>
    <x v="3"/>
    <n v="1197831"/>
    <x v="51"/>
    <x v="2"/>
    <s v="Mississippi"/>
    <s v="Jackson"/>
    <s v="Online"/>
    <x v="3"/>
    <n v="15.000000000000007"/>
    <n v="400"/>
    <n v="6000.0000000000027"/>
    <n v="3600.0000000000014"/>
  </r>
  <r>
    <x v="0"/>
    <n v="1197831"/>
    <x v="51"/>
    <x v="2"/>
    <s v="Arkansas"/>
    <s v="Little Rock"/>
    <s v="Online"/>
    <x v="3"/>
    <n v="15.000000000000007"/>
    <n v="325"/>
    <n v="4875.0000000000027"/>
    <n v="2925.0000000000009"/>
  </r>
  <r>
    <x v="5"/>
    <n v="1197831"/>
    <x v="51"/>
    <x v="2"/>
    <s v="Arkansas"/>
    <s v="Little Rock"/>
    <s v="Outlet"/>
    <x v="1"/>
    <n v="23"/>
    <n v="111"/>
    <n v="2553"/>
    <n v="1608.3899999999999"/>
  </r>
  <r>
    <x v="3"/>
    <n v="1197831"/>
    <x v="51"/>
    <x v="2"/>
    <s v="Mississippi"/>
    <s v="Jackson"/>
    <s v="Outlet"/>
    <x v="0"/>
    <n v="17"/>
    <n v="112"/>
    <n v="1904"/>
    <n v="1161.44"/>
  </r>
  <r>
    <x v="0"/>
    <n v="1197831"/>
    <x v="51"/>
    <x v="2"/>
    <s v="Arkansas"/>
    <s v="Little Rock"/>
    <s v="Outlet"/>
    <x v="0"/>
    <n v="17"/>
    <n v="83"/>
    <n v="1411"/>
    <n v="860.71"/>
  </r>
  <r>
    <x v="0"/>
    <n v="1197831"/>
    <x v="51"/>
    <x v="2"/>
    <s v="Oklahoma"/>
    <s v="Oklahoma City"/>
    <s v="Outlet"/>
    <x v="1"/>
    <n v="24"/>
    <n v="85"/>
    <n v="2040"/>
    <n v="1224"/>
  </r>
  <r>
    <x v="3"/>
    <n v="1197831"/>
    <x v="51"/>
    <x v="2"/>
    <s v="Mississippi"/>
    <s v="Jackson"/>
    <s v="Outlet"/>
    <x v="3"/>
    <n v="11"/>
    <n v="136"/>
    <n v="1496"/>
    <n v="867.68"/>
  </r>
  <r>
    <x v="5"/>
    <n v="1197831"/>
    <x v="51"/>
    <x v="2"/>
    <s v="Arkansas"/>
    <s v="Little Rock"/>
    <s v="Outlet"/>
    <x v="2"/>
    <n v="16"/>
    <n v="145"/>
    <n v="2320"/>
    <n v="1345.6"/>
  </r>
  <r>
    <x v="1"/>
    <n v="1189833"/>
    <x v="51"/>
    <x v="1"/>
    <s v="Montana"/>
    <s v="Billings"/>
    <s v="Online"/>
    <x v="0"/>
    <n v="49"/>
    <n v="160"/>
    <n v="7840"/>
    <n v="4468.8"/>
  </r>
  <r>
    <x v="0"/>
    <n v="1197831"/>
    <x v="51"/>
    <x v="2"/>
    <s v="Arkansas"/>
    <s v="Little Rock"/>
    <s v="Outlet"/>
    <x v="4"/>
    <n v="18"/>
    <n v="206"/>
    <n v="3708"/>
    <n v="2076.48"/>
  </r>
  <r>
    <x v="5"/>
    <n v="1197831"/>
    <x v="51"/>
    <x v="2"/>
    <s v="Arkansas"/>
    <s v="Little Rock"/>
    <s v="Online"/>
    <x v="1"/>
    <n v="34"/>
    <n v="98"/>
    <n v="3332"/>
    <n v="1832.6000000000001"/>
  </r>
  <r>
    <x v="3"/>
    <n v="1197831"/>
    <x v="51"/>
    <x v="2"/>
    <s v="Mississippi"/>
    <s v="Jackson"/>
    <s v="Online"/>
    <x v="0"/>
    <n v="24"/>
    <n v="105"/>
    <n v="2520"/>
    <n v="1386"/>
  </r>
  <r>
    <x v="3"/>
    <n v="1197831"/>
    <x v="51"/>
    <x v="2"/>
    <s v="Mississippi"/>
    <s v="Jackson"/>
    <s v="Outlet"/>
    <x v="4"/>
    <n v="17"/>
    <n v="210"/>
    <n v="3570"/>
    <n v="1963.5"/>
  </r>
  <r>
    <x v="0"/>
    <n v="1197831"/>
    <x v="51"/>
    <x v="2"/>
    <s v="Arkansas"/>
    <s v="Little Rock"/>
    <s v="Online"/>
    <x v="0"/>
    <n v="23"/>
    <n v="80"/>
    <n v="1840"/>
    <n v="993.6"/>
  </r>
  <r>
    <x v="0"/>
    <n v="1197831"/>
    <x v="51"/>
    <x v="2"/>
    <s v="Oklahoma"/>
    <s v="Oklahoma City"/>
    <s v="Outlet"/>
    <x v="5"/>
    <n v="15"/>
    <n v="58"/>
    <n v="870"/>
    <n v="469.79999999999995"/>
  </r>
  <r>
    <x v="0"/>
    <n v="1197831"/>
    <x v="51"/>
    <x v="2"/>
    <s v="Oklahoma"/>
    <s v="Oklahoma City"/>
    <s v="Outlet"/>
    <x v="2"/>
    <n v="14"/>
    <n v="112"/>
    <n v="1568"/>
    <n v="846.71999999999991"/>
  </r>
  <r>
    <x v="0"/>
    <n v="1197831"/>
    <x v="51"/>
    <x v="2"/>
    <s v="Oklahoma"/>
    <s v="Oklahoma City"/>
    <s v="Online"/>
    <x v="1"/>
    <n v="34"/>
    <n v="75"/>
    <n v="2550"/>
    <n v="1351.5"/>
  </r>
  <r>
    <x v="5"/>
    <n v="1197831"/>
    <x v="51"/>
    <x v="2"/>
    <s v="Arkansas"/>
    <s v="Little Rock"/>
    <s v="Outlet"/>
    <x v="5"/>
    <n v="15"/>
    <n v="78"/>
    <n v="1170"/>
    <n v="620.1"/>
  </r>
  <r>
    <x v="0"/>
    <n v="1197831"/>
    <x v="51"/>
    <x v="2"/>
    <s v="Arkansas"/>
    <s v="Little Rock"/>
    <s v="Outlet"/>
    <x v="3"/>
    <n v="12"/>
    <n v="98"/>
    <n v="1176"/>
    <n v="623.28"/>
  </r>
  <r>
    <x v="3"/>
    <n v="1197831"/>
    <x v="51"/>
    <x v="2"/>
    <s v="Mississippi"/>
    <s v="Jackson"/>
    <s v="Online"/>
    <x v="3"/>
    <n v="14"/>
    <n v="120"/>
    <n v="1680"/>
    <n v="840"/>
  </r>
  <r>
    <x v="5"/>
    <n v="1197831"/>
    <x v="51"/>
    <x v="2"/>
    <s v="Arkansas"/>
    <s v="Little Rock"/>
    <s v="Online"/>
    <x v="5"/>
    <n v="18"/>
    <n v="70"/>
    <n v="1260"/>
    <n v="630"/>
  </r>
  <r>
    <x v="0"/>
    <n v="1197831"/>
    <x v="51"/>
    <x v="2"/>
    <s v="Arkansas"/>
    <s v="Little Rock"/>
    <s v="Online"/>
    <x v="3"/>
    <n v="15"/>
    <n v="91"/>
    <n v="1365"/>
    <n v="682.5"/>
  </r>
  <r>
    <x v="3"/>
    <n v="1197831"/>
    <x v="51"/>
    <x v="2"/>
    <s v="Mississippi"/>
    <s v="Jackson"/>
    <s v="Online"/>
    <x v="4"/>
    <n v="24"/>
    <n v="189"/>
    <n v="4536"/>
    <n v="2222.64"/>
  </r>
  <r>
    <x v="0"/>
    <n v="1197831"/>
    <x v="51"/>
    <x v="2"/>
    <s v="Oklahoma"/>
    <s v="Oklahoma City"/>
    <s v="Online"/>
    <x v="5"/>
    <n v="19"/>
    <n v="49"/>
    <n v="931"/>
    <n v="456.19"/>
  </r>
  <r>
    <x v="0"/>
    <n v="1197831"/>
    <x v="51"/>
    <x v="2"/>
    <s v="Oklahoma"/>
    <s v="Oklahoma City"/>
    <s v="Online"/>
    <x v="2"/>
    <n v="18"/>
    <n v="98"/>
    <n v="1764"/>
    <n v="864.36"/>
  </r>
  <r>
    <x v="0"/>
    <n v="1197831"/>
    <x v="51"/>
    <x v="2"/>
    <s v="Arkansas"/>
    <s v="Little Rock"/>
    <s v="Online"/>
    <x v="4"/>
    <n v="24"/>
    <n v="169"/>
    <n v="4056"/>
    <n v="1946.88"/>
  </r>
  <r>
    <x v="5"/>
    <n v="1197831"/>
    <x v="51"/>
    <x v="2"/>
    <s v="Arkansas"/>
    <s v="Little Rock"/>
    <s v="Online"/>
    <x v="2"/>
    <n v="19"/>
    <n v="115"/>
    <n v="2185"/>
    <n v="1005.0999999999999"/>
  </r>
  <r>
    <x v="4"/>
    <n v="1185732"/>
    <x v="52"/>
    <x v="0"/>
    <s v="Alaska"/>
    <s v="Anchorage"/>
    <s v="Outlet"/>
    <x v="3"/>
    <n v="45"/>
    <n v="275"/>
    <n v="12375"/>
    <n v="9281.25"/>
  </r>
  <r>
    <x v="4"/>
    <n v="1185732"/>
    <x v="52"/>
    <x v="0"/>
    <s v="Alaska"/>
    <s v="Anchorage"/>
    <s v="Outlet"/>
    <x v="5"/>
    <n v="49.999999999999993"/>
    <n v="175"/>
    <n v="8749.9999999999982"/>
    <n v="6562.4999999999982"/>
  </r>
  <r>
    <x v="4"/>
    <n v="1185732"/>
    <x v="52"/>
    <x v="0"/>
    <s v="Alaska"/>
    <s v="Anchorage"/>
    <s v="Outlet"/>
    <x v="1"/>
    <n v="65.000000000000014"/>
    <n v="250"/>
    <n v="16250.000000000004"/>
    <n v="12187.500000000004"/>
  </r>
  <r>
    <x v="2"/>
    <n v="1185732"/>
    <x v="52"/>
    <x v="4"/>
    <s v="New Hampshire"/>
    <s v="Manchester"/>
    <s v="Outlet"/>
    <x v="3"/>
    <n v="45"/>
    <n v="275"/>
    <n v="12375"/>
    <n v="9281.25"/>
  </r>
  <r>
    <x v="4"/>
    <n v="1185732"/>
    <x v="52"/>
    <x v="0"/>
    <s v="Alaska"/>
    <s v="Anchorage"/>
    <s v="Outlet"/>
    <x v="2"/>
    <n v="55.000000000000007"/>
    <n v="350"/>
    <n v="19250.000000000004"/>
    <n v="13475.000000000004"/>
  </r>
  <r>
    <x v="0"/>
    <n v="1185732"/>
    <x v="52"/>
    <x v="4"/>
    <s v="Maryland"/>
    <s v="Baltimore"/>
    <s v="In-store"/>
    <x v="1"/>
    <n v="45"/>
    <n v="125"/>
    <n v="5625"/>
    <n v="3937.5"/>
  </r>
  <r>
    <x v="0"/>
    <n v="1185732"/>
    <x v="52"/>
    <x v="4"/>
    <s v="Maryland"/>
    <s v="Baltimore"/>
    <s v="In-store"/>
    <x v="2"/>
    <n v="35"/>
    <n v="225"/>
    <n v="7875"/>
    <n v="5512.5"/>
  </r>
  <r>
    <x v="0"/>
    <n v="1185732"/>
    <x v="52"/>
    <x v="4"/>
    <s v="West Virginia"/>
    <s v="Charleston"/>
    <s v="In-store"/>
    <x v="3"/>
    <n v="25.000000000000007"/>
    <n v="175"/>
    <n v="4375.0000000000009"/>
    <n v="2843.7500000000009"/>
  </r>
  <r>
    <x v="4"/>
    <n v="1185732"/>
    <x v="52"/>
    <x v="0"/>
    <s v="Alaska"/>
    <s v="Anchorage"/>
    <s v="Outlet"/>
    <x v="4"/>
    <n v="55.000000000000007"/>
    <n v="575"/>
    <n v="31625.000000000004"/>
    <n v="20556.250000000004"/>
  </r>
  <r>
    <x v="4"/>
    <n v="1185732"/>
    <x v="52"/>
    <x v="1"/>
    <s v="Ohio"/>
    <s v="Columbus"/>
    <s v="Online"/>
    <x v="0"/>
    <n v="40"/>
    <n v="200"/>
    <n v="8000"/>
    <n v="5200"/>
  </r>
  <r>
    <x v="4"/>
    <n v="1185732"/>
    <x v="52"/>
    <x v="3"/>
    <s v="Kentucky"/>
    <s v="Louisville"/>
    <s v="Online"/>
    <x v="1"/>
    <n v="49.999999999999993"/>
    <n v="200"/>
    <n v="9999.9999999999982"/>
    <n v="6499.9999999999991"/>
  </r>
  <r>
    <x v="0"/>
    <n v="1185732"/>
    <x v="52"/>
    <x v="4"/>
    <s v="West Virginia"/>
    <s v="Charleston"/>
    <s v="In-store"/>
    <x v="0"/>
    <n v="35"/>
    <n v="125"/>
    <n v="4375"/>
    <n v="2843.75"/>
  </r>
  <r>
    <x v="0"/>
    <n v="1185732"/>
    <x v="52"/>
    <x v="4"/>
    <s v="Maryland"/>
    <s v="Baltimore"/>
    <s v="In-store"/>
    <x v="5"/>
    <n v="30"/>
    <n v="50"/>
    <n v="1500"/>
    <n v="975"/>
  </r>
  <r>
    <x v="2"/>
    <n v="1185732"/>
    <x v="52"/>
    <x v="4"/>
    <s v="New Hampshire"/>
    <s v="Manchester"/>
    <s v="Outlet"/>
    <x v="4"/>
    <n v="55.000000000000007"/>
    <n v="575"/>
    <n v="31625.000000000004"/>
    <n v="20556.250000000004"/>
  </r>
  <r>
    <x v="4"/>
    <n v="1185732"/>
    <x v="52"/>
    <x v="0"/>
    <s v="Alaska"/>
    <s v="Anchorage"/>
    <s v="Outlet"/>
    <x v="0"/>
    <n v="55.000000000000007"/>
    <n v="225"/>
    <n v="12375.000000000002"/>
    <n v="8043.75"/>
  </r>
  <r>
    <x v="2"/>
    <n v="1185732"/>
    <x v="52"/>
    <x v="4"/>
    <s v="New Hampshire"/>
    <s v="Manchester"/>
    <s v="Outlet"/>
    <x v="0"/>
    <n v="55.000000000000007"/>
    <n v="225"/>
    <n v="12375.000000000002"/>
    <n v="8043.75"/>
  </r>
  <r>
    <x v="4"/>
    <n v="1185732"/>
    <x v="52"/>
    <x v="1"/>
    <s v="Ohio"/>
    <s v="Columbus"/>
    <s v="Online"/>
    <x v="4"/>
    <n v="40"/>
    <n v="550"/>
    <n v="22000"/>
    <n v="13200"/>
  </r>
  <r>
    <x v="4"/>
    <n v="1185732"/>
    <x v="52"/>
    <x v="1"/>
    <s v="Ohio"/>
    <s v="Columbus"/>
    <s v="Online"/>
    <x v="3"/>
    <n v="30.000000000000004"/>
    <n v="250"/>
    <n v="7500.0000000000009"/>
    <n v="4500.0000000000009"/>
  </r>
  <r>
    <x v="4"/>
    <n v="1185732"/>
    <x v="52"/>
    <x v="3"/>
    <s v="Kentucky"/>
    <s v="Louisville"/>
    <s v="Online"/>
    <x v="5"/>
    <n v="35"/>
    <n v="125"/>
    <n v="4375"/>
    <n v="2625"/>
  </r>
  <r>
    <x v="4"/>
    <n v="1185732"/>
    <x v="52"/>
    <x v="3"/>
    <s v="Kentucky"/>
    <s v="Louisville"/>
    <s v="Online"/>
    <x v="2"/>
    <n v="40"/>
    <n v="300"/>
    <n v="12000"/>
    <n v="7200"/>
  </r>
  <r>
    <x v="2"/>
    <n v="1185732"/>
    <x v="52"/>
    <x v="4"/>
    <s v="West Virginia"/>
    <s v="Charleston"/>
    <s v="In-store"/>
    <x v="4"/>
    <n v="35"/>
    <n v="475"/>
    <n v="16625"/>
    <n v="9975"/>
  </r>
  <r>
    <x v="1"/>
    <n v="1189833"/>
    <x v="52"/>
    <x v="1"/>
    <s v="Montana"/>
    <s v="Billings"/>
    <s v="Outlet"/>
    <x v="3"/>
    <n v="45"/>
    <n v="400"/>
    <n v="18000"/>
    <n v="9900"/>
  </r>
  <r>
    <x v="2"/>
    <n v="1185732"/>
    <x v="52"/>
    <x v="4"/>
    <s v="New Hampshire"/>
    <s v="Manchester"/>
    <s v="Outlet"/>
    <x v="3"/>
    <n v="29"/>
    <n v="83"/>
    <n v="2407"/>
    <n v="1757.1100000000001"/>
  </r>
  <r>
    <x v="4"/>
    <n v="1185732"/>
    <x v="52"/>
    <x v="0"/>
    <s v="Alaska"/>
    <s v="Anchorage"/>
    <s v="Online"/>
    <x v="3"/>
    <n v="43"/>
    <n v="77"/>
    <n v="3311"/>
    <n v="2085.9300000000003"/>
  </r>
  <r>
    <x v="2"/>
    <n v="1185732"/>
    <x v="52"/>
    <x v="4"/>
    <s v="New Hampshire"/>
    <s v="Manchester"/>
    <s v="Outlet"/>
    <x v="4"/>
    <n v="41"/>
    <n v="184"/>
    <n v="7544"/>
    <n v="4752.7199999999993"/>
  </r>
  <r>
    <x v="4"/>
    <n v="1185732"/>
    <x v="52"/>
    <x v="0"/>
    <s v="Alaska"/>
    <s v="Anchorage"/>
    <s v="Online"/>
    <x v="1"/>
    <n v="60"/>
    <n v="75"/>
    <n v="4500"/>
    <n v="2790"/>
  </r>
  <r>
    <x v="4"/>
    <n v="1185732"/>
    <x v="52"/>
    <x v="0"/>
    <s v="Alaska"/>
    <s v="Anchorage"/>
    <s v="Online"/>
    <x v="5"/>
    <n v="49"/>
    <n v="46"/>
    <n v="2254"/>
    <n v="1374.94"/>
  </r>
  <r>
    <x v="2"/>
    <n v="1185732"/>
    <x v="52"/>
    <x v="4"/>
    <s v="New Hampshire"/>
    <s v="Manchester"/>
    <s v="Online"/>
    <x v="3"/>
    <n v="43"/>
    <n v="83"/>
    <n v="3569"/>
    <n v="2141.3999999999996"/>
  </r>
  <r>
    <x v="2"/>
    <n v="1185732"/>
    <x v="52"/>
    <x v="4"/>
    <s v="New Hampshire"/>
    <s v="Manchester"/>
    <s v="Outlet"/>
    <x v="0"/>
    <n v="42"/>
    <n v="70"/>
    <n v="2940"/>
    <n v="1705.1999999999998"/>
  </r>
  <r>
    <x v="0"/>
    <n v="1185732"/>
    <x v="52"/>
    <x v="4"/>
    <s v="Maryland"/>
    <s v="Baltimore"/>
    <s v="Online"/>
    <x v="2"/>
    <n v="34"/>
    <n v="63"/>
    <n v="2142"/>
    <n v="1220.94"/>
  </r>
  <r>
    <x v="4"/>
    <n v="1185732"/>
    <x v="52"/>
    <x v="0"/>
    <s v="Alaska"/>
    <s v="Anchorage"/>
    <s v="Online"/>
    <x v="2"/>
    <n v="52"/>
    <n v="102"/>
    <n v="5304"/>
    <n v="2970.24"/>
  </r>
  <r>
    <x v="0"/>
    <n v="1185732"/>
    <x v="52"/>
    <x v="4"/>
    <s v="Maryland"/>
    <s v="Baltimore"/>
    <s v="Online"/>
    <x v="1"/>
    <n v="41"/>
    <n v="31"/>
    <n v="1271"/>
    <n v="699.05000000000007"/>
  </r>
  <r>
    <x v="2"/>
    <n v="1185732"/>
    <x v="52"/>
    <x v="4"/>
    <s v="New Hampshire"/>
    <s v="Manchester"/>
    <s v="Online"/>
    <x v="4"/>
    <n v="52"/>
    <n v="173"/>
    <n v="8996"/>
    <n v="4947.7999999999993"/>
  </r>
  <r>
    <x v="4"/>
    <n v="1185732"/>
    <x v="52"/>
    <x v="1"/>
    <s v="Ohio"/>
    <s v="Columbus"/>
    <s v="Online"/>
    <x v="0"/>
    <n v="38"/>
    <n v="58"/>
    <n v="2204"/>
    <n v="1190.1600000000001"/>
  </r>
  <r>
    <x v="0"/>
    <n v="1185732"/>
    <x v="52"/>
    <x v="4"/>
    <s v="West Virginia"/>
    <s v="Charleston"/>
    <s v="Online"/>
    <x v="0"/>
    <n v="34"/>
    <n v="38"/>
    <n v="1292"/>
    <n v="697.68000000000006"/>
  </r>
  <r>
    <x v="2"/>
    <n v="1185732"/>
    <x v="52"/>
    <x v="4"/>
    <s v="New Hampshire"/>
    <s v="Manchester"/>
    <s v="Online"/>
    <x v="0"/>
    <n v="53"/>
    <n v="59"/>
    <n v="3127"/>
    <n v="1688.58"/>
  </r>
  <r>
    <x v="0"/>
    <n v="1185732"/>
    <x v="52"/>
    <x v="4"/>
    <s v="West Virginia"/>
    <s v="Charleston"/>
    <s v="Online"/>
    <x v="3"/>
    <n v="24"/>
    <n v="46"/>
    <n v="1104"/>
    <n v="585.12"/>
  </r>
  <r>
    <x v="4"/>
    <n v="1185732"/>
    <x v="52"/>
    <x v="0"/>
    <s v="Alaska"/>
    <s v="Anchorage"/>
    <s v="Online"/>
    <x v="4"/>
    <n v="51"/>
    <n v="173"/>
    <n v="8823"/>
    <n v="4676.1899999999996"/>
  </r>
  <r>
    <x v="4"/>
    <n v="1185732"/>
    <x v="52"/>
    <x v="3"/>
    <s v="Kentucky"/>
    <s v="Louisville"/>
    <s v="Online"/>
    <x v="1"/>
    <n v="48"/>
    <n v="54"/>
    <n v="2592"/>
    <n v="1373.76"/>
  </r>
  <r>
    <x v="4"/>
    <n v="1185732"/>
    <x v="52"/>
    <x v="0"/>
    <s v="Alaska"/>
    <s v="Anchorage"/>
    <s v="Online"/>
    <x v="0"/>
    <n v="53"/>
    <n v="65"/>
    <n v="3445"/>
    <n v="1791.3999999999999"/>
  </r>
  <r>
    <x v="0"/>
    <n v="1185732"/>
    <x v="52"/>
    <x v="4"/>
    <s v="Maryland"/>
    <s v="Baltimore"/>
    <s v="Online"/>
    <x v="5"/>
    <n v="28"/>
    <n v="14"/>
    <n v="392"/>
    <n v="196"/>
  </r>
  <r>
    <x v="4"/>
    <n v="1185732"/>
    <x v="52"/>
    <x v="3"/>
    <s v="Kentucky"/>
    <s v="Louisville"/>
    <s v="Online"/>
    <x v="2"/>
    <n v="39"/>
    <n v="78"/>
    <n v="3042"/>
    <n v="1490.58"/>
  </r>
  <r>
    <x v="4"/>
    <n v="1185732"/>
    <x v="52"/>
    <x v="1"/>
    <s v="Ohio"/>
    <s v="Columbus"/>
    <s v="Online"/>
    <x v="4"/>
    <n v="38"/>
    <n v="138"/>
    <n v="5244"/>
    <n v="2464.6799999999998"/>
  </r>
  <r>
    <x v="4"/>
    <n v="1185732"/>
    <x v="52"/>
    <x v="1"/>
    <s v="Ohio"/>
    <s v="Columbus"/>
    <s v="Online"/>
    <x v="3"/>
    <n v="29"/>
    <n v="63"/>
    <n v="1827"/>
    <n v="858.68999999999994"/>
  </r>
  <r>
    <x v="2"/>
    <n v="1185732"/>
    <x v="52"/>
    <x v="4"/>
    <s v="West Virginia"/>
    <s v="Charleston"/>
    <s v="Online"/>
    <x v="4"/>
    <n v="32"/>
    <n v="138"/>
    <n v="4416"/>
    <n v="2075.52"/>
  </r>
  <r>
    <x v="4"/>
    <n v="1185732"/>
    <x v="52"/>
    <x v="3"/>
    <s v="Kentucky"/>
    <s v="Louisville"/>
    <s v="Online"/>
    <x v="5"/>
    <n v="34"/>
    <n v="34"/>
    <n v="1156"/>
    <n v="531.76"/>
  </r>
  <r>
    <x v="1"/>
    <n v="1189833"/>
    <x v="52"/>
    <x v="1"/>
    <s v="Montana"/>
    <s v="Billings"/>
    <s v="Online"/>
    <x v="3"/>
    <n v="41"/>
    <n v="116"/>
    <n v="4756"/>
    <n v="2045.08"/>
  </r>
  <r>
    <x v="2"/>
    <n v="1128299"/>
    <x v="53"/>
    <x v="0"/>
    <s v="Arizona"/>
    <s v="Phoenix"/>
    <s v="Online"/>
    <x v="2"/>
    <n v="40"/>
    <n v="350"/>
    <n v="14000"/>
    <n v="10500"/>
  </r>
  <r>
    <x v="2"/>
    <n v="1128299"/>
    <x v="53"/>
    <x v="0"/>
    <s v="Arizona"/>
    <s v="Phoenix"/>
    <s v="Online"/>
    <x v="1"/>
    <n v="45.000000000000007"/>
    <n v="150"/>
    <n v="6750.0000000000009"/>
    <n v="4725.0000000000018"/>
  </r>
  <r>
    <x v="2"/>
    <n v="1128299"/>
    <x v="53"/>
    <x v="0"/>
    <s v="Idaho"/>
    <s v="Boise"/>
    <s v="Online"/>
    <x v="4"/>
    <n v="29.999999999999993"/>
    <n v="475"/>
    <n v="14249.999999999996"/>
    <n v="9262.4999999999982"/>
  </r>
  <r>
    <x v="2"/>
    <n v="1128299"/>
    <x v="53"/>
    <x v="0"/>
    <s v="Idaho"/>
    <s v="Boise"/>
    <s v="Online"/>
    <x v="3"/>
    <n v="40"/>
    <n v="375"/>
    <n v="15000"/>
    <n v="9750"/>
  </r>
  <r>
    <x v="2"/>
    <n v="1128299"/>
    <x v="53"/>
    <x v="0"/>
    <s v="Arizona"/>
    <s v="Phoenix"/>
    <s v="Online"/>
    <x v="5"/>
    <n v="40"/>
    <n v="225"/>
    <n v="9000"/>
    <n v="5850"/>
  </r>
  <r>
    <x v="1"/>
    <n v="1189833"/>
    <x v="53"/>
    <x v="1"/>
    <s v="Montana"/>
    <s v="Billings"/>
    <s v="Outlet"/>
    <x v="5"/>
    <n v="45"/>
    <n v="375"/>
    <n v="16875"/>
    <n v="10125"/>
  </r>
  <r>
    <x v="2"/>
    <n v="1128299"/>
    <x v="53"/>
    <x v="0"/>
    <s v="Idaho"/>
    <s v="Boise"/>
    <s v="Online"/>
    <x v="0"/>
    <n v="40"/>
    <n v="375"/>
    <n v="15000"/>
    <n v="9000"/>
  </r>
  <r>
    <x v="2"/>
    <n v="1128299"/>
    <x v="53"/>
    <x v="0"/>
    <s v="Arizona"/>
    <s v="Phoenix"/>
    <s v="Outlet"/>
    <x v="2"/>
    <n v="31"/>
    <n v="116"/>
    <n v="3596"/>
    <n v="2625.08"/>
  </r>
  <r>
    <x v="2"/>
    <n v="1128299"/>
    <x v="53"/>
    <x v="0"/>
    <s v="Arizona"/>
    <s v="Phoenix"/>
    <s v="Online"/>
    <x v="2"/>
    <n v="38"/>
    <n v="88"/>
    <n v="3344"/>
    <n v="2140.16"/>
  </r>
  <r>
    <x v="2"/>
    <n v="1128299"/>
    <x v="53"/>
    <x v="0"/>
    <s v="Idaho"/>
    <s v="Boise"/>
    <s v="Outlet"/>
    <x v="4"/>
    <n v="21"/>
    <n v="162"/>
    <n v="3402"/>
    <n v="2143.2600000000002"/>
  </r>
  <r>
    <x v="2"/>
    <n v="1128299"/>
    <x v="53"/>
    <x v="0"/>
    <s v="Arizona"/>
    <s v="Phoenix"/>
    <s v="Outlet"/>
    <x v="1"/>
    <n v="36"/>
    <n v="51"/>
    <n v="1836"/>
    <n v="1156.68"/>
  </r>
  <r>
    <x v="2"/>
    <n v="1128299"/>
    <x v="53"/>
    <x v="0"/>
    <s v="Idaho"/>
    <s v="Boise"/>
    <s v="Outlet"/>
    <x v="3"/>
    <n v="28"/>
    <n v="124"/>
    <n v="3472"/>
    <n v="2013.76"/>
  </r>
  <r>
    <x v="2"/>
    <n v="1128299"/>
    <x v="53"/>
    <x v="0"/>
    <s v="Arizona"/>
    <s v="Phoenix"/>
    <s v="Outlet"/>
    <x v="5"/>
    <n v="26"/>
    <n v="68"/>
    <n v="1768"/>
    <n v="1025.44"/>
  </r>
  <r>
    <x v="2"/>
    <n v="1128299"/>
    <x v="53"/>
    <x v="0"/>
    <s v="Idaho"/>
    <s v="Boise"/>
    <s v="Outlet"/>
    <x v="0"/>
    <n v="28"/>
    <n v="128"/>
    <n v="3584"/>
    <n v="2042.8799999999999"/>
  </r>
  <r>
    <x v="2"/>
    <n v="1128299"/>
    <x v="53"/>
    <x v="0"/>
    <s v="Arizona"/>
    <s v="Phoenix"/>
    <s v="Online"/>
    <x v="1"/>
    <n v="42"/>
    <n v="44"/>
    <n v="1848"/>
    <n v="1034.8800000000001"/>
  </r>
  <r>
    <x v="2"/>
    <n v="1128299"/>
    <x v="53"/>
    <x v="0"/>
    <s v="Idaho"/>
    <s v="Boise"/>
    <s v="Online"/>
    <x v="3"/>
    <n v="38"/>
    <n v="105"/>
    <n v="3990"/>
    <n v="2114.6999999999998"/>
  </r>
  <r>
    <x v="2"/>
    <n v="1128299"/>
    <x v="53"/>
    <x v="0"/>
    <s v="Arizona"/>
    <s v="Phoenix"/>
    <s v="Online"/>
    <x v="5"/>
    <n v="38"/>
    <n v="63"/>
    <n v="2394"/>
    <n v="1244.8800000000001"/>
  </r>
  <r>
    <x v="2"/>
    <n v="1128299"/>
    <x v="53"/>
    <x v="0"/>
    <s v="Idaho"/>
    <s v="Boise"/>
    <s v="Online"/>
    <x v="4"/>
    <n v="29"/>
    <n v="143"/>
    <n v="4147"/>
    <n v="2073.5"/>
  </r>
  <r>
    <x v="1"/>
    <n v="1189833"/>
    <x v="53"/>
    <x v="1"/>
    <s v="Montana"/>
    <s v="Billings"/>
    <s v="Online"/>
    <x v="5"/>
    <n v="44"/>
    <n v="105"/>
    <n v="4620"/>
    <n v="2217.6"/>
  </r>
  <r>
    <x v="2"/>
    <n v="1128299"/>
    <x v="53"/>
    <x v="0"/>
    <s v="Idaho"/>
    <s v="Boise"/>
    <s v="Online"/>
    <x v="0"/>
    <n v="38"/>
    <n v="113"/>
    <n v="4294"/>
    <n v="1975.2399999999998"/>
  </r>
  <r>
    <x v="2"/>
    <n v="1128299"/>
    <x v="54"/>
    <x v="3"/>
    <s v="Virginia"/>
    <s v="Richmond"/>
    <s v="In-store"/>
    <x v="2"/>
    <n v="40"/>
    <n v="325"/>
    <n v="13000"/>
    <n v="9100"/>
  </r>
  <r>
    <x v="0"/>
    <n v="1128299"/>
    <x v="54"/>
    <x v="0"/>
    <s v="Oregon"/>
    <s v="Portland"/>
    <s v="In-store"/>
    <x v="2"/>
    <n v="40"/>
    <n v="325"/>
    <n v="13000"/>
    <n v="9100"/>
  </r>
  <r>
    <x v="2"/>
    <n v="1128299"/>
    <x v="54"/>
    <x v="0"/>
    <s v="Wyoming"/>
    <s v="Cheyenne"/>
    <s v="In-store"/>
    <x v="4"/>
    <n v="30.000000000000004"/>
    <n v="450"/>
    <n v="13500.000000000002"/>
    <n v="8775.0000000000036"/>
  </r>
  <r>
    <x v="0"/>
    <n v="1128299"/>
    <x v="54"/>
    <x v="0"/>
    <s v="Utah"/>
    <s v="Salt Lake City"/>
    <s v="In-store"/>
    <x v="4"/>
    <n v="30.000000000000004"/>
    <n v="450"/>
    <n v="13500.000000000002"/>
    <n v="8775.0000000000036"/>
  </r>
  <r>
    <x v="2"/>
    <n v="1128299"/>
    <x v="54"/>
    <x v="0"/>
    <s v="Wyoming"/>
    <s v="Cheyenne"/>
    <s v="In-store"/>
    <x v="0"/>
    <n v="40"/>
    <n v="350"/>
    <n v="14000"/>
    <n v="9100"/>
  </r>
  <r>
    <x v="2"/>
    <n v="1128299"/>
    <x v="54"/>
    <x v="0"/>
    <s v="Wyoming"/>
    <s v="Cheyenne"/>
    <s v="In-store"/>
    <x v="3"/>
    <n v="40"/>
    <n v="350"/>
    <n v="14000"/>
    <n v="9100"/>
  </r>
  <r>
    <x v="2"/>
    <n v="1128299"/>
    <x v="54"/>
    <x v="3"/>
    <s v="Virginia"/>
    <s v="Richmond"/>
    <s v="In-store"/>
    <x v="5"/>
    <n v="40"/>
    <n v="200"/>
    <n v="8000"/>
    <n v="5200"/>
  </r>
  <r>
    <x v="0"/>
    <n v="1128299"/>
    <x v="54"/>
    <x v="0"/>
    <s v="Utah"/>
    <s v="Salt Lake City"/>
    <s v="In-store"/>
    <x v="0"/>
    <n v="40"/>
    <n v="350"/>
    <n v="14000"/>
    <n v="9100"/>
  </r>
  <r>
    <x v="0"/>
    <n v="1128299"/>
    <x v="54"/>
    <x v="0"/>
    <s v="Utah"/>
    <s v="Salt Lake City"/>
    <s v="In-store"/>
    <x v="3"/>
    <n v="40"/>
    <n v="350"/>
    <n v="14000"/>
    <n v="9100"/>
  </r>
  <r>
    <x v="0"/>
    <n v="1128299"/>
    <x v="54"/>
    <x v="0"/>
    <s v="Oregon"/>
    <s v="Portland"/>
    <s v="In-store"/>
    <x v="5"/>
    <n v="40"/>
    <n v="200"/>
    <n v="8000"/>
    <n v="5200"/>
  </r>
  <r>
    <x v="2"/>
    <n v="1128299"/>
    <x v="54"/>
    <x v="3"/>
    <s v="Virginia"/>
    <s v="Richmond"/>
    <s v="In-store"/>
    <x v="1"/>
    <n v="45.000000000000007"/>
    <n v="125"/>
    <n v="5625.0000000000009"/>
    <n v="3375"/>
  </r>
  <r>
    <x v="0"/>
    <n v="1128299"/>
    <x v="54"/>
    <x v="0"/>
    <s v="Oregon"/>
    <s v="Portland"/>
    <s v="In-store"/>
    <x v="1"/>
    <n v="45.000000000000007"/>
    <n v="125"/>
    <n v="5625.0000000000009"/>
    <n v="3375"/>
  </r>
  <r>
    <x v="1"/>
    <n v="1189833"/>
    <x v="54"/>
    <x v="1"/>
    <s v="Montana"/>
    <s v="Billings"/>
    <s v="Outlet"/>
    <x v="1"/>
    <n v="54.999999999999993"/>
    <n v="350"/>
    <n v="19249.999999999996"/>
    <n v="7699.9999999999973"/>
  </r>
  <r>
    <x v="0"/>
    <n v="1128299"/>
    <x v="54"/>
    <x v="0"/>
    <s v="Oregon"/>
    <s v="Portland"/>
    <s v="Outlet"/>
    <x v="2"/>
    <n v="28"/>
    <n v="98"/>
    <n v="2744"/>
    <n v="1783.6"/>
  </r>
  <r>
    <x v="2"/>
    <n v="1128299"/>
    <x v="54"/>
    <x v="3"/>
    <s v="Virginia"/>
    <s v="Richmond"/>
    <s v="Outlet"/>
    <x v="2"/>
    <n v="30"/>
    <n v="107"/>
    <n v="3210"/>
    <n v="2054.4"/>
  </r>
  <r>
    <x v="0"/>
    <n v="1128299"/>
    <x v="54"/>
    <x v="0"/>
    <s v="Utah"/>
    <s v="Salt Lake City"/>
    <s v="Outlet"/>
    <x v="3"/>
    <n v="28"/>
    <n v="123"/>
    <n v="3444"/>
    <n v="2169.7200000000003"/>
  </r>
  <r>
    <x v="0"/>
    <n v="1128299"/>
    <x v="54"/>
    <x v="0"/>
    <s v="Oregon"/>
    <s v="Portland"/>
    <s v="Online"/>
    <x v="2"/>
    <n v="37"/>
    <n v="85"/>
    <n v="3145"/>
    <n v="1887"/>
  </r>
  <r>
    <x v="2"/>
    <n v="1128299"/>
    <x v="54"/>
    <x v="3"/>
    <s v="Virginia"/>
    <s v="Richmond"/>
    <s v="Outlet"/>
    <x v="5"/>
    <n v="28"/>
    <n v="64"/>
    <n v="1792"/>
    <n v="1057.2800000000002"/>
  </r>
  <r>
    <x v="0"/>
    <n v="1128299"/>
    <x v="54"/>
    <x v="0"/>
    <s v="Utah"/>
    <s v="Salt Lake City"/>
    <s v="Outlet"/>
    <x v="4"/>
    <n v="22"/>
    <n v="153"/>
    <n v="3366"/>
    <n v="1985.94"/>
  </r>
  <r>
    <x v="0"/>
    <n v="1128299"/>
    <x v="54"/>
    <x v="0"/>
    <s v="Oregon"/>
    <s v="Portland"/>
    <s v="Outlet"/>
    <x v="5"/>
    <n v="29"/>
    <n v="64"/>
    <n v="1856"/>
    <n v="1095.04"/>
  </r>
  <r>
    <x v="0"/>
    <n v="1128299"/>
    <x v="54"/>
    <x v="0"/>
    <s v="Utah"/>
    <s v="Salt Lake City"/>
    <s v="Outlet"/>
    <x v="0"/>
    <n v="29"/>
    <n v="123"/>
    <n v="3567"/>
    <n v="2068.86"/>
  </r>
  <r>
    <x v="2"/>
    <n v="1128299"/>
    <x v="54"/>
    <x v="3"/>
    <s v="Virginia"/>
    <s v="Richmond"/>
    <s v="Online"/>
    <x v="2"/>
    <n v="38"/>
    <n v="81"/>
    <n v="3078"/>
    <n v="1754.46"/>
  </r>
  <r>
    <x v="0"/>
    <n v="1128299"/>
    <x v="54"/>
    <x v="0"/>
    <s v="Oregon"/>
    <s v="Portland"/>
    <s v="Outlet"/>
    <x v="1"/>
    <n v="32"/>
    <n v="43"/>
    <n v="1376"/>
    <n v="770.56"/>
  </r>
  <r>
    <x v="2"/>
    <n v="1128299"/>
    <x v="54"/>
    <x v="0"/>
    <s v="Wyoming"/>
    <s v="Cheyenne"/>
    <s v="Online"/>
    <x v="3"/>
    <n v="39"/>
    <n v="88"/>
    <n v="3432"/>
    <n v="1887.6000000000001"/>
  </r>
  <r>
    <x v="0"/>
    <n v="1128299"/>
    <x v="54"/>
    <x v="0"/>
    <s v="Utah"/>
    <s v="Salt Lake City"/>
    <s v="Online"/>
    <x v="4"/>
    <n v="29"/>
    <n v="117"/>
    <n v="3393"/>
    <n v="1866.15"/>
  </r>
  <r>
    <x v="0"/>
    <n v="1128299"/>
    <x v="54"/>
    <x v="0"/>
    <s v="Utah"/>
    <s v="Salt Lake City"/>
    <s v="Online"/>
    <x v="3"/>
    <n v="36"/>
    <n v="88"/>
    <n v="3168"/>
    <n v="1742.4"/>
  </r>
  <r>
    <x v="2"/>
    <n v="1128299"/>
    <x v="54"/>
    <x v="0"/>
    <s v="Wyoming"/>
    <s v="Cheyenne"/>
    <s v="Online"/>
    <x v="0"/>
    <n v="36"/>
    <n v="105"/>
    <n v="3780"/>
    <n v="2079"/>
  </r>
  <r>
    <x v="2"/>
    <n v="1128299"/>
    <x v="54"/>
    <x v="3"/>
    <s v="Virginia"/>
    <s v="Richmond"/>
    <s v="Outlet"/>
    <x v="1"/>
    <n v="29"/>
    <n v="39"/>
    <n v="1131"/>
    <n v="622.04999999999995"/>
  </r>
  <r>
    <x v="2"/>
    <n v="1128299"/>
    <x v="54"/>
    <x v="0"/>
    <s v="Wyoming"/>
    <s v="Cheyenne"/>
    <s v="Online"/>
    <x v="4"/>
    <n v="27"/>
    <n v="113"/>
    <n v="3051"/>
    <n v="1647.5400000000002"/>
  </r>
  <r>
    <x v="0"/>
    <n v="1128299"/>
    <x v="54"/>
    <x v="0"/>
    <s v="Utah"/>
    <s v="Salt Lake City"/>
    <s v="Online"/>
    <x v="0"/>
    <n v="39"/>
    <n v="91"/>
    <n v="3549"/>
    <n v="1845.48"/>
  </r>
  <r>
    <x v="0"/>
    <n v="1128299"/>
    <x v="54"/>
    <x v="0"/>
    <s v="Oregon"/>
    <s v="Portland"/>
    <s v="Online"/>
    <x v="5"/>
    <n v="39"/>
    <n v="58"/>
    <n v="2262"/>
    <n v="1176.24"/>
  </r>
  <r>
    <x v="2"/>
    <n v="1128299"/>
    <x v="54"/>
    <x v="3"/>
    <s v="Virginia"/>
    <s v="Richmond"/>
    <s v="Online"/>
    <x v="5"/>
    <n v="38"/>
    <n v="58"/>
    <n v="2204"/>
    <n v="1102"/>
  </r>
  <r>
    <x v="0"/>
    <n v="1128299"/>
    <x v="54"/>
    <x v="0"/>
    <s v="Oregon"/>
    <s v="Portland"/>
    <s v="Online"/>
    <x v="1"/>
    <n v="42"/>
    <n v="38"/>
    <n v="1596"/>
    <n v="766.07999999999993"/>
  </r>
  <r>
    <x v="2"/>
    <n v="1128299"/>
    <x v="54"/>
    <x v="3"/>
    <s v="Virginia"/>
    <s v="Richmond"/>
    <s v="Online"/>
    <x v="1"/>
    <n v="42"/>
    <n v="38"/>
    <n v="1596"/>
    <n v="718.19999999999993"/>
  </r>
  <r>
    <x v="1"/>
    <n v="1189833"/>
    <x v="54"/>
    <x v="1"/>
    <s v="Montana"/>
    <s v="Billings"/>
    <s v="Online"/>
    <x v="1"/>
    <n v="54"/>
    <n v="98"/>
    <n v="5292"/>
    <n v="1322.9999999999995"/>
  </r>
  <r>
    <x v="1"/>
    <n v="1189833"/>
    <x v="55"/>
    <x v="1"/>
    <s v="Montana"/>
    <s v="Billings"/>
    <s v="Outlet"/>
    <x v="2"/>
    <n v="60"/>
    <n v="400"/>
    <n v="24000"/>
    <n v="18000"/>
  </r>
  <r>
    <x v="1"/>
    <n v="1189833"/>
    <x v="55"/>
    <x v="1"/>
    <s v="Montana"/>
    <s v="Billings"/>
    <s v="Online"/>
    <x v="2"/>
    <n v="58"/>
    <n v="108"/>
    <n v="6264"/>
    <n v="3821.04"/>
  </r>
  <r>
    <x v="1"/>
    <n v="1128299"/>
    <x v="56"/>
    <x v="0"/>
    <s v="New Mexico"/>
    <s v="Albuquerque"/>
    <s v="Online"/>
    <x v="2"/>
    <n v="45"/>
    <n v="400"/>
    <n v="18000"/>
    <n v="13500"/>
  </r>
  <r>
    <x v="1"/>
    <n v="1128299"/>
    <x v="56"/>
    <x v="0"/>
    <s v="New Mexico"/>
    <s v="Albuquerque"/>
    <s v="Online"/>
    <x v="1"/>
    <n v="50.000000000000014"/>
    <n v="200"/>
    <n v="10000.000000000004"/>
    <n v="7000.0000000000027"/>
  </r>
  <r>
    <x v="1"/>
    <n v="1128299"/>
    <x v="56"/>
    <x v="0"/>
    <s v="Arizona"/>
    <s v="Phoenix"/>
    <s v="Online"/>
    <x v="4"/>
    <n v="34.999999999999993"/>
    <n v="525"/>
    <n v="18374.999999999996"/>
    <n v="11943.749999999998"/>
  </r>
  <r>
    <x v="1"/>
    <n v="1128299"/>
    <x v="56"/>
    <x v="0"/>
    <s v="Arizona"/>
    <s v="Phoenix"/>
    <s v="Online"/>
    <x v="3"/>
    <n v="45"/>
    <n v="425"/>
    <n v="19125"/>
    <n v="12431.25"/>
  </r>
  <r>
    <x v="1"/>
    <n v="1128299"/>
    <x v="56"/>
    <x v="0"/>
    <s v="New Mexico"/>
    <s v="Albuquerque"/>
    <s v="Online"/>
    <x v="5"/>
    <n v="45"/>
    <n v="275"/>
    <n v="12375"/>
    <n v="8043.75"/>
  </r>
  <r>
    <x v="1"/>
    <n v="1128299"/>
    <x v="56"/>
    <x v="0"/>
    <s v="Arizona"/>
    <s v="Phoenix"/>
    <s v="Online"/>
    <x v="0"/>
    <n v="45"/>
    <n v="425"/>
    <n v="19125"/>
    <n v="11475"/>
  </r>
  <r>
    <x v="1"/>
    <n v="1189833"/>
    <x v="56"/>
    <x v="1"/>
    <s v="Montana"/>
    <s v="Billings"/>
    <s v="Outlet"/>
    <x v="4"/>
    <n v="40"/>
    <n v="575"/>
    <n v="23000"/>
    <n v="12650"/>
  </r>
  <r>
    <x v="1"/>
    <n v="1128299"/>
    <x v="56"/>
    <x v="0"/>
    <s v="New Mexico"/>
    <s v="Albuquerque"/>
    <s v="Outlet"/>
    <x v="2"/>
    <n v="35"/>
    <n v="140"/>
    <n v="4900"/>
    <n v="3528"/>
  </r>
  <r>
    <x v="1"/>
    <n v="1128299"/>
    <x v="56"/>
    <x v="0"/>
    <s v="New Mexico"/>
    <s v="Albuquerque"/>
    <s v="Outlet"/>
    <x v="1"/>
    <n v="34"/>
    <n v="62"/>
    <n v="2108"/>
    <n v="1433.44"/>
  </r>
  <r>
    <x v="1"/>
    <n v="1128299"/>
    <x v="56"/>
    <x v="0"/>
    <s v="New Mexico"/>
    <s v="Albuquerque"/>
    <s v="Outlet"/>
    <x v="5"/>
    <n v="29"/>
    <n v="91"/>
    <n v="2639"/>
    <n v="1662.5700000000002"/>
  </r>
  <r>
    <x v="1"/>
    <n v="1128299"/>
    <x v="56"/>
    <x v="0"/>
    <s v="New Mexico"/>
    <s v="Albuquerque"/>
    <s v="Online"/>
    <x v="2"/>
    <n v="41"/>
    <n v="104"/>
    <n v="4264"/>
    <n v="2643.6800000000003"/>
  </r>
  <r>
    <x v="1"/>
    <n v="1128299"/>
    <x v="56"/>
    <x v="0"/>
    <s v="Arizona"/>
    <s v="Phoenix"/>
    <s v="Outlet"/>
    <x v="4"/>
    <n v="27"/>
    <n v="173"/>
    <n v="4671"/>
    <n v="2802.6000000000004"/>
  </r>
  <r>
    <x v="1"/>
    <n v="1128299"/>
    <x v="56"/>
    <x v="0"/>
    <s v="Arizona"/>
    <s v="Phoenix"/>
    <s v="Outlet"/>
    <x v="3"/>
    <n v="35"/>
    <n v="132"/>
    <n v="4620"/>
    <n v="2772"/>
  </r>
  <r>
    <x v="1"/>
    <n v="1128299"/>
    <x v="56"/>
    <x v="0"/>
    <s v="New Mexico"/>
    <s v="Albuquerque"/>
    <s v="Online"/>
    <x v="1"/>
    <n v="45"/>
    <n v="54"/>
    <n v="2430"/>
    <n v="1360.8"/>
  </r>
  <r>
    <x v="1"/>
    <n v="1128299"/>
    <x v="56"/>
    <x v="0"/>
    <s v="Arizona"/>
    <s v="Phoenix"/>
    <s v="Online"/>
    <x v="3"/>
    <n v="41"/>
    <n v="111"/>
    <n v="4551"/>
    <n v="2457.54"/>
  </r>
  <r>
    <x v="1"/>
    <n v="1128299"/>
    <x v="56"/>
    <x v="0"/>
    <s v="Arizona"/>
    <s v="Phoenix"/>
    <s v="Outlet"/>
    <x v="0"/>
    <n v="36"/>
    <n v="136"/>
    <n v="4896"/>
    <n v="2594.8799999999997"/>
  </r>
  <r>
    <x v="1"/>
    <n v="1128299"/>
    <x v="56"/>
    <x v="0"/>
    <s v="Arizona"/>
    <s v="Phoenix"/>
    <s v="Online"/>
    <x v="4"/>
    <n v="33"/>
    <n v="147"/>
    <n v="4851"/>
    <n v="2474.0100000000002"/>
  </r>
  <r>
    <x v="1"/>
    <n v="1128299"/>
    <x v="56"/>
    <x v="0"/>
    <s v="New Mexico"/>
    <s v="Albuquerque"/>
    <s v="Online"/>
    <x v="5"/>
    <n v="43"/>
    <n v="74"/>
    <n v="3182"/>
    <n v="1622.82"/>
  </r>
  <r>
    <x v="1"/>
    <n v="1128299"/>
    <x v="56"/>
    <x v="0"/>
    <s v="Arizona"/>
    <s v="Phoenix"/>
    <s v="Online"/>
    <x v="0"/>
    <n v="44"/>
    <n v="106"/>
    <n v="4664"/>
    <n v="2098.7999999999997"/>
  </r>
  <r>
    <x v="1"/>
    <n v="1189833"/>
    <x v="56"/>
    <x v="1"/>
    <s v="Montana"/>
    <s v="Billings"/>
    <s v="Online"/>
    <x v="4"/>
    <n v="38"/>
    <n v="167"/>
    <n v="6346"/>
    <n v="2601.8599999999997"/>
  </r>
  <r>
    <x v="1"/>
    <n v="1189833"/>
    <x v="57"/>
    <x v="1"/>
    <s v="Montana"/>
    <s v="Billings"/>
    <s v="Outlet"/>
    <x v="0"/>
    <n v="45.000000000000007"/>
    <n v="575"/>
    <n v="25875.000000000004"/>
    <n v="18112.500000000004"/>
  </r>
  <r>
    <x v="1"/>
    <n v="1189833"/>
    <x v="57"/>
    <x v="1"/>
    <s v="Montana"/>
    <s v="Billings"/>
    <s v="Online"/>
    <x v="0"/>
    <n v="42"/>
    <n v="173"/>
    <n v="7266"/>
    <n v="4286.9400000000005"/>
  </r>
  <r>
    <x v="1"/>
    <n v="1189833"/>
    <x v="58"/>
    <x v="1"/>
    <s v="Montana"/>
    <s v="Billings"/>
    <s v="Outlet"/>
    <x v="3"/>
    <n v="40"/>
    <n v="425"/>
    <n v="17000"/>
    <n v="9350"/>
  </r>
  <r>
    <x v="1"/>
    <n v="1189833"/>
    <x v="58"/>
    <x v="1"/>
    <s v="Montana"/>
    <s v="Billings"/>
    <s v="Online"/>
    <x v="3"/>
    <n v="37"/>
    <n v="123"/>
    <n v="4551"/>
    <n v="1956.9299999999998"/>
  </r>
  <r>
    <x v="1"/>
    <n v="1189833"/>
    <x v="59"/>
    <x v="1"/>
    <s v="Montana"/>
    <s v="Billings"/>
    <s v="Outlet"/>
    <x v="5"/>
    <n v="40"/>
    <n v="425"/>
    <n v="17000"/>
    <n v="10200"/>
  </r>
  <r>
    <x v="1"/>
    <n v="1189833"/>
    <x v="59"/>
    <x v="1"/>
    <s v="Montana"/>
    <s v="Billings"/>
    <s v="Online"/>
    <x v="5"/>
    <n v="39"/>
    <n v="119"/>
    <n v="4641"/>
    <n v="2088.4500000000003"/>
  </r>
  <r>
    <x v="0"/>
    <n v="1185732"/>
    <x v="60"/>
    <x v="1"/>
    <s v="Wisconsin"/>
    <s v="Milwaukee"/>
    <s v="In-store"/>
    <x v="4"/>
    <n v="20.000000000000004"/>
    <n v="470"/>
    <n v="9400.0000000000018"/>
    <n v="6580.0000000000018"/>
  </r>
  <r>
    <x v="0"/>
    <n v="1185732"/>
    <x v="60"/>
    <x v="1"/>
    <s v="Wisconsin"/>
    <s v="Milwaukee"/>
    <s v="In-store"/>
    <x v="5"/>
    <n v="14.999999999999996"/>
    <n v="75"/>
    <n v="1124.9999999999998"/>
    <n v="787.49999999999977"/>
  </r>
  <r>
    <x v="0"/>
    <n v="1185732"/>
    <x v="60"/>
    <x v="1"/>
    <s v="Wisconsin"/>
    <s v="Milwaukee"/>
    <s v="In-store"/>
    <x v="3"/>
    <n v="10.000000000000004"/>
    <n v="225"/>
    <n v="2250.0000000000009"/>
    <n v="1575.0000000000005"/>
  </r>
  <r>
    <x v="0"/>
    <n v="1185732"/>
    <x v="60"/>
    <x v="1"/>
    <s v="Wisconsin"/>
    <s v="Milwaukee"/>
    <s v="In-store"/>
    <x v="0"/>
    <n v="20.000000000000004"/>
    <n v="175"/>
    <n v="3500.0000000000005"/>
    <n v="2275.0000000000009"/>
  </r>
  <r>
    <x v="3"/>
    <n v="1185732"/>
    <x v="60"/>
    <x v="3"/>
    <s v="North Carolina"/>
    <s v="Charlotte"/>
    <s v="Online"/>
    <x v="0"/>
    <n v="30"/>
    <n v="600"/>
    <n v="18000"/>
    <n v="11700"/>
  </r>
  <r>
    <x v="3"/>
    <n v="1185732"/>
    <x v="60"/>
    <x v="3"/>
    <s v="North Carolina"/>
    <s v="Charlotte"/>
    <s v="Online"/>
    <x v="1"/>
    <n v="40.000000000000007"/>
    <n v="525"/>
    <n v="21000.000000000004"/>
    <n v="13650.000000000004"/>
  </r>
  <r>
    <x v="3"/>
    <n v="1185732"/>
    <x v="60"/>
    <x v="3"/>
    <s v="North Carolina"/>
    <s v="Charlotte"/>
    <s v="Online"/>
    <x v="4"/>
    <n v="30"/>
    <n v="920"/>
    <n v="27600"/>
    <n v="16560"/>
  </r>
  <r>
    <x v="3"/>
    <n v="1185732"/>
    <x v="60"/>
    <x v="3"/>
    <s v="North Carolina"/>
    <s v="Charlotte"/>
    <s v="Online"/>
    <x v="3"/>
    <n v="20"/>
    <n v="625"/>
    <n v="12500"/>
    <n v="7500"/>
  </r>
  <r>
    <x v="0"/>
    <n v="1185732"/>
    <x v="60"/>
    <x v="1"/>
    <s v="Wisconsin"/>
    <s v="Milwaukee"/>
    <s v="In-store"/>
    <x v="2"/>
    <n v="20.000000000000004"/>
    <n v="225"/>
    <n v="4500.0000000000009"/>
    <n v="2700.0000000000005"/>
  </r>
  <r>
    <x v="3"/>
    <n v="1185732"/>
    <x v="60"/>
    <x v="3"/>
    <s v="North Carolina"/>
    <s v="Charlotte"/>
    <s v="Online"/>
    <x v="5"/>
    <n v="24.999999999999993"/>
    <n v="475"/>
    <n v="11874.999999999996"/>
    <n v="7124.9999999999973"/>
  </r>
  <r>
    <x v="0"/>
    <n v="1185732"/>
    <x v="60"/>
    <x v="1"/>
    <s v="Wisconsin"/>
    <s v="Milwaukee"/>
    <s v="In-store"/>
    <x v="1"/>
    <n v="30.000000000000004"/>
    <n v="125"/>
    <n v="3750.0000000000005"/>
    <n v="1875.0000000000005"/>
  </r>
  <r>
    <x v="3"/>
    <n v="1185732"/>
    <x v="60"/>
    <x v="3"/>
    <s v="North Carolina"/>
    <s v="Charlotte"/>
    <s v="Online"/>
    <x v="2"/>
    <n v="30"/>
    <n v="625"/>
    <n v="18750"/>
    <n v="9375"/>
  </r>
  <r>
    <x v="1"/>
    <n v="1189833"/>
    <x v="60"/>
    <x v="1"/>
    <s v="Montana"/>
    <s v="Billings"/>
    <s v="Outlet"/>
    <x v="1"/>
    <n v="54.999999999999993"/>
    <n v="375"/>
    <n v="20624.999999999996"/>
    <n v="8249.9999999999964"/>
  </r>
  <r>
    <x v="0"/>
    <n v="1185732"/>
    <x v="60"/>
    <x v="1"/>
    <s v="Wisconsin"/>
    <s v="Milwaukee"/>
    <s v="Online"/>
    <x v="4"/>
    <n v="19"/>
    <n v="141"/>
    <n v="2679"/>
    <n v="1580.6100000000001"/>
  </r>
  <r>
    <x v="0"/>
    <n v="1185732"/>
    <x v="60"/>
    <x v="1"/>
    <s v="Wisconsin"/>
    <s v="Milwaukee"/>
    <s v="Online"/>
    <x v="5"/>
    <n v="14"/>
    <n v="20"/>
    <n v="280"/>
    <n v="165.2"/>
  </r>
  <r>
    <x v="0"/>
    <n v="1185732"/>
    <x v="60"/>
    <x v="1"/>
    <s v="Wisconsin"/>
    <s v="Milwaukee"/>
    <s v="Online"/>
    <x v="3"/>
    <n v="9"/>
    <n v="59"/>
    <n v="531"/>
    <n v="297.36"/>
  </r>
  <r>
    <x v="3"/>
    <n v="1185732"/>
    <x v="60"/>
    <x v="3"/>
    <s v="North Carolina"/>
    <s v="Charlotte"/>
    <s v="Online"/>
    <x v="1"/>
    <n v="37"/>
    <n v="158"/>
    <n v="5846"/>
    <n v="3215.3"/>
  </r>
  <r>
    <x v="3"/>
    <n v="1185732"/>
    <x v="60"/>
    <x v="3"/>
    <s v="North Carolina"/>
    <s v="Charlotte"/>
    <s v="Online"/>
    <x v="0"/>
    <n v="29"/>
    <n v="150"/>
    <n v="4350"/>
    <n v="2392.5"/>
  </r>
  <r>
    <x v="0"/>
    <n v="1185732"/>
    <x v="60"/>
    <x v="1"/>
    <s v="Wisconsin"/>
    <s v="Milwaukee"/>
    <s v="Online"/>
    <x v="0"/>
    <n v="19"/>
    <n v="44"/>
    <n v="836"/>
    <n v="418"/>
  </r>
  <r>
    <x v="3"/>
    <n v="1185732"/>
    <x v="60"/>
    <x v="3"/>
    <s v="North Carolina"/>
    <s v="Charlotte"/>
    <s v="Online"/>
    <x v="3"/>
    <n v="19"/>
    <n v="181"/>
    <n v="3439"/>
    <n v="1650.72"/>
  </r>
  <r>
    <x v="3"/>
    <n v="1185732"/>
    <x v="60"/>
    <x v="3"/>
    <s v="North Carolina"/>
    <s v="Charlotte"/>
    <s v="Online"/>
    <x v="4"/>
    <n v="28"/>
    <n v="276"/>
    <n v="7728"/>
    <n v="3554.88"/>
  </r>
  <r>
    <x v="3"/>
    <n v="1185732"/>
    <x v="60"/>
    <x v="3"/>
    <s v="North Carolina"/>
    <s v="Charlotte"/>
    <s v="Online"/>
    <x v="5"/>
    <n v="25"/>
    <n v="124"/>
    <n v="3100"/>
    <n v="1426"/>
  </r>
  <r>
    <x v="0"/>
    <n v="1185732"/>
    <x v="60"/>
    <x v="1"/>
    <s v="Wisconsin"/>
    <s v="Milwaukee"/>
    <s v="Online"/>
    <x v="2"/>
    <n v="18"/>
    <n v="63"/>
    <n v="1134"/>
    <n v="521.64"/>
  </r>
  <r>
    <x v="0"/>
    <n v="1185732"/>
    <x v="60"/>
    <x v="1"/>
    <s v="Wisconsin"/>
    <s v="Milwaukee"/>
    <s v="Online"/>
    <x v="1"/>
    <n v="29"/>
    <n v="34"/>
    <n v="986"/>
    <n v="384.53999999999996"/>
  </r>
  <r>
    <x v="3"/>
    <n v="1185732"/>
    <x v="60"/>
    <x v="3"/>
    <s v="North Carolina"/>
    <s v="Charlotte"/>
    <s v="Online"/>
    <x v="2"/>
    <n v="27"/>
    <n v="169"/>
    <n v="4563"/>
    <n v="1733.94"/>
  </r>
  <r>
    <x v="1"/>
    <n v="1189833"/>
    <x v="60"/>
    <x v="1"/>
    <s v="Montana"/>
    <s v="Billings"/>
    <s v="Online"/>
    <x v="1"/>
    <n v="51"/>
    <n v="113"/>
    <n v="5763"/>
    <n v="1498.3799999999992"/>
  </r>
  <r>
    <x v="1"/>
    <n v="1189833"/>
    <x v="61"/>
    <x v="1"/>
    <s v="Montana"/>
    <s v="Billings"/>
    <s v="Outlet"/>
    <x v="2"/>
    <n v="60"/>
    <n v="475"/>
    <n v="28500"/>
    <n v="21375"/>
  </r>
  <r>
    <x v="3"/>
    <n v="1185732"/>
    <x v="61"/>
    <x v="4"/>
    <s v="Connecticut"/>
    <s v="Hartford"/>
    <s v="In-store"/>
    <x v="3"/>
    <n v="30.000000000000004"/>
    <n v="250"/>
    <n v="7500.0000000000009"/>
    <n v="5250.0000000000018"/>
  </r>
  <r>
    <x v="3"/>
    <n v="1185732"/>
    <x v="61"/>
    <x v="4"/>
    <s v="Connecticut"/>
    <s v="Hartford"/>
    <s v="In-store"/>
    <x v="5"/>
    <n v="35"/>
    <n v="100"/>
    <n v="3500"/>
    <n v="2450"/>
  </r>
  <r>
    <x v="3"/>
    <n v="1185732"/>
    <x v="61"/>
    <x v="4"/>
    <s v="Connecticut"/>
    <s v="Hartford"/>
    <s v="In-store"/>
    <x v="1"/>
    <n v="50"/>
    <n v="150"/>
    <n v="7500"/>
    <n v="5250"/>
  </r>
  <r>
    <x v="3"/>
    <n v="1185732"/>
    <x v="61"/>
    <x v="4"/>
    <s v="Connecticut"/>
    <s v="Hartford"/>
    <s v="In-store"/>
    <x v="2"/>
    <n v="40"/>
    <n v="250"/>
    <n v="10000"/>
    <n v="6500"/>
  </r>
  <r>
    <x v="3"/>
    <n v="1185732"/>
    <x v="61"/>
    <x v="4"/>
    <s v="Connecticut"/>
    <s v="Hartford"/>
    <s v="In-store"/>
    <x v="4"/>
    <n v="40"/>
    <n v="520"/>
    <n v="20800"/>
    <n v="12480"/>
  </r>
  <r>
    <x v="3"/>
    <n v="1185732"/>
    <x v="61"/>
    <x v="4"/>
    <s v="Connecticut"/>
    <s v="Hartford"/>
    <s v="In-store"/>
    <x v="0"/>
    <n v="40"/>
    <n v="225"/>
    <n v="9000"/>
    <n v="5400"/>
  </r>
  <r>
    <x v="3"/>
    <n v="1185732"/>
    <x v="61"/>
    <x v="4"/>
    <s v="Connecticut"/>
    <s v="Hartford"/>
    <s v="Outlet"/>
    <x v="3"/>
    <n v="23"/>
    <n v="75"/>
    <n v="1725"/>
    <n v="1173"/>
  </r>
  <r>
    <x v="3"/>
    <n v="1185732"/>
    <x v="61"/>
    <x v="4"/>
    <s v="Connecticut"/>
    <s v="Hartford"/>
    <s v="Outlet"/>
    <x v="5"/>
    <n v="27"/>
    <n v="34"/>
    <n v="918"/>
    <n v="624.24"/>
  </r>
  <r>
    <x v="3"/>
    <n v="1185732"/>
    <x v="61"/>
    <x v="4"/>
    <s v="Connecticut"/>
    <s v="Hartford"/>
    <s v="Outlet"/>
    <x v="1"/>
    <n v="39"/>
    <n v="53"/>
    <n v="2067"/>
    <n v="1364.22"/>
  </r>
  <r>
    <x v="1"/>
    <n v="1189833"/>
    <x v="61"/>
    <x v="1"/>
    <s v="Montana"/>
    <s v="Billings"/>
    <s v="Online"/>
    <x v="2"/>
    <n v="56"/>
    <n v="133"/>
    <n v="7448"/>
    <n v="4617.76"/>
  </r>
  <r>
    <x v="3"/>
    <n v="1185732"/>
    <x v="61"/>
    <x v="4"/>
    <s v="Connecticut"/>
    <s v="Hartford"/>
    <s v="Outlet"/>
    <x v="2"/>
    <n v="29"/>
    <n v="85"/>
    <n v="2465"/>
    <n v="1503.65"/>
  </r>
  <r>
    <x v="3"/>
    <n v="1185732"/>
    <x v="61"/>
    <x v="4"/>
    <s v="Connecticut"/>
    <s v="Hartford"/>
    <s v="Online"/>
    <x v="1"/>
    <n v="48"/>
    <n v="39"/>
    <n v="1872"/>
    <n v="1123.1999999999998"/>
  </r>
  <r>
    <x v="3"/>
    <n v="1185732"/>
    <x v="61"/>
    <x v="4"/>
    <s v="Connecticut"/>
    <s v="Hartford"/>
    <s v="Online"/>
    <x v="5"/>
    <n v="32"/>
    <n v="30"/>
    <n v="960"/>
    <n v="556.79999999999995"/>
  </r>
  <r>
    <x v="3"/>
    <n v="1185732"/>
    <x v="61"/>
    <x v="4"/>
    <s v="Connecticut"/>
    <s v="Hartford"/>
    <s v="Outlet"/>
    <x v="4"/>
    <n v="26"/>
    <n v="182"/>
    <n v="4732"/>
    <n v="2697.24"/>
  </r>
  <r>
    <x v="3"/>
    <n v="1185732"/>
    <x v="61"/>
    <x v="4"/>
    <s v="Connecticut"/>
    <s v="Hartford"/>
    <s v="Online"/>
    <x v="3"/>
    <n v="29"/>
    <n v="68"/>
    <n v="1972"/>
    <n v="1084.6000000000001"/>
  </r>
  <r>
    <x v="3"/>
    <n v="1185732"/>
    <x v="61"/>
    <x v="4"/>
    <s v="Connecticut"/>
    <s v="Hartford"/>
    <s v="Outlet"/>
    <x v="0"/>
    <n v="32"/>
    <n v="68"/>
    <n v="2176"/>
    <n v="1196.8"/>
  </r>
  <r>
    <x v="3"/>
    <n v="1185732"/>
    <x v="61"/>
    <x v="4"/>
    <s v="Connecticut"/>
    <s v="Hartford"/>
    <s v="Online"/>
    <x v="2"/>
    <n v="38"/>
    <n v="73"/>
    <n v="2774"/>
    <n v="1414.74"/>
  </r>
  <r>
    <x v="3"/>
    <n v="1185732"/>
    <x v="61"/>
    <x v="4"/>
    <s v="Connecticut"/>
    <s v="Hartford"/>
    <s v="Online"/>
    <x v="4"/>
    <n v="39"/>
    <n v="130"/>
    <n v="5070"/>
    <n v="2535"/>
  </r>
  <r>
    <x v="3"/>
    <n v="1185732"/>
    <x v="61"/>
    <x v="4"/>
    <s v="Connecticut"/>
    <s v="Hartford"/>
    <s v="Online"/>
    <x v="0"/>
    <n v="38"/>
    <n v="56"/>
    <n v="2128"/>
    <n v="978.87999999999988"/>
  </r>
  <r>
    <x v="1"/>
    <n v="1189833"/>
    <x v="62"/>
    <x v="1"/>
    <s v="Montana"/>
    <s v="Billings"/>
    <s v="Outlet"/>
    <x v="4"/>
    <n v="45"/>
    <n v="675"/>
    <n v="30375"/>
    <n v="16706.25"/>
  </r>
  <r>
    <x v="1"/>
    <n v="1189833"/>
    <x v="62"/>
    <x v="1"/>
    <s v="Montana"/>
    <s v="Billings"/>
    <s v="Online"/>
    <x v="4"/>
    <n v="41"/>
    <n v="196"/>
    <n v="8036"/>
    <n v="3535.8399999999992"/>
  </r>
  <r>
    <x v="2"/>
    <n v="1185732"/>
    <x v="63"/>
    <x v="3"/>
    <s v="South Carolina"/>
    <s v="Charleston"/>
    <s v="Online"/>
    <x v="3"/>
    <n v="25"/>
    <n v="725"/>
    <n v="18125"/>
    <n v="13593.75"/>
  </r>
  <r>
    <x v="1"/>
    <n v="1189833"/>
    <x v="63"/>
    <x v="1"/>
    <s v="Montana"/>
    <s v="Billings"/>
    <s v="Outlet"/>
    <x v="0"/>
    <n v="50"/>
    <n v="675"/>
    <n v="33750"/>
    <n v="23625"/>
  </r>
  <r>
    <x v="2"/>
    <n v="1185732"/>
    <x v="63"/>
    <x v="3"/>
    <s v="South Carolina"/>
    <s v="Charleston"/>
    <s v="Online"/>
    <x v="5"/>
    <n v="29.999999999999993"/>
    <n v="575"/>
    <n v="17249.999999999996"/>
    <n v="12074.999999999996"/>
  </r>
  <r>
    <x v="2"/>
    <n v="1185732"/>
    <x v="63"/>
    <x v="1"/>
    <s v="Iowa"/>
    <s v="Des Moines"/>
    <s v="In-store"/>
    <x v="4"/>
    <n v="20.000000000000004"/>
    <n v="470"/>
    <n v="9400.0000000000018"/>
    <n v="6580.0000000000018"/>
  </r>
  <r>
    <x v="2"/>
    <n v="1185732"/>
    <x v="63"/>
    <x v="1"/>
    <s v="Iowa"/>
    <s v="Des Moines"/>
    <s v="In-store"/>
    <x v="3"/>
    <n v="10.000000000000004"/>
    <n v="225"/>
    <n v="2250.0000000000009"/>
    <n v="1575.0000000000005"/>
  </r>
  <r>
    <x v="2"/>
    <n v="1185732"/>
    <x v="63"/>
    <x v="1"/>
    <s v="Iowa"/>
    <s v="Des Moines"/>
    <s v="In-store"/>
    <x v="5"/>
    <n v="14.999999999999996"/>
    <n v="100"/>
    <n v="1499.9999999999995"/>
    <n v="1049.9999999999995"/>
  </r>
  <r>
    <x v="2"/>
    <n v="1185732"/>
    <x v="63"/>
    <x v="3"/>
    <s v="South Carolina"/>
    <s v="Charleston"/>
    <s v="Online"/>
    <x v="1"/>
    <n v="45.000000000000007"/>
    <n v="625"/>
    <n v="28125.000000000004"/>
    <n v="18281.250000000007"/>
  </r>
  <r>
    <x v="2"/>
    <n v="1185732"/>
    <x v="63"/>
    <x v="1"/>
    <s v="Iowa"/>
    <s v="Des Moines"/>
    <s v="In-store"/>
    <x v="0"/>
    <n v="20.000000000000004"/>
    <n v="175"/>
    <n v="3500.0000000000005"/>
    <n v="2275.0000000000009"/>
  </r>
  <r>
    <x v="2"/>
    <n v="1185732"/>
    <x v="63"/>
    <x v="3"/>
    <s v="South Carolina"/>
    <s v="Charleston"/>
    <s v="Online"/>
    <x v="0"/>
    <n v="35"/>
    <n v="700"/>
    <n v="24500"/>
    <n v="15925"/>
  </r>
  <r>
    <x v="2"/>
    <n v="1185732"/>
    <x v="63"/>
    <x v="1"/>
    <s v="Iowa"/>
    <s v="Des Moines"/>
    <s v="In-store"/>
    <x v="2"/>
    <n v="20.000000000000004"/>
    <n v="250"/>
    <n v="5000.0000000000009"/>
    <n v="3000.0000000000005"/>
  </r>
  <r>
    <x v="2"/>
    <n v="1185732"/>
    <x v="63"/>
    <x v="3"/>
    <s v="South Carolina"/>
    <s v="Charleston"/>
    <s v="Online"/>
    <x v="4"/>
    <n v="35"/>
    <n v="1020"/>
    <n v="35700"/>
    <n v="19635"/>
  </r>
  <r>
    <x v="2"/>
    <n v="1185732"/>
    <x v="63"/>
    <x v="3"/>
    <s v="South Carolina"/>
    <s v="Charleston"/>
    <s v="Online"/>
    <x v="2"/>
    <n v="35"/>
    <n v="725"/>
    <n v="25375"/>
    <n v="12687.5"/>
  </r>
  <r>
    <x v="2"/>
    <n v="1185732"/>
    <x v="63"/>
    <x v="1"/>
    <s v="Iowa"/>
    <s v="Des Moines"/>
    <s v="In-store"/>
    <x v="1"/>
    <n v="30.000000000000004"/>
    <n v="150"/>
    <n v="4500.0000000000009"/>
    <n v="2250.0000000000005"/>
  </r>
  <r>
    <x v="2"/>
    <n v="1185732"/>
    <x v="63"/>
    <x v="3"/>
    <s v="South Carolina"/>
    <s v="Charleston"/>
    <s v="Online"/>
    <x v="3"/>
    <n v="24"/>
    <n v="181"/>
    <n v="4344"/>
    <n v="2693.2799999999997"/>
  </r>
  <r>
    <x v="2"/>
    <n v="1185732"/>
    <x v="63"/>
    <x v="1"/>
    <s v="Iowa"/>
    <s v="Des Moines"/>
    <s v="Online"/>
    <x v="3"/>
    <n v="9"/>
    <n v="65"/>
    <n v="585"/>
    <n v="351"/>
  </r>
  <r>
    <x v="2"/>
    <n v="1185732"/>
    <x v="63"/>
    <x v="1"/>
    <s v="Iowa"/>
    <s v="Des Moines"/>
    <s v="Online"/>
    <x v="4"/>
    <n v="19"/>
    <n v="136"/>
    <n v="2584"/>
    <n v="1550.3999999999999"/>
  </r>
  <r>
    <x v="2"/>
    <n v="1185732"/>
    <x v="63"/>
    <x v="3"/>
    <s v="South Carolina"/>
    <s v="Charleston"/>
    <s v="Online"/>
    <x v="5"/>
    <n v="27"/>
    <n v="144"/>
    <n v="3888"/>
    <n v="2255.04"/>
  </r>
  <r>
    <x v="2"/>
    <n v="1185732"/>
    <x v="63"/>
    <x v="1"/>
    <s v="Iowa"/>
    <s v="Des Moines"/>
    <s v="Online"/>
    <x v="5"/>
    <n v="14"/>
    <n v="28"/>
    <n v="392"/>
    <n v="227.36"/>
  </r>
  <r>
    <x v="1"/>
    <n v="1189833"/>
    <x v="63"/>
    <x v="1"/>
    <s v="Montana"/>
    <s v="Billings"/>
    <s v="Online"/>
    <x v="0"/>
    <n v="45"/>
    <n v="182"/>
    <n v="8190"/>
    <n v="4668.3"/>
  </r>
  <r>
    <x v="2"/>
    <n v="1185732"/>
    <x v="63"/>
    <x v="1"/>
    <s v="Iowa"/>
    <s v="Des Moines"/>
    <s v="Online"/>
    <x v="0"/>
    <n v="19"/>
    <n v="47"/>
    <n v="893"/>
    <n v="491.15000000000003"/>
  </r>
  <r>
    <x v="2"/>
    <n v="1185732"/>
    <x v="63"/>
    <x v="3"/>
    <s v="South Carolina"/>
    <s v="Charleston"/>
    <s v="Online"/>
    <x v="1"/>
    <n v="41"/>
    <n v="181"/>
    <n v="7421"/>
    <n v="3858.92"/>
  </r>
  <r>
    <x v="2"/>
    <n v="1185732"/>
    <x v="63"/>
    <x v="3"/>
    <s v="South Carolina"/>
    <s v="Charleston"/>
    <s v="Online"/>
    <x v="0"/>
    <n v="32"/>
    <n v="210"/>
    <n v="6720"/>
    <n v="3427.2000000000003"/>
  </r>
  <r>
    <x v="2"/>
    <n v="1185732"/>
    <x v="63"/>
    <x v="1"/>
    <s v="Iowa"/>
    <s v="Des Moines"/>
    <s v="Online"/>
    <x v="2"/>
    <n v="20"/>
    <n v="68"/>
    <n v="1360"/>
    <n v="639.19999999999993"/>
  </r>
  <r>
    <x v="2"/>
    <n v="1185732"/>
    <x v="63"/>
    <x v="3"/>
    <s v="South Carolina"/>
    <s v="Charleston"/>
    <s v="Online"/>
    <x v="4"/>
    <n v="33"/>
    <n v="265"/>
    <n v="8745"/>
    <n v="3672.8999999999996"/>
  </r>
  <r>
    <x v="2"/>
    <n v="1185732"/>
    <x v="63"/>
    <x v="3"/>
    <s v="South Carolina"/>
    <s v="Charleston"/>
    <s v="Online"/>
    <x v="2"/>
    <n v="32"/>
    <n v="189"/>
    <n v="6048"/>
    <n v="2237.7599999999998"/>
  </r>
  <r>
    <x v="2"/>
    <n v="1185732"/>
    <x v="63"/>
    <x v="1"/>
    <s v="Iowa"/>
    <s v="Des Moines"/>
    <s v="Online"/>
    <x v="1"/>
    <n v="28"/>
    <n v="39"/>
    <n v="1092"/>
    <n v="393.12"/>
  </r>
  <r>
    <x v="0"/>
    <n v="1197831"/>
    <x v="64"/>
    <x v="0"/>
    <s v="Idaho"/>
    <s v="Boise"/>
    <s v="Online"/>
    <x v="1"/>
    <n v="40"/>
    <n v="250"/>
    <n v="10000"/>
    <n v="7000"/>
  </r>
  <r>
    <x v="1"/>
    <n v="1185732"/>
    <x v="64"/>
    <x v="4"/>
    <s v="New Jersey"/>
    <s v="Newark"/>
    <s v="In-store"/>
    <x v="1"/>
    <n v="45"/>
    <n v="125"/>
    <n v="5625"/>
    <n v="3937.5"/>
  </r>
  <r>
    <x v="2"/>
    <n v="1185732"/>
    <x v="64"/>
    <x v="4"/>
    <s v="Rhode Island"/>
    <s v="Providence"/>
    <s v="In-store"/>
    <x v="1"/>
    <n v="45"/>
    <n v="75"/>
    <n v="3375"/>
    <n v="2362.5"/>
  </r>
  <r>
    <x v="2"/>
    <n v="1197831"/>
    <x v="64"/>
    <x v="0"/>
    <s v="Idaho"/>
    <s v="Boise"/>
    <s v="Online"/>
    <x v="4"/>
    <n v="30"/>
    <n v="625"/>
    <n v="18750"/>
    <n v="12187.5"/>
  </r>
  <r>
    <x v="2"/>
    <n v="1197831"/>
    <x v="64"/>
    <x v="0"/>
    <s v="Idaho"/>
    <s v="Boise"/>
    <s v="Online"/>
    <x v="0"/>
    <n v="40"/>
    <n v="625"/>
    <n v="25000"/>
    <n v="16250"/>
  </r>
  <r>
    <x v="2"/>
    <n v="1197831"/>
    <x v="64"/>
    <x v="0"/>
    <s v="Idaho"/>
    <s v="Boise"/>
    <s v="Online"/>
    <x v="3"/>
    <n v="30"/>
    <n v="450"/>
    <n v="13500"/>
    <n v="8775"/>
  </r>
  <r>
    <x v="1"/>
    <n v="1185732"/>
    <x v="64"/>
    <x v="4"/>
    <s v="New Jersey"/>
    <s v="Newark"/>
    <s v="In-store"/>
    <x v="4"/>
    <n v="35"/>
    <n v="495"/>
    <n v="17325"/>
    <n v="11261.25"/>
  </r>
  <r>
    <x v="1"/>
    <n v="1185732"/>
    <x v="64"/>
    <x v="4"/>
    <s v="New Jersey"/>
    <s v="Newark"/>
    <s v="In-store"/>
    <x v="0"/>
    <n v="35"/>
    <n v="200"/>
    <n v="7000"/>
    <n v="4550"/>
  </r>
  <r>
    <x v="2"/>
    <n v="1185732"/>
    <x v="64"/>
    <x v="4"/>
    <s v="Rhode Island"/>
    <s v="Providence"/>
    <s v="In-store"/>
    <x v="4"/>
    <n v="35"/>
    <n v="445"/>
    <n v="15575"/>
    <n v="10123.75"/>
  </r>
  <r>
    <x v="2"/>
    <n v="1185732"/>
    <x v="64"/>
    <x v="4"/>
    <s v="Rhode Island"/>
    <s v="Providence"/>
    <s v="In-store"/>
    <x v="0"/>
    <n v="35"/>
    <n v="150"/>
    <n v="5250"/>
    <n v="3412.5"/>
  </r>
  <r>
    <x v="2"/>
    <n v="1185732"/>
    <x v="64"/>
    <x v="4"/>
    <s v="Rhode Island"/>
    <s v="Providence"/>
    <s v="In-store"/>
    <x v="3"/>
    <n v="25.000000000000007"/>
    <n v="175"/>
    <n v="4375.0000000000009"/>
    <n v="2625.0000000000009"/>
  </r>
  <r>
    <x v="1"/>
    <n v="1185732"/>
    <x v="64"/>
    <x v="4"/>
    <s v="New Jersey"/>
    <s v="Newark"/>
    <s v="In-store"/>
    <x v="3"/>
    <n v="25.000000000000007"/>
    <n v="225"/>
    <n v="5625.0000000000018"/>
    <n v="3375.0000000000009"/>
  </r>
  <r>
    <x v="1"/>
    <n v="1185732"/>
    <x v="64"/>
    <x v="4"/>
    <s v="New Jersey"/>
    <s v="Newark"/>
    <s v="In-store"/>
    <x v="5"/>
    <n v="30"/>
    <n v="75"/>
    <n v="2250"/>
    <n v="1350"/>
  </r>
  <r>
    <x v="1"/>
    <n v="1185732"/>
    <x v="64"/>
    <x v="4"/>
    <s v="New Jersey"/>
    <s v="Newark"/>
    <s v="In-store"/>
    <x v="2"/>
    <n v="35"/>
    <n v="225"/>
    <n v="7875"/>
    <n v="4725"/>
  </r>
  <r>
    <x v="2"/>
    <n v="1185732"/>
    <x v="64"/>
    <x v="4"/>
    <s v="Rhode Island"/>
    <s v="Providence"/>
    <s v="In-store"/>
    <x v="5"/>
    <n v="30"/>
    <n v="25"/>
    <n v="750"/>
    <n v="450"/>
  </r>
  <r>
    <x v="2"/>
    <n v="1185732"/>
    <x v="64"/>
    <x v="4"/>
    <s v="Rhode Island"/>
    <s v="Providence"/>
    <s v="In-store"/>
    <x v="2"/>
    <n v="35"/>
    <n v="175"/>
    <n v="6125"/>
    <n v="3675"/>
  </r>
  <r>
    <x v="1"/>
    <n v="1189833"/>
    <x v="64"/>
    <x v="1"/>
    <s v="Montana"/>
    <s v="Billings"/>
    <s v="Outlet"/>
    <x v="3"/>
    <n v="45"/>
    <n v="475"/>
    <n v="21375"/>
    <n v="11756.25"/>
  </r>
  <r>
    <x v="2"/>
    <n v="1197831"/>
    <x v="64"/>
    <x v="0"/>
    <s v="Idaho"/>
    <s v="Boise"/>
    <s v="Online"/>
    <x v="5"/>
    <n v="35"/>
    <n v="350"/>
    <n v="12250"/>
    <n v="6737.5"/>
  </r>
  <r>
    <x v="0"/>
    <n v="1197831"/>
    <x v="64"/>
    <x v="0"/>
    <s v="Idaho"/>
    <s v="Boise"/>
    <s v="Online"/>
    <x v="2"/>
    <n v="35"/>
    <n v="400"/>
    <n v="14000"/>
    <n v="7000"/>
  </r>
  <r>
    <x v="0"/>
    <n v="1197831"/>
    <x v="64"/>
    <x v="0"/>
    <s v="Idaho"/>
    <s v="Boise"/>
    <s v="Outlet"/>
    <x v="1"/>
    <n v="32"/>
    <n v="88"/>
    <n v="2816"/>
    <n v="1830.4"/>
  </r>
  <r>
    <x v="2"/>
    <n v="1185732"/>
    <x v="64"/>
    <x v="4"/>
    <s v="Rhode Island"/>
    <s v="Providence"/>
    <s v="Outlet"/>
    <x v="1"/>
    <n v="33"/>
    <n v="25"/>
    <n v="825"/>
    <n v="528"/>
  </r>
  <r>
    <x v="2"/>
    <n v="1197831"/>
    <x v="64"/>
    <x v="0"/>
    <s v="Idaho"/>
    <s v="Boise"/>
    <s v="Outlet"/>
    <x v="4"/>
    <n v="21"/>
    <n v="200"/>
    <n v="4200"/>
    <n v="2646"/>
  </r>
  <r>
    <x v="2"/>
    <n v="1185732"/>
    <x v="64"/>
    <x v="4"/>
    <s v="Rhode Island"/>
    <s v="Providence"/>
    <s v="Outlet"/>
    <x v="4"/>
    <n v="26"/>
    <n v="156"/>
    <n v="4056"/>
    <n v="2555.2799999999997"/>
  </r>
  <r>
    <x v="2"/>
    <n v="1197831"/>
    <x v="64"/>
    <x v="0"/>
    <s v="Idaho"/>
    <s v="Boise"/>
    <s v="Outlet"/>
    <x v="3"/>
    <n v="20"/>
    <n v="135"/>
    <n v="2700"/>
    <n v="1674"/>
  </r>
  <r>
    <x v="2"/>
    <n v="1185732"/>
    <x v="64"/>
    <x v="4"/>
    <s v="Rhode Island"/>
    <s v="Providence"/>
    <s v="Outlet"/>
    <x v="0"/>
    <n v="27"/>
    <n v="45"/>
    <n v="1215"/>
    <n v="741.15000000000009"/>
  </r>
  <r>
    <x v="2"/>
    <n v="1197831"/>
    <x v="64"/>
    <x v="0"/>
    <s v="Idaho"/>
    <s v="Boise"/>
    <s v="Outlet"/>
    <x v="0"/>
    <n v="27"/>
    <n v="188"/>
    <n v="5076"/>
    <n v="3096.36"/>
  </r>
  <r>
    <x v="2"/>
    <n v="1185732"/>
    <x v="64"/>
    <x v="4"/>
    <s v="Rhode Island"/>
    <s v="Providence"/>
    <s v="Outlet"/>
    <x v="2"/>
    <n v="25"/>
    <n v="58"/>
    <n v="1450"/>
    <n v="812"/>
  </r>
  <r>
    <x v="0"/>
    <n v="1197831"/>
    <x v="64"/>
    <x v="0"/>
    <s v="Idaho"/>
    <s v="Boise"/>
    <s v="Online"/>
    <x v="1"/>
    <n v="37"/>
    <n v="75"/>
    <n v="2775"/>
    <n v="1526.2500000000002"/>
  </r>
  <r>
    <x v="2"/>
    <n v="1197831"/>
    <x v="64"/>
    <x v="0"/>
    <s v="Idaho"/>
    <s v="Boise"/>
    <s v="Online"/>
    <x v="4"/>
    <n v="28"/>
    <n v="156"/>
    <n v="4368"/>
    <n v="2402.4"/>
  </r>
  <r>
    <x v="2"/>
    <n v="1185732"/>
    <x v="64"/>
    <x v="4"/>
    <s v="Rhode Island"/>
    <s v="Providence"/>
    <s v="Online"/>
    <x v="0"/>
    <n v="34"/>
    <n v="44"/>
    <n v="1496"/>
    <n v="822.80000000000007"/>
  </r>
  <r>
    <x v="2"/>
    <n v="1185732"/>
    <x v="64"/>
    <x v="4"/>
    <s v="Rhode Island"/>
    <s v="Providence"/>
    <s v="Online"/>
    <x v="1"/>
    <n v="44"/>
    <n v="20"/>
    <n v="880"/>
    <n v="484.00000000000006"/>
  </r>
  <r>
    <x v="1"/>
    <n v="1185732"/>
    <x v="64"/>
    <x v="4"/>
    <s v="New Jersey"/>
    <s v="Newark"/>
    <s v="Online"/>
    <x v="1"/>
    <n v="43"/>
    <n v="34"/>
    <n v="1462"/>
    <n v="804.1"/>
  </r>
  <r>
    <x v="2"/>
    <n v="1197831"/>
    <x v="64"/>
    <x v="0"/>
    <s v="Idaho"/>
    <s v="Boise"/>
    <s v="Online"/>
    <x v="0"/>
    <n v="36"/>
    <n v="169"/>
    <n v="6084"/>
    <n v="3285.36"/>
  </r>
  <r>
    <x v="1"/>
    <n v="1185732"/>
    <x v="64"/>
    <x v="4"/>
    <s v="New Jersey"/>
    <s v="Newark"/>
    <s v="Online"/>
    <x v="4"/>
    <n v="32"/>
    <n v="144"/>
    <n v="4608"/>
    <n v="2488.3200000000002"/>
  </r>
  <r>
    <x v="2"/>
    <n v="1197831"/>
    <x v="64"/>
    <x v="0"/>
    <s v="Idaho"/>
    <s v="Boise"/>
    <s v="Outlet"/>
    <x v="5"/>
    <n v="26"/>
    <n v="112"/>
    <n v="2912"/>
    <n v="1543.36"/>
  </r>
  <r>
    <x v="2"/>
    <n v="1185732"/>
    <x v="64"/>
    <x v="4"/>
    <s v="Rhode Island"/>
    <s v="Providence"/>
    <s v="Outlet"/>
    <x v="5"/>
    <n v="20"/>
    <n v="8"/>
    <n v="160"/>
    <n v="84.8"/>
  </r>
  <r>
    <x v="2"/>
    <n v="1185732"/>
    <x v="64"/>
    <x v="4"/>
    <s v="Rhode Island"/>
    <s v="Providence"/>
    <s v="Outlet"/>
    <x v="3"/>
    <n v="17"/>
    <n v="56"/>
    <n v="952"/>
    <n v="504.55999999999995"/>
  </r>
  <r>
    <x v="2"/>
    <n v="1197831"/>
    <x v="64"/>
    <x v="0"/>
    <s v="Idaho"/>
    <s v="Boise"/>
    <s v="Online"/>
    <x v="3"/>
    <n v="28"/>
    <n v="113"/>
    <n v="3164"/>
    <n v="1613.64"/>
  </r>
  <r>
    <x v="1"/>
    <n v="1185732"/>
    <x v="64"/>
    <x v="4"/>
    <s v="New Jersey"/>
    <s v="Newark"/>
    <s v="Online"/>
    <x v="0"/>
    <n v="32"/>
    <n v="58"/>
    <n v="1856"/>
    <n v="946.56000000000006"/>
  </r>
  <r>
    <x v="1"/>
    <n v="1185732"/>
    <x v="64"/>
    <x v="4"/>
    <s v="New Jersey"/>
    <s v="Newark"/>
    <s v="Online"/>
    <x v="2"/>
    <n v="32"/>
    <n v="61"/>
    <n v="1952"/>
    <n v="976"/>
  </r>
  <r>
    <x v="2"/>
    <n v="1185732"/>
    <x v="64"/>
    <x v="4"/>
    <s v="Rhode Island"/>
    <s v="Providence"/>
    <s v="Online"/>
    <x v="4"/>
    <n v="34"/>
    <n v="111"/>
    <n v="3774"/>
    <n v="1887"/>
  </r>
  <r>
    <x v="2"/>
    <n v="1185732"/>
    <x v="64"/>
    <x v="4"/>
    <s v="Rhode Island"/>
    <s v="Providence"/>
    <s v="Online"/>
    <x v="5"/>
    <n v="29"/>
    <n v="8"/>
    <n v="232"/>
    <n v="116"/>
  </r>
  <r>
    <x v="1"/>
    <n v="1185732"/>
    <x v="64"/>
    <x v="4"/>
    <s v="New Jersey"/>
    <s v="Newark"/>
    <s v="Online"/>
    <x v="5"/>
    <n v="27"/>
    <n v="22"/>
    <n v="594"/>
    <n v="285.12"/>
  </r>
  <r>
    <x v="2"/>
    <n v="1185732"/>
    <x v="64"/>
    <x v="4"/>
    <s v="Rhode Island"/>
    <s v="Providence"/>
    <s v="Online"/>
    <x v="3"/>
    <n v="23"/>
    <n v="51"/>
    <n v="1173"/>
    <n v="563.04"/>
  </r>
  <r>
    <x v="1"/>
    <n v="1185732"/>
    <x v="64"/>
    <x v="4"/>
    <s v="New Jersey"/>
    <s v="Newark"/>
    <s v="Online"/>
    <x v="3"/>
    <n v="24"/>
    <n v="59"/>
    <n v="1416"/>
    <n v="665.52"/>
  </r>
  <r>
    <x v="0"/>
    <n v="1197831"/>
    <x v="64"/>
    <x v="0"/>
    <s v="Idaho"/>
    <s v="Boise"/>
    <s v="Outlet"/>
    <x v="2"/>
    <n v="25"/>
    <n v="124"/>
    <n v="3100"/>
    <n v="1457"/>
  </r>
  <r>
    <x v="2"/>
    <n v="1185732"/>
    <x v="64"/>
    <x v="4"/>
    <s v="Rhode Island"/>
    <s v="Providence"/>
    <s v="Online"/>
    <x v="2"/>
    <n v="32"/>
    <n v="51"/>
    <n v="1632"/>
    <n v="750.71999999999991"/>
  </r>
  <r>
    <x v="2"/>
    <n v="1197831"/>
    <x v="64"/>
    <x v="0"/>
    <s v="Idaho"/>
    <s v="Boise"/>
    <s v="Online"/>
    <x v="5"/>
    <n v="33"/>
    <n v="105"/>
    <n v="3465"/>
    <n v="1455.2999999999997"/>
  </r>
  <r>
    <x v="1"/>
    <n v="1189833"/>
    <x v="64"/>
    <x v="1"/>
    <s v="Montana"/>
    <s v="Billings"/>
    <s v="Online"/>
    <x v="3"/>
    <n v="42"/>
    <n v="133"/>
    <n v="5586"/>
    <n v="2234.4"/>
  </r>
  <r>
    <x v="0"/>
    <n v="1197831"/>
    <x v="64"/>
    <x v="0"/>
    <s v="Idaho"/>
    <s v="Boise"/>
    <s v="Online"/>
    <x v="2"/>
    <n v="33"/>
    <n v="116"/>
    <n v="3828"/>
    <n v="1339.7999999999997"/>
  </r>
  <r>
    <x v="1"/>
    <n v="1189833"/>
    <x v="65"/>
    <x v="1"/>
    <s v="Montana"/>
    <s v="Billings"/>
    <s v="Outlet"/>
    <x v="5"/>
    <n v="45"/>
    <n v="475"/>
    <n v="21375"/>
    <n v="12825"/>
  </r>
  <r>
    <x v="1"/>
    <n v="1189833"/>
    <x v="65"/>
    <x v="1"/>
    <s v="Montana"/>
    <s v="Billings"/>
    <s v="Online"/>
    <x v="5"/>
    <n v="43"/>
    <n v="143"/>
    <n v="6149"/>
    <n v="3013.0099999999998"/>
  </r>
  <r>
    <x v="0"/>
    <n v="1185732"/>
    <x v="66"/>
    <x v="4"/>
    <s v="New York"/>
    <s v="Albany"/>
    <s v="In-store"/>
    <x v="3"/>
    <n v="35"/>
    <n v="575"/>
    <n v="20125"/>
    <n v="15093.75"/>
  </r>
  <r>
    <x v="0"/>
    <n v="1185732"/>
    <x v="66"/>
    <x v="4"/>
    <s v="New York"/>
    <s v="Albany"/>
    <s v="In-store"/>
    <x v="5"/>
    <n v="40"/>
    <n v="425"/>
    <n v="17000"/>
    <n v="11900"/>
  </r>
  <r>
    <x v="3"/>
    <n v="1185732"/>
    <x v="66"/>
    <x v="1"/>
    <s v="North Dakota"/>
    <s v="Fargo"/>
    <s v="Online"/>
    <x v="0"/>
    <n v="30.000000000000004"/>
    <n v="200"/>
    <n v="6000.0000000000009"/>
    <n v="4200.0000000000009"/>
  </r>
  <r>
    <x v="3"/>
    <n v="1185732"/>
    <x v="66"/>
    <x v="1"/>
    <s v="North Dakota"/>
    <s v="Fargo"/>
    <s v="Online"/>
    <x v="3"/>
    <n v="20.000000000000004"/>
    <n v="225"/>
    <n v="4500.0000000000009"/>
    <n v="3150.0000000000009"/>
  </r>
  <r>
    <x v="3"/>
    <n v="1185732"/>
    <x v="66"/>
    <x v="1"/>
    <s v="North Dakota"/>
    <s v="Fargo"/>
    <s v="Online"/>
    <x v="5"/>
    <n v="24.999999999999996"/>
    <n v="75"/>
    <n v="1874.9999999999998"/>
    <n v="1312.4999999999995"/>
  </r>
  <r>
    <x v="3"/>
    <n v="1185732"/>
    <x v="66"/>
    <x v="1"/>
    <s v="North Dakota"/>
    <s v="Fargo"/>
    <s v="Online"/>
    <x v="4"/>
    <n v="30.000000000000004"/>
    <n v="495"/>
    <n v="14850.000000000002"/>
    <n v="9652.5000000000036"/>
  </r>
  <r>
    <x v="0"/>
    <n v="1185732"/>
    <x v="66"/>
    <x v="4"/>
    <s v="New York"/>
    <s v="Albany"/>
    <s v="In-store"/>
    <x v="0"/>
    <n v="45"/>
    <n v="550"/>
    <n v="24750"/>
    <n v="16087.5"/>
  </r>
  <r>
    <x v="0"/>
    <n v="1185732"/>
    <x v="66"/>
    <x v="4"/>
    <s v="New York"/>
    <s v="Albany"/>
    <s v="In-store"/>
    <x v="1"/>
    <n v="55.000000000000007"/>
    <n v="475"/>
    <n v="26125.000000000004"/>
    <n v="16981.250000000004"/>
  </r>
  <r>
    <x v="3"/>
    <n v="1185732"/>
    <x v="66"/>
    <x v="1"/>
    <s v="North Dakota"/>
    <s v="Fargo"/>
    <s v="Online"/>
    <x v="1"/>
    <n v="40"/>
    <n v="125"/>
    <n v="5000"/>
    <n v="3250"/>
  </r>
  <r>
    <x v="3"/>
    <n v="1185732"/>
    <x v="66"/>
    <x v="1"/>
    <s v="North Dakota"/>
    <s v="Fargo"/>
    <s v="Online"/>
    <x v="2"/>
    <n v="30.000000000000004"/>
    <n v="225"/>
    <n v="6750.0000000000009"/>
    <n v="4050.0000000000009"/>
  </r>
  <r>
    <x v="0"/>
    <n v="1185732"/>
    <x v="66"/>
    <x v="4"/>
    <s v="New York"/>
    <s v="Albany"/>
    <s v="In-store"/>
    <x v="4"/>
    <n v="45"/>
    <n v="870"/>
    <n v="39150"/>
    <n v="21532.5"/>
  </r>
  <r>
    <x v="0"/>
    <n v="1185732"/>
    <x v="66"/>
    <x v="4"/>
    <s v="New York"/>
    <s v="Albany"/>
    <s v="In-store"/>
    <x v="2"/>
    <n v="45"/>
    <n v="575"/>
    <n v="25875"/>
    <n v="12937.5"/>
  </r>
  <r>
    <x v="1"/>
    <n v="1189833"/>
    <x v="66"/>
    <x v="1"/>
    <s v="Montana"/>
    <s v="Billings"/>
    <s v="Outlet"/>
    <x v="1"/>
    <n v="54.999999999999993"/>
    <n v="400"/>
    <n v="21999.999999999996"/>
    <n v="8799.9999999999964"/>
  </r>
  <r>
    <x v="0"/>
    <n v="1185732"/>
    <x v="66"/>
    <x v="4"/>
    <s v="New York"/>
    <s v="Albany"/>
    <s v="Online"/>
    <x v="3"/>
    <n v="33"/>
    <n v="161"/>
    <n v="5313"/>
    <n v="3400.32"/>
  </r>
  <r>
    <x v="0"/>
    <n v="1185732"/>
    <x v="66"/>
    <x v="4"/>
    <s v="New York"/>
    <s v="Albany"/>
    <s v="Online"/>
    <x v="5"/>
    <n v="39"/>
    <n v="106"/>
    <n v="4134"/>
    <n v="2439.0600000000004"/>
  </r>
  <r>
    <x v="3"/>
    <n v="1185732"/>
    <x v="66"/>
    <x v="1"/>
    <s v="North Dakota"/>
    <s v="Fargo"/>
    <s v="Online"/>
    <x v="3"/>
    <n v="19"/>
    <n v="56"/>
    <n v="1064"/>
    <n v="617.12"/>
  </r>
  <r>
    <x v="3"/>
    <n v="1185732"/>
    <x v="66"/>
    <x v="1"/>
    <s v="North Dakota"/>
    <s v="Fargo"/>
    <s v="Online"/>
    <x v="5"/>
    <n v="25"/>
    <n v="22"/>
    <n v="550"/>
    <n v="319"/>
  </r>
  <r>
    <x v="3"/>
    <n v="1185732"/>
    <x v="66"/>
    <x v="1"/>
    <s v="North Dakota"/>
    <s v="Fargo"/>
    <s v="Online"/>
    <x v="0"/>
    <n v="27"/>
    <n v="58"/>
    <n v="1566"/>
    <n v="908.28"/>
  </r>
  <r>
    <x v="0"/>
    <n v="1185732"/>
    <x v="66"/>
    <x v="4"/>
    <s v="New York"/>
    <s v="Albany"/>
    <s v="Online"/>
    <x v="0"/>
    <n v="44"/>
    <n v="165"/>
    <n v="7260"/>
    <n v="3920.4"/>
  </r>
  <r>
    <x v="3"/>
    <n v="1185732"/>
    <x v="66"/>
    <x v="1"/>
    <s v="North Dakota"/>
    <s v="Fargo"/>
    <s v="Online"/>
    <x v="4"/>
    <n v="29"/>
    <n v="134"/>
    <n v="3886"/>
    <n v="2059.58"/>
  </r>
  <r>
    <x v="0"/>
    <n v="1185732"/>
    <x v="66"/>
    <x v="4"/>
    <s v="New York"/>
    <s v="Albany"/>
    <s v="Online"/>
    <x v="1"/>
    <n v="51"/>
    <n v="133"/>
    <n v="6783"/>
    <n v="3459.33"/>
  </r>
  <r>
    <x v="3"/>
    <n v="1185732"/>
    <x v="66"/>
    <x v="1"/>
    <s v="North Dakota"/>
    <s v="Fargo"/>
    <s v="Online"/>
    <x v="1"/>
    <n v="36"/>
    <n v="36"/>
    <n v="1296"/>
    <n v="648"/>
  </r>
  <r>
    <x v="3"/>
    <n v="1185732"/>
    <x v="66"/>
    <x v="1"/>
    <s v="North Dakota"/>
    <s v="Fargo"/>
    <s v="Online"/>
    <x v="2"/>
    <n v="28"/>
    <n v="63"/>
    <n v="1764"/>
    <n v="846.71999999999991"/>
  </r>
  <r>
    <x v="0"/>
    <n v="1185732"/>
    <x v="66"/>
    <x v="4"/>
    <s v="New York"/>
    <s v="Albany"/>
    <s v="Online"/>
    <x v="4"/>
    <n v="44"/>
    <n v="252"/>
    <n v="11088"/>
    <n v="4546.079999999999"/>
  </r>
  <r>
    <x v="0"/>
    <n v="1185732"/>
    <x v="66"/>
    <x v="4"/>
    <s v="New York"/>
    <s v="Albany"/>
    <s v="Online"/>
    <x v="2"/>
    <n v="43"/>
    <n v="161"/>
    <n v="6923"/>
    <n v="2769.2"/>
  </r>
  <r>
    <x v="1"/>
    <n v="1189833"/>
    <x v="66"/>
    <x v="1"/>
    <s v="Montana"/>
    <s v="Billings"/>
    <s v="Online"/>
    <x v="1"/>
    <n v="53"/>
    <n v="120"/>
    <n v="6360"/>
    <n v="1717.1999999999998"/>
  </r>
  <r>
    <x v="2"/>
    <n v="1128299"/>
    <x v="67"/>
    <x v="0"/>
    <s v="Hawaii"/>
    <s v="Honolulu"/>
    <s v="Outlet"/>
    <x v="1"/>
    <n v="60"/>
    <n v="125"/>
    <n v="7500"/>
    <n v="6375"/>
  </r>
  <r>
    <x v="2"/>
    <n v="1128299"/>
    <x v="67"/>
    <x v="0"/>
    <s v="Hawaii"/>
    <s v="Honolulu"/>
    <s v="Outlet"/>
    <x v="0"/>
    <n v="54.999999999999993"/>
    <n v="350"/>
    <n v="19249.999999999996"/>
    <n v="15399.999999999996"/>
  </r>
  <r>
    <x v="1"/>
    <n v="1189833"/>
    <x v="67"/>
    <x v="1"/>
    <s v="Montana"/>
    <s v="Billings"/>
    <s v="Outlet"/>
    <x v="2"/>
    <n v="60"/>
    <n v="500"/>
    <n v="30000"/>
    <n v="22500"/>
  </r>
  <r>
    <x v="2"/>
    <n v="1128299"/>
    <x v="67"/>
    <x v="0"/>
    <s v="Hawaii"/>
    <s v="Honolulu"/>
    <s v="Outlet"/>
    <x v="4"/>
    <n v="45"/>
    <n v="500"/>
    <n v="22500"/>
    <n v="16875"/>
  </r>
  <r>
    <x v="2"/>
    <n v="1128299"/>
    <x v="67"/>
    <x v="0"/>
    <s v="Hawaii"/>
    <s v="Honolulu"/>
    <s v="Outlet"/>
    <x v="5"/>
    <n v="54.999999999999993"/>
    <n v="275"/>
    <n v="15124.999999999998"/>
    <n v="11343.749999999996"/>
  </r>
  <r>
    <x v="2"/>
    <n v="1128299"/>
    <x v="67"/>
    <x v="0"/>
    <s v="Hawaii"/>
    <s v="Honolulu"/>
    <s v="Outlet"/>
    <x v="3"/>
    <n v="59.999999999999986"/>
    <n v="375"/>
    <n v="22499.999999999996"/>
    <n v="16874.999999999993"/>
  </r>
  <r>
    <x v="0"/>
    <n v="1185732"/>
    <x v="67"/>
    <x v="1"/>
    <s v="Indiana"/>
    <s v="Indianapolis"/>
    <s v="In-store"/>
    <x v="1"/>
    <n v="35"/>
    <n v="175"/>
    <n v="6125"/>
    <n v="4287.5"/>
  </r>
  <r>
    <x v="4"/>
    <n v="1185732"/>
    <x v="67"/>
    <x v="1"/>
    <s v="Ohio"/>
    <s v="Columbus"/>
    <s v="Online"/>
    <x v="1"/>
    <n v="40.000000000000007"/>
    <n v="375"/>
    <n v="15000.000000000002"/>
    <n v="9750.0000000000036"/>
  </r>
  <r>
    <x v="0"/>
    <n v="1185732"/>
    <x v="67"/>
    <x v="1"/>
    <s v="Indiana"/>
    <s v="Indianapolis"/>
    <s v="In-store"/>
    <x v="3"/>
    <n v="15.000000000000002"/>
    <n v="275"/>
    <n v="4125.0000000000009"/>
    <n v="2681.2500000000009"/>
  </r>
  <r>
    <x v="4"/>
    <n v="1185732"/>
    <x v="67"/>
    <x v="1"/>
    <s v="Ohio"/>
    <s v="Columbus"/>
    <s v="Online"/>
    <x v="0"/>
    <n v="30"/>
    <n v="450"/>
    <n v="13500"/>
    <n v="8775"/>
  </r>
  <r>
    <x v="0"/>
    <n v="1185732"/>
    <x v="67"/>
    <x v="1"/>
    <s v="Indiana"/>
    <s v="Indianapolis"/>
    <s v="In-store"/>
    <x v="5"/>
    <n v="19.999999999999996"/>
    <n v="125"/>
    <n v="2499.9999999999995"/>
    <n v="1624.9999999999998"/>
  </r>
  <r>
    <x v="0"/>
    <n v="1185732"/>
    <x v="67"/>
    <x v="1"/>
    <s v="Indiana"/>
    <s v="Indianapolis"/>
    <s v="In-store"/>
    <x v="4"/>
    <n v="25.000000000000007"/>
    <n v="520"/>
    <n v="13000.000000000004"/>
    <n v="7800.0000000000027"/>
  </r>
  <r>
    <x v="1"/>
    <n v="1189833"/>
    <x v="67"/>
    <x v="0"/>
    <s v="California"/>
    <s v="San Francisco"/>
    <s v="Outlet"/>
    <x v="3"/>
    <n v="45"/>
    <n v="700"/>
    <n v="31500"/>
    <n v="18900"/>
  </r>
  <r>
    <x v="2"/>
    <n v="1128299"/>
    <x v="67"/>
    <x v="0"/>
    <s v="Hawaii"/>
    <s v="Honolulu"/>
    <s v="Outlet"/>
    <x v="2"/>
    <n v="54.999999999999993"/>
    <n v="325"/>
    <n v="17874.999999999996"/>
    <n v="10724.999999999998"/>
  </r>
  <r>
    <x v="4"/>
    <n v="1185732"/>
    <x v="67"/>
    <x v="1"/>
    <s v="Ohio"/>
    <s v="Columbus"/>
    <s v="Online"/>
    <x v="4"/>
    <n v="30"/>
    <n v="770"/>
    <n v="23100"/>
    <n v="13860"/>
  </r>
  <r>
    <x v="4"/>
    <n v="1185732"/>
    <x v="67"/>
    <x v="1"/>
    <s v="Ohio"/>
    <s v="Columbus"/>
    <s v="Online"/>
    <x v="3"/>
    <n v="20"/>
    <n v="475"/>
    <n v="9500"/>
    <n v="5700"/>
  </r>
  <r>
    <x v="4"/>
    <n v="1185732"/>
    <x v="67"/>
    <x v="1"/>
    <s v="Ohio"/>
    <s v="Columbus"/>
    <s v="Online"/>
    <x v="5"/>
    <n v="24.999999999999993"/>
    <n v="325"/>
    <n v="8124.9999999999973"/>
    <n v="4874.9999999999982"/>
  </r>
  <r>
    <x v="0"/>
    <n v="1185732"/>
    <x v="67"/>
    <x v="1"/>
    <s v="Indiana"/>
    <s v="Indianapolis"/>
    <s v="In-store"/>
    <x v="0"/>
    <n v="25.000000000000007"/>
    <n v="225"/>
    <n v="5625.0000000000018"/>
    <n v="3375.0000000000009"/>
  </r>
  <r>
    <x v="0"/>
    <n v="1185732"/>
    <x v="67"/>
    <x v="1"/>
    <s v="Indiana"/>
    <s v="Indianapolis"/>
    <s v="In-store"/>
    <x v="2"/>
    <n v="25.000000000000007"/>
    <n v="275"/>
    <n v="6875.0000000000018"/>
    <n v="4125.0000000000009"/>
  </r>
  <r>
    <x v="4"/>
    <n v="1185732"/>
    <x v="67"/>
    <x v="1"/>
    <s v="Ohio"/>
    <s v="Columbus"/>
    <s v="Online"/>
    <x v="2"/>
    <n v="30"/>
    <n v="475"/>
    <n v="14250"/>
    <n v="7125"/>
  </r>
  <r>
    <x v="2"/>
    <n v="1128299"/>
    <x v="67"/>
    <x v="0"/>
    <s v="Hawaii"/>
    <s v="Honolulu"/>
    <s v="Online"/>
    <x v="1"/>
    <n v="55"/>
    <n v="36"/>
    <n v="1980"/>
    <n v="1465.1999999999998"/>
  </r>
  <r>
    <x v="2"/>
    <n v="1128299"/>
    <x v="67"/>
    <x v="0"/>
    <s v="Hawaii"/>
    <s v="Honolulu"/>
    <s v="Online"/>
    <x v="0"/>
    <n v="54"/>
    <n v="91"/>
    <n v="4914"/>
    <n v="3390.66"/>
  </r>
  <r>
    <x v="2"/>
    <n v="1128299"/>
    <x v="67"/>
    <x v="0"/>
    <s v="Hawaii"/>
    <s v="Honolulu"/>
    <s v="Online"/>
    <x v="5"/>
    <n v="52"/>
    <n v="69"/>
    <n v="3588"/>
    <n v="2296.3199999999997"/>
  </r>
  <r>
    <x v="2"/>
    <n v="1128299"/>
    <x v="67"/>
    <x v="0"/>
    <s v="Hawaii"/>
    <s v="Honolulu"/>
    <s v="Online"/>
    <x v="3"/>
    <n v="57"/>
    <n v="101"/>
    <n v="5757"/>
    <n v="3511.77"/>
  </r>
  <r>
    <x v="1"/>
    <n v="1189833"/>
    <x v="67"/>
    <x v="1"/>
    <s v="Montana"/>
    <s v="Billings"/>
    <s v="Online"/>
    <x v="2"/>
    <n v="55"/>
    <n v="130"/>
    <n v="7150"/>
    <n v="4290"/>
  </r>
  <r>
    <x v="2"/>
    <n v="1128299"/>
    <x v="67"/>
    <x v="0"/>
    <s v="Hawaii"/>
    <s v="Honolulu"/>
    <s v="Online"/>
    <x v="4"/>
    <n v="44"/>
    <n v="135"/>
    <n v="5940"/>
    <n v="3564"/>
  </r>
  <r>
    <x v="1"/>
    <n v="1189833"/>
    <x v="67"/>
    <x v="0"/>
    <s v="California"/>
    <s v="San Francisco"/>
    <s v="Outlet"/>
    <x v="3"/>
    <n v="36"/>
    <n v="217"/>
    <n v="7812"/>
    <n v="4530.9599999999991"/>
  </r>
  <r>
    <x v="0"/>
    <n v="1185732"/>
    <x v="67"/>
    <x v="1"/>
    <s v="Indiana"/>
    <s v="Indianapolis"/>
    <s v="Online"/>
    <x v="1"/>
    <n v="32"/>
    <n v="44"/>
    <n v="1408"/>
    <n v="802.56000000000006"/>
  </r>
  <r>
    <x v="0"/>
    <n v="1185732"/>
    <x v="67"/>
    <x v="1"/>
    <s v="Indiana"/>
    <s v="Indianapolis"/>
    <s v="Online"/>
    <x v="5"/>
    <n v="19"/>
    <n v="31"/>
    <n v="589"/>
    <n v="323.95000000000005"/>
  </r>
  <r>
    <x v="4"/>
    <n v="1185732"/>
    <x v="67"/>
    <x v="1"/>
    <s v="Ohio"/>
    <s v="Columbus"/>
    <s v="Online"/>
    <x v="0"/>
    <n v="27"/>
    <n v="126"/>
    <n v="3402"/>
    <n v="1871.1000000000001"/>
  </r>
  <r>
    <x v="4"/>
    <n v="1185732"/>
    <x v="67"/>
    <x v="1"/>
    <s v="Ohio"/>
    <s v="Columbus"/>
    <s v="Online"/>
    <x v="1"/>
    <n v="37"/>
    <n v="113"/>
    <n v="4181"/>
    <n v="2132.31"/>
  </r>
  <r>
    <x v="0"/>
    <n v="1185732"/>
    <x v="67"/>
    <x v="1"/>
    <s v="Indiana"/>
    <s v="Indianapolis"/>
    <s v="Online"/>
    <x v="3"/>
    <n v="14"/>
    <n v="72"/>
    <n v="1008"/>
    <n v="504"/>
  </r>
  <r>
    <x v="0"/>
    <n v="1185732"/>
    <x v="67"/>
    <x v="1"/>
    <s v="Indiana"/>
    <s v="Indianapolis"/>
    <s v="Online"/>
    <x v="4"/>
    <n v="23"/>
    <n v="151"/>
    <n v="3473"/>
    <n v="1701.77"/>
  </r>
  <r>
    <x v="1"/>
    <n v="1189833"/>
    <x v="67"/>
    <x v="0"/>
    <s v="California"/>
    <s v="San Francisco"/>
    <s v="Online"/>
    <x v="3"/>
    <n v="41"/>
    <n v="189"/>
    <n v="7749"/>
    <n v="3719.52"/>
  </r>
  <r>
    <x v="4"/>
    <n v="1185732"/>
    <x v="67"/>
    <x v="1"/>
    <s v="Ohio"/>
    <s v="Columbus"/>
    <s v="Online"/>
    <x v="4"/>
    <n v="27"/>
    <n v="231"/>
    <n v="6237"/>
    <n v="2993.7599999999998"/>
  </r>
  <r>
    <x v="4"/>
    <n v="1185732"/>
    <x v="67"/>
    <x v="1"/>
    <s v="Ohio"/>
    <s v="Columbus"/>
    <s v="Online"/>
    <x v="5"/>
    <n v="24"/>
    <n v="98"/>
    <n v="2352"/>
    <n v="1128.96"/>
  </r>
  <r>
    <x v="0"/>
    <n v="1185732"/>
    <x v="67"/>
    <x v="1"/>
    <s v="Indiana"/>
    <s v="Indianapolis"/>
    <s v="Online"/>
    <x v="2"/>
    <n v="24"/>
    <n v="74"/>
    <n v="1776"/>
    <n v="852.48"/>
  </r>
  <r>
    <x v="4"/>
    <n v="1185732"/>
    <x v="67"/>
    <x v="1"/>
    <s v="Ohio"/>
    <s v="Columbus"/>
    <s v="Online"/>
    <x v="3"/>
    <n v="20"/>
    <n v="124"/>
    <n v="2480"/>
    <n v="1165.5999999999999"/>
  </r>
  <r>
    <x v="2"/>
    <n v="1128299"/>
    <x v="67"/>
    <x v="0"/>
    <s v="Hawaii"/>
    <s v="Honolulu"/>
    <s v="Online"/>
    <x v="2"/>
    <n v="50"/>
    <n v="85"/>
    <n v="4250"/>
    <n v="1912.5"/>
  </r>
  <r>
    <x v="0"/>
    <n v="1185732"/>
    <x v="67"/>
    <x v="1"/>
    <s v="Indiana"/>
    <s v="Indianapolis"/>
    <s v="Online"/>
    <x v="0"/>
    <n v="23"/>
    <n v="61"/>
    <n v="1403"/>
    <n v="631.34999999999991"/>
  </r>
  <r>
    <x v="4"/>
    <n v="1185732"/>
    <x v="67"/>
    <x v="1"/>
    <s v="Ohio"/>
    <s v="Columbus"/>
    <s v="Online"/>
    <x v="2"/>
    <n v="28"/>
    <n v="128"/>
    <n v="3584"/>
    <n v="1397.7600000000002"/>
  </r>
  <r>
    <x v="1"/>
    <n v="1185732"/>
    <x v="68"/>
    <x v="0"/>
    <s v="Wyoming"/>
    <s v="Cheyenne"/>
    <s v="In-store"/>
    <x v="2"/>
    <n v="40"/>
    <n v="550"/>
    <n v="22000"/>
    <n v="16500"/>
  </r>
  <r>
    <x v="1"/>
    <n v="1185732"/>
    <x v="68"/>
    <x v="0"/>
    <s v="Wyoming"/>
    <s v="Cheyenne"/>
    <s v="In-store"/>
    <x v="0"/>
    <n v="40"/>
    <n v="525"/>
    <n v="21000"/>
    <n v="14700"/>
  </r>
  <r>
    <x v="1"/>
    <n v="1185732"/>
    <x v="68"/>
    <x v="0"/>
    <s v="Wyoming"/>
    <s v="Cheyenne"/>
    <s v="In-store"/>
    <x v="1"/>
    <n v="50"/>
    <n v="450"/>
    <n v="22500"/>
    <n v="15750"/>
  </r>
  <r>
    <x v="1"/>
    <n v="1185732"/>
    <x v="68"/>
    <x v="0"/>
    <s v="Wyoming"/>
    <s v="Cheyenne"/>
    <s v="In-store"/>
    <x v="3"/>
    <n v="30.000000000000004"/>
    <n v="550"/>
    <n v="16500.000000000004"/>
    <n v="10725.000000000004"/>
  </r>
  <r>
    <x v="0"/>
    <n v="1185732"/>
    <x v="68"/>
    <x v="0"/>
    <s v="Utah"/>
    <s v="Salt Lake City"/>
    <s v="In-store"/>
    <x v="3"/>
    <n v="20.000000000000007"/>
    <n v="400"/>
    <n v="8000.0000000000027"/>
    <n v="5200.0000000000018"/>
  </r>
  <r>
    <x v="4"/>
    <n v="1185732"/>
    <x v="68"/>
    <x v="4"/>
    <s v="Vermont"/>
    <s v="Burlington"/>
    <s v="In-store"/>
    <x v="1"/>
    <n v="55.000000000000007"/>
    <n v="175"/>
    <n v="9625.0000000000018"/>
    <n v="6256.2500000000018"/>
  </r>
  <r>
    <x v="1"/>
    <n v="1189833"/>
    <x v="68"/>
    <x v="0"/>
    <s v="California"/>
    <s v="San Francisco"/>
    <s v="Outlet"/>
    <x v="5"/>
    <n v="45"/>
    <n v="550"/>
    <n v="24750"/>
    <n v="16087.5"/>
  </r>
  <r>
    <x v="3"/>
    <n v="1197831"/>
    <x v="68"/>
    <x v="1"/>
    <s v="Montana"/>
    <s v="Billings"/>
    <s v="Outlet"/>
    <x v="4"/>
    <n v="20"/>
    <n v="700"/>
    <n v="14000"/>
    <n v="9100"/>
  </r>
  <r>
    <x v="1"/>
    <n v="1185732"/>
    <x v="68"/>
    <x v="0"/>
    <s v="Wyoming"/>
    <s v="Cheyenne"/>
    <s v="In-store"/>
    <x v="5"/>
    <n v="35"/>
    <n v="400"/>
    <n v="14000"/>
    <n v="9100"/>
  </r>
  <r>
    <x v="0"/>
    <n v="1185732"/>
    <x v="68"/>
    <x v="0"/>
    <s v="Utah"/>
    <s v="Salt Lake City"/>
    <s v="In-store"/>
    <x v="0"/>
    <n v="30.000000000000004"/>
    <n v="350"/>
    <n v="10500.000000000002"/>
    <n v="6825.0000000000018"/>
  </r>
  <r>
    <x v="0"/>
    <n v="1185732"/>
    <x v="68"/>
    <x v="0"/>
    <s v="Utah"/>
    <s v="Salt Lake City"/>
    <s v="In-store"/>
    <x v="1"/>
    <n v="40"/>
    <n v="300"/>
    <n v="12000"/>
    <n v="7800"/>
  </r>
  <r>
    <x v="4"/>
    <n v="1185732"/>
    <x v="68"/>
    <x v="4"/>
    <s v="Vermont"/>
    <s v="Burlington"/>
    <s v="In-store"/>
    <x v="3"/>
    <n v="35"/>
    <n v="275"/>
    <n v="9625"/>
    <n v="6256.25"/>
  </r>
  <r>
    <x v="4"/>
    <n v="1185732"/>
    <x v="68"/>
    <x v="4"/>
    <s v="Vermont"/>
    <s v="Burlington"/>
    <s v="In-store"/>
    <x v="5"/>
    <n v="40"/>
    <n v="125"/>
    <n v="5000"/>
    <n v="3250"/>
  </r>
  <r>
    <x v="0"/>
    <n v="1185732"/>
    <x v="68"/>
    <x v="0"/>
    <s v="Utah"/>
    <s v="Salt Lake City"/>
    <s v="In-store"/>
    <x v="4"/>
    <n v="30.000000000000004"/>
    <n v="670"/>
    <n v="20100.000000000004"/>
    <n v="12060.000000000002"/>
  </r>
  <r>
    <x v="0"/>
    <n v="1185732"/>
    <x v="68"/>
    <x v="0"/>
    <s v="Utah"/>
    <s v="Salt Lake City"/>
    <s v="In-store"/>
    <x v="5"/>
    <n v="25"/>
    <n v="250"/>
    <n v="6250"/>
    <n v="3750"/>
  </r>
  <r>
    <x v="4"/>
    <n v="1185732"/>
    <x v="68"/>
    <x v="4"/>
    <s v="Vermont"/>
    <s v="Burlington"/>
    <s v="In-store"/>
    <x v="2"/>
    <n v="45"/>
    <n v="275"/>
    <n v="12375"/>
    <n v="7425"/>
  </r>
  <r>
    <x v="4"/>
    <n v="1185732"/>
    <x v="68"/>
    <x v="4"/>
    <s v="Vermont"/>
    <s v="Burlington"/>
    <s v="In-store"/>
    <x v="4"/>
    <n v="45"/>
    <n v="545"/>
    <n v="24525"/>
    <n v="13488.75"/>
  </r>
  <r>
    <x v="4"/>
    <n v="1185732"/>
    <x v="68"/>
    <x v="4"/>
    <s v="Vermont"/>
    <s v="Burlington"/>
    <s v="In-store"/>
    <x v="0"/>
    <n v="45"/>
    <n v="250"/>
    <n v="11250"/>
    <n v="6187.5"/>
  </r>
  <r>
    <x v="1"/>
    <n v="1185732"/>
    <x v="68"/>
    <x v="0"/>
    <s v="Wyoming"/>
    <s v="Cheyenne"/>
    <s v="In-store"/>
    <x v="4"/>
    <n v="40"/>
    <n v="820"/>
    <n v="32800"/>
    <n v="16400"/>
  </r>
  <r>
    <x v="0"/>
    <n v="1185732"/>
    <x v="68"/>
    <x v="0"/>
    <s v="Utah"/>
    <s v="Salt Lake City"/>
    <s v="In-store"/>
    <x v="2"/>
    <n v="30.000000000000004"/>
    <n v="400"/>
    <n v="12000.000000000002"/>
    <n v="6000.0000000000009"/>
  </r>
  <r>
    <x v="1"/>
    <n v="1185732"/>
    <x v="68"/>
    <x v="0"/>
    <s v="Wyoming"/>
    <s v="Cheyenne"/>
    <s v="Online"/>
    <x v="2"/>
    <n v="37"/>
    <n v="165"/>
    <n v="6105"/>
    <n v="3846.15"/>
  </r>
  <r>
    <x v="1"/>
    <n v="1189833"/>
    <x v="68"/>
    <x v="0"/>
    <s v="California"/>
    <s v="San Francisco"/>
    <s v="Outlet"/>
    <x v="5"/>
    <n v="33"/>
    <n v="182"/>
    <n v="6006"/>
    <n v="3723.72"/>
  </r>
  <r>
    <x v="4"/>
    <n v="1185732"/>
    <x v="68"/>
    <x v="4"/>
    <s v="Vermont"/>
    <s v="Burlington"/>
    <s v="Outlet"/>
    <x v="3"/>
    <n v="23"/>
    <n v="85"/>
    <n v="1955"/>
    <n v="1212.0999999999999"/>
  </r>
  <r>
    <x v="4"/>
    <n v="1185732"/>
    <x v="68"/>
    <x v="4"/>
    <s v="Vermont"/>
    <s v="Burlington"/>
    <s v="Outlet"/>
    <x v="1"/>
    <n v="36"/>
    <n v="56"/>
    <n v="2016"/>
    <n v="1229.7600000000002"/>
  </r>
  <r>
    <x v="0"/>
    <n v="1185732"/>
    <x v="68"/>
    <x v="0"/>
    <s v="Utah"/>
    <s v="Salt Lake City"/>
    <s v="Outlet"/>
    <x v="3"/>
    <n v="16"/>
    <n v="140"/>
    <n v="2240"/>
    <n v="1366.4"/>
  </r>
  <r>
    <x v="0"/>
    <n v="1185732"/>
    <x v="68"/>
    <x v="0"/>
    <s v="Utah"/>
    <s v="Salt Lake City"/>
    <s v="Outlet"/>
    <x v="0"/>
    <n v="22"/>
    <n v="105"/>
    <n v="2310"/>
    <n v="1386"/>
  </r>
  <r>
    <x v="0"/>
    <n v="1185732"/>
    <x v="68"/>
    <x v="0"/>
    <s v="Utah"/>
    <s v="Salt Lake City"/>
    <s v="Outlet"/>
    <x v="1"/>
    <n v="28"/>
    <n v="90"/>
    <n v="2520"/>
    <n v="1512"/>
  </r>
  <r>
    <x v="4"/>
    <n v="1185732"/>
    <x v="68"/>
    <x v="4"/>
    <s v="Vermont"/>
    <s v="Burlington"/>
    <s v="Outlet"/>
    <x v="5"/>
    <n v="30"/>
    <n v="39"/>
    <n v="1170"/>
    <n v="702"/>
  </r>
  <r>
    <x v="0"/>
    <n v="1185732"/>
    <x v="68"/>
    <x v="0"/>
    <s v="Utah"/>
    <s v="Salt Lake City"/>
    <s v="Outlet"/>
    <x v="5"/>
    <n v="20"/>
    <n v="75"/>
    <n v="1500"/>
    <n v="869.99999999999989"/>
  </r>
  <r>
    <x v="0"/>
    <n v="1185732"/>
    <x v="68"/>
    <x v="0"/>
    <s v="Utah"/>
    <s v="Salt Lake City"/>
    <s v="Outlet"/>
    <x v="4"/>
    <n v="20"/>
    <n v="228"/>
    <n v="4560"/>
    <n v="2599.1999999999998"/>
  </r>
  <r>
    <x v="1"/>
    <n v="1185732"/>
    <x v="68"/>
    <x v="0"/>
    <s v="Wyoming"/>
    <s v="Cheyenne"/>
    <s v="Online"/>
    <x v="0"/>
    <n v="37"/>
    <n v="131"/>
    <n v="4847"/>
    <n v="2714.32"/>
  </r>
  <r>
    <x v="1"/>
    <n v="1185732"/>
    <x v="68"/>
    <x v="0"/>
    <s v="Wyoming"/>
    <s v="Cheyenne"/>
    <s v="Online"/>
    <x v="3"/>
    <n v="27"/>
    <n v="149"/>
    <n v="4023"/>
    <n v="2212.65"/>
  </r>
  <r>
    <x v="1"/>
    <n v="1185732"/>
    <x v="68"/>
    <x v="0"/>
    <s v="Wyoming"/>
    <s v="Cheyenne"/>
    <s v="Online"/>
    <x v="1"/>
    <n v="47"/>
    <n v="126"/>
    <n v="5922"/>
    <n v="3257.1000000000004"/>
  </r>
  <r>
    <x v="4"/>
    <n v="1185732"/>
    <x v="68"/>
    <x v="4"/>
    <s v="Vermont"/>
    <s v="Burlington"/>
    <s v="Outlet"/>
    <x v="2"/>
    <n v="29"/>
    <n v="96"/>
    <n v="2784"/>
    <n v="1503.3600000000001"/>
  </r>
  <r>
    <x v="1"/>
    <n v="1185732"/>
    <x v="68"/>
    <x v="0"/>
    <s v="Wyoming"/>
    <s v="Cheyenne"/>
    <s v="Online"/>
    <x v="5"/>
    <n v="33"/>
    <n v="112"/>
    <n v="3696"/>
    <n v="1958.88"/>
  </r>
  <r>
    <x v="4"/>
    <n v="1185732"/>
    <x v="68"/>
    <x v="4"/>
    <s v="Vermont"/>
    <s v="Burlington"/>
    <s v="Online"/>
    <x v="5"/>
    <n v="36"/>
    <n v="38"/>
    <n v="1368"/>
    <n v="697.68000000000006"/>
  </r>
  <r>
    <x v="1"/>
    <n v="1189833"/>
    <x v="68"/>
    <x v="0"/>
    <s v="California"/>
    <s v="San Francisco"/>
    <s v="Online"/>
    <x v="5"/>
    <n v="41"/>
    <n v="160"/>
    <n v="6560"/>
    <n v="3345.6"/>
  </r>
  <r>
    <x v="4"/>
    <n v="1185732"/>
    <x v="68"/>
    <x v="4"/>
    <s v="Vermont"/>
    <s v="Burlington"/>
    <s v="Online"/>
    <x v="3"/>
    <n v="34"/>
    <n v="77"/>
    <n v="2618"/>
    <n v="1335.18"/>
  </r>
  <r>
    <x v="4"/>
    <n v="1185732"/>
    <x v="68"/>
    <x v="4"/>
    <s v="Vermont"/>
    <s v="Burlington"/>
    <s v="Online"/>
    <x v="1"/>
    <n v="51"/>
    <n v="47"/>
    <n v="2397"/>
    <n v="1222.47"/>
  </r>
  <r>
    <x v="4"/>
    <n v="1185732"/>
    <x v="68"/>
    <x v="4"/>
    <s v="Vermont"/>
    <s v="Burlington"/>
    <s v="Outlet"/>
    <x v="4"/>
    <n v="35"/>
    <n v="185"/>
    <n v="6475"/>
    <n v="3302.25"/>
  </r>
  <r>
    <x v="3"/>
    <n v="1197831"/>
    <x v="68"/>
    <x v="1"/>
    <s v="Montana"/>
    <s v="Billings"/>
    <s v="Online"/>
    <x v="4"/>
    <n v="18"/>
    <n v="210"/>
    <n v="3780"/>
    <n v="1890"/>
  </r>
  <r>
    <x v="0"/>
    <n v="1185732"/>
    <x v="68"/>
    <x v="0"/>
    <s v="Utah"/>
    <s v="Salt Lake City"/>
    <s v="Online"/>
    <x v="0"/>
    <n v="28"/>
    <n v="102"/>
    <n v="2856"/>
    <n v="1428"/>
  </r>
  <r>
    <x v="0"/>
    <n v="1185732"/>
    <x v="68"/>
    <x v="0"/>
    <s v="Utah"/>
    <s v="Salt Lake City"/>
    <s v="Online"/>
    <x v="3"/>
    <n v="18"/>
    <n v="112"/>
    <n v="2016"/>
    <n v="1008"/>
  </r>
  <r>
    <x v="0"/>
    <n v="1185732"/>
    <x v="68"/>
    <x v="0"/>
    <s v="Utah"/>
    <s v="Salt Lake City"/>
    <s v="Online"/>
    <x v="1"/>
    <n v="38"/>
    <n v="75"/>
    <n v="2850"/>
    <n v="1425"/>
  </r>
  <r>
    <x v="4"/>
    <n v="1185732"/>
    <x v="68"/>
    <x v="4"/>
    <s v="Vermont"/>
    <s v="Burlington"/>
    <s v="Outlet"/>
    <x v="0"/>
    <n v="36"/>
    <n v="80"/>
    <n v="2880"/>
    <n v="1440"/>
  </r>
  <r>
    <x v="0"/>
    <n v="1185732"/>
    <x v="68"/>
    <x v="0"/>
    <s v="Utah"/>
    <s v="Salt Lake City"/>
    <s v="Online"/>
    <x v="4"/>
    <n v="29"/>
    <n v="168"/>
    <n v="4872"/>
    <n v="2338.56"/>
  </r>
  <r>
    <x v="0"/>
    <n v="1185732"/>
    <x v="68"/>
    <x v="0"/>
    <s v="Utah"/>
    <s v="Salt Lake City"/>
    <s v="Online"/>
    <x v="5"/>
    <n v="23"/>
    <n v="73"/>
    <n v="1679"/>
    <n v="789.13"/>
  </r>
  <r>
    <x v="4"/>
    <n v="1185732"/>
    <x v="68"/>
    <x v="4"/>
    <s v="Vermont"/>
    <s v="Burlington"/>
    <s v="Online"/>
    <x v="2"/>
    <n v="41"/>
    <n v="80"/>
    <n v="3280"/>
    <n v="1476.0000000000002"/>
  </r>
  <r>
    <x v="4"/>
    <n v="1185732"/>
    <x v="68"/>
    <x v="4"/>
    <s v="Vermont"/>
    <s v="Burlington"/>
    <s v="Online"/>
    <x v="0"/>
    <n v="42"/>
    <n v="70"/>
    <n v="2940"/>
    <n v="1264.1999999999998"/>
  </r>
  <r>
    <x v="0"/>
    <n v="1185732"/>
    <x v="68"/>
    <x v="0"/>
    <s v="Utah"/>
    <s v="Salt Lake City"/>
    <s v="Outlet"/>
    <x v="2"/>
    <n v="21"/>
    <n v="140"/>
    <n v="2940"/>
    <n v="1264.1999999999998"/>
  </r>
  <r>
    <x v="1"/>
    <n v="1185732"/>
    <x v="68"/>
    <x v="0"/>
    <s v="Wyoming"/>
    <s v="Cheyenne"/>
    <s v="Online"/>
    <x v="4"/>
    <n v="38"/>
    <n v="246"/>
    <n v="9348"/>
    <n v="3739.2"/>
  </r>
  <r>
    <x v="4"/>
    <n v="1185732"/>
    <x v="68"/>
    <x v="4"/>
    <s v="Vermont"/>
    <s v="Burlington"/>
    <s v="Online"/>
    <x v="4"/>
    <n v="44"/>
    <n v="142"/>
    <n v="6248"/>
    <n v="2499.2000000000003"/>
  </r>
  <r>
    <x v="0"/>
    <n v="1185732"/>
    <x v="68"/>
    <x v="0"/>
    <s v="Utah"/>
    <s v="Salt Lake City"/>
    <s v="Online"/>
    <x v="2"/>
    <n v="29"/>
    <n v="100"/>
    <n v="2900"/>
    <n v="1044"/>
  </r>
  <r>
    <x v="2"/>
    <n v="1185732"/>
    <x v="69"/>
    <x v="1"/>
    <s v="South Dakota"/>
    <s v="Sioux Falls"/>
    <s v="Online"/>
    <x v="3"/>
    <n v="30.000000000000004"/>
    <n v="225"/>
    <n v="6750.0000000000009"/>
    <n v="4725.0000000000018"/>
  </r>
  <r>
    <x v="2"/>
    <n v="1185732"/>
    <x v="69"/>
    <x v="1"/>
    <s v="South Dakota"/>
    <s v="Sioux Falls"/>
    <s v="Online"/>
    <x v="0"/>
    <n v="40"/>
    <n v="200"/>
    <n v="8000"/>
    <n v="5600"/>
  </r>
  <r>
    <x v="2"/>
    <n v="1185732"/>
    <x v="69"/>
    <x v="1"/>
    <s v="South Dakota"/>
    <s v="Sioux Falls"/>
    <s v="Online"/>
    <x v="5"/>
    <n v="35"/>
    <n v="75"/>
    <n v="2625"/>
    <n v="1837.5"/>
  </r>
  <r>
    <x v="3"/>
    <n v="1197831"/>
    <x v="69"/>
    <x v="1"/>
    <s v="Montana"/>
    <s v="Billings"/>
    <s v="Outlet"/>
    <x v="0"/>
    <n v="30"/>
    <n v="700"/>
    <n v="21000"/>
    <n v="13650"/>
  </r>
  <r>
    <x v="2"/>
    <n v="1185732"/>
    <x v="69"/>
    <x v="1"/>
    <s v="South Dakota"/>
    <s v="Sioux Falls"/>
    <s v="Online"/>
    <x v="4"/>
    <n v="40"/>
    <n v="495"/>
    <n v="19800"/>
    <n v="12870"/>
  </r>
  <r>
    <x v="2"/>
    <n v="1185732"/>
    <x v="69"/>
    <x v="1"/>
    <s v="South Dakota"/>
    <s v="Sioux Falls"/>
    <s v="Online"/>
    <x v="1"/>
    <n v="50"/>
    <n v="125"/>
    <n v="6250"/>
    <n v="4062.5"/>
  </r>
  <r>
    <x v="2"/>
    <n v="1185732"/>
    <x v="69"/>
    <x v="1"/>
    <s v="South Dakota"/>
    <s v="Sioux Falls"/>
    <s v="Online"/>
    <x v="2"/>
    <n v="40"/>
    <n v="225"/>
    <n v="9000"/>
    <n v="5400"/>
  </r>
  <r>
    <x v="1"/>
    <n v="1189833"/>
    <x v="69"/>
    <x v="0"/>
    <s v="California"/>
    <s v="Los Angeles"/>
    <s v="Outlet"/>
    <x v="1"/>
    <n v="50"/>
    <n v="500"/>
    <n v="25000"/>
    <n v="11250"/>
  </r>
  <r>
    <x v="2"/>
    <n v="1185732"/>
    <x v="69"/>
    <x v="1"/>
    <s v="South Dakota"/>
    <s v="Sioux Falls"/>
    <s v="Online"/>
    <x v="0"/>
    <n v="37"/>
    <n v="50"/>
    <n v="1850"/>
    <n v="1073"/>
  </r>
  <r>
    <x v="2"/>
    <n v="1185732"/>
    <x v="69"/>
    <x v="1"/>
    <s v="South Dakota"/>
    <s v="Sioux Falls"/>
    <s v="Online"/>
    <x v="3"/>
    <n v="27"/>
    <n v="59"/>
    <n v="1593"/>
    <n v="923.94"/>
  </r>
  <r>
    <x v="2"/>
    <n v="1185732"/>
    <x v="69"/>
    <x v="1"/>
    <s v="South Dakota"/>
    <s v="Sioux Falls"/>
    <s v="Online"/>
    <x v="5"/>
    <n v="33"/>
    <n v="23"/>
    <n v="759"/>
    <n v="425.04"/>
  </r>
  <r>
    <x v="3"/>
    <n v="1197831"/>
    <x v="69"/>
    <x v="1"/>
    <s v="Montana"/>
    <s v="Billings"/>
    <s v="Online"/>
    <x v="0"/>
    <n v="29"/>
    <n v="182"/>
    <n v="5278"/>
    <n v="2850.1200000000003"/>
  </r>
  <r>
    <x v="2"/>
    <n v="1185732"/>
    <x v="69"/>
    <x v="1"/>
    <s v="South Dakota"/>
    <s v="Sioux Falls"/>
    <s v="Online"/>
    <x v="4"/>
    <n v="39"/>
    <n v="124"/>
    <n v="4836"/>
    <n v="2466.36"/>
  </r>
  <r>
    <x v="2"/>
    <n v="1185732"/>
    <x v="69"/>
    <x v="1"/>
    <s v="South Dakota"/>
    <s v="Sioux Falls"/>
    <s v="Online"/>
    <x v="1"/>
    <n v="47"/>
    <n v="31"/>
    <n v="1457"/>
    <n v="728.5"/>
  </r>
  <r>
    <x v="2"/>
    <n v="1185732"/>
    <x v="69"/>
    <x v="1"/>
    <s v="South Dakota"/>
    <s v="Sioux Falls"/>
    <s v="Online"/>
    <x v="2"/>
    <n v="37"/>
    <n v="59"/>
    <n v="2183"/>
    <n v="1026.01"/>
  </r>
  <r>
    <x v="1"/>
    <n v="1189833"/>
    <x v="69"/>
    <x v="0"/>
    <s v="California"/>
    <s v="Los Angeles"/>
    <s v="Outlet"/>
    <x v="1"/>
    <n v="36"/>
    <n v="155"/>
    <n v="5580"/>
    <n v="2287.7999999999997"/>
  </r>
  <r>
    <x v="1"/>
    <n v="1189833"/>
    <x v="69"/>
    <x v="0"/>
    <s v="California"/>
    <s v="Los Angeles"/>
    <s v="Online"/>
    <x v="1"/>
    <n v="49"/>
    <n v="145"/>
    <n v="7105"/>
    <n v="2415.6999999999998"/>
  </r>
  <r>
    <x v="1"/>
    <n v="1189833"/>
    <x v="70"/>
    <x v="0"/>
    <s v="California"/>
    <s v="Los Angeles"/>
    <s v="Outlet"/>
    <x v="2"/>
    <n v="45"/>
    <n v="700"/>
    <n v="31500"/>
    <n v="25200"/>
  </r>
  <r>
    <x v="3"/>
    <n v="1128299"/>
    <x v="70"/>
    <x v="3"/>
    <s v="Georgia"/>
    <s v="Atlanta"/>
    <s v="Online"/>
    <x v="2"/>
    <n v="50"/>
    <n v="350"/>
    <n v="17500"/>
    <n v="13125"/>
  </r>
  <r>
    <x v="3"/>
    <n v="1128299"/>
    <x v="70"/>
    <x v="3"/>
    <s v="Georgia"/>
    <s v="Atlanta"/>
    <s v="Online"/>
    <x v="1"/>
    <n v="55.000000000000007"/>
    <n v="150"/>
    <n v="8250.0000000000018"/>
    <n v="5362.5000000000018"/>
  </r>
  <r>
    <x v="1"/>
    <n v="1197831"/>
    <x v="70"/>
    <x v="1"/>
    <s v="Kansas"/>
    <s v="Wichita"/>
    <s v="Online"/>
    <x v="3"/>
    <n v="10.000000000000002"/>
    <n v="250"/>
    <n v="2500.0000000000005"/>
    <n v="1625.0000000000005"/>
  </r>
  <r>
    <x v="3"/>
    <n v="1197831"/>
    <x v="70"/>
    <x v="1"/>
    <s v="Montana"/>
    <s v="Billings"/>
    <s v="Outlet"/>
    <x v="3"/>
    <n v="30"/>
    <n v="500"/>
    <n v="15000"/>
    <n v="9750"/>
  </r>
  <r>
    <x v="3"/>
    <n v="1128299"/>
    <x v="70"/>
    <x v="3"/>
    <s v="Georgia"/>
    <s v="Atlanta"/>
    <s v="Online"/>
    <x v="3"/>
    <n v="50"/>
    <n v="375"/>
    <n v="18750"/>
    <n v="12187.5"/>
  </r>
  <r>
    <x v="1"/>
    <n v="1197831"/>
    <x v="70"/>
    <x v="1"/>
    <s v="Kansas"/>
    <s v="Wichita"/>
    <s v="Online"/>
    <x v="4"/>
    <n v="20"/>
    <n v="545"/>
    <n v="10900"/>
    <n v="7085"/>
  </r>
  <r>
    <x v="1"/>
    <n v="1197831"/>
    <x v="70"/>
    <x v="1"/>
    <s v="Kansas"/>
    <s v="Wichita"/>
    <s v="Online"/>
    <x v="0"/>
    <n v="20"/>
    <n v="225"/>
    <n v="4500"/>
    <n v="2925"/>
  </r>
  <r>
    <x v="1"/>
    <n v="1197831"/>
    <x v="70"/>
    <x v="1"/>
    <s v="Kansas"/>
    <s v="Wichita"/>
    <s v="Online"/>
    <x v="5"/>
    <n v="19.999999999999996"/>
    <n v="100"/>
    <n v="1999.9999999999995"/>
    <n v="1299.9999999999998"/>
  </r>
  <r>
    <x v="1"/>
    <n v="1197831"/>
    <x v="70"/>
    <x v="1"/>
    <s v="Kansas"/>
    <s v="Wichita"/>
    <s v="Online"/>
    <x v="1"/>
    <n v="35.000000000000007"/>
    <n v="150"/>
    <n v="5250.0000000000009"/>
    <n v="3412.5000000000009"/>
  </r>
  <r>
    <x v="1"/>
    <n v="1197831"/>
    <x v="70"/>
    <x v="1"/>
    <s v="Kansas"/>
    <s v="Wichita"/>
    <s v="Online"/>
    <x v="2"/>
    <n v="25"/>
    <n v="250"/>
    <n v="6250"/>
    <n v="4062.5"/>
  </r>
  <r>
    <x v="3"/>
    <n v="1128299"/>
    <x v="70"/>
    <x v="3"/>
    <s v="Georgia"/>
    <s v="Atlanta"/>
    <s v="Online"/>
    <x v="4"/>
    <n v="40"/>
    <n v="525"/>
    <n v="21000"/>
    <n v="12600"/>
  </r>
  <r>
    <x v="3"/>
    <n v="1128299"/>
    <x v="70"/>
    <x v="3"/>
    <s v="Georgia"/>
    <s v="Atlanta"/>
    <s v="Online"/>
    <x v="0"/>
    <n v="50"/>
    <n v="375"/>
    <n v="18750"/>
    <n v="11250"/>
  </r>
  <r>
    <x v="3"/>
    <n v="1128299"/>
    <x v="70"/>
    <x v="3"/>
    <s v="Georgia"/>
    <s v="Atlanta"/>
    <s v="Online"/>
    <x v="5"/>
    <n v="50"/>
    <n v="250"/>
    <n v="12500"/>
    <n v="7500"/>
  </r>
  <r>
    <x v="1"/>
    <n v="1189833"/>
    <x v="70"/>
    <x v="0"/>
    <s v="California"/>
    <s v="Los Angeles"/>
    <s v="Outlet"/>
    <x v="2"/>
    <n v="29"/>
    <n v="210"/>
    <n v="6090"/>
    <n v="4689.3"/>
  </r>
  <r>
    <x v="3"/>
    <n v="1128299"/>
    <x v="70"/>
    <x v="3"/>
    <s v="Georgia"/>
    <s v="Atlanta"/>
    <s v="Outlet"/>
    <x v="2"/>
    <n v="40"/>
    <n v="112"/>
    <n v="4480"/>
    <n v="3180.8"/>
  </r>
  <r>
    <x v="1"/>
    <n v="1189833"/>
    <x v="70"/>
    <x v="0"/>
    <s v="California"/>
    <s v="Los Angeles"/>
    <s v="Online"/>
    <x v="2"/>
    <n v="41"/>
    <n v="182"/>
    <n v="7462"/>
    <n v="5148.7800000000007"/>
  </r>
  <r>
    <x v="3"/>
    <n v="1128299"/>
    <x v="70"/>
    <x v="3"/>
    <s v="Georgia"/>
    <s v="Atlanta"/>
    <s v="Online"/>
    <x v="2"/>
    <n v="48"/>
    <n v="95"/>
    <n v="4560"/>
    <n v="2918.4"/>
  </r>
  <r>
    <x v="3"/>
    <n v="1128299"/>
    <x v="70"/>
    <x v="3"/>
    <s v="Georgia"/>
    <s v="Atlanta"/>
    <s v="Outlet"/>
    <x v="3"/>
    <n v="39"/>
    <n v="124"/>
    <n v="4836"/>
    <n v="2998.3199999999997"/>
  </r>
  <r>
    <x v="3"/>
    <n v="1128299"/>
    <x v="70"/>
    <x v="3"/>
    <s v="Georgia"/>
    <s v="Atlanta"/>
    <s v="Outlet"/>
    <x v="1"/>
    <n v="41"/>
    <n v="45"/>
    <n v="1845"/>
    <n v="1088.5500000000002"/>
  </r>
  <r>
    <x v="3"/>
    <n v="1128299"/>
    <x v="70"/>
    <x v="3"/>
    <s v="Georgia"/>
    <s v="Atlanta"/>
    <s v="Outlet"/>
    <x v="4"/>
    <n v="30"/>
    <n v="163"/>
    <n v="4890"/>
    <n v="2787.2999999999997"/>
  </r>
  <r>
    <x v="3"/>
    <n v="1128299"/>
    <x v="70"/>
    <x v="3"/>
    <s v="Georgia"/>
    <s v="Atlanta"/>
    <s v="Outlet"/>
    <x v="0"/>
    <n v="37"/>
    <n v="113"/>
    <n v="4181"/>
    <n v="2341.3599999999997"/>
  </r>
  <r>
    <x v="3"/>
    <n v="1197831"/>
    <x v="70"/>
    <x v="1"/>
    <s v="Montana"/>
    <s v="Billings"/>
    <s v="Online"/>
    <x v="3"/>
    <n v="27"/>
    <n v="130"/>
    <n v="3510"/>
    <n v="1930.5000000000002"/>
  </r>
  <r>
    <x v="3"/>
    <n v="1128299"/>
    <x v="70"/>
    <x v="3"/>
    <s v="Georgia"/>
    <s v="Atlanta"/>
    <s v="Outlet"/>
    <x v="5"/>
    <n v="38"/>
    <n v="78"/>
    <n v="2964"/>
    <n v="1630.2"/>
  </r>
  <r>
    <x v="1"/>
    <n v="1197831"/>
    <x v="70"/>
    <x v="1"/>
    <s v="Kansas"/>
    <s v="Wichita"/>
    <s v="Online"/>
    <x v="1"/>
    <n v="32"/>
    <n v="41"/>
    <n v="1312"/>
    <n v="708.48"/>
  </r>
  <r>
    <x v="1"/>
    <n v="1197831"/>
    <x v="70"/>
    <x v="1"/>
    <s v="Kansas"/>
    <s v="Wichita"/>
    <s v="Online"/>
    <x v="3"/>
    <n v="9"/>
    <n v="75"/>
    <n v="675"/>
    <n v="364.5"/>
  </r>
  <r>
    <x v="3"/>
    <n v="1128299"/>
    <x v="70"/>
    <x v="3"/>
    <s v="Georgia"/>
    <s v="Atlanta"/>
    <s v="Online"/>
    <x v="1"/>
    <n v="51"/>
    <n v="39"/>
    <n v="1989"/>
    <n v="1054.17"/>
  </r>
  <r>
    <x v="1"/>
    <n v="1197831"/>
    <x v="70"/>
    <x v="1"/>
    <s v="Kansas"/>
    <s v="Wichita"/>
    <s v="Online"/>
    <x v="0"/>
    <n v="19"/>
    <n v="59"/>
    <n v="1121"/>
    <n v="594.13"/>
  </r>
  <r>
    <x v="1"/>
    <n v="1197831"/>
    <x v="70"/>
    <x v="1"/>
    <s v="Kansas"/>
    <s v="Wichita"/>
    <s v="Online"/>
    <x v="5"/>
    <n v="20"/>
    <n v="26"/>
    <n v="520"/>
    <n v="270.39999999999998"/>
  </r>
  <r>
    <x v="1"/>
    <n v="1197831"/>
    <x v="70"/>
    <x v="1"/>
    <s v="Kansas"/>
    <s v="Wichita"/>
    <s v="Online"/>
    <x v="4"/>
    <n v="20"/>
    <n v="153"/>
    <n v="3060"/>
    <n v="1560.6000000000001"/>
  </r>
  <r>
    <x v="3"/>
    <n v="1128299"/>
    <x v="70"/>
    <x v="3"/>
    <s v="Georgia"/>
    <s v="Atlanta"/>
    <s v="Online"/>
    <x v="3"/>
    <n v="49"/>
    <n v="113"/>
    <n v="5537"/>
    <n v="2823.87"/>
  </r>
  <r>
    <x v="3"/>
    <n v="1128299"/>
    <x v="70"/>
    <x v="3"/>
    <s v="Georgia"/>
    <s v="Atlanta"/>
    <s v="Online"/>
    <x v="4"/>
    <n v="37"/>
    <n v="137"/>
    <n v="5069"/>
    <n v="2534.5"/>
  </r>
  <r>
    <x v="1"/>
    <n v="1197831"/>
    <x v="70"/>
    <x v="1"/>
    <s v="Kansas"/>
    <s v="Wichita"/>
    <s v="Online"/>
    <x v="2"/>
    <n v="23"/>
    <n v="65"/>
    <n v="1495"/>
    <n v="747.5"/>
  </r>
  <r>
    <x v="3"/>
    <n v="1128299"/>
    <x v="70"/>
    <x v="3"/>
    <s v="Georgia"/>
    <s v="Atlanta"/>
    <s v="Online"/>
    <x v="5"/>
    <n v="47"/>
    <n v="73"/>
    <n v="3431"/>
    <n v="1646.8799999999999"/>
  </r>
  <r>
    <x v="3"/>
    <n v="1128299"/>
    <x v="70"/>
    <x v="3"/>
    <s v="Georgia"/>
    <s v="Atlanta"/>
    <s v="Online"/>
    <x v="0"/>
    <n v="46"/>
    <n v="101"/>
    <n v="4646"/>
    <n v="2183.62"/>
  </r>
  <r>
    <x v="3"/>
    <n v="1185732"/>
    <x v="71"/>
    <x v="4"/>
    <s v="Massachusetts"/>
    <s v="Boston"/>
    <s v="In-store"/>
    <x v="3"/>
    <n v="30.000000000000004"/>
    <n v="200"/>
    <n v="6000.0000000000009"/>
    <n v="4500.0000000000009"/>
  </r>
  <r>
    <x v="3"/>
    <n v="1185732"/>
    <x v="71"/>
    <x v="4"/>
    <s v="Massachusetts"/>
    <s v="Boston"/>
    <s v="In-store"/>
    <x v="5"/>
    <n v="35"/>
    <n v="300"/>
    <n v="10500"/>
    <n v="7875"/>
  </r>
  <r>
    <x v="3"/>
    <n v="1185732"/>
    <x v="71"/>
    <x v="4"/>
    <s v="Massachusetts"/>
    <s v="Boston"/>
    <s v="In-store"/>
    <x v="1"/>
    <n v="50"/>
    <n v="100"/>
    <n v="5000"/>
    <n v="3750"/>
  </r>
  <r>
    <x v="2"/>
    <n v="1185732"/>
    <x v="71"/>
    <x v="4"/>
    <s v="Delaware"/>
    <s v="Wilmington"/>
    <s v="In-store"/>
    <x v="1"/>
    <n v="50"/>
    <n v="175"/>
    <n v="8750"/>
    <n v="6125"/>
  </r>
  <r>
    <x v="3"/>
    <n v="1185732"/>
    <x v="71"/>
    <x v="4"/>
    <s v="Massachusetts"/>
    <s v="Boston"/>
    <s v="In-store"/>
    <x v="4"/>
    <n v="40"/>
    <n v="470"/>
    <n v="18800"/>
    <n v="13160"/>
  </r>
  <r>
    <x v="3"/>
    <n v="1185732"/>
    <x v="71"/>
    <x v="4"/>
    <s v="Massachusetts"/>
    <s v="Boston"/>
    <s v="In-store"/>
    <x v="0"/>
    <n v="40"/>
    <n v="175"/>
    <n v="7000"/>
    <n v="4900"/>
  </r>
  <r>
    <x v="3"/>
    <n v="1185732"/>
    <x v="71"/>
    <x v="4"/>
    <s v="Massachusetts"/>
    <s v="Boston"/>
    <s v="In-store"/>
    <x v="2"/>
    <n v="40"/>
    <n v="200"/>
    <n v="8000"/>
    <n v="5600"/>
  </r>
  <r>
    <x v="2"/>
    <n v="1185732"/>
    <x v="71"/>
    <x v="4"/>
    <s v="Delaware"/>
    <s v="Wilmington"/>
    <s v="In-store"/>
    <x v="4"/>
    <n v="40"/>
    <n v="545"/>
    <n v="21800"/>
    <n v="14170"/>
  </r>
  <r>
    <x v="2"/>
    <n v="1185732"/>
    <x v="71"/>
    <x v="4"/>
    <s v="Delaware"/>
    <s v="Wilmington"/>
    <s v="In-store"/>
    <x v="0"/>
    <n v="40"/>
    <n v="250"/>
    <n v="10000"/>
    <n v="6500"/>
  </r>
  <r>
    <x v="1"/>
    <n v="1189833"/>
    <x v="71"/>
    <x v="0"/>
    <s v="California"/>
    <s v="Los Angeles"/>
    <s v="Outlet"/>
    <x v="4"/>
    <n v="35"/>
    <n v="750"/>
    <n v="26250"/>
    <n v="15750"/>
  </r>
  <r>
    <x v="2"/>
    <n v="1185732"/>
    <x v="71"/>
    <x v="4"/>
    <s v="Delaware"/>
    <s v="Wilmington"/>
    <s v="In-store"/>
    <x v="3"/>
    <n v="30.000000000000004"/>
    <n v="275"/>
    <n v="8250.0000000000018"/>
    <n v="4950.0000000000009"/>
  </r>
  <r>
    <x v="2"/>
    <n v="1185732"/>
    <x v="71"/>
    <x v="4"/>
    <s v="Delaware"/>
    <s v="Wilmington"/>
    <s v="In-store"/>
    <x v="5"/>
    <n v="35"/>
    <n v="125"/>
    <n v="4375"/>
    <n v="2625"/>
  </r>
  <r>
    <x v="2"/>
    <n v="1185732"/>
    <x v="71"/>
    <x v="4"/>
    <s v="Delaware"/>
    <s v="Wilmington"/>
    <s v="In-store"/>
    <x v="2"/>
    <n v="40"/>
    <n v="275"/>
    <n v="11000"/>
    <n v="6600"/>
  </r>
  <r>
    <x v="3"/>
    <n v="1197831"/>
    <x v="71"/>
    <x v="1"/>
    <s v="Montana"/>
    <s v="Billings"/>
    <s v="Outlet"/>
    <x v="5"/>
    <n v="35"/>
    <n v="500"/>
    <n v="17500"/>
    <n v="9625"/>
  </r>
  <r>
    <x v="3"/>
    <n v="1185732"/>
    <x v="71"/>
    <x v="4"/>
    <s v="Massachusetts"/>
    <s v="Boston"/>
    <s v="Outlet"/>
    <x v="5"/>
    <n v="25"/>
    <n v="93"/>
    <n v="2325"/>
    <n v="1674"/>
  </r>
  <r>
    <x v="3"/>
    <n v="1185732"/>
    <x v="71"/>
    <x v="4"/>
    <s v="Massachusetts"/>
    <s v="Boston"/>
    <s v="Outlet"/>
    <x v="1"/>
    <n v="36"/>
    <n v="31"/>
    <n v="1116"/>
    <n v="781.2"/>
  </r>
  <r>
    <x v="3"/>
    <n v="1185732"/>
    <x v="71"/>
    <x v="4"/>
    <s v="Massachusetts"/>
    <s v="Boston"/>
    <s v="Outlet"/>
    <x v="3"/>
    <n v="23"/>
    <n v="60"/>
    <n v="1380"/>
    <n v="938.4"/>
  </r>
  <r>
    <x v="3"/>
    <n v="1185732"/>
    <x v="71"/>
    <x v="4"/>
    <s v="Massachusetts"/>
    <s v="Boston"/>
    <s v="Outlet"/>
    <x v="4"/>
    <n v="28"/>
    <n v="155"/>
    <n v="4340"/>
    <n v="2864.4"/>
  </r>
  <r>
    <x v="3"/>
    <n v="1185732"/>
    <x v="71"/>
    <x v="4"/>
    <s v="Massachusetts"/>
    <s v="Boston"/>
    <s v="Outlet"/>
    <x v="0"/>
    <n v="31"/>
    <n v="61"/>
    <n v="1891"/>
    <n v="1248.06"/>
  </r>
  <r>
    <x v="3"/>
    <n v="1185732"/>
    <x v="71"/>
    <x v="4"/>
    <s v="Massachusetts"/>
    <s v="Boston"/>
    <s v="Online"/>
    <x v="5"/>
    <n v="34"/>
    <n v="87"/>
    <n v="2958"/>
    <n v="1893.1200000000001"/>
  </r>
  <r>
    <x v="3"/>
    <n v="1185732"/>
    <x v="71"/>
    <x v="4"/>
    <s v="Massachusetts"/>
    <s v="Boston"/>
    <s v="Outlet"/>
    <x v="2"/>
    <n v="31"/>
    <n v="68"/>
    <n v="2108"/>
    <n v="1328.04"/>
  </r>
  <r>
    <x v="3"/>
    <n v="1185732"/>
    <x v="71"/>
    <x v="4"/>
    <s v="Massachusetts"/>
    <s v="Boston"/>
    <s v="Online"/>
    <x v="3"/>
    <n v="28"/>
    <n v="50"/>
    <n v="1400"/>
    <n v="854"/>
  </r>
  <r>
    <x v="3"/>
    <n v="1185732"/>
    <x v="71"/>
    <x v="4"/>
    <s v="Massachusetts"/>
    <s v="Boston"/>
    <s v="Online"/>
    <x v="1"/>
    <n v="46"/>
    <n v="29"/>
    <n v="1334"/>
    <n v="813.74"/>
  </r>
  <r>
    <x v="2"/>
    <n v="1185732"/>
    <x v="71"/>
    <x v="4"/>
    <s v="Delaware"/>
    <s v="Wilmington"/>
    <s v="Online"/>
    <x v="1"/>
    <n v="46"/>
    <n v="49"/>
    <n v="2254"/>
    <n v="1329.8600000000001"/>
  </r>
  <r>
    <x v="3"/>
    <n v="1185732"/>
    <x v="71"/>
    <x v="4"/>
    <s v="Massachusetts"/>
    <s v="Boston"/>
    <s v="Online"/>
    <x v="2"/>
    <n v="39"/>
    <n v="54"/>
    <n v="2106"/>
    <n v="1242.54"/>
  </r>
  <r>
    <x v="3"/>
    <n v="1185732"/>
    <x v="71"/>
    <x v="4"/>
    <s v="Massachusetts"/>
    <s v="Boston"/>
    <s v="Online"/>
    <x v="4"/>
    <n v="38"/>
    <n v="127"/>
    <n v="4826"/>
    <n v="2702.56"/>
  </r>
  <r>
    <x v="2"/>
    <n v="1185732"/>
    <x v="71"/>
    <x v="4"/>
    <s v="Delaware"/>
    <s v="Wilmington"/>
    <s v="Online"/>
    <x v="0"/>
    <n v="39"/>
    <n v="68"/>
    <n v="2652"/>
    <n v="1458.6000000000001"/>
  </r>
  <r>
    <x v="3"/>
    <n v="1185732"/>
    <x v="71"/>
    <x v="4"/>
    <s v="Massachusetts"/>
    <s v="Boston"/>
    <s v="Online"/>
    <x v="0"/>
    <n v="38"/>
    <n v="47"/>
    <n v="1786"/>
    <n v="982.30000000000007"/>
  </r>
  <r>
    <x v="2"/>
    <n v="1185732"/>
    <x v="71"/>
    <x v="4"/>
    <s v="Delaware"/>
    <s v="Wilmington"/>
    <s v="Online"/>
    <x v="4"/>
    <n v="36"/>
    <n v="158"/>
    <n v="5688"/>
    <n v="3071.52"/>
  </r>
  <r>
    <x v="1"/>
    <n v="1189833"/>
    <x v="71"/>
    <x v="0"/>
    <s v="California"/>
    <s v="Los Angeles"/>
    <s v="Outlet"/>
    <x v="4"/>
    <n v="28"/>
    <n v="240"/>
    <n v="6720"/>
    <n v="3628.7999999999997"/>
  </r>
  <r>
    <x v="2"/>
    <n v="1185732"/>
    <x v="71"/>
    <x v="4"/>
    <s v="Delaware"/>
    <s v="Wilmington"/>
    <s v="Online"/>
    <x v="2"/>
    <n v="39"/>
    <n v="72"/>
    <n v="2808"/>
    <n v="1404"/>
  </r>
  <r>
    <x v="1"/>
    <n v="1189833"/>
    <x v="71"/>
    <x v="0"/>
    <s v="California"/>
    <s v="Los Angeles"/>
    <s v="Online"/>
    <x v="4"/>
    <n v="34"/>
    <n v="225"/>
    <n v="7650"/>
    <n v="3595.5"/>
  </r>
  <r>
    <x v="2"/>
    <n v="1185732"/>
    <x v="71"/>
    <x v="4"/>
    <s v="Delaware"/>
    <s v="Wilmington"/>
    <s v="Online"/>
    <x v="5"/>
    <n v="32"/>
    <n v="31"/>
    <n v="992"/>
    <n v="466.24"/>
  </r>
  <r>
    <x v="2"/>
    <n v="1185732"/>
    <x v="71"/>
    <x v="4"/>
    <s v="Delaware"/>
    <s v="Wilmington"/>
    <s v="Online"/>
    <x v="3"/>
    <n v="29"/>
    <n v="69"/>
    <n v="2001"/>
    <n v="920.46"/>
  </r>
  <r>
    <x v="3"/>
    <n v="1197831"/>
    <x v="71"/>
    <x v="1"/>
    <s v="Montana"/>
    <s v="Billings"/>
    <s v="Online"/>
    <x v="5"/>
    <n v="32"/>
    <n v="135"/>
    <n v="4320"/>
    <n v="1857.6"/>
  </r>
  <r>
    <x v="1"/>
    <n v="1189833"/>
    <x v="72"/>
    <x v="0"/>
    <s v="California"/>
    <s v="Los Angeles"/>
    <s v="Outlet"/>
    <x v="0"/>
    <n v="45"/>
    <n v="650"/>
    <n v="29250"/>
    <n v="21937.5"/>
  </r>
  <r>
    <x v="3"/>
    <n v="1197831"/>
    <x v="72"/>
    <x v="2"/>
    <s v="Tennessee"/>
    <s v="Knoxville"/>
    <s v="Outlet"/>
    <x v="1"/>
    <n v="40"/>
    <n v="350"/>
    <n v="14000"/>
    <n v="9800"/>
  </r>
  <r>
    <x v="1"/>
    <n v="1189833"/>
    <x v="72"/>
    <x v="0"/>
    <s v="California"/>
    <s v="Los Angeles"/>
    <s v="Outlet"/>
    <x v="0"/>
    <n v="30"/>
    <n v="215"/>
    <n v="6450"/>
    <n v="4450.5"/>
  </r>
  <r>
    <x v="3"/>
    <n v="1197831"/>
    <x v="72"/>
    <x v="2"/>
    <s v="Tennessee"/>
    <s v="Knoxville"/>
    <s v="Outlet"/>
    <x v="1"/>
    <n v="30"/>
    <n v="123"/>
    <n v="3690"/>
    <n v="2435.4"/>
  </r>
  <r>
    <x v="1"/>
    <n v="1189833"/>
    <x v="72"/>
    <x v="0"/>
    <s v="California"/>
    <s v="Los Angeles"/>
    <s v="Online"/>
    <x v="0"/>
    <n v="43"/>
    <n v="195"/>
    <n v="8385"/>
    <n v="5031"/>
  </r>
  <r>
    <x v="3"/>
    <n v="1197831"/>
    <x v="72"/>
    <x v="2"/>
    <s v="Tennessee"/>
    <s v="Knoxville"/>
    <s v="Online"/>
    <x v="1"/>
    <n v="39"/>
    <n v="95"/>
    <n v="3705"/>
    <n v="2223"/>
  </r>
  <r>
    <x v="3"/>
    <n v="1185732"/>
    <x v="73"/>
    <x v="1"/>
    <s v="Michigan"/>
    <s v="Detroit"/>
    <s v="In-store"/>
    <x v="3"/>
    <n v="25"/>
    <n v="475"/>
    <n v="11875"/>
    <n v="8312.5"/>
  </r>
  <r>
    <x v="3"/>
    <n v="1185732"/>
    <x v="73"/>
    <x v="1"/>
    <s v="Michigan"/>
    <s v="Detroit"/>
    <s v="In-store"/>
    <x v="5"/>
    <n v="29.999999999999993"/>
    <n v="325"/>
    <n v="9749.9999999999982"/>
    <n v="6337.4999999999982"/>
  </r>
  <r>
    <x v="3"/>
    <n v="1185732"/>
    <x v="73"/>
    <x v="1"/>
    <s v="Michigan"/>
    <s v="Detroit"/>
    <s v="In-store"/>
    <x v="1"/>
    <n v="45.000000000000007"/>
    <n v="375"/>
    <n v="16875.000000000004"/>
    <n v="10125.000000000004"/>
  </r>
  <r>
    <x v="1"/>
    <n v="1189833"/>
    <x v="73"/>
    <x v="0"/>
    <s v="California"/>
    <s v="Los Angeles"/>
    <s v="Outlet"/>
    <x v="3"/>
    <n v="45"/>
    <n v="675"/>
    <n v="30375"/>
    <n v="18225"/>
  </r>
  <r>
    <x v="3"/>
    <n v="1185732"/>
    <x v="73"/>
    <x v="1"/>
    <s v="Michigan"/>
    <s v="Detroit"/>
    <s v="In-store"/>
    <x v="0"/>
    <n v="35"/>
    <n v="450"/>
    <n v="15750"/>
    <n v="9450"/>
  </r>
  <r>
    <x v="3"/>
    <n v="1197831"/>
    <x v="73"/>
    <x v="2"/>
    <s v="Tennessee"/>
    <s v="Knoxville"/>
    <s v="Outlet"/>
    <x v="2"/>
    <n v="35"/>
    <n v="500"/>
    <n v="17500"/>
    <n v="8750"/>
  </r>
  <r>
    <x v="3"/>
    <n v="1185732"/>
    <x v="73"/>
    <x v="1"/>
    <s v="Michigan"/>
    <s v="Detroit"/>
    <s v="In-store"/>
    <x v="4"/>
    <n v="35"/>
    <n v="770"/>
    <n v="26950"/>
    <n v="13475"/>
  </r>
  <r>
    <x v="3"/>
    <n v="1185732"/>
    <x v="73"/>
    <x v="1"/>
    <s v="Michigan"/>
    <s v="Detroit"/>
    <s v="In-store"/>
    <x v="2"/>
    <n v="35"/>
    <n v="475"/>
    <n v="16625"/>
    <n v="7481.2499999999982"/>
  </r>
  <r>
    <x v="3"/>
    <n v="1185732"/>
    <x v="73"/>
    <x v="1"/>
    <s v="Michigan"/>
    <s v="Detroit"/>
    <s v="Online"/>
    <x v="3"/>
    <n v="25"/>
    <n v="124"/>
    <n v="3100"/>
    <n v="1860"/>
  </r>
  <r>
    <x v="1"/>
    <n v="1189833"/>
    <x v="73"/>
    <x v="0"/>
    <s v="California"/>
    <s v="Los Angeles"/>
    <s v="Outlet"/>
    <x v="3"/>
    <n v="33"/>
    <n v="223"/>
    <n v="7359"/>
    <n v="4268.2199999999993"/>
  </r>
  <r>
    <x v="3"/>
    <n v="1185732"/>
    <x v="73"/>
    <x v="1"/>
    <s v="Michigan"/>
    <s v="Detroit"/>
    <s v="Online"/>
    <x v="5"/>
    <n v="29"/>
    <n v="91"/>
    <n v="2639"/>
    <n v="1372.28"/>
  </r>
  <r>
    <x v="1"/>
    <n v="1189833"/>
    <x v="73"/>
    <x v="0"/>
    <s v="California"/>
    <s v="Los Angeles"/>
    <s v="Online"/>
    <x v="3"/>
    <n v="44"/>
    <n v="169"/>
    <n v="7436"/>
    <n v="3718"/>
  </r>
  <r>
    <x v="3"/>
    <n v="1185732"/>
    <x v="73"/>
    <x v="1"/>
    <s v="Michigan"/>
    <s v="Detroit"/>
    <s v="Online"/>
    <x v="1"/>
    <n v="43"/>
    <n v="94"/>
    <n v="4042"/>
    <n v="1940.1599999999999"/>
  </r>
  <r>
    <x v="3"/>
    <n v="1197831"/>
    <x v="73"/>
    <x v="2"/>
    <s v="Tennessee"/>
    <s v="Knoxville"/>
    <s v="Outlet"/>
    <x v="2"/>
    <n v="24"/>
    <n v="170"/>
    <n v="4080"/>
    <n v="1917.6"/>
  </r>
  <r>
    <x v="3"/>
    <n v="1185732"/>
    <x v="73"/>
    <x v="1"/>
    <s v="Michigan"/>
    <s v="Detroit"/>
    <s v="Online"/>
    <x v="0"/>
    <n v="32"/>
    <n v="126"/>
    <n v="4032"/>
    <n v="1854.7199999999998"/>
  </r>
  <r>
    <x v="3"/>
    <n v="1185732"/>
    <x v="73"/>
    <x v="1"/>
    <s v="Michigan"/>
    <s v="Detroit"/>
    <s v="Online"/>
    <x v="4"/>
    <n v="34"/>
    <n v="216"/>
    <n v="7344"/>
    <n v="2864.16"/>
  </r>
  <r>
    <x v="3"/>
    <n v="1197831"/>
    <x v="73"/>
    <x v="2"/>
    <s v="Tennessee"/>
    <s v="Knoxville"/>
    <s v="Online"/>
    <x v="2"/>
    <n v="33"/>
    <n v="125"/>
    <n v="4125"/>
    <n v="1443.75"/>
  </r>
  <r>
    <x v="3"/>
    <n v="1185732"/>
    <x v="73"/>
    <x v="1"/>
    <s v="Michigan"/>
    <s v="Detroit"/>
    <s v="Online"/>
    <x v="2"/>
    <n v="33"/>
    <n v="143"/>
    <n v="4719"/>
    <n v="1462.8899999999999"/>
  </r>
  <r>
    <x v="3"/>
    <n v="1128299"/>
    <x v="74"/>
    <x v="3"/>
    <s v="Florida"/>
    <s v="Orlando"/>
    <s v="Outlet"/>
    <x v="1"/>
    <n v="65"/>
    <n v="175"/>
    <n v="11375"/>
    <n v="9100"/>
  </r>
  <r>
    <x v="3"/>
    <n v="1128299"/>
    <x v="74"/>
    <x v="3"/>
    <s v="Florida"/>
    <s v="Orlando"/>
    <s v="Outlet"/>
    <x v="0"/>
    <n v="60"/>
    <n v="400"/>
    <n v="24000"/>
    <n v="18000"/>
  </r>
  <r>
    <x v="3"/>
    <n v="1128299"/>
    <x v="74"/>
    <x v="3"/>
    <s v="Florida"/>
    <s v="Orlando"/>
    <s v="Outlet"/>
    <x v="4"/>
    <n v="50"/>
    <n v="550"/>
    <n v="27500"/>
    <n v="19250"/>
  </r>
  <r>
    <x v="3"/>
    <n v="1128299"/>
    <x v="74"/>
    <x v="3"/>
    <s v="Florida"/>
    <s v="Orlando"/>
    <s v="Outlet"/>
    <x v="5"/>
    <n v="60"/>
    <n v="325"/>
    <n v="19500"/>
    <n v="13650"/>
  </r>
  <r>
    <x v="3"/>
    <n v="1128299"/>
    <x v="74"/>
    <x v="3"/>
    <s v="Florida"/>
    <s v="Orlando"/>
    <s v="Outlet"/>
    <x v="3"/>
    <n v="64.999999999999986"/>
    <n v="425"/>
    <n v="27624.999999999993"/>
    <n v="19337.499999999993"/>
  </r>
  <r>
    <x v="2"/>
    <n v="1185732"/>
    <x v="74"/>
    <x v="2"/>
    <s v="Mississippi"/>
    <s v="Jackson"/>
    <s v="Online"/>
    <x v="1"/>
    <n v="35.000000000000007"/>
    <n v="325"/>
    <n v="11375.000000000002"/>
    <n v="7393.7500000000027"/>
  </r>
  <r>
    <x v="1"/>
    <n v="1189833"/>
    <x v="74"/>
    <x v="0"/>
    <s v="California"/>
    <s v="Los Angeles"/>
    <s v="Outlet"/>
    <x v="5"/>
    <n v="45"/>
    <n v="525"/>
    <n v="23625"/>
    <n v="15356.25"/>
  </r>
  <r>
    <x v="3"/>
    <n v="1197831"/>
    <x v="74"/>
    <x v="2"/>
    <s v="Tennessee"/>
    <s v="Knoxville"/>
    <s v="Outlet"/>
    <x v="4"/>
    <n v="25"/>
    <n v="650"/>
    <n v="16250"/>
    <n v="10562.5"/>
  </r>
  <r>
    <x v="0"/>
    <n v="1128299"/>
    <x v="74"/>
    <x v="2"/>
    <s v="Louisiana"/>
    <s v="New Orleans"/>
    <s v="In-store"/>
    <x v="2"/>
    <n v="45"/>
    <n v="350"/>
    <n v="15750"/>
    <n v="10237.5"/>
  </r>
  <r>
    <x v="2"/>
    <n v="1185732"/>
    <x v="74"/>
    <x v="2"/>
    <s v="Mississippi"/>
    <s v="Jackson"/>
    <s v="Online"/>
    <x v="0"/>
    <n v="25"/>
    <n v="400"/>
    <n v="10000"/>
    <n v="6500"/>
  </r>
  <r>
    <x v="0"/>
    <n v="1128299"/>
    <x v="74"/>
    <x v="2"/>
    <s v="Louisiana"/>
    <s v="New Orleans"/>
    <s v="In-store"/>
    <x v="0"/>
    <n v="55.000000000000007"/>
    <n v="375"/>
    <n v="20625.000000000004"/>
    <n v="12375.000000000004"/>
  </r>
  <r>
    <x v="0"/>
    <n v="1128299"/>
    <x v="74"/>
    <x v="2"/>
    <s v="Louisiana"/>
    <s v="New Orleans"/>
    <s v="In-store"/>
    <x v="5"/>
    <n v="55.000000000000007"/>
    <n v="300"/>
    <n v="16500.000000000004"/>
    <n v="9900.0000000000036"/>
  </r>
  <r>
    <x v="0"/>
    <n v="1128299"/>
    <x v="74"/>
    <x v="2"/>
    <s v="Louisiana"/>
    <s v="New Orleans"/>
    <s v="In-store"/>
    <x v="4"/>
    <n v="45"/>
    <n v="525"/>
    <n v="23625"/>
    <n v="14175"/>
  </r>
  <r>
    <x v="0"/>
    <n v="1128299"/>
    <x v="74"/>
    <x v="2"/>
    <s v="Louisiana"/>
    <s v="New Orleans"/>
    <s v="In-store"/>
    <x v="3"/>
    <n v="60"/>
    <n v="400"/>
    <n v="24000"/>
    <n v="14400"/>
  </r>
  <r>
    <x v="2"/>
    <n v="1185732"/>
    <x v="74"/>
    <x v="2"/>
    <s v="Mississippi"/>
    <s v="Jackson"/>
    <s v="Online"/>
    <x v="4"/>
    <n v="25"/>
    <n v="720"/>
    <n v="18000"/>
    <n v="10800"/>
  </r>
  <r>
    <x v="0"/>
    <n v="1185732"/>
    <x v="74"/>
    <x v="4"/>
    <s v="West Virginia"/>
    <s v="Charleston"/>
    <s v="In-store"/>
    <x v="4"/>
    <n v="30.000000000000004"/>
    <n v="570"/>
    <n v="17100.000000000004"/>
    <n v="10260.000000000002"/>
  </r>
  <r>
    <x v="0"/>
    <n v="1185732"/>
    <x v="74"/>
    <x v="4"/>
    <s v="West Virginia"/>
    <s v="Charleston"/>
    <s v="In-store"/>
    <x v="0"/>
    <n v="30.000000000000004"/>
    <n v="275"/>
    <n v="8250.0000000000018"/>
    <n v="4950.0000000000009"/>
  </r>
  <r>
    <x v="0"/>
    <n v="1185732"/>
    <x v="74"/>
    <x v="4"/>
    <s v="West Virginia"/>
    <s v="Charleston"/>
    <s v="In-store"/>
    <x v="3"/>
    <n v="20"/>
    <n v="325"/>
    <n v="6500"/>
    <n v="3900"/>
  </r>
  <r>
    <x v="0"/>
    <n v="1185732"/>
    <x v="74"/>
    <x v="4"/>
    <s v="West Virginia"/>
    <s v="Charleston"/>
    <s v="In-store"/>
    <x v="1"/>
    <n v="40"/>
    <n v="225"/>
    <n v="9000"/>
    <n v="5400"/>
  </r>
  <r>
    <x v="0"/>
    <n v="1185732"/>
    <x v="74"/>
    <x v="4"/>
    <s v="West Virginia"/>
    <s v="Charleston"/>
    <s v="In-store"/>
    <x v="2"/>
    <n v="30.000000000000004"/>
    <n v="325"/>
    <n v="9750.0000000000018"/>
    <n v="5850.0000000000009"/>
  </r>
  <r>
    <x v="2"/>
    <n v="1185732"/>
    <x v="74"/>
    <x v="2"/>
    <s v="Mississippi"/>
    <s v="Jackson"/>
    <s v="Online"/>
    <x v="3"/>
    <n v="15.000000000000002"/>
    <n v="425"/>
    <n v="6375.0000000000009"/>
    <n v="3825"/>
  </r>
  <r>
    <x v="2"/>
    <n v="1185732"/>
    <x v="74"/>
    <x v="2"/>
    <s v="Mississippi"/>
    <s v="Jackson"/>
    <s v="Online"/>
    <x v="5"/>
    <n v="19.999999999999996"/>
    <n v="275"/>
    <n v="5499.9999999999991"/>
    <n v="3299.9999999999991"/>
  </r>
  <r>
    <x v="0"/>
    <n v="1185732"/>
    <x v="74"/>
    <x v="4"/>
    <s v="West Virginia"/>
    <s v="Charleston"/>
    <s v="In-store"/>
    <x v="5"/>
    <n v="24.999999999999993"/>
    <n v="175"/>
    <n v="4374.9999999999991"/>
    <n v="2624.9999999999991"/>
  </r>
  <r>
    <x v="3"/>
    <n v="1128299"/>
    <x v="74"/>
    <x v="3"/>
    <s v="Florida"/>
    <s v="Orlando"/>
    <s v="Outlet"/>
    <x v="2"/>
    <n v="60"/>
    <n v="375"/>
    <n v="22500"/>
    <n v="12375"/>
  </r>
  <r>
    <x v="0"/>
    <n v="1128299"/>
    <x v="74"/>
    <x v="2"/>
    <s v="Louisiana"/>
    <s v="New Orleans"/>
    <s v="In-store"/>
    <x v="1"/>
    <n v="60.000000000000007"/>
    <n v="150"/>
    <n v="9000.0000000000018"/>
    <n v="4950.0000000000009"/>
  </r>
  <r>
    <x v="2"/>
    <n v="1185732"/>
    <x v="74"/>
    <x v="2"/>
    <s v="Mississippi"/>
    <s v="Jackson"/>
    <s v="Online"/>
    <x v="2"/>
    <n v="25"/>
    <n v="425"/>
    <n v="10625"/>
    <n v="5312.5"/>
  </r>
  <r>
    <x v="3"/>
    <n v="1128299"/>
    <x v="74"/>
    <x v="3"/>
    <s v="Florida"/>
    <s v="Orlando"/>
    <s v="Outlet"/>
    <x v="1"/>
    <n v="44"/>
    <n v="60"/>
    <n v="2640"/>
    <n v="1953.6"/>
  </r>
  <r>
    <x v="3"/>
    <n v="1128299"/>
    <x v="74"/>
    <x v="3"/>
    <s v="Florida"/>
    <s v="Orlando"/>
    <s v="Outlet"/>
    <x v="0"/>
    <n v="44"/>
    <n v="124"/>
    <n v="5456"/>
    <n v="3764.6400000000003"/>
  </r>
  <r>
    <x v="3"/>
    <n v="1128299"/>
    <x v="74"/>
    <x v="3"/>
    <s v="Florida"/>
    <s v="Orlando"/>
    <s v="Outlet"/>
    <x v="3"/>
    <n v="47"/>
    <n v="149"/>
    <n v="7003"/>
    <n v="4762.04"/>
  </r>
  <r>
    <x v="3"/>
    <n v="1128299"/>
    <x v="74"/>
    <x v="3"/>
    <s v="Florida"/>
    <s v="Orlando"/>
    <s v="Online"/>
    <x v="1"/>
    <n v="61"/>
    <n v="44"/>
    <n v="2684"/>
    <n v="1798.28"/>
  </r>
  <r>
    <x v="3"/>
    <n v="1128299"/>
    <x v="74"/>
    <x v="3"/>
    <s v="Florida"/>
    <s v="Orlando"/>
    <s v="Outlet"/>
    <x v="4"/>
    <n v="35"/>
    <n v="171"/>
    <n v="5985"/>
    <n v="3950.1000000000004"/>
  </r>
  <r>
    <x v="3"/>
    <n v="1128299"/>
    <x v="74"/>
    <x v="3"/>
    <s v="Florida"/>
    <s v="Orlando"/>
    <s v="Outlet"/>
    <x v="5"/>
    <n v="42"/>
    <n v="114"/>
    <n v="4788"/>
    <n v="3112.2"/>
  </r>
  <r>
    <x v="3"/>
    <n v="1197831"/>
    <x v="74"/>
    <x v="2"/>
    <s v="Tennessee"/>
    <s v="Knoxville"/>
    <s v="Outlet"/>
    <x v="4"/>
    <n v="18"/>
    <n v="202"/>
    <n v="3636"/>
    <n v="2290.6800000000003"/>
  </r>
  <r>
    <x v="0"/>
    <n v="1128299"/>
    <x v="74"/>
    <x v="2"/>
    <s v="Louisiana"/>
    <s v="New Orleans"/>
    <s v="Outlet"/>
    <x v="2"/>
    <n v="29"/>
    <n v="109"/>
    <n v="3161"/>
    <n v="1991.43"/>
  </r>
  <r>
    <x v="2"/>
    <n v="1185732"/>
    <x v="74"/>
    <x v="2"/>
    <s v="Mississippi"/>
    <s v="Jackson"/>
    <s v="Outlet"/>
    <x v="1"/>
    <n v="25"/>
    <n v="104"/>
    <n v="2600"/>
    <n v="1638"/>
  </r>
  <r>
    <x v="3"/>
    <n v="1128299"/>
    <x v="74"/>
    <x v="3"/>
    <s v="Florida"/>
    <s v="Orlando"/>
    <s v="Online"/>
    <x v="0"/>
    <n v="58"/>
    <n v="100"/>
    <n v="5800"/>
    <n v="3596"/>
  </r>
  <r>
    <x v="2"/>
    <n v="1185732"/>
    <x v="74"/>
    <x v="2"/>
    <s v="Mississippi"/>
    <s v="Jackson"/>
    <s v="Outlet"/>
    <x v="0"/>
    <n v="20"/>
    <n v="128"/>
    <n v="2560"/>
    <n v="1561.6000000000001"/>
  </r>
  <r>
    <x v="1"/>
    <n v="1189833"/>
    <x v="74"/>
    <x v="0"/>
    <s v="California"/>
    <s v="Los Angeles"/>
    <s v="Outlet"/>
    <x v="5"/>
    <n v="34"/>
    <n v="179"/>
    <n v="6086"/>
    <n v="3590.7400000000002"/>
  </r>
  <r>
    <x v="3"/>
    <n v="1128299"/>
    <x v="74"/>
    <x v="3"/>
    <s v="Florida"/>
    <s v="Orlando"/>
    <s v="Online"/>
    <x v="4"/>
    <n v="46"/>
    <n v="160"/>
    <n v="7360"/>
    <n v="4342.3999999999996"/>
  </r>
  <r>
    <x v="3"/>
    <n v="1128299"/>
    <x v="74"/>
    <x v="3"/>
    <s v="Florida"/>
    <s v="Orlando"/>
    <s v="Online"/>
    <x v="5"/>
    <n v="58"/>
    <n v="91"/>
    <n v="5278"/>
    <n v="3061.2400000000002"/>
  </r>
  <r>
    <x v="0"/>
    <n v="1128299"/>
    <x v="74"/>
    <x v="2"/>
    <s v="Louisiana"/>
    <s v="New Orleans"/>
    <s v="Outlet"/>
    <x v="5"/>
    <n v="43"/>
    <n v="96"/>
    <n v="4128"/>
    <n v="2352.96"/>
  </r>
  <r>
    <x v="3"/>
    <n v="1128299"/>
    <x v="74"/>
    <x v="3"/>
    <s v="Florida"/>
    <s v="Orlando"/>
    <s v="Online"/>
    <x v="3"/>
    <n v="59"/>
    <n v="115"/>
    <n v="6785"/>
    <n v="3867.45"/>
  </r>
  <r>
    <x v="0"/>
    <n v="1128299"/>
    <x v="74"/>
    <x v="2"/>
    <s v="Louisiana"/>
    <s v="New Orleans"/>
    <s v="Outlet"/>
    <x v="0"/>
    <n v="38"/>
    <n v="120"/>
    <n v="4560"/>
    <n v="2553.6000000000004"/>
  </r>
  <r>
    <x v="0"/>
    <n v="1128299"/>
    <x v="74"/>
    <x v="2"/>
    <s v="Louisiana"/>
    <s v="New Orleans"/>
    <s v="Online"/>
    <x v="2"/>
    <n v="41"/>
    <n v="95"/>
    <n v="3895"/>
    <n v="2142.25"/>
  </r>
  <r>
    <x v="0"/>
    <n v="1128299"/>
    <x v="74"/>
    <x v="2"/>
    <s v="Louisiana"/>
    <s v="New Orleans"/>
    <s v="Outlet"/>
    <x v="3"/>
    <n v="39"/>
    <n v="120"/>
    <n v="4680"/>
    <n v="2574"/>
  </r>
  <r>
    <x v="2"/>
    <n v="1185732"/>
    <x v="74"/>
    <x v="2"/>
    <s v="Mississippi"/>
    <s v="Jackson"/>
    <s v="Outlet"/>
    <x v="5"/>
    <n v="15"/>
    <n v="85"/>
    <n v="1275"/>
    <n v="701.25"/>
  </r>
  <r>
    <x v="2"/>
    <n v="1185732"/>
    <x v="74"/>
    <x v="2"/>
    <s v="Mississippi"/>
    <s v="Jackson"/>
    <s v="Online"/>
    <x v="1"/>
    <n v="32"/>
    <n v="81"/>
    <n v="2592"/>
    <n v="1399.68"/>
  </r>
  <r>
    <x v="0"/>
    <n v="1128299"/>
    <x v="74"/>
    <x v="2"/>
    <s v="Louisiana"/>
    <s v="New Orleans"/>
    <s v="Outlet"/>
    <x v="4"/>
    <n v="29"/>
    <n v="179"/>
    <n v="5191"/>
    <n v="2803.1400000000003"/>
  </r>
  <r>
    <x v="2"/>
    <n v="1185732"/>
    <x v="74"/>
    <x v="2"/>
    <s v="Mississippi"/>
    <s v="Jackson"/>
    <s v="Outlet"/>
    <x v="4"/>
    <n v="20"/>
    <n v="223"/>
    <n v="4460"/>
    <n v="2408.4"/>
  </r>
  <r>
    <x v="2"/>
    <n v="1185732"/>
    <x v="74"/>
    <x v="2"/>
    <s v="Mississippi"/>
    <s v="Jackson"/>
    <s v="Online"/>
    <x v="0"/>
    <n v="24"/>
    <n v="100"/>
    <n v="2400"/>
    <n v="1272"/>
  </r>
  <r>
    <x v="3"/>
    <n v="1128299"/>
    <x v="74"/>
    <x v="3"/>
    <s v="Florida"/>
    <s v="Orlando"/>
    <s v="Outlet"/>
    <x v="2"/>
    <n v="48"/>
    <n v="131"/>
    <n v="6288"/>
    <n v="3332.64"/>
  </r>
  <r>
    <x v="2"/>
    <n v="1185732"/>
    <x v="74"/>
    <x v="2"/>
    <s v="Mississippi"/>
    <s v="Jackson"/>
    <s v="Outlet"/>
    <x v="3"/>
    <n v="11"/>
    <n v="136"/>
    <n v="1496"/>
    <n v="792.88"/>
  </r>
  <r>
    <x v="1"/>
    <n v="1189833"/>
    <x v="74"/>
    <x v="0"/>
    <s v="California"/>
    <s v="Los Angeles"/>
    <s v="Online"/>
    <x v="5"/>
    <n v="41"/>
    <n v="152"/>
    <n v="6232"/>
    <n v="3178.32"/>
  </r>
  <r>
    <x v="3"/>
    <n v="1197831"/>
    <x v="74"/>
    <x v="2"/>
    <s v="Tennessee"/>
    <s v="Knoxville"/>
    <s v="Online"/>
    <x v="4"/>
    <n v="24"/>
    <n v="169"/>
    <n v="4056"/>
    <n v="2028"/>
  </r>
  <r>
    <x v="0"/>
    <n v="1185732"/>
    <x v="74"/>
    <x v="4"/>
    <s v="West Virginia"/>
    <s v="Charleston"/>
    <s v="Online"/>
    <x v="1"/>
    <n v="37"/>
    <n v="59"/>
    <n v="2183"/>
    <n v="1091.5"/>
  </r>
  <r>
    <x v="0"/>
    <n v="1128299"/>
    <x v="74"/>
    <x v="2"/>
    <s v="Louisiana"/>
    <s v="New Orleans"/>
    <s v="Online"/>
    <x v="4"/>
    <n v="44"/>
    <n v="147"/>
    <n v="6468"/>
    <n v="3169.32"/>
  </r>
  <r>
    <x v="0"/>
    <n v="1185732"/>
    <x v="74"/>
    <x v="4"/>
    <s v="West Virginia"/>
    <s v="Charleston"/>
    <s v="Online"/>
    <x v="4"/>
    <n v="28"/>
    <n v="165"/>
    <n v="4620"/>
    <n v="2263.8000000000002"/>
  </r>
  <r>
    <x v="0"/>
    <n v="1128299"/>
    <x v="74"/>
    <x v="2"/>
    <s v="Louisiana"/>
    <s v="New Orleans"/>
    <s v="Outlet"/>
    <x v="1"/>
    <n v="40"/>
    <n v="50"/>
    <n v="2000"/>
    <n v="980"/>
  </r>
  <r>
    <x v="2"/>
    <n v="1185732"/>
    <x v="74"/>
    <x v="2"/>
    <s v="Mississippi"/>
    <s v="Jackson"/>
    <s v="Online"/>
    <x v="5"/>
    <n v="19"/>
    <n v="80"/>
    <n v="1520"/>
    <n v="729.6"/>
  </r>
  <r>
    <x v="2"/>
    <n v="1185732"/>
    <x v="74"/>
    <x v="2"/>
    <s v="Mississippi"/>
    <s v="Jackson"/>
    <s v="Online"/>
    <x v="3"/>
    <n v="14"/>
    <n v="128"/>
    <n v="1792"/>
    <n v="842.24"/>
  </r>
  <r>
    <x v="0"/>
    <n v="1185732"/>
    <x v="74"/>
    <x v="4"/>
    <s v="West Virginia"/>
    <s v="Charleston"/>
    <s v="Online"/>
    <x v="5"/>
    <n v="23"/>
    <n v="49"/>
    <n v="1127"/>
    <n v="529.68999999999994"/>
  </r>
  <r>
    <x v="0"/>
    <n v="1185732"/>
    <x v="74"/>
    <x v="4"/>
    <s v="West Virginia"/>
    <s v="Charleston"/>
    <s v="Online"/>
    <x v="0"/>
    <n v="27"/>
    <n v="69"/>
    <n v="1863"/>
    <n v="856.9799999999999"/>
  </r>
  <r>
    <x v="0"/>
    <n v="1185732"/>
    <x v="74"/>
    <x v="4"/>
    <s v="West Virginia"/>
    <s v="Charleston"/>
    <s v="Online"/>
    <x v="3"/>
    <n v="19"/>
    <n v="91"/>
    <n v="1729"/>
    <n v="795.33999999999992"/>
  </r>
  <r>
    <x v="0"/>
    <n v="1185732"/>
    <x v="74"/>
    <x v="4"/>
    <s v="West Virginia"/>
    <s v="Charleston"/>
    <s v="Online"/>
    <x v="2"/>
    <n v="29"/>
    <n v="81"/>
    <n v="2349"/>
    <n v="1080.54"/>
  </r>
  <r>
    <x v="2"/>
    <n v="1185732"/>
    <x v="74"/>
    <x v="2"/>
    <s v="Mississippi"/>
    <s v="Jackson"/>
    <s v="Outlet"/>
    <x v="2"/>
    <n v="17"/>
    <n v="136"/>
    <n v="2312"/>
    <n v="1063.52"/>
  </r>
  <r>
    <x v="0"/>
    <n v="1128299"/>
    <x v="74"/>
    <x v="2"/>
    <s v="Louisiana"/>
    <s v="New Orleans"/>
    <s v="Online"/>
    <x v="0"/>
    <n v="51"/>
    <n v="101"/>
    <n v="5151"/>
    <n v="2317.9500000000003"/>
  </r>
  <r>
    <x v="0"/>
    <n v="1128299"/>
    <x v="74"/>
    <x v="2"/>
    <s v="Louisiana"/>
    <s v="New Orleans"/>
    <s v="Online"/>
    <x v="3"/>
    <n v="56"/>
    <n v="116"/>
    <n v="6496"/>
    <n v="2923.2000000000003"/>
  </r>
  <r>
    <x v="0"/>
    <n v="1128299"/>
    <x v="74"/>
    <x v="2"/>
    <s v="Louisiana"/>
    <s v="New Orleans"/>
    <s v="Online"/>
    <x v="5"/>
    <n v="50"/>
    <n v="84"/>
    <n v="4200"/>
    <n v="1890.0000000000005"/>
  </r>
  <r>
    <x v="2"/>
    <n v="1185732"/>
    <x v="74"/>
    <x v="2"/>
    <s v="Mississippi"/>
    <s v="Jackson"/>
    <s v="Online"/>
    <x v="4"/>
    <n v="23"/>
    <n v="187"/>
    <n v="4301"/>
    <n v="1935.4499999999998"/>
  </r>
  <r>
    <x v="3"/>
    <n v="1128299"/>
    <x v="74"/>
    <x v="3"/>
    <s v="Florida"/>
    <s v="Orlando"/>
    <s v="Online"/>
    <x v="2"/>
    <n v="54"/>
    <n v="101"/>
    <n v="5454"/>
    <n v="2181.6"/>
  </r>
  <r>
    <x v="0"/>
    <n v="1128299"/>
    <x v="74"/>
    <x v="2"/>
    <s v="Louisiana"/>
    <s v="New Orleans"/>
    <s v="Online"/>
    <x v="1"/>
    <n v="56"/>
    <n v="39"/>
    <n v="2184"/>
    <n v="873.60000000000014"/>
  </r>
  <r>
    <x v="2"/>
    <n v="1185732"/>
    <x v="74"/>
    <x v="2"/>
    <s v="Mississippi"/>
    <s v="Jackson"/>
    <s v="Online"/>
    <x v="2"/>
    <n v="24"/>
    <n v="123"/>
    <n v="2952"/>
    <n v="1121.76"/>
  </r>
  <r>
    <x v="4"/>
    <n v="1185732"/>
    <x v="75"/>
    <x v="4"/>
    <s v="New Hampshire"/>
    <s v="Manchester"/>
    <s v="In-store"/>
    <x v="3"/>
    <n v="40"/>
    <n v="300"/>
    <n v="12000"/>
    <n v="8400"/>
  </r>
  <r>
    <x v="4"/>
    <n v="1185732"/>
    <x v="75"/>
    <x v="4"/>
    <s v="New Hampshire"/>
    <s v="Manchester"/>
    <s v="In-store"/>
    <x v="1"/>
    <n v="60.000000000000007"/>
    <n v="200"/>
    <n v="12000.000000000002"/>
    <n v="8400.0000000000018"/>
  </r>
  <r>
    <x v="4"/>
    <n v="1185732"/>
    <x v="75"/>
    <x v="4"/>
    <s v="New Hampshire"/>
    <s v="Manchester"/>
    <s v="In-store"/>
    <x v="5"/>
    <n v="44.999999999999993"/>
    <n v="150"/>
    <n v="6749.9999999999991"/>
    <n v="4724.9999999999982"/>
  </r>
  <r>
    <x v="2"/>
    <n v="1185732"/>
    <x v="75"/>
    <x v="1"/>
    <s v="Missouri"/>
    <s v="St. Louis"/>
    <s v="In-store"/>
    <x v="3"/>
    <n v="25.000000000000007"/>
    <n v="350"/>
    <n v="8750.0000000000018"/>
    <n v="5687.5000000000018"/>
  </r>
  <r>
    <x v="3"/>
    <n v="1197831"/>
    <x v="75"/>
    <x v="2"/>
    <s v="Tennessee"/>
    <s v="Knoxville"/>
    <s v="Outlet"/>
    <x v="0"/>
    <n v="35"/>
    <n v="625"/>
    <n v="21875"/>
    <n v="14218.75"/>
  </r>
  <r>
    <x v="2"/>
    <n v="1185732"/>
    <x v="75"/>
    <x v="1"/>
    <s v="Missouri"/>
    <s v="St. Louis"/>
    <s v="In-store"/>
    <x v="0"/>
    <n v="35"/>
    <n v="300"/>
    <n v="10500"/>
    <n v="6825"/>
  </r>
  <r>
    <x v="2"/>
    <n v="1185732"/>
    <x v="75"/>
    <x v="1"/>
    <s v="Missouri"/>
    <s v="St. Louis"/>
    <s v="In-store"/>
    <x v="1"/>
    <n v="45"/>
    <n v="250"/>
    <n v="11250"/>
    <n v="7312.5"/>
  </r>
  <r>
    <x v="4"/>
    <n v="1185732"/>
    <x v="75"/>
    <x v="4"/>
    <s v="New Hampshire"/>
    <s v="Manchester"/>
    <s v="In-store"/>
    <x v="2"/>
    <n v="50"/>
    <n v="300"/>
    <n v="15000"/>
    <n v="9750"/>
  </r>
  <r>
    <x v="2"/>
    <n v="1185732"/>
    <x v="75"/>
    <x v="1"/>
    <s v="Missouri"/>
    <s v="St. Louis"/>
    <s v="In-store"/>
    <x v="4"/>
    <n v="35"/>
    <n v="620"/>
    <n v="21700"/>
    <n v="13020"/>
  </r>
  <r>
    <x v="2"/>
    <n v="1185732"/>
    <x v="75"/>
    <x v="1"/>
    <s v="Missouri"/>
    <s v="St. Louis"/>
    <s v="In-store"/>
    <x v="5"/>
    <n v="30"/>
    <n v="200"/>
    <n v="6000"/>
    <n v="3600"/>
  </r>
  <r>
    <x v="4"/>
    <n v="1185732"/>
    <x v="75"/>
    <x v="4"/>
    <s v="New Hampshire"/>
    <s v="Manchester"/>
    <s v="In-store"/>
    <x v="4"/>
    <n v="50"/>
    <n v="570"/>
    <n v="28500"/>
    <n v="17100"/>
  </r>
  <r>
    <x v="4"/>
    <n v="1185732"/>
    <x v="75"/>
    <x v="4"/>
    <s v="New Hampshire"/>
    <s v="Manchester"/>
    <s v="In-store"/>
    <x v="0"/>
    <n v="50"/>
    <n v="275"/>
    <n v="13750"/>
    <n v="8250"/>
  </r>
  <r>
    <x v="2"/>
    <n v="1185732"/>
    <x v="75"/>
    <x v="1"/>
    <s v="Missouri"/>
    <s v="St. Louis"/>
    <s v="In-store"/>
    <x v="2"/>
    <n v="35"/>
    <n v="350"/>
    <n v="12250"/>
    <n v="6125"/>
  </r>
  <r>
    <x v="1"/>
    <n v="1189833"/>
    <x v="75"/>
    <x v="0"/>
    <s v="California"/>
    <s v="Los Angeles"/>
    <s v="Outlet"/>
    <x v="1"/>
    <n v="50"/>
    <n v="450"/>
    <n v="22500"/>
    <n v="10124.999999999998"/>
  </r>
  <r>
    <x v="4"/>
    <n v="1185732"/>
    <x v="75"/>
    <x v="4"/>
    <s v="New Hampshire"/>
    <s v="Manchester"/>
    <s v="Outlet"/>
    <x v="1"/>
    <n v="47"/>
    <n v="60"/>
    <n v="2820"/>
    <n v="1889.4"/>
  </r>
  <r>
    <x v="4"/>
    <n v="1185732"/>
    <x v="75"/>
    <x v="4"/>
    <s v="New Hampshire"/>
    <s v="Manchester"/>
    <s v="Outlet"/>
    <x v="3"/>
    <n v="32"/>
    <n v="105"/>
    <n v="3360"/>
    <n v="2217.6000000000004"/>
  </r>
  <r>
    <x v="4"/>
    <n v="1185732"/>
    <x v="75"/>
    <x v="4"/>
    <s v="New Hampshire"/>
    <s v="Manchester"/>
    <s v="Outlet"/>
    <x v="5"/>
    <n v="33"/>
    <n v="45"/>
    <n v="1485"/>
    <n v="935.55"/>
  </r>
  <r>
    <x v="4"/>
    <n v="1185732"/>
    <x v="75"/>
    <x v="4"/>
    <s v="New Hampshire"/>
    <s v="Manchester"/>
    <s v="Outlet"/>
    <x v="2"/>
    <n v="36"/>
    <n v="99"/>
    <n v="3564"/>
    <n v="2209.6800000000003"/>
  </r>
  <r>
    <x v="3"/>
    <n v="1197831"/>
    <x v="75"/>
    <x v="2"/>
    <s v="Tennessee"/>
    <s v="Knoxville"/>
    <s v="Outlet"/>
    <x v="0"/>
    <n v="23"/>
    <n v="219"/>
    <n v="5037"/>
    <n v="3072.57"/>
  </r>
  <r>
    <x v="4"/>
    <n v="1185732"/>
    <x v="75"/>
    <x v="4"/>
    <s v="New Hampshire"/>
    <s v="Manchester"/>
    <s v="Online"/>
    <x v="3"/>
    <n v="38"/>
    <n v="75"/>
    <n v="2850"/>
    <n v="1681.5"/>
  </r>
  <r>
    <x v="4"/>
    <n v="1185732"/>
    <x v="75"/>
    <x v="4"/>
    <s v="New Hampshire"/>
    <s v="Manchester"/>
    <s v="Online"/>
    <x v="5"/>
    <n v="44"/>
    <n v="38"/>
    <n v="1672"/>
    <n v="969.76"/>
  </r>
  <r>
    <x v="2"/>
    <n v="1185732"/>
    <x v="75"/>
    <x v="1"/>
    <s v="Missouri"/>
    <s v="St. Louis"/>
    <s v="Online"/>
    <x v="0"/>
    <n v="34"/>
    <n v="87"/>
    <n v="2958"/>
    <n v="1626.9"/>
  </r>
  <r>
    <x v="4"/>
    <n v="1185732"/>
    <x v="75"/>
    <x v="4"/>
    <s v="New Hampshire"/>
    <s v="Manchester"/>
    <s v="Online"/>
    <x v="1"/>
    <n v="58"/>
    <n v="60"/>
    <n v="3480"/>
    <n v="1914.0000000000002"/>
  </r>
  <r>
    <x v="2"/>
    <n v="1185732"/>
    <x v="75"/>
    <x v="1"/>
    <s v="Missouri"/>
    <s v="St. Louis"/>
    <s v="Online"/>
    <x v="3"/>
    <n v="23"/>
    <n v="95"/>
    <n v="2185"/>
    <n v="1179.9000000000001"/>
  </r>
  <r>
    <x v="4"/>
    <n v="1185732"/>
    <x v="75"/>
    <x v="4"/>
    <s v="New Hampshire"/>
    <s v="Manchester"/>
    <s v="Outlet"/>
    <x v="0"/>
    <n v="36"/>
    <n v="88"/>
    <n v="3168"/>
    <n v="1710.72"/>
  </r>
  <r>
    <x v="4"/>
    <n v="1185732"/>
    <x v="75"/>
    <x v="4"/>
    <s v="New Hampshire"/>
    <s v="Manchester"/>
    <s v="Outlet"/>
    <x v="4"/>
    <n v="39"/>
    <n v="188"/>
    <n v="7332"/>
    <n v="3959.2799999999997"/>
  </r>
  <r>
    <x v="4"/>
    <n v="1185732"/>
    <x v="75"/>
    <x v="4"/>
    <s v="New Hampshire"/>
    <s v="Manchester"/>
    <s v="Online"/>
    <x v="2"/>
    <n v="45"/>
    <n v="75"/>
    <n v="3375"/>
    <n v="1788.75"/>
  </r>
  <r>
    <x v="3"/>
    <n v="1197831"/>
    <x v="75"/>
    <x v="2"/>
    <s v="Tennessee"/>
    <s v="Knoxville"/>
    <s v="Online"/>
    <x v="0"/>
    <n v="33"/>
    <n v="181"/>
    <n v="5973"/>
    <n v="3105.96"/>
  </r>
  <r>
    <x v="2"/>
    <n v="1185732"/>
    <x v="75"/>
    <x v="1"/>
    <s v="Missouri"/>
    <s v="St. Louis"/>
    <s v="Online"/>
    <x v="1"/>
    <n v="41"/>
    <n v="75"/>
    <n v="3075"/>
    <n v="1568.25"/>
  </r>
  <r>
    <x v="4"/>
    <n v="1185732"/>
    <x v="75"/>
    <x v="4"/>
    <s v="New Hampshire"/>
    <s v="Manchester"/>
    <s v="Online"/>
    <x v="4"/>
    <n v="49"/>
    <n v="165"/>
    <n v="8085"/>
    <n v="4042.5"/>
  </r>
  <r>
    <x v="2"/>
    <n v="1185732"/>
    <x v="75"/>
    <x v="1"/>
    <s v="Missouri"/>
    <s v="St. Louis"/>
    <s v="Online"/>
    <x v="4"/>
    <n v="34"/>
    <n v="186"/>
    <n v="6324"/>
    <n v="3098.7599999999998"/>
  </r>
  <r>
    <x v="2"/>
    <n v="1185732"/>
    <x v="75"/>
    <x v="1"/>
    <s v="Missouri"/>
    <s v="St. Louis"/>
    <s v="Online"/>
    <x v="5"/>
    <n v="28"/>
    <n v="54"/>
    <n v="1512"/>
    <n v="740.88"/>
  </r>
  <r>
    <x v="4"/>
    <n v="1185732"/>
    <x v="75"/>
    <x v="4"/>
    <s v="New Hampshire"/>
    <s v="Manchester"/>
    <s v="Online"/>
    <x v="0"/>
    <n v="49"/>
    <n v="69"/>
    <n v="3381"/>
    <n v="1656.69"/>
  </r>
  <r>
    <x v="1"/>
    <n v="1189833"/>
    <x v="75"/>
    <x v="0"/>
    <s v="California"/>
    <s v="Los Angeles"/>
    <s v="Outlet"/>
    <x v="1"/>
    <n v="40"/>
    <n v="140"/>
    <n v="5600"/>
    <n v="2407.9999999999995"/>
  </r>
  <r>
    <x v="2"/>
    <n v="1185732"/>
    <x v="75"/>
    <x v="1"/>
    <s v="Missouri"/>
    <s v="St. Louis"/>
    <s v="Online"/>
    <x v="2"/>
    <n v="34"/>
    <n v="102"/>
    <n v="3468"/>
    <n v="1213.7999999999997"/>
  </r>
  <r>
    <x v="1"/>
    <n v="1189833"/>
    <x v="75"/>
    <x v="0"/>
    <s v="California"/>
    <s v="Los Angeles"/>
    <s v="Online"/>
    <x v="1"/>
    <n v="46"/>
    <n v="113"/>
    <n v="5198"/>
    <n v="1663.3599999999997"/>
  </r>
  <r>
    <x v="1"/>
    <n v="1189833"/>
    <x v="76"/>
    <x v="0"/>
    <s v="California"/>
    <s v="Los Angeles"/>
    <s v="Outlet"/>
    <x v="2"/>
    <n v="45"/>
    <n v="650"/>
    <n v="29250"/>
    <n v="23400"/>
  </r>
  <r>
    <x v="3"/>
    <n v="1197831"/>
    <x v="76"/>
    <x v="2"/>
    <s v="Tennessee"/>
    <s v="Knoxville"/>
    <s v="Outlet"/>
    <x v="3"/>
    <n v="35"/>
    <n v="450"/>
    <n v="15750"/>
    <n v="10237.5"/>
  </r>
  <r>
    <x v="1"/>
    <n v="1189833"/>
    <x v="76"/>
    <x v="0"/>
    <s v="California"/>
    <s v="Los Angeles"/>
    <s v="Outlet"/>
    <x v="2"/>
    <n v="32"/>
    <n v="208"/>
    <n v="6656"/>
    <n v="4925.4400000000005"/>
  </r>
  <r>
    <x v="1"/>
    <n v="1189833"/>
    <x v="76"/>
    <x v="0"/>
    <s v="California"/>
    <s v="Los Angeles"/>
    <s v="Online"/>
    <x v="2"/>
    <n v="41"/>
    <n v="176"/>
    <n v="7216"/>
    <n v="5051.2"/>
  </r>
  <r>
    <x v="3"/>
    <n v="1197831"/>
    <x v="76"/>
    <x v="2"/>
    <s v="Tennessee"/>
    <s v="Knoxville"/>
    <s v="Outlet"/>
    <x v="3"/>
    <n v="23"/>
    <n v="140"/>
    <n v="3220"/>
    <n v="1964.2"/>
  </r>
  <r>
    <x v="3"/>
    <n v="1197831"/>
    <x v="76"/>
    <x v="2"/>
    <s v="Tennessee"/>
    <s v="Knoxville"/>
    <s v="Online"/>
    <x v="3"/>
    <n v="32"/>
    <n v="122"/>
    <n v="3904"/>
    <n v="2030.0800000000002"/>
  </r>
  <r>
    <x v="0"/>
    <n v="1197831"/>
    <x v="77"/>
    <x v="2"/>
    <s v="Oklahoma"/>
    <s v="Oklahoma City"/>
    <s v="Online"/>
    <x v="1"/>
    <n v="35.000000000000007"/>
    <n v="175"/>
    <n v="6125.0000000000009"/>
    <n v="3981.2500000000014"/>
  </r>
  <r>
    <x v="5"/>
    <n v="1197831"/>
    <x v="77"/>
    <x v="2"/>
    <s v="Arkansas"/>
    <s v="Little Rock"/>
    <s v="Online"/>
    <x v="1"/>
    <n v="35.000000000000007"/>
    <n v="250"/>
    <n v="8750.0000000000018"/>
    <n v="5687.5000000000018"/>
  </r>
  <r>
    <x v="5"/>
    <n v="1197831"/>
    <x v="77"/>
    <x v="2"/>
    <s v="Arkansas"/>
    <s v="Little Rock"/>
    <s v="Online"/>
    <x v="0"/>
    <n v="20"/>
    <n v="325"/>
    <n v="6500"/>
    <n v="4225"/>
  </r>
  <r>
    <x v="0"/>
    <n v="1197831"/>
    <x v="77"/>
    <x v="2"/>
    <s v="Oklahoma"/>
    <s v="Oklahoma City"/>
    <s v="Online"/>
    <x v="0"/>
    <n v="20"/>
    <n v="250"/>
    <n v="5000"/>
    <n v="3250"/>
  </r>
  <r>
    <x v="1"/>
    <n v="1189833"/>
    <x v="77"/>
    <x v="0"/>
    <s v="California"/>
    <s v="Los Angeles"/>
    <s v="Outlet"/>
    <x v="4"/>
    <n v="35"/>
    <n v="800"/>
    <n v="28000"/>
    <n v="16800"/>
  </r>
  <r>
    <x v="5"/>
    <n v="1197831"/>
    <x v="77"/>
    <x v="2"/>
    <s v="Arkansas"/>
    <s v="Little Rock"/>
    <s v="Online"/>
    <x v="4"/>
    <n v="20"/>
    <n v="645"/>
    <n v="12900"/>
    <n v="7740"/>
  </r>
  <r>
    <x v="5"/>
    <n v="1197831"/>
    <x v="77"/>
    <x v="2"/>
    <s v="Arkansas"/>
    <s v="Little Rock"/>
    <s v="Online"/>
    <x v="3"/>
    <n v="10.000000000000002"/>
    <n v="350"/>
    <n v="3500.0000000000005"/>
    <n v="2100.0000000000005"/>
  </r>
  <r>
    <x v="5"/>
    <n v="1197831"/>
    <x v="77"/>
    <x v="2"/>
    <s v="Arkansas"/>
    <s v="Little Rock"/>
    <s v="Online"/>
    <x v="2"/>
    <n v="25"/>
    <n v="350"/>
    <n v="8750"/>
    <n v="5250"/>
  </r>
  <r>
    <x v="0"/>
    <n v="1197831"/>
    <x v="77"/>
    <x v="2"/>
    <s v="Oklahoma"/>
    <s v="Oklahoma City"/>
    <s v="Online"/>
    <x v="4"/>
    <n v="20"/>
    <n v="570"/>
    <n v="11400"/>
    <n v="6840"/>
  </r>
  <r>
    <x v="0"/>
    <n v="1197831"/>
    <x v="77"/>
    <x v="2"/>
    <s v="Oklahoma"/>
    <s v="Oklahoma City"/>
    <s v="Online"/>
    <x v="2"/>
    <n v="25"/>
    <n v="275"/>
    <n v="6875"/>
    <n v="4125"/>
  </r>
  <r>
    <x v="5"/>
    <n v="1197831"/>
    <x v="77"/>
    <x v="2"/>
    <s v="Arkansas"/>
    <s v="Little Rock"/>
    <s v="Online"/>
    <x v="5"/>
    <n v="19.999999999999996"/>
    <n v="200"/>
    <n v="3999.9999999999991"/>
    <n v="2399.9999999999991"/>
  </r>
  <r>
    <x v="0"/>
    <n v="1197831"/>
    <x v="77"/>
    <x v="2"/>
    <s v="Oklahoma"/>
    <s v="Oklahoma City"/>
    <s v="Online"/>
    <x v="3"/>
    <n v="10.000000000000002"/>
    <n v="275"/>
    <n v="2750.0000000000005"/>
    <n v="1650"/>
  </r>
  <r>
    <x v="0"/>
    <n v="1197831"/>
    <x v="77"/>
    <x v="2"/>
    <s v="Oklahoma"/>
    <s v="Oklahoma City"/>
    <s v="Online"/>
    <x v="5"/>
    <n v="19.999999999999996"/>
    <n v="125"/>
    <n v="2499.9999999999995"/>
    <n v="1499.9999999999995"/>
  </r>
  <r>
    <x v="3"/>
    <n v="1197831"/>
    <x v="77"/>
    <x v="2"/>
    <s v="Tennessee"/>
    <s v="Knoxville"/>
    <s v="Outlet"/>
    <x v="5"/>
    <n v="35"/>
    <n v="400"/>
    <n v="14000"/>
    <n v="7700"/>
  </r>
  <r>
    <x v="5"/>
    <n v="1197831"/>
    <x v="77"/>
    <x v="2"/>
    <s v="Arkansas"/>
    <s v="Little Rock"/>
    <s v="Outlet"/>
    <x v="0"/>
    <n v="14"/>
    <n v="107"/>
    <n v="1498"/>
    <n v="943.74"/>
  </r>
  <r>
    <x v="5"/>
    <n v="1197831"/>
    <x v="77"/>
    <x v="2"/>
    <s v="Arkansas"/>
    <s v="Little Rock"/>
    <s v="Outlet"/>
    <x v="1"/>
    <n v="24"/>
    <n v="88"/>
    <n v="2112"/>
    <n v="1267.2"/>
  </r>
  <r>
    <x v="0"/>
    <n v="1197831"/>
    <x v="77"/>
    <x v="2"/>
    <s v="Oklahoma"/>
    <s v="Oklahoma City"/>
    <s v="Outlet"/>
    <x v="0"/>
    <n v="15"/>
    <n v="78"/>
    <n v="1170"/>
    <n v="690.3"/>
  </r>
  <r>
    <x v="0"/>
    <n v="1197831"/>
    <x v="77"/>
    <x v="2"/>
    <s v="Oklahoma"/>
    <s v="Oklahoma City"/>
    <s v="Outlet"/>
    <x v="1"/>
    <n v="26"/>
    <n v="61"/>
    <n v="1586"/>
    <n v="919.88"/>
  </r>
  <r>
    <x v="1"/>
    <n v="1189833"/>
    <x v="77"/>
    <x v="0"/>
    <s v="California"/>
    <s v="Los Angeles"/>
    <s v="Outlet"/>
    <x v="4"/>
    <n v="24"/>
    <n v="264"/>
    <n v="6336"/>
    <n v="3548.16"/>
  </r>
  <r>
    <x v="0"/>
    <n v="1197831"/>
    <x v="77"/>
    <x v="2"/>
    <s v="Oklahoma"/>
    <s v="Oklahoma City"/>
    <s v="Outlet"/>
    <x v="3"/>
    <n v="7"/>
    <n v="83"/>
    <n v="581"/>
    <n v="319.55"/>
  </r>
  <r>
    <x v="5"/>
    <n v="1197831"/>
    <x v="77"/>
    <x v="2"/>
    <s v="Arkansas"/>
    <s v="Little Rock"/>
    <s v="Online"/>
    <x v="0"/>
    <n v="20"/>
    <n v="98"/>
    <n v="1960"/>
    <n v="1078"/>
  </r>
  <r>
    <x v="5"/>
    <n v="1197831"/>
    <x v="77"/>
    <x v="2"/>
    <s v="Arkansas"/>
    <s v="Little Rock"/>
    <s v="Outlet"/>
    <x v="3"/>
    <n v="8"/>
    <n v="112"/>
    <n v="896"/>
    <n v="492.8"/>
  </r>
  <r>
    <x v="5"/>
    <n v="1197831"/>
    <x v="77"/>
    <x v="2"/>
    <s v="Arkansas"/>
    <s v="Little Rock"/>
    <s v="Online"/>
    <x v="1"/>
    <n v="32"/>
    <n v="65"/>
    <n v="2080"/>
    <n v="1123.2"/>
  </r>
  <r>
    <x v="0"/>
    <n v="1197831"/>
    <x v="77"/>
    <x v="2"/>
    <s v="Oklahoma"/>
    <s v="Oklahoma City"/>
    <s v="Outlet"/>
    <x v="2"/>
    <n v="18"/>
    <n v="88"/>
    <n v="1584"/>
    <n v="855.36"/>
  </r>
  <r>
    <x v="5"/>
    <n v="1197831"/>
    <x v="77"/>
    <x v="2"/>
    <s v="Arkansas"/>
    <s v="Little Rock"/>
    <s v="Outlet"/>
    <x v="2"/>
    <n v="20"/>
    <n v="112"/>
    <n v="2240"/>
    <n v="1209.5999999999999"/>
  </r>
  <r>
    <x v="0"/>
    <n v="1197831"/>
    <x v="77"/>
    <x v="2"/>
    <s v="Oklahoma"/>
    <s v="Oklahoma City"/>
    <s v="Outlet"/>
    <x v="4"/>
    <n v="14"/>
    <n v="182"/>
    <n v="2548"/>
    <n v="1375.9199999999998"/>
  </r>
  <r>
    <x v="0"/>
    <n v="1197831"/>
    <x v="77"/>
    <x v="2"/>
    <s v="Oklahoma"/>
    <s v="Oklahoma City"/>
    <s v="Online"/>
    <x v="1"/>
    <n v="34"/>
    <n v="49"/>
    <n v="1666"/>
    <n v="882.98"/>
  </r>
  <r>
    <x v="5"/>
    <n v="1197831"/>
    <x v="77"/>
    <x v="2"/>
    <s v="Arkansas"/>
    <s v="Little Rock"/>
    <s v="Outlet"/>
    <x v="5"/>
    <n v="15"/>
    <n v="70"/>
    <n v="1050"/>
    <n v="556.5"/>
  </r>
  <r>
    <x v="0"/>
    <n v="1197831"/>
    <x v="77"/>
    <x v="2"/>
    <s v="Oklahoma"/>
    <s v="Oklahoma City"/>
    <s v="Outlet"/>
    <x v="5"/>
    <n v="16"/>
    <n v="39"/>
    <n v="624"/>
    <n v="330.71999999999997"/>
  </r>
  <r>
    <x v="5"/>
    <n v="1197831"/>
    <x v="77"/>
    <x v="2"/>
    <s v="Arkansas"/>
    <s v="Little Rock"/>
    <s v="Outlet"/>
    <x v="4"/>
    <n v="15"/>
    <n v="206"/>
    <n v="3090"/>
    <n v="1637.6999999999998"/>
  </r>
  <r>
    <x v="0"/>
    <n v="1197831"/>
    <x v="77"/>
    <x v="2"/>
    <s v="Oklahoma"/>
    <s v="Oklahoma City"/>
    <s v="Online"/>
    <x v="0"/>
    <n v="19"/>
    <n v="73"/>
    <n v="1387"/>
    <n v="721.24"/>
  </r>
  <r>
    <x v="3"/>
    <n v="1197831"/>
    <x v="77"/>
    <x v="2"/>
    <s v="Tennessee"/>
    <s v="Knoxville"/>
    <s v="Outlet"/>
    <x v="5"/>
    <n v="28"/>
    <n v="128"/>
    <n v="3584"/>
    <n v="1827.8400000000001"/>
  </r>
  <r>
    <x v="1"/>
    <n v="1189833"/>
    <x v="77"/>
    <x v="0"/>
    <s v="California"/>
    <s v="Los Angeles"/>
    <s v="Online"/>
    <x v="4"/>
    <n v="32"/>
    <n v="216"/>
    <n v="6912"/>
    <n v="3456"/>
  </r>
  <r>
    <x v="0"/>
    <n v="1197831"/>
    <x v="77"/>
    <x v="2"/>
    <s v="Oklahoma"/>
    <s v="Oklahoma City"/>
    <s v="Online"/>
    <x v="4"/>
    <n v="19"/>
    <n v="154"/>
    <n v="2926"/>
    <n v="1463"/>
  </r>
  <r>
    <x v="0"/>
    <n v="1197831"/>
    <x v="77"/>
    <x v="2"/>
    <s v="Oklahoma"/>
    <s v="Oklahoma City"/>
    <s v="Online"/>
    <x v="3"/>
    <n v="9"/>
    <n v="80"/>
    <n v="720"/>
    <n v="360"/>
  </r>
  <r>
    <x v="0"/>
    <n v="1197831"/>
    <x v="77"/>
    <x v="2"/>
    <s v="Oklahoma"/>
    <s v="Oklahoma City"/>
    <s v="Online"/>
    <x v="5"/>
    <n v="20"/>
    <n v="34"/>
    <n v="680"/>
    <n v="340"/>
  </r>
  <r>
    <x v="5"/>
    <n v="1197831"/>
    <x v="77"/>
    <x v="2"/>
    <s v="Arkansas"/>
    <s v="Little Rock"/>
    <s v="Online"/>
    <x v="2"/>
    <n v="24"/>
    <n v="102"/>
    <n v="2448"/>
    <n v="1199.52"/>
  </r>
  <r>
    <x v="5"/>
    <n v="1197831"/>
    <x v="77"/>
    <x v="2"/>
    <s v="Arkansas"/>
    <s v="Little Rock"/>
    <s v="Online"/>
    <x v="5"/>
    <n v="19"/>
    <n v="60"/>
    <n v="1140"/>
    <n v="547.19999999999993"/>
  </r>
  <r>
    <x v="5"/>
    <n v="1197831"/>
    <x v="77"/>
    <x v="2"/>
    <s v="Arkansas"/>
    <s v="Little Rock"/>
    <s v="Online"/>
    <x v="4"/>
    <n v="18"/>
    <n v="181"/>
    <n v="3258"/>
    <n v="1531.26"/>
  </r>
  <r>
    <x v="5"/>
    <n v="1197831"/>
    <x v="77"/>
    <x v="2"/>
    <s v="Arkansas"/>
    <s v="Little Rock"/>
    <s v="Online"/>
    <x v="3"/>
    <n v="10"/>
    <n v="88"/>
    <n v="880"/>
    <n v="404.79999999999995"/>
  </r>
  <r>
    <x v="0"/>
    <n v="1197831"/>
    <x v="77"/>
    <x v="2"/>
    <s v="Oklahoma"/>
    <s v="Oklahoma City"/>
    <s v="Online"/>
    <x v="2"/>
    <n v="23"/>
    <n v="69"/>
    <n v="1587"/>
    <n v="730.02"/>
  </r>
  <r>
    <x v="3"/>
    <n v="1197831"/>
    <x v="77"/>
    <x v="2"/>
    <s v="Tennessee"/>
    <s v="Knoxville"/>
    <s v="Online"/>
    <x v="5"/>
    <n v="33"/>
    <n v="108"/>
    <n v="3564"/>
    <n v="1425.6"/>
  </r>
  <r>
    <x v="4"/>
    <n v="1185732"/>
    <x v="78"/>
    <x v="0"/>
    <s v="Alaska"/>
    <s v="Anchorage"/>
    <s v="Outlet"/>
    <x v="1"/>
    <n v="65.000000000000014"/>
    <n v="175"/>
    <n v="11375.000000000002"/>
    <n v="8531.2500000000036"/>
  </r>
  <r>
    <x v="1"/>
    <n v="1189833"/>
    <x v="78"/>
    <x v="0"/>
    <s v="California"/>
    <s v="Los Angeles"/>
    <s v="Outlet"/>
    <x v="0"/>
    <n v="45"/>
    <n v="650"/>
    <n v="29250"/>
    <n v="21937.5"/>
  </r>
  <r>
    <x v="4"/>
    <n v="1185732"/>
    <x v="78"/>
    <x v="0"/>
    <s v="Alaska"/>
    <s v="Anchorage"/>
    <s v="Outlet"/>
    <x v="3"/>
    <n v="45"/>
    <n v="275"/>
    <n v="12375"/>
    <n v="9281.25"/>
  </r>
  <r>
    <x v="4"/>
    <n v="1185732"/>
    <x v="78"/>
    <x v="0"/>
    <s v="Alaska"/>
    <s v="Anchorage"/>
    <s v="Outlet"/>
    <x v="5"/>
    <n v="49.999999999999993"/>
    <n v="125"/>
    <n v="6249.9999999999991"/>
    <n v="4687.4999999999991"/>
  </r>
  <r>
    <x v="4"/>
    <n v="1185732"/>
    <x v="78"/>
    <x v="0"/>
    <s v="Alaska"/>
    <s v="Anchorage"/>
    <s v="Outlet"/>
    <x v="2"/>
    <n v="55.000000000000007"/>
    <n v="275"/>
    <n v="15125.000000000002"/>
    <n v="10587.500000000004"/>
  </r>
  <r>
    <x v="3"/>
    <n v="1197831"/>
    <x v="78"/>
    <x v="2"/>
    <s v="Tennessee"/>
    <s v="Knoxville"/>
    <s v="Outlet"/>
    <x v="1"/>
    <n v="40"/>
    <n v="275"/>
    <n v="11000"/>
    <n v="7700"/>
  </r>
  <r>
    <x v="0"/>
    <n v="1185732"/>
    <x v="78"/>
    <x v="4"/>
    <s v="Maryland"/>
    <s v="Baltimore"/>
    <s v="In-store"/>
    <x v="1"/>
    <n v="45"/>
    <n v="75"/>
    <n v="3375"/>
    <n v="2362.5"/>
  </r>
  <r>
    <x v="0"/>
    <n v="1185732"/>
    <x v="78"/>
    <x v="4"/>
    <s v="Maryland"/>
    <s v="Baltimore"/>
    <s v="In-store"/>
    <x v="2"/>
    <n v="35"/>
    <n v="175"/>
    <n v="6125"/>
    <n v="4287.5"/>
  </r>
  <r>
    <x v="0"/>
    <n v="1185732"/>
    <x v="78"/>
    <x v="4"/>
    <s v="Maryland"/>
    <s v="Baltimore"/>
    <s v="In-store"/>
    <x v="3"/>
    <n v="25.000000000000007"/>
    <n v="175"/>
    <n v="4375.0000000000009"/>
    <n v="2843.7500000000009"/>
  </r>
  <r>
    <x v="4"/>
    <n v="1185732"/>
    <x v="78"/>
    <x v="0"/>
    <s v="Alaska"/>
    <s v="Anchorage"/>
    <s v="Outlet"/>
    <x v="4"/>
    <n v="55.000000000000007"/>
    <n v="545"/>
    <n v="29975.000000000004"/>
    <n v="19483.750000000004"/>
  </r>
  <r>
    <x v="4"/>
    <n v="1185732"/>
    <x v="78"/>
    <x v="0"/>
    <s v="Alaska"/>
    <s v="Anchorage"/>
    <s v="Outlet"/>
    <x v="0"/>
    <n v="55.000000000000007"/>
    <n v="250"/>
    <n v="13750.000000000002"/>
    <n v="8937.5000000000018"/>
  </r>
  <r>
    <x v="0"/>
    <n v="1185732"/>
    <x v="78"/>
    <x v="4"/>
    <s v="Maryland"/>
    <s v="Baltimore"/>
    <s v="In-store"/>
    <x v="0"/>
    <n v="35"/>
    <n v="150"/>
    <n v="5250"/>
    <n v="3412.5"/>
  </r>
  <r>
    <x v="0"/>
    <n v="1185732"/>
    <x v="78"/>
    <x v="4"/>
    <s v="Maryland"/>
    <s v="Baltimore"/>
    <s v="In-store"/>
    <x v="5"/>
    <n v="30"/>
    <n v="25"/>
    <n v="750"/>
    <n v="487.5"/>
  </r>
  <r>
    <x v="0"/>
    <n v="1185732"/>
    <x v="78"/>
    <x v="4"/>
    <s v="Maryland"/>
    <s v="Baltimore"/>
    <s v="In-store"/>
    <x v="4"/>
    <n v="35"/>
    <n v="445"/>
    <n v="15575"/>
    <n v="9345"/>
  </r>
  <r>
    <x v="1"/>
    <n v="1189833"/>
    <x v="78"/>
    <x v="0"/>
    <s v="California"/>
    <s v="Los Angeles"/>
    <s v="Outlet"/>
    <x v="0"/>
    <n v="36"/>
    <n v="228"/>
    <n v="8208"/>
    <n v="5909.76"/>
  </r>
  <r>
    <x v="3"/>
    <n v="1197831"/>
    <x v="78"/>
    <x v="2"/>
    <s v="Tennessee"/>
    <s v="Knoxville"/>
    <s v="Outlet"/>
    <x v="1"/>
    <n v="29"/>
    <n v="94"/>
    <n v="2726"/>
    <n v="1853.6799999999998"/>
  </r>
  <r>
    <x v="1"/>
    <n v="1189833"/>
    <x v="78"/>
    <x v="0"/>
    <s v="California"/>
    <s v="Los Angeles"/>
    <s v="Online"/>
    <x v="0"/>
    <n v="41"/>
    <n v="195"/>
    <n v="7995"/>
    <n v="5196.75"/>
  </r>
  <r>
    <x v="4"/>
    <n v="1185732"/>
    <x v="78"/>
    <x v="0"/>
    <s v="Alaska"/>
    <s v="Anchorage"/>
    <s v="Online"/>
    <x v="3"/>
    <n v="41"/>
    <n v="69"/>
    <n v="2829"/>
    <n v="1782.27"/>
  </r>
  <r>
    <x v="4"/>
    <n v="1185732"/>
    <x v="78"/>
    <x v="0"/>
    <s v="Alaska"/>
    <s v="Anchorage"/>
    <s v="Online"/>
    <x v="5"/>
    <n v="49"/>
    <n v="36"/>
    <n v="1764"/>
    <n v="1093.6799999999998"/>
  </r>
  <r>
    <x v="4"/>
    <n v="1185732"/>
    <x v="78"/>
    <x v="0"/>
    <s v="Alaska"/>
    <s v="Anchorage"/>
    <s v="Online"/>
    <x v="1"/>
    <n v="64"/>
    <n v="53"/>
    <n v="3392"/>
    <n v="2069.12"/>
  </r>
  <r>
    <x v="4"/>
    <n v="1185732"/>
    <x v="78"/>
    <x v="0"/>
    <s v="Alaska"/>
    <s v="Anchorage"/>
    <s v="Online"/>
    <x v="2"/>
    <n v="53"/>
    <n v="72"/>
    <n v="3816"/>
    <n v="2289.6"/>
  </r>
  <r>
    <x v="3"/>
    <n v="1197831"/>
    <x v="78"/>
    <x v="2"/>
    <s v="Tennessee"/>
    <s v="Knoxville"/>
    <s v="Online"/>
    <x v="1"/>
    <n v="37"/>
    <n v="83"/>
    <n v="3071"/>
    <n v="1811.89"/>
  </r>
  <r>
    <x v="0"/>
    <n v="1185732"/>
    <x v="78"/>
    <x v="4"/>
    <s v="Maryland"/>
    <s v="Baltimore"/>
    <s v="Online"/>
    <x v="1"/>
    <n v="43"/>
    <n v="22"/>
    <n v="946"/>
    <n v="539.22"/>
  </r>
  <r>
    <x v="0"/>
    <n v="1185732"/>
    <x v="78"/>
    <x v="4"/>
    <s v="Maryland"/>
    <s v="Baltimore"/>
    <s v="Online"/>
    <x v="2"/>
    <n v="33"/>
    <n v="49"/>
    <n v="1617"/>
    <n v="889.35"/>
  </r>
  <r>
    <x v="0"/>
    <n v="1185732"/>
    <x v="78"/>
    <x v="4"/>
    <s v="Maryland"/>
    <s v="Baltimore"/>
    <s v="Online"/>
    <x v="5"/>
    <n v="29"/>
    <n v="7"/>
    <n v="203"/>
    <n v="109.62"/>
  </r>
  <r>
    <x v="0"/>
    <n v="1185732"/>
    <x v="78"/>
    <x v="4"/>
    <s v="Maryland"/>
    <s v="Baltimore"/>
    <s v="Online"/>
    <x v="0"/>
    <n v="34"/>
    <n v="39"/>
    <n v="1326"/>
    <n v="702.78000000000009"/>
  </r>
  <r>
    <x v="4"/>
    <n v="1185732"/>
    <x v="78"/>
    <x v="0"/>
    <s v="Alaska"/>
    <s v="Anchorage"/>
    <s v="Online"/>
    <x v="4"/>
    <n v="53"/>
    <n v="153"/>
    <n v="8109"/>
    <n v="4135.59"/>
  </r>
  <r>
    <x v="0"/>
    <n v="1185732"/>
    <x v="78"/>
    <x v="4"/>
    <s v="Maryland"/>
    <s v="Baltimore"/>
    <s v="Online"/>
    <x v="3"/>
    <n v="24"/>
    <n v="53"/>
    <n v="1272"/>
    <n v="648.72"/>
  </r>
  <r>
    <x v="4"/>
    <n v="1185732"/>
    <x v="78"/>
    <x v="0"/>
    <s v="Alaska"/>
    <s v="Anchorage"/>
    <s v="Online"/>
    <x v="0"/>
    <n v="52"/>
    <n v="65"/>
    <n v="3380"/>
    <n v="1690"/>
  </r>
  <r>
    <x v="0"/>
    <n v="1185732"/>
    <x v="78"/>
    <x v="4"/>
    <s v="Maryland"/>
    <s v="Baltimore"/>
    <s v="Online"/>
    <x v="4"/>
    <n v="32"/>
    <n v="125"/>
    <n v="4000"/>
    <n v="1880"/>
  </r>
  <r>
    <x v="4"/>
    <n v="1185732"/>
    <x v="79"/>
    <x v="3"/>
    <s v="Kentucky"/>
    <s v="Louisville"/>
    <s v="Online"/>
    <x v="0"/>
    <n v="45"/>
    <n v="225"/>
    <n v="10125"/>
    <n v="6581.25"/>
  </r>
  <r>
    <x v="4"/>
    <n v="1185732"/>
    <x v="79"/>
    <x v="3"/>
    <s v="Kentucky"/>
    <s v="Louisville"/>
    <s v="Online"/>
    <x v="1"/>
    <n v="54.999999999999993"/>
    <n v="150"/>
    <n v="8249.9999999999982"/>
    <n v="5362.4999999999991"/>
  </r>
  <r>
    <x v="1"/>
    <n v="1189833"/>
    <x v="79"/>
    <x v="0"/>
    <s v="California"/>
    <s v="Los Angeles"/>
    <s v="Outlet"/>
    <x v="3"/>
    <n v="45"/>
    <n v="650"/>
    <n v="29250"/>
    <n v="17550"/>
  </r>
  <r>
    <x v="4"/>
    <n v="1185732"/>
    <x v="79"/>
    <x v="3"/>
    <s v="Kentucky"/>
    <s v="Louisville"/>
    <s v="Online"/>
    <x v="4"/>
    <n v="45"/>
    <n v="520"/>
    <n v="23400"/>
    <n v="14040"/>
  </r>
  <r>
    <x v="4"/>
    <n v="1185732"/>
    <x v="79"/>
    <x v="3"/>
    <s v="Kentucky"/>
    <s v="Louisville"/>
    <s v="Online"/>
    <x v="3"/>
    <n v="35"/>
    <n v="250"/>
    <n v="8750"/>
    <n v="5250"/>
  </r>
  <r>
    <x v="4"/>
    <n v="1185732"/>
    <x v="79"/>
    <x v="3"/>
    <s v="Kentucky"/>
    <s v="Louisville"/>
    <s v="Online"/>
    <x v="5"/>
    <n v="40"/>
    <n v="100"/>
    <n v="4000"/>
    <n v="2400"/>
  </r>
  <r>
    <x v="4"/>
    <n v="1185732"/>
    <x v="79"/>
    <x v="3"/>
    <s v="Kentucky"/>
    <s v="Louisville"/>
    <s v="Online"/>
    <x v="2"/>
    <n v="45"/>
    <n v="250"/>
    <n v="11250"/>
    <n v="6750"/>
  </r>
  <r>
    <x v="3"/>
    <n v="1197831"/>
    <x v="79"/>
    <x v="2"/>
    <s v="Tennessee"/>
    <s v="Knoxville"/>
    <s v="Outlet"/>
    <x v="2"/>
    <n v="35"/>
    <n v="475"/>
    <n v="16625"/>
    <n v="8312.5"/>
  </r>
  <r>
    <x v="4"/>
    <n v="1185732"/>
    <x v="79"/>
    <x v="3"/>
    <s v="Kentucky"/>
    <s v="Louisville"/>
    <s v="Online"/>
    <x v="1"/>
    <n v="52"/>
    <n v="44"/>
    <n v="2288"/>
    <n v="1235.52"/>
  </r>
  <r>
    <x v="1"/>
    <n v="1189833"/>
    <x v="79"/>
    <x v="0"/>
    <s v="California"/>
    <s v="Los Angeles"/>
    <s v="Outlet"/>
    <x v="3"/>
    <n v="33"/>
    <n v="221"/>
    <n v="7293"/>
    <n v="3938.22"/>
  </r>
  <r>
    <x v="4"/>
    <n v="1185732"/>
    <x v="79"/>
    <x v="3"/>
    <s v="Kentucky"/>
    <s v="Louisville"/>
    <s v="Online"/>
    <x v="0"/>
    <n v="41"/>
    <n v="59"/>
    <n v="2419"/>
    <n v="1233.69"/>
  </r>
  <r>
    <x v="4"/>
    <n v="1185732"/>
    <x v="79"/>
    <x v="3"/>
    <s v="Kentucky"/>
    <s v="Louisville"/>
    <s v="Online"/>
    <x v="3"/>
    <n v="34"/>
    <n v="73"/>
    <n v="2482"/>
    <n v="1241"/>
  </r>
  <r>
    <x v="4"/>
    <n v="1185732"/>
    <x v="79"/>
    <x v="3"/>
    <s v="Kentucky"/>
    <s v="Louisville"/>
    <s v="Online"/>
    <x v="4"/>
    <n v="41"/>
    <n v="156"/>
    <n v="6396"/>
    <n v="3134.04"/>
  </r>
  <r>
    <x v="4"/>
    <n v="1185732"/>
    <x v="79"/>
    <x v="3"/>
    <s v="Kentucky"/>
    <s v="Louisville"/>
    <s v="Online"/>
    <x v="2"/>
    <n v="42"/>
    <n v="65"/>
    <n v="2730"/>
    <n v="1337.7"/>
  </r>
  <r>
    <x v="4"/>
    <n v="1185732"/>
    <x v="79"/>
    <x v="3"/>
    <s v="Kentucky"/>
    <s v="Louisville"/>
    <s v="Online"/>
    <x v="5"/>
    <n v="36"/>
    <n v="27"/>
    <n v="972"/>
    <n v="466.56"/>
  </r>
  <r>
    <x v="1"/>
    <n v="1189833"/>
    <x v="79"/>
    <x v="0"/>
    <s v="California"/>
    <s v="Los Angeles"/>
    <s v="Online"/>
    <x v="3"/>
    <n v="42"/>
    <n v="169"/>
    <n v="7098"/>
    <n v="3194.1"/>
  </r>
  <r>
    <x v="3"/>
    <n v="1197831"/>
    <x v="79"/>
    <x v="2"/>
    <s v="Tennessee"/>
    <s v="Knoxville"/>
    <s v="Outlet"/>
    <x v="2"/>
    <n v="28"/>
    <n v="143"/>
    <n v="4004"/>
    <n v="1761.7599999999998"/>
  </r>
  <r>
    <x v="3"/>
    <n v="1197831"/>
    <x v="79"/>
    <x v="2"/>
    <s v="Tennessee"/>
    <s v="Knoxville"/>
    <s v="Online"/>
    <x v="2"/>
    <n v="32"/>
    <n v="133"/>
    <n v="4256"/>
    <n v="1532.1599999999999"/>
  </r>
  <r>
    <x v="2"/>
    <n v="1128299"/>
    <x v="80"/>
    <x v="0"/>
    <s v="Arizona"/>
    <s v="Phoenix"/>
    <s v="Online"/>
    <x v="2"/>
    <n v="50"/>
    <n v="325"/>
    <n v="16250"/>
    <n v="12187.5"/>
  </r>
  <r>
    <x v="2"/>
    <n v="1128299"/>
    <x v="80"/>
    <x v="0"/>
    <s v="Arizona"/>
    <s v="Phoenix"/>
    <s v="Online"/>
    <x v="1"/>
    <n v="55.000000000000007"/>
    <n v="125"/>
    <n v="6875.0000000000009"/>
    <n v="4812.5000000000018"/>
  </r>
  <r>
    <x v="1"/>
    <n v="1189833"/>
    <x v="80"/>
    <x v="0"/>
    <s v="California"/>
    <s v="Los Angeles"/>
    <s v="Outlet"/>
    <x v="5"/>
    <n v="45"/>
    <n v="550"/>
    <n v="24750"/>
    <n v="16087.5"/>
  </r>
  <r>
    <x v="2"/>
    <n v="1128299"/>
    <x v="80"/>
    <x v="0"/>
    <s v="Arizona"/>
    <s v="Phoenix"/>
    <s v="Online"/>
    <x v="4"/>
    <n v="40"/>
    <n v="500"/>
    <n v="20000"/>
    <n v="13000"/>
  </r>
  <r>
    <x v="2"/>
    <n v="1128299"/>
    <x v="80"/>
    <x v="0"/>
    <s v="Arizona"/>
    <s v="Phoenix"/>
    <s v="Online"/>
    <x v="3"/>
    <n v="50"/>
    <n v="350"/>
    <n v="17500"/>
    <n v="11375"/>
  </r>
  <r>
    <x v="2"/>
    <n v="1128299"/>
    <x v="80"/>
    <x v="0"/>
    <s v="Arizona"/>
    <s v="Phoenix"/>
    <s v="Online"/>
    <x v="5"/>
    <n v="50"/>
    <n v="225"/>
    <n v="11250"/>
    <n v="7312.5"/>
  </r>
  <r>
    <x v="3"/>
    <n v="1197831"/>
    <x v="80"/>
    <x v="2"/>
    <s v="Tennessee"/>
    <s v="Knoxville"/>
    <s v="Outlet"/>
    <x v="4"/>
    <n v="30"/>
    <n v="650"/>
    <n v="19500"/>
    <n v="11700"/>
  </r>
  <r>
    <x v="2"/>
    <n v="1128299"/>
    <x v="80"/>
    <x v="0"/>
    <s v="Arizona"/>
    <s v="Phoenix"/>
    <s v="Online"/>
    <x v="0"/>
    <n v="50"/>
    <n v="350"/>
    <n v="17500"/>
    <n v="10500"/>
  </r>
  <r>
    <x v="2"/>
    <n v="1128299"/>
    <x v="80"/>
    <x v="0"/>
    <s v="Arizona"/>
    <s v="Phoenix"/>
    <s v="Outlet"/>
    <x v="2"/>
    <n v="37"/>
    <n v="107"/>
    <n v="3959"/>
    <n v="2890.0699999999997"/>
  </r>
  <r>
    <x v="2"/>
    <n v="1128299"/>
    <x v="80"/>
    <x v="0"/>
    <s v="Arizona"/>
    <s v="Phoenix"/>
    <s v="Outlet"/>
    <x v="1"/>
    <n v="41"/>
    <n v="39"/>
    <n v="1599"/>
    <n v="1087.32"/>
  </r>
  <r>
    <x v="2"/>
    <n v="1128299"/>
    <x v="80"/>
    <x v="0"/>
    <s v="Arizona"/>
    <s v="Phoenix"/>
    <s v="Outlet"/>
    <x v="5"/>
    <n v="38"/>
    <n v="68"/>
    <n v="2584"/>
    <n v="1627.92"/>
  </r>
  <r>
    <x v="1"/>
    <n v="1189833"/>
    <x v="80"/>
    <x v="0"/>
    <s v="California"/>
    <s v="Los Angeles"/>
    <s v="Outlet"/>
    <x v="5"/>
    <n v="36"/>
    <n v="176"/>
    <n v="6336"/>
    <n v="3864.9600000000005"/>
  </r>
  <r>
    <x v="2"/>
    <n v="1128299"/>
    <x v="80"/>
    <x v="0"/>
    <s v="Arizona"/>
    <s v="Phoenix"/>
    <s v="Online"/>
    <x v="2"/>
    <n v="47"/>
    <n v="88"/>
    <n v="4136"/>
    <n v="2481.6"/>
  </r>
  <r>
    <x v="2"/>
    <n v="1128299"/>
    <x v="80"/>
    <x v="0"/>
    <s v="Arizona"/>
    <s v="Phoenix"/>
    <s v="Outlet"/>
    <x v="4"/>
    <n v="29"/>
    <n v="160"/>
    <n v="4640"/>
    <n v="2784"/>
  </r>
  <r>
    <x v="2"/>
    <n v="1128299"/>
    <x v="80"/>
    <x v="0"/>
    <s v="Arizona"/>
    <s v="Phoenix"/>
    <s v="Outlet"/>
    <x v="3"/>
    <n v="37"/>
    <n v="119"/>
    <n v="4403"/>
    <n v="2597.7700000000004"/>
  </r>
  <r>
    <x v="2"/>
    <n v="1128299"/>
    <x v="80"/>
    <x v="0"/>
    <s v="Arizona"/>
    <s v="Phoenix"/>
    <s v="Online"/>
    <x v="1"/>
    <n v="54"/>
    <n v="31"/>
    <n v="1674"/>
    <n v="987.66000000000008"/>
  </r>
  <r>
    <x v="3"/>
    <n v="1197831"/>
    <x v="80"/>
    <x v="2"/>
    <s v="Tennessee"/>
    <s v="Knoxville"/>
    <s v="Outlet"/>
    <x v="4"/>
    <n v="20"/>
    <n v="221"/>
    <n v="4420"/>
    <n v="2519.4000000000005"/>
  </r>
  <r>
    <x v="2"/>
    <n v="1128299"/>
    <x v="80"/>
    <x v="0"/>
    <s v="Arizona"/>
    <s v="Phoenix"/>
    <s v="Outlet"/>
    <x v="0"/>
    <n v="38"/>
    <n v="116"/>
    <n v="4408"/>
    <n v="2468.48"/>
  </r>
  <r>
    <x v="1"/>
    <n v="1189833"/>
    <x v="80"/>
    <x v="0"/>
    <s v="California"/>
    <s v="Los Angeles"/>
    <s v="Online"/>
    <x v="5"/>
    <n v="41"/>
    <n v="154"/>
    <n v="6314"/>
    <n v="3472.7000000000003"/>
  </r>
  <r>
    <x v="2"/>
    <n v="1128299"/>
    <x v="80"/>
    <x v="0"/>
    <s v="Arizona"/>
    <s v="Phoenix"/>
    <s v="Online"/>
    <x v="5"/>
    <n v="47"/>
    <n v="68"/>
    <n v="3196"/>
    <n v="1725.8400000000001"/>
  </r>
  <r>
    <x v="2"/>
    <n v="1128299"/>
    <x v="80"/>
    <x v="0"/>
    <s v="Arizona"/>
    <s v="Phoenix"/>
    <s v="Online"/>
    <x v="4"/>
    <n v="37"/>
    <n v="145"/>
    <n v="5365"/>
    <n v="2843.4500000000003"/>
  </r>
  <r>
    <x v="2"/>
    <n v="1128299"/>
    <x v="80"/>
    <x v="0"/>
    <s v="Arizona"/>
    <s v="Phoenix"/>
    <s v="Online"/>
    <x v="3"/>
    <n v="49"/>
    <n v="91"/>
    <n v="4459"/>
    <n v="2229.5"/>
  </r>
  <r>
    <x v="3"/>
    <n v="1197831"/>
    <x v="80"/>
    <x v="2"/>
    <s v="Tennessee"/>
    <s v="Knoxville"/>
    <s v="Online"/>
    <x v="4"/>
    <n v="27"/>
    <n v="189"/>
    <n v="5103"/>
    <n v="2500.4699999999998"/>
  </r>
  <r>
    <x v="2"/>
    <n v="1128299"/>
    <x v="80"/>
    <x v="0"/>
    <s v="Arizona"/>
    <s v="Phoenix"/>
    <s v="Online"/>
    <x v="0"/>
    <n v="48"/>
    <n v="95"/>
    <n v="4560"/>
    <n v="2052"/>
  </r>
  <r>
    <x v="2"/>
    <n v="1128299"/>
    <x v="81"/>
    <x v="3"/>
    <s v="Virginia"/>
    <s v="Richmond"/>
    <s v="In-store"/>
    <x v="2"/>
    <n v="50"/>
    <n v="300"/>
    <n v="15000"/>
    <n v="10500"/>
  </r>
  <r>
    <x v="0"/>
    <n v="1128299"/>
    <x v="81"/>
    <x v="0"/>
    <s v="Oregon"/>
    <s v="Portland"/>
    <s v="In-store"/>
    <x v="2"/>
    <n v="50"/>
    <n v="300"/>
    <n v="15000"/>
    <n v="10500"/>
  </r>
  <r>
    <x v="2"/>
    <n v="1128299"/>
    <x v="81"/>
    <x v="3"/>
    <s v="Virginia"/>
    <s v="Richmond"/>
    <s v="In-store"/>
    <x v="4"/>
    <n v="40"/>
    <n v="475"/>
    <n v="19000"/>
    <n v="12350"/>
  </r>
  <r>
    <x v="2"/>
    <n v="1128299"/>
    <x v="81"/>
    <x v="3"/>
    <s v="Virginia"/>
    <s v="Richmond"/>
    <s v="In-store"/>
    <x v="0"/>
    <n v="50"/>
    <n v="325"/>
    <n v="16250"/>
    <n v="10562.5"/>
  </r>
  <r>
    <x v="2"/>
    <n v="1128299"/>
    <x v="81"/>
    <x v="3"/>
    <s v="Virginia"/>
    <s v="Richmond"/>
    <s v="In-store"/>
    <x v="3"/>
    <n v="54.999999999999993"/>
    <n v="350"/>
    <n v="19249.999999999996"/>
    <n v="12512.499999999998"/>
  </r>
  <r>
    <x v="2"/>
    <n v="1128299"/>
    <x v="81"/>
    <x v="3"/>
    <s v="Virginia"/>
    <s v="Richmond"/>
    <s v="In-store"/>
    <x v="5"/>
    <n v="50"/>
    <n v="250"/>
    <n v="12500"/>
    <n v="8125"/>
  </r>
  <r>
    <x v="0"/>
    <n v="1128299"/>
    <x v="81"/>
    <x v="0"/>
    <s v="Oregon"/>
    <s v="Portland"/>
    <s v="In-store"/>
    <x v="4"/>
    <n v="40"/>
    <n v="475"/>
    <n v="19000"/>
    <n v="12350"/>
  </r>
  <r>
    <x v="0"/>
    <n v="1128299"/>
    <x v="81"/>
    <x v="0"/>
    <s v="Oregon"/>
    <s v="Portland"/>
    <s v="In-store"/>
    <x v="0"/>
    <n v="50"/>
    <n v="325"/>
    <n v="16250"/>
    <n v="10562.5"/>
  </r>
  <r>
    <x v="0"/>
    <n v="1128299"/>
    <x v="81"/>
    <x v="0"/>
    <s v="Oregon"/>
    <s v="Portland"/>
    <s v="In-store"/>
    <x v="3"/>
    <n v="54.999999999999993"/>
    <n v="350"/>
    <n v="19249.999999999996"/>
    <n v="12512.499999999998"/>
  </r>
  <r>
    <x v="0"/>
    <n v="1128299"/>
    <x v="81"/>
    <x v="0"/>
    <s v="Oregon"/>
    <s v="Portland"/>
    <s v="In-store"/>
    <x v="5"/>
    <n v="50"/>
    <n v="250"/>
    <n v="12500"/>
    <n v="8125"/>
  </r>
  <r>
    <x v="3"/>
    <n v="1197831"/>
    <x v="81"/>
    <x v="2"/>
    <s v="Tennessee"/>
    <s v="Knoxville"/>
    <s v="Outlet"/>
    <x v="0"/>
    <n v="40"/>
    <n v="650"/>
    <n v="26000"/>
    <n v="15600"/>
  </r>
  <r>
    <x v="2"/>
    <n v="1128299"/>
    <x v="81"/>
    <x v="3"/>
    <s v="Virginia"/>
    <s v="Richmond"/>
    <s v="In-store"/>
    <x v="1"/>
    <n v="55.000000000000007"/>
    <n v="100"/>
    <n v="5500.0000000000009"/>
    <n v="3300"/>
  </r>
  <r>
    <x v="0"/>
    <n v="1128299"/>
    <x v="81"/>
    <x v="0"/>
    <s v="Oregon"/>
    <s v="Portland"/>
    <s v="In-store"/>
    <x v="1"/>
    <n v="55.000000000000007"/>
    <n v="100"/>
    <n v="5500.0000000000009"/>
    <n v="3300"/>
  </r>
  <r>
    <x v="1"/>
    <n v="1189833"/>
    <x v="81"/>
    <x v="0"/>
    <s v="California"/>
    <s v="Los Angeles"/>
    <s v="Outlet"/>
    <x v="1"/>
    <n v="50"/>
    <n v="425"/>
    <n v="21250"/>
    <n v="9562.4999999999982"/>
  </r>
  <r>
    <x v="0"/>
    <n v="1128299"/>
    <x v="81"/>
    <x v="0"/>
    <s v="Oregon"/>
    <s v="Portland"/>
    <s v="Outlet"/>
    <x v="2"/>
    <n v="40"/>
    <n v="90"/>
    <n v="3600"/>
    <n v="2340"/>
  </r>
  <r>
    <x v="2"/>
    <n v="1128299"/>
    <x v="81"/>
    <x v="3"/>
    <s v="Virginia"/>
    <s v="Richmond"/>
    <s v="Outlet"/>
    <x v="2"/>
    <n v="35"/>
    <n v="102"/>
    <n v="3570"/>
    <n v="2284.8000000000002"/>
  </r>
  <r>
    <x v="0"/>
    <n v="1128299"/>
    <x v="81"/>
    <x v="0"/>
    <s v="Oregon"/>
    <s v="Portland"/>
    <s v="Outlet"/>
    <x v="5"/>
    <n v="39"/>
    <n v="75"/>
    <n v="2925"/>
    <n v="1842.75"/>
  </r>
  <r>
    <x v="0"/>
    <n v="1128299"/>
    <x v="81"/>
    <x v="0"/>
    <s v="Oregon"/>
    <s v="Portland"/>
    <s v="Outlet"/>
    <x v="3"/>
    <n v="41"/>
    <n v="112"/>
    <n v="4592"/>
    <n v="2847.04"/>
  </r>
  <r>
    <x v="2"/>
    <n v="1128299"/>
    <x v="81"/>
    <x v="3"/>
    <s v="Virginia"/>
    <s v="Richmond"/>
    <s v="Outlet"/>
    <x v="4"/>
    <n v="30"/>
    <n v="162"/>
    <n v="4860"/>
    <n v="3013.2"/>
  </r>
  <r>
    <x v="2"/>
    <n v="1128299"/>
    <x v="81"/>
    <x v="3"/>
    <s v="Virginia"/>
    <s v="Richmond"/>
    <s v="Outlet"/>
    <x v="5"/>
    <n v="38"/>
    <n v="78"/>
    <n v="2964"/>
    <n v="1808.0400000000002"/>
  </r>
  <r>
    <x v="0"/>
    <n v="1128299"/>
    <x v="81"/>
    <x v="0"/>
    <s v="Oregon"/>
    <s v="Portland"/>
    <s v="Outlet"/>
    <x v="4"/>
    <n v="28"/>
    <n v="143"/>
    <n v="4004"/>
    <n v="2402.4"/>
  </r>
  <r>
    <x v="2"/>
    <n v="1128299"/>
    <x v="81"/>
    <x v="3"/>
    <s v="Virginia"/>
    <s v="Richmond"/>
    <s v="Outlet"/>
    <x v="0"/>
    <n v="35"/>
    <n v="98"/>
    <n v="3430"/>
    <n v="2023.7"/>
  </r>
  <r>
    <x v="2"/>
    <n v="1128299"/>
    <x v="81"/>
    <x v="3"/>
    <s v="Virginia"/>
    <s v="Richmond"/>
    <s v="Outlet"/>
    <x v="3"/>
    <n v="43"/>
    <n v="112"/>
    <n v="4816"/>
    <n v="2841.44"/>
  </r>
  <r>
    <x v="0"/>
    <n v="1128299"/>
    <x v="81"/>
    <x v="0"/>
    <s v="Oregon"/>
    <s v="Portland"/>
    <s v="Outlet"/>
    <x v="0"/>
    <n v="40"/>
    <n v="98"/>
    <n v="3920"/>
    <n v="2312.8000000000002"/>
  </r>
  <r>
    <x v="2"/>
    <n v="1128299"/>
    <x v="81"/>
    <x v="3"/>
    <s v="Virginia"/>
    <s v="Richmond"/>
    <s v="Online"/>
    <x v="2"/>
    <n v="49"/>
    <n v="78"/>
    <n v="3822"/>
    <n v="2216.7600000000002"/>
  </r>
  <r>
    <x v="0"/>
    <n v="1128299"/>
    <x v="81"/>
    <x v="0"/>
    <s v="Oregon"/>
    <s v="Portland"/>
    <s v="Online"/>
    <x v="2"/>
    <n v="49"/>
    <n v="87"/>
    <n v="4263"/>
    <n v="2472.54"/>
  </r>
  <r>
    <x v="2"/>
    <n v="1128299"/>
    <x v="81"/>
    <x v="3"/>
    <s v="Virginia"/>
    <s v="Richmond"/>
    <s v="Outlet"/>
    <x v="1"/>
    <n v="43"/>
    <n v="33"/>
    <n v="1419"/>
    <n v="823.02"/>
  </r>
  <r>
    <x v="0"/>
    <n v="1128299"/>
    <x v="81"/>
    <x v="0"/>
    <s v="Oregon"/>
    <s v="Portland"/>
    <s v="Outlet"/>
    <x v="1"/>
    <n v="43"/>
    <n v="30"/>
    <n v="1290"/>
    <n v="722.4"/>
  </r>
  <r>
    <x v="0"/>
    <n v="1128299"/>
    <x v="81"/>
    <x v="0"/>
    <s v="Oregon"/>
    <s v="Portland"/>
    <s v="Online"/>
    <x v="3"/>
    <n v="54"/>
    <n v="88"/>
    <n v="4752"/>
    <n v="2613.6000000000004"/>
  </r>
  <r>
    <x v="2"/>
    <n v="1128299"/>
    <x v="81"/>
    <x v="3"/>
    <s v="Virginia"/>
    <s v="Richmond"/>
    <s v="Online"/>
    <x v="5"/>
    <n v="48"/>
    <n v="65"/>
    <n v="3120"/>
    <n v="1684.8000000000002"/>
  </r>
  <r>
    <x v="3"/>
    <n v="1197831"/>
    <x v="81"/>
    <x v="2"/>
    <s v="Tennessee"/>
    <s v="Knoxville"/>
    <s v="Outlet"/>
    <x v="0"/>
    <n v="31"/>
    <n v="195"/>
    <n v="6045"/>
    <n v="3203.8500000000004"/>
  </r>
  <r>
    <x v="2"/>
    <n v="1128299"/>
    <x v="81"/>
    <x v="3"/>
    <s v="Virginia"/>
    <s v="Richmond"/>
    <s v="Online"/>
    <x v="0"/>
    <n v="45"/>
    <n v="85"/>
    <n v="3825"/>
    <n v="2027.25"/>
  </r>
  <r>
    <x v="2"/>
    <n v="1128299"/>
    <x v="81"/>
    <x v="3"/>
    <s v="Virginia"/>
    <s v="Richmond"/>
    <s v="Online"/>
    <x v="4"/>
    <n v="38"/>
    <n v="143"/>
    <n v="5434"/>
    <n v="2880.02"/>
  </r>
  <r>
    <x v="0"/>
    <n v="1128299"/>
    <x v="81"/>
    <x v="0"/>
    <s v="Oregon"/>
    <s v="Portland"/>
    <s v="Online"/>
    <x v="0"/>
    <n v="45"/>
    <n v="85"/>
    <n v="3825"/>
    <n v="1989"/>
  </r>
  <r>
    <x v="0"/>
    <n v="1128299"/>
    <x v="81"/>
    <x v="0"/>
    <s v="Oregon"/>
    <s v="Portland"/>
    <s v="Online"/>
    <x v="5"/>
    <n v="49"/>
    <n v="65"/>
    <n v="3185"/>
    <n v="1656.2"/>
  </r>
  <r>
    <x v="2"/>
    <n v="1128299"/>
    <x v="81"/>
    <x v="3"/>
    <s v="Virginia"/>
    <s v="Richmond"/>
    <s v="Online"/>
    <x v="3"/>
    <n v="52"/>
    <n v="91"/>
    <n v="4732"/>
    <n v="2460.64"/>
  </r>
  <r>
    <x v="0"/>
    <n v="1128299"/>
    <x v="81"/>
    <x v="0"/>
    <s v="Oregon"/>
    <s v="Portland"/>
    <s v="Online"/>
    <x v="4"/>
    <n v="38"/>
    <n v="128"/>
    <n v="4864"/>
    <n v="2480.64"/>
  </r>
  <r>
    <x v="3"/>
    <n v="1197831"/>
    <x v="81"/>
    <x v="2"/>
    <s v="Tennessee"/>
    <s v="Knoxville"/>
    <s v="Online"/>
    <x v="0"/>
    <n v="37"/>
    <n v="163"/>
    <n v="6031"/>
    <n v="2894.88"/>
  </r>
  <r>
    <x v="2"/>
    <n v="1128299"/>
    <x v="81"/>
    <x v="3"/>
    <s v="Virginia"/>
    <s v="Richmond"/>
    <s v="Online"/>
    <x v="1"/>
    <n v="51"/>
    <n v="30"/>
    <n v="1530"/>
    <n v="734.4"/>
  </r>
  <r>
    <x v="0"/>
    <n v="1128299"/>
    <x v="81"/>
    <x v="0"/>
    <s v="Oregon"/>
    <s v="Portland"/>
    <s v="Online"/>
    <x v="1"/>
    <n v="54"/>
    <n v="26"/>
    <n v="1404"/>
    <n v="659.88"/>
  </r>
  <r>
    <x v="1"/>
    <n v="1189833"/>
    <x v="81"/>
    <x v="0"/>
    <s v="California"/>
    <s v="Los Angeles"/>
    <s v="Outlet"/>
    <x v="1"/>
    <n v="36"/>
    <n v="128"/>
    <n v="4608"/>
    <n v="1889.2799999999997"/>
  </r>
  <r>
    <x v="1"/>
    <n v="1189833"/>
    <x v="81"/>
    <x v="0"/>
    <s v="California"/>
    <s v="Los Angeles"/>
    <s v="Online"/>
    <x v="1"/>
    <n v="46"/>
    <n v="106"/>
    <n v="4876"/>
    <n v="1560.3199999999997"/>
  </r>
  <r>
    <x v="3"/>
    <n v="1197831"/>
    <x v="82"/>
    <x v="2"/>
    <s v="Tennessee"/>
    <s v="Knoxville"/>
    <s v="Outlet"/>
    <x v="3"/>
    <n v="30"/>
    <n v="475"/>
    <n v="14250"/>
    <n v="8550"/>
  </r>
  <r>
    <x v="3"/>
    <n v="1197831"/>
    <x v="82"/>
    <x v="2"/>
    <s v="Tennessee"/>
    <s v="Knoxville"/>
    <s v="Outlet"/>
    <x v="3"/>
    <n v="22"/>
    <n v="166"/>
    <n v="3652"/>
    <n v="2081.6400000000003"/>
  </r>
  <r>
    <x v="3"/>
    <n v="1197831"/>
    <x v="82"/>
    <x v="2"/>
    <s v="Tennessee"/>
    <s v="Knoxville"/>
    <s v="Online"/>
    <x v="3"/>
    <n v="28"/>
    <n v="124"/>
    <n v="3472"/>
    <n v="1562.4000000000003"/>
  </r>
  <r>
    <x v="1"/>
    <n v="1128299"/>
    <x v="83"/>
    <x v="0"/>
    <s v="New Mexico"/>
    <s v="Albuquerque"/>
    <s v="Online"/>
    <x v="2"/>
    <n v="55.000000000000007"/>
    <n v="375"/>
    <n v="20625.000000000004"/>
    <n v="15468.750000000004"/>
  </r>
  <r>
    <x v="1"/>
    <n v="1128299"/>
    <x v="83"/>
    <x v="0"/>
    <s v="New Mexico"/>
    <s v="Albuquerque"/>
    <s v="Online"/>
    <x v="1"/>
    <n v="60.000000000000007"/>
    <n v="175"/>
    <n v="10500.000000000002"/>
    <n v="7350.0000000000018"/>
  </r>
  <r>
    <x v="1"/>
    <n v="1128299"/>
    <x v="83"/>
    <x v="0"/>
    <s v="New Mexico"/>
    <s v="Albuquerque"/>
    <s v="Online"/>
    <x v="5"/>
    <n v="55.000000000000007"/>
    <n v="275"/>
    <n v="15125.000000000002"/>
    <n v="9831.2500000000036"/>
  </r>
  <r>
    <x v="1"/>
    <n v="1128299"/>
    <x v="83"/>
    <x v="0"/>
    <s v="New Mexico"/>
    <s v="Albuquerque"/>
    <s v="Online"/>
    <x v="4"/>
    <n v="45"/>
    <n v="550"/>
    <n v="24750"/>
    <n v="16087.5"/>
  </r>
  <r>
    <x v="1"/>
    <n v="1128299"/>
    <x v="83"/>
    <x v="0"/>
    <s v="New Mexico"/>
    <s v="Albuquerque"/>
    <s v="Online"/>
    <x v="3"/>
    <n v="55.000000000000007"/>
    <n v="400"/>
    <n v="22000.000000000004"/>
    <n v="14300.000000000004"/>
  </r>
  <r>
    <x v="1"/>
    <n v="1128299"/>
    <x v="83"/>
    <x v="0"/>
    <s v="New Mexico"/>
    <s v="Albuquerque"/>
    <s v="Online"/>
    <x v="0"/>
    <n v="55.000000000000007"/>
    <n v="400"/>
    <n v="22000.000000000004"/>
    <n v="13200"/>
  </r>
  <r>
    <x v="3"/>
    <n v="1197831"/>
    <x v="83"/>
    <x v="2"/>
    <s v="Tennessee"/>
    <s v="Knoxville"/>
    <s v="Outlet"/>
    <x v="5"/>
    <n v="35"/>
    <n v="375"/>
    <n v="13125"/>
    <n v="6562.5"/>
  </r>
  <r>
    <x v="1"/>
    <n v="1128299"/>
    <x v="83"/>
    <x v="0"/>
    <s v="New Mexico"/>
    <s v="Albuquerque"/>
    <s v="Outlet"/>
    <x v="2"/>
    <n v="44"/>
    <n v="131"/>
    <n v="5764"/>
    <n v="3977.16"/>
  </r>
  <r>
    <x v="1"/>
    <n v="1128299"/>
    <x v="83"/>
    <x v="0"/>
    <s v="New Mexico"/>
    <s v="Albuquerque"/>
    <s v="Outlet"/>
    <x v="1"/>
    <n v="41"/>
    <n v="53"/>
    <n v="2173"/>
    <n v="1477.6399999999999"/>
  </r>
  <r>
    <x v="1"/>
    <n v="1128299"/>
    <x v="83"/>
    <x v="0"/>
    <s v="New Mexico"/>
    <s v="Albuquerque"/>
    <s v="Online"/>
    <x v="2"/>
    <n v="50"/>
    <n v="98"/>
    <n v="4900"/>
    <n v="3038"/>
  </r>
  <r>
    <x v="1"/>
    <n v="1128299"/>
    <x v="83"/>
    <x v="0"/>
    <s v="New Mexico"/>
    <s v="Albuquerque"/>
    <s v="Outlet"/>
    <x v="3"/>
    <n v="44"/>
    <n v="124"/>
    <n v="5456"/>
    <n v="3382.72"/>
  </r>
  <r>
    <x v="1"/>
    <n v="1128299"/>
    <x v="83"/>
    <x v="0"/>
    <s v="New Mexico"/>
    <s v="Albuquerque"/>
    <s v="Outlet"/>
    <x v="5"/>
    <n v="37"/>
    <n v="88"/>
    <n v="3256"/>
    <n v="1986.16"/>
  </r>
  <r>
    <x v="1"/>
    <n v="1128299"/>
    <x v="83"/>
    <x v="0"/>
    <s v="New Mexico"/>
    <s v="Albuquerque"/>
    <s v="Outlet"/>
    <x v="4"/>
    <n v="30"/>
    <n v="187"/>
    <n v="5610"/>
    <n v="3309.9"/>
  </r>
  <r>
    <x v="1"/>
    <n v="1128299"/>
    <x v="83"/>
    <x v="0"/>
    <s v="New Mexico"/>
    <s v="Albuquerque"/>
    <s v="Online"/>
    <x v="1"/>
    <n v="55"/>
    <n v="53"/>
    <n v="2915"/>
    <n v="1661.55"/>
  </r>
  <r>
    <x v="1"/>
    <n v="1128299"/>
    <x v="83"/>
    <x v="0"/>
    <s v="New Mexico"/>
    <s v="Albuquerque"/>
    <s v="Outlet"/>
    <x v="0"/>
    <n v="36"/>
    <n v="136"/>
    <n v="4896"/>
    <n v="2692.7999999999997"/>
  </r>
  <r>
    <x v="1"/>
    <n v="1128299"/>
    <x v="83"/>
    <x v="0"/>
    <s v="New Mexico"/>
    <s v="Albuquerque"/>
    <s v="Online"/>
    <x v="5"/>
    <n v="50"/>
    <n v="83"/>
    <n v="4150"/>
    <n v="2241"/>
  </r>
  <r>
    <x v="1"/>
    <n v="1128299"/>
    <x v="83"/>
    <x v="0"/>
    <s v="New Mexico"/>
    <s v="Albuquerque"/>
    <s v="Online"/>
    <x v="3"/>
    <n v="52"/>
    <n v="112"/>
    <n v="5824"/>
    <n v="2970.2400000000002"/>
  </r>
  <r>
    <x v="1"/>
    <n v="1128299"/>
    <x v="83"/>
    <x v="0"/>
    <s v="New Mexico"/>
    <s v="Albuquerque"/>
    <s v="Online"/>
    <x v="4"/>
    <n v="44"/>
    <n v="165"/>
    <n v="7260"/>
    <n v="3630"/>
  </r>
  <r>
    <x v="1"/>
    <n v="1128299"/>
    <x v="83"/>
    <x v="0"/>
    <s v="New Mexico"/>
    <s v="Albuquerque"/>
    <s v="Online"/>
    <x v="0"/>
    <n v="51"/>
    <n v="112"/>
    <n v="5712"/>
    <n v="2684.64"/>
  </r>
  <r>
    <x v="3"/>
    <n v="1197831"/>
    <x v="83"/>
    <x v="2"/>
    <s v="Tennessee"/>
    <s v="Knoxville"/>
    <s v="Outlet"/>
    <x v="5"/>
    <n v="25"/>
    <n v="124"/>
    <n v="3100"/>
    <n v="1363.9999999999998"/>
  </r>
  <r>
    <x v="3"/>
    <n v="1197831"/>
    <x v="83"/>
    <x v="2"/>
    <s v="Tennessee"/>
    <s v="Knoxville"/>
    <s v="Online"/>
    <x v="5"/>
    <n v="33"/>
    <n v="101"/>
    <n v="3333"/>
    <n v="1199.8800000000001"/>
  </r>
  <r>
    <x v="3"/>
    <n v="1197831"/>
    <x v="84"/>
    <x v="2"/>
    <s v="Tennessee"/>
    <s v="Knoxville"/>
    <s v="Outlet"/>
    <x v="1"/>
    <n v="40"/>
    <n v="275"/>
    <n v="11000"/>
    <n v="7150"/>
  </r>
  <r>
    <x v="3"/>
    <n v="1197831"/>
    <x v="84"/>
    <x v="2"/>
    <s v="Tennessee"/>
    <s v="Knoxville"/>
    <s v="Outlet"/>
    <x v="1"/>
    <n v="27"/>
    <n v="88"/>
    <n v="2376"/>
    <n v="1401.8400000000001"/>
  </r>
  <r>
    <x v="3"/>
    <n v="1197831"/>
    <x v="84"/>
    <x v="2"/>
    <s v="Tennessee"/>
    <s v="Knoxville"/>
    <s v="Online"/>
    <x v="1"/>
    <n v="39"/>
    <n v="69"/>
    <n v="2691"/>
    <n v="1426.23"/>
  </r>
  <r>
    <x v="3"/>
    <n v="1197831"/>
    <x v="85"/>
    <x v="2"/>
    <s v="Tennessee"/>
    <s v="Knoxville"/>
    <s v="Outlet"/>
    <x v="2"/>
    <n v="35"/>
    <n v="425"/>
    <n v="14875"/>
    <n v="6693.75"/>
  </r>
  <r>
    <x v="3"/>
    <n v="1197831"/>
    <x v="85"/>
    <x v="2"/>
    <s v="Tennessee"/>
    <s v="Knoxville"/>
    <s v="Outlet"/>
    <x v="2"/>
    <n v="25"/>
    <n v="145"/>
    <n v="3625"/>
    <n v="1413.7499999999995"/>
  </r>
  <r>
    <x v="3"/>
    <n v="1197831"/>
    <x v="85"/>
    <x v="2"/>
    <s v="Tennessee"/>
    <s v="Knoxville"/>
    <s v="Online"/>
    <x v="2"/>
    <n v="33"/>
    <n v="111"/>
    <n v="3663"/>
    <n v="1245.42"/>
  </r>
  <r>
    <x v="3"/>
    <n v="1197831"/>
    <x v="86"/>
    <x v="2"/>
    <s v="Tennessee"/>
    <s v="Knoxville"/>
    <s v="Outlet"/>
    <x v="4"/>
    <n v="20"/>
    <n v="675"/>
    <n v="13500"/>
    <n v="8100"/>
  </r>
  <r>
    <x v="3"/>
    <n v="1197831"/>
    <x v="86"/>
    <x v="2"/>
    <s v="Tennessee"/>
    <s v="Knoxville"/>
    <s v="Outlet"/>
    <x v="4"/>
    <n v="13"/>
    <n v="203"/>
    <n v="2639"/>
    <n v="1451.45"/>
  </r>
  <r>
    <x v="3"/>
    <n v="1197831"/>
    <x v="86"/>
    <x v="2"/>
    <s v="Tennessee"/>
    <s v="Knoxville"/>
    <s v="Online"/>
    <x v="4"/>
    <n v="19"/>
    <n v="169"/>
    <n v="3211"/>
    <n v="1605.5"/>
  </r>
  <r>
    <x v="3"/>
    <n v="1197831"/>
    <x v="87"/>
    <x v="2"/>
    <s v="Tennessee"/>
    <s v="Knoxville"/>
    <s v="Outlet"/>
    <x v="0"/>
    <n v="25.000000000000007"/>
    <n v="675"/>
    <n v="16875.000000000004"/>
    <n v="10125.000000000004"/>
  </r>
  <r>
    <x v="3"/>
    <n v="1197831"/>
    <x v="87"/>
    <x v="2"/>
    <s v="Tennessee"/>
    <s v="Knoxville"/>
    <s v="Outlet"/>
    <x v="0"/>
    <n v="17"/>
    <n v="203"/>
    <n v="3451"/>
    <n v="2001.5800000000002"/>
  </r>
  <r>
    <x v="3"/>
    <n v="1197831"/>
    <x v="87"/>
    <x v="2"/>
    <s v="Tennessee"/>
    <s v="Knoxville"/>
    <s v="Online"/>
    <x v="0"/>
    <n v="24"/>
    <n v="176"/>
    <n v="4224"/>
    <n v="2069.7599999999998"/>
  </r>
  <r>
    <x v="3"/>
    <n v="1197831"/>
    <x v="88"/>
    <x v="2"/>
    <s v="Tennessee"/>
    <s v="Knoxville"/>
    <s v="Outlet"/>
    <x v="3"/>
    <n v="19.999999999999996"/>
    <n v="500"/>
    <n v="9999.9999999999982"/>
    <n v="5999.9999999999991"/>
  </r>
  <r>
    <x v="3"/>
    <n v="1197831"/>
    <x v="88"/>
    <x v="2"/>
    <s v="Tennessee"/>
    <s v="Knoxville"/>
    <s v="Outlet"/>
    <x v="3"/>
    <n v="15"/>
    <n v="170"/>
    <n v="2550"/>
    <n v="1428.0000000000002"/>
  </r>
  <r>
    <x v="3"/>
    <n v="1197831"/>
    <x v="88"/>
    <x v="2"/>
    <s v="Tennessee"/>
    <s v="Knoxville"/>
    <s v="Online"/>
    <x v="3"/>
    <n v="19"/>
    <n v="135"/>
    <n v="2565"/>
    <n v="1154.2500000000002"/>
  </r>
  <r>
    <x v="3"/>
    <n v="1197831"/>
    <x v="89"/>
    <x v="2"/>
    <s v="Tennessee"/>
    <s v="Knoxville"/>
    <s v="Outlet"/>
    <x v="5"/>
    <n v="25.000000000000007"/>
    <n v="400"/>
    <n v="10000.000000000004"/>
    <n v="5000.0000000000018"/>
  </r>
  <r>
    <x v="3"/>
    <n v="1197831"/>
    <x v="89"/>
    <x v="2"/>
    <s v="Tennessee"/>
    <s v="Knoxville"/>
    <s v="Outlet"/>
    <x v="5"/>
    <n v="20"/>
    <n v="128"/>
    <n v="2560"/>
    <n v="1126.3999999999999"/>
  </r>
  <r>
    <x v="3"/>
    <n v="1197831"/>
    <x v="89"/>
    <x v="2"/>
    <s v="Tennessee"/>
    <s v="Knoxville"/>
    <s v="Online"/>
    <x v="5"/>
    <n v="23"/>
    <n v="112"/>
    <n v="2576"/>
    <n v="901.59999999999991"/>
  </r>
  <r>
    <x v="3"/>
    <n v="1197831"/>
    <x v="90"/>
    <x v="2"/>
    <s v="Tennessee"/>
    <s v="Knoxville"/>
    <s v="Outlet"/>
    <x v="1"/>
    <n v="30"/>
    <n v="300"/>
    <n v="9000"/>
    <n v="5850"/>
  </r>
  <r>
    <x v="3"/>
    <n v="1197831"/>
    <x v="90"/>
    <x v="2"/>
    <s v="Tennessee"/>
    <s v="Knoxville"/>
    <s v="Outlet"/>
    <x v="1"/>
    <n v="20"/>
    <n v="105"/>
    <n v="2100"/>
    <n v="1302"/>
  </r>
  <r>
    <x v="3"/>
    <n v="1197831"/>
    <x v="90"/>
    <x v="2"/>
    <s v="Tennessee"/>
    <s v="Knoxville"/>
    <s v="Online"/>
    <x v="1"/>
    <n v="28"/>
    <n v="84"/>
    <n v="2352"/>
    <n v="1293.6000000000001"/>
  </r>
  <r>
    <x v="3"/>
    <n v="1197831"/>
    <x v="91"/>
    <x v="2"/>
    <s v="Tennessee"/>
    <s v="Knoxville"/>
    <s v="Outlet"/>
    <x v="2"/>
    <n v="25.000000000000007"/>
    <n v="575"/>
    <n v="14375.000000000004"/>
    <n v="6468.75"/>
  </r>
  <r>
    <x v="3"/>
    <n v="1197831"/>
    <x v="91"/>
    <x v="2"/>
    <s v="Tennessee"/>
    <s v="Knoxville"/>
    <s v="Outlet"/>
    <x v="2"/>
    <n v="18"/>
    <n v="196"/>
    <n v="3528"/>
    <n v="1375.9199999999996"/>
  </r>
  <r>
    <x v="3"/>
    <n v="1197831"/>
    <x v="91"/>
    <x v="2"/>
    <s v="Tennessee"/>
    <s v="Knoxville"/>
    <s v="Online"/>
    <x v="2"/>
    <n v="24"/>
    <n v="161"/>
    <n v="3864"/>
    <n v="1236.48"/>
  </r>
  <r>
    <x v="0"/>
    <n v="1185732"/>
    <x v="92"/>
    <x v="1"/>
    <s v="Wisconsin"/>
    <s v="Milwaukee"/>
    <s v="In-store"/>
    <x v="3"/>
    <n v="10.000000000000004"/>
    <n v="150"/>
    <n v="1500.0000000000005"/>
    <n v="1050.0000000000005"/>
  </r>
  <r>
    <x v="0"/>
    <n v="1185732"/>
    <x v="92"/>
    <x v="1"/>
    <s v="Wisconsin"/>
    <s v="Milwaukee"/>
    <s v="In-store"/>
    <x v="4"/>
    <n v="20.000000000000004"/>
    <n v="450"/>
    <n v="9000.0000000000018"/>
    <n v="6300.0000000000018"/>
  </r>
  <r>
    <x v="0"/>
    <n v="1185732"/>
    <x v="92"/>
    <x v="1"/>
    <s v="Wisconsin"/>
    <s v="Milwaukee"/>
    <s v="In-store"/>
    <x v="5"/>
    <n v="14.999999999999996"/>
    <n v="75"/>
    <n v="1124.9999999999998"/>
    <n v="787.49999999999977"/>
  </r>
  <r>
    <x v="3"/>
    <n v="1185732"/>
    <x v="92"/>
    <x v="3"/>
    <s v="North Carolina"/>
    <s v="Charlotte"/>
    <s v="Online"/>
    <x v="0"/>
    <n v="30"/>
    <n v="575"/>
    <n v="17250"/>
    <n v="11212.5"/>
  </r>
  <r>
    <x v="3"/>
    <n v="1185732"/>
    <x v="92"/>
    <x v="3"/>
    <s v="North Carolina"/>
    <s v="Charlotte"/>
    <s v="Online"/>
    <x v="1"/>
    <n v="45"/>
    <n v="525"/>
    <n v="23625"/>
    <n v="15356.25"/>
  </r>
  <r>
    <x v="0"/>
    <n v="1185732"/>
    <x v="92"/>
    <x v="1"/>
    <s v="Wisconsin"/>
    <s v="Milwaukee"/>
    <s v="In-store"/>
    <x v="0"/>
    <n v="20.000000000000004"/>
    <n v="150"/>
    <n v="3000.0000000000005"/>
    <n v="1950.0000000000005"/>
  </r>
  <r>
    <x v="3"/>
    <n v="1185732"/>
    <x v="92"/>
    <x v="3"/>
    <s v="North Carolina"/>
    <s v="Charlotte"/>
    <s v="Online"/>
    <x v="4"/>
    <n v="30"/>
    <n v="875"/>
    <n v="26250"/>
    <n v="15750"/>
  </r>
  <r>
    <x v="3"/>
    <n v="1185732"/>
    <x v="92"/>
    <x v="3"/>
    <s v="North Carolina"/>
    <s v="Charlotte"/>
    <s v="Online"/>
    <x v="3"/>
    <n v="20"/>
    <n v="575"/>
    <n v="11500"/>
    <n v="6900"/>
  </r>
  <r>
    <x v="0"/>
    <n v="1185732"/>
    <x v="92"/>
    <x v="1"/>
    <s v="Wisconsin"/>
    <s v="Milwaukee"/>
    <s v="In-store"/>
    <x v="2"/>
    <n v="50"/>
    <n v="225"/>
    <n v="11250"/>
    <n v="6750"/>
  </r>
  <r>
    <x v="3"/>
    <n v="1197831"/>
    <x v="92"/>
    <x v="2"/>
    <s v="Tennessee"/>
    <s v="Knoxville"/>
    <s v="Outlet"/>
    <x v="4"/>
    <n v="14.999999999999996"/>
    <n v="725"/>
    <n v="10874.999999999998"/>
    <n v="6524.9999999999982"/>
  </r>
  <r>
    <x v="3"/>
    <n v="1185732"/>
    <x v="92"/>
    <x v="3"/>
    <s v="North Carolina"/>
    <s v="Charlotte"/>
    <s v="Online"/>
    <x v="5"/>
    <n v="24.999999999999993"/>
    <n v="500"/>
    <n v="12499.999999999996"/>
    <n v="7499.9999999999973"/>
  </r>
  <r>
    <x v="3"/>
    <n v="1185732"/>
    <x v="92"/>
    <x v="3"/>
    <s v="North Carolina"/>
    <s v="Charlotte"/>
    <s v="Online"/>
    <x v="2"/>
    <n v="35"/>
    <n v="675"/>
    <n v="23625"/>
    <n v="11812.5"/>
  </r>
  <r>
    <x v="0"/>
    <n v="1185732"/>
    <x v="92"/>
    <x v="1"/>
    <s v="Wisconsin"/>
    <s v="Milwaukee"/>
    <s v="In-store"/>
    <x v="1"/>
    <n v="60"/>
    <n v="100"/>
    <n v="6000"/>
    <n v="3000"/>
  </r>
  <r>
    <x v="0"/>
    <n v="1185732"/>
    <x v="92"/>
    <x v="1"/>
    <s v="Wisconsin"/>
    <s v="Milwaukee"/>
    <s v="Online"/>
    <x v="4"/>
    <n v="18"/>
    <n v="122"/>
    <n v="2196"/>
    <n v="1295.6400000000001"/>
  </r>
  <r>
    <x v="0"/>
    <n v="1185732"/>
    <x v="92"/>
    <x v="1"/>
    <s v="Wisconsin"/>
    <s v="Milwaukee"/>
    <s v="Online"/>
    <x v="5"/>
    <n v="15"/>
    <n v="22"/>
    <n v="330"/>
    <n v="194.70000000000002"/>
  </r>
  <r>
    <x v="0"/>
    <n v="1185732"/>
    <x v="92"/>
    <x v="1"/>
    <s v="Wisconsin"/>
    <s v="Milwaukee"/>
    <s v="Online"/>
    <x v="3"/>
    <n v="9"/>
    <n v="41"/>
    <n v="369"/>
    <n v="210.33"/>
  </r>
  <r>
    <x v="3"/>
    <n v="1197831"/>
    <x v="92"/>
    <x v="2"/>
    <s v="Tennessee"/>
    <s v="Knoxville"/>
    <s v="Outlet"/>
    <x v="4"/>
    <n v="12"/>
    <n v="247"/>
    <n v="2964"/>
    <n v="1630.2"/>
  </r>
  <r>
    <x v="0"/>
    <n v="1185732"/>
    <x v="92"/>
    <x v="1"/>
    <s v="Wisconsin"/>
    <s v="Milwaukee"/>
    <s v="Online"/>
    <x v="0"/>
    <n v="20"/>
    <n v="39"/>
    <n v="780"/>
    <n v="421.20000000000005"/>
  </r>
  <r>
    <x v="3"/>
    <n v="1185732"/>
    <x v="92"/>
    <x v="3"/>
    <s v="North Carolina"/>
    <s v="Charlotte"/>
    <s v="Online"/>
    <x v="0"/>
    <n v="28"/>
    <n v="155"/>
    <n v="4340"/>
    <n v="2300.1999999999998"/>
  </r>
  <r>
    <x v="3"/>
    <n v="1197831"/>
    <x v="92"/>
    <x v="2"/>
    <s v="Tennessee"/>
    <s v="Knoxville"/>
    <s v="Online"/>
    <x v="4"/>
    <n v="14"/>
    <n v="189"/>
    <n v="2646"/>
    <n v="1323"/>
  </r>
  <r>
    <x v="3"/>
    <n v="1185732"/>
    <x v="92"/>
    <x v="3"/>
    <s v="North Carolina"/>
    <s v="Charlotte"/>
    <s v="Online"/>
    <x v="1"/>
    <n v="42"/>
    <n v="131"/>
    <n v="5502"/>
    <n v="2751"/>
  </r>
  <r>
    <x v="3"/>
    <n v="1185732"/>
    <x v="92"/>
    <x v="3"/>
    <s v="North Carolina"/>
    <s v="Charlotte"/>
    <s v="Online"/>
    <x v="4"/>
    <n v="27"/>
    <n v="263"/>
    <n v="7101"/>
    <n v="3266.4599999999996"/>
  </r>
  <r>
    <x v="3"/>
    <n v="1185732"/>
    <x v="92"/>
    <x v="3"/>
    <s v="North Carolina"/>
    <s v="Charlotte"/>
    <s v="Online"/>
    <x v="5"/>
    <n v="24"/>
    <n v="140"/>
    <n v="3360"/>
    <n v="1545.6"/>
  </r>
  <r>
    <x v="3"/>
    <n v="1185732"/>
    <x v="92"/>
    <x v="3"/>
    <s v="North Carolina"/>
    <s v="Charlotte"/>
    <s v="Online"/>
    <x v="3"/>
    <n v="20"/>
    <n v="144"/>
    <n v="2880"/>
    <n v="1295.9999999999998"/>
  </r>
  <r>
    <x v="0"/>
    <n v="1185732"/>
    <x v="92"/>
    <x v="1"/>
    <s v="Wisconsin"/>
    <s v="Milwaukee"/>
    <s v="Online"/>
    <x v="2"/>
    <n v="49"/>
    <n v="61"/>
    <n v="2989"/>
    <n v="1345.05"/>
  </r>
  <r>
    <x v="3"/>
    <n v="1185732"/>
    <x v="92"/>
    <x v="3"/>
    <s v="North Carolina"/>
    <s v="Charlotte"/>
    <s v="Online"/>
    <x v="2"/>
    <n v="32"/>
    <n v="189"/>
    <n v="6048"/>
    <n v="2358.7200000000003"/>
  </r>
  <r>
    <x v="0"/>
    <n v="1185732"/>
    <x v="92"/>
    <x v="1"/>
    <s v="Wisconsin"/>
    <s v="Milwaukee"/>
    <s v="Online"/>
    <x v="1"/>
    <n v="55"/>
    <n v="26"/>
    <n v="1430"/>
    <n v="543.4"/>
  </r>
  <r>
    <x v="3"/>
    <n v="1185732"/>
    <x v="93"/>
    <x v="4"/>
    <s v="Connecticut"/>
    <s v="Hartford"/>
    <s v="In-store"/>
    <x v="3"/>
    <n v="30.000000000000004"/>
    <n v="200"/>
    <n v="6000.0000000000009"/>
    <n v="4200.0000000000009"/>
  </r>
  <r>
    <x v="3"/>
    <n v="1185732"/>
    <x v="93"/>
    <x v="4"/>
    <s v="Connecticut"/>
    <s v="Hartford"/>
    <s v="In-store"/>
    <x v="5"/>
    <n v="35"/>
    <n v="125"/>
    <n v="4375"/>
    <n v="3062.5"/>
  </r>
  <r>
    <x v="3"/>
    <n v="1185732"/>
    <x v="93"/>
    <x v="4"/>
    <s v="Connecticut"/>
    <s v="Hartford"/>
    <s v="In-store"/>
    <x v="1"/>
    <n v="50"/>
    <n v="125"/>
    <n v="6250"/>
    <n v="4375"/>
  </r>
  <r>
    <x v="3"/>
    <n v="1185732"/>
    <x v="93"/>
    <x v="4"/>
    <s v="Connecticut"/>
    <s v="Hartford"/>
    <s v="In-store"/>
    <x v="2"/>
    <n v="40"/>
    <n v="275"/>
    <n v="11000"/>
    <n v="7150"/>
  </r>
  <r>
    <x v="3"/>
    <n v="1197831"/>
    <x v="93"/>
    <x v="2"/>
    <s v="Tennessee"/>
    <s v="Knoxville"/>
    <s v="Outlet"/>
    <x v="0"/>
    <n v="25.000000000000007"/>
    <n v="750"/>
    <n v="18750.000000000004"/>
    <n v="11250.000000000004"/>
  </r>
  <r>
    <x v="3"/>
    <n v="1185732"/>
    <x v="93"/>
    <x v="4"/>
    <s v="Connecticut"/>
    <s v="Hartford"/>
    <s v="In-store"/>
    <x v="4"/>
    <n v="40"/>
    <n v="500"/>
    <n v="20000"/>
    <n v="12000"/>
  </r>
  <r>
    <x v="3"/>
    <n v="1185732"/>
    <x v="93"/>
    <x v="4"/>
    <s v="Connecticut"/>
    <s v="Hartford"/>
    <s v="In-store"/>
    <x v="0"/>
    <n v="40"/>
    <n v="200"/>
    <n v="8000"/>
    <n v="4800"/>
  </r>
  <r>
    <x v="3"/>
    <n v="1185732"/>
    <x v="93"/>
    <x v="4"/>
    <s v="Connecticut"/>
    <s v="Hartford"/>
    <s v="Outlet"/>
    <x v="5"/>
    <n v="26"/>
    <n v="41"/>
    <n v="1066"/>
    <n v="724.88"/>
  </r>
  <r>
    <x v="3"/>
    <n v="1185732"/>
    <x v="93"/>
    <x v="4"/>
    <s v="Connecticut"/>
    <s v="Hartford"/>
    <s v="Outlet"/>
    <x v="1"/>
    <n v="37"/>
    <n v="40"/>
    <n v="1480"/>
    <n v="976.80000000000007"/>
  </r>
  <r>
    <x v="3"/>
    <n v="1185732"/>
    <x v="93"/>
    <x v="4"/>
    <s v="Connecticut"/>
    <s v="Hartford"/>
    <s v="Outlet"/>
    <x v="3"/>
    <n v="20"/>
    <n v="64"/>
    <n v="1280"/>
    <n v="819.2"/>
  </r>
  <r>
    <x v="3"/>
    <n v="1185732"/>
    <x v="93"/>
    <x v="4"/>
    <s v="Connecticut"/>
    <s v="Hartford"/>
    <s v="Outlet"/>
    <x v="2"/>
    <n v="26"/>
    <n v="94"/>
    <n v="2444"/>
    <n v="1417.52"/>
  </r>
  <r>
    <x v="3"/>
    <n v="1185732"/>
    <x v="93"/>
    <x v="4"/>
    <s v="Connecticut"/>
    <s v="Hartford"/>
    <s v="Online"/>
    <x v="3"/>
    <n v="29"/>
    <n v="56"/>
    <n v="1624"/>
    <n v="925.68000000000006"/>
  </r>
  <r>
    <x v="3"/>
    <n v="1197831"/>
    <x v="93"/>
    <x v="2"/>
    <s v="Tennessee"/>
    <s v="Knoxville"/>
    <s v="Outlet"/>
    <x v="0"/>
    <n v="20"/>
    <n v="240"/>
    <n v="4800"/>
    <n v="2688.0000000000005"/>
  </r>
  <r>
    <x v="3"/>
    <n v="1185732"/>
    <x v="93"/>
    <x v="4"/>
    <s v="Connecticut"/>
    <s v="Hartford"/>
    <s v="Outlet"/>
    <x v="0"/>
    <n v="30"/>
    <n v="64"/>
    <n v="1920"/>
    <n v="1075.2"/>
  </r>
  <r>
    <x v="3"/>
    <n v="1185732"/>
    <x v="93"/>
    <x v="4"/>
    <s v="Connecticut"/>
    <s v="Hartford"/>
    <s v="Online"/>
    <x v="5"/>
    <n v="32"/>
    <n v="38"/>
    <n v="1216"/>
    <n v="668.80000000000007"/>
  </r>
  <r>
    <x v="3"/>
    <n v="1185732"/>
    <x v="93"/>
    <x v="4"/>
    <s v="Connecticut"/>
    <s v="Hartford"/>
    <s v="Online"/>
    <x v="1"/>
    <n v="46"/>
    <n v="35"/>
    <n v="1610"/>
    <n v="885.50000000000011"/>
  </r>
  <r>
    <x v="3"/>
    <n v="1185732"/>
    <x v="93"/>
    <x v="4"/>
    <s v="Connecticut"/>
    <s v="Hartford"/>
    <s v="Outlet"/>
    <x v="4"/>
    <n v="28"/>
    <n v="155"/>
    <n v="4340"/>
    <n v="2343.6"/>
  </r>
  <r>
    <x v="3"/>
    <n v="1197831"/>
    <x v="93"/>
    <x v="2"/>
    <s v="Tennessee"/>
    <s v="Knoxville"/>
    <s v="Online"/>
    <x v="0"/>
    <n v="23"/>
    <n v="218"/>
    <n v="5014"/>
    <n v="2507"/>
  </r>
  <r>
    <x v="3"/>
    <n v="1185732"/>
    <x v="93"/>
    <x v="4"/>
    <s v="Connecticut"/>
    <s v="Hartford"/>
    <s v="Online"/>
    <x v="4"/>
    <n v="36"/>
    <n v="150"/>
    <n v="5400"/>
    <n v="2700"/>
  </r>
  <r>
    <x v="3"/>
    <n v="1185732"/>
    <x v="93"/>
    <x v="4"/>
    <s v="Connecticut"/>
    <s v="Hartford"/>
    <s v="Online"/>
    <x v="2"/>
    <n v="36"/>
    <n v="69"/>
    <n v="2484"/>
    <n v="1242"/>
  </r>
  <r>
    <x v="3"/>
    <n v="1185732"/>
    <x v="93"/>
    <x v="4"/>
    <s v="Connecticut"/>
    <s v="Hartford"/>
    <s v="Online"/>
    <x v="0"/>
    <n v="38"/>
    <n v="58"/>
    <n v="2204"/>
    <n v="991.8"/>
  </r>
  <r>
    <x v="0"/>
    <n v="1197831"/>
    <x v="94"/>
    <x v="0"/>
    <s v="Idaho"/>
    <s v="Boise"/>
    <s v="Online"/>
    <x v="1"/>
    <n v="35"/>
    <n v="275"/>
    <n v="9625"/>
    <n v="6737.5"/>
  </r>
  <r>
    <x v="0"/>
    <n v="1197831"/>
    <x v="94"/>
    <x v="0"/>
    <s v="Idaho"/>
    <s v="Boise"/>
    <s v="Online"/>
    <x v="0"/>
    <n v="30.000000000000004"/>
    <n v="650"/>
    <n v="19500.000000000004"/>
    <n v="12675.000000000004"/>
  </r>
  <r>
    <x v="0"/>
    <n v="1197831"/>
    <x v="94"/>
    <x v="0"/>
    <s v="Idaho"/>
    <s v="Boise"/>
    <s v="Online"/>
    <x v="3"/>
    <n v="24.999999999999996"/>
    <n v="475"/>
    <n v="11874.999999999998"/>
    <n v="7718.75"/>
  </r>
  <r>
    <x v="0"/>
    <n v="1197831"/>
    <x v="94"/>
    <x v="0"/>
    <s v="Idaho"/>
    <s v="Boise"/>
    <s v="Online"/>
    <x v="4"/>
    <n v="20"/>
    <n v="650"/>
    <n v="13000"/>
    <n v="8450"/>
  </r>
  <r>
    <x v="3"/>
    <n v="1197831"/>
    <x v="94"/>
    <x v="2"/>
    <s v="Tennessee"/>
    <s v="Knoxville"/>
    <s v="Outlet"/>
    <x v="3"/>
    <n v="19.999999999999996"/>
    <n v="600"/>
    <n v="11999.999999999998"/>
    <n v="7200"/>
  </r>
  <r>
    <x v="0"/>
    <n v="1197831"/>
    <x v="94"/>
    <x v="0"/>
    <s v="Idaho"/>
    <s v="Boise"/>
    <s v="Online"/>
    <x v="5"/>
    <n v="30.000000000000004"/>
    <n v="375"/>
    <n v="11250.000000000002"/>
    <n v="6187.5000000000009"/>
  </r>
  <r>
    <x v="0"/>
    <n v="1197831"/>
    <x v="94"/>
    <x v="0"/>
    <s v="Idaho"/>
    <s v="Boise"/>
    <s v="Online"/>
    <x v="2"/>
    <n v="30.000000000000004"/>
    <n v="550"/>
    <n v="16500.000000000004"/>
    <n v="8250.0000000000018"/>
  </r>
  <r>
    <x v="0"/>
    <n v="1197831"/>
    <x v="94"/>
    <x v="0"/>
    <s v="Idaho"/>
    <s v="Boise"/>
    <s v="Outlet"/>
    <x v="1"/>
    <n v="27"/>
    <n v="91"/>
    <n v="2457"/>
    <n v="1670.76"/>
  </r>
  <r>
    <x v="0"/>
    <n v="1197831"/>
    <x v="94"/>
    <x v="0"/>
    <s v="Idaho"/>
    <s v="Boise"/>
    <s v="Outlet"/>
    <x v="3"/>
    <n v="19"/>
    <n v="162"/>
    <n v="3078"/>
    <n v="1939.14"/>
  </r>
  <r>
    <x v="0"/>
    <n v="1197831"/>
    <x v="94"/>
    <x v="0"/>
    <s v="Idaho"/>
    <s v="Boise"/>
    <s v="Outlet"/>
    <x v="0"/>
    <n v="21"/>
    <n v="215"/>
    <n v="4515"/>
    <n v="2754.15"/>
  </r>
  <r>
    <x v="0"/>
    <n v="1197831"/>
    <x v="94"/>
    <x v="0"/>
    <s v="Idaho"/>
    <s v="Boise"/>
    <s v="Outlet"/>
    <x v="4"/>
    <n v="15"/>
    <n v="215"/>
    <n v="3225"/>
    <n v="1870.5"/>
  </r>
  <r>
    <x v="0"/>
    <n v="1197831"/>
    <x v="94"/>
    <x v="0"/>
    <s v="Idaho"/>
    <s v="Boise"/>
    <s v="Online"/>
    <x v="1"/>
    <n v="34"/>
    <n v="72"/>
    <n v="2448"/>
    <n v="1395.3600000000001"/>
  </r>
  <r>
    <x v="3"/>
    <n v="1197831"/>
    <x v="94"/>
    <x v="2"/>
    <s v="Tennessee"/>
    <s v="Knoxville"/>
    <s v="Outlet"/>
    <x v="3"/>
    <n v="14"/>
    <n v="204"/>
    <n v="2856"/>
    <n v="1542.24"/>
  </r>
  <r>
    <x v="0"/>
    <n v="1197831"/>
    <x v="94"/>
    <x v="0"/>
    <s v="Idaho"/>
    <s v="Boise"/>
    <s v="Online"/>
    <x v="4"/>
    <n v="19"/>
    <n v="195"/>
    <n v="3705"/>
    <n v="1963.65"/>
  </r>
  <r>
    <x v="0"/>
    <n v="1197831"/>
    <x v="94"/>
    <x v="0"/>
    <s v="Idaho"/>
    <s v="Boise"/>
    <s v="Online"/>
    <x v="3"/>
    <n v="24"/>
    <n v="138"/>
    <n v="3312"/>
    <n v="1755.3600000000001"/>
  </r>
  <r>
    <x v="0"/>
    <n v="1197831"/>
    <x v="94"/>
    <x v="0"/>
    <s v="Idaho"/>
    <s v="Boise"/>
    <s v="Online"/>
    <x v="0"/>
    <n v="29"/>
    <n v="195"/>
    <n v="5655"/>
    <n v="2940.6"/>
  </r>
  <r>
    <x v="0"/>
    <n v="1197831"/>
    <x v="94"/>
    <x v="0"/>
    <s v="Idaho"/>
    <s v="Boise"/>
    <s v="Outlet"/>
    <x v="5"/>
    <n v="20"/>
    <n v="116"/>
    <n v="2320"/>
    <n v="1183.2"/>
  </r>
  <r>
    <x v="3"/>
    <n v="1197831"/>
    <x v="94"/>
    <x v="2"/>
    <s v="Tennessee"/>
    <s v="Knoxville"/>
    <s v="Online"/>
    <x v="3"/>
    <n v="19"/>
    <n v="180"/>
    <n v="3420"/>
    <n v="1573.1999999999998"/>
  </r>
  <r>
    <x v="0"/>
    <n v="1197831"/>
    <x v="94"/>
    <x v="0"/>
    <s v="Idaho"/>
    <s v="Boise"/>
    <s v="Online"/>
    <x v="5"/>
    <n v="29"/>
    <n v="113"/>
    <n v="3277"/>
    <n v="1474.6499999999999"/>
  </r>
  <r>
    <x v="0"/>
    <n v="1197831"/>
    <x v="94"/>
    <x v="0"/>
    <s v="Idaho"/>
    <s v="Boise"/>
    <s v="Outlet"/>
    <x v="2"/>
    <n v="23"/>
    <n v="176"/>
    <n v="4048"/>
    <n v="1740.6399999999999"/>
  </r>
  <r>
    <x v="0"/>
    <n v="1197831"/>
    <x v="94"/>
    <x v="0"/>
    <s v="Idaho"/>
    <s v="Boise"/>
    <s v="Online"/>
    <x v="2"/>
    <n v="28"/>
    <n v="138"/>
    <n v="3864"/>
    <n v="1506.96"/>
  </r>
  <r>
    <x v="1"/>
    <n v="1189833"/>
    <x v="95"/>
    <x v="0"/>
    <s v="California"/>
    <s v="Los Angeles"/>
    <s v="Outlet"/>
    <x v="2"/>
    <n v="45"/>
    <n v="625"/>
    <n v="28125"/>
    <n v="22500"/>
  </r>
  <r>
    <x v="2"/>
    <n v="1185732"/>
    <x v="95"/>
    <x v="3"/>
    <s v="South Carolina"/>
    <s v="Charleston"/>
    <s v="Online"/>
    <x v="3"/>
    <n v="25"/>
    <n v="675"/>
    <n v="16875"/>
    <n v="12656.25"/>
  </r>
  <r>
    <x v="2"/>
    <n v="1185732"/>
    <x v="95"/>
    <x v="1"/>
    <s v="Iowa"/>
    <s v="Des Moines"/>
    <s v="In-store"/>
    <x v="3"/>
    <n v="10.000000000000004"/>
    <n v="175"/>
    <n v="1750.0000000000007"/>
    <n v="1225.0000000000005"/>
  </r>
  <r>
    <x v="2"/>
    <n v="1185732"/>
    <x v="95"/>
    <x v="3"/>
    <s v="South Carolina"/>
    <s v="Charleston"/>
    <s v="Online"/>
    <x v="5"/>
    <n v="29.999999999999993"/>
    <n v="600"/>
    <n v="17999.999999999996"/>
    <n v="12599.999999999996"/>
  </r>
  <r>
    <x v="2"/>
    <n v="1185732"/>
    <x v="95"/>
    <x v="1"/>
    <s v="Iowa"/>
    <s v="Des Moines"/>
    <s v="In-store"/>
    <x v="4"/>
    <n v="20.000000000000004"/>
    <n v="475"/>
    <n v="9500.0000000000018"/>
    <n v="6650.0000000000018"/>
  </r>
  <r>
    <x v="2"/>
    <n v="1185732"/>
    <x v="95"/>
    <x v="1"/>
    <s v="Iowa"/>
    <s v="Des Moines"/>
    <s v="In-store"/>
    <x v="5"/>
    <n v="14.999999999999996"/>
    <n v="100"/>
    <n v="1499.9999999999995"/>
    <n v="1049.9999999999995"/>
  </r>
  <r>
    <x v="2"/>
    <n v="1185732"/>
    <x v="95"/>
    <x v="1"/>
    <s v="Iowa"/>
    <s v="Des Moines"/>
    <s v="In-store"/>
    <x v="0"/>
    <n v="20.000000000000004"/>
    <n v="175"/>
    <n v="3500.0000000000005"/>
    <n v="2275.0000000000009"/>
  </r>
  <r>
    <x v="2"/>
    <n v="1185732"/>
    <x v="95"/>
    <x v="3"/>
    <s v="South Carolina"/>
    <s v="Charleston"/>
    <s v="Online"/>
    <x v="0"/>
    <n v="35"/>
    <n v="675"/>
    <n v="23625"/>
    <n v="15356.25"/>
  </r>
  <r>
    <x v="2"/>
    <n v="1185732"/>
    <x v="95"/>
    <x v="3"/>
    <s v="South Carolina"/>
    <s v="Charleston"/>
    <s v="Online"/>
    <x v="1"/>
    <n v="50"/>
    <n v="625"/>
    <n v="31250"/>
    <n v="20312.5"/>
  </r>
  <r>
    <x v="2"/>
    <n v="1185732"/>
    <x v="95"/>
    <x v="1"/>
    <s v="Iowa"/>
    <s v="Des Moines"/>
    <s v="In-store"/>
    <x v="2"/>
    <n v="50"/>
    <n v="250"/>
    <n v="12500"/>
    <n v="7500"/>
  </r>
  <r>
    <x v="2"/>
    <n v="1185732"/>
    <x v="95"/>
    <x v="3"/>
    <s v="South Carolina"/>
    <s v="Charleston"/>
    <s v="Online"/>
    <x v="4"/>
    <n v="35"/>
    <n v="975"/>
    <n v="34125"/>
    <n v="18768.75"/>
  </r>
  <r>
    <x v="3"/>
    <n v="1197831"/>
    <x v="95"/>
    <x v="2"/>
    <s v="Tennessee"/>
    <s v="Knoxville"/>
    <s v="Outlet"/>
    <x v="5"/>
    <n v="30.000000000000004"/>
    <n v="525"/>
    <n v="15750.000000000002"/>
    <n v="7875.0000000000018"/>
  </r>
  <r>
    <x v="2"/>
    <n v="1185732"/>
    <x v="95"/>
    <x v="3"/>
    <s v="South Carolina"/>
    <s v="Charleston"/>
    <s v="Online"/>
    <x v="2"/>
    <n v="40"/>
    <n v="775"/>
    <n v="31000"/>
    <n v="15500"/>
  </r>
  <r>
    <x v="2"/>
    <n v="1185732"/>
    <x v="95"/>
    <x v="1"/>
    <s v="Iowa"/>
    <s v="Des Moines"/>
    <s v="In-store"/>
    <x v="1"/>
    <n v="60"/>
    <n v="125"/>
    <n v="7500"/>
    <n v="3750"/>
  </r>
  <r>
    <x v="1"/>
    <n v="1189833"/>
    <x v="95"/>
    <x v="0"/>
    <s v="California"/>
    <s v="Los Angeles"/>
    <s v="Outlet"/>
    <x v="2"/>
    <n v="33"/>
    <n v="194"/>
    <n v="6402"/>
    <n v="4929.54"/>
  </r>
  <r>
    <x v="1"/>
    <n v="1189833"/>
    <x v="95"/>
    <x v="0"/>
    <s v="California"/>
    <s v="Los Angeles"/>
    <s v="Online"/>
    <x v="2"/>
    <n v="41"/>
    <n v="188"/>
    <n v="7708"/>
    <n v="5010.2000000000007"/>
  </r>
  <r>
    <x v="2"/>
    <n v="1185732"/>
    <x v="95"/>
    <x v="3"/>
    <s v="South Carolina"/>
    <s v="Charleston"/>
    <s v="Online"/>
    <x v="3"/>
    <n v="24"/>
    <n v="182"/>
    <n v="4368"/>
    <n v="2708.16"/>
  </r>
  <r>
    <x v="2"/>
    <n v="1185732"/>
    <x v="95"/>
    <x v="3"/>
    <s v="South Carolina"/>
    <s v="Charleston"/>
    <s v="Online"/>
    <x v="5"/>
    <n v="27"/>
    <n v="180"/>
    <n v="4860"/>
    <n v="2770.2"/>
  </r>
  <r>
    <x v="2"/>
    <n v="1185732"/>
    <x v="95"/>
    <x v="1"/>
    <s v="Iowa"/>
    <s v="Des Moines"/>
    <s v="Online"/>
    <x v="3"/>
    <n v="10"/>
    <n v="53"/>
    <n v="530"/>
    <n v="296.8"/>
  </r>
  <r>
    <x v="2"/>
    <n v="1185732"/>
    <x v="95"/>
    <x v="1"/>
    <s v="Iowa"/>
    <s v="Des Moines"/>
    <s v="Online"/>
    <x v="5"/>
    <n v="15"/>
    <n v="28"/>
    <n v="420"/>
    <n v="231.00000000000003"/>
  </r>
  <r>
    <x v="2"/>
    <n v="1185732"/>
    <x v="95"/>
    <x v="1"/>
    <s v="Iowa"/>
    <s v="Des Moines"/>
    <s v="Online"/>
    <x v="4"/>
    <n v="20"/>
    <n v="124"/>
    <n v="2480"/>
    <n v="1364"/>
  </r>
  <r>
    <x v="2"/>
    <n v="1185732"/>
    <x v="95"/>
    <x v="3"/>
    <s v="South Carolina"/>
    <s v="Charleston"/>
    <s v="Online"/>
    <x v="0"/>
    <n v="34"/>
    <n v="182"/>
    <n v="6188"/>
    <n v="3341.5200000000004"/>
  </r>
  <r>
    <x v="2"/>
    <n v="1185732"/>
    <x v="95"/>
    <x v="1"/>
    <s v="Iowa"/>
    <s v="Des Moines"/>
    <s v="Online"/>
    <x v="0"/>
    <n v="18"/>
    <n v="49"/>
    <n v="882"/>
    <n v="449.82"/>
  </r>
  <r>
    <x v="2"/>
    <n v="1185732"/>
    <x v="95"/>
    <x v="3"/>
    <s v="South Carolina"/>
    <s v="Charleston"/>
    <s v="Online"/>
    <x v="1"/>
    <n v="47"/>
    <n v="188"/>
    <n v="8836"/>
    <n v="4418"/>
  </r>
  <r>
    <x v="2"/>
    <n v="1185732"/>
    <x v="95"/>
    <x v="1"/>
    <s v="Iowa"/>
    <s v="Des Moines"/>
    <s v="Online"/>
    <x v="2"/>
    <n v="46"/>
    <n v="63"/>
    <n v="2898"/>
    <n v="1391.04"/>
  </r>
  <r>
    <x v="3"/>
    <n v="1197831"/>
    <x v="95"/>
    <x v="2"/>
    <s v="Tennessee"/>
    <s v="Knoxville"/>
    <s v="Outlet"/>
    <x v="5"/>
    <n v="20"/>
    <n v="179"/>
    <n v="3580"/>
    <n v="1646.8"/>
  </r>
  <r>
    <x v="2"/>
    <n v="1185732"/>
    <x v="95"/>
    <x v="3"/>
    <s v="South Carolina"/>
    <s v="Charleston"/>
    <s v="Online"/>
    <x v="4"/>
    <n v="33"/>
    <n v="283"/>
    <n v="9339"/>
    <n v="4015.7699999999995"/>
  </r>
  <r>
    <x v="3"/>
    <n v="1197831"/>
    <x v="95"/>
    <x v="2"/>
    <s v="Tennessee"/>
    <s v="Knoxville"/>
    <s v="Online"/>
    <x v="5"/>
    <n v="27"/>
    <n v="142"/>
    <n v="3834"/>
    <n v="1533.6"/>
  </r>
  <r>
    <x v="2"/>
    <n v="1185732"/>
    <x v="95"/>
    <x v="1"/>
    <s v="Iowa"/>
    <s v="Des Moines"/>
    <s v="Online"/>
    <x v="1"/>
    <n v="55"/>
    <n v="34"/>
    <n v="1870"/>
    <n v="729.3"/>
  </r>
  <r>
    <x v="2"/>
    <n v="1185732"/>
    <x v="95"/>
    <x v="3"/>
    <s v="South Carolina"/>
    <s v="Charleston"/>
    <s v="Online"/>
    <x v="2"/>
    <n v="39"/>
    <n v="209"/>
    <n v="8151"/>
    <n v="3015.87"/>
  </r>
  <r>
    <x v="1"/>
    <n v="1185732"/>
    <x v="96"/>
    <x v="4"/>
    <s v="New Jersey"/>
    <s v="Newark"/>
    <s v="In-store"/>
    <x v="1"/>
    <n v="45"/>
    <n v="100"/>
    <n v="4500"/>
    <n v="3150"/>
  </r>
  <r>
    <x v="2"/>
    <n v="1185732"/>
    <x v="96"/>
    <x v="4"/>
    <s v="Rhode Island"/>
    <s v="Providence"/>
    <s v="In-store"/>
    <x v="1"/>
    <n v="45"/>
    <n v="50"/>
    <n v="2250"/>
    <n v="1575"/>
  </r>
  <r>
    <x v="3"/>
    <n v="1197831"/>
    <x v="96"/>
    <x v="2"/>
    <s v="Tennessee"/>
    <s v="Knoxville"/>
    <s v="Outlet"/>
    <x v="1"/>
    <n v="45"/>
    <n v="425"/>
    <n v="19125"/>
    <n v="12431.25"/>
  </r>
  <r>
    <x v="1"/>
    <n v="1185732"/>
    <x v="96"/>
    <x v="4"/>
    <s v="New Jersey"/>
    <s v="Newark"/>
    <s v="In-store"/>
    <x v="4"/>
    <n v="35"/>
    <n v="475"/>
    <n v="16625"/>
    <n v="10806.25"/>
  </r>
  <r>
    <x v="1"/>
    <n v="1185732"/>
    <x v="96"/>
    <x v="4"/>
    <s v="New Jersey"/>
    <s v="Newark"/>
    <s v="In-store"/>
    <x v="0"/>
    <n v="35"/>
    <n v="175"/>
    <n v="6125"/>
    <n v="3981.25"/>
  </r>
  <r>
    <x v="2"/>
    <n v="1185732"/>
    <x v="96"/>
    <x v="4"/>
    <s v="Rhode Island"/>
    <s v="Providence"/>
    <s v="In-store"/>
    <x v="4"/>
    <n v="35"/>
    <n v="425"/>
    <n v="14875"/>
    <n v="9668.75"/>
  </r>
  <r>
    <x v="2"/>
    <n v="1185732"/>
    <x v="96"/>
    <x v="4"/>
    <s v="Rhode Island"/>
    <s v="Providence"/>
    <s v="In-store"/>
    <x v="0"/>
    <n v="35"/>
    <n v="125"/>
    <n v="4375"/>
    <n v="2843.75"/>
  </r>
  <r>
    <x v="1"/>
    <n v="1185732"/>
    <x v="96"/>
    <x v="4"/>
    <s v="New Jersey"/>
    <s v="Newark"/>
    <s v="In-store"/>
    <x v="3"/>
    <n v="25.000000000000007"/>
    <n v="175"/>
    <n v="4375.0000000000009"/>
    <n v="2625.0000000000009"/>
  </r>
  <r>
    <x v="1"/>
    <n v="1189833"/>
    <x v="96"/>
    <x v="0"/>
    <s v="California"/>
    <s v="Los Angeles"/>
    <s v="Outlet"/>
    <x v="4"/>
    <n v="45"/>
    <n v="800"/>
    <n v="36000"/>
    <n v="21600"/>
  </r>
  <r>
    <x v="1"/>
    <n v="1185732"/>
    <x v="96"/>
    <x v="4"/>
    <s v="New Jersey"/>
    <s v="Newark"/>
    <s v="In-store"/>
    <x v="5"/>
    <n v="30"/>
    <n v="100"/>
    <n v="3000"/>
    <n v="1800"/>
  </r>
  <r>
    <x v="1"/>
    <n v="1185732"/>
    <x v="96"/>
    <x v="4"/>
    <s v="New Jersey"/>
    <s v="Newark"/>
    <s v="In-store"/>
    <x v="2"/>
    <n v="35"/>
    <n v="250"/>
    <n v="8750"/>
    <n v="5250"/>
  </r>
  <r>
    <x v="2"/>
    <n v="1185732"/>
    <x v="96"/>
    <x v="4"/>
    <s v="Rhode Island"/>
    <s v="Providence"/>
    <s v="In-store"/>
    <x v="3"/>
    <n v="25.000000000000007"/>
    <n v="125"/>
    <n v="3125.0000000000009"/>
    <n v="1875.0000000000005"/>
  </r>
  <r>
    <x v="2"/>
    <n v="1185732"/>
    <x v="96"/>
    <x v="4"/>
    <s v="Rhode Island"/>
    <s v="Providence"/>
    <s v="In-store"/>
    <x v="5"/>
    <n v="30"/>
    <n v="50"/>
    <n v="1500"/>
    <n v="900"/>
  </r>
  <r>
    <x v="2"/>
    <n v="1185732"/>
    <x v="96"/>
    <x v="4"/>
    <s v="Rhode Island"/>
    <s v="Providence"/>
    <s v="In-store"/>
    <x v="2"/>
    <n v="35"/>
    <n v="200"/>
    <n v="7000"/>
    <n v="4200"/>
  </r>
  <r>
    <x v="2"/>
    <n v="1185732"/>
    <x v="96"/>
    <x v="4"/>
    <s v="Rhode Island"/>
    <s v="Providence"/>
    <s v="Outlet"/>
    <x v="1"/>
    <n v="33"/>
    <n v="15"/>
    <n v="495"/>
    <n v="336.6"/>
  </r>
  <r>
    <x v="2"/>
    <n v="1185732"/>
    <x v="96"/>
    <x v="4"/>
    <s v="Rhode Island"/>
    <s v="Providence"/>
    <s v="Online"/>
    <x v="1"/>
    <n v="44"/>
    <n v="15"/>
    <n v="660"/>
    <n v="396"/>
  </r>
  <r>
    <x v="2"/>
    <n v="1185732"/>
    <x v="96"/>
    <x v="4"/>
    <s v="Rhode Island"/>
    <s v="Providence"/>
    <s v="Outlet"/>
    <x v="0"/>
    <n v="23"/>
    <n v="40"/>
    <n v="920"/>
    <n v="552"/>
  </r>
  <r>
    <x v="3"/>
    <n v="1197831"/>
    <x v="96"/>
    <x v="2"/>
    <s v="Tennessee"/>
    <s v="Knoxville"/>
    <s v="Outlet"/>
    <x v="1"/>
    <n v="33"/>
    <n v="132"/>
    <n v="4356"/>
    <n v="2570.04"/>
  </r>
  <r>
    <x v="2"/>
    <n v="1185732"/>
    <x v="96"/>
    <x v="4"/>
    <s v="Rhode Island"/>
    <s v="Providence"/>
    <s v="Outlet"/>
    <x v="4"/>
    <n v="28"/>
    <n v="132"/>
    <n v="3696"/>
    <n v="2143.6800000000003"/>
  </r>
  <r>
    <x v="2"/>
    <n v="1185732"/>
    <x v="96"/>
    <x v="4"/>
    <s v="Rhode Island"/>
    <s v="Providence"/>
    <s v="Outlet"/>
    <x v="3"/>
    <n v="16"/>
    <n v="44"/>
    <n v="704"/>
    <n v="408.32"/>
  </r>
  <r>
    <x v="1"/>
    <n v="1185732"/>
    <x v="96"/>
    <x v="4"/>
    <s v="New Jersey"/>
    <s v="Newark"/>
    <s v="Online"/>
    <x v="1"/>
    <n v="44"/>
    <n v="27"/>
    <n v="1188"/>
    <n v="665.28"/>
  </r>
  <r>
    <x v="2"/>
    <n v="1185732"/>
    <x v="96"/>
    <x v="4"/>
    <s v="Rhode Island"/>
    <s v="Providence"/>
    <s v="Outlet"/>
    <x v="2"/>
    <n v="26"/>
    <n v="60"/>
    <n v="1560"/>
    <n v="873.6"/>
  </r>
  <r>
    <x v="2"/>
    <n v="1185732"/>
    <x v="96"/>
    <x v="4"/>
    <s v="Rhode Island"/>
    <s v="Providence"/>
    <s v="Outlet"/>
    <x v="5"/>
    <n v="21"/>
    <n v="17"/>
    <n v="357"/>
    <n v="196.35"/>
  </r>
  <r>
    <x v="1"/>
    <n v="1185732"/>
    <x v="96"/>
    <x v="4"/>
    <s v="New Jersey"/>
    <s v="Newark"/>
    <s v="Online"/>
    <x v="0"/>
    <n v="33"/>
    <n v="51"/>
    <n v="1683"/>
    <n v="908.82"/>
  </r>
  <r>
    <x v="1"/>
    <n v="1189833"/>
    <x v="96"/>
    <x v="0"/>
    <s v="California"/>
    <s v="Los Angeles"/>
    <s v="Outlet"/>
    <x v="4"/>
    <n v="31"/>
    <n v="248"/>
    <n v="7688"/>
    <n v="4151.5200000000004"/>
  </r>
  <r>
    <x v="3"/>
    <n v="1197831"/>
    <x v="96"/>
    <x v="2"/>
    <s v="Tennessee"/>
    <s v="Knoxville"/>
    <s v="Online"/>
    <x v="1"/>
    <n v="41"/>
    <n v="106"/>
    <n v="4346"/>
    <n v="2216.46"/>
  </r>
  <r>
    <x v="2"/>
    <n v="1185732"/>
    <x v="96"/>
    <x v="4"/>
    <s v="Rhode Island"/>
    <s v="Providence"/>
    <s v="Online"/>
    <x v="4"/>
    <n v="32"/>
    <n v="111"/>
    <n v="3552"/>
    <n v="1811.52"/>
  </r>
  <r>
    <x v="1"/>
    <n v="1189833"/>
    <x v="96"/>
    <x v="0"/>
    <s v="California"/>
    <s v="Los Angeles"/>
    <s v="Online"/>
    <x v="4"/>
    <n v="43"/>
    <n v="240"/>
    <n v="10320"/>
    <n v="5160"/>
  </r>
  <r>
    <x v="1"/>
    <n v="1185732"/>
    <x v="96"/>
    <x v="4"/>
    <s v="New Jersey"/>
    <s v="Newark"/>
    <s v="Online"/>
    <x v="4"/>
    <n v="34"/>
    <n v="133"/>
    <n v="4522"/>
    <n v="2261"/>
  </r>
  <r>
    <x v="1"/>
    <n v="1185732"/>
    <x v="96"/>
    <x v="4"/>
    <s v="New Jersey"/>
    <s v="Newark"/>
    <s v="Online"/>
    <x v="3"/>
    <n v="24"/>
    <n v="51"/>
    <n v="1224"/>
    <n v="612"/>
  </r>
  <r>
    <x v="2"/>
    <n v="1185732"/>
    <x v="96"/>
    <x v="4"/>
    <s v="Rhode Island"/>
    <s v="Providence"/>
    <s v="Online"/>
    <x v="0"/>
    <n v="32"/>
    <n v="33"/>
    <n v="1056"/>
    <n v="528"/>
  </r>
  <r>
    <x v="1"/>
    <n v="1185732"/>
    <x v="96"/>
    <x v="4"/>
    <s v="New Jersey"/>
    <s v="Newark"/>
    <s v="Online"/>
    <x v="5"/>
    <n v="27"/>
    <n v="27"/>
    <n v="729"/>
    <n v="357.21"/>
  </r>
  <r>
    <x v="2"/>
    <n v="1185732"/>
    <x v="96"/>
    <x v="4"/>
    <s v="Rhode Island"/>
    <s v="Providence"/>
    <s v="Online"/>
    <x v="3"/>
    <n v="24"/>
    <n v="36"/>
    <n v="864"/>
    <n v="414.71999999999997"/>
  </r>
  <r>
    <x v="2"/>
    <n v="1185732"/>
    <x v="96"/>
    <x v="4"/>
    <s v="Rhode Island"/>
    <s v="Providence"/>
    <s v="Online"/>
    <x v="2"/>
    <n v="33"/>
    <n v="50"/>
    <n v="1650"/>
    <n v="792"/>
  </r>
  <r>
    <x v="2"/>
    <n v="1185732"/>
    <x v="96"/>
    <x v="4"/>
    <s v="Rhode Island"/>
    <s v="Providence"/>
    <s v="Online"/>
    <x v="5"/>
    <n v="29"/>
    <n v="13"/>
    <n v="377"/>
    <n v="177.19"/>
  </r>
  <r>
    <x v="1"/>
    <n v="1185732"/>
    <x v="96"/>
    <x v="4"/>
    <s v="New Jersey"/>
    <s v="Newark"/>
    <s v="Online"/>
    <x v="2"/>
    <n v="33"/>
    <n v="68"/>
    <n v="2244"/>
    <n v="1032.24"/>
  </r>
  <r>
    <x v="1"/>
    <n v="1189833"/>
    <x v="97"/>
    <x v="0"/>
    <s v="California"/>
    <s v="Los Angeles"/>
    <s v="Outlet"/>
    <x v="0"/>
    <n v="50"/>
    <n v="600"/>
    <n v="30000"/>
    <n v="22500"/>
  </r>
  <r>
    <x v="3"/>
    <n v="1197831"/>
    <x v="97"/>
    <x v="2"/>
    <s v="Tennessee"/>
    <s v="Knoxville"/>
    <s v="Outlet"/>
    <x v="2"/>
    <n v="40"/>
    <n v="775"/>
    <n v="31000"/>
    <n v="13950"/>
  </r>
  <r>
    <x v="1"/>
    <n v="1189833"/>
    <x v="97"/>
    <x v="0"/>
    <s v="California"/>
    <s v="Los Angeles"/>
    <s v="Outlet"/>
    <x v="0"/>
    <n v="34"/>
    <n v="210"/>
    <n v="7140"/>
    <n v="5069.3999999999996"/>
  </r>
  <r>
    <x v="1"/>
    <n v="1189833"/>
    <x v="97"/>
    <x v="0"/>
    <s v="California"/>
    <s v="Los Angeles"/>
    <s v="Online"/>
    <x v="0"/>
    <n v="49"/>
    <n v="156"/>
    <n v="7644"/>
    <n v="4892.16"/>
  </r>
  <r>
    <x v="3"/>
    <n v="1197831"/>
    <x v="97"/>
    <x v="2"/>
    <s v="Tennessee"/>
    <s v="Knoxville"/>
    <s v="Outlet"/>
    <x v="2"/>
    <n v="31"/>
    <n v="271"/>
    <n v="8401"/>
    <n v="3444.4099999999989"/>
  </r>
  <r>
    <x v="3"/>
    <n v="1197831"/>
    <x v="97"/>
    <x v="2"/>
    <s v="Tennessee"/>
    <s v="Knoxville"/>
    <s v="Online"/>
    <x v="2"/>
    <n v="38"/>
    <n v="202"/>
    <n v="7676"/>
    <n v="2533.08"/>
  </r>
  <r>
    <x v="0"/>
    <n v="1185732"/>
    <x v="98"/>
    <x v="4"/>
    <s v="New York"/>
    <s v="Albany"/>
    <s v="In-store"/>
    <x v="3"/>
    <n v="35"/>
    <n v="525"/>
    <n v="18375"/>
    <n v="13781.25"/>
  </r>
  <r>
    <x v="0"/>
    <n v="1185732"/>
    <x v="98"/>
    <x v="4"/>
    <s v="New York"/>
    <s v="Albany"/>
    <s v="In-store"/>
    <x v="5"/>
    <n v="40"/>
    <n v="450"/>
    <n v="18000"/>
    <n v="12600"/>
  </r>
  <r>
    <x v="3"/>
    <n v="1185732"/>
    <x v="98"/>
    <x v="1"/>
    <s v="North Dakota"/>
    <s v="Fargo"/>
    <s v="Online"/>
    <x v="0"/>
    <n v="30.000000000000004"/>
    <n v="150"/>
    <n v="4500.0000000000009"/>
    <n v="3150.0000000000009"/>
  </r>
  <r>
    <x v="3"/>
    <n v="1185732"/>
    <x v="98"/>
    <x v="1"/>
    <s v="North Dakota"/>
    <s v="Fargo"/>
    <s v="Online"/>
    <x v="3"/>
    <n v="20.000000000000004"/>
    <n v="150"/>
    <n v="3000.0000000000005"/>
    <n v="2100.0000000000005"/>
  </r>
  <r>
    <x v="3"/>
    <n v="1185732"/>
    <x v="98"/>
    <x v="1"/>
    <s v="North Dakota"/>
    <s v="Fargo"/>
    <s v="Online"/>
    <x v="5"/>
    <n v="24.999999999999996"/>
    <n v="75"/>
    <n v="1874.9999999999998"/>
    <n v="1312.4999999999995"/>
  </r>
  <r>
    <x v="3"/>
    <n v="1185732"/>
    <x v="98"/>
    <x v="1"/>
    <s v="North Dakota"/>
    <s v="Fargo"/>
    <s v="Online"/>
    <x v="4"/>
    <n v="30.000000000000004"/>
    <n v="450"/>
    <n v="13500.000000000002"/>
    <n v="8775.0000000000036"/>
  </r>
  <r>
    <x v="0"/>
    <n v="1185732"/>
    <x v="98"/>
    <x v="4"/>
    <s v="New York"/>
    <s v="Albany"/>
    <s v="In-store"/>
    <x v="0"/>
    <n v="45"/>
    <n v="525"/>
    <n v="23625"/>
    <n v="15356.25"/>
  </r>
  <r>
    <x v="0"/>
    <n v="1185732"/>
    <x v="98"/>
    <x v="4"/>
    <s v="New York"/>
    <s v="Albany"/>
    <s v="In-store"/>
    <x v="1"/>
    <n v="55.000000000000007"/>
    <n v="475"/>
    <n v="26125.000000000004"/>
    <n v="16981.250000000004"/>
  </r>
  <r>
    <x v="3"/>
    <n v="1185732"/>
    <x v="98"/>
    <x v="1"/>
    <s v="North Dakota"/>
    <s v="Fargo"/>
    <s v="In-store"/>
    <x v="1"/>
    <n v="60"/>
    <n v="100"/>
    <n v="6000"/>
    <n v="3900"/>
  </r>
  <r>
    <x v="1"/>
    <n v="1189833"/>
    <x v="98"/>
    <x v="0"/>
    <s v="California"/>
    <s v="Los Angeles"/>
    <s v="Outlet"/>
    <x v="3"/>
    <n v="50"/>
    <n v="625"/>
    <n v="31250"/>
    <n v="18750"/>
  </r>
  <r>
    <x v="3"/>
    <n v="1197831"/>
    <x v="98"/>
    <x v="2"/>
    <s v="Tennessee"/>
    <s v="Knoxville"/>
    <s v="Outlet"/>
    <x v="4"/>
    <n v="40"/>
    <n v="775"/>
    <n v="31000"/>
    <n v="18600"/>
  </r>
  <r>
    <x v="3"/>
    <n v="1185732"/>
    <x v="98"/>
    <x v="1"/>
    <s v="North Dakota"/>
    <s v="Fargo"/>
    <s v="In-store"/>
    <x v="2"/>
    <n v="50"/>
    <n v="225"/>
    <n v="11250"/>
    <n v="6750"/>
  </r>
  <r>
    <x v="0"/>
    <n v="1185732"/>
    <x v="98"/>
    <x v="4"/>
    <s v="New York"/>
    <s v="Albany"/>
    <s v="In-store"/>
    <x v="4"/>
    <n v="45"/>
    <n v="825"/>
    <n v="37125"/>
    <n v="20418.75"/>
  </r>
  <r>
    <x v="0"/>
    <n v="1185732"/>
    <x v="98"/>
    <x v="4"/>
    <s v="New York"/>
    <s v="Albany"/>
    <s v="In-store"/>
    <x v="2"/>
    <n v="45"/>
    <n v="600"/>
    <n v="27000"/>
    <n v="13500"/>
  </r>
  <r>
    <x v="0"/>
    <n v="1185732"/>
    <x v="98"/>
    <x v="4"/>
    <s v="New York"/>
    <s v="Albany"/>
    <s v="Online"/>
    <x v="3"/>
    <n v="34"/>
    <n v="152"/>
    <n v="5168"/>
    <n v="3307.52"/>
  </r>
  <r>
    <x v="0"/>
    <n v="1185732"/>
    <x v="98"/>
    <x v="4"/>
    <s v="New York"/>
    <s v="Albany"/>
    <s v="Online"/>
    <x v="5"/>
    <n v="37"/>
    <n v="135"/>
    <n v="4995"/>
    <n v="2947.05"/>
  </r>
  <r>
    <x v="3"/>
    <n v="1185732"/>
    <x v="98"/>
    <x v="1"/>
    <s v="North Dakota"/>
    <s v="Fargo"/>
    <s v="Online"/>
    <x v="3"/>
    <n v="19"/>
    <n v="41"/>
    <n v="779"/>
    <n v="451.82"/>
  </r>
  <r>
    <x v="3"/>
    <n v="1185732"/>
    <x v="98"/>
    <x v="1"/>
    <s v="North Dakota"/>
    <s v="Fargo"/>
    <s v="Online"/>
    <x v="5"/>
    <n v="24"/>
    <n v="22"/>
    <n v="528"/>
    <n v="300.96000000000004"/>
  </r>
  <r>
    <x v="3"/>
    <n v="1185732"/>
    <x v="98"/>
    <x v="1"/>
    <s v="North Dakota"/>
    <s v="Fargo"/>
    <s v="Online"/>
    <x v="0"/>
    <n v="28"/>
    <n v="44"/>
    <n v="1232"/>
    <n v="702.24"/>
  </r>
  <r>
    <x v="0"/>
    <n v="1185732"/>
    <x v="98"/>
    <x v="4"/>
    <s v="New York"/>
    <s v="Albany"/>
    <s v="Online"/>
    <x v="0"/>
    <n v="43"/>
    <n v="147"/>
    <n v="6321"/>
    <n v="3476.55"/>
  </r>
  <r>
    <x v="0"/>
    <n v="1185732"/>
    <x v="98"/>
    <x v="4"/>
    <s v="New York"/>
    <s v="Albany"/>
    <s v="Online"/>
    <x v="1"/>
    <n v="50"/>
    <n v="124"/>
    <n v="6200"/>
    <n v="3286"/>
  </r>
  <r>
    <x v="1"/>
    <n v="1189833"/>
    <x v="98"/>
    <x v="0"/>
    <s v="California"/>
    <s v="Los Angeles"/>
    <s v="Outlet"/>
    <x v="3"/>
    <n v="38"/>
    <n v="206"/>
    <n v="7828"/>
    <n v="4148.84"/>
  </r>
  <r>
    <x v="3"/>
    <n v="1197831"/>
    <x v="98"/>
    <x v="2"/>
    <s v="Tennessee"/>
    <s v="Knoxville"/>
    <s v="Outlet"/>
    <x v="4"/>
    <n v="28"/>
    <n v="256"/>
    <n v="7168"/>
    <n v="3799.04"/>
  </r>
  <r>
    <x v="3"/>
    <n v="1185732"/>
    <x v="98"/>
    <x v="1"/>
    <s v="North Dakota"/>
    <s v="Fargo"/>
    <s v="Online"/>
    <x v="1"/>
    <n v="58"/>
    <n v="30"/>
    <n v="1740"/>
    <n v="904.80000000000007"/>
  </r>
  <r>
    <x v="3"/>
    <n v="1185732"/>
    <x v="98"/>
    <x v="1"/>
    <s v="North Dakota"/>
    <s v="Fargo"/>
    <s v="Online"/>
    <x v="4"/>
    <n v="28"/>
    <n v="113"/>
    <n v="3164"/>
    <n v="1613.64"/>
  </r>
  <r>
    <x v="3"/>
    <n v="1197831"/>
    <x v="98"/>
    <x v="2"/>
    <s v="Tennessee"/>
    <s v="Knoxville"/>
    <s v="Online"/>
    <x v="4"/>
    <n v="36"/>
    <n v="217"/>
    <n v="7812"/>
    <n v="3827.88"/>
  </r>
  <r>
    <x v="3"/>
    <n v="1185732"/>
    <x v="98"/>
    <x v="1"/>
    <s v="North Dakota"/>
    <s v="Fargo"/>
    <s v="Online"/>
    <x v="2"/>
    <n v="49"/>
    <n v="68"/>
    <n v="3332"/>
    <n v="1566.04"/>
  </r>
  <r>
    <x v="1"/>
    <n v="1189833"/>
    <x v="98"/>
    <x v="0"/>
    <s v="California"/>
    <s v="Los Angeles"/>
    <s v="Online"/>
    <x v="3"/>
    <n v="49"/>
    <n v="175"/>
    <n v="8575"/>
    <n v="3858.75"/>
  </r>
  <r>
    <x v="0"/>
    <n v="1185732"/>
    <x v="98"/>
    <x v="4"/>
    <s v="New York"/>
    <s v="Albany"/>
    <s v="Online"/>
    <x v="4"/>
    <n v="42"/>
    <n v="248"/>
    <n v="10416"/>
    <n v="4583.0399999999991"/>
  </r>
  <r>
    <x v="0"/>
    <n v="1185732"/>
    <x v="98"/>
    <x v="4"/>
    <s v="New York"/>
    <s v="Albany"/>
    <s v="Online"/>
    <x v="2"/>
    <n v="41"/>
    <n v="156"/>
    <n v="6396"/>
    <n v="2238.5999999999995"/>
  </r>
  <r>
    <x v="2"/>
    <n v="1128299"/>
    <x v="99"/>
    <x v="0"/>
    <s v="Hawaii"/>
    <s v="Honolulu"/>
    <s v="Outlet"/>
    <x v="1"/>
    <n v="55.000000000000007"/>
    <n v="150"/>
    <n v="8250.0000000000018"/>
    <n v="7012.5000000000018"/>
  </r>
  <r>
    <x v="2"/>
    <n v="1128299"/>
    <x v="99"/>
    <x v="0"/>
    <s v="Hawaii"/>
    <s v="Honolulu"/>
    <s v="Outlet"/>
    <x v="0"/>
    <n v="65"/>
    <n v="300"/>
    <n v="19500"/>
    <n v="15600"/>
  </r>
  <r>
    <x v="2"/>
    <n v="1128299"/>
    <x v="99"/>
    <x v="0"/>
    <s v="Hawaii"/>
    <s v="Honolulu"/>
    <s v="Outlet"/>
    <x v="4"/>
    <n v="60"/>
    <n v="500"/>
    <n v="30000"/>
    <n v="22500"/>
  </r>
  <r>
    <x v="2"/>
    <n v="1128299"/>
    <x v="99"/>
    <x v="0"/>
    <s v="Hawaii"/>
    <s v="Honolulu"/>
    <s v="Outlet"/>
    <x v="3"/>
    <n v="65"/>
    <n v="350"/>
    <n v="22750"/>
    <n v="17062.5"/>
  </r>
  <r>
    <x v="2"/>
    <n v="1128299"/>
    <x v="99"/>
    <x v="0"/>
    <s v="Hawaii"/>
    <s v="Honolulu"/>
    <s v="Outlet"/>
    <x v="5"/>
    <n v="50"/>
    <n v="250"/>
    <n v="12500"/>
    <n v="9375"/>
  </r>
  <r>
    <x v="0"/>
    <n v="1185732"/>
    <x v="99"/>
    <x v="1"/>
    <s v="Indiana"/>
    <s v="Indianapolis"/>
    <s v="In-store"/>
    <x v="1"/>
    <n v="65"/>
    <n v="150"/>
    <n v="9750"/>
    <n v="6825"/>
  </r>
  <r>
    <x v="1"/>
    <n v="1189833"/>
    <x v="99"/>
    <x v="0"/>
    <s v="California"/>
    <s v="Los Angeles"/>
    <s v="Outlet"/>
    <x v="5"/>
    <n v="45"/>
    <n v="525"/>
    <n v="23625"/>
    <n v="15356.25"/>
  </r>
  <r>
    <x v="4"/>
    <n v="1185732"/>
    <x v="99"/>
    <x v="1"/>
    <s v="Ohio"/>
    <s v="Columbus"/>
    <s v="Online"/>
    <x v="0"/>
    <n v="30"/>
    <n v="425"/>
    <n v="12750"/>
    <n v="8287.5"/>
  </r>
  <r>
    <x v="4"/>
    <n v="1185732"/>
    <x v="99"/>
    <x v="1"/>
    <s v="Ohio"/>
    <s v="Columbus"/>
    <s v="Online"/>
    <x v="1"/>
    <n v="45"/>
    <n v="375"/>
    <n v="16875"/>
    <n v="10968.75"/>
  </r>
  <r>
    <x v="0"/>
    <n v="1185732"/>
    <x v="99"/>
    <x v="1"/>
    <s v="Indiana"/>
    <s v="Indianapolis"/>
    <s v="In-store"/>
    <x v="3"/>
    <n v="15.000000000000002"/>
    <n v="200"/>
    <n v="3000.0000000000005"/>
    <n v="1950.0000000000005"/>
  </r>
  <r>
    <x v="0"/>
    <n v="1185732"/>
    <x v="99"/>
    <x v="1"/>
    <s v="Indiana"/>
    <s v="Indianapolis"/>
    <s v="In-store"/>
    <x v="5"/>
    <n v="19.999999999999996"/>
    <n v="125"/>
    <n v="2499.9999999999995"/>
    <n v="1624.9999999999998"/>
  </r>
  <r>
    <x v="3"/>
    <n v="1197831"/>
    <x v="99"/>
    <x v="2"/>
    <s v="Tennessee"/>
    <s v="Knoxville"/>
    <s v="Outlet"/>
    <x v="0"/>
    <n v="45"/>
    <n v="775"/>
    <n v="34875"/>
    <n v="20925"/>
  </r>
  <r>
    <x v="2"/>
    <n v="1128299"/>
    <x v="99"/>
    <x v="0"/>
    <s v="Hawaii"/>
    <s v="Honolulu"/>
    <s v="Outlet"/>
    <x v="2"/>
    <n v="70"/>
    <n v="325"/>
    <n v="22750"/>
    <n v="13650"/>
  </r>
  <r>
    <x v="4"/>
    <n v="1185732"/>
    <x v="99"/>
    <x v="1"/>
    <s v="Ohio"/>
    <s v="Columbus"/>
    <s v="Online"/>
    <x v="4"/>
    <n v="30"/>
    <n v="725"/>
    <n v="21750"/>
    <n v="13050"/>
  </r>
  <r>
    <x v="4"/>
    <n v="1185732"/>
    <x v="99"/>
    <x v="1"/>
    <s v="Ohio"/>
    <s v="Columbus"/>
    <s v="Online"/>
    <x v="3"/>
    <n v="20"/>
    <n v="425"/>
    <n v="8500"/>
    <n v="5100"/>
  </r>
  <r>
    <x v="0"/>
    <n v="1185732"/>
    <x v="99"/>
    <x v="1"/>
    <s v="Indiana"/>
    <s v="Indianapolis"/>
    <s v="In-store"/>
    <x v="4"/>
    <n v="25.000000000000007"/>
    <n v="500"/>
    <n v="12500.000000000004"/>
    <n v="7500.0000000000018"/>
  </r>
  <r>
    <x v="0"/>
    <n v="1185732"/>
    <x v="99"/>
    <x v="1"/>
    <s v="Indiana"/>
    <s v="Indianapolis"/>
    <s v="In-store"/>
    <x v="0"/>
    <n v="25.000000000000007"/>
    <n v="200"/>
    <n v="5000.0000000000018"/>
    <n v="3000.0000000000009"/>
  </r>
  <r>
    <x v="0"/>
    <n v="1185732"/>
    <x v="99"/>
    <x v="1"/>
    <s v="Indiana"/>
    <s v="Indianapolis"/>
    <s v="In-store"/>
    <x v="2"/>
    <n v="50"/>
    <n v="275"/>
    <n v="13750"/>
    <n v="8250"/>
  </r>
  <r>
    <x v="4"/>
    <n v="1185732"/>
    <x v="99"/>
    <x v="1"/>
    <s v="Ohio"/>
    <s v="Columbus"/>
    <s v="Online"/>
    <x v="5"/>
    <n v="24.999999999999993"/>
    <n v="350"/>
    <n v="8749.9999999999982"/>
    <n v="5249.9999999999982"/>
  </r>
  <r>
    <x v="4"/>
    <n v="1185732"/>
    <x v="99"/>
    <x v="1"/>
    <s v="Ohio"/>
    <s v="Columbus"/>
    <s v="Online"/>
    <x v="2"/>
    <n v="35"/>
    <n v="525"/>
    <n v="18375"/>
    <n v="9187.5"/>
  </r>
  <r>
    <x v="2"/>
    <n v="1128299"/>
    <x v="99"/>
    <x v="0"/>
    <s v="Hawaii"/>
    <s v="Honolulu"/>
    <s v="Online"/>
    <x v="1"/>
    <n v="52"/>
    <n v="42"/>
    <n v="2184"/>
    <n v="1594.32"/>
  </r>
  <r>
    <x v="2"/>
    <n v="1128299"/>
    <x v="99"/>
    <x v="0"/>
    <s v="Hawaii"/>
    <s v="Honolulu"/>
    <s v="Online"/>
    <x v="5"/>
    <n v="48"/>
    <n v="73"/>
    <n v="3504"/>
    <n v="2277.6000000000004"/>
  </r>
  <r>
    <x v="2"/>
    <n v="1128299"/>
    <x v="99"/>
    <x v="0"/>
    <s v="Hawaii"/>
    <s v="Honolulu"/>
    <s v="Online"/>
    <x v="0"/>
    <n v="61"/>
    <n v="81"/>
    <n v="4941"/>
    <n v="3211.65"/>
  </r>
  <r>
    <x v="2"/>
    <n v="1128299"/>
    <x v="99"/>
    <x v="0"/>
    <s v="Hawaii"/>
    <s v="Honolulu"/>
    <s v="Online"/>
    <x v="4"/>
    <n v="59"/>
    <n v="130"/>
    <n v="7670"/>
    <n v="4908.8"/>
  </r>
  <r>
    <x v="1"/>
    <n v="1189833"/>
    <x v="99"/>
    <x v="0"/>
    <s v="California"/>
    <s v="Los Angeles"/>
    <s v="Outlet"/>
    <x v="5"/>
    <n v="31"/>
    <n v="173"/>
    <n v="5363"/>
    <n v="3325.06"/>
  </r>
  <r>
    <x v="2"/>
    <n v="1128299"/>
    <x v="99"/>
    <x v="0"/>
    <s v="Hawaii"/>
    <s v="Honolulu"/>
    <s v="Online"/>
    <x v="3"/>
    <n v="60"/>
    <n v="91"/>
    <n v="5460"/>
    <n v="3385.2"/>
  </r>
  <r>
    <x v="0"/>
    <n v="1185732"/>
    <x v="99"/>
    <x v="1"/>
    <s v="Indiana"/>
    <s v="Indianapolis"/>
    <s v="Online"/>
    <x v="1"/>
    <n v="61"/>
    <n v="45"/>
    <n v="2745"/>
    <n v="1537.2"/>
  </r>
  <r>
    <x v="4"/>
    <n v="1185732"/>
    <x v="99"/>
    <x v="1"/>
    <s v="Ohio"/>
    <s v="Columbus"/>
    <s v="Online"/>
    <x v="1"/>
    <n v="42"/>
    <n v="101"/>
    <n v="4242"/>
    <n v="2248.2600000000002"/>
  </r>
  <r>
    <x v="3"/>
    <n v="1197831"/>
    <x v="99"/>
    <x v="2"/>
    <s v="Tennessee"/>
    <s v="Knoxville"/>
    <s v="Outlet"/>
    <x v="0"/>
    <n v="32"/>
    <n v="240"/>
    <n v="7680"/>
    <n v="4070.4"/>
  </r>
  <r>
    <x v="0"/>
    <n v="1185732"/>
    <x v="99"/>
    <x v="1"/>
    <s v="Indiana"/>
    <s v="Indianapolis"/>
    <s v="Online"/>
    <x v="5"/>
    <n v="19"/>
    <n v="36"/>
    <n v="684"/>
    <n v="355.68"/>
  </r>
  <r>
    <x v="1"/>
    <n v="1189833"/>
    <x v="99"/>
    <x v="0"/>
    <s v="California"/>
    <s v="Los Angeles"/>
    <s v="Online"/>
    <x v="5"/>
    <n v="43"/>
    <n v="152"/>
    <n v="6536"/>
    <n v="3333.36"/>
  </r>
  <r>
    <x v="4"/>
    <n v="1185732"/>
    <x v="99"/>
    <x v="1"/>
    <s v="Ohio"/>
    <s v="Columbus"/>
    <s v="Online"/>
    <x v="0"/>
    <n v="28"/>
    <n v="111"/>
    <n v="3108"/>
    <n v="1585.08"/>
  </r>
  <r>
    <x v="2"/>
    <n v="1128299"/>
    <x v="99"/>
    <x v="0"/>
    <s v="Hawaii"/>
    <s v="Honolulu"/>
    <s v="Online"/>
    <x v="2"/>
    <n v="66"/>
    <n v="94"/>
    <n v="6204"/>
    <n v="3102"/>
  </r>
  <r>
    <x v="4"/>
    <n v="1185732"/>
    <x v="99"/>
    <x v="1"/>
    <s v="Ohio"/>
    <s v="Columbus"/>
    <s v="Online"/>
    <x v="5"/>
    <n v="24"/>
    <n v="102"/>
    <n v="2448"/>
    <n v="1224"/>
  </r>
  <r>
    <x v="0"/>
    <n v="1185732"/>
    <x v="99"/>
    <x v="1"/>
    <s v="Indiana"/>
    <s v="Indianapolis"/>
    <s v="Online"/>
    <x v="3"/>
    <n v="14"/>
    <n v="52"/>
    <n v="728"/>
    <n v="364"/>
  </r>
  <r>
    <x v="3"/>
    <n v="1197831"/>
    <x v="99"/>
    <x v="2"/>
    <s v="Tennessee"/>
    <s v="Knoxville"/>
    <s v="Online"/>
    <x v="0"/>
    <n v="42"/>
    <n v="202"/>
    <n v="8484"/>
    <n v="4157.16"/>
  </r>
  <r>
    <x v="0"/>
    <n v="1185732"/>
    <x v="99"/>
    <x v="1"/>
    <s v="Indiana"/>
    <s v="Indianapolis"/>
    <s v="Online"/>
    <x v="0"/>
    <n v="23"/>
    <n v="54"/>
    <n v="1242"/>
    <n v="596.16"/>
  </r>
  <r>
    <x v="4"/>
    <n v="1185732"/>
    <x v="99"/>
    <x v="1"/>
    <s v="Ohio"/>
    <s v="Columbus"/>
    <s v="Online"/>
    <x v="3"/>
    <n v="19"/>
    <n v="106"/>
    <n v="2014"/>
    <n v="946.57999999999993"/>
  </r>
  <r>
    <x v="4"/>
    <n v="1185732"/>
    <x v="99"/>
    <x v="1"/>
    <s v="Ohio"/>
    <s v="Columbus"/>
    <s v="Online"/>
    <x v="4"/>
    <n v="28"/>
    <n v="218"/>
    <n v="6104"/>
    <n v="2746.7999999999997"/>
  </r>
  <r>
    <x v="0"/>
    <n v="1185732"/>
    <x v="99"/>
    <x v="1"/>
    <s v="Indiana"/>
    <s v="Indianapolis"/>
    <s v="Online"/>
    <x v="4"/>
    <n v="23"/>
    <n v="125"/>
    <n v="2875"/>
    <n v="1293.7499999999998"/>
  </r>
  <r>
    <x v="0"/>
    <n v="1185732"/>
    <x v="99"/>
    <x v="1"/>
    <s v="Indiana"/>
    <s v="Indianapolis"/>
    <s v="Online"/>
    <x v="2"/>
    <n v="47"/>
    <n v="72"/>
    <n v="3384"/>
    <n v="1522.8"/>
  </r>
  <r>
    <x v="4"/>
    <n v="1185732"/>
    <x v="99"/>
    <x v="1"/>
    <s v="Ohio"/>
    <s v="Columbus"/>
    <s v="Online"/>
    <x v="2"/>
    <n v="34"/>
    <n v="137"/>
    <n v="4658"/>
    <n v="1630.2999999999997"/>
  </r>
  <r>
    <x v="1"/>
    <n v="1185732"/>
    <x v="100"/>
    <x v="0"/>
    <s v="Wyoming"/>
    <s v="Cheyenne"/>
    <s v="In-store"/>
    <x v="2"/>
    <n v="40"/>
    <n v="550"/>
    <n v="22000"/>
    <n v="16500"/>
  </r>
  <r>
    <x v="1"/>
    <n v="1185732"/>
    <x v="100"/>
    <x v="0"/>
    <s v="Wyoming"/>
    <s v="Cheyenne"/>
    <s v="In-store"/>
    <x v="0"/>
    <n v="40"/>
    <n v="500"/>
    <n v="20000"/>
    <n v="14000"/>
  </r>
  <r>
    <x v="1"/>
    <n v="1185732"/>
    <x v="100"/>
    <x v="0"/>
    <s v="Wyoming"/>
    <s v="Cheyenne"/>
    <s v="In-store"/>
    <x v="1"/>
    <n v="50"/>
    <n v="425"/>
    <n v="21250"/>
    <n v="14875"/>
  </r>
  <r>
    <x v="1"/>
    <n v="1185732"/>
    <x v="100"/>
    <x v="0"/>
    <s v="Wyoming"/>
    <s v="Cheyenne"/>
    <s v="In-store"/>
    <x v="3"/>
    <n v="30.000000000000004"/>
    <n v="500"/>
    <n v="15000.000000000002"/>
    <n v="9750.0000000000036"/>
  </r>
  <r>
    <x v="0"/>
    <n v="1185732"/>
    <x v="100"/>
    <x v="0"/>
    <s v="Utah"/>
    <s v="Salt Lake City"/>
    <s v="In-store"/>
    <x v="0"/>
    <n v="25.000000000000007"/>
    <n v="325"/>
    <n v="8125.0000000000027"/>
    <n v="5281.2500000000018"/>
  </r>
  <r>
    <x v="4"/>
    <n v="1185732"/>
    <x v="100"/>
    <x v="4"/>
    <s v="Vermont"/>
    <s v="Burlington"/>
    <s v="In-store"/>
    <x v="1"/>
    <n v="55.000000000000007"/>
    <n v="150"/>
    <n v="8250.0000000000018"/>
    <n v="5362.5000000000018"/>
  </r>
  <r>
    <x v="1"/>
    <n v="1185732"/>
    <x v="100"/>
    <x v="0"/>
    <s v="Wyoming"/>
    <s v="Cheyenne"/>
    <s v="In-store"/>
    <x v="5"/>
    <n v="35"/>
    <n v="425"/>
    <n v="14875"/>
    <n v="9668.75"/>
  </r>
  <r>
    <x v="0"/>
    <n v="1185732"/>
    <x v="100"/>
    <x v="0"/>
    <s v="Utah"/>
    <s v="Salt Lake City"/>
    <s v="In-store"/>
    <x v="1"/>
    <n v="35"/>
    <n v="275"/>
    <n v="9625"/>
    <n v="6256.25"/>
  </r>
  <r>
    <x v="4"/>
    <n v="1185732"/>
    <x v="100"/>
    <x v="4"/>
    <s v="Vermont"/>
    <s v="Burlington"/>
    <s v="In-store"/>
    <x v="3"/>
    <n v="35"/>
    <n v="225"/>
    <n v="7875"/>
    <n v="5118.75"/>
  </r>
  <r>
    <x v="4"/>
    <n v="1185732"/>
    <x v="100"/>
    <x v="4"/>
    <s v="Vermont"/>
    <s v="Burlington"/>
    <s v="In-store"/>
    <x v="5"/>
    <n v="40"/>
    <n v="150"/>
    <n v="6000"/>
    <n v="3900"/>
  </r>
  <r>
    <x v="0"/>
    <n v="1185732"/>
    <x v="100"/>
    <x v="0"/>
    <s v="Utah"/>
    <s v="Salt Lake City"/>
    <s v="In-store"/>
    <x v="3"/>
    <n v="15.000000000000007"/>
    <n v="325"/>
    <n v="4875.0000000000027"/>
    <n v="3168.7500000000014"/>
  </r>
  <r>
    <x v="3"/>
    <n v="1197831"/>
    <x v="100"/>
    <x v="2"/>
    <s v="Tennessee"/>
    <s v="Knoxville"/>
    <s v="Outlet"/>
    <x v="3"/>
    <n v="40"/>
    <n v="650"/>
    <n v="26000"/>
    <n v="15600"/>
  </r>
  <r>
    <x v="0"/>
    <n v="1185732"/>
    <x v="100"/>
    <x v="0"/>
    <s v="Utah"/>
    <s v="Salt Lake City"/>
    <s v="In-store"/>
    <x v="4"/>
    <n v="30.000000000000004"/>
    <n v="625"/>
    <n v="18750.000000000004"/>
    <n v="11250.000000000002"/>
  </r>
  <r>
    <x v="0"/>
    <n v="1185732"/>
    <x v="100"/>
    <x v="0"/>
    <s v="Utah"/>
    <s v="Salt Lake City"/>
    <s v="In-store"/>
    <x v="5"/>
    <n v="20"/>
    <n v="250"/>
    <n v="5000"/>
    <n v="3000"/>
  </r>
  <r>
    <x v="4"/>
    <n v="1185732"/>
    <x v="100"/>
    <x v="4"/>
    <s v="Vermont"/>
    <s v="Burlington"/>
    <s v="In-store"/>
    <x v="2"/>
    <n v="45"/>
    <n v="300"/>
    <n v="13500"/>
    <n v="8100"/>
  </r>
  <r>
    <x v="4"/>
    <n v="1185732"/>
    <x v="100"/>
    <x v="4"/>
    <s v="Vermont"/>
    <s v="Burlington"/>
    <s v="In-store"/>
    <x v="4"/>
    <n v="45"/>
    <n v="525"/>
    <n v="23625"/>
    <n v="12993.75"/>
  </r>
  <r>
    <x v="4"/>
    <n v="1185732"/>
    <x v="100"/>
    <x v="4"/>
    <s v="Vermont"/>
    <s v="Burlington"/>
    <s v="In-store"/>
    <x v="0"/>
    <n v="45"/>
    <n v="225"/>
    <n v="10125"/>
    <n v="5568.75"/>
  </r>
  <r>
    <x v="1"/>
    <n v="1185732"/>
    <x v="100"/>
    <x v="0"/>
    <s v="Wyoming"/>
    <s v="Cheyenne"/>
    <s v="In-store"/>
    <x v="4"/>
    <n v="40"/>
    <n v="800"/>
    <n v="32000"/>
    <n v="16000"/>
  </r>
  <r>
    <x v="0"/>
    <n v="1185732"/>
    <x v="100"/>
    <x v="0"/>
    <s v="Utah"/>
    <s v="Salt Lake City"/>
    <s v="In-store"/>
    <x v="2"/>
    <n v="25.000000000000007"/>
    <n v="400"/>
    <n v="10000.000000000004"/>
    <n v="5000.0000000000018"/>
  </r>
  <r>
    <x v="1"/>
    <n v="1189833"/>
    <x v="100"/>
    <x v="0"/>
    <s v="California"/>
    <s v="Los Angeles"/>
    <s v="Outlet"/>
    <x v="1"/>
    <n v="50"/>
    <n v="425"/>
    <n v="21250"/>
    <n v="9562.4999999999982"/>
  </r>
  <r>
    <x v="1"/>
    <n v="1185732"/>
    <x v="100"/>
    <x v="0"/>
    <s v="Wyoming"/>
    <s v="Cheyenne"/>
    <s v="Online"/>
    <x v="2"/>
    <n v="36"/>
    <n v="149"/>
    <n v="5364"/>
    <n v="3486.6000000000004"/>
  </r>
  <r>
    <x v="0"/>
    <n v="1185732"/>
    <x v="100"/>
    <x v="0"/>
    <s v="Utah"/>
    <s v="Salt Lake City"/>
    <s v="Outlet"/>
    <x v="0"/>
    <n v="20"/>
    <n v="111"/>
    <n v="2220"/>
    <n v="1398.6"/>
  </r>
  <r>
    <x v="0"/>
    <n v="1185732"/>
    <x v="100"/>
    <x v="0"/>
    <s v="Utah"/>
    <s v="Salt Lake City"/>
    <s v="Outlet"/>
    <x v="1"/>
    <n v="24"/>
    <n v="88"/>
    <n v="2112"/>
    <n v="1288.3200000000002"/>
  </r>
  <r>
    <x v="4"/>
    <n v="1185732"/>
    <x v="100"/>
    <x v="4"/>
    <s v="Vermont"/>
    <s v="Burlington"/>
    <s v="Outlet"/>
    <x v="5"/>
    <n v="30"/>
    <n v="50"/>
    <n v="1500"/>
    <n v="900"/>
  </r>
  <r>
    <x v="0"/>
    <n v="1185732"/>
    <x v="100"/>
    <x v="0"/>
    <s v="Utah"/>
    <s v="Salt Lake City"/>
    <s v="Outlet"/>
    <x v="3"/>
    <n v="10"/>
    <n v="107"/>
    <n v="1070"/>
    <n v="631.29999999999995"/>
  </r>
  <r>
    <x v="4"/>
    <n v="1185732"/>
    <x v="100"/>
    <x v="4"/>
    <s v="Vermont"/>
    <s v="Burlington"/>
    <s v="Outlet"/>
    <x v="1"/>
    <n v="41"/>
    <n v="53"/>
    <n v="2173"/>
    <n v="1260.3400000000001"/>
  </r>
  <r>
    <x v="1"/>
    <n v="1185732"/>
    <x v="100"/>
    <x v="0"/>
    <s v="Wyoming"/>
    <s v="Cheyenne"/>
    <s v="Online"/>
    <x v="1"/>
    <n v="47"/>
    <n v="106"/>
    <n v="4982"/>
    <n v="2889.56"/>
  </r>
  <r>
    <x v="4"/>
    <n v="1185732"/>
    <x v="100"/>
    <x v="4"/>
    <s v="Vermont"/>
    <s v="Burlington"/>
    <s v="Outlet"/>
    <x v="3"/>
    <n v="25"/>
    <n v="74"/>
    <n v="1850"/>
    <n v="1073"/>
  </r>
  <r>
    <x v="3"/>
    <n v="1197831"/>
    <x v="100"/>
    <x v="2"/>
    <s v="Tennessee"/>
    <s v="Knoxville"/>
    <s v="Outlet"/>
    <x v="3"/>
    <n v="26"/>
    <n v="202"/>
    <n v="5252"/>
    <n v="2941.1200000000003"/>
  </r>
  <r>
    <x v="4"/>
    <n v="1185732"/>
    <x v="100"/>
    <x v="4"/>
    <s v="Vermont"/>
    <s v="Burlington"/>
    <s v="Outlet"/>
    <x v="2"/>
    <n v="36"/>
    <n v="90"/>
    <n v="3240"/>
    <n v="1814.4"/>
  </r>
  <r>
    <x v="1"/>
    <n v="1185732"/>
    <x v="100"/>
    <x v="0"/>
    <s v="Wyoming"/>
    <s v="Cheyenne"/>
    <s v="Online"/>
    <x v="0"/>
    <n v="39"/>
    <n v="140"/>
    <n v="5460"/>
    <n v="3003.0000000000005"/>
  </r>
  <r>
    <x v="0"/>
    <n v="1185732"/>
    <x v="100"/>
    <x v="0"/>
    <s v="Utah"/>
    <s v="Salt Lake City"/>
    <s v="Online"/>
    <x v="0"/>
    <n v="25"/>
    <n v="94"/>
    <n v="2350"/>
    <n v="1292.5"/>
  </r>
  <r>
    <x v="0"/>
    <n v="1185732"/>
    <x v="100"/>
    <x v="0"/>
    <s v="Utah"/>
    <s v="Salt Lake City"/>
    <s v="Outlet"/>
    <x v="5"/>
    <n v="14"/>
    <n v="75"/>
    <n v="1050"/>
    <n v="577.5"/>
  </r>
  <r>
    <x v="1"/>
    <n v="1185732"/>
    <x v="100"/>
    <x v="0"/>
    <s v="Wyoming"/>
    <s v="Cheyenne"/>
    <s v="Online"/>
    <x v="3"/>
    <n v="28"/>
    <n v="145"/>
    <n v="4060"/>
    <n v="2192.4"/>
  </r>
  <r>
    <x v="0"/>
    <n v="1185732"/>
    <x v="100"/>
    <x v="0"/>
    <s v="Utah"/>
    <s v="Salt Lake City"/>
    <s v="Online"/>
    <x v="1"/>
    <n v="33"/>
    <n v="74"/>
    <n v="2442"/>
    <n v="1318.68"/>
  </r>
  <r>
    <x v="0"/>
    <n v="1185732"/>
    <x v="100"/>
    <x v="0"/>
    <s v="Utah"/>
    <s v="Salt Lake City"/>
    <s v="Online"/>
    <x v="3"/>
    <n v="14"/>
    <n v="98"/>
    <n v="1372"/>
    <n v="740.88"/>
  </r>
  <r>
    <x v="4"/>
    <n v="1185732"/>
    <x v="100"/>
    <x v="4"/>
    <s v="Vermont"/>
    <s v="Burlington"/>
    <s v="Online"/>
    <x v="1"/>
    <n v="51"/>
    <n v="38"/>
    <n v="1938"/>
    <n v="1046.52"/>
  </r>
  <r>
    <x v="0"/>
    <n v="1185732"/>
    <x v="100"/>
    <x v="0"/>
    <s v="Utah"/>
    <s v="Salt Lake City"/>
    <s v="Outlet"/>
    <x v="4"/>
    <n v="20"/>
    <n v="194"/>
    <n v="3880"/>
    <n v="2095.1999999999998"/>
  </r>
  <r>
    <x v="1"/>
    <n v="1185732"/>
    <x v="100"/>
    <x v="0"/>
    <s v="Wyoming"/>
    <s v="Cheyenne"/>
    <s v="Online"/>
    <x v="5"/>
    <n v="33"/>
    <n v="119"/>
    <n v="3927"/>
    <n v="2081.3100000000004"/>
  </r>
  <r>
    <x v="4"/>
    <n v="1185732"/>
    <x v="100"/>
    <x v="4"/>
    <s v="Vermont"/>
    <s v="Burlington"/>
    <s v="Outlet"/>
    <x v="0"/>
    <n v="35"/>
    <n v="68"/>
    <n v="2380"/>
    <n v="1261.3999999999999"/>
  </r>
  <r>
    <x v="0"/>
    <n v="1185732"/>
    <x v="100"/>
    <x v="0"/>
    <s v="Utah"/>
    <s v="Salt Lake City"/>
    <s v="Online"/>
    <x v="4"/>
    <n v="27"/>
    <n v="181"/>
    <n v="4887"/>
    <n v="2443.5"/>
  </r>
  <r>
    <x v="4"/>
    <n v="1185732"/>
    <x v="100"/>
    <x v="4"/>
    <s v="Vermont"/>
    <s v="Burlington"/>
    <s v="Online"/>
    <x v="3"/>
    <n v="32"/>
    <n v="65"/>
    <n v="2080"/>
    <n v="1040"/>
  </r>
  <r>
    <x v="4"/>
    <n v="1185732"/>
    <x v="100"/>
    <x v="4"/>
    <s v="Vermont"/>
    <s v="Burlington"/>
    <s v="Online"/>
    <x v="5"/>
    <n v="36"/>
    <n v="44"/>
    <n v="1584"/>
    <n v="792"/>
  </r>
  <r>
    <x v="3"/>
    <n v="1197831"/>
    <x v="100"/>
    <x v="2"/>
    <s v="Tennessee"/>
    <s v="Knoxville"/>
    <s v="Online"/>
    <x v="3"/>
    <n v="36"/>
    <n v="169"/>
    <n v="6084"/>
    <n v="2981.16"/>
  </r>
  <r>
    <x v="4"/>
    <n v="1185732"/>
    <x v="100"/>
    <x v="4"/>
    <s v="Vermont"/>
    <s v="Burlington"/>
    <s v="Online"/>
    <x v="2"/>
    <n v="44"/>
    <n v="90"/>
    <n v="3960"/>
    <n v="1940.3999999999999"/>
  </r>
  <r>
    <x v="0"/>
    <n v="1185732"/>
    <x v="100"/>
    <x v="0"/>
    <s v="Utah"/>
    <s v="Salt Lake City"/>
    <s v="Outlet"/>
    <x v="2"/>
    <n v="20"/>
    <n v="136"/>
    <n v="2720"/>
    <n v="1305.5999999999999"/>
  </r>
  <r>
    <x v="4"/>
    <n v="1185732"/>
    <x v="100"/>
    <x v="4"/>
    <s v="Vermont"/>
    <s v="Burlington"/>
    <s v="Outlet"/>
    <x v="4"/>
    <n v="30"/>
    <n v="168"/>
    <n v="5040"/>
    <n v="2419.1999999999998"/>
  </r>
  <r>
    <x v="0"/>
    <n v="1185732"/>
    <x v="100"/>
    <x v="0"/>
    <s v="Utah"/>
    <s v="Salt Lake City"/>
    <s v="Online"/>
    <x v="5"/>
    <n v="18"/>
    <n v="70"/>
    <n v="1260"/>
    <n v="592.19999999999993"/>
  </r>
  <r>
    <x v="4"/>
    <n v="1185732"/>
    <x v="100"/>
    <x v="4"/>
    <s v="Vermont"/>
    <s v="Burlington"/>
    <s v="Online"/>
    <x v="4"/>
    <n v="41"/>
    <n v="137"/>
    <n v="5617"/>
    <n v="2471.4799999999996"/>
  </r>
  <r>
    <x v="4"/>
    <n v="1185732"/>
    <x v="100"/>
    <x v="4"/>
    <s v="Vermont"/>
    <s v="Burlington"/>
    <s v="Online"/>
    <x v="0"/>
    <n v="43"/>
    <n v="56"/>
    <n v="2408"/>
    <n v="1011.3599999999999"/>
  </r>
  <r>
    <x v="0"/>
    <n v="1185732"/>
    <x v="100"/>
    <x v="0"/>
    <s v="Utah"/>
    <s v="Salt Lake City"/>
    <s v="Online"/>
    <x v="2"/>
    <n v="24"/>
    <n v="112"/>
    <n v="2688"/>
    <n v="1075.2"/>
  </r>
  <r>
    <x v="1"/>
    <n v="1189833"/>
    <x v="100"/>
    <x v="0"/>
    <s v="California"/>
    <s v="Los Angeles"/>
    <s v="Outlet"/>
    <x v="1"/>
    <n v="38"/>
    <n v="149"/>
    <n v="5662"/>
    <n v="2208.1799999999994"/>
  </r>
  <r>
    <x v="1"/>
    <n v="1185732"/>
    <x v="100"/>
    <x v="0"/>
    <s v="Wyoming"/>
    <s v="Cheyenne"/>
    <s v="Online"/>
    <x v="4"/>
    <n v="39"/>
    <n v="208"/>
    <n v="8112"/>
    <n v="3082.5600000000004"/>
  </r>
  <r>
    <x v="1"/>
    <n v="1189833"/>
    <x v="100"/>
    <x v="0"/>
    <s v="California"/>
    <s v="Los Angeles"/>
    <s v="Online"/>
    <x v="1"/>
    <n v="49"/>
    <n v="119"/>
    <n v="5831"/>
    <n v="1982.54"/>
  </r>
  <r>
    <x v="1"/>
    <n v="1189833"/>
    <x v="101"/>
    <x v="0"/>
    <s v="California"/>
    <s v="Los Angeles"/>
    <s v="Outlet"/>
    <x v="2"/>
    <n v="65"/>
    <n v="600"/>
    <n v="39000"/>
    <n v="31200"/>
  </r>
  <r>
    <x v="2"/>
    <n v="1185732"/>
    <x v="101"/>
    <x v="1"/>
    <s v="South Dakota"/>
    <s v="Sioux Falls"/>
    <s v="Online"/>
    <x v="0"/>
    <n v="40"/>
    <n v="150"/>
    <n v="6000"/>
    <n v="4200"/>
  </r>
  <r>
    <x v="2"/>
    <n v="1185732"/>
    <x v="101"/>
    <x v="1"/>
    <s v="South Dakota"/>
    <s v="Sioux Falls"/>
    <s v="Online"/>
    <x v="3"/>
    <n v="30.000000000000004"/>
    <n v="150"/>
    <n v="4500.0000000000009"/>
    <n v="3150.0000000000009"/>
  </r>
  <r>
    <x v="2"/>
    <n v="1185732"/>
    <x v="101"/>
    <x v="1"/>
    <s v="South Dakota"/>
    <s v="Sioux Falls"/>
    <s v="Online"/>
    <x v="5"/>
    <n v="35"/>
    <n v="75"/>
    <n v="2625"/>
    <n v="1837.5"/>
  </r>
  <r>
    <x v="2"/>
    <n v="1185732"/>
    <x v="101"/>
    <x v="1"/>
    <s v="South Dakota"/>
    <s v="Sioux Falls"/>
    <s v="Online"/>
    <x v="4"/>
    <n v="40"/>
    <n v="450"/>
    <n v="18000"/>
    <n v="11700"/>
  </r>
  <r>
    <x v="2"/>
    <n v="1185732"/>
    <x v="101"/>
    <x v="1"/>
    <s v="South Dakota"/>
    <s v="Sioux Falls"/>
    <s v="Online"/>
    <x v="1"/>
    <n v="60"/>
    <n v="100"/>
    <n v="6000"/>
    <n v="3900"/>
  </r>
  <r>
    <x v="2"/>
    <n v="1185732"/>
    <x v="101"/>
    <x v="1"/>
    <s v="South Dakota"/>
    <s v="Sioux Falls"/>
    <s v="Online"/>
    <x v="2"/>
    <n v="50"/>
    <n v="225"/>
    <n v="11250"/>
    <n v="6750"/>
  </r>
  <r>
    <x v="3"/>
    <n v="1197831"/>
    <x v="101"/>
    <x v="2"/>
    <s v="Tennessee"/>
    <s v="Knoxville"/>
    <s v="Outlet"/>
    <x v="5"/>
    <n v="40"/>
    <n v="600"/>
    <n v="24000"/>
    <n v="12000"/>
  </r>
  <r>
    <x v="1"/>
    <n v="1189833"/>
    <x v="101"/>
    <x v="0"/>
    <s v="California"/>
    <s v="Los Angeles"/>
    <s v="Outlet"/>
    <x v="2"/>
    <n v="49"/>
    <n v="198"/>
    <n v="9702"/>
    <n v="7082.46"/>
  </r>
  <r>
    <x v="1"/>
    <n v="1189833"/>
    <x v="101"/>
    <x v="0"/>
    <s v="California"/>
    <s v="Los Angeles"/>
    <s v="Online"/>
    <x v="2"/>
    <n v="62"/>
    <n v="174"/>
    <n v="10788"/>
    <n v="7227.96"/>
  </r>
  <r>
    <x v="2"/>
    <n v="1185732"/>
    <x v="101"/>
    <x v="1"/>
    <s v="South Dakota"/>
    <s v="Sioux Falls"/>
    <s v="Online"/>
    <x v="3"/>
    <n v="29"/>
    <n v="45"/>
    <n v="1305"/>
    <n v="783"/>
  </r>
  <r>
    <x v="2"/>
    <n v="1185732"/>
    <x v="101"/>
    <x v="1"/>
    <s v="South Dakota"/>
    <s v="Sioux Falls"/>
    <s v="Online"/>
    <x v="0"/>
    <n v="39"/>
    <n v="42"/>
    <n v="1638"/>
    <n v="966.42000000000007"/>
  </r>
  <r>
    <x v="2"/>
    <n v="1185732"/>
    <x v="101"/>
    <x v="1"/>
    <s v="South Dakota"/>
    <s v="Sioux Falls"/>
    <s v="Online"/>
    <x v="5"/>
    <n v="34"/>
    <n v="20"/>
    <n v="680"/>
    <n v="387.6"/>
  </r>
  <r>
    <x v="2"/>
    <n v="1185732"/>
    <x v="101"/>
    <x v="1"/>
    <s v="South Dakota"/>
    <s v="Sioux Falls"/>
    <s v="Online"/>
    <x v="4"/>
    <n v="38"/>
    <n v="113"/>
    <n v="4294"/>
    <n v="2318.7600000000002"/>
  </r>
  <r>
    <x v="2"/>
    <n v="1185732"/>
    <x v="101"/>
    <x v="1"/>
    <s v="South Dakota"/>
    <s v="Sioux Falls"/>
    <s v="Online"/>
    <x v="1"/>
    <n v="56"/>
    <n v="29"/>
    <n v="1624"/>
    <n v="876.96"/>
  </r>
  <r>
    <x v="2"/>
    <n v="1185732"/>
    <x v="101"/>
    <x v="1"/>
    <s v="South Dakota"/>
    <s v="Sioux Falls"/>
    <s v="Online"/>
    <x v="2"/>
    <n v="48"/>
    <n v="61"/>
    <n v="2928"/>
    <n v="1376.1599999999999"/>
  </r>
  <r>
    <x v="3"/>
    <n v="1197831"/>
    <x v="101"/>
    <x v="2"/>
    <s v="Tennessee"/>
    <s v="Knoxville"/>
    <s v="Outlet"/>
    <x v="5"/>
    <n v="29"/>
    <n v="198"/>
    <n v="5742"/>
    <n v="2526.4799999999996"/>
  </r>
  <r>
    <x v="3"/>
    <n v="1197831"/>
    <x v="101"/>
    <x v="2"/>
    <s v="Tennessee"/>
    <s v="Knoxville"/>
    <s v="Online"/>
    <x v="5"/>
    <n v="36"/>
    <n v="174"/>
    <n v="6264"/>
    <n v="2442.96"/>
  </r>
  <r>
    <x v="3"/>
    <n v="1128299"/>
    <x v="102"/>
    <x v="3"/>
    <s v="Georgia"/>
    <s v="Atlanta"/>
    <s v="Online"/>
    <x v="2"/>
    <n v="70"/>
    <n v="350"/>
    <n v="24500"/>
    <n v="18375"/>
  </r>
  <r>
    <x v="3"/>
    <n v="1128299"/>
    <x v="102"/>
    <x v="3"/>
    <s v="Georgia"/>
    <s v="Atlanta"/>
    <s v="Online"/>
    <x v="1"/>
    <n v="55.000000000000007"/>
    <n v="175"/>
    <n v="9625.0000000000018"/>
    <n v="6256.2500000000018"/>
  </r>
  <r>
    <x v="1"/>
    <n v="1197831"/>
    <x v="102"/>
    <x v="1"/>
    <s v="Kansas"/>
    <s v="Wichita"/>
    <s v="Online"/>
    <x v="2"/>
    <n v="30.000000000000004"/>
    <n v="300"/>
    <n v="9000.0000000000018"/>
    <n v="5850.0000000000018"/>
  </r>
  <r>
    <x v="3"/>
    <n v="1197831"/>
    <x v="102"/>
    <x v="2"/>
    <s v="Tennessee"/>
    <s v="Knoxville"/>
    <s v="Outlet"/>
    <x v="1"/>
    <n v="45"/>
    <n v="500"/>
    <n v="22500"/>
    <n v="14625"/>
  </r>
  <r>
    <x v="3"/>
    <n v="1128299"/>
    <x v="102"/>
    <x v="3"/>
    <s v="Georgia"/>
    <s v="Atlanta"/>
    <s v="Online"/>
    <x v="3"/>
    <n v="55.000000000000007"/>
    <n v="375"/>
    <n v="20625.000000000004"/>
    <n v="13406.250000000004"/>
  </r>
  <r>
    <x v="1"/>
    <n v="1197831"/>
    <x v="102"/>
    <x v="1"/>
    <s v="Kansas"/>
    <s v="Wichita"/>
    <s v="Online"/>
    <x v="4"/>
    <n v="25"/>
    <n v="500"/>
    <n v="12500"/>
    <n v="8125"/>
  </r>
  <r>
    <x v="1"/>
    <n v="1197831"/>
    <x v="102"/>
    <x v="1"/>
    <s v="Kansas"/>
    <s v="Wichita"/>
    <s v="Online"/>
    <x v="0"/>
    <n v="25"/>
    <n v="200"/>
    <n v="5000"/>
    <n v="3250"/>
  </r>
  <r>
    <x v="1"/>
    <n v="1197831"/>
    <x v="102"/>
    <x v="1"/>
    <s v="Kansas"/>
    <s v="Wichita"/>
    <s v="Online"/>
    <x v="3"/>
    <n v="15.000000000000002"/>
    <n v="200"/>
    <n v="3000.0000000000005"/>
    <n v="1950.0000000000005"/>
  </r>
  <r>
    <x v="1"/>
    <n v="1197831"/>
    <x v="102"/>
    <x v="1"/>
    <s v="Kansas"/>
    <s v="Wichita"/>
    <s v="Online"/>
    <x v="5"/>
    <n v="19.999999999999996"/>
    <n v="125"/>
    <n v="2499.9999999999995"/>
    <n v="1624.9999999999998"/>
  </r>
  <r>
    <x v="1"/>
    <n v="1197831"/>
    <x v="102"/>
    <x v="1"/>
    <s v="Kansas"/>
    <s v="Wichita"/>
    <s v="Online"/>
    <x v="1"/>
    <n v="40"/>
    <n v="150"/>
    <n v="6000"/>
    <n v="3900"/>
  </r>
  <r>
    <x v="1"/>
    <n v="1189833"/>
    <x v="102"/>
    <x v="0"/>
    <s v="California"/>
    <s v="Los Angeles"/>
    <s v="Outlet"/>
    <x v="4"/>
    <n v="45"/>
    <n v="800"/>
    <n v="36000"/>
    <n v="21600"/>
  </r>
  <r>
    <x v="3"/>
    <n v="1128299"/>
    <x v="102"/>
    <x v="3"/>
    <s v="Georgia"/>
    <s v="Atlanta"/>
    <s v="Online"/>
    <x v="4"/>
    <n v="50"/>
    <n v="525"/>
    <n v="26250"/>
    <n v="15750"/>
  </r>
  <r>
    <x v="3"/>
    <n v="1128299"/>
    <x v="102"/>
    <x v="3"/>
    <s v="Georgia"/>
    <s v="Atlanta"/>
    <s v="Online"/>
    <x v="0"/>
    <n v="55.000000000000007"/>
    <n v="325"/>
    <n v="17875.000000000004"/>
    <n v="10725.000000000002"/>
  </r>
  <r>
    <x v="3"/>
    <n v="1128299"/>
    <x v="102"/>
    <x v="3"/>
    <s v="Georgia"/>
    <s v="Atlanta"/>
    <s v="Online"/>
    <x v="5"/>
    <n v="50"/>
    <n v="275"/>
    <n v="13750"/>
    <n v="8250"/>
  </r>
  <r>
    <x v="3"/>
    <n v="1128299"/>
    <x v="102"/>
    <x v="3"/>
    <s v="Georgia"/>
    <s v="Atlanta"/>
    <s v="Outlet"/>
    <x v="2"/>
    <n v="56"/>
    <n v="112"/>
    <n v="6272"/>
    <n v="4515.84"/>
  </r>
  <r>
    <x v="3"/>
    <n v="1128299"/>
    <x v="102"/>
    <x v="3"/>
    <s v="Georgia"/>
    <s v="Atlanta"/>
    <s v="Outlet"/>
    <x v="3"/>
    <n v="36"/>
    <n v="113"/>
    <n v="4068"/>
    <n v="2562.84"/>
  </r>
  <r>
    <x v="3"/>
    <n v="1197831"/>
    <x v="102"/>
    <x v="2"/>
    <s v="Tennessee"/>
    <s v="Knoxville"/>
    <s v="Outlet"/>
    <x v="1"/>
    <n v="30"/>
    <n v="150"/>
    <n v="4500"/>
    <n v="2745"/>
  </r>
  <r>
    <x v="3"/>
    <n v="1128299"/>
    <x v="102"/>
    <x v="3"/>
    <s v="Georgia"/>
    <s v="Atlanta"/>
    <s v="Online"/>
    <x v="2"/>
    <n v="63"/>
    <n v="105"/>
    <n v="6615"/>
    <n v="3969"/>
  </r>
  <r>
    <x v="3"/>
    <n v="1128299"/>
    <x v="102"/>
    <x v="3"/>
    <s v="Georgia"/>
    <s v="Atlanta"/>
    <s v="Outlet"/>
    <x v="1"/>
    <n v="38"/>
    <n v="56"/>
    <n v="2128"/>
    <n v="1234.24"/>
  </r>
  <r>
    <x v="3"/>
    <n v="1128299"/>
    <x v="102"/>
    <x v="3"/>
    <s v="Georgia"/>
    <s v="Atlanta"/>
    <s v="Outlet"/>
    <x v="0"/>
    <n v="40"/>
    <n v="111"/>
    <n v="4440"/>
    <n v="2575.1999999999998"/>
  </r>
  <r>
    <x v="3"/>
    <n v="1128299"/>
    <x v="102"/>
    <x v="3"/>
    <s v="Georgia"/>
    <s v="Atlanta"/>
    <s v="Outlet"/>
    <x v="4"/>
    <n v="37"/>
    <n v="179"/>
    <n v="6623"/>
    <n v="3775.1099999999997"/>
  </r>
  <r>
    <x v="1"/>
    <n v="1197831"/>
    <x v="102"/>
    <x v="1"/>
    <s v="Kansas"/>
    <s v="Wichita"/>
    <s v="Online"/>
    <x v="5"/>
    <n v="19"/>
    <n v="35"/>
    <n v="665"/>
    <n v="365.75000000000006"/>
  </r>
  <r>
    <x v="1"/>
    <n v="1197831"/>
    <x v="102"/>
    <x v="1"/>
    <s v="Kansas"/>
    <s v="Wichita"/>
    <s v="Online"/>
    <x v="4"/>
    <n v="24"/>
    <n v="150"/>
    <n v="3600"/>
    <n v="1980.0000000000002"/>
  </r>
  <r>
    <x v="3"/>
    <n v="1128299"/>
    <x v="102"/>
    <x v="3"/>
    <s v="Georgia"/>
    <s v="Atlanta"/>
    <s v="Outlet"/>
    <x v="5"/>
    <n v="40"/>
    <n v="96"/>
    <n v="3840"/>
    <n v="2112"/>
  </r>
  <r>
    <x v="1"/>
    <n v="1189833"/>
    <x v="102"/>
    <x v="0"/>
    <s v="California"/>
    <s v="Los Angeles"/>
    <s v="Outlet"/>
    <x v="4"/>
    <n v="32"/>
    <n v="240"/>
    <n v="7680"/>
    <n v="4070.3999999999996"/>
  </r>
  <r>
    <x v="3"/>
    <n v="1197831"/>
    <x v="102"/>
    <x v="2"/>
    <s v="Tennessee"/>
    <s v="Knoxville"/>
    <s v="Online"/>
    <x v="1"/>
    <n v="43"/>
    <n v="145"/>
    <n v="6235"/>
    <n v="3242.2000000000003"/>
  </r>
  <r>
    <x v="3"/>
    <n v="1128299"/>
    <x v="102"/>
    <x v="3"/>
    <s v="Georgia"/>
    <s v="Atlanta"/>
    <s v="Online"/>
    <x v="1"/>
    <n v="52"/>
    <n v="53"/>
    <n v="2756"/>
    <n v="1433.1200000000001"/>
  </r>
  <r>
    <x v="1"/>
    <n v="1197831"/>
    <x v="102"/>
    <x v="1"/>
    <s v="Kansas"/>
    <s v="Wichita"/>
    <s v="Online"/>
    <x v="0"/>
    <n v="25"/>
    <n v="58"/>
    <n v="1450"/>
    <n v="754"/>
  </r>
  <r>
    <x v="1"/>
    <n v="1197831"/>
    <x v="102"/>
    <x v="1"/>
    <s v="Kansas"/>
    <s v="Wichita"/>
    <s v="Online"/>
    <x v="1"/>
    <n v="39"/>
    <n v="38"/>
    <n v="1482"/>
    <n v="755.82"/>
  </r>
  <r>
    <x v="1"/>
    <n v="1197831"/>
    <x v="102"/>
    <x v="1"/>
    <s v="Kansas"/>
    <s v="Wichita"/>
    <s v="Online"/>
    <x v="2"/>
    <n v="29"/>
    <n v="81"/>
    <n v="2349"/>
    <n v="1197.99"/>
  </r>
  <r>
    <x v="3"/>
    <n v="1128299"/>
    <x v="102"/>
    <x v="3"/>
    <s v="Georgia"/>
    <s v="Atlanta"/>
    <s v="Online"/>
    <x v="0"/>
    <n v="51"/>
    <n v="88"/>
    <n v="4488"/>
    <n v="2244"/>
  </r>
  <r>
    <x v="3"/>
    <n v="1128299"/>
    <x v="102"/>
    <x v="3"/>
    <s v="Georgia"/>
    <s v="Atlanta"/>
    <s v="Online"/>
    <x v="3"/>
    <n v="50"/>
    <n v="94"/>
    <n v="4700"/>
    <n v="2350"/>
  </r>
  <r>
    <x v="1"/>
    <n v="1197831"/>
    <x v="102"/>
    <x v="1"/>
    <s v="Kansas"/>
    <s v="Wichita"/>
    <s v="Online"/>
    <x v="3"/>
    <n v="14"/>
    <n v="60"/>
    <n v="840"/>
    <n v="420"/>
  </r>
  <r>
    <x v="3"/>
    <n v="1128299"/>
    <x v="102"/>
    <x v="3"/>
    <s v="Georgia"/>
    <s v="Atlanta"/>
    <s v="Online"/>
    <x v="4"/>
    <n v="45"/>
    <n v="142"/>
    <n v="6390"/>
    <n v="3131.1"/>
  </r>
  <r>
    <x v="1"/>
    <n v="1189833"/>
    <x v="102"/>
    <x v="0"/>
    <s v="California"/>
    <s v="Los Angeles"/>
    <s v="Online"/>
    <x v="4"/>
    <n v="41"/>
    <n v="208"/>
    <n v="8528"/>
    <n v="4093.4399999999996"/>
  </r>
  <r>
    <x v="3"/>
    <n v="1128299"/>
    <x v="102"/>
    <x v="3"/>
    <s v="Georgia"/>
    <s v="Atlanta"/>
    <s v="Online"/>
    <x v="5"/>
    <n v="48"/>
    <n v="69"/>
    <n v="3312"/>
    <n v="1490.3999999999999"/>
  </r>
  <r>
    <x v="1"/>
    <n v="1189833"/>
    <x v="103"/>
    <x v="0"/>
    <s v="California"/>
    <s v="Los Angeles"/>
    <s v="Outlet"/>
    <x v="0"/>
    <n v="50"/>
    <n v="650"/>
    <n v="32500"/>
    <n v="24375"/>
  </r>
  <r>
    <x v="3"/>
    <n v="1185732"/>
    <x v="103"/>
    <x v="4"/>
    <s v="Massachusetts"/>
    <s v="Boston"/>
    <s v="In-store"/>
    <x v="3"/>
    <n v="30.000000000000004"/>
    <n v="150"/>
    <n v="4500.0000000000009"/>
    <n v="3375.0000000000009"/>
  </r>
  <r>
    <x v="3"/>
    <n v="1185732"/>
    <x v="103"/>
    <x v="4"/>
    <s v="Massachusetts"/>
    <s v="Boston"/>
    <s v="In-store"/>
    <x v="5"/>
    <n v="35"/>
    <n v="125"/>
    <n v="4375"/>
    <n v="3281.25"/>
  </r>
  <r>
    <x v="3"/>
    <n v="1185732"/>
    <x v="103"/>
    <x v="4"/>
    <s v="Massachusetts"/>
    <s v="Boston"/>
    <s v="In-store"/>
    <x v="1"/>
    <n v="50"/>
    <n v="125"/>
    <n v="6250"/>
    <n v="4687.5"/>
  </r>
  <r>
    <x v="2"/>
    <n v="1185732"/>
    <x v="103"/>
    <x v="4"/>
    <s v="Delaware"/>
    <s v="Wilmington"/>
    <s v="In-store"/>
    <x v="1"/>
    <n v="50"/>
    <n v="150"/>
    <n v="7500"/>
    <n v="5250"/>
  </r>
  <r>
    <x v="3"/>
    <n v="1185732"/>
    <x v="103"/>
    <x v="4"/>
    <s v="Massachusetts"/>
    <s v="Boston"/>
    <s v="In-store"/>
    <x v="4"/>
    <n v="40"/>
    <n v="450"/>
    <n v="18000"/>
    <n v="12600"/>
  </r>
  <r>
    <x v="3"/>
    <n v="1185732"/>
    <x v="103"/>
    <x v="4"/>
    <s v="Massachusetts"/>
    <s v="Boston"/>
    <s v="In-store"/>
    <x v="0"/>
    <n v="40"/>
    <n v="150"/>
    <n v="6000"/>
    <n v="4200"/>
  </r>
  <r>
    <x v="3"/>
    <n v="1185732"/>
    <x v="103"/>
    <x v="4"/>
    <s v="Massachusetts"/>
    <s v="Boston"/>
    <s v="In-store"/>
    <x v="2"/>
    <n v="40"/>
    <n v="275"/>
    <n v="11000"/>
    <n v="7700"/>
  </r>
  <r>
    <x v="2"/>
    <n v="1185732"/>
    <x v="103"/>
    <x v="4"/>
    <s v="Delaware"/>
    <s v="Wilmington"/>
    <s v="In-store"/>
    <x v="4"/>
    <n v="40"/>
    <n v="525"/>
    <n v="21000"/>
    <n v="13650"/>
  </r>
  <r>
    <x v="2"/>
    <n v="1185732"/>
    <x v="103"/>
    <x v="4"/>
    <s v="Delaware"/>
    <s v="Wilmington"/>
    <s v="In-store"/>
    <x v="0"/>
    <n v="40"/>
    <n v="225"/>
    <n v="9000"/>
    <n v="5850"/>
  </r>
  <r>
    <x v="2"/>
    <n v="1185732"/>
    <x v="103"/>
    <x v="4"/>
    <s v="Delaware"/>
    <s v="Wilmington"/>
    <s v="In-store"/>
    <x v="3"/>
    <n v="30.000000000000004"/>
    <n v="225"/>
    <n v="6750.0000000000009"/>
    <n v="4050.0000000000009"/>
  </r>
  <r>
    <x v="2"/>
    <n v="1185732"/>
    <x v="103"/>
    <x v="4"/>
    <s v="Delaware"/>
    <s v="Wilmington"/>
    <s v="In-store"/>
    <x v="5"/>
    <n v="35"/>
    <n v="150"/>
    <n v="5250"/>
    <n v="3150"/>
  </r>
  <r>
    <x v="2"/>
    <n v="1185732"/>
    <x v="103"/>
    <x v="4"/>
    <s v="Delaware"/>
    <s v="Wilmington"/>
    <s v="In-store"/>
    <x v="2"/>
    <n v="40"/>
    <n v="300"/>
    <n v="12000"/>
    <n v="7200"/>
  </r>
  <r>
    <x v="3"/>
    <n v="1197831"/>
    <x v="103"/>
    <x v="2"/>
    <s v="Tennessee"/>
    <s v="Knoxville"/>
    <s v="Outlet"/>
    <x v="2"/>
    <n v="50"/>
    <n v="875"/>
    <n v="43750"/>
    <n v="19687.499999999996"/>
  </r>
  <r>
    <x v="3"/>
    <n v="1185732"/>
    <x v="103"/>
    <x v="4"/>
    <s v="Massachusetts"/>
    <s v="Boston"/>
    <s v="Outlet"/>
    <x v="1"/>
    <n v="33"/>
    <n v="44"/>
    <n v="1452"/>
    <n v="1059.96"/>
  </r>
  <r>
    <x v="3"/>
    <n v="1185732"/>
    <x v="103"/>
    <x v="4"/>
    <s v="Massachusetts"/>
    <s v="Boston"/>
    <s v="Outlet"/>
    <x v="5"/>
    <n v="23"/>
    <n v="39"/>
    <n v="897"/>
    <n v="645.83999999999992"/>
  </r>
  <r>
    <x v="1"/>
    <n v="1189833"/>
    <x v="103"/>
    <x v="0"/>
    <s v="California"/>
    <s v="Los Angeles"/>
    <s v="Outlet"/>
    <x v="0"/>
    <n v="34"/>
    <n v="221"/>
    <n v="7514"/>
    <n v="5259.8"/>
  </r>
  <r>
    <x v="3"/>
    <n v="1185732"/>
    <x v="103"/>
    <x v="4"/>
    <s v="Massachusetts"/>
    <s v="Boston"/>
    <s v="Outlet"/>
    <x v="3"/>
    <n v="22"/>
    <n v="51"/>
    <n v="1122"/>
    <n v="774.18000000000006"/>
  </r>
  <r>
    <x v="3"/>
    <n v="1185732"/>
    <x v="103"/>
    <x v="4"/>
    <s v="Massachusetts"/>
    <s v="Boston"/>
    <s v="Outlet"/>
    <x v="4"/>
    <n v="28"/>
    <n v="149"/>
    <n v="4172"/>
    <n v="2795.2400000000002"/>
  </r>
  <r>
    <x v="1"/>
    <n v="1189833"/>
    <x v="103"/>
    <x v="0"/>
    <s v="California"/>
    <s v="Los Angeles"/>
    <s v="Online"/>
    <x v="0"/>
    <n v="47"/>
    <n v="169"/>
    <n v="7943"/>
    <n v="5162.9500000000007"/>
  </r>
  <r>
    <x v="3"/>
    <n v="1185732"/>
    <x v="103"/>
    <x v="4"/>
    <s v="Massachusetts"/>
    <s v="Boston"/>
    <s v="Online"/>
    <x v="3"/>
    <n v="29"/>
    <n v="41"/>
    <n v="1189"/>
    <n v="772.85"/>
  </r>
  <r>
    <x v="3"/>
    <n v="1185732"/>
    <x v="103"/>
    <x v="4"/>
    <s v="Massachusetts"/>
    <s v="Boston"/>
    <s v="Outlet"/>
    <x v="0"/>
    <n v="28"/>
    <n v="51"/>
    <n v="1428"/>
    <n v="913.92000000000007"/>
  </r>
  <r>
    <x v="3"/>
    <n v="1185732"/>
    <x v="103"/>
    <x v="4"/>
    <s v="Massachusetts"/>
    <s v="Boston"/>
    <s v="Outlet"/>
    <x v="2"/>
    <n v="30"/>
    <n v="94"/>
    <n v="2820"/>
    <n v="1804.8000000000002"/>
  </r>
  <r>
    <x v="3"/>
    <n v="1185732"/>
    <x v="103"/>
    <x v="4"/>
    <s v="Massachusetts"/>
    <s v="Boston"/>
    <s v="Online"/>
    <x v="1"/>
    <n v="49"/>
    <n v="33"/>
    <n v="1617"/>
    <n v="1002.54"/>
  </r>
  <r>
    <x v="3"/>
    <n v="1185732"/>
    <x v="103"/>
    <x v="4"/>
    <s v="Massachusetts"/>
    <s v="Boston"/>
    <s v="Online"/>
    <x v="5"/>
    <n v="32"/>
    <n v="35"/>
    <n v="1120"/>
    <n v="683.2"/>
  </r>
  <r>
    <x v="3"/>
    <n v="1185732"/>
    <x v="103"/>
    <x v="4"/>
    <s v="Massachusetts"/>
    <s v="Boston"/>
    <s v="Online"/>
    <x v="0"/>
    <n v="37"/>
    <n v="45"/>
    <n v="1665"/>
    <n v="932.4"/>
  </r>
  <r>
    <x v="3"/>
    <n v="1185732"/>
    <x v="103"/>
    <x v="4"/>
    <s v="Massachusetts"/>
    <s v="Boston"/>
    <s v="Online"/>
    <x v="2"/>
    <n v="39"/>
    <n v="83"/>
    <n v="3237"/>
    <n v="1812.72"/>
  </r>
  <r>
    <x v="3"/>
    <n v="1185732"/>
    <x v="103"/>
    <x v="4"/>
    <s v="Massachusetts"/>
    <s v="Boston"/>
    <s v="Online"/>
    <x v="4"/>
    <n v="38"/>
    <n v="117"/>
    <n v="4446"/>
    <n v="2445.3000000000002"/>
  </r>
  <r>
    <x v="2"/>
    <n v="1185732"/>
    <x v="103"/>
    <x v="4"/>
    <s v="Delaware"/>
    <s v="Wilmington"/>
    <s v="Online"/>
    <x v="1"/>
    <n v="47"/>
    <n v="45"/>
    <n v="2115"/>
    <n v="1163.25"/>
  </r>
  <r>
    <x v="2"/>
    <n v="1185732"/>
    <x v="103"/>
    <x v="4"/>
    <s v="Delaware"/>
    <s v="Wilmington"/>
    <s v="Online"/>
    <x v="0"/>
    <n v="38"/>
    <n v="61"/>
    <n v="2318"/>
    <n v="1228.54"/>
  </r>
  <r>
    <x v="2"/>
    <n v="1185732"/>
    <x v="103"/>
    <x v="4"/>
    <s v="Delaware"/>
    <s v="Wilmington"/>
    <s v="Online"/>
    <x v="4"/>
    <n v="36"/>
    <n v="131"/>
    <n v="4716"/>
    <n v="2358"/>
  </r>
  <r>
    <x v="2"/>
    <n v="1185732"/>
    <x v="103"/>
    <x v="4"/>
    <s v="Delaware"/>
    <s v="Wilmington"/>
    <s v="Online"/>
    <x v="5"/>
    <n v="32"/>
    <n v="44"/>
    <n v="1408"/>
    <n v="689.92"/>
  </r>
  <r>
    <x v="2"/>
    <n v="1185732"/>
    <x v="103"/>
    <x v="4"/>
    <s v="Delaware"/>
    <s v="Wilmington"/>
    <s v="Online"/>
    <x v="2"/>
    <n v="38"/>
    <n v="78"/>
    <n v="2964"/>
    <n v="1363.4399999999998"/>
  </r>
  <r>
    <x v="2"/>
    <n v="1185732"/>
    <x v="103"/>
    <x v="4"/>
    <s v="Delaware"/>
    <s v="Wilmington"/>
    <s v="Online"/>
    <x v="3"/>
    <n v="27"/>
    <n v="59"/>
    <n v="1593"/>
    <n v="716.84999999999991"/>
  </r>
  <r>
    <x v="3"/>
    <n v="1197831"/>
    <x v="103"/>
    <x v="2"/>
    <s v="Tennessee"/>
    <s v="Knoxville"/>
    <s v="Outlet"/>
    <x v="2"/>
    <n v="37"/>
    <n v="306"/>
    <n v="11322"/>
    <n v="4642.0199999999995"/>
  </r>
  <r>
    <x v="3"/>
    <n v="1197831"/>
    <x v="103"/>
    <x v="2"/>
    <s v="Tennessee"/>
    <s v="Knoxville"/>
    <s v="Online"/>
    <x v="2"/>
    <n v="49"/>
    <n v="236"/>
    <n v="11564"/>
    <n v="4047.3999999999996"/>
  </r>
  <r>
    <x v="1"/>
    <n v="1189833"/>
    <x v="104"/>
    <x v="0"/>
    <s v="California"/>
    <s v="Los Angeles"/>
    <s v="Outlet"/>
    <x v="3"/>
    <n v="50"/>
    <n v="650"/>
    <n v="32500"/>
    <n v="19500"/>
  </r>
  <r>
    <x v="3"/>
    <n v="1197831"/>
    <x v="104"/>
    <x v="2"/>
    <s v="Tennessee"/>
    <s v="Knoxville"/>
    <s v="Outlet"/>
    <x v="4"/>
    <n v="40"/>
    <n v="825"/>
    <n v="33000"/>
    <n v="18150.000000000004"/>
  </r>
  <r>
    <x v="1"/>
    <n v="1189833"/>
    <x v="104"/>
    <x v="0"/>
    <s v="California"/>
    <s v="Los Angeles"/>
    <s v="Outlet"/>
    <x v="3"/>
    <n v="36"/>
    <n v="215"/>
    <n v="7740"/>
    <n v="4257"/>
  </r>
  <r>
    <x v="3"/>
    <n v="1197831"/>
    <x v="104"/>
    <x v="2"/>
    <s v="Tennessee"/>
    <s v="Knoxville"/>
    <s v="Outlet"/>
    <x v="4"/>
    <n v="29"/>
    <n v="272"/>
    <n v="7888"/>
    <n v="3944.0000000000005"/>
  </r>
  <r>
    <x v="1"/>
    <n v="1189833"/>
    <x v="104"/>
    <x v="0"/>
    <s v="California"/>
    <s v="Los Angeles"/>
    <s v="Online"/>
    <x v="3"/>
    <n v="45"/>
    <n v="163"/>
    <n v="7335"/>
    <n v="3520.7999999999997"/>
  </r>
  <r>
    <x v="3"/>
    <n v="1197831"/>
    <x v="104"/>
    <x v="2"/>
    <s v="Tennessee"/>
    <s v="Knoxville"/>
    <s v="Online"/>
    <x v="4"/>
    <n v="36"/>
    <n v="215"/>
    <n v="7740"/>
    <n v="3328.2000000000007"/>
  </r>
  <r>
    <x v="3"/>
    <n v="1185732"/>
    <x v="105"/>
    <x v="1"/>
    <s v="Michigan"/>
    <s v="Detroit"/>
    <s v="In-store"/>
    <x v="3"/>
    <n v="30.000000000000004"/>
    <n v="450"/>
    <n v="13500.000000000002"/>
    <n v="9450.0000000000036"/>
  </r>
  <r>
    <x v="1"/>
    <n v="1189833"/>
    <x v="105"/>
    <x v="0"/>
    <s v="California"/>
    <s v="Los Angeles"/>
    <s v="Outlet"/>
    <x v="5"/>
    <n v="45"/>
    <n v="550"/>
    <n v="24750"/>
    <n v="16087.5"/>
  </r>
  <r>
    <x v="3"/>
    <n v="1185732"/>
    <x v="105"/>
    <x v="1"/>
    <s v="Michigan"/>
    <s v="Detroit"/>
    <s v="In-store"/>
    <x v="5"/>
    <n v="35"/>
    <n v="375"/>
    <n v="13125"/>
    <n v="8531.25"/>
  </r>
  <r>
    <x v="3"/>
    <n v="1185732"/>
    <x v="105"/>
    <x v="1"/>
    <s v="Michigan"/>
    <s v="Detroit"/>
    <s v="In-store"/>
    <x v="0"/>
    <n v="40"/>
    <n v="425"/>
    <n v="17000"/>
    <n v="10200"/>
  </r>
  <r>
    <x v="3"/>
    <n v="1185732"/>
    <x v="105"/>
    <x v="1"/>
    <s v="Michigan"/>
    <s v="Detroit"/>
    <s v="In-store"/>
    <x v="1"/>
    <n v="50"/>
    <n v="400"/>
    <n v="20000"/>
    <n v="12000"/>
  </r>
  <r>
    <x v="3"/>
    <n v="1197831"/>
    <x v="105"/>
    <x v="2"/>
    <s v="Tennessee"/>
    <s v="Knoxville"/>
    <s v="Outlet"/>
    <x v="0"/>
    <n v="45"/>
    <n v="825"/>
    <n v="37125"/>
    <n v="20418.750000000004"/>
  </r>
  <r>
    <x v="3"/>
    <n v="1185732"/>
    <x v="105"/>
    <x v="1"/>
    <s v="Michigan"/>
    <s v="Detroit"/>
    <s v="In-store"/>
    <x v="4"/>
    <n v="35"/>
    <n v="725"/>
    <n v="25375"/>
    <n v="12687.5"/>
  </r>
  <r>
    <x v="3"/>
    <n v="1185732"/>
    <x v="105"/>
    <x v="1"/>
    <s v="Michigan"/>
    <s v="Detroit"/>
    <s v="In-store"/>
    <x v="2"/>
    <n v="40"/>
    <n v="525"/>
    <n v="21000"/>
    <n v="9449.9999999999982"/>
  </r>
  <r>
    <x v="1"/>
    <n v="1189833"/>
    <x v="105"/>
    <x v="0"/>
    <s v="California"/>
    <s v="Los Angeles"/>
    <s v="Outlet"/>
    <x v="5"/>
    <n v="33"/>
    <n v="193"/>
    <n v="6369"/>
    <n v="3948.7799999999997"/>
  </r>
  <r>
    <x v="3"/>
    <n v="1185732"/>
    <x v="105"/>
    <x v="1"/>
    <s v="Michigan"/>
    <s v="Detroit"/>
    <s v="Online"/>
    <x v="3"/>
    <n v="27"/>
    <n v="135"/>
    <n v="3645"/>
    <n v="2114.1000000000004"/>
  </r>
  <r>
    <x v="3"/>
    <n v="1185732"/>
    <x v="105"/>
    <x v="1"/>
    <s v="Michigan"/>
    <s v="Detroit"/>
    <s v="Online"/>
    <x v="5"/>
    <n v="32"/>
    <n v="109"/>
    <n v="3488"/>
    <n v="1883.5200000000002"/>
  </r>
  <r>
    <x v="1"/>
    <n v="1189833"/>
    <x v="105"/>
    <x v="0"/>
    <s v="California"/>
    <s v="Los Angeles"/>
    <s v="Online"/>
    <x v="5"/>
    <n v="41"/>
    <n v="154"/>
    <n v="6314"/>
    <n v="3283.28"/>
  </r>
  <r>
    <x v="3"/>
    <n v="1197831"/>
    <x v="105"/>
    <x v="2"/>
    <s v="Tennessee"/>
    <s v="Knoxville"/>
    <s v="Outlet"/>
    <x v="0"/>
    <n v="30"/>
    <n v="264"/>
    <n v="7920"/>
    <n v="3960.0000000000005"/>
  </r>
  <r>
    <x v="3"/>
    <n v="1185732"/>
    <x v="105"/>
    <x v="1"/>
    <s v="Michigan"/>
    <s v="Detroit"/>
    <s v="Online"/>
    <x v="1"/>
    <n v="45"/>
    <n v="120"/>
    <n v="5400"/>
    <n v="2700"/>
  </r>
  <r>
    <x v="3"/>
    <n v="1185732"/>
    <x v="105"/>
    <x v="1"/>
    <s v="Michigan"/>
    <s v="Detroit"/>
    <s v="Online"/>
    <x v="0"/>
    <n v="38"/>
    <n v="111"/>
    <n v="4218"/>
    <n v="1982.46"/>
  </r>
  <r>
    <x v="3"/>
    <n v="1197831"/>
    <x v="105"/>
    <x v="2"/>
    <s v="Tennessee"/>
    <s v="Knoxville"/>
    <s v="Online"/>
    <x v="0"/>
    <n v="43"/>
    <n v="206"/>
    <n v="8858"/>
    <n v="3720.3600000000006"/>
  </r>
  <r>
    <x v="3"/>
    <n v="1185732"/>
    <x v="105"/>
    <x v="1"/>
    <s v="Michigan"/>
    <s v="Detroit"/>
    <s v="Online"/>
    <x v="4"/>
    <n v="32"/>
    <n v="181"/>
    <n v="5792"/>
    <n v="2316.8000000000002"/>
  </r>
  <r>
    <x v="3"/>
    <n v="1185732"/>
    <x v="105"/>
    <x v="1"/>
    <s v="Michigan"/>
    <s v="Detroit"/>
    <s v="Online"/>
    <x v="2"/>
    <n v="37"/>
    <n v="152"/>
    <n v="5624"/>
    <n v="1743.4399999999996"/>
  </r>
  <r>
    <x v="5"/>
    <n v="1128299"/>
    <x v="106"/>
    <x v="3"/>
    <s v="Florida"/>
    <s v="Orlando"/>
    <s v="Outlet"/>
    <x v="1"/>
    <n v="60.000000000000007"/>
    <n v="200"/>
    <n v="12000.000000000002"/>
    <n v="9600.0000000000018"/>
  </r>
  <r>
    <x v="5"/>
    <n v="1128299"/>
    <x v="106"/>
    <x v="3"/>
    <s v="Florida"/>
    <s v="Orlando"/>
    <s v="Outlet"/>
    <x v="0"/>
    <n v="70"/>
    <n v="350"/>
    <n v="24500"/>
    <n v="18375"/>
  </r>
  <r>
    <x v="5"/>
    <n v="1128299"/>
    <x v="106"/>
    <x v="3"/>
    <s v="Florida"/>
    <s v="Orlando"/>
    <s v="Outlet"/>
    <x v="4"/>
    <n v="65"/>
    <n v="550"/>
    <n v="35750"/>
    <n v="25025"/>
  </r>
  <r>
    <x v="5"/>
    <n v="1128299"/>
    <x v="106"/>
    <x v="3"/>
    <s v="Florida"/>
    <s v="Orlando"/>
    <s v="Outlet"/>
    <x v="3"/>
    <n v="70"/>
    <n v="400"/>
    <n v="28000"/>
    <n v="19600"/>
  </r>
  <r>
    <x v="5"/>
    <n v="1128299"/>
    <x v="106"/>
    <x v="3"/>
    <s v="Florida"/>
    <s v="Orlando"/>
    <s v="Outlet"/>
    <x v="5"/>
    <n v="55.000000000000007"/>
    <n v="300"/>
    <n v="16500.000000000004"/>
    <n v="11550.000000000004"/>
  </r>
  <r>
    <x v="0"/>
    <n v="1128299"/>
    <x v="106"/>
    <x v="2"/>
    <s v="Louisiana"/>
    <s v="New Orleans"/>
    <s v="In-store"/>
    <x v="2"/>
    <n v="60.000000000000007"/>
    <n v="350"/>
    <n v="21000.000000000004"/>
    <n v="13650.000000000004"/>
  </r>
  <r>
    <x v="2"/>
    <n v="1185732"/>
    <x v="106"/>
    <x v="2"/>
    <s v="Mississippi"/>
    <s v="Jackson"/>
    <s v="Online"/>
    <x v="0"/>
    <n v="25"/>
    <n v="375"/>
    <n v="9375"/>
    <n v="6093.75"/>
  </r>
  <r>
    <x v="2"/>
    <n v="1185732"/>
    <x v="106"/>
    <x v="2"/>
    <s v="Mississippi"/>
    <s v="Jackson"/>
    <s v="Online"/>
    <x v="1"/>
    <n v="40"/>
    <n v="325"/>
    <n v="13000"/>
    <n v="8450"/>
  </r>
  <r>
    <x v="0"/>
    <n v="1128299"/>
    <x v="106"/>
    <x v="2"/>
    <s v="Louisiana"/>
    <s v="New Orleans"/>
    <s v="In-store"/>
    <x v="0"/>
    <n v="55.000000000000007"/>
    <n v="325"/>
    <n v="17875.000000000004"/>
    <n v="10725.000000000004"/>
  </r>
  <r>
    <x v="0"/>
    <n v="1128299"/>
    <x v="106"/>
    <x v="2"/>
    <s v="Louisiana"/>
    <s v="New Orleans"/>
    <s v="In-store"/>
    <x v="3"/>
    <n v="55.000000000000007"/>
    <n v="375"/>
    <n v="20625.000000000004"/>
    <n v="12375.000000000004"/>
  </r>
  <r>
    <x v="0"/>
    <n v="1128299"/>
    <x v="106"/>
    <x v="2"/>
    <s v="Louisiana"/>
    <s v="New Orleans"/>
    <s v="In-store"/>
    <x v="5"/>
    <n v="40.000000000000007"/>
    <n v="275"/>
    <n v="11000.000000000002"/>
    <n v="6600.0000000000018"/>
  </r>
  <r>
    <x v="0"/>
    <n v="1128299"/>
    <x v="106"/>
    <x v="2"/>
    <s v="Louisiana"/>
    <s v="New Orleans"/>
    <s v="In-store"/>
    <x v="4"/>
    <n v="50"/>
    <n v="525"/>
    <n v="26250"/>
    <n v="15750"/>
  </r>
  <r>
    <x v="2"/>
    <n v="1185732"/>
    <x v="106"/>
    <x v="2"/>
    <s v="Mississippi"/>
    <s v="Jackson"/>
    <s v="Online"/>
    <x v="4"/>
    <n v="25"/>
    <n v="675"/>
    <n v="16875"/>
    <n v="10125"/>
  </r>
  <r>
    <x v="0"/>
    <n v="1185732"/>
    <x v="106"/>
    <x v="4"/>
    <s v="West Virginia"/>
    <s v="Charleston"/>
    <s v="In-store"/>
    <x v="4"/>
    <n v="30.000000000000004"/>
    <n v="550"/>
    <n v="16500.000000000004"/>
    <n v="9900.0000000000018"/>
  </r>
  <r>
    <x v="0"/>
    <n v="1185732"/>
    <x v="106"/>
    <x v="4"/>
    <s v="West Virginia"/>
    <s v="Charleston"/>
    <s v="In-store"/>
    <x v="0"/>
    <n v="30.000000000000004"/>
    <n v="250"/>
    <n v="7500.0000000000009"/>
    <n v="4500.0000000000009"/>
  </r>
  <r>
    <x v="0"/>
    <n v="1185732"/>
    <x v="106"/>
    <x v="4"/>
    <s v="West Virginia"/>
    <s v="Charleston"/>
    <s v="In-store"/>
    <x v="3"/>
    <n v="20"/>
    <n v="250"/>
    <n v="5000"/>
    <n v="3000"/>
  </r>
  <r>
    <x v="0"/>
    <n v="1185732"/>
    <x v="106"/>
    <x v="4"/>
    <s v="West Virginia"/>
    <s v="Charleston"/>
    <s v="In-store"/>
    <x v="1"/>
    <n v="65"/>
    <n v="200"/>
    <n v="13000"/>
    <n v="7800"/>
  </r>
  <r>
    <x v="0"/>
    <n v="1185732"/>
    <x v="106"/>
    <x v="4"/>
    <s v="West Virginia"/>
    <s v="Charleston"/>
    <s v="In-store"/>
    <x v="2"/>
    <n v="50"/>
    <n v="325"/>
    <n v="16250"/>
    <n v="9750"/>
  </r>
  <r>
    <x v="2"/>
    <n v="1185732"/>
    <x v="106"/>
    <x v="2"/>
    <s v="Mississippi"/>
    <s v="Jackson"/>
    <s v="Online"/>
    <x v="3"/>
    <n v="15.000000000000002"/>
    <n v="375"/>
    <n v="5625.0000000000009"/>
    <n v="3375"/>
  </r>
  <r>
    <x v="2"/>
    <n v="1185732"/>
    <x v="106"/>
    <x v="2"/>
    <s v="Mississippi"/>
    <s v="Jackson"/>
    <s v="Online"/>
    <x v="5"/>
    <n v="19.999999999999996"/>
    <n v="300"/>
    <n v="5999.9999999999991"/>
    <n v="3599.9999999999991"/>
  </r>
  <r>
    <x v="0"/>
    <n v="1185732"/>
    <x v="106"/>
    <x v="4"/>
    <s v="West Virginia"/>
    <s v="Charleston"/>
    <s v="In-store"/>
    <x v="5"/>
    <n v="24.999999999999993"/>
    <n v="175"/>
    <n v="4374.9999999999991"/>
    <n v="2624.9999999999991"/>
  </r>
  <r>
    <x v="3"/>
    <n v="1197831"/>
    <x v="106"/>
    <x v="2"/>
    <s v="Tennessee"/>
    <s v="Knoxville"/>
    <s v="Outlet"/>
    <x v="3"/>
    <n v="40"/>
    <n v="975"/>
    <n v="39000"/>
    <n v="21450.000000000004"/>
  </r>
  <r>
    <x v="5"/>
    <n v="1128299"/>
    <x v="106"/>
    <x v="3"/>
    <s v="Florida"/>
    <s v="Orlando"/>
    <s v="Outlet"/>
    <x v="2"/>
    <n v="75.000000000000014"/>
    <n v="375"/>
    <n v="28125.000000000004"/>
    <n v="15468.750000000004"/>
  </r>
  <r>
    <x v="0"/>
    <n v="1128299"/>
    <x v="106"/>
    <x v="2"/>
    <s v="Louisiana"/>
    <s v="New Orleans"/>
    <s v="In-store"/>
    <x v="1"/>
    <n v="45.000000000000014"/>
    <n v="175"/>
    <n v="7875.0000000000027"/>
    <n v="4331.2500000000018"/>
  </r>
  <r>
    <x v="2"/>
    <n v="1185732"/>
    <x v="106"/>
    <x v="2"/>
    <s v="Mississippi"/>
    <s v="Jackson"/>
    <s v="Online"/>
    <x v="2"/>
    <n v="30.000000000000004"/>
    <n v="475"/>
    <n v="14250.000000000002"/>
    <n v="7125.0000000000018"/>
  </r>
  <r>
    <x v="1"/>
    <n v="1189833"/>
    <x v="106"/>
    <x v="0"/>
    <s v="California"/>
    <s v="Los Angeles"/>
    <s v="Outlet"/>
    <x v="1"/>
    <n v="50"/>
    <n v="450"/>
    <n v="22500"/>
    <n v="10124.999999999998"/>
  </r>
  <r>
    <x v="5"/>
    <n v="1128299"/>
    <x v="106"/>
    <x v="3"/>
    <s v="Florida"/>
    <s v="Orlando"/>
    <s v="Outlet"/>
    <x v="1"/>
    <n v="47"/>
    <n v="60"/>
    <n v="2820"/>
    <n v="2199.6"/>
  </r>
  <r>
    <x v="5"/>
    <n v="1128299"/>
    <x v="106"/>
    <x v="3"/>
    <s v="Florida"/>
    <s v="Orlando"/>
    <s v="Outlet"/>
    <x v="0"/>
    <n v="51"/>
    <n v="105"/>
    <n v="5355"/>
    <n v="3909.1499999999996"/>
  </r>
  <r>
    <x v="5"/>
    <n v="1128299"/>
    <x v="106"/>
    <x v="3"/>
    <s v="Florida"/>
    <s v="Orlando"/>
    <s v="Outlet"/>
    <x v="3"/>
    <n v="49"/>
    <n v="132"/>
    <n v="6468"/>
    <n v="4268.88"/>
  </r>
  <r>
    <x v="5"/>
    <n v="1128299"/>
    <x v="106"/>
    <x v="3"/>
    <s v="Florida"/>
    <s v="Orlando"/>
    <s v="Online"/>
    <x v="0"/>
    <n v="66"/>
    <n v="98"/>
    <n v="6468"/>
    <n v="4204.2000000000007"/>
  </r>
  <r>
    <x v="5"/>
    <n v="1128299"/>
    <x v="106"/>
    <x v="3"/>
    <s v="Florida"/>
    <s v="Orlando"/>
    <s v="Online"/>
    <x v="1"/>
    <n v="59"/>
    <n v="58"/>
    <n v="3422"/>
    <n v="2224.3000000000002"/>
  </r>
  <r>
    <x v="5"/>
    <n v="1128299"/>
    <x v="106"/>
    <x v="3"/>
    <s v="Florida"/>
    <s v="Orlando"/>
    <s v="Outlet"/>
    <x v="5"/>
    <n v="41"/>
    <n v="90"/>
    <n v="3690"/>
    <n v="2398.5"/>
  </r>
  <r>
    <x v="5"/>
    <n v="1128299"/>
    <x v="106"/>
    <x v="3"/>
    <s v="Florida"/>
    <s v="Orlando"/>
    <s v="Outlet"/>
    <x v="4"/>
    <n v="47"/>
    <n v="171"/>
    <n v="8037"/>
    <n v="5143.68"/>
  </r>
  <r>
    <x v="0"/>
    <n v="1128299"/>
    <x v="106"/>
    <x v="2"/>
    <s v="Louisiana"/>
    <s v="New Orleans"/>
    <s v="Outlet"/>
    <x v="2"/>
    <n v="39"/>
    <n v="123"/>
    <n v="4797"/>
    <n v="3022.11"/>
  </r>
  <r>
    <x v="2"/>
    <n v="1185732"/>
    <x v="106"/>
    <x v="2"/>
    <s v="Mississippi"/>
    <s v="Jackson"/>
    <s v="Outlet"/>
    <x v="0"/>
    <n v="20"/>
    <n v="116"/>
    <n v="2320"/>
    <n v="1392"/>
  </r>
  <r>
    <x v="2"/>
    <n v="1185732"/>
    <x v="106"/>
    <x v="2"/>
    <s v="Mississippi"/>
    <s v="Jackson"/>
    <s v="Outlet"/>
    <x v="1"/>
    <n v="30"/>
    <n v="98"/>
    <n v="2940"/>
    <n v="1764"/>
  </r>
  <r>
    <x v="5"/>
    <n v="1128299"/>
    <x v="106"/>
    <x v="3"/>
    <s v="Florida"/>
    <s v="Orlando"/>
    <s v="Online"/>
    <x v="3"/>
    <n v="66"/>
    <n v="120"/>
    <n v="7920"/>
    <n v="4672.8"/>
  </r>
  <r>
    <x v="0"/>
    <n v="1128299"/>
    <x v="106"/>
    <x v="2"/>
    <s v="Louisiana"/>
    <s v="New Orleans"/>
    <s v="Outlet"/>
    <x v="3"/>
    <n v="40"/>
    <n v="120"/>
    <n v="4800"/>
    <n v="2784"/>
  </r>
  <r>
    <x v="5"/>
    <n v="1128299"/>
    <x v="106"/>
    <x v="3"/>
    <s v="Florida"/>
    <s v="Orlando"/>
    <s v="Online"/>
    <x v="4"/>
    <n v="62"/>
    <n v="138"/>
    <n v="8556"/>
    <n v="4962.4799999999996"/>
  </r>
  <r>
    <x v="2"/>
    <n v="1185732"/>
    <x v="106"/>
    <x v="2"/>
    <s v="Mississippi"/>
    <s v="Jackson"/>
    <s v="Outlet"/>
    <x v="5"/>
    <n v="16"/>
    <n v="96"/>
    <n v="1536"/>
    <n v="875.52"/>
  </r>
  <r>
    <x v="2"/>
    <n v="1185732"/>
    <x v="106"/>
    <x v="2"/>
    <s v="Mississippi"/>
    <s v="Jackson"/>
    <s v="Outlet"/>
    <x v="4"/>
    <n v="19"/>
    <n v="223"/>
    <n v="4237"/>
    <n v="2372.7200000000003"/>
  </r>
  <r>
    <x v="5"/>
    <n v="1128299"/>
    <x v="106"/>
    <x v="3"/>
    <s v="Florida"/>
    <s v="Orlando"/>
    <s v="Online"/>
    <x v="5"/>
    <n v="52"/>
    <n v="84"/>
    <n v="4368"/>
    <n v="2402.4"/>
  </r>
  <r>
    <x v="0"/>
    <n v="1128299"/>
    <x v="106"/>
    <x v="2"/>
    <s v="Louisiana"/>
    <s v="New Orleans"/>
    <s v="Outlet"/>
    <x v="5"/>
    <n v="27"/>
    <n v="91"/>
    <n v="2457"/>
    <n v="1351.3500000000001"/>
  </r>
  <r>
    <x v="2"/>
    <n v="1185732"/>
    <x v="106"/>
    <x v="2"/>
    <s v="Mississippi"/>
    <s v="Jackson"/>
    <s v="Outlet"/>
    <x v="3"/>
    <n v="11"/>
    <n v="124"/>
    <n v="1364"/>
    <n v="750.19999999999993"/>
  </r>
  <r>
    <x v="0"/>
    <n v="1128299"/>
    <x v="106"/>
    <x v="2"/>
    <s v="Louisiana"/>
    <s v="New Orleans"/>
    <s v="Outlet"/>
    <x v="0"/>
    <n v="36"/>
    <n v="107"/>
    <n v="3852"/>
    <n v="2080.08"/>
  </r>
  <r>
    <x v="0"/>
    <n v="1128299"/>
    <x v="106"/>
    <x v="2"/>
    <s v="Louisiana"/>
    <s v="New Orleans"/>
    <s v="Outlet"/>
    <x v="4"/>
    <n v="38"/>
    <n v="168"/>
    <n v="6384"/>
    <n v="3383.52"/>
  </r>
  <r>
    <x v="2"/>
    <n v="1185732"/>
    <x v="106"/>
    <x v="2"/>
    <s v="Mississippi"/>
    <s v="Jackson"/>
    <s v="Online"/>
    <x v="1"/>
    <n v="38"/>
    <n v="81"/>
    <n v="3078"/>
    <n v="1600.56"/>
  </r>
  <r>
    <x v="3"/>
    <n v="1197831"/>
    <x v="106"/>
    <x v="2"/>
    <s v="Tennessee"/>
    <s v="Knoxville"/>
    <s v="Outlet"/>
    <x v="3"/>
    <n v="30"/>
    <n v="322"/>
    <n v="9660"/>
    <n v="4830.0000000000009"/>
  </r>
  <r>
    <x v="0"/>
    <n v="1128299"/>
    <x v="106"/>
    <x v="2"/>
    <s v="Louisiana"/>
    <s v="New Orleans"/>
    <s v="Online"/>
    <x v="0"/>
    <n v="52"/>
    <n v="88"/>
    <n v="4576"/>
    <n v="2288"/>
  </r>
  <r>
    <x v="0"/>
    <n v="1128299"/>
    <x v="106"/>
    <x v="2"/>
    <s v="Louisiana"/>
    <s v="New Orleans"/>
    <s v="Online"/>
    <x v="2"/>
    <n v="55"/>
    <n v="105"/>
    <n v="5775"/>
    <n v="2887.5"/>
  </r>
  <r>
    <x v="2"/>
    <n v="1185732"/>
    <x v="106"/>
    <x v="2"/>
    <s v="Mississippi"/>
    <s v="Jackson"/>
    <s v="Online"/>
    <x v="0"/>
    <n v="23"/>
    <n v="109"/>
    <n v="2507"/>
    <n v="1253.5"/>
  </r>
  <r>
    <x v="5"/>
    <n v="1128299"/>
    <x v="106"/>
    <x v="3"/>
    <s v="Florida"/>
    <s v="Orlando"/>
    <s v="Outlet"/>
    <x v="2"/>
    <n v="57"/>
    <n v="113"/>
    <n v="6441"/>
    <n v="3220.5"/>
  </r>
  <r>
    <x v="0"/>
    <n v="1128299"/>
    <x v="106"/>
    <x v="2"/>
    <s v="Louisiana"/>
    <s v="New Orleans"/>
    <s v="Online"/>
    <x v="3"/>
    <n v="52"/>
    <n v="105"/>
    <n v="5460"/>
    <n v="2675.4"/>
  </r>
  <r>
    <x v="0"/>
    <n v="1185732"/>
    <x v="106"/>
    <x v="4"/>
    <s v="West Virginia"/>
    <s v="Charleston"/>
    <s v="Online"/>
    <x v="4"/>
    <n v="27"/>
    <n v="143"/>
    <n v="3861"/>
    <n v="1891.8899999999999"/>
  </r>
  <r>
    <x v="0"/>
    <n v="1185732"/>
    <x v="106"/>
    <x v="4"/>
    <s v="West Virginia"/>
    <s v="Charleston"/>
    <s v="Online"/>
    <x v="2"/>
    <n v="47"/>
    <n v="94"/>
    <n v="4418"/>
    <n v="2164.8200000000002"/>
  </r>
  <r>
    <x v="0"/>
    <n v="1128299"/>
    <x v="106"/>
    <x v="2"/>
    <s v="Louisiana"/>
    <s v="New Orleans"/>
    <s v="Outlet"/>
    <x v="1"/>
    <n v="34"/>
    <n v="56"/>
    <n v="1904"/>
    <n v="932.96"/>
  </r>
  <r>
    <x v="0"/>
    <n v="1128299"/>
    <x v="106"/>
    <x v="2"/>
    <s v="Louisiana"/>
    <s v="New Orleans"/>
    <s v="Online"/>
    <x v="4"/>
    <n v="48"/>
    <n v="142"/>
    <n v="6816"/>
    <n v="3271.68"/>
  </r>
  <r>
    <x v="2"/>
    <n v="1185732"/>
    <x v="106"/>
    <x v="2"/>
    <s v="Mississippi"/>
    <s v="Jackson"/>
    <s v="Online"/>
    <x v="5"/>
    <n v="19"/>
    <n v="75"/>
    <n v="1425"/>
    <n v="684"/>
  </r>
  <r>
    <x v="0"/>
    <n v="1185732"/>
    <x v="106"/>
    <x v="4"/>
    <s v="West Virginia"/>
    <s v="Charleston"/>
    <s v="Online"/>
    <x v="5"/>
    <n v="25"/>
    <n v="47"/>
    <n v="1175"/>
    <n v="564"/>
  </r>
  <r>
    <x v="0"/>
    <n v="1128299"/>
    <x v="106"/>
    <x v="2"/>
    <s v="Louisiana"/>
    <s v="New Orleans"/>
    <s v="Online"/>
    <x v="5"/>
    <n v="39"/>
    <n v="74"/>
    <n v="2886"/>
    <n v="1356.4199999999998"/>
  </r>
  <r>
    <x v="2"/>
    <n v="1185732"/>
    <x v="106"/>
    <x v="2"/>
    <s v="Mississippi"/>
    <s v="Jackson"/>
    <s v="Outlet"/>
    <x v="2"/>
    <n v="22"/>
    <n v="147"/>
    <n v="3234"/>
    <n v="1519.98"/>
  </r>
  <r>
    <x v="2"/>
    <n v="1185732"/>
    <x v="106"/>
    <x v="2"/>
    <s v="Mississippi"/>
    <s v="Jackson"/>
    <s v="Online"/>
    <x v="4"/>
    <n v="23"/>
    <n v="169"/>
    <n v="3887"/>
    <n v="1788.02"/>
  </r>
  <r>
    <x v="0"/>
    <n v="1185732"/>
    <x v="106"/>
    <x v="4"/>
    <s v="West Virginia"/>
    <s v="Charleston"/>
    <s v="Online"/>
    <x v="3"/>
    <n v="19"/>
    <n v="68"/>
    <n v="1292"/>
    <n v="594.31999999999994"/>
  </r>
  <r>
    <x v="2"/>
    <n v="1185732"/>
    <x v="106"/>
    <x v="2"/>
    <s v="Mississippi"/>
    <s v="Jackson"/>
    <s v="Online"/>
    <x v="3"/>
    <n v="14"/>
    <n v="101"/>
    <n v="1414"/>
    <n v="636.29999999999995"/>
  </r>
  <r>
    <x v="0"/>
    <n v="1185732"/>
    <x v="106"/>
    <x v="4"/>
    <s v="West Virginia"/>
    <s v="Charleston"/>
    <s v="Online"/>
    <x v="0"/>
    <n v="28"/>
    <n v="75"/>
    <n v="2100"/>
    <n v="945"/>
  </r>
  <r>
    <x v="0"/>
    <n v="1185732"/>
    <x v="106"/>
    <x v="4"/>
    <s v="West Virginia"/>
    <s v="Charleston"/>
    <s v="Online"/>
    <x v="1"/>
    <n v="60"/>
    <n v="56"/>
    <n v="3360"/>
    <n v="1511.9999999999998"/>
  </r>
  <r>
    <x v="0"/>
    <n v="1128299"/>
    <x v="106"/>
    <x v="2"/>
    <s v="Louisiana"/>
    <s v="New Orleans"/>
    <s v="Online"/>
    <x v="1"/>
    <n v="43"/>
    <n v="53"/>
    <n v="2279"/>
    <n v="979.9699999999998"/>
  </r>
  <r>
    <x v="1"/>
    <n v="1189833"/>
    <x v="106"/>
    <x v="0"/>
    <s v="California"/>
    <s v="Los Angeles"/>
    <s v="Outlet"/>
    <x v="1"/>
    <n v="38"/>
    <n v="140"/>
    <n v="5320"/>
    <n v="2181.1999999999994"/>
  </r>
  <r>
    <x v="3"/>
    <n v="1197831"/>
    <x v="106"/>
    <x v="2"/>
    <s v="Tennessee"/>
    <s v="Knoxville"/>
    <s v="Online"/>
    <x v="3"/>
    <n v="36"/>
    <n v="263"/>
    <n v="9468"/>
    <n v="3787.2"/>
  </r>
  <r>
    <x v="5"/>
    <n v="1128299"/>
    <x v="106"/>
    <x v="3"/>
    <s v="Florida"/>
    <s v="Orlando"/>
    <s v="Online"/>
    <x v="2"/>
    <n v="72"/>
    <n v="109"/>
    <n v="7848"/>
    <n v="3139.2"/>
  </r>
  <r>
    <x v="2"/>
    <n v="1185732"/>
    <x v="106"/>
    <x v="2"/>
    <s v="Mississippi"/>
    <s v="Jackson"/>
    <s v="Online"/>
    <x v="2"/>
    <n v="28"/>
    <n v="124"/>
    <n v="3472"/>
    <n v="1354.08"/>
  </r>
  <r>
    <x v="1"/>
    <n v="1189833"/>
    <x v="106"/>
    <x v="0"/>
    <s v="California"/>
    <s v="Los Angeles"/>
    <s v="Online"/>
    <x v="1"/>
    <n v="45"/>
    <n v="131"/>
    <n v="5895"/>
    <n v="2063.25"/>
  </r>
  <r>
    <x v="1"/>
    <n v="1189833"/>
    <x v="107"/>
    <x v="0"/>
    <s v="California"/>
    <s v="Los Angeles"/>
    <s v="Outlet"/>
    <x v="2"/>
    <n v="65"/>
    <n v="625"/>
    <n v="40625"/>
    <n v="32500"/>
  </r>
  <r>
    <x v="4"/>
    <n v="1185732"/>
    <x v="107"/>
    <x v="4"/>
    <s v="New Hampshire"/>
    <s v="Manchester"/>
    <s v="In-store"/>
    <x v="3"/>
    <n v="40"/>
    <n v="250"/>
    <n v="10000"/>
    <n v="7000"/>
  </r>
  <r>
    <x v="4"/>
    <n v="1185732"/>
    <x v="107"/>
    <x v="4"/>
    <s v="New Hampshire"/>
    <s v="Manchester"/>
    <s v="In-store"/>
    <x v="1"/>
    <n v="60.000000000000007"/>
    <n v="175"/>
    <n v="10500.000000000002"/>
    <n v="7350.0000000000018"/>
  </r>
  <r>
    <x v="4"/>
    <n v="1185732"/>
    <x v="107"/>
    <x v="4"/>
    <s v="New Hampshire"/>
    <s v="Manchester"/>
    <s v="In-store"/>
    <x v="5"/>
    <n v="44.999999999999993"/>
    <n v="175"/>
    <n v="7874.9999999999991"/>
    <n v="5512.4999999999982"/>
  </r>
  <r>
    <x v="2"/>
    <n v="1185732"/>
    <x v="107"/>
    <x v="1"/>
    <s v="Missouri"/>
    <s v="St. Louis"/>
    <s v="In-store"/>
    <x v="0"/>
    <n v="30.000000000000004"/>
    <n v="275"/>
    <n v="8250.0000000000018"/>
    <n v="5362.5000000000018"/>
  </r>
  <r>
    <x v="2"/>
    <n v="1185732"/>
    <x v="107"/>
    <x v="1"/>
    <s v="Missouri"/>
    <s v="St. Louis"/>
    <s v="In-store"/>
    <x v="3"/>
    <n v="20.000000000000007"/>
    <n v="275"/>
    <n v="5500.0000000000018"/>
    <n v="3575.0000000000014"/>
  </r>
  <r>
    <x v="2"/>
    <n v="1185732"/>
    <x v="107"/>
    <x v="1"/>
    <s v="Missouri"/>
    <s v="St. Louis"/>
    <s v="In-store"/>
    <x v="1"/>
    <n v="40"/>
    <n v="225"/>
    <n v="9000"/>
    <n v="5850"/>
  </r>
  <r>
    <x v="4"/>
    <n v="1185732"/>
    <x v="107"/>
    <x v="4"/>
    <s v="New Hampshire"/>
    <s v="Manchester"/>
    <s v="In-store"/>
    <x v="2"/>
    <n v="50"/>
    <n v="325"/>
    <n v="16250"/>
    <n v="10562.5"/>
  </r>
  <r>
    <x v="2"/>
    <n v="1185732"/>
    <x v="107"/>
    <x v="1"/>
    <s v="Missouri"/>
    <s v="St. Louis"/>
    <s v="In-store"/>
    <x v="4"/>
    <n v="35"/>
    <n v="575"/>
    <n v="20125"/>
    <n v="12075"/>
  </r>
  <r>
    <x v="2"/>
    <n v="1185732"/>
    <x v="107"/>
    <x v="1"/>
    <s v="Missouri"/>
    <s v="St. Louis"/>
    <s v="In-store"/>
    <x v="5"/>
    <n v="25"/>
    <n v="200"/>
    <n v="5000"/>
    <n v="3000"/>
  </r>
  <r>
    <x v="4"/>
    <n v="1185732"/>
    <x v="107"/>
    <x v="4"/>
    <s v="New Hampshire"/>
    <s v="Manchester"/>
    <s v="In-store"/>
    <x v="4"/>
    <n v="50"/>
    <n v="550"/>
    <n v="27500"/>
    <n v="16500"/>
  </r>
  <r>
    <x v="4"/>
    <n v="1185732"/>
    <x v="107"/>
    <x v="4"/>
    <s v="New Hampshire"/>
    <s v="Manchester"/>
    <s v="In-store"/>
    <x v="0"/>
    <n v="50"/>
    <n v="250"/>
    <n v="12500"/>
    <n v="7500"/>
  </r>
  <r>
    <x v="2"/>
    <n v="1185732"/>
    <x v="107"/>
    <x v="1"/>
    <s v="Missouri"/>
    <s v="St. Louis"/>
    <s v="In-store"/>
    <x v="2"/>
    <n v="30.000000000000004"/>
    <n v="350"/>
    <n v="10500.000000000002"/>
    <n v="5250.0000000000009"/>
  </r>
  <r>
    <x v="3"/>
    <n v="1197831"/>
    <x v="107"/>
    <x v="2"/>
    <s v="Tennessee"/>
    <s v="Knoxville"/>
    <s v="Outlet"/>
    <x v="5"/>
    <n v="40"/>
    <n v="575"/>
    <n v="23000"/>
    <n v="10349.999999999998"/>
  </r>
  <r>
    <x v="1"/>
    <n v="1189833"/>
    <x v="107"/>
    <x v="0"/>
    <s v="California"/>
    <s v="Los Angeles"/>
    <s v="Outlet"/>
    <x v="2"/>
    <n v="43"/>
    <n v="206"/>
    <n v="8858"/>
    <n v="6909.24"/>
  </r>
  <r>
    <x v="1"/>
    <n v="1189833"/>
    <x v="107"/>
    <x v="0"/>
    <s v="California"/>
    <s v="Los Angeles"/>
    <s v="Online"/>
    <x v="2"/>
    <n v="64"/>
    <n v="181"/>
    <n v="11584"/>
    <n v="7992.96"/>
  </r>
  <r>
    <x v="4"/>
    <n v="1185732"/>
    <x v="107"/>
    <x v="4"/>
    <s v="New Hampshire"/>
    <s v="Manchester"/>
    <s v="Outlet"/>
    <x v="5"/>
    <n v="35"/>
    <n v="53"/>
    <n v="1855"/>
    <n v="1261.4000000000001"/>
  </r>
  <r>
    <x v="4"/>
    <n v="1185732"/>
    <x v="107"/>
    <x v="4"/>
    <s v="New Hampshire"/>
    <s v="Manchester"/>
    <s v="Outlet"/>
    <x v="1"/>
    <n v="40"/>
    <n v="61"/>
    <n v="2440"/>
    <n v="1634.8000000000002"/>
  </r>
  <r>
    <x v="4"/>
    <n v="1185732"/>
    <x v="107"/>
    <x v="4"/>
    <s v="New Hampshire"/>
    <s v="Manchester"/>
    <s v="Outlet"/>
    <x v="3"/>
    <n v="26"/>
    <n v="80"/>
    <n v="2080"/>
    <n v="1372.8000000000002"/>
  </r>
  <r>
    <x v="4"/>
    <n v="1185732"/>
    <x v="107"/>
    <x v="4"/>
    <s v="New Hampshire"/>
    <s v="Manchester"/>
    <s v="Outlet"/>
    <x v="2"/>
    <n v="33"/>
    <n v="101"/>
    <n v="3333"/>
    <n v="2099.79"/>
  </r>
  <r>
    <x v="4"/>
    <n v="1185732"/>
    <x v="107"/>
    <x v="4"/>
    <s v="New Hampshire"/>
    <s v="Manchester"/>
    <s v="Online"/>
    <x v="5"/>
    <n v="44"/>
    <n v="49"/>
    <n v="2156"/>
    <n v="1272.04"/>
  </r>
  <r>
    <x v="4"/>
    <n v="1185732"/>
    <x v="107"/>
    <x v="4"/>
    <s v="New Hampshire"/>
    <s v="Manchester"/>
    <s v="Outlet"/>
    <x v="4"/>
    <n v="33"/>
    <n v="187"/>
    <n v="6171"/>
    <n v="3579.18"/>
  </r>
  <r>
    <x v="4"/>
    <n v="1185732"/>
    <x v="107"/>
    <x v="4"/>
    <s v="New Hampshire"/>
    <s v="Manchester"/>
    <s v="Outlet"/>
    <x v="0"/>
    <n v="38"/>
    <n v="85"/>
    <n v="3230"/>
    <n v="1873.3999999999999"/>
  </r>
  <r>
    <x v="4"/>
    <n v="1185732"/>
    <x v="107"/>
    <x v="4"/>
    <s v="New Hampshire"/>
    <s v="Manchester"/>
    <s v="Online"/>
    <x v="3"/>
    <n v="38"/>
    <n v="73"/>
    <n v="2774"/>
    <n v="1553.44"/>
  </r>
  <r>
    <x v="4"/>
    <n v="1185732"/>
    <x v="107"/>
    <x v="4"/>
    <s v="New Hampshire"/>
    <s v="Manchester"/>
    <s v="Online"/>
    <x v="1"/>
    <n v="57"/>
    <n v="53"/>
    <n v="3021"/>
    <n v="1661.5500000000002"/>
  </r>
  <r>
    <x v="2"/>
    <n v="1185732"/>
    <x v="107"/>
    <x v="1"/>
    <s v="Missouri"/>
    <s v="St. Louis"/>
    <s v="Online"/>
    <x v="1"/>
    <n v="36"/>
    <n v="65"/>
    <n v="2340"/>
    <n v="1287"/>
  </r>
  <r>
    <x v="4"/>
    <n v="1185732"/>
    <x v="107"/>
    <x v="4"/>
    <s v="New Hampshire"/>
    <s v="Manchester"/>
    <s v="Online"/>
    <x v="2"/>
    <n v="46"/>
    <n v="98"/>
    <n v="4508"/>
    <n v="2434.3200000000002"/>
  </r>
  <r>
    <x v="2"/>
    <n v="1185732"/>
    <x v="107"/>
    <x v="1"/>
    <s v="Missouri"/>
    <s v="St. Louis"/>
    <s v="Online"/>
    <x v="0"/>
    <n v="27"/>
    <n v="72"/>
    <n v="1944"/>
    <n v="991.44"/>
  </r>
  <r>
    <x v="2"/>
    <n v="1185732"/>
    <x v="107"/>
    <x v="1"/>
    <s v="Missouri"/>
    <s v="St. Louis"/>
    <s v="Online"/>
    <x v="3"/>
    <n v="18"/>
    <n v="83"/>
    <n v="1494"/>
    <n v="761.94"/>
  </r>
  <r>
    <x v="2"/>
    <n v="1185732"/>
    <x v="107"/>
    <x v="1"/>
    <s v="Missouri"/>
    <s v="St. Louis"/>
    <s v="Online"/>
    <x v="4"/>
    <n v="33"/>
    <n v="144"/>
    <n v="4752"/>
    <n v="2280.96"/>
  </r>
  <r>
    <x v="2"/>
    <n v="1185732"/>
    <x v="107"/>
    <x v="1"/>
    <s v="Missouri"/>
    <s v="St. Louis"/>
    <s v="Online"/>
    <x v="5"/>
    <n v="23"/>
    <n v="52"/>
    <n v="1196"/>
    <n v="574.07999999999993"/>
  </r>
  <r>
    <x v="4"/>
    <n v="1185732"/>
    <x v="107"/>
    <x v="4"/>
    <s v="New Hampshire"/>
    <s v="Manchester"/>
    <s v="Online"/>
    <x v="4"/>
    <n v="48"/>
    <n v="154"/>
    <n v="7392"/>
    <n v="3474.24"/>
  </r>
  <r>
    <x v="4"/>
    <n v="1185732"/>
    <x v="107"/>
    <x v="4"/>
    <s v="New Hampshire"/>
    <s v="Manchester"/>
    <s v="Online"/>
    <x v="0"/>
    <n v="49"/>
    <n v="68"/>
    <n v="3332"/>
    <n v="1499.3999999999999"/>
  </r>
  <r>
    <x v="2"/>
    <n v="1185732"/>
    <x v="107"/>
    <x v="1"/>
    <s v="Missouri"/>
    <s v="St. Louis"/>
    <s v="Online"/>
    <x v="2"/>
    <n v="28"/>
    <n v="105"/>
    <n v="2940"/>
    <n v="1146.6000000000001"/>
  </r>
  <r>
    <x v="3"/>
    <n v="1197831"/>
    <x v="107"/>
    <x v="2"/>
    <s v="Tennessee"/>
    <s v="Knoxville"/>
    <s v="Outlet"/>
    <x v="5"/>
    <n v="32"/>
    <n v="196"/>
    <n v="6272"/>
    <n v="2446.0799999999995"/>
  </r>
  <r>
    <x v="3"/>
    <n v="1197831"/>
    <x v="107"/>
    <x v="2"/>
    <s v="Tennessee"/>
    <s v="Knoxville"/>
    <s v="Online"/>
    <x v="5"/>
    <n v="37"/>
    <n v="161"/>
    <n v="5957"/>
    <n v="2084.9499999999998"/>
  </r>
  <r>
    <x v="1"/>
    <n v="1189833"/>
    <x v="108"/>
    <x v="0"/>
    <s v="California"/>
    <s v="Los Angeles"/>
    <s v="Outlet"/>
    <x v="4"/>
    <n v="45"/>
    <n v="900"/>
    <n v="40500"/>
    <n v="24300"/>
  </r>
  <r>
    <x v="3"/>
    <n v="1197831"/>
    <x v="108"/>
    <x v="2"/>
    <s v="Tennessee"/>
    <s v="Knoxville"/>
    <s v="Outlet"/>
    <x v="1"/>
    <n v="45"/>
    <n v="550"/>
    <n v="24750"/>
    <n v="14850"/>
  </r>
  <r>
    <x v="1"/>
    <n v="1189833"/>
    <x v="108"/>
    <x v="0"/>
    <s v="California"/>
    <s v="Los Angeles"/>
    <s v="Outlet"/>
    <x v="4"/>
    <n v="36"/>
    <n v="297"/>
    <n v="10692"/>
    <n v="5987.5199999999995"/>
  </r>
  <r>
    <x v="3"/>
    <n v="1197831"/>
    <x v="108"/>
    <x v="2"/>
    <s v="Tennessee"/>
    <s v="Knoxville"/>
    <s v="Outlet"/>
    <x v="1"/>
    <n v="33"/>
    <n v="182"/>
    <n v="6006"/>
    <n v="3303.3"/>
  </r>
  <r>
    <x v="3"/>
    <n v="1197831"/>
    <x v="108"/>
    <x v="2"/>
    <s v="Tennessee"/>
    <s v="Knoxville"/>
    <s v="Online"/>
    <x v="1"/>
    <n v="43"/>
    <n v="165"/>
    <n v="7095"/>
    <n v="3334.6499999999996"/>
  </r>
  <r>
    <x v="1"/>
    <n v="1189833"/>
    <x v="108"/>
    <x v="0"/>
    <s v="California"/>
    <s v="Los Angeles"/>
    <s v="Online"/>
    <x v="4"/>
    <n v="44"/>
    <n v="270"/>
    <n v="11880"/>
    <n v="5345.9999999999991"/>
  </r>
  <r>
    <x v="1"/>
    <n v="1189833"/>
    <x v="109"/>
    <x v="0"/>
    <s v="California"/>
    <s v="Los Angeles"/>
    <s v="Outlet"/>
    <x v="0"/>
    <n v="50"/>
    <n v="750"/>
    <n v="37500"/>
    <n v="28125"/>
  </r>
  <r>
    <x v="5"/>
    <n v="1197831"/>
    <x v="109"/>
    <x v="2"/>
    <s v="Arkansas"/>
    <s v="Little Rock"/>
    <s v="Online"/>
    <x v="0"/>
    <n v="25"/>
    <n v="300"/>
    <n v="7500"/>
    <n v="4875"/>
  </r>
  <r>
    <x v="5"/>
    <n v="1197831"/>
    <x v="109"/>
    <x v="2"/>
    <s v="Arkansas"/>
    <s v="Little Rock"/>
    <s v="Online"/>
    <x v="1"/>
    <n v="40"/>
    <n v="250"/>
    <n v="10000"/>
    <n v="6500"/>
  </r>
  <r>
    <x v="0"/>
    <n v="1197831"/>
    <x v="109"/>
    <x v="2"/>
    <s v="Oklahoma"/>
    <s v="Oklahoma City"/>
    <s v="Online"/>
    <x v="0"/>
    <n v="25"/>
    <n v="225"/>
    <n v="5625"/>
    <n v="3656.25"/>
  </r>
  <r>
    <x v="0"/>
    <n v="1197831"/>
    <x v="109"/>
    <x v="2"/>
    <s v="Oklahoma"/>
    <s v="Oklahoma City"/>
    <s v="Online"/>
    <x v="1"/>
    <n v="40"/>
    <n v="175"/>
    <n v="7000"/>
    <n v="4550"/>
  </r>
  <r>
    <x v="5"/>
    <n v="1197831"/>
    <x v="109"/>
    <x v="2"/>
    <s v="Arkansas"/>
    <s v="Little Rock"/>
    <s v="Online"/>
    <x v="4"/>
    <n v="25"/>
    <n v="600"/>
    <n v="15000"/>
    <n v="9000"/>
  </r>
  <r>
    <x v="5"/>
    <n v="1197831"/>
    <x v="109"/>
    <x v="2"/>
    <s v="Arkansas"/>
    <s v="Little Rock"/>
    <s v="Online"/>
    <x v="3"/>
    <n v="15.000000000000002"/>
    <n v="300"/>
    <n v="4500.0000000000009"/>
    <n v="2700.0000000000005"/>
  </r>
  <r>
    <x v="5"/>
    <n v="1197831"/>
    <x v="109"/>
    <x v="2"/>
    <s v="Arkansas"/>
    <s v="Little Rock"/>
    <s v="Online"/>
    <x v="5"/>
    <n v="19.999999999999996"/>
    <n v="225"/>
    <n v="4499.9999999999991"/>
    <n v="2699.9999999999995"/>
  </r>
  <r>
    <x v="0"/>
    <n v="1197831"/>
    <x v="109"/>
    <x v="2"/>
    <s v="Oklahoma"/>
    <s v="Oklahoma City"/>
    <s v="Online"/>
    <x v="4"/>
    <n v="25"/>
    <n v="525"/>
    <n v="13125"/>
    <n v="7875"/>
  </r>
  <r>
    <x v="0"/>
    <n v="1197831"/>
    <x v="109"/>
    <x v="2"/>
    <s v="Oklahoma"/>
    <s v="Oklahoma City"/>
    <s v="Online"/>
    <x v="3"/>
    <n v="15.000000000000002"/>
    <n v="225"/>
    <n v="3375.0000000000005"/>
    <n v="2025.0000000000005"/>
  </r>
  <r>
    <x v="0"/>
    <n v="1197831"/>
    <x v="109"/>
    <x v="2"/>
    <s v="Oklahoma"/>
    <s v="Oklahoma City"/>
    <s v="Online"/>
    <x v="2"/>
    <n v="30.000000000000004"/>
    <n v="325"/>
    <n v="9750.0000000000018"/>
    <n v="5850.0000000000009"/>
  </r>
  <r>
    <x v="5"/>
    <n v="1197831"/>
    <x v="109"/>
    <x v="2"/>
    <s v="Arkansas"/>
    <s v="Little Rock"/>
    <s v="Online"/>
    <x v="2"/>
    <n v="30.000000000000004"/>
    <n v="400"/>
    <n v="12000.000000000002"/>
    <n v="7200"/>
  </r>
  <r>
    <x v="0"/>
    <n v="1197831"/>
    <x v="109"/>
    <x v="2"/>
    <s v="Oklahoma"/>
    <s v="Oklahoma City"/>
    <s v="Online"/>
    <x v="5"/>
    <n v="19.999999999999996"/>
    <n v="150"/>
    <n v="2999.9999999999995"/>
    <n v="1799.9999999999995"/>
  </r>
  <r>
    <x v="3"/>
    <n v="1197831"/>
    <x v="109"/>
    <x v="2"/>
    <s v="Tennessee"/>
    <s v="Knoxville"/>
    <s v="Outlet"/>
    <x v="2"/>
    <n v="54.999999999999993"/>
    <n v="825"/>
    <n v="45374.999999999993"/>
    <n v="18149.999999999993"/>
  </r>
  <r>
    <x v="1"/>
    <n v="1189833"/>
    <x v="109"/>
    <x v="0"/>
    <s v="California"/>
    <s v="Los Angeles"/>
    <s v="Outlet"/>
    <x v="0"/>
    <n v="35"/>
    <n v="225"/>
    <n v="7875"/>
    <n v="5512.5"/>
  </r>
  <r>
    <x v="1"/>
    <n v="1189833"/>
    <x v="109"/>
    <x v="0"/>
    <s v="California"/>
    <s v="Los Angeles"/>
    <s v="Online"/>
    <x v="0"/>
    <n v="47"/>
    <n v="225"/>
    <n v="10575"/>
    <n v="6873.75"/>
  </r>
  <r>
    <x v="5"/>
    <n v="1197831"/>
    <x v="109"/>
    <x v="2"/>
    <s v="Arkansas"/>
    <s v="Little Rock"/>
    <s v="Outlet"/>
    <x v="1"/>
    <n v="31"/>
    <n v="75"/>
    <n v="2325"/>
    <n v="1464.75"/>
  </r>
  <r>
    <x v="0"/>
    <n v="1197831"/>
    <x v="109"/>
    <x v="2"/>
    <s v="Oklahoma"/>
    <s v="Oklahoma City"/>
    <s v="Outlet"/>
    <x v="1"/>
    <n v="27"/>
    <n v="54"/>
    <n v="1458"/>
    <n v="889.38000000000011"/>
  </r>
  <r>
    <x v="0"/>
    <n v="1197831"/>
    <x v="109"/>
    <x v="2"/>
    <s v="Oklahoma"/>
    <s v="Oklahoma City"/>
    <s v="Outlet"/>
    <x v="0"/>
    <n v="18"/>
    <n v="79"/>
    <n v="1422"/>
    <n v="867.42000000000007"/>
  </r>
  <r>
    <x v="5"/>
    <n v="1197831"/>
    <x v="109"/>
    <x v="2"/>
    <s v="Arkansas"/>
    <s v="Little Rock"/>
    <s v="Outlet"/>
    <x v="0"/>
    <n v="20"/>
    <n v="102"/>
    <n v="2040"/>
    <n v="1224"/>
  </r>
  <r>
    <x v="0"/>
    <n v="1197831"/>
    <x v="109"/>
    <x v="2"/>
    <s v="Oklahoma"/>
    <s v="Oklahoma City"/>
    <s v="Outlet"/>
    <x v="5"/>
    <n v="15"/>
    <n v="47"/>
    <n v="705"/>
    <n v="401.84999999999997"/>
  </r>
  <r>
    <x v="0"/>
    <n v="1197831"/>
    <x v="109"/>
    <x v="2"/>
    <s v="Oklahoma"/>
    <s v="Oklahoma City"/>
    <s v="Outlet"/>
    <x v="2"/>
    <n v="22"/>
    <n v="111"/>
    <n v="2442"/>
    <n v="1391.9399999999998"/>
  </r>
  <r>
    <x v="5"/>
    <n v="1197831"/>
    <x v="109"/>
    <x v="2"/>
    <s v="Arkansas"/>
    <s v="Little Rock"/>
    <s v="Outlet"/>
    <x v="2"/>
    <n v="24"/>
    <n v="120"/>
    <n v="2880"/>
    <n v="1612.8"/>
  </r>
  <r>
    <x v="5"/>
    <n v="1197831"/>
    <x v="109"/>
    <x v="2"/>
    <s v="Arkansas"/>
    <s v="Little Rock"/>
    <s v="Outlet"/>
    <x v="4"/>
    <n v="19"/>
    <n v="204"/>
    <n v="3876"/>
    <n v="2131.8000000000002"/>
  </r>
  <r>
    <x v="0"/>
    <n v="1197831"/>
    <x v="109"/>
    <x v="2"/>
    <s v="Oklahoma"/>
    <s v="Oklahoma City"/>
    <s v="Outlet"/>
    <x v="3"/>
    <n v="10"/>
    <n v="70"/>
    <n v="700"/>
    <n v="378"/>
  </r>
  <r>
    <x v="0"/>
    <n v="1197831"/>
    <x v="109"/>
    <x v="2"/>
    <s v="Oklahoma"/>
    <s v="Oklahoma City"/>
    <s v="Outlet"/>
    <x v="4"/>
    <n v="20"/>
    <n v="184"/>
    <n v="3680"/>
    <n v="1987.1999999999998"/>
  </r>
  <r>
    <x v="5"/>
    <n v="1197831"/>
    <x v="109"/>
    <x v="2"/>
    <s v="Arkansas"/>
    <s v="Little Rock"/>
    <s v="Outlet"/>
    <x v="3"/>
    <n v="11"/>
    <n v="96"/>
    <n v="1056"/>
    <n v="559.67999999999995"/>
  </r>
  <r>
    <x v="5"/>
    <n v="1197831"/>
    <x v="109"/>
    <x v="2"/>
    <s v="Arkansas"/>
    <s v="Little Rock"/>
    <s v="Outlet"/>
    <x v="5"/>
    <n v="13"/>
    <n v="77"/>
    <n v="1001"/>
    <n v="530.53"/>
  </r>
  <r>
    <x v="5"/>
    <n v="1197831"/>
    <x v="109"/>
    <x v="2"/>
    <s v="Arkansas"/>
    <s v="Little Rock"/>
    <s v="Online"/>
    <x v="1"/>
    <n v="37"/>
    <n v="73"/>
    <n v="2701"/>
    <n v="1404.52"/>
  </r>
  <r>
    <x v="0"/>
    <n v="1197831"/>
    <x v="109"/>
    <x v="2"/>
    <s v="Oklahoma"/>
    <s v="Oklahoma City"/>
    <s v="Online"/>
    <x v="0"/>
    <n v="23"/>
    <n v="65"/>
    <n v="1495"/>
    <n v="777.4"/>
  </r>
  <r>
    <x v="5"/>
    <n v="1197831"/>
    <x v="109"/>
    <x v="2"/>
    <s v="Arkansas"/>
    <s v="Little Rock"/>
    <s v="Online"/>
    <x v="0"/>
    <n v="24"/>
    <n v="81"/>
    <n v="1944"/>
    <n v="991.44"/>
  </r>
  <r>
    <x v="0"/>
    <n v="1197831"/>
    <x v="109"/>
    <x v="2"/>
    <s v="Oklahoma"/>
    <s v="Oklahoma City"/>
    <s v="Online"/>
    <x v="1"/>
    <n v="38"/>
    <n v="53"/>
    <n v="2014"/>
    <n v="1007"/>
  </r>
  <r>
    <x v="5"/>
    <n v="1197831"/>
    <x v="109"/>
    <x v="2"/>
    <s v="Arkansas"/>
    <s v="Little Rock"/>
    <s v="Online"/>
    <x v="2"/>
    <n v="28"/>
    <n v="116"/>
    <n v="3248"/>
    <n v="1591.52"/>
  </r>
  <r>
    <x v="5"/>
    <n v="1197831"/>
    <x v="109"/>
    <x v="2"/>
    <s v="Arkansas"/>
    <s v="Little Rock"/>
    <s v="Online"/>
    <x v="3"/>
    <n v="14"/>
    <n v="75"/>
    <n v="1050"/>
    <n v="504"/>
  </r>
  <r>
    <x v="5"/>
    <n v="1197831"/>
    <x v="109"/>
    <x v="2"/>
    <s v="Arkansas"/>
    <s v="Little Rock"/>
    <s v="Online"/>
    <x v="5"/>
    <n v="20"/>
    <n v="63"/>
    <n v="1260"/>
    <n v="592.19999999999993"/>
  </r>
  <r>
    <x v="0"/>
    <n v="1197831"/>
    <x v="109"/>
    <x v="2"/>
    <s v="Oklahoma"/>
    <s v="Oklahoma City"/>
    <s v="Online"/>
    <x v="4"/>
    <n v="24"/>
    <n v="152"/>
    <n v="3648"/>
    <n v="1714.56"/>
  </r>
  <r>
    <x v="0"/>
    <n v="1197831"/>
    <x v="109"/>
    <x v="2"/>
    <s v="Oklahoma"/>
    <s v="Oklahoma City"/>
    <s v="Online"/>
    <x v="3"/>
    <n v="14"/>
    <n v="68"/>
    <n v="952"/>
    <n v="447.44"/>
  </r>
  <r>
    <x v="0"/>
    <n v="1197831"/>
    <x v="109"/>
    <x v="2"/>
    <s v="Oklahoma"/>
    <s v="Oklahoma City"/>
    <s v="Online"/>
    <x v="5"/>
    <n v="18"/>
    <n v="45"/>
    <n v="810"/>
    <n v="380.7"/>
  </r>
  <r>
    <x v="5"/>
    <n v="1197831"/>
    <x v="109"/>
    <x v="2"/>
    <s v="Arkansas"/>
    <s v="Little Rock"/>
    <s v="Online"/>
    <x v="4"/>
    <n v="23"/>
    <n v="174"/>
    <n v="4002"/>
    <n v="1840.92"/>
  </r>
  <r>
    <x v="0"/>
    <n v="1197831"/>
    <x v="109"/>
    <x v="2"/>
    <s v="Oklahoma"/>
    <s v="Oklahoma City"/>
    <s v="Online"/>
    <x v="2"/>
    <n v="28"/>
    <n v="94"/>
    <n v="2632"/>
    <n v="1184.3999999999999"/>
  </r>
  <r>
    <x v="3"/>
    <n v="1197831"/>
    <x v="109"/>
    <x v="2"/>
    <s v="Tennessee"/>
    <s v="Knoxville"/>
    <s v="Outlet"/>
    <x v="2"/>
    <n v="38"/>
    <n v="272"/>
    <n v="10336"/>
    <n v="3927.6799999999985"/>
  </r>
  <r>
    <x v="3"/>
    <n v="1197831"/>
    <x v="109"/>
    <x v="2"/>
    <s v="Tennessee"/>
    <s v="Knoxville"/>
    <s v="Online"/>
    <x v="2"/>
    <n v="52"/>
    <n v="223"/>
    <n v="11596"/>
    <n v="3478.7999999999993"/>
  </r>
  <r>
    <x v="4"/>
    <n v="1185732"/>
    <x v="110"/>
    <x v="0"/>
    <s v="Alaska"/>
    <s v="Anchorage"/>
    <s v="Outlet"/>
    <x v="3"/>
    <n v="45"/>
    <n v="225"/>
    <n v="10125"/>
    <n v="7593.75"/>
  </r>
  <r>
    <x v="4"/>
    <n v="1185732"/>
    <x v="110"/>
    <x v="0"/>
    <s v="Alaska"/>
    <s v="Anchorage"/>
    <s v="Outlet"/>
    <x v="1"/>
    <n v="60.000000000000007"/>
    <n v="150"/>
    <n v="9000.0000000000018"/>
    <n v="6750.0000000000018"/>
  </r>
  <r>
    <x v="4"/>
    <n v="1185732"/>
    <x v="110"/>
    <x v="0"/>
    <s v="Alaska"/>
    <s v="Anchorage"/>
    <s v="Outlet"/>
    <x v="5"/>
    <n v="49.999999999999993"/>
    <n v="150"/>
    <n v="7499.9999999999991"/>
    <n v="5624.9999999999982"/>
  </r>
  <r>
    <x v="4"/>
    <n v="1185732"/>
    <x v="110"/>
    <x v="0"/>
    <s v="Alaska"/>
    <s v="Anchorage"/>
    <s v="Outlet"/>
    <x v="2"/>
    <n v="50"/>
    <n v="300"/>
    <n v="15000"/>
    <n v="10500"/>
  </r>
  <r>
    <x v="0"/>
    <n v="1185732"/>
    <x v="110"/>
    <x v="4"/>
    <s v="Maryland"/>
    <s v="Baltimore"/>
    <s v="In-store"/>
    <x v="1"/>
    <n v="45"/>
    <n v="50"/>
    <n v="2250"/>
    <n v="1575"/>
  </r>
  <r>
    <x v="0"/>
    <n v="1185732"/>
    <x v="110"/>
    <x v="4"/>
    <s v="Maryland"/>
    <s v="Baltimore"/>
    <s v="In-store"/>
    <x v="2"/>
    <n v="35"/>
    <n v="200"/>
    <n v="7000"/>
    <n v="4900"/>
  </r>
  <r>
    <x v="0"/>
    <n v="1185732"/>
    <x v="110"/>
    <x v="4"/>
    <s v="Maryland"/>
    <s v="Baltimore"/>
    <s v="In-store"/>
    <x v="3"/>
    <n v="25.000000000000007"/>
    <n v="125"/>
    <n v="3125.0000000000009"/>
    <n v="2031.2500000000007"/>
  </r>
  <r>
    <x v="4"/>
    <n v="1185732"/>
    <x v="110"/>
    <x v="0"/>
    <s v="Alaska"/>
    <s v="Anchorage"/>
    <s v="Outlet"/>
    <x v="4"/>
    <n v="55.000000000000007"/>
    <n v="525"/>
    <n v="28875.000000000004"/>
    <n v="18768.750000000004"/>
  </r>
  <r>
    <x v="0"/>
    <n v="1185732"/>
    <x v="110"/>
    <x v="4"/>
    <s v="Maryland"/>
    <s v="Baltimore"/>
    <s v="In-store"/>
    <x v="0"/>
    <n v="35"/>
    <n v="125"/>
    <n v="4375"/>
    <n v="2843.75"/>
  </r>
  <r>
    <x v="0"/>
    <n v="1185732"/>
    <x v="110"/>
    <x v="4"/>
    <s v="Maryland"/>
    <s v="Baltimore"/>
    <s v="In-store"/>
    <x v="5"/>
    <n v="30"/>
    <n v="50"/>
    <n v="1500"/>
    <n v="975"/>
  </r>
  <r>
    <x v="4"/>
    <n v="1185732"/>
    <x v="110"/>
    <x v="0"/>
    <s v="Alaska"/>
    <s v="Anchorage"/>
    <s v="Outlet"/>
    <x v="0"/>
    <n v="55.000000000000007"/>
    <n v="225"/>
    <n v="12375.000000000002"/>
    <n v="8043.75"/>
  </r>
  <r>
    <x v="1"/>
    <n v="1189833"/>
    <x v="110"/>
    <x v="0"/>
    <s v="California"/>
    <s v="Los Angeles"/>
    <s v="Outlet"/>
    <x v="3"/>
    <n v="50"/>
    <n v="750"/>
    <n v="37500"/>
    <n v="22500"/>
  </r>
  <r>
    <x v="0"/>
    <n v="1185732"/>
    <x v="110"/>
    <x v="4"/>
    <s v="Maryland"/>
    <s v="Baltimore"/>
    <s v="In-store"/>
    <x v="4"/>
    <n v="35"/>
    <n v="425"/>
    <n v="14875"/>
    <n v="8925"/>
  </r>
  <r>
    <x v="3"/>
    <n v="1197831"/>
    <x v="110"/>
    <x v="2"/>
    <s v="Tennessee"/>
    <s v="Knoxville"/>
    <s v="Outlet"/>
    <x v="4"/>
    <n v="45"/>
    <n v="775"/>
    <n v="34875"/>
    <n v="19181.250000000004"/>
  </r>
  <r>
    <x v="4"/>
    <n v="1185732"/>
    <x v="110"/>
    <x v="0"/>
    <s v="Alaska"/>
    <s v="Anchorage"/>
    <s v="Online"/>
    <x v="5"/>
    <n v="47"/>
    <n v="44"/>
    <n v="2068"/>
    <n v="1302.8400000000001"/>
  </r>
  <r>
    <x v="4"/>
    <n v="1185732"/>
    <x v="110"/>
    <x v="0"/>
    <s v="Alaska"/>
    <s v="Anchorage"/>
    <s v="Online"/>
    <x v="1"/>
    <n v="56"/>
    <n v="41"/>
    <n v="2296"/>
    <n v="1446.48"/>
  </r>
  <r>
    <x v="4"/>
    <n v="1185732"/>
    <x v="110"/>
    <x v="0"/>
    <s v="Alaska"/>
    <s v="Anchorage"/>
    <s v="Online"/>
    <x v="3"/>
    <n v="44"/>
    <n v="61"/>
    <n v="2684"/>
    <n v="1610.3999999999999"/>
  </r>
  <r>
    <x v="1"/>
    <n v="1189833"/>
    <x v="110"/>
    <x v="0"/>
    <s v="California"/>
    <s v="Los Angeles"/>
    <s v="Outlet"/>
    <x v="3"/>
    <n v="35"/>
    <n v="233"/>
    <n v="8155"/>
    <n v="4729.8999999999996"/>
  </r>
  <r>
    <x v="4"/>
    <n v="1185732"/>
    <x v="110"/>
    <x v="0"/>
    <s v="Alaska"/>
    <s v="Anchorage"/>
    <s v="Online"/>
    <x v="2"/>
    <n v="49"/>
    <n v="84"/>
    <n v="4116"/>
    <n v="2304.96"/>
  </r>
  <r>
    <x v="0"/>
    <n v="1185732"/>
    <x v="110"/>
    <x v="4"/>
    <s v="Maryland"/>
    <s v="Baltimore"/>
    <s v="Online"/>
    <x v="2"/>
    <n v="32"/>
    <n v="52"/>
    <n v="1664"/>
    <n v="931.84"/>
  </r>
  <r>
    <x v="0"/>
    <n v="1185732"/>
    <x v="110"/>
    <x v="4"/>
    <s v="Maryland"/>
    <s v="Baltimore"/>
    <s v="Online"/>
    <x v="1"/>
    <n v="41"/>
    <n v="15"/>
    <n v="615"/>
    <n v="338.25"/>
  </r>
  <r>
    <x v="4"/>
    <n v="1185732"/>
    <x v="110"/>
    <x v="0"/>
    <s v="Alaska"/>
    <s v="Anchorage"/>
    <s v="Online"/>
    <x v="4"/>
    <n v="54"/>
    <n v="131"/>
    <n v="7074"/>
    <n v="3819.96"/>
  </r>
  <r>
    <x v="0"/>
    <n v="1185732"/>
    <x v="110"/>
    <x v="4"/>
    <s v="Maryland"/>
    <s v="Baltimore"/>
    <s v="Online"/>
    <x v="5"/>
    <n v="27"/>
    <n v="13"/>
    <n v="351"/>
    <n v="186.03"/>
  </r>
  <r>
    <x v="0"/>
    <n v="1185732"/>
    <x v="110"/>
    <x v="4"/>
    <s v="Maryland"/>
    <s v="Baltimore"/>
    <s v="Online"/>
    <x v="0"/>
    <n v="32"/>
    <n v="31"/>
    <n v="992"/>
    <n v="525.76"/>
  </r>
  <r>
    <x v="0"/>
    <n v="1185732"/>
    <x v="110"/>
    <x v="4"/>
    <s v="Maryland"/>
    <s v="Baltimore"/>
    <s v="Online"/>
    <x v="3"/>
    <n v="24"/>
    <n v="33"/>
    <n v="792"/>
    <n v="403.92"/>
  </r>
  <r>
    <x v="4"/>
    <n v="1185732"/>
    <x v="110"/>
    <x v="0"/>
    <s v="Alaska"/>
    <s v="Anchorage"/>
    <s v="Online"/>
    <x v="0"/>
    <n v="50"/>
    <n v="61"/>
    <n v="3050"/>
    <n v="1525"/>
  </r>
  <r>
    <x v="0"/>
    <n v="1185732"/>
    <x v="110"/>
    <x v="4"/>
    <s v="Maryland"/>
    <s v="Baltimore"/>
    <s v="Online"/>
    <x v="4"/>
    <n v="33"/>
    <n v="128"/>
    <n v="4224"/>
    <n v="2069.7599999999998"/>
  </r>
  <r>
    <x v="3"/>
    <n v="1197831"/>
    <x v="110"/>
    <x v="2"/>
    <s v="Tennessee"/>
    <s v="Knoxville"/>
    <s v="Outlet"/>
    <x v="4"/>
    <n v="29"/>
    <n v="233"/>
    <n v="6757"/>
    <n v="3310.93"/>
  </r>
  <r>
    <x v="1"/>
    <n v="1189833"/>
    <x v="110"/>
    <x v="0"/>
    <s v="California"/>
    <s v="Los Angeles"/>
    <s v="Online"/>
    <x v="3"/>
    <n v="48"/>
    <n v="203"/>
    <n v="9744"/>
    <n v="4384.7999999999993"/>
  </r>
  <r>
    <x v="3"/>
    <n v="1197831"/>
    <x v="110"/>
    <x v="2"/>
    <s v="Tennessee"/>
    <s v="Knoxville"/>
    <s v="Online"/>
    <x v="4"/>
    <n v="41"/>
    <n v="233"/>
    <n v="9553"/>
    <n v="4107.7900000000009"/>
  </r>
  <r>
    <x v="1"/>
    <n v="1189833"/>
    <x v="111"/>
    <x v="0"/>
    <s v="California"/>
    <s v="Los Angeles"/>
    <s v="Outlet"/>
    <x v="5"/>
    <n v="45"/>
    <n v="625"/>
    <n v="28125"/>
    <n v="18281.25"/>
  </r>
  <r>
    <x v="4"/>
    <n v="1185732"/>
    <x v="111"/>
    <x v="3"/>
    <s v="Kentucky"/>
    <s v="Louisville"/>
    <s v="Online"/>
    <x v="0"/>
    <n v="45"/>
    <n v="175"/>
    <n v="7875"/>
    <n v="5118.75"/>
  </r>
  <r>
    <x v="4"/>
    <n v="1185732"/>
    <x v="111"/>
    <x v="3"/>
    <s v="Kentucky"/>
    <s v="Louisville"/>
    <s v="Online"/>
    <x v="1"/>
    <n v="50"/>
    <n v="125"/>
    <n v="6250"/>
    <n v="4062.5"/>
  </r>
  <r>
    <x v="4"/>
    <n v="1185732"/>
    <x v="111"/>
    <x v="3"/>
    <s v="Kentucky"/>
    <s v="Louisville"/>
    <s v="Online"/>
    <x v="4"/>
    <n v="45"/>
    <n v="475"/>
    <n v="21375"/>
    <n v="12825"/>
  </r>
  <r>
    <x v="4"/>
    <n v="1185732"/>
    <x v="111"/>
    <x v="3"/>
    <s v="Kentucky"/>
    <s v="Louisville"/>
    <s v="Online"/>
    <x v="3"/>
    <n v="40"/>
    <n v="175"/>
    <n v="7000"/>
    <n v="4200"/>
  </r>
  <r>
    <x v="4"/>
    <n v="1185732"/>
    <x v="111"/>
    <x v="3"/>
    <s v="Kentucky"/>
    <s v="Louisville"/>
    <s v="Online"/>
    <x v="5"/>
    <n v="45"/>
    <n v="100"/>
    <n v="4500"/>
    <n v="2700"/>
  </r>
  <r>
    <x v="4"/>
    <n v="1185732"/>
    <x v="111"/>
    <x v="3"/>
    <s v="Kentucky"/>
    <s v="Louisville"/>
    <s v="Online"/>
    <x v="2"/>
    <n v="40"/>
    <n v="250"/>
    <n v="10000"/>
    <n v="6000"/>
  </r>
  <r>
    <x v="3"/>
    <n v="1197831"/>
    <x v="111"/>
    <x v="2"/>
    <s v="Tennessee"/>
    <s v="Knoxville"/>
    <s v="Outlet"/>
    <x v="0"/>
    <n v="55.000000000000007"/>
    <n v="775"/>
    <n v="42625.000000000007"/>
    <n v="23443.750000000007"/>
  </r>
  <r>
    <x v="1"/>
    <n v="1189833"/>
    <x v="111"/>
    <x v="0"/>
    <s v="California"/>
    <s v="Los Angeles"/>
    <s v="Outlet"/>
    <x v="5"/>
    <n v="32"/>
    <n v="194"/>
    <n v="6208"/>
    <n v="3911.04"/>
  </r>
  <r>
    <x v="1"/>
    <n v="1189833"/>
    <x v="111"/>
    <x v="0"/>
    <s v="California"/>
    <s v="Los Angeles"/>
    <s v="Online"/>
    <x v="5"/>
    <n v="44"/>
    <n v="175"/>
    <n v="7700"/>
    <n v="4004"/>
  </r>
  <r>
    <x v="4"/>
    <n v="1185732"/>
    <x v="111"/>
    <x v="3"/>
    <s v="Kentucky"/>
    <s v="Louisville"/>
    <s v="Online"/>
    <x v="0"/>
    <n v="41"/>
    <n v="49"/>
    <n v="2009"/>
    <n v="1044.68"/>
  </r>
  <r>
    <x v="4"/>
    <n v="1185732"/>
    <x v="111"/>
    <x v="3"/>
    <s v="Kentucky"/>
    <s v="Louisville"/>
    <s v="Online"/>
    <x v="1"/>
    <n v="47"/>
    <n v="35"/>
    <n v="1645"/>
    <n v="838.95"/>
  </r>
  <r>
    <x v="4"/>
    <n v="1185732"/>
    <x v="111"/>
    <x v="3"/>
    <s v="Kentucky"/>
    <s v="Louisville"/>
    <s v="Online"/>
    <x v="5"/>
    <n v="42"/>
    <n v="29"/>
    <n v="1218"/>
    <n v="609"/>
  </r>
  <r>
    <x v="4"/>
    <n v="1185732"/>
    <x v="111"/>
    <x v="3"/>
    <s v="Kentucky"/>
    <s v="Louisville"/>
    <s v="Online"/>
    <x v="2"/>
    <n v="36"/>
    <n v="75"/>
    <n v="2700"/>
    <n v="1350"/>
  </r>
  <r>
    <x v="3"/>
    <n v="1197831"/>
    <x v="111"/>
    <x v="2"/>
    <s v="Tennessee"/>
    <s v="Knoxville"/>
    <s v="Outlet"/>
    <x v="0"/>
    <n v="44"/>
    <n v="271"/>
    <n v="11924"/>
    <n v="5842.76"/>
  </r>
  <r>
    <x v="4"/>
    <n v="1185732"/>
    <x v="111"/>
    <x v="3"/>
    <s v="Kentucky"/>
    <s v="Louisville"/>
    <s v="Online"/>
    <x v="4"/>
    <n v="41"/>
    <n v="119"/>
    <n v="4879"/>
    <n v="2195.5499999999997"/>
  </r>
  <r>
    <x v="4"/>
    <n v="1185732"/>
    <x v="111"/>
    <x v="3"/>
    <s v="Kentucky"/>
    <s v="Louisville"/>
    <s v="Online"/>
    <x v="3"/>
    <n v="38"/>
    <n v="49"/>
    <n v="1862"/>
    <n v="837.89999999999986"/>
  </r>
  <r>
    <x v="3"/>
    <n v="1197831"/>
    <x v="111"/>
    <x v="2"/>
    <s v="Tennessee"/>
    <s v="Knoxville"/>
    <s v="Online"/>
    <x v="0"/>
    <n v="54"/>
    <n v="233"/>
    <n v="12582"/>
    <n v="5410.26"/>
  </r>
  <r>
    <x v="2"/>
    <n v="1128299"/>
    <x v="112"/>
    <x v="0"/>
    <s v="Arizona"/>
    <s v="Phoenix"/>
    <s v="Online"/>
    <x v="2"/>
    <n v="70"/>
    <n v="325"/>
    <n v="22750"/>
    <n v="17062.5"/>
  </r>
  <r>
    <x v="2"/>
    <n v="1128299"/>
    <x v="112"/>
    <x v="0"/>
    <s v="Arizona"/>
    <s v="Phoenix"/>
    <s v="Online"/>
    <x v="1"/>
    <n v="55.000000000000007"/>
    <n v="150"/>
    <n v="8250.0000000000018"/>
    <n v="5775.0000000000018"/>
  </r>
  <r>
    <x v="2"/>
    <n v="1128299"/>
    <x v="112"/>
    <x v="0"/>
    <s v="Arizona"/>
    <s v="Phoenix"/>
    <s v="Online"/>
    <x v="3"/>
    <n v="55.000000000000007"/>
    <n v="350"/>
    <n v="19250.000000000004"/>
    <n v="12512.500000000004"/>
  </r>
  <r>
    <x v="2"/>
    <n v="1128299"/>
    <x v="112"/>
    <x v="0"/>
    <s v="Arizona"/>
    <s v="Phoenix"/>
    <s v="Online"/>
    <x v="4"/>
    <n v="50"/>
    <n v="500"/>
    <n v="25000"/>
    <n v="16250"/>
  </r>
  <r>
    <x v="2"/>
    <n v="1128299"/>
    <x v="112"/>
    <x v="0"/>
    <s v="Arizona"/>
    <s v="Phoenix"/>
    <s v="Online"/>
    <x v="5"/>
    <n v="50"/>
    <n v="250"/>
    <n v="12500"/>
    <n v="8125"/>
  </r>
  <r>
    <x v="2"/>
    <n v="1128299"/>
    <x v="112"/>
    <x v="0"/>
    <s v="Arizona"/>
    <s v="Phoenix"/>
    <s v="Online"/>
    <x v="0"/>
    <n v="55.000000000000007"/>
    <n v="300"/>
    <n v="16500.000000000004"/>
    <n v="9900.0000000000018"/>
  </r>
  <r>
    <x v="3"/>
    <n v="1197831"/>
    <x v="112"/>
    <x v="2"/>
    <s v="Tennessee"/>
    <s v="Knoxville"/>
    <s v="Outlet"/>
    <x v="3"/>
    <n v="50"/>
    <n v="950"/>
    <n v="47500"/>
    <n v="26125.000000000004"/>
  </r>
  <r>
    <x v="1"/>
    <n v="1189833"/>
    <x v="112"/>
    <x v="0"/>
    <s v="California"/>
    <s v="Los Angeles"/>
    <s v="Outlet"/>
    <x v="1"/>
    <n v="50"/>
    <n v="500"/>
    <n v="25000"/>
    <n v="11250"/>
  </r>
  <r>
    <x v="2"/>
    <n v="1128299"/>
    <x v="112"/>
    <x v="0"/>
    <s v="Arizona"/>
    <s v="Phoenix"/>
    <s v="Outlet"/>
    <x v="2"/>
    <n v="49"/>
    <n v="111"/>
    <n v="5439"/>
    <n v="3807.3"/>
  </r>
  <r>
    <x v="2"/>
    <n v="1128299"/>
    <x v="112"/>
    <x v="0"/>
    <s v="Arizona"/>
    <s v="Phoenix"/>
    <s v="Outlet"/>
    <x v="1"/>
    <n v="43"/>
    <n v="47"/>
    <n v="2021"/>
    <n v="1333.8600000000001"/>
  </r>
  <r>
    <x v="2"/>
    <n v="1128299"/>
    <x v="112"/>
    <x v="0"/>
    <s v="Arizona"/>
    <s v="Phoenix"/>
    <s v="Online"/>
    <x v="2"/>
    <n v="67"/>
    <n v="94"/>
    <n v="6298"/>
    <n v="4030.7200000000003"/>
  </r>
  <r>
    <x v="2"/>
    <n v="1128299"/>
    <x v="112"/>
    <x v="0"/>
    <s v="Arizona"/>
    <s v="Phoenix"/>
    <s v="Outlet"/>
    <x v="3"/>
    <n v="42"/>
    <n v="123"/>
    <n v="5166"/>
    <n v="3254.58"/>
  </r>
  <r>
    <x v="2"/>
    <n v="1128299"/>
    <x v="112"/>
    <x v="0"/>
    <s v="Arizona"/>
    <s v="Phoenix"/>
    <s v="Outlet"/>
    <x v="4"/>
    <n v="40"/>
    <n v="175"/>
    <n v="7000"/>
    <n v="4340"/>
  </r>
  <r>
    <x v="2"/>
    <n v="1128299"/>
    <x v="112"/>
    <x v="0"/>
    <s v="Arizona"/>
    <s v="Phoenix"/>
    <s v="Outlet"/>
    <x v="5"/>
    <n v="40"/>
    <n v="78"/>
    <n v="3120"/>
    <n v="1872"/>
  </r>
  <r>
    <x v="2"/>
    <n v="1128299"/>
    <x v="112"/>
    <x v="0"/>
    <s v="Arizona"/>
    <s v="Phoenix"/>
    <s v="Online"/>
    <x v="1"/>
    <n v="50"/>
    <n v="39"/>
    <n v="1950"/>
    <n v="1131"/>
  </r>
  <r>
    <x v="2"/>
    <n v="1128299"/>
    <x v="112"/>
    <x v="0"/>
    <s v="Arizona"/>
    <s v="Phoenix"/>
    <s v="Outlet"/>
    <x v="0"/>
    <n v="37"/>
    <n v="90"/>
    <n v="3330"/>
    <n v="1864.8"/>
  </r>
  <r>
    <x v="2"/>
    <n v="1128299"/>
    <x v="112"/>
    <x v="0"/>
    <s v="Arizona"/>
    <s v="Phoenix"/>
    <s v="Online"/>
    <x v="4"/>
    <n v="48"/>
    <n v="130"/>
    <n v="6240"/>
    <n v="3432.0000000000005"/>
  </r>
  <r>
    <x v="3"/>
    <n v="1197831"/>
    <x v="112"/>
    <x v="2"/>
    <s v="Tennessee"/>
    <s v="Knoxville"/>
    <s v="Outlet"/>
    <x v="3"/>
    <n v="39"/>
    <n v="314"/>
    <n v="12246"/>
    <n v="6490.38"/>
  </r>
  <r>
    <x v="2"/>
    <n v="1128299"/>
    <x v="112"/>
    <x v="0"/>
    <s v="Arizona"/>
    <s v="Phoenix"/>
    <s v="Online"/>
    <x v="0"/>
    <n v="53"/>
    <n v="90"/>
    <n v="4770"/>
    <n v="2385"/>
  </r>
  <r>
    <x v="2"/>
    <n v="1128299"/>
    <x v="112"/>
    <x v="0"/>
    <s v="Arizona"/>
    <s v="Phoenix"/>
    <s v="Online"/>
    <x v="3"/>
    <n v="50"/>
    <n v="102"/>
    <n v="5100"/>
    <n v="2550"/>
  </r>
  <r>
    <x v="2"/>
    <n v="1128299"/>
    <x v="112"/>
    <x v="0"/>
    <s v="Arizona"/>
    <s v="Phoenix"/>
    <s v="Online"/>
    <x v="5"/>
    <n v="46"/>
    <n v="75"/>
    <n v="3450"/>
    <n v="1725"/>
  </r>
  <r>
    <x v="3"/>
    <n v="1197831"/>
    <x v="112"/>
    <x v="2"/>
    <s v="Tennessee"/>
    <s v="Knoxville"/>
    <s v="Online"/>
    <x v="3"/>
    <n v="46"/>
    <n v="285"/>
    <n v="13110"/>
    <n v="5244"/>
  </r>
  <r>
    <x v="1"/>
    <n v="1189833"/>
    <x v="112"/>
    <x v="0"/>
    <s v="California"/>
    <s v="Los Angeles"/>
    <s v="Outlet"/>
    <x v="1"/>
    <n v="39"/>
    <n v="165"/>
    <n v="6435"/>
    <n v="2573.9999999999995"/>
  </r>
  <r>
    <x v="1"/>
    <n v="1189833"/>
    <x v="112"/>
    <x v="0"/>
    <s v="California"/>
    <s v="Los Angeles"/>
    <s v="Online"/>
    <x v="1"/>
    <n v="45"/>
    <n v="125"/>
    <n v="5625"/>
    <n v="1743.7499999999995"/>
  </r>
  <r>
    <x v="1"/>
    <n v="1189833"/>
    <x v="113"/>
    <x v="0"/>
    <s v="California"/>
    <s v="Los Angeles"/>
    <s v="Outlet"/>
    <x v="2"/>
    <n v="65"/>
    <n v="800"/>
    <n v="52000"/>
    <n v="41600"/>
  </r>
  <r>
    <x v="2"/>
    <n v="1128299"/>
    <x v="113"/>
    <x v="3"/>
    <s v="Virginia"/>
    <s v="Richmond"/>
    <s v="In-store"/>
    <x v="2"/>
    <n v="65.000000000000014"/>
    <n v="300"/>
    <n v="19500.000000000004"/>
    <n v="13650.000000000004"/>
  </r>
  <r>
    <x v="0"/>
    <n v="1128299"/>
    <x v="113"/>
    <x v="0"/>
    <s v="Oregon"/>
    <s v="Portland"/>
    <s v="In-store"/>
    <x v="2"/>
    <n v="65.000000000000014"/>
    <n v="300"/>
    <n v="19500.000000000004"/>
    <n v="13650.000000000004"/>
  </r>
  <r>
    <x v="2"/>
    <n v="1128299"/>
    <x v="113"/>
    <x v="3"/>
    <s v="Virginia"/>
    <s v="Richmond"/>
    <s v="In-store"/>
    <x v="0"/>
    <n v="60.000000000000007"/>
    <n v="275"/>
    <n v="16500.000000000004"/>
    <n v="10725.000000000004"/>
  </r>
  <r>
    <x v="2"/>
    <n v="1128299"/>
    <x v="113"/>
    <x v="3"/>
    <s v="Virginia"/>
    <s v="Richmond"/>
    <s v="In-store"/>
    <x v="3"/>
    <n v="60.000000000000007"/>
    <n v="325"/>
    <n v="19500.000000000004"/>
    <n v="12675.000000000004"/>
  </r>
  <r>
    <x v="2"/>
    <n v="1128299"/>
    <x v="113"/>
    <x v="3"/>
    <s v="Virginia"/>
    <s v="Richmond"/>
    <s v="In-store"/>
    <x v="5"/>
    <n v="45.000000000000007"/>
    <n v="225"/>
    <n v="10125.000000000002"/>
    <n v="6581.2500000000018"/>
  </r>
  <r>
    <x v="0"/>
    <n v="1128299"/>
    <x v="113"/>
    <x v="0"/>
    <s v="Oregon"/>
    <s v="Portland"/>
    <s v="In-store"/>
    <x v="0"/>
    <n v="60.000000000000007"/>
    <n v="275"/>
    <n v="16500.000000000004"/>
    <n v="10725.000000000004"/>
  </r>
  <r>
    <x v="0"/>
    <n v="1128299"/>
    <x v="113"/>
    <x v="0"/>
    <s v="Oregon"/>
    <s v="Portland"/>
    <s v="In-store"/>
    <x v="3"/>
    <n v="60.000000000000007"/>
    <n v="325"/>
    <n v="19500.000000000004"/>
    <n v="12675.000000000004"/>
  </r>
  <r>
    <x v="0"/>
    <n v="1128299"/>
    <x v="113"/>
    <x v="0"/>
    <s v="Oregon"/>
    <s v="Portland"/>
    <s v="In-store"/>
    <x v="5"/>
    <n v="45.000000000000007"/>
    <n v="225"/>
    <n v="10125.000000000002"/>
    <n v="6581.2500000000018"/>
  </r>
  <r>
    <x v="2"/>
    <n v="1128299"/>
    <x v="113"/>
    <x v="3"/>
    <s v="Virginia"/>
    <s v="Richmond"/>
    <s v="In-store"/>
    <x v="4"/>
    <n v="55.000000000000007"/>
    <n v="475"/>
    <n v="26125.000000000004"/>
    <n v="16981.250000000004"/>
  </r>
  <r>
    <x v="0"/>
    <n v="1128299"/>
    <x v="113"/>
    <x v="0"/>
    <s v="Oregon"/>
    <s v="Portland"/>
    <s v="In-store"/>
    <x v="4"/>
    <n v="55.000000000000007"/>
    <n v="475"/>
    <n v="26125.000000000004"/>
    <n v="16981.250000000004"/>
  </r>
  <r>
    <x v="2"/>
    <n v="1128299"/>
    <x v="113"/>
    <x v="3"/>
    <s v="Virginia"/>
    <s v="Richmond"/>
    <s v="In-store"/>
    <x v="1"/>
    <n v="50.000000000000014"/>
    <n v="125"/>
    <n v="6250.0000000000018"/>
    <n v="3750.0000000000009"/>
  </r>
  <r>
    <x v="0"/>
    <n v="1128299"/>
    <x v="113"/>
    <x v="0"/>
    <s v="Oregon"/>
    <s v="Portland"/>
    <s v="In-store"/>
    <x v="1"/>
    <n v="50.000000000000014"/>
    <n v="125"/>
    <n v="6250.0000000000018"/>
    <n v="3750.0000000000009"/>
  </r>
  <r>
    <x v="3"/>
    <n v="1197831"/>
    <x v="113"/>
    <x v="2"/>
    <s v="Tennessee"/>
    <s v="Knoxville"/>
    <s v="Outlet"/>
    <x v="5"/>
    <n v="45"/>
    <n v="475"/>
    <n v="21375"/>
    <n v="9618.7499999999982"/>
  </r>
  <r>
    <x v="1"/>
    <n v="1189833"/>
    <x v="113"/>
    <x v="0"/>
    <s v="California"/>
    <s v="Los Angeles"/>
    <s v="Outlet"/>
    <x v="2"/>
    <n v="48"/>
    <n v="264"/>
    <n v="12672"/>
    <n v="9884.16"/>
  </r>
  <r>
    <x v="1"/>
    <n v="1189833"/>
    <x v="113"/>
    <x v="0"/>
    <s v="California"/>
    <s v="Los Angeles"/>
    <s v="Online"/>
    <x v="2"/>
    <n v="60"/>
    <n v="200"/>
    <n v="12000"/>
    <n v="8280"/>
  </r>
  <r>
    <x v="0"/>
    <n v="1128299"/>
    <x v="113"/>
    <x v="0"/>
    <s v="Oregon"/>
    <s v="Portland"/>
    <s v="Outlet"/>
    <x v="2"/>
    <n v="49"/>
    <n v="90"/>
    <n v="4410"/>
    <n v="2910.6000000000004"/>
  </r>
  <r>
    <x v="2"/>
    <n v="1128299"/>
    <x v="113"/>
    <x v="3"/>
    <s v="Virginia"/>
    <s v="Richmond"/>
    <s v="Outlet"/>
    <x v="2"/>
    <n v="47"/>
    <n v="90"/>
    <n v="4230"/>
    <n v="2707.2"/>
  </r>
  <r>
    <x v="0"/>
    <n v="1128299"/>
    <x v="113"/>
    <x v="0"/>
    <s v="Oregon"/>
    <s v="Portland"/>
    <s v="Outlet"/>
    <x v="5"/>
    <n v="34"/>
    <n v="70"/>
    <n v="2380"/>
    <n v="1499.4"/>
  </r>
  <r>
    <x v="2"/>
    <n v="1128299"/>
    <x v="113"/>
    <x v="3"/>
    <s v="Virginia"/>
    <s v="Richmond"/>
    <s v="Outlet"/>
    <x v="4"/>
    <n v="38"/>
    <n v="147"/>
    <n v="5586"/>
    <n v="3519.18"/>
  </r>
  <r>
    <x v="2"/>
    <n v="1128299"/>
    <x v="113"/>
    <x v="3"/>
    <s v="Virginia"/>
    <s v="Richmond"/>
    <s v="Outlet"/>
    <x v="3"/>
    <n v="41"/>
    <n v="114"/>
    <n v="4674"/>
    <n v="2944.62"/>
  </r>
  <r>
    <x v="0"/>
    <n v="1128299"/>
    <x v="113"/>
    <x v="0"/>
    <s v="Oregon"/>
    <s v="Portland"/>
    <s v="Outlet"/>
    <x v="4"/>
    <n v="44"/>
    <n v="166"/>
    <n v="7304"/>
    <n v="4455.4400000000005"/>
  </r>
  <r>
    <x v="2"/>
    <n v="1128299"/>
    <x v="113"/>
    <x v="3"/>
    <s v="Virginia"/>
    <s v="Richmond"/>
    <s v="Outlet"/>
    <x v="0"/>
    <n v="44"/>
    <n v="85"/>
    <n v="3740"/>
    <n v="2206.6000000000004"/>
  </r>
  <r>
    <x v="0"/>
    <n v="1128299"/>
    <x v="113"/>
    <x v="0"/>
    <s v="Oregon"/>
    <s v="Portland"/>
    <s v="Outlet"/>
    <x v="0"/>
    <n v="39"/>
    <n v="88"/>
    <n v="3432"/>
    <n v="2024.88"/>
  </r>
  <r>
    <x v="0"/>
    <n v="1128299"/>
    <x v="113"/>
    <x v="0"/>
    <s v="Oregon"/>
    <s v="Portland"/>
    <s v="Outlet"/>
    <x v="3"/>
    <n v="47"/>
    <n v="114"/>
    <n v="5358"/>
    <n v="3161.2200000000003"/>
  </r>
  <r>
    <x v="2"/>
    <n v="1128299"/>
    <x v="113"/>
    <x v="3"/>
    <s v="Virginia"/>
    <s v="Richmond"/>
    <s v="Outlet"/>
    <x v="5"/>
    <n v="32"/>
    <n v="68"/>
    <n v="2176"/>
    <n v="1262.08"/>
  </r>
  <r>
    <x v="0"/>
    <n v="1128299"/>
    <x v="113"/>
    <x v="0"/>
    <s v="Oregon"/>
    <s v="Portland"/>
    <s v="Outlet"/>
    <x v="1"/>
    <n v="36"/>
    <n v="39"/>
    <n v="1404"/>
    <n v="814.31999999999994"/>
  </r>
  <r>
    <x v="2"/>
    <n v="1128299"/>
    <x v="113"/>
    <x v="3"/>
    <s v="Virginia"/>
    <s v="Richmond"/>
    <s v="Outlet"/>
    <x v="1"/>
    <n v="40"/>
    <n v="40"/>
    <n v="1600"/>
    <n v="927.99999999999989"/>
  </r>
  <r>
    <x v="2"/>
    <n v="1128299"/>
    <x v="113"/>
    <x v="3"/>
    <s v="Virginia"/>
    <s v="Richmond"/>
    <s v="Online"/>
    <x v="2"/>
    <n v="64"/>
    <n v="78"/>
    <n v="4992"/>
    <n v="2795.52"/>
  </r>
  <r>
    <x v="0"/>
    <n v="1128299"/>
    <x v="113"/>
    <x v="0"/>
    <s v="Oregon"/>
    <s v="Portland"/>
    <s v="Online"/>
    <x v="2"/>
    <n v="59"/>
    <n v="84"/>
    <n v="4956"/>
    <n v="2725.8"/>
  </r>
  <r>
    <x v="0"/>
    <n v="1128299"/>
    <x v="113"/>
    <x v="0"/>
    <s v="Oregon"/>
    <s v="Portland"/>
    <s v="Online"/>
    <x v="4"/>
    <n v="51"/>
    <n v="124"/>
    <n v="6324"/>
    <n v="3414.96"/>
  </r>
  <r>
    <x v="2"/>
    <n v="1128299"/>
    <x v="113"/>
    <x v="3"/>
    <s v="Virginia"/>
    <s v="Richmond"/>
    <s v="Online"/>
    <x v="5"/>
    <n v="42"/>
    <n v="56"/>
    <n v="2352"/>
    <n v="1246.5600000000002"/>
  </r>
  <r>
    <x v="2"/>
    <n v="1128299"/>
    <x v="113"/>
    <x v="3"/>
    <s v="Virginia"/>
    <s v="Richmond"/>
    <s v="Online"/>
    <x v="4"/>
    <n v="52"/>
    <n v="124"/>
    <n v="6448"/>
    <n v="3352.96"/>
  </r>
  <r>
    <x v="2"/>
    <n v="1128299"/>
    <x v="113"/>
    <x v="3"/>
    <s v="Virginia"/>
    <s v="Richmond"/>
    <s v="Online"/>
    <x v="0"/>
    <n v="59"/>
    <n v="69"/>
    <n v="4071"/>
    <n v="2116.92"/>
  </r>
  <r>
    <x v="0"/>
    <n v="1128299"/>
    <x v="113"/>
    <x v="0"/>
    <s v="Oregon"/>
    <s v="Portland"/>
    <s v="Online"/>
    <x v="3"/>
    <n v="55"/>
    <n v="85"/>
    <n v="4675"/>
    <n v="2431"/>
  </r>
  <r>
    <x v="0"/>
    <n v="1128299"/>
    <x v="113"/>
    <x v="0"/>
    <s v="Oregon"/>
    <s v="Portland"/>
    <s v="Online"/>
    <x v="0"/>
    <n v="54"/>
    <n v="83"/>
    <n v="4482"/>
    <n v="2285.8200000000002"/>
  </r>
  <r>
    <x v="2"/>
    <n v="1128299"/>
    <x v="113"/>
    <x v="3"/>
    <s v="Virginia"/>
    <s v="Richmond"/>
    <s v="Online"/>
    <x v="3"/>
    <n v="57"/>
    <n v="85"/>
    <n v="4845"/>
    <n v="2470.9499999999998"/>
  </r>
  <r>
    <x v="0"/>
    <n v="1128299"/>
    <x v="113"/>
    <x v="0"/>
    <s v="Oregon"/>
    <s v="Portland"/>
    <s v="Online"/>
    <x v="5"/>
    <n v="41"/>
    <n v="63"/>
    <n v="2583"/>
    <n v="1291.5"/>
  </r>
  <r>
    <x v="0"/>
    <n v="1128299"/>
    <x v="113"/>
    <x v="0"/>
    <s v="Oregon"/>
    <s v="Portland"/>
    <s v="Online"/>
    <x v="1"/>
    <n v="48"/>
    <n v="36"/>
    <n v="1728"/>
    <n v="864"/>
  </r>
  <r>
    <x v="2"/>
    <n v="1128299"/>
    <x v="113"/>
    <x v="3"/>
    <s v="Virginia"/>
    <s v="Richmond"/>
    <s v="Online"/>
    <x v="1"/>
    <n v="49"/>
    <n v="35"/>
    <n v="1715"/>
    <n v="840.35"/>
  </r>
  <r>
    <x v="3"/>
    <n v="1197831"/>
    <x v="113"/>
    <x v="2"/>
    <s v="Tennessee"/>
    <s v="Knoxville"/>
    <s v="Outlet"/>
    <x v="5"/>
    <n v="32"/>
    <n v="162"/>
    <n v="5184"/>
    <n v="2125.4399999999996"/>
  </r>
  <r>
    <x v="3"/>
    <n v="1197831"/>
    <x v="113"/>
    <x v="2"/>
    <s v="Tennessee"/>
    <s v="Knoxville"/>
    <s v="Online"/>
    <x v="5"/>
    <n v="42"/>
    <n v="133"/>
    <n v="5586"/>
    <n v="1731.6599999999999"/>
  </r>
  <r>
    <x v="1"/>
    <n v="1189833"/>
    <x v="114"/>
    <x v="0"/>
    <s v="California"/>
    <s v="Los Angeles"/>
    <s v="Outlet"/>
    <x v="4"/>
    <n v="45"/>
    <n v="950"/>
    <n v="42750"/>
    <n v="25650"/>
  </r>
  <r>
    <x v="3"/>
    <n v="1197831"/>
    <x v="114"/>
    <x v="2"/>
    <s v="Tennessee"/>
    <s v="Knoxville"/>
    <s v="Outlet"/>
    <x v="1"/>
    <n v="50"/>
    <n v="475"/>
    <n v="23750"/>
    <n v="14250"/>
  </r>
  <r>
    <x v="3"/>
    <n v="1197831"/>
    <x v="114"/>
    <x v="2"/>
    <s v="Tennessee"/>
    <s v="Knoxville"/>
    <s v="Outlet"/>
    <x v="1"/>
    <n v="35"/>
    <n v="143"/>
    <n v="5005"/>
    <n v="2752.75"/>
  </r>
  <r>
    <x v="1"/>
    <n v="1189833"/>
    <x v="114"/>
    <x v="0"/>
    <s v="California"/>
    <s v="Los Angeles"/>
    <s v="Outlet"/>
    <x v="4"/>
    <n v="30"/>
    <n v="285"/>
    <n v="8550"/>
    <n v="4531.5"/>
  </r>
  <r>
    <x v="1"/>
    <n v="1189833"/>
    <x v="114"/>
    <x v="0"/>
    <s v="California"/>
    <s v="Los Angeles"/>
    <s v="Online"/>
    <x v="4"/>
    <n v="41"/>
    <n v="238"/>
    <n v="9758"/>
    <n v="4781.42"/>
  </r>
  <r>
    <x v="3"/>
    <n v="1197831"/>
    <x v="114"/>
    <x v="2"/>
    <s v="Tennessee"/>
    <s v="Knoxville"/>
    <s v="Online"/>
    <x v="1"/>
    <n v="49"/>
    <n v="133"/>
    <n v="6517"/>
    <n v="3062.99"/>
  </r>
  <r>
    <x v="1"/>
    <n v="1128299"/>
    <x v="115"/>
    <x v="0"/>
    <s v="New Mexico"/>
    <s v="Albuquerque"/>
    <s v="Online"/>
    <x v="2"/>
    <n v="75.000000000000014"/>
    <n v="375"/>
    <n v="28125.000000000004"/>
    <n v="21093.750000000007"/>
  </r>
  <r>
    <x v="1"/>
    <n v="1189833"/>
    <x v="115"/>
    <x v="0"/>
    <s v="California"/>
    <s v="Los Angeles"/>
    <s v="Outlet"/>
    <x v="0"/>
    <n v="50"/>
    <n v="800"/>
    <n v="40000"/>
    <n v="30000"/>
  </r>
  <r>
    <x v="1"/>
    <n v="1128299"/>
    <x v="115"/>
    <x v="0"/>
    <s v="New Mexico"/>
    <s v="Albuquerque"/>
    <s v="Online"/>
    <x v="1"/>
    <n v="60.000000000000007"/>
    <n v="200"/>
    <n v="12000.000000000002"/>
    <n v="8400.0000000000018"/>
  </r>
  <r>
    <x v="1"/>
    <n v="1128299"/>
    <x v="115"/>
    <x v="0"/>
    <s v="New Mexico"/>
    <s v="Albuquerque"/>
    <s v="Online"/>
    <x v="4"/>
    <n v="55.000000000000007"/>
    <n v="550"/>
    <n v="30250.000000000004"/>
    <n v="19662.500000000007"/>
  </r>
  <r>
    <x v="1"/>
    <n v="1128299"/>
    <x v="115"/>
    <x v="0"/>
    <s v="New Mexico"/>
    <s v="Albuquerque"/>
    <s v="Online"/>
    <x v="5"/>
    <n v="55.000000000000007"/>
    <n v="300"/>
    <n v="16500.000000000004"/>
    <n v="10725.000000000004"/>
  </r>
  <r>
    <x v="1"/>
    <n v="1128299"/>
    <x v="115"/>
    <x v="0"/>
    <s v="New Mexico"/>
    <s v="Albuquerque"/>
    <s v="Online"/>
    <x v="3"/>
    <n v="60.000000000000007"/>
    <n v="400"/>
    <n v="24000.000000000004"/>
    <n v="15600.000000000004"/>
  </r>
  <r>
    <x v="1"/>
    <n v="1128299"/>
    <x v="115"/>
    <x v="0"/>
    <s v="New Mexico"/>
    <s v="Albuquerque"/>
    <s v="Online"/>
    <x v="0"/>
    <n v="60.000000000000007"/>
    <n v="350"/>
    <n v="21000.000000000004"/>
    <n v="12600.000000000002"/>
  </r>
  <r>
    <x v="3"/>
    <n v="1197831"/>
    <x v="115"/>
    <x v="2"/>
    <s v="Tennessee"/>
    <s v="Knoxville"/>
    <s v="Outlet"/>
    <x v="2"/>
    <n v="54.999999999999993"/>
    <n v="725"/>
    <n v="39874.999999999993"/>
    <n v="15949.999999999995"/>
  </r>
  <r>
    <x v="1"/>
    <n v="1128299"/>
    <x v="115"/>
    <x v="0"/>
    <s v="New Mexico"/>
    <s v="Albuquerque"/>
    <s v="Outlet"/>
    <x v="2"/>
    <n v="56"/>
    <n v="116"/>
    <n v="6496"/>
    <n v="4677.12"/>
  </r>
  <r>
    <x v="1"/>
    <n v="1189833"/>
    <x v="115"/>
    <x v="0"/>
    <s v="California"/>
    <s v="Los Angeles"/>
    <s v="Outlet"/>
    <x v="0"/>
    <n v="37"/>
    <n v="272"/>
    <n v="10064"/>
    <n v="7145.4400000000005"/>
  </r>
  <r>
    <x v="1"/>
    <n v="1128299"/>
    <x v="115"/>
    <x v="0"/>
    <s v="New Mexico"/>
    <s v="Albuquerque"/>
    <s v="Outlet"/>
    <x v="1"/>
    <n v="46"/>
    <n v="60"/>
    <n v="2760"/>
    <n v="1794"/>
  </r>
  <r>
    <x v="1"/>
    <n v="1189833"/>
    <x v="115"/>
    <x v="0"/>
    <s v="California"/>
    <s v="Los Angeles"/>
    <s v="Online"/>
    <x v="0"/>
    <n v="46"/>
    <n v="216"/>
    <n v="9936"/>
    <n v="6160.32"/>
  </r>
  <r>
    <x v="1"/>
    <n v="1128299"/>
    <x v="115"/>
    <x v="0"/>
    <s v="New Mexico"/>
    <s v="Albuquerque"/>
    <s v="Online"/>
    <x v="2"/>
    <n v="69"/>
    <n v="101"/>
    <n v="6969"/>
    <n v="4320.78"/>
  </r>
  <r>
    <x v="1"/>
    <n v="1128299"/>
    <x v="115"/>
    <x v="0"/>
    <s v="New Mexico"/>
    <s v="Albuquerque"/>
    <s v="Outlet"/>
    <x v="5"/>
    <n v="37"/>
    <n v="96"/>
    <n v="3552"/>
    <n v="2166.7200000000003"/>
  </r>
  <r>
    <x v="1"/>
    <n v="1128299"/>
    <x v="115"/>
    <x v="0"/>
    <s v="New Mexico"/>
    <s v="Albuquerque"/>
    <s v="Online"/>
    <x v="1"/>
    <n v="56"/>
    <n v="58"/>
    <n v="3248"/>
    <n v="1916.3200000000002"/>
  </r>
  <r>
    <x v="1"/>
    <n v="1128299"/>
    <x v="115"/>
    <x v="0"/>
    <s v="New Mexico"/>
    <s v="Albuquerque"/>
    <s v="Outlet"/>
    <x v="4"/>
    <n v="41"/>
    <n v="165"/>
    <n v="6765"/>
    <n v="3923.7000000000003"/>
  </r>
  <r>
    <x v="1"/>
    <n v="1128299"/>
    <x v="115"/>
    <x v="0"/>
    <s v="New Mexico"/>
    <s v="Albuquerque"/>
    <s v="Outlet"/>
    <x v="3"/>
    <n v="44"/>
    <n v="140"/>
    <n v="6160"/>
    <n v="3572.8"/>
  </r>
  <r>
    <x v="1"/>
    <n v="1128299"/>
    <x v="115"/>
    <x v="0"/>
    <s v="New Mexico"/>
    <s v="Albuquerque"/>
    <s v="Online"/>
    <x v="4"/>
    <n v="51"/>
    <n v="154"/>
    <n v="7854"/>
    <n v="4319.7000000000007"/>
  </r>
  <r>
    <x v="1"/>
    <n v="1128299"/>
    <x v="115"/>
    <x v="0"/>
    <s v="New Mexico"/>
    <s v="Albuquerque"/>
    <s v="Online"/>
    <x v="5"/>
    <n v="54"/>
    <n v="87"/>
    <n v="4698"/>
    <n v="2536.92"/>
  </r>
  <r>
    <x v="1"/>
    <n v="1128299"/>
    <x v="115"/>
    <x v="0"/>
    <s v="New Mexico"/>
    <s v="Albuquerque"/>
    <s v="Outlet"/>
    <x v="0"/>
    <n v="43"/>
    <n v="109"/>
    <n v="4687"/>
    <n v="2530.98"/>
  </r>
  <r>
    <x v="1"/>
    <n v="1128299"/>
    <x v="115"/>
    <x v="0"/>
    <s v="New Mexico"/>
    <s v="Albuquerque"/>
    <s v="Online"/>
    <x v="0"/>
    <n v="59"/>
    <n v="98"/>
    <n v="5782"/>
    <n v="2891"/>
  </r>
  <r>
    <x v="1"/>
    <n v="1128299"/>
    <x v="115"/>
    <x v="0"/>
    <s v="New Mexico"/>
    <s v="Albuquerque"/>
    <s v="Online"/>
    <x v="3"/>
    <n v="55"/>
    <n v="116"/>
    <n v="6380"/>
    <n v="3190"/>
  </r>
  <r>
    <x v="3"/>
    <n v="1197831"/>
    <x v="115"/>
    <x v="2"/>
    <s v="Tennessee"/>
    <s v="Knoxville"/>
    <s v="Outlet"/>
    <x v="2"/>
    <n v="40"/>
    <n v="232"/>
    <n v="9280"/>
    <n v="3062.3999999999987"/>
  </r>
  <r>
    <x v="3"/>
    <n v="1197831"/>
    <x v="115"/>
    <x v="2"/>
    <s v="Tennessee"/>
    <s v="Knoxville"/>
    <s v="Online"/>
    <x v="2"/>
    <n v="53"/>
    <n v="181"/>
    <n v="9593"/>
    <n v="2781.9699999999993"/>
  </r>
  <r>
    <x v="1"/>
    <n v="1189833"/>
    <x v="116"/>
    <x v="0"/>
    <s v="California"/>
    <s v="Los Angeles"/>
    <s v="Outlet"/>
    <x v="3"/>
    <n v="50"/>
    <n v="750"/>
    <n v="37500"/>
    <n v="22500"/>
  </r>
  <r>
    <x v="3"/>
    <n v="1197831"/>
    <x v="116"/>
    <x v="2"/>
    <s v="Tennessee"/>
    <s v="Knoxville"/>
    <s v="Outlet"/>
    <x v="4"/>
    <n v="50"/>
    <n v="675"/>
    <n v="33750"/>
    <n v="18562.500000000004"/>
  </r>
  <r>
    <x v="1"/>
    <n v="1189833"/>
    <x v="116"/>
    <x v="0"/>
    <s v="California"/>
    <s v="Los Angeles"/>
    <s v="Outlet"/>
    <x v="3"/>
    <n v="33"/>
    <n v="240"/>
    <n v="7920"/>
    <n v="4276.7999999999993"/>
  </r>
  <r>
    <x v="3"/>
    <n v="1197831"/>
    <x v="116"/>
    <x v="2"/>
    <s v="Tennessee"/>
    <s v="Knoxville"/>
    <s v="Outlet"/>
    <x v="4"/>
    <n v="40"/>
    <n v="209"/>
    <n v="8360"/>
    <n v="4180.0000000000009"/>
  </r>
  <r>
    <x v="1"/>
    <n v="1189833"/>
    <x v="116"/>
    <x v="0"/>
    <s v="California"/>
    <s v="Los Angeles"/>
    <s v="Online"/>
    <x v="3"/>
    <n v="47"/>
    <n v="218"/>
    <n v="10246"/>
    <n v="4918.08"/>
  </r>
  <r>
    <x v="3"/>
    <n v="1197831"/>
    <x v="116"/>
    <x v="2"/>
    <s v="Tennessee"/>
    <s v="Knoxville"/>
    <s v="Online"/>
    <x v="4"/>
    <n v="49"/>
    <n v="182"/>
    <n v="8918"/>
    <n v="3567.2"/>
  </r>
  <r>
    <x v="1"/>
    <n v="1189833"/>
    <x v="117"/>
    <x v="0"/>
    <s v="California"/>
    <s v="Los Angeles"/>
    <s v="Outlet"/>
    <x v="5"/>
    <n v="45"/>
    <n v="650"/>
    <n v="29250"/>
    <n v="19012.5"/>
  </r>
  <r>
    <x v="3"/>
    <n v="1197831"/>
    <x v="117"/>
    <x v="2"/>
    <s v="Tennessee"/>
    <s v="Knoxville"/>
    <s v="Outlet"/>
    <x v="0"/>
    <n v="50"/>
    <n v="625"/>
    <n v="31250"/>
    <n v="17187.5"/>
  </r>
  <r>
    <x v="1"/>
    <n v="1189833"/>
    <x v="117"/>
    <x v="0"/>
    <s v="California"/>
    <s v="Los Angeles"/>
    <s v="Outlet"/>
    <x v="5"/>
    <n v="29"/>
    <n v="228"/>
    <n v="6612"/>
    <n v="3967.2000000000003"/>
  </r>
  <r>
    <x v="3"/>
    <n v="1197831"/>
    <x v="117"/>
    <x v="2"/>
    <s v="Tennessee"/>
    <s v="Knoxville"/>
    <s v="Outlet"/>
    <x v="0"/>
    <n v="33"/>
    <n v="213"/>
    <n v="7029"/>
    <n v="3725.3700000000003"/>
  </r>
  <r>
    <x v="1"/>
    <n v="1189833"/>
    <x v="117"/>
    <x v="0"/>
    <s v="California"/>
    <s v="Los Angeles"/>
    <s v="Online"/>
    <x v="5"/>
    <n v="44"/>
    <n v="189"/>
    <n v="8316"/>
    <n v="4324.32"/>
  </r>
  <r>
    <x v="3"/>
    <n v="1197831"/>
    <x v="117"/>
    <x v="2"/>
    <s v="Tennessee"/>
    <s v="Knoxville"/>
    <s v="Online"/>
    <x v="0"/>
    <n v="47"/>
    <n v="169"/>
    <n v="7943"/>
    <n v="3177.2"/>
  </r>
  <r>
    <x v="3"/>
    <n v="1197831"/>
    <x v="118"/>
    <x v="2"/>
    <s v="Tennessee"/>
    <s v="Knoxville"/>
    <s v="Outlet"/>
    <x v="3"/>
    <n v="54.999999999999993"/>
    <n v="675"/>
    <n v="37124.999999999993"/>
    <n v="20418.749999999996"/>
  </r>
  <r>
    <x v="1"/>
    <n v="1189833"/>
    <x v="118"/>
    <x v="0"/>
    <s v="California"/>
    <s v="Los Angeles"/>
    <s v="Outlet"/>
    <x v="1"/>
    <n v="50"/>
    <n v="700"/>
    <n v="35000"/>
    <n v="15749.999999999996"/>
  </r>
  <r>
    <x v="3"/>
    <n v="1197831"/>
    <x v="118"/>
    <x v="2"/>
    <s v="Tennessee"/>
    <s v="Knoxville"/>
    <s v="Outlet"/>
    <x v="3"/>
    <n v="40"/>
    <n v="203"/>
    <n v="8120"/>
    <n v="3978.8"/>
  </r>
  <r>
    <x v="3"/>
    <n v="1197831"/>
    <x v="118"/>
    <x v="2"/>
    <s v="Tennessee"/>
    <s v="Knoxville"/>
    <s v="Online"/>
    <x v="3"/>
    <n v="54"/>
    <n v="182"/>
    <n v="9828"/>
    <n v="4029.4800000000005"/>
  </r>
  <r>
    <x v="1"/>
    <n v="1189833"/>
    <x v="118"/>
    <x v="0"/>
    <s v="California"/>
    <s v="Los Angeles"/>
    <s v="Outlet"/>
    <x v="1"/>
    <n v="38"/>
    <n v="224"/>
    <n v="8512"/>
    <n v="3404.7999999999993"/>
  </r>
  <r>
    <x v="1"/>
    <n v="1189833"/>
    <x v="118"/>
    <x v="0"/>
    <s v="California"/>
    <s v="Los Angeles"/>
    <s v="Online"/>
    <x v="1"/>
    <n v="46"/>
    <n v="189"/>
    <n v="8694"/>
    <n v="2955.96"/>
  </r>
  <r>
    <x v="1"/>
    <n v="1189833"/>
    <x v="119"/>
    <x v="0"/>
    <s v="California"/>
    <s v="Los Angeles"/>
    <s v="Outlet"/>
    <x v="2"/>
    <n v="65"/>
    <n v="700"/>
    <n v="45500"/>
    <n v="36400"/>
  </r>
  <r>
    <x v="3"/>
    <n v="1197831"/>
    <x v="119"/>
    <x v="2"/>
    <s v="Tennessee"/>
    <s v="Knoxville"/>
    <s v="Outlet"/>
    <x v="5"/>
    <n v="54.999999999999993"/>
    <n v="400"/>
    <n v="21999.999999999996"/>
    <n v="9899.9999999999964"/>
  </r>
  <r>
    <x v="1"/>
    <n v="1189833"/>
    <x v="119"/>
    <x v="0"/>
    <s v="California"/>
    <s v="Los Angeles"/>
    <s v="Outlet"/>
    <x v="2"/>
    <n v="51"/>
    <n v="224"/>
    <n v="11424"/>
    <n v="8796.48"/>
  </r>
  <r>
    <x v="1"/>
    <n v="1189833"/>
    <x v="119"/>
    <x v="0"/>
    <s v="California"/>
    <s v="Los Angeles"/>
    <s v="Online"/>
    <x v="2"/>
    <n v="59"/>
    <n v="203"/>
    <n v="11977"/>
    <n v="8383.9"/>
  </r>
  <r>
    <x v="3"/>
    <n v="1197831"/>
    <x v="119"/>
    <x v="2"/>
    <s v="Tennessee"/>
    <s v="Knoxville"/>
    <s v="Outlet"/>
    <x v="5"/>
    <n v="40"/>
    <n v="136"/>
    <n v="5440"/>
    <n v="2339.1999999999998"/>
  </r>
  <r>
    <x v="3"/>
    <n v="1197831"/>
    <x v="119"/>
    <x v="2"/>
    <s v="Tennessee"/>
    <s v="Knoxville"/>
    <s v="Online"/>
    <x v="5"/>
    <n v="53"/>
    <n v="100"/>
    <n v="5300"/>
    <n v="1589.9999999999995"/>
  </r>
  <r>
    <x v="1"/>
    <n v="1189833"/>
    <x v="120"/>
    <x v="0"/>
    <s v="California"/>
    <s v="Los Angeles"/>
    <s v="Outlet"/>
    <x v="4"/>
    <n v="50"/>
    <n v="900"/>
    <n v="45000"/>
    <n v="27000"/>
  </r>
  <r>
    <x v="3"/>
    <n v="1197831"/>
    <x v="120"/>
    <x v="2"/>
    <s v="Tennessee"/>
    <s v="Knoxville"/>
    <s v="Outlet"/>
    <x v="1"/>
    <n v="50"/>
    <n v="400"/>
    <n v="20000"/>
    <n v="12000"/>
  </r>
  <r>
    <x v="3"/>
    <n v="1197831"/>
    <x v="120"/>
    <x v="2"/>
    <s v="Tennessee"/>
    <s v="Knoxville"/>
    <s v="Outlet"/>
    <x v="1"/>
    <n v="39"/>
    <n v="120"/>
    <n v="4680"/>
    <n v="2667.6000000000004"/>
  </r>
  <r>
    <x v="1"/>
    <n v="1189833"/>
    <x v="120"/>
    <x v="0"/>
    <s v="California"/>
    <s v="Los Angeles"/>
    <s v="Outlet"/>
    <x v="4"/>
    <n v="36"/>
    <n v="306"/>
    <n v="11016"/>
    <n v="6058.8"/>
  </r>
  <r>
    <x v="3"/>
    <n v="1197831"/>
    <x v="120"/>
    <x v="2"/>
    <s v="Tennessee"/>
    <s v="Knoxville"/>
    <s v="Online"/>
    <x v="1"/>
    <n v="47"/>
    <n v="120"/>
    <n v="5640"/>
    <n v="2763.6"/>
  </r>
  <r>
    <x v="1"/>
    <n v="1189833"/>
    <x v="120"/>
    <x v="0"/>
    <s v="California"/>
    <s v="Los Angeles"/>
    <s v="Online"/>
    <x v="4"/>
    <n v="47"/>
    <n v="252"/>
    <n v="11844"/>
    <n v="5685.12"/>
  </r>
  <r>
    <x v="1"/>
    <n v="1189833"/>
    <x v="121"/>
    <x v="0"/>
    <s v="California"/>
    <s v="Los Angeles"/>
    <s v="Outlet"/>
    <x v="0"/>
    <n v="55.000000000000007"/>
    <n v="850"/>
    <n v="46750.000000000007"/>
    <n v="35062.500000000007"/>
  </r>
  <r>
    <x v="3"/>
    <n v="1185732"/>
    <x v="121"/>
    <x v="3"/>
    <s v="North Carolina"/>
    <s v="Charlotte"/>
    <s v="Online"/>
    <x v="0"/>
    <n v="45"/>
    <n v="650"/>
    <n v="29250"/>
    <n v="19012.5"/>
  </r>
  <r>
    <x v="3"/>
    <n v="1185732"/>
    <x v="121"/>
    <x v="3"/>
    <s v="North Carolina"/>
    <s v="Charlotte"/>
    <s v="Online"/>
    <x v="1"/>
    <n v="49.999999999999993"/>
    <n v="600"/>
    <n v="29999.999999999996"/>
    <n v="19499.999999999996"/>
  </r>
  <r>
    <x v="3"/>
    <n v="1185732"/>
    <x v="121"/>
    <x v="3"/>
    <s v="North Carolina"/>
    <s v="Charlotte"/>
    <s v="Online"/>
    <x v="4"/>
    <n v="45"/>
    <n v="945"/>
    <n v="42525"/>
    <n v="25515"/>
  </r>
  <r>
    <x v="3"/>
    <n v="1185732"/>
    <x v="121"/>
    <x v="3"/>
    <s v="North Carolina"/>
    <s v="Charlotte"/>
    <s v="Online"/>
    <x v="3"/>
    <n v="40"/>
    <n v="625"/>
    <n v="25000"/>
    <n v="15000"/>
  </r>
  <r>
    <x v="3"/>
    <n v="1185732"/>
    <x v="121"/>
    <x v="3"/>
    <s v="North Carolina"/>
    <s v="Charlotte"/>
    <s v="Online"/>
    <x v="5"/>
    <n v="40"/>
    <n v="575"/>
    <n v="23000"/>
    <n v="13800"/>
  </r>
  <r>
    <x v="3"/>
    <n v="1185732"/>
    <x v="121"/>
    <x v="3"/>
    <s v="North Carolina"/>
    <s v="Charlotte"/>
    <s v="Online"/>
    <x v="2"/>
    <n v="54.999999999999993"/>
    <n v="700"/>
    <n v="38499.999999999993"/>
    <n v="19249.999999999996"/>
  </r>
  <r>
    <x v="3"/>
    <n v="1197831"/>
    <x v="121"/>
    <x v="2"/>
    <s v="Tennessee"/>
    <s v="Knoxville"/>
    <s v="Outlet"/>
    <x v="2"/>
    <n v="45"/>
    <n v="625"/>
    <n v="28125"/>
    <n v="11249.999999999996"/>
  </r>
  <r>
    <x v="1"/>
    <n v="1189833"/>
    <x v="121"/>
    <x v="0"/>
    <s v="California"/>
    <s v="Los Angeles"/>
    <s v="Outlet"/>
    <x v="0"/>
    <n v="41"/>
    <n v="264"/>
    <n v="10824"/>
    <n v="7468.5599999999995"/>
  </r>
  <r>
    <x v="1"/>
    <n v="1189833"/>
    <x v="121"/>
    <x v="0"/>
    <s v="California"/>
    <s v="Los Angeles"/>
    <s v="Online"/>
    <x v="0"/>
    <n v="51"/>
    <n v="221"/>
    <n v="11271"/>
    <n v="6762.5999999999995"/>
  </r>
  <r>
    <x v="3"/>
    <n v="1185732"/>
    <x v="121"/>
    <x v="3"/>
    <s v="North Carolina"/>
    <s v="Charlotte"/>
    <s v="Online"/>
    <x v="0"/>
    <n v="42"/>
    <n v="182"/>
    <n v="7644"/>
    <n v="4127.76"/>
  </r>
  <r>
    <x v="3"/>
    <n v="1185732"/>
    <x v="121"/>
    <x v="3"/>
    <s v="North Carolina"/>
    <s v="Charlotte"/>
    <s v="Online"/>
    <x v="1"/>
    <n v="46"/>
    <n v="150"/>
    <n v="6900"/>
    <n v="3519"/>
  </r>
  <r>
    <x v="3"/>
    <n v="1185732"/>
    <x v="121"/>
    <x v="3"/>
    <s v="North Carolina"/>
    <s v="Charlotte"/>
    <s v="Online"/>
    <x v="3"/>
    <n v="37"/>
    <n v="169"/>
    <n v="6253"/>
    <n v="2938.91"/>
  </r>
  <r>
    <x v="3"/>
    <n v="1185732"/>
    <x v="121"/>
    <x v="3"/>
    <s v="North Carolina"/>
    <s v="Charlotte"/>
    <s v="Online"/>
    <x v="5"/>
    <n v="38"/>
    <n v="150"/>
    <n v="5700"/>
    <n v="2622"/>
  </r>
  <r>
    <x v="3"/>
    <n v="1185732"/>
    <x v="121"/>
    <x v="3"/>
    <s v="North Carolina"/>
    <s v="Charlotte"/>
    <s v="Online"/>
    <x v="4"/>
    <n v="41"/>
    <n v="246"/>
    <n v="10086"/>
    <n v="4538.7"/>
  </r>
  <r>
    <x v="3"/>
    <n v="1185732"/>
    <x v="121"/>
    <x v="3"/>
    <s v="North Carolina"/>
    <s v="Charlotte"/>
    <s v="Online"/>
    <x v="2"/>
    <n v="51"/>
    <n v="203"/>
    <n v="10353"/>
    <n v="3934.1400000000003"/>
  </r>
  <r>
    <x v="3"/>
    <n v="1197831"/>
    <x v="121"/>
    <x v="2"/>
    <s v="Tennessee"/>
    <s v="Knoxville"/>
    <s v="Outlet"/>
    <x v="2"/>
    <n v="30"/>
    <n v="219"/>
    <n v="6570"/>
    <n v="2496.5999999999995"/>
  </r>
  <r>
    <x v="3"/>
    <n v="1197831"/>
    <x v="121"/>
    <x v="2"/>
    <s v="Tennessee"/>
    <s v="Knoxville"/>
    <s v="Online"/>
    <x v="2"/>
    <n v="42"/>
    <n v="163"/>
    <n v="6846"/>
    <n v="1779.9599999999991"/>
  </r>
  <r>
    <x v="3"/>
    <n v="1185732"/>
    <x v="122"/>
    <x v="4"/>
    <s v="Connecticut"/>
    <s v="Hartford"/>
    <s v="In-store"/>
    <x v="3"/>
    <n v="45"/>
    <n v="275"/>
    <n v="12375"/>
    <n v="8662.5"/>
  </r>
  <r>
    <x v="3"/>
    <n v="1185732"/>
    <x v="122"/>
    <x v="4"/>
    <s v="Connecticut"/>
    <s v="Hartford"/>
    <s v="In-store"/>
    <x v="5"/>
    <n v="45"/>
    <n v="225"/>
    <n v="10125"/>
    <n v="7087.5"/>
  </r>
  <r>
    <x v="3"/>
    <n v="1185732"/>
    <x v="122"/>
    <x v="4"/>
    <s v="Connecticut"/>
    <s v="Hartford"/>
    <s v="In-store"/>
    <x v="1"/>
    <n v="54.999999999999993"/>
    <n v="250"/>
    <n v="13749.999999999998"/>
    <n v="9624.9999999999964"/>
  </r>
  <r>
    <x v="3"/>
    <n v="1185732"/>
    <x v="122"/>
    <x v="4"/>
    <s v="Connecticut"/>
    <s v="Hartford"/>
    <s v="In-store"/>
    <x v="2"/>
    <n v="60"/>
    <n v="375"/>
    <n v="22500"/>
    <n v="14625"/>
  </r>
  <r>
    <x v="1"/>
    <n v="1189833"/>
    <x v="122"/>
    <x v="0"/>
    <s v="California"/>
    <s v="Los Angeles"/>
    <s v="Outlet"/>
    <x v="3"/>
    <n v="50"/>
    <n v="725"/>
    <n v="36250"/>
    <n v="21750"/>
  </r>
  <r>
    <x v="3"/>
    <n v="1185732"/>
    <x v="122"/>
    <x v="4"/>
    <s v="Connecticut"/>
    <s v="Hartford"/>
    <s v="In-store"/>
    <x v="0"/>
    <n v="50"/>
    <n v="250"/>
    <n v="12500"/>
    <n v="7500"/>
  </r>
  <r>
    <x v="3"/>
    <n v="1185732"/>
    <x v="122"/>
    <x v="4"/>
    <s v="Connecticut"/>
    <s v="Hartford"/>
    <s v="In-store"/>
    <x v="4"/>
    <n v="54.999999999999993"/>
    <n v="545"/>
    <n v="29974.999999999996"/>
    <n v="17984.999999999993"/>
  </r>
  <r>
    <x v="3"/>
    <n v="1197831"/>
    <x v="122"/>
    <x v="2"/>
    <s v="Tennessee"/>
    <s v="Knoxville"/>
    <s v="Outlet"/>
    <x v="4"/>
    <n v="35"/>
    <n v="575"/>
    <n v="20125"/>
    <n v="11068.750000000002"/>
  </r>
  <r>
    <x v="3"/>
    <n v="1185732"/>
    <x v="122"/>
    <x v="4"/>
    <s v="Connecticut"/>
    <s v="Hartford"/>
    <s v="Outlet"/>
    <x v="5"/>
    <n v="32"/>
    <n v="74"/>
    <n v="2368"/>
    <n v="1586.56"/>
  </r>
  <r>
    <x v="3"/>
    <n v="1185732"/>
    <x v="122"/>
    <x v="4"/>
    <s v="Connecticut"/>
    <s v="Hartford"/>
    <s v="Outlet"/>
    <x v="3"/>
    <n v="32"/>
    <n v="83"/>
    <n v="2656"/>
    <n v="1752.96"/>
  </r>
  <r>
    <x v="3"/>
    <n v="1185732"/>
    <x v="122"/>
    <x v="4"/>
    <s v="Connecticut"/>
    <s v="Hartford"/>
    <s v="Outlet"/>
    <x v="1"/>
    <n v="37"/>
    <n v="83"/>
    <n v="3071"/>
    <n v="1996.15"/>
  </r>
  <r>
    <x v="3"/>
    <n v="1185732"/>
    <x v="122"/>
    <x v="4"/>
    <s v="Connecticut"/>
    <s v="Hartford"/>
    <s v="Online"/>
    <x v="3"/>
    <n v="43"/>
    <n v="74"/>
    <n v="3182"/>
    <n v="1909.1999999999998"/>
  </r>
  <r>
    <x v="3"/>
    <n v="1185732"/>
    <x v="122"/>
    <x v="4"/>
    <s v="Connecticut"/>
    <s v="Hartford"/>
    <s v="Online"/>
    <x v="5"/>
    <n v="44"/>
    <n v="63"/>
    <n v="2772"/>
    <n v="1635.48"/>
  </r>
  <r>
    <x v="3"/>
    <n v="1185732"/>
    <x v="122"/>
    <x v="4"/>
    <s v="Connecticut"/>
    <s v="Hartford"/>
    <s v="Outlet"/>
    <x v="2"/>
    <n v="41"/>
    <n v="128"/>
    <n v="5248"/>
    <n v="3043.84"/>
  </r>
  <r>
    <x v="1"/>
    <n v="1189833"/>
    <x v="122"/>
    <x v="0"/>
    <s v="California"/>
    <s v="Los Angeles"/>
    <s v="Outlet"/>
    <x v="3"/>
    <n v="34"/>
    <n v="232"/>
    <n v="7888"/>
    <n v="4417.2800000000007"/>
  </r>
  <r>
    <x v="3"/>
    <n v="1185732"/>
    <x v="122"/>
    <x v="4"/>
    <s v="Connecticut"/>
    <s v="Hartford"/>
    <s v="Online"/>
    <x v="1"/>
    <n v="50"/>
    <n v="70"/>
    <n v="3500"/>
    <n v="1960"/>
  </r>
  <r>
    <x v="3"/>
    <n v="1185732"/>
    <x v="122"/>
    <x v="4"/>
    <s v="Connecticut"/>
    <s v="Hartford"/>
    <s v="Outlet"/>
    <x v="0"/>
    <n v="35"/>
    <n v="83"/>
    <n v="2905"/>
    <n v="1626.8"/>
  </r>
  <r>
    <x v="3"/>
    <n v="1185732"/>
    <x v="122"/>
    <x v="4"/>
    <s v="Connecticut"/>
    <s v="Hartford"/>
    <s v="Outlet"/>
    <x v="4"/>
    <n v="40"/>
    <n v="191"/>
    <n v="7640"/>
    <n v="4278.3999999999996"/>
  </r>
  <r>
    <x v="3"/>
    <n v="1185732"/>
    <x v="122"/>
    <x v="4"/>
    <s v="Connecticut"/>
    <s v="Hartford"/>
    <s v="Online"/>
    <x v="2"/>
    <n v="55"/>
    <n v="113"/>
    <n v="6215"/>
    <n v="3169.65"/>
  </r>
  <r>
    <x v="1"/>
    <n v="1189833"/>
    <x v="122"/>
    <x v="0"/>
    <s v="California"/>
    <s v="Los Angeles"/>
    <s v="Online"/>
    <x v="3"/>
    <n v="48"/>
    <n v="218"/>
    <n v="10464"/>
    <n v="5127.3599999999997"/>
  </r>
  <r>
    <x v="3"/>
    <n v="1185732"/>
    <x v="122"/>
    <x v="4"/>
    <s v="Connecticut"/>
    <s v="Hartford"/>
    <s v="Online"/>
    <x v="4"/>
    <n v="54"/>
    <n v="142"/>
    <n v="7668"/>
    <n v="3757.3199999999997"/>
  </r>
  <r>
    <x v="3"/>
    <n v="1197831"/>
    <x v="122"/>
    <x v="2"/>
    <s v="Tennessee"/>
    <s v="Knoxville"/>
    <s v="Outlet"/>
    <x v="4"/>
    <n v="28"/>
    <n v="201"/>
    <n v="5628"/>
    <n v="2701.44"/>
  </r>
  <r>
    <x v="3"/>
    <n v="1185732"/>
    <x v="122"/>
    <x v="4"/>
    <s v="Connecticut"/>
    <s v="Hartford"/>
    <s v="Online"/>
    <x v="0"/>
    <n v="48"/>
    <n v="73"/>
    <n v="3504"/>
    <n v="1646.8799999999999"/>
  </r>
  <r>
    <x v="3"/>
    <n v="1197831"/>
    <x v="122"/>
    <x v="2"/>
    <s v="Tennessee"/>
    <s v="Knoxville"/>
    <s v="Online"/>
    <x v="4"/>
    <n v="33"/>
    <n v="173"/>
    <n v="5709"/>
    <n v="2454.8700000000003"/>
  </r>
  <r>
    <x v="0"/>
    <n v="1185732"/>
    <x v="123"/>
    <x v="1"/>
    <s v="Wisconsin"/>
    <s v="Milwaukee"/>
    <s v="In-store"/>
    <x v="4"/>
    <n v="60"/>
    <n v="495"/>
    <n v="29700"/>
    <n v="20790"/>
  </r>
  <r>
    <x v="0"/>
    <n v="1185732"/>
    <x v="123"/>
    <x v="1"/>
    <s v="Wisconsin"/>
    <s v="Milwaukee"/>
    <s v="In-store"/>
    <x v="3"/>
    <n v="35"/>
    <n v="175"/>
    <n v="6125"/>
    <n v="4287.5"/>
  </r>
  <r>
    <x v="0"/>
    <n v="1185732"/>
    <x v="123"/>
    <x v="1"/>
    <s v="Wisconsin"/>
    <s v="Milwaukee"/>
    <s v="In-store"/>
    <x v="5"/>
    <n v="35"/>
    <n v="150"/>
    <n v="5250"/>
    <n v="3675"/>
  </r>
  <r>
    <x v="1"/>
    <n v="1189833"/>
    <x v="123"/>
    <x v="0"/>
    <s v="California"/>
    <s v="Los Angeles"/>
    <s v="Outlet"/>
    <x v="5"/>
    <n v="50"/>
    <n v="675"/>
    <n v="33750"/>
    <n v="21937.5"/>
  </r>
  <r>
    <x v="0"/>
    <n v="1185732"/>
    <x v="123"/>
    <x v="1"/>
    <s v="Wisconsin"/>
    <s v="Milwaukee"/>
    <s v="In-store"/>
    <x v="0"/>
    <n v="40"/>
    <n v="200"/>
    <n v="8000"/>
    <n v="5200"/>
  </r>
  <r>
    <x v="0"/>
    <n v="1185732"/>
    <x v="123"/>
    <x v="1"/>
    <s v="Wisconsin"/>
    <s v="Milwaukee"/>
    <s v="In-store"/>
    <x v="2"/>
    <n v="49.999999999999993"/>
    <n v="300"/>
    <n v="14999.999999999998"/>
    <n v="8999.9999999999964"/>
  </r>
  <r>
    <x v="3"/>
    <n v="1197831"/>
    <x v="123"/>
    <x v="2"/>
    <s v="Tennessee"/>
    <s v="Knoxville"/>
    <s v="Outlet"/>
    <x v="0"/>
    <n v="35"/>
    <n v="575"/>
    <n v="20125"/>
    <n v="11068.750000000002"/>
  </r>
  <r>
    <x v="0"/>
    <n v="1185732"/>
    <x v="123"/>
    <x v="1"/>
    <s v="Wisconsin"/>
    <s v="Milwaukee"/>
    <s v="In-store"/>
    <x v="1"/>
    <n v="44.999999999999993"/>
    <n v="175"/>
    <n v="7874.9999999999991"/>
    <n v="3937.4999999999991"/>
  </r>
  <r>
    <x v="1"/>
    <n v="1189833"/>
    <x v="123"/>
    <x v="0"/>
    <s v="California"/>
    <s v="Los Angeles"/>
    <s v="Outlet"/>
    <x v="5"/>
    <n v="36"/>
    <n v="223"/>
    <n v="8028"/>
    <n v="4977.3600000000006"/>
  </r>
  <r>
    <x v="0"/>
    <n v="1185732"/>
    <x v="123"/>
    <x v="1"/>
    <s v="Wisconsin"/>
    <s v="Milwaukee"/>
    <s v="Online"/>
    <x v="4"/>
    <n v="58"/>
    <n v="134"/>
    <n v="7772"/>
    <n v="4585.4799999999996"/>
  </r>
  <r>
    <x v="0"/>
    <n v="1185732"/>
    <x v="123"/>
    <x v="1"/>
    <s v="Wisconsin"/>
    <s v="Milwaukee"/>
    <s v="Online"/>
    <x v="5"/>
    <n v="32"/>
    <n v="38"/>
    <n v="1216"/>
    <n v="680.96"/>
  </r>
  <r>
    <x v="0"/>
    <n v="1185732"/>
    <x v="123"/>
    <x v="1"/>
    <s v="Wisconsin"/>
    <s v="Milwaukee"/>
    <s v="Online"/>
    <x v="3"/>
    <n v="33"/>
    <n v="49"/>
    <n v="1617"/>
    <n v="889.35"/>
  </r>
  <r>
    <x v="1"/>
    <n v="1189833"/>
    <x v="123"/>
    <x v="0"/>
    <s v="California"/>
    <s v="Los Angeles"/>
    <s v="Online"/>
    <x v="5"/>
    <n v="47"/>
    <n v="169"/>
    <n v="7943"/>
    <n v="4130.3600000000006"/>
  </r>
  <r>
    <x v="3"/>
    <n v="1197831"/>
    <x v="123"/>
    <x v="2"/>
    <s v="Tennessee"/>
    <s v="Knoxville"/>
    <s v="Outlet"/>
    <x v="0"/>
    <n v="25"/>
    <n v="178"/>
    <n v="4450"/>
    <n v="2314"/>
  </r>
  <r>
    <x v="0"/>
    <n v="1185732"/>
    <x v="123"/>
    <x v="1"/>
    <s v="Wisconsin"/>
    <s v="Milwaukee"/>
    <s v="Online"/>
    <x v="0"/>
    <n v="39"/>
    <n v="50"/>
    <n v="1950"/>
    <n v="994.5"/>
  </r>
  <r>
    <x v="0"/>
    <n v="1185732"/>
    <x v="123"/>
    <x v="1"/>
    <s v="Wisconsin"/>
    <s v="Milwaukee"/>
    <s v="Online"/>
    <x v="2"/>
    <n v="47"/>
    <n v="90"/>
    <n v="4230"/>
    <n v="2072.6999999999998"/>
  </r>
  <r>
    <x v="3"/>
    <n v="1197831"/>
    <x v="123"/>
    <x v="2"/>
    <s v="Tennessee"/>
    <s v="Knoxville"/>
    <s v="Online"/>
    <x v="0"/>
    <n v="32"/>
    <n v="150"/>
    <n v="4800"/>
    <n v="1920"/>
  </r>
  <r>
    <x v="0"/>
    <n v="1185732"/>
    <x v="123"/>
    <x v="1"/>
    <s v="Wisconsin"/>
    <s v="Milwaukee"/>
    <s v="Online"/>
    <x v="1"/>
    <n v="44"/>
    <n v="53"/>
    <n v="2332"/>
    <n v="909.48"/>
  </r>
  <r>
    <x v="2"/>
    <n v="1185732"/>
    <x v="124"/>
    <x v="3"/>
    <s v="South Carolina"/>
    <s v="Charleston"/>
    <s v="Online"/>
    <x v="3"/>
    <n v="45"/>
    <n v="725"/>
    <n v="32625"/>
    <n v="24468.75"/>
  </r>
  <r>
    <x v="0"/>
    <n v="1197831"/>
    <x v="124"/>
    <x v="0"/>
    <s v="Idaho"/>
    <s v="Boise"/>
    <s v="Online"/>
    <x v="1"/>
    <n v="50"/>
    <n v="400"/>
    <n v="20000"/>
    <n v="14000"/>
  </r>
  <r>
    <x v="2"/>
    <n v="1185732"/>
    <x v="124"/>
    <x v="3"/>
    <s v="South Carolina"/>
    <s v="Charleston"/>
    <s v="Online"/>
    <x v="5"/>
    <n v="45"/>
    <n v="675"/>
    <n v="30375"/>
    <n v="21262.5"/>
  </r>
  <r>
    <x v="0"/>
    <n v="1197831"/>
    <x v="124"/>
    <x v="0"/>
    <s v="Idaho"/>
    <s v="Boise"/>
    <s v="Online"/>
    <x v="4"/>
    <n v="20"/>
    <n v="700"/>
    <n v="14000"/>
    <n v="9100"/>
  </r>
  <r>
    <x v="0"/>
    <n v="1197831"/>
    <x v="124"/>
    <x v="0"/>
    <s v="Idaho"/>
    <s v="Boise"/>
    <s v="Online"/>
    <x v="0"/>
    <n v="30.000000000000004"/>
    <n v="725"/>
    <n v="21750.000000000004"/>
    <n v="14137.500000000004"/>
  </r>
  <r>
    <x v="0"/>
    <n v="1197831"/>
    <x v="124"/>
    <x v="0"/>
    <s v="Idaho"/>
    <s v="Boise"/>
    <s v="Online"/>
    <x v="3"/>
    <n v="24.999999999999996"/>
    <n v="575"/>
    <n v="14374.999999999998"/>
    <n v="9343.7499999999982"/>
  </r>
  <r>
    <x v="2"/>
    <n v="1185732"/>
    <x v="124"/>
    <x v="3"/>
    <s v="South Carolina"/>
    <s v="Charleston"/>
    <s v="Online"/>
    <x v="0"/>
    <n v="50"/>
    <n v="750"/>
    <n v="37500"/>
    <n v="24375"/>
  </r>
  <r>
    <x v="2"/>
    <n v="1185732"/>
    <x v="124"/>
    <x v="3"/>
    <s v="South Carolina"/>
    <s v="Charleston"/>
    <s v="Online"/>
    <x v="1"/>
    <n v="54.999999999999993"/>
    <n v="700"/>
    <n v="38499.999999999993"/>
    <n v="25024.999999999996"/>
  </r>
  <r>
    <x v="3"/>
    <n v="1197831"/>
    <x v="124"/>
    <x v="2"/>
    <s v="Tennessee"/>
    <s v="Knoxville"/>
    <s v="Outlet"/>
    <x v="3"/>
    <n v="40"/>
    <n v="525"/>
    <n v="21000"/>
    <n v="11550.000000000002"/>
  </r>
  <r>
    <x v="0"/>
    <n v="1197831"/>
    <x v="124"/>
    <x v="0"/>
    <s v="Idaho"/>
    <s v="Boise"/>
    <s v="Online"/>
    <x v="5"/>
    <n v="35"/>
    <n v="500"/>
    <n v="17500"/>
    <n v="9625"/>
  </r>
  <r>
    <x v="2"/>
    <n v="1185732"/>
    <x v="124"/>
    <x v="3"/>
    <s v="South Carolina"/>
    <s v="Charleston"/>
    <s v="Online"/>
    <x v="4"/>
    <n v="50"/>
    <n v="1045"/>
    <n v="52250"/>
    <n v="28737.5"/>
  </r>
  <r>
    <x v="0"/>
    <n v="1197831"/>
    <x v="124"/>
    <x v="0"/>
    <s v="Idaho"/>
    <s v="Boise"/>
    <s v="Online"/>
    <x v="2"/>
    <n v="45"/>
    <n v="750"/>
    <n v="33750"/>
    <n v="16875"/>
  </r>
  <r>
    <x v="2"/>
    <n v="1185732"/>
    <x v="124"/>
    <x v="3"/>
    <s v="South Carolina"/>
    <s v="Charleston"/>
    <s v="Online"/>
    <x v="2"/>
    <n v="60"/>
    <n v="800"/>
    <n v="48000"/>
    <n v="24000"/>
  </r>
  <r>
    <x v="1"/>
    <n v="1189833"/>
    <x v="124"/>
    <x v="0"/>
    <s v="California"/>
    <s v="Los Angeles"/>
    <s v="Outlet"/>
    <x v="1"/>
    <n v="60"/>
    <n v="675"/>
    <n v="40500"/>
    <n v="18224.999999999996"/>
  </r>
  <r>
    <x v="0"/>
    <n v="1197831"/>
    <x v="124"/>
    <x v="0"/>
    <s v="Idaho"/>
    <s v="Boise"/>
    <s v="Outlet"/>
    <x v="1"/>
    <n v="34"/>
    <n v="120"/>
    <n v="4080"/>
    <n v="2652"/>
  </r>
  <r>
    <x v="2"/>
    <n v="1185732"/>
    <x v="124"/>
    <x v="3"/>
    <s v="South Carolina"/>
    <s v="Charleston"/>
    <s v="Online"/>
    <x v="3"/>
    <n v="41"/>
    <n v="210"/>
    <n v="8610"/>
    <n v="5424.3"/>
  </r>
  <r>
    <x v="0"/>
    <n v="1197831"/>
    <x v="124"/>
    <x v="0"/>
    <s v="Idaho"/>
    <s v="Boise"/>
    <s v="Outlet"/>
    <x v="3"/>
    <n v="18"/>
    <n v="184"/>
    <n v="3312"/>
    <n v="2020.3200000000002"/>
  </r>
  <r>
    <x v="0"/>
    <n v="1197831"/>
    <x v="124"/>
    <x v="0"/>
    <s v="Idaho"/>
    <s v="Boise"/>
    <s v="Online"/>
    <x v="1"/>
    <n v="47"/>
    <n v="120"/>
    <n v="5640"/>
    <n v="3384"/>
  </r>
  <r>
    <x v="0"/>
    <n v="1197831"/>
    <x v="124"/>
    <x v="0"/>
    <s v="Idaho"/>
    <s v="Boise"/>
    <s v="Outlet"/>
    <x v="0"/>
    <n v="22"/>
    <n v="247"/>
    <n v="5434"/>
    <n v="3206.06"/>
  </r>
  <r>
    <x v="2"/>
    <n v="1185732"/>
    <x v="124"/>
    <x v="3"/>
    <s v="South Carolina"/>
    <s v="Charleston"/>
    <s v="Online"/>
    <x v="5"/>
    <n v="43"/>
    <n v="182"/>
    <n v="7826"/>
    <n v="4539.08"/>
  </r>
  <r>
    <x v="0"/>
    <n v="1197831"/>
    <x v="124"/>
    <x v="0"/>
    <s v="Idaho"/>
    <s v="Boise"/>
    <s v="Outlet"/>
    <x v="4"/>
    <n v="14"/>
    <n v="210"/>
    <n v="2940"/>
    <n v="1705.2"/>
  </r>
  <r>
    <x v="2"/>
    <n v="1185732"/>
    <x v="124"/>
    <x v="3"/>
    <s v="South Carolina"/>
    <s v="Charleston"/>
    <s v="Online"/>
    <x v="0"/>
    <n v="45"/>
    <n v="188"/>
    <n v="8460"/>
    <n v="4653"/>
  </r>
  <r>
    <x v="0"/>
    <n v="1197831"/>
    <x v="124"/>
    <x v="0"/>
    <s v="Idaho"/>
    <s v="Boise"/>
    <s v="Online"/>
    <x v="3"/>
    <n v="23"/>
    <n v="167"/>
    <n v="3841"/>
    <n v="2035.73"/>
  </r>
  <r>
    <x v="0"/>
    <n v="1197831"/>
    <x v="124"/>
    <x v="0"/>
    <s v="Idaho"/>
    <s v="Boise"/>
    <s v="Online"/>
    <x v="0"/>
    <n v="28"/>
    <n v="196"/>
    <n v="5488"/>
    <n v="2853.76"/>
  </r>
  <r>
    <x v="3"/>
    <n v="1197831"/>
    <x v="124"/>
    <x v="2"/>
    <s v="Tennessee"/>
    <s v="Knoxville"/>
    <s v="Outlet"/>
    <x v="3"/>
    <n v="27"/>
    <n v="163"/>
    <n v="4401"/>
    <n v="2288.52"/>
  </r>
  <r>
    <x v="0"/>
    <n v="1197831"/>
    <x v="124"/>
    <x v="0"/>
    <s v="Idaho"/>
    <s v="Boise"/>
    <s v="Online"/>
    <x v="4"/>
    <n v="18"/>
    <n v="203"/>
    <n v="3654"/>
    <n v="1827"/>
  </r>
  <r>
    <x v="2"/>
    <n v="1185732"/>
    <x v="124"/>
    <x v="3"/>
    <s v="South Carolina"/>
    <s v="Charleston"/>
    <s v="Online"/>
    <x v="1"/>
    <n v="53"/>
    <n v="196"/>
    <n v="10388"/>
    <n v="5194"/>
  </r>
  <r>
    <x v="0"/>
    <n v="1197831"/>
    <x v="124"/>
    <x v="0"/>
    <s v="Idaho"/>
    <s v="Boise"/>
    <s v="Outlet"/>
    <x v="5"/>
    <n v="24"/>
    <n v="155"/>
    <n v="3720"/>
    <n v="1860"/>
  </r>
  <r>
    <x v="0"/>
    <n v="1197831"/>
    <x v="124"/>
    <x v="0"/>
    <s v="Idaho"/>
    <s v="Boise"/>
    <s v="Online"/>
    <x v="5"/>
    <n v="33"/>
    <n v="130"/>
    <n v="4290"/>
    <n v="1930.5"/>
  </r>
  <r>
    <x v="2"/>
    <n v="1185732"/>
    <x v="124"/>
    <x v="3"/>
    <s v="South Carolina"/>
    <s v="Charleston"/>
    <s v="Online"/>
    <x v="4"/>
    <n v="48"/>
    <n v="282"/>
    <n v="13536"/>
    <n v="6091.2"/>
  </r>
  <r>
    <x v="0"/>
    <n v="1197831"/>
    <x v="124"/>
    <x v="0"/>
    <s v="Idaho"/>
    <s v="Boise"/>
    <s v="Outlet"/>
    <x v="2"/>
    <n v="33"/>
    <n v="240"/>
    <n v="7920"/>
    <n v="3564"/>
  </r>
  <r>
    <x v="3"/>
    <n v="1197831"/>
    <x v="124"/>
    <x v="2"/>
    <s v="Tennessee"/>
    <s v="Knoxville"/>
    <s v="Online"/>
    <x v="3"/>
    <n v="36"/>
    <n v="147"/>
    <n v="5292"/>
    <n v="2222.6400000000003"/>
  </r>
  <r>
    <x v="2"/>
    <n v="1185732"/>
    <x v="124"/>
    <x v="3"/>
    <s v="South Carolina"/>
    <s v="Charleston"/>
    <s v="Online"/>
    <x v="2"/>
    <n v="59"/>
    <n v="200"/>
    <n v="11800"/>
    <n v="4720"/>
  </r>
  <r>
    <x v="1"/>
    <n v="1189833"/>
    <x v="124"/>
    <x v="0"/>
    <s v="California"/>
    <s v="Los Angeles"/>
    <s v="Outlet"/>
    <x v="1"/>
    <n v="43"/>
    <n v="230"/>
    <n v="9890"/>
    <n v="3758.1999999999989"/>
  </r>
  <r>
    <x v="0"/>
    <n v="1197831"/>
    <x v="124"/>
    <x v="0"/>
    <s v="Idaho"/>
    <s v="Boise"/>
    <s v="Online"/>
    <x v="2"/>
    <n v="42"/>
    <n v="218"/>
    <n v="9156"/>
    <n v="3387.7200000000003"/>
  </r>
  <r>
    <x v="1"/>
    <n v="1189833"/>
    <x v="124"/>
    <x v="0"/>
    <s v="California"/>
    <s v="Los Angeles"/>
    <s v="Online"/>
    <x v="1"/>
    <n v="58"/>
    <n v="182"/>
    <n v="10556"/>
    <n v="3483.4799999999996"/>
  </r>
  <r>
    <x v="1"/>
    <n v="1189833"/>
    <x v="125"/>
    <x v="0"/>
    <s v="California"/>
    <s v="Los Angeles"/>
    <s v="Outlet"/>
    <x v="2"/>
    <n v="65"/>
    <n v="650"/>
    <n v="42250"/>
    <n v="33800"/>
  </r>
  <r>
    <x v="1"/>
    <n v="1185732"/>
    <x v="125"/>
    <x v="4"/>
    <s v="New Jersey"/>
    <s v="Newark"/>
    <s v="In-store"/>
    <x v="1"/>
    <n v="49.999999999999993"/>
    <n v="225"/>
    <n v="11249.999999999998"/>
    <n v="7875"/>
  </r>
  <r>
    <x v="2"/>
    <n v="1185732"/>
    <x v="125"/>
    <x v="4"/>
    <s v="Rhode Island"/>
    <s v="Providence"/>
    <s v="In-store"/>
    <x v="1"/>
    <n v="49.999999999999993"/>
    <n v="175"/>
    <n v="8749.9999999999982"/>
    <n v="6124.9999999999982"/>
  </r>
  <r>
    <x v="1"/>
    <n v="1185732"/>
    <x v="125"/>
    <x v="4"/>
    <s v="New Jersey"/>
    <s v="Newark"/>
    <s v="In-store"/>
    <x v="4"/>
    <n v="49.999999999999993"/>
    <n v="520"/>
    <n v="25999.999999999996"/>
    <n v="16900"/>
  </r>
  <r>
    <x v="2"/>
    <n v="1185732"/>
    <x v="125"/>
    <x v="4"/>
    <s v="Rhode Island"/>
    <s v="Providence"/>
    <s v="In-store"/>
    <x v="4"/>
    <n v="49.999999999999993"/>
    <n v="470"/>
    <n v="23499.999999999996"/>
    <n v="15275"/>
  </r>
  <r>
    <x v="1"/>
    <n v="1185732"/>
    <x v="125"/>
    <x v="4"/>
    <s v="New Jersey"/>
    <s v="Newark"/>
    <s v="In-store"/>
    <x v="0"/>
    <n v="45"/>
    <n v="225"/>
    <n v="10125"/>
    <n v="6581.25"/>
  </r>
  <r>
    <x v="2"/>
    <n v="1185732"/>
    <x v="125"/>
    <x v="4"/>
    <s v="Rhode Island"/>
    <s v="Providence"/>
    <s v="In-store"/>
    <x v="0"/>
    <n v="45"/>
    <n v="175"/>
    <n v="7875"/>
    <n v="5118.75"/>
  </r>
  <r>
    <x v="1"/>
    <n v="1185732"/>
    <x v="125"/>
    <x v="4"/>
    <s v="New Jersey"/>
    <s v="Newark"/>
    <s v="In-store"/>
    <x v="3"/>
    <n v="40"/>
    <n v="250"/>
    <n v="10000"/>
    <n v="6000"/>
  </r>
  <r>
    <x v="1"/>
    <n v="1185732"/>
    <x v="125"/>
    <x v="4"/>
    <s v="New Jersey"/>
    <s v="Newark"/>
    <s v="In-store"/>
    <x v="5"/>
    <n v="40"/>
    <n v="200"/>
    <n v="8000"/>
    <n v="4800"/>
  </r>
  <r>
    <x v="1"/>
    <n v="1185732"/>
    <x v="125"/>
    <x v="4"/>
    <s v="New Jersey"/>
    <s v="Newark"/>
    <s v="In-store"/>
    <x v="2"/>
    <n v="54.999999999999993"/>
    <n v="350"/>
    <n v="19249.999999999996"/>
    <n v="11549.999999999998"/>
  </r>
  <r>
    <x v="2"/>
    <n v="1185732"/>
    <x v="125"/>
    <x v="4"/>
    <s v="Rhode Island"/>
    <s v="Providence"/>
    <s v="In-store"/>
    <x v="3"/>
    <n v="40"/>
    <n v="200"/>
    <n v="8000"/>
    <n v="4800"/>
  </r>
  <r>
    <x v="2"/>
    <n v="1185732"/>
    <x v="125"/>
    <x v="4"/>
    <s v="Rhode Island"/>
    <s v="Providence"/>
    <s v="In-store"/>
    <x v="5"/>
    <n v="40"/>
    <n v="150"/>
    <n v="6000"/>
    <n v="3600"/>
  </r>
  <r>
    <x v="2"/>
    <n v="1185732"/>
    <x v="125"/>
    <x v="4"/>
    <s v="Rhode Island"/>
    <s v="Providence"/>
    <s v="In-store"/>
    <x v="2"/>
    <n v="54.999999999999993"/>
    <n v="300"/>
    <n v="16499.999999999996"/>
    <n v="9899.9999999999982"/>
  </r>
  <r>
    <x v="3"/>
    <n v="1197831"/>
    <x v="125"/>
    <x v="2"/>
    <s v="Tennessee"/>
    <s v="Knoxville"/>
    <s v="Outlet"/>
    <x v="5"/>
    <n v="40"/>
    <n v="375"/>
    <n v="15000"/>
    <n v="6750"/>
  </r>
  <r>
    <x v="1"/>
    <n v="1189833"/>
    <x v="125"/>
    <x v="0"/>
    <s v="California"/>
    <s v="Los Angeles"/>
    <s v="Outlet"/>
    <x v="2"/>
    <n v="46"/>
    <n v="208"/>
    <n v="9568"/>
    <n v="7367.3600000000006"/>
  </r>
  <r>
    <x v="1"/>
    <n v="1189833"/>
    <x v="125"/>
    <x v="0"/>
    <s v="California"/>
    <s v="Los Angeles"/>
    <s v="Online"/>
    <x v="2"/>
    <n v="61"/>
    <n v="189"/>
    <n v="11529"/>
    <n v="7493.85"/>
  </r>
  <r>
    <x v="2"/>
    <n v="1185732"/>
    <x v="125"/>
    <x v="4"/>
    <s v="Rhode Island"/>
    <s v="Providence"/>
    <s v="Outlet"/>
    <x v="0"/>
    <n v="32"/>
    <n v="58"/>
    <n v="1856"/>
    <n v="1169.28"/>
  </r>
  <r>
    <x v="2"/>
    <n v="1185732"/>
    <x v="125"/>
    <x v="4"/>
    <s v="Rhode Island"/>
    <s v="Providence"/>
    <s v="Outlet"/>
    <x v="1"/>
    <n v="40"/>
    <n v="54"/>
    <n v="2160"/>
    <n v="1360.8"/>
  </r>
  <r>
    <x v="2"/>
    <n v="1185732"/>
    <x v="125"/>
    <x v="4"/>
    <s v="Rhode Island"/>
    <s v="Providence"/>
    <s v="Online"/>
    <x v="1"/>
    <n v="49"/>
    <n v="46"/>
    <n v="2254"/>
    <n v="1352.4"/>
  </r>
  <r>
    <x v="1"/>
    <n v="1185732"/>
    <x v="125"/>
    <x v="4"/>
    <s v="New Jersey"/>
    <s v="Newark"/>
    <s v="Online"/>
    <x v="1"/>
    <n v="47"/>
    <n v="68"/>
    <n v="3196"/>
    <n v="1885.64"/>
  </r>
  <r>
    <x v="2"/>
    <n v="1185732"/>
    <x v="125"/>
    <x v="4"/>
    <s v="Rhode Island"/>
    <s v="Providence"/>
    <s v="Outlet"/>
    <x v="4"/>
    <n v="39"/>
    <n v="150"/>
    <n v="5850"/>
    <n v="3451.5"/>
  </r>
  <r>
    <x v="2"/>
    <n v="1185732"/>
    <x v="125"/>
    <x v="4"/>
    <s v="Rhode Island"/>
    <s v="Providence"/>
    <s v="Outlet"/>
    <x v="3"/>
    <n v="32"/>
    <n v="60"/>
    <n v="1920"/>
    <n v="1113.5999999999999"/>
  </r>
  <r>
    <x v="2"/>
    <n v="1185732"/>
    <x v="125"/>
    <x v="4"/>
    <s v="Rhode Island"/>
    <s v="Providence"/>
    <s v="Outlet"/>
    <x v="2"/>
    <n v="36"/>
    <n v="93"/>
    <n v="3348"/>
    <n v="1874.8799999999999"/>
  </r>
  <r>
    <x v="2"/>
    <n v="1185732"/>
    <x v="125"/>
    <x v="4"/>
    <s v="Rhode Island"/>
    <s v="Providence"/>
    <s v="Online"/>
    <x v="0"/>
    <n v="43"/>
    <n v="49"/>
    <n v="2107"/>
    <n v="1158.8500000000001"/>
  </r>
  <r>
    <x v="2"/>
    <n v="1185732"/>
    <x v="125"/>
    <x v="4"/>
    <s v="Rhode Island"/>
    <s v="Providence"/>
    <s v="Outlet"/>
    <x v="5"/>
    <n v="27"/>
    <n v="51"/>
    <n v="1377"/>
    <n v="743.57999999999993"/>
  </r>
  <r>
    <x v="1"/>
    <n v="1185732"/>
    <x v="125"/>
    <x v="4"/>
    <s v="New Jersey"/>
    <s v="Newark"/>
    <s v="Online"/>
    <x v="4"/>
    <n v="48"/>
    <n v="130"/>
    <n v="6240"/>
    <n v="3307.2000000000003"/>
  </r>
  <r>
    <x v="1"/>
    <n v="1185732"/>
    <x v="125"/>
    <x v="4"/>
    <s v="New Jersey"/>
    <s v="Newark"/>
    <s v="Online"/>
    <x v="0"/>
    <n v="41"/>
    <n v="68"/>
    <n v="2788"/>
    <n v="1394"/>
  </r>
  <r>
    <x v="1"/>
    <n v="1185732"/>
    <x v="125"/>
    <x v="4"/>
    <s v="New Jersey"/>
    <s v="Newark"/>
    <s v="Online"/>
    <x v="3"/>
    <n v="38"/>
    <n v="75"/>
    <n v="2850"/>
    <n v="1425"/>
  </r>
  <r>
    <x v="1"/>
    <n v="1185732"/>
    <x v="125"/>
    <x v="4"/>
    <s v="New Jersey"/>
    <s v="Newark"/>
    <s v="Online"/>
    <x v="5"/>
    <n v="38"/>
    <n v="56"/>
    <n v="2128"/>
    <n v="1064"/>
  </r>
  <r>
    <x v="2"/>
    <n v="1185732"/>
    <x v="125"/>
    <x v="4"/>
    <s v="Rhode Island"/>
    <s v="Providence"/>
    <s v="Online"/>
    <x v="4"/>
    <n v="49"/>
    <n v="122"/>
    <n v="5978"/>
    <n v="2989"/>
  </r>
  <r>
    <x v="1"/>
    <n v="1185732"/>
    <x v="125"/>
    <x v="4"/>
    <s v="New Jersey"/>
    <s v="Newark"/>
    <s v="Online"/>
    <x v="2"/>
    <n v="51"/>
    <n v="102"/>
    <n v="5202"/>
    <n v="2496.96"/>
  </r>
  <r>
    <x v="2"/>
    <n v="1185732"/>
    <x v="125"/>
    <x v="4"/>
    <s v="Rhode Island"/>
    <s v="Providence"/>
    <s v="Online"/>
    <x v="5"/>
    <n v="39"/>
    <n v="44"/>
    <n v="1716"/>
    <n v="823.68"/>
  </r>
  <r>
    <x v="2"/>
    <n v="1185732"/>
    <x v="125"/>
    <x v="4"/>
    <s v="Rhode Island"/>
    <s v="Providence"/>
    <s v="Online"/>
    <x v="2"/>
    <n v="52"/>
    <n v="81"/>
    <n v="4212"/>
    <n v="1979.6399999999999"/>
  </r>
  <r>
    <x v="2"/>
    <n v="1185732"/>
    <x v="125"/>
    <x v="4"/>
    <s v="Rhode Island"/>
    <s v="Providence"/>
    <s v="Online"/>
    <x v="3"/>
    <n v="39"/>
    <n v="60"/>
    <n v="2340"/>
    <n v="1076.3999999999999"/>
  </r>
  <r>
    <x v="3"/>
    <n v="1197831"/>
    <x v="125"/>
    <x v="2"/>
    <s v="Tennessee"/>
    <s v="Knoxville"/>
    <s v="Outlet"/>
    <x v="5"/>
    <n v="30"/>
    <n v="131"/>
    <n v="3930"/>
    <n v="1571.9999999999995"/>
  </r>
  <r>
    <x v="3"/>
    <n v="1197831"/>
    <x v="125"/>
    <x v="2"/>
    <s v="Tennessee"/>
    <s v="Knoxville"/>
    <s v="Online"/>
    <x v="5"/>
    <n v="38"/>
    <n v="98"/>
    <n v="3724"/>
    <n v="1117.1999999999998"/>
  </r>
  <r>
    <x v="2"/>
    <n v="1185732"/>
    <x v="126"/>
    <x v="1"/>
    <s v="Iowa"/>
    <s v="Des Moines"/>
    <s v="In-store"/>
    <x v="4"/>
    <n v="60"/>
    <n v="520"/>
    <n v="31200"/>
    <n v="21840"/>
  </r>
  <r>
    <x v="2"/>
    <n v="1185732"/>
    <x v="126"/>
    <x v="1"/>
    <s v="Iowa"/>
    <s v="Des Moines"/>
    <s v="In-store"/>
    <x v="3"/>
    <n v="35"/>
    <n v="200"/>
    <n v="7000"/>
    <n v="4900"/>
  </r>
  <r>
    <x v="2"/>
    <n v="1185732"/>
    <x v="126"/>
    <x v="1"/>
    <s v="Iowa"/>
    <s v="Des Moines"/>
    <s v="In-store"/>
    <x v="5"/>
    <n v="35"/>
    <n v="125"/>
    <n v="4375"/>
    <n v="3062.5"/>
  </r>
  <r>
    <x v="2"/>
    <n v="1185732"/>
    <x v="126"/>
    <x v="1"/>
    <s v="Iowa"/>
    <s v="Des Moines"/>
    <s v="In-store"/>
    <x v="0"/>
    <n v="40"/>
    <n v="225"/>
    <n v="9000"/>
    <n v="5850"/>
  </r>
  <r>
    <x v="1"/>
    <n v="1189833"/>
    <x v="126"/>
    <x v="0"/>
    <s v="California"/>
    <s v="Los Angeles"/>
    <s v="Outlet"/>
    <x v="4"/>
    <n v="50"/>
    <n v="850"/>
    <n v="42500"/>
    <n v="25500"/>
  </r>
  <r>
    <x v="3"/>
    <n v="1197831"/>
    <x v="126"/>
    <x v="2"/>
    <s v="Tennessee"/>
    <s v="Knoxville"/>
    <s v="Outlet"/>
    <x v="1"/>
    <n v="35"/>
    <n v="350"/>
    <n v="12250"/>
    <n v="7350"/>
  </r>
  <r>
    <x v="2"/>
    <n v="1185732"/>
    <x v="126"/>
    <x v="1"/>
    <s v="Iowa"/>
    <s v="Des Moines"/>
    <s v="In-store"/>
    <x v="2"/>
    <n v="49.999999999999993"/>
    <n v="275"/>
    <n v="13749.999999999998"/>
    <n v="8249.9999999999964"/>
  </r>
  <r>
    <x v="2"/>
    <n v="1185732"/>
    <x v="126"/>
    <x v="1"/>
    <s v="Iowa"/>
    <s v="Des Moines"/>
    <s v="In-store"/>
    <x v="1"/>
    <n v="44.999999999999993"/>
    <n v="150"/>
    <n v="6749.9999999999991"/>
    <n v="3374.9999999999991"/>
  </r>
  <r>
    <x v="2"/>
    <n v="1185732"/>
    <x v="126"/>
    <x v="1"/>
    <s v="Iowa"/>
    <s v="Des Moines"/>
    <s v="Online"/>
    <x v="3"/>
    <n v="33"/>
    <n v="54"/>
    <n v="1782"/>
    <n v="1051.3800000000001"/>
  </r>
  <r>
    <x v="2"/>
    <n v="1185732"/>
    <x v="126"/>
    <x v="1"/>
    <s v="Iowa"/>
    <s v="Des Moines"/>
    <s v="Online"/>
    <x v="4"/>
    <n v="57"/>
    <n v="146"/>
    <n v="8322"/>
    <n v="4826.76"/>
  </r>
  <r>
    <x v="3"/>
    <n v="1197831"/>
    <x v="126"/>
    <x v="2"/>
    <s v="Tennessee"/>
    <s v="Knoxville"/>
    <s v="Outlet"/>
    <x v="1"/>
    <n v="28"/>
    <n v="109"/>
    <n v="3052"/>
    <n v="1709.1200000000001"/>
  </r>
  <r>
    <x v="2"/>
    <n v="1185732"/>
    <x v="126"/>
    <x v="1"/>
    <s v="Iowa"/>
    <s v="Des Moines"/>
    <s v="Online"/>
    <x v="5"/>
    <n v="33"/>
    <n v="34"/>
    <n v="1122"/>
    <n v="628.31999999999994"/>
  </r>
  <r>
    <x v="2"/>
    <n v="1185732"/>
    <x v="126"/>
    <x v="1"/>
    <s v="Iowa"/>
    <s v="Des Moines"/>
    <s v="Online"/>
    <x v="0"/>
    <n v="37"/>
    <n v="63"/>
    <n v="2331"/>
    <n v="1258.74"/>
  </r>
  <r>
    <x v="1"/>
    <n v="1189833"/>
    <x v="126"/>
    <x v="0"/>
    <s v="California"/>
    <s v="Los Angeles"/>
    <s v="Outlet"/>
    <x v="4"/>
    <n v="38"/>
    <n v="289"/>
    <n v="10982"/>
    <n v="5930.28"/>
  </r>
  <r>
    <x v="3"/>
    <n v="1197831"/>
    <x v="126"/>
    <x v="2"/>
    <s v="Tennessee"/>
    <s v="Knoxville"/>
    <s v="Online"/>
    <x v="1"/>
    <n v="32"/>
    <n v="88"/>
    <n v="2816"/>
    <n v="1379.84"/>
  </r>
  <r>
    <x v="2"/>
    <n v="1185732"/>
    <x v="126"/>
    <x v="1"/>
    <s v="Iowa"/>
    <s v="Des Moines"/>
    <s v="Online"/>
    <x v="2"/>
    <n v="46"/>
    <n v="69"/>
    <n v="3174"/>
    <n v="1523.52"/>
  </r>
  <r>
    <x v="1"/>
    <n v="1189833"/>
    <x v="126"/>
    <x v="0"/>
    <s v="California"/>
    <s v="Los Angeles"/>
    <s v="Online"/>
    <x v="4"/>
    <n v="47"/>
    <n v="213"/>
    <n v="10011"/>
    <n v="4605.0599999999995"/>
  </r>
  <r>
    <x v="2"/>
    <n v="1185732"/>
    <x v="126"/>
    <x v="1"/>
    <s v="Iowa"/>
    <s v="Des Moines"/>
    <s v="Online"/>
    <x v="1"/>
    <n v="43"/>
    <n v="42"/>
    <n v="1806"/>
    <n v="632.09999999999991"/>
  </r>
  <r>
    <x v="1"/>
    <n v="1189833"/>
    <x v="127"/>
    <x v="0"/>
    <s v="California"/>
    <s v="Los Angeles"/>
    <s v="Outlet"/>
    <x v="0"/>
    <n v="55.000000000000007"/>
    <n v="850"/>
    <n v="46750.000000000007"/>
    <n v="35062.500000000007"/>
  </r>
  <r>
    <x v="0"/>
    <n v="1185732"/>
    <x v="127"/>
    <x v="4"/>
    <s v="New York"/>
    <s v="Albany"/>
    <s v="In-store"/>
    <x v="3"/>
    <n v="50"/>
    <n v="550"/>
    <n v="27500"/>
    <n v="20625"/>
  </r>
  <r>
    <x v="0"/>
    <n v="1185732"/>
    <x v="127"/>
    <x v="4"/>
    <s v="New York"/>
    <s v="Albany"/>
    <s v="In-store"/>
    <x v="5"/>
    <n v="50"/>
    <n v="500"/>
    <n v="25000"/>
    <n v="17500"/>
  </r>
  <r>
    <x v="0"/>
    <n v="1185732"/>
    <x v="127"/>
    <x v="4"/>
    <s v="New York"/>
    <s v="Albany"/>
    <s v="In-store"/>
    <x v="0"/>
    <n v="55.000000000000007"/>
    <n v="575"/>
    <n v="31625.000000000004"/>
    <n v="20556.250000000007"/>
  </r>
  <r>
    <x v="0"/>
    <n v="1185732"/>
    <x v="127"/>
    <x v="4"/>
    <s v="New York"/>
    <s v="Albany"/>
    <s v="In-store"/>
    <x v="1"/>
    <n v="60"/>
    <n v="525"/>
    <n v="31500"/>
    <n v="20475"/>
  </r>
  <r>
    <x v="0"/>
    <n v="1185732"/>
    <x v="127"/>
    <x v="4"/>
    <s v="New York"/>
    <s v="Albany"/>
    <s v="In-store"/>
    <x v="4"/>
    <n v="55.000000000000007"/>
    <n v="870"/>
    <n v="47850.000000000007"/>
    <n v="26317.5"/>
  </r>
  <r>
    <x v="0"/>
    <n v="1185732"/>
    <x v="127"/>
    <x v="4"/>
    <s v="New York"/>
    <s v="Albany"/>
    <s v="In-store"/>
    <x v="2"/>
    <n v="65"/>
    <n v="625"/>
    <n v="40625"/>
    <n v="20312.5"/>
  </r>
  <r>
    <x v="3"/>
    <n v="1197831"/>
    <x v="127"/>
    <x v="2"/>
    <s v="Tennessee"/>
    <s v="Knoxville"/>
    <s v="Outlet"/>
    <x v="2"/>
    <n v="45"/>
    <n v="525"/>
    <n v="23625"/>
    <n v="9449.9999999999964"/>
  </r>
  <r>
    <x v="1"/>
    <n v="1189833"/>
    <x v="127"/>
    <x v="0"/>
    <s v="California"/>
    <s v="Los Angeles"/>
    <s v="Outlet"/>
    <x v="0"/>
    <n v="39"/>
    <n v="264"/>
    <n v="10296"/>
    <n v="7516.08"/>
  </r>
  <r>
    <x v="0"/>
    <n v="1185732"/>
    <x v="127"/>
    <x v="4"/>
    <s v="New York"/>
    <s v="Albany"/>
    <s v="Online"/>
    <x v="3"/>
    <n v="49"/>
    <n v="160"/>
    <n v="7840"/>
    <n v="5017.6000000000004"/>
  </r>
  <r>
    <x v="1"/>
    <n v="1189833"/>
    <x v="127"/>
    <x v="0"/>
    <s v="California"/>
    <s v="Los Angeles"/>
    <s v="Online"/>
    <x v="0"/>
    <n v="50"/>
    <n v="247"/>
    <n v="12350"/>
    <n v="7780.5"/>
  </r>
  <r>
    <x v="0"/>
    <n v="1185732"/>
    <x v="127"/>
    <x v="4"/>
    <s v="New York"/>
    <s v="Albany"/>
    <s v="Online"/>
    <x v="5"/>
    <n v="47"/>
    <n v="130"/>
    <n v="6110"/>
    <n v="3666"/>
  </r>
  <r>
    <x v="0"/>
    <n v="1185732"/>
    <x v="127"/>
    <x v="4"/>
    <s v="New York"/>
    <s v="Albany"/>
    <s v="Online"/>
    <x v="0"/>
    <n v="53"/>
    <n v="161"/>
    <n v="8533"/>
    <n v="4522.49"/>
  </r>
  <r>
    <x v="0"/>
    <n v="1185732"/>
    <x v="127"/>
    <x v="4"/>
    <s v="New York"/>
    <s v="Albany"/>
    <s v="Online"/>
    <x v="1"/>
    <n v="56"/>
    <n v="137"/>
    <n v="7672"/>
    <n v="3912.7200000000003"/>
  </r>
  <r>
    <x v="0"/>
    <n v="1185732"/>
    <x v="127"/>
    <x v="4"/>
    <s v="New York"/>
    <s v="Albany"/>
    <s v="Online"/>
    <x v="4"/>
    <n v="50"/>
    <n v="261"/>
    <n v="13050"/>
    <n v="5220"/>
  </r>
  <r>
    <x v="0"/>
    <n v="1185732"/>
    <x v="127"/>
    <x v="4"/>
    <s v="New York"/>
    <s v="Albany"/>
    <s v="Online"/>
    <x v="2"/>
    <n v="59"/>
    <n v="169"/>
    <n v="9971"/>
    <n v="3689.2699999999995"/>
  </r>
  <r>
    <x v="3"/>
    <n v="1197831"/>
    <x v="127"/>
    <x v="2"/>
    <s v="Tennessee"/>
    <s v="Knoxville"/>
    <s v="Outlet"/>
    <x v="2"/>
    <n v="29"/>
    <n v="179"/>
    <n v="5191"/>
    <n v="1713.0299999999993"/>
  </r>
  <r>
    <x v="3"/>
    <n v="1197831"/>
    <x v="127"/>
    <x v="2"/>
    <s v="Tennessee"/>
    <s v="Knoxville"/>
    <s v="Online"/>
    <x v="2"/>
    <n v="43"/>
    <n v="131"/>
    <n v="5633"/>
    <n v="1633.5699999999997"/>
  </r>
  <r>
    <x v="4"/>
    <n v="1185732"/>
    <x v="128"/>
    <x v="1"/>
    <s v="Ohio"/>
    <s v="Columbus"/>
    <s v="Online"/>
    <x v="1"/>
    <n v="49.999999999999993"/>
    <n v="450"/>
    <n v="22499.999999999996"/>
    <n v="14625"/>
  </r>
  <r>
    <x v="4"/>
    <n v="1185732"/>
    <x v="128"/>
    <x v="1"/>
    <s v="Ohio"/>
    <s v="Columbus"/>
    <s v="Online"/>
    <x v="0"/>
    <n v="45"/>
    <n v="500"/>
    <n v="22500"/>
    <n v="14625"/>
  </r>
  <r>
    <x v="1"/>
    <n v="1189833"/>
    <x v="128"/>
    <x v="0"/>
    <s v="California"/>
    <s v="Los Angeles"/>
    <s v="Outlet"/>
    <x v="3"/>
    <n v="50"/>
    <n v="700"/>
    <n v="35000"/>
    <n v="21000"/>
  </r>
  <r>
    <x v="4"/>
    <n v="1185732"/>
    <x v="128"/>
    <x v="1"/>
    <s v="Ohio"/>
    <s v="Columbus"/>
    <s v="Online"/>
    <x v="4"/>
    <n v="45"/>
    <n v="795"/>
    <n v="35775"/>
    <n v="21465"/>
  </r>
  <r>
    <x v="4"/>
    <n v="1185732"/>
    <x v="128"/>
    <x v="1"/>
    <s v="Ohio"/>
    <s v="Columbus"/>
    <s v="Online"/>
    <x v="3"/>
    <n v="40"/>
    <n v="475"/>
    <n v="19000"/>
    <n v="11400"/>
  </r>
  <r>
    <x v="4"/>
    <n v="1185732"/>
    <x v="128"/>
    <x v="1"/>
    <s v="Ohio"/>
    <s v="Columbus"/>
    <s v="Online"/>
    <x v="5"/>
    <n v="40"/>
    <n v="425"/>
    <n v="17000"/>
    <n v="10200"/>
  </r>
  <r>
    <x v="3"/>
    <n v="1197831"/>
    <x v="128"/>
    <x v="2"/>
    <s v="Tennessee"/>
    <s v="Knoxville"/>
    <s v="Outlet"/>
    <x v="4"/>
    <n v="30.000000000000004"/>
    <n v="675"/>
    <n v="20250.000000000004"/>
    <n v="11137.500000000004"/>
  </r>
  <r>
    <x v="4"/>
    <n v="1185732"/>
    <x v="128"/>
    <x v="1"/>
    <s v="Ohio"/>
    <s v="Columbus"/>
    <s v="Online"/>
    <x v="2"/>
    <n v="54.999999999999993"/>
    <n v="550"/>
    <n v="30249.999999999996"/>
    <n v="15124.999999999996"/>
  </r>
  <r>
    <x v="1"/>
    <n v="1189833"/>
    <x v="128"/>
    <x v="0"/>
    <s v="California"/>
    <s v="Los Angeles"/>
    <s v="Outlet"/>
    <x v="3"/>
    <n v="38"/>
    <n v="210"/>
    <n v="7980"/>
    <n v="4389"/>
  </r>
  <r>
    <x v="4"/>
    <n v="1185732"/>
    <x v="128"/>
    <x v="1"/>
    <s v="Ohio"/>
    <s v="Columbus"/>
    <s v="Online"/>
    <x v="1"/>
    <n v="49"/>
    <n v="126"/>
    <n v="6174"/>
    <n v="3333.96"/>
  </r>
  <r>
    <x v="3"/>
    <n v="1197831"/>
    <x v="128"/>
    <x v="2"/>
    <s v="Tennessee"/>
    <s v="Knoxville"/>
    <s v="Outlet"/>
    <x v="4"/>
    <n v="24"/>
    <n v="203"/>
    <n v="4872"/>
    <n v="2533.44"/>
  </r>
  <r>
    <x v="4"/>
    <n v="1185732"/>
    <x v="128"/>
    <x v="1"/>
    <s v="Ohio"/>
    <s v="Columbus"/>
    <s v="Online"/>
    <x v="0"/>
    <n v="44"/>
    <n v="135"/>
    <n v="5940"/>
    <n v="3029.4"/>
  </r>
  <r>
    <x v="1"/>
    <n v="1189833"/>
    <x v="128"/>
    <x v="0"/>
    <s v="California"/>
    <s v="Los Angeles"/>
    <s v="Online"/>
    <x v="3"/>
    <n v="46"/>
    <n v="196"/>
    <n v="9016"/>
    <n v="4508"/>
  </r>
  <r>
    <x v="4"/>
    <n v="1185732"/>
    <x v="128"/>
    <x v="1"/>
    <s v="Ohio"/>
    <s v="Columbus"/>
    <s v="Online"/>
    <x v="4"/>
    <n v="42"/>
    <n v="207"/>
    <n v="8694"/>
    <n v="4347"/>
  </r>
  <r>
    <x v="4"/>
    <n v="1185732"/>
    <x v="128"/>
    <x v="1"/>
    <s v="Ohio"/>
    <s v="Columbus"/>
    <s v="Online"/>
    <x v="3"/>
    <n v="39"/>
    <n v="143"/>
    <n v="5577"/>
    <n v="2732.73"/>
  </r>
  <r>
    <x v="4"/>
    <n v="1185732"/>
    <x v="128"/>
    <x v="1"/>
    <s v="Ohio"/>
    <s v="Columbus"/>
    <s v="Online"/>
    <x v="5"/>
    <n v="38"/>
    <n v="123"/>
    <n v="4674"/>
    <n v="2103.2999999999997"/>
  </r>
  <r>
    <x v="3"/>
    <n v="1197831"/>
    <x v="128"/>
    <x v="2"/>
    <s v="Tennessee"/>
    <s v="Knoxville"/>
    <s v="Online"/>
    <x v="4"/>
    <n v="29"/>
    <n v="196"/>
    <n v="5684"/>
    <n v="2500.9600000000005"/>
  </r>
  <r>
    <x v="4"/>
    <n v="1185732"/>
    <x v="128"/>
    <x v="1"/>
    <s v="Ohio"/>
    <s v="Columbus"/>
    <s v="Online"/>
    <x v="2"/>
    <n v="53"/>
    <n v="143"/>
    <n v="7579"/>
    <n v="2728.4399999999996"/>
  </r>
  <r>
    <x v="1"/>
    <n v="1185732"/>
    <x v="129"/>
    <x v="0"/>
    <s v="Wyoming"/>
    <s v="Cheyenne"/>
    <s v="In-store"/>
    <x v="2"/>
    <n v="55.000000000000007"/>
    <n v="600"/>
    <n v="33000.000000000007"/>
    <n v="24750.000000000007"/>
  </r>
  <r>
    <x v="1"/>
    <n v="1185732"/>
    <x v="129"/>
    <x v="0"/>
    <s v="Wyoming"/>
    <s v="Cheyenne"/>
    <s v="In-store"/>
    <x v="0"/>
    <n v="45.000000000000007"/>
    <n v="525"/>
    <n v="23625.000000000004"/>
    <n v="16537.500000000004"/>
  </r>
  <r>
    <x v="1"/>
    <n v="1185732"/>
    <x v="129"/>
    <x v="0"/>
    <s v="Wyoming"/>
    <s v="Cheyenne"/>
    <s v="In-store"/>
    <x v="1"/>
    <n v="50"/>
    <n v="475"/>
    <n v="23750"/>
    <n v="16625"/>
  </r>
  <r>
    <x v="3"/>
    <n v="1185732"/>
    <x v="129"/>
    <x v="1"/>
    <s v="North Dakota"/>
    <s v="Fargo"/>
    <s v="In-store"/>
    <x v="0"/>
    <n v="45"/>
    <n v="200"/>
    <n v="9000"/>
    <n v="6300"/>
  </r>
  <r>
    <x v="3"/>
    <n v="1185732"/>
    <x v="129"/>
    <x v="1"/>
    <s v="North Dakota"/>
    <s v="Fargo"/>
    <s v="In-store"/>
    <x v="3"/>
    <n v="40"/>
    <n v="175"/>
    <n v="7000"/>
    <n v="4900"/>
  </r>
  <r>
    <x v="3"/>
    <n v="1185732"/>
    <x v="129"/>
    <x v="1"/>
    <s v="North Dakota"/>
    <s v="Fargo"/>
    <s v="In-store"/>
    <x v="5"/>
    <n v="40"/>
    <n v="100"/>
    <n v="4000"/>
    <n v="2800"/>
  </r>
  <r>
    <x v="3"/>
    <n v="1185732"/>
    <x v="129"/>
    <x v="1"/>
    <s v="North Dakota"/>
    <s v="Fargo"/>
    <s v="In-store"/>
    <x v="1"/>
    <n v="49.999999999999993"/>
    <n v="125"/>
    <n v="6249.9999999999991"/>
    <n v="4062.5"/>
  </r>
  <r>
    <x v="1"/>
    <n v="1189833"/>
    <x v="129"/>
    <x v="0"/>
    <s v="California"/>
    <s v="Los Angeles"/>
    <s v="Outlet"/>
    <x v="5"/>
    <n v="50"/>
    <n v="650"/>
    <n v="32500"/>
    <n v="21125"/>
  </r>
  <r>
    <x v="1"/>
    <n v="1185732"/>
    <x v="129"/>
    <x v="0"/>
    <s v="Wyoming"/>
    <s v="Cheyenne"/>
    <s v="In-store"/>
    <x v="3"/>
    <n v="40"/>
    <n v="500"/>
    <n v="20000"/>
    <n v="13000"/>
  </r>
  <r>
    <x v="1"/>
    <n v="1185732"/>
    <x v="129"/>
    <x v="0"/>
    <s v="Wyoming"/>
    <s v="Cheyenne"/>
    <s v="In-store"/>
    <x v="5"/>
    <n v="40"/>
    <n v="450"/>
    <n v="18000"/>
    <n v="11700"/>
  </r>
  <r>
    <x v="3"/>
    <n v="1185732"/>
    <x v="129"/>
    <x v="1"/>
    <s v="North Dakota"/>
    <s v="Fargo"/>
    <s v="In-store"/>
    <x v="4"/>
    <n v="60"/>
    <n v="495"/>
    <n v="29700"/>
    <n v="19305"/>
  </r>
  <r>
    <x v="4"/>
    <n v="1185732"/>
    <x v="129"/>
    <x v="4"/>
    <s v="Vermont"/>
    <s v="Burlington"/>
    <s v="In-store"/>
    <x v="3"/>
    <n v="50"/>
    <n v="300"/>
    <n v="15000"/>
    <n v="9750"/>
  </r>
  <r>
    <x v="4"/>
    <n v="1185732"/>
    <x v="129"/>
    <x v="4"/>
    <s v="Vermont"/>
    <s v="Burlington"/>
    <s v="In-store"/>
    <x v="5"/>
    <n v="50"/>
    <n v="250"/>
    <n v="12500"/>
    <n v="8125"/>
  </r>
  <r>
    <x v="4"/>
    <n v="1185732"/>
    <x v="129"/>
    <x v="4"/>
    <s v="Vermont"/>
    <s v="Burlington"/>
    <s v="In-store"/>
    <x v="1"/>
    <n v="60"/>
    <n v="275"/>
    <n v="16500"/>
    <n v="10725"/>
  </r>
  <r>
    <x v="4"/>
    <n v="1185732"/>
    <x v="129"/>
    <x v="4"/>
    <s v="Vermont"/>
    <s v="Burlington"/>
    <s v="In-store"/>
    <x v="2"/>
    <n v="65"/>
    <n v="400"/>
    <n v="26000"/>
    <n v="15600"/>
  </r>
  <r>
    <x v="3"/>
    <n v="1185732"/>
    <x v="129"/>
    <x v="1"/>
    <s v="North Dakota"/>
    <s v="Fargo"/>
    <s v="In-store"/>
    <x v="2"/>
    <n v="54.999999999999993"/>
    <n v="250"/>
    <n v="13749.999999999998"/>
    <n v="8249.9999999999964"/>
  </r>
  <r>
    <x v="3"/>
    <n v="1197831"/>
    <x v="129"/>
    <x v="2"/>
    <s v="Tennessee"/>
    <s v="Knoxville"/>
    <s v="Outlet"/>
    <x v="0"/>
    <n v="30.000000000000004"/>
    <n v="675"/>
    <n v="20250.000000000004"/>
    <n v="11137.500000000004"/>
  </r>
  <r>
    <x v="4"/>
    <n v="1185732"/>
    <x v="129"/>
    <x v="4"/>
    <s v="Vermont"/>
    <s v="Burlington"/>
    <s v="In-store"/>
    <x v="4"/>
    <n v="60"/>
    <n v="570"/>
    <n v="34200"/>
    <n v="18810"/>
  </r>
  <r>
    <x v="4"/>
    <n v="1185732"/>
    <x v="129"/>
    <x v="4"/>
    <s v="Vermont"/>
    <s v="Burlington"/>
    <s v="In-store"/>
    <x v="0"/>
    <n v="55.000000000000007"/>
    <n v="275"/>
    <n v="15125.000000000002"/>
    <n v="8318.7500000000018"/>
  </r>
  <r>
    <x v="1"/>
    <n v="1185732"/>
    <x v="129"/>
    <x v="0"/>
    <s v="Wyoming"/>
    <s v="Cheyenne"/>
    <s v="In-store"/>
    <x v="4"/>
    <n v="50"/>
    <n v="820"/>
    <n v="41000"/>
    <n v="20500"/>
  </r>
  <r>
    <x v="4"/>
    <n v="1185732"/>
    <x v="129"/>
    <x v="4"/>
    <s v="Vermont"/>
    <s v="Burlington"/>
    <s v="Outlet"/>
    <x v="3"/>
    <n v="37"/>
    <n v="96"/>
    <n v="3552"/>
    <n v="2237.7600000000002"/>
  </r>
  <r>
    <x v="1"/>
    <n v="1185732"/>
    <x v="129"/>
    <x v="0"/>
    <s v="Wyoming"/>
    <s v="Cheyenne"/>
    <s v="Online"/>
    <x v="0"/>
    <n v="41"/>
    <n v="152"/>
    <n v="6232"/>
    <n v="3739.2"/>
  </r>
  <r>
    <x v="1"/>
    <n v="1185732"/>
    <x v="129"/>
    <x v="0"/>
    <s v="Wyoming"/>
    <s v="Cheyenne"/>
    <s v="Online"/>
    <x v="2"/>
    <n v="52"/>
    <n v="156"/>
    <n v="8112"/>
    <n v="4867.2"/>
  </r>
  <r>
    <x v="1"/>
    <n v="1189833"/>
    <x v="129"/>
    <x v="0"/>
    <s v="California"/>
    <s v="Los Angeles"/>
    <s v="Outlet"/>
    <x v="5"/>
    <n v="39"/>
    <n v="195"/>
    <n v="7605"/>
    <n v="4563"/>
  </r>
  <r>
    <x v="4"/>
    <n v="1185732"/>
    <x v="129"/>
    <x v="4"/>
    <s v="Vermont"/>
    <s v="Burlington"/>
    <s v="Outlet"/>
    <x v="5"/>
    <n v="40"/>
    <n v="83"/>
    <n v="3320"/>
    <n v="1992"/>
  </r>
  <r>
    <x v="4"/>
    <n v="1185732"/>
    <x v="129"/>
    <x v="4"/>
    <s v="Vermont"/>
    <s v="Burlington"/>
    <s v="Outlet"/>
    <x v="1"/>
    <n v="46"/>
    <n v="91"/>
    <n v="4186"/>
    <n v="2469.7399999999998"/>
  </r>
  <r>
    <x v="1"/>
    <n v="1185732"/>
    <x v="129"/>
    <x v="0"/>
    <s v="Wyoming"/>
    <s v="Cheyenne"/>
    <s v="Online"/>
    <x v="1"/>
    <n v="45"/>
    <n v="133"/>
    <n v="5985"/>
    <n v="3471.3"/>
  </r>
  <r>
    <x v="3"/>
    <n v="1185732"/>
    <x v="129"/>
    <x v="1"/>
    <s v="North Dakota"/>
    <s v="Fargo"/>
    <s v="Online"/>
    <x v="3"/>
    <n v="37"/>
    <n v="51"/>
    <n v="1887"/>
    <n v="1075.5900000000001"/>
  </r>
  <r>
    <x v="3"/>
    <n v="1185732"/>
    <x v="129"/>
    <x v="1"/>
    <s v="North Dakota"/>
    <s v="Fargo"/>
    <s v="Online"/>
    <x v="5"/>
    <n v="36"/>
    <n v="26"/>
    <n v="936"/>
    <n v="524.16000000000008"/>
  </r>
  <r>
    <x v="3"/>
    <n v="1185732"/>
    <x v="129"/>
    <x v="1"/>
    <s v="North Dakota"/>
    <s v="Fargo"/>
    <s v="Online"/>
    <x v="0"/>
    <n v="41"/>
    <n v="54"/>
    <n v="2214"/>
    <n v="1239.8400000000001"/>
  </r>
  <r>
    <x v="4"/>
    <n v="1185732"/>
    <x v="129"/>
    <x v="4"/>
    <s v="Vermont"/>
    <s v="Burlington"/>
    <s v="Outlet"/>
    <x v="2"/>
    <n v="47"/>
    <n v="120"/>
    <n v="5640"/>
    <n v="3045.6000000000004"/>
  </r>
  <r>
    <x v="4"/>
    <n v="1185732"/>
    <x v="129"/>
    <x v="4"/>
    <s v="Vermont"/>
    <s v="Burlington"/>
    <s v="Online"/>
    <x v="3"/>
    <n v="49"/>
    <n v="75"/>
    <n v="3675"/>
    <n v="1984.5000000000002"/>
  </r>
  <r>
    <x v="4"/>
    <n v="1185732"/>
    <x v="129"/>
    <x v="4"/>
    <s v="Vermont"/>
    <s v="Burlington"/>
    <s v="Online"/>
    <x v="5"/>
    <n v="46"/>
    <n v="65"/>
    <n v="2990"/>
    <n v="1584.7"/>
  </r>
  <r>
    <x v="4"/>
    <n v="1185732"/>
    <x v="129"/>
    <x v="4"/>
    <s v="Vermont"/>
    <s v="Burlington"/>
    <s v="Online"/>
    <x v="1"/>
    <n v="55"/>
    <n v="72"/>
    <n v="3960"/>
    <n v="2098.8000000000002"/>
  </r>
  <r>
    <x v="3"/>
    <n v="1185732"/>
    <x v="129"/>
    <x v="1"/>
    <s v="North Dakota"/>
    <s v="Fargo"/>
    <s v="Online"/>
    <x v="4"/>
    <n v="55"/>
    <n v="129"/>
    <n v="7095"/>
    <n v="3689.4"/>
  </r>
  <r>
    <x v="3"/>
    <n v="1185732"/>
    <x v="129"/>
    <x v="1"/>
    <s v="North Dakota"/>
    <s v="Fargo"/>
    <s v="Online"/>
    <x v="1"/>
    <n v="46"/>
    <n v="31"/>
    <n v="1426"/>
    <n v="741.52"/>
  </r>
  <r>
    <x v="3"/>
    <n v="1197831"/>
    <x v="129"/>
    <x v="2"/>
    <s v="Tennessee"/>
    <s v="Knoxville"/>
    <s v="Outlet"/>
    <x v="0"/>
    <n v="21"/>
    <n v="223"/>
    <n v="4683"/>
    <n v="2388.3300000000004"/>
  </r>
  <r>
    <x v="1"/>
    <n v="1185732"/>
    <x v="129"/>
    <x v="0"/>
    <s v="Wyoming"/>
    <s v="Cheyenne"/>
    <s v="Online"/>
    <x v="3"/>
    <n v="39"/>
    <n v="145"/>
    <n v="5655"/>
    <n v="2884.05"/>
  </r>
  <r>
    <x v="1"/>
    <n v="1189833"/>
    <x v="129"/>
    <x v="0"/>
    <s v="California"/>
    <s v="Los Angeles"/>
    <s v="Online"/>
    <x v="5"/>
    <n v="46"/>
    <n v="176"/>
    <n v="8096"/>
    <n v="4048"/>
  </r>
  <r>
    <x v="1"/>
    <n v="1185732"/>
    <x v="129"/>
    <x v="0"/>
    <s v="Wyoming"/>
    <s v="Cheyenne"/>
    <s v="Online"/>
    <x v="5"/>
    <n v="39"/>
    <n v="131"/>
    <n v="5109"/>
    <n v="2554.5"/>
  </r>
  <r>
    <x v="3"/>
    <n v="1185732"/>
    <x v="129"/>
    <x v="1"/>
    <s v="North Dakota"/>
    <s v="Fargo"/>
    <s v="Online"/>
    <x v="2"/>
    <n v="52"/>
    <n v="75"/>
    <n v="3900"/>
    <n v="1911"/>
  </r>
  <r>
    <x v="4"/>
    <n v="1185732"/>
    <x v="129"/>
    <x v="4"/>
    <s v="Vermont"/>
    <s v="Burlington"/>
    <s v="Outlet"/>
    <x v="4"/>
    <n v="48"/>
    <n v="177"/>
    <n v="8496"/>
    <n v="4163.04"/>
  </r>
  <r>
    <x v="4"/>
    <n v="1185732"/>
    <x v="129"/>
    <x v="4"/>
    <s v="Vermont"/>
    <s v="Burlington"/>
    <s v="Outlet"/>
    <x v="0"/>
    <n v="41"/>
    <n v="94"/>
    <n v="3854"/>
    <n v="1888.46"/>
  </r>
  <r>
    <x v="4"/>
    <n v="1185732"/>
    <x v="129"/>
    <x v="4"/>
    <s v="Vermont"/>
    <s v="Burlington"/>
    <s v="Online"/>
    <x v="2"/>
    <n v="60"/>
    <n v="120"/>
    <n v="7200"/>
    <n v="3456"/>
  </r>
  <r>
    <x v="3"/>
    <n v="1197831"/>
    <x v="129"/>
    <x v="2"/>
    <s v="Tennessee"/>
    <s v="Knoxville"/>
    <s v="Online"/>
    <x v="0"/>
    <n v="29"/>
    <n v="189"/>
    <n v="5481"/>
    <n v="2411.6400000000003"/>
  </r>
  <r>
    <x v="4"/>
    <n v="1185732"/>
    <x v="129"/>
    <x v="4"/>
    <s v="Vermont"/>
    <s v="Burlington"/>
    <s v="Online"/>
    <x v="0"/>
    <n v="54"/>
    <n v="80"/>
    <n v="4320"/>
    <n v="1900.7999999999997"/>
  </r>
  <r>
    <x v="4"/>
    <n v="1185732"/>
    <x v="129"/>
    <x v="4"/>
    <s v="Vermont"/>
    <s v="Burlington"/>
    <s v="Online"/>
    <x v="4"/>
    <n v="55"/>
    <n v="154"/>
    <n v="8470"/>
    <n v="3642.0999999999995"/>
  </r>
  <r>
    <x v="1"/>
    <n v="1185732"/>
    <x v="129"/>
    <x v="0"/>
    <s v="Wyoming"/>
    <s v="Cheyenne"/>
    <s v="Online"/>
    <x v="4"/>
    <n v="45"/>
    <n v="246"/>
    <n v="11070"/>
    <n v="3874.5"/>
  </r>
  <r>
    <x v="2"/>
    <n v="1128299"/>
    <x v="130"/>
    <x v="0"/>
    <s v="Hawaii"/>
    <s v="Honolulu"/>
    <s v="Outlet"/>
    <x v="1"/>
    <n v="60"/>
    <n v="175"/>
    <n v="10500"/>
    <n v="8925"/>
  </r>
  <r>
    <x v="2"/>
    <n v="1128299"/>
    <x v="130"/>
    <x v="0"/>
    <s v="Hawaii"/>
    <s v="Honolulu"/>
    <s v="Outlet"/>
    <x v="0"/>
    <n v="60"/>
    <n v="375"/>
    <n v="22500"/>
    <n v="18000"/>
  </r>
  <r>
    <x v="2"/>
    <n v="1128299"/>
    <x v="130"/>
    <x v="0"/>
    <s v="Hawaii"/>
    <s v="Honolulu"/>
    <s v="Outlet"/>
    <x v="3"/>
    <n v="60"/>
    <n v="375"/>
    <n v="22500"/>
    <n v="16875"/>
  </r>
  <r>
    <x v="2"/>
    <n v="1128299"/>
    <x v="130"/>
    <x v="0"/>
    <s v="Hawaii"/>
    <s v="Honolulu"/>
    <s v="Outlet"/>
    <x v="4"/>
    <n v="54.999999999999993"/>
    <n v="525"/>
    <n v="28874.999999999996"/>
    <n v="21656.249999999993"/>
  </r>
  <r>
    <x v="2"/>
    <n v="1128299"/>
    <x v="130"/>
    <x v="0"/>
    <s v="Hawaii"/>
    <s v="Honolulu"/>
    <s v="Outlet"/>
    <x v="5"/>
    <n v="54.999999999999993"/>
    <n v="275"/>
    <n v="15124.999999999998"/>
    <n v="11343.749999999996"/>
  </r>
  <r>
    <x v="0"/>
    <n v="1185732"/>
    <x v="130"/>
    <x v="1"/>
    <s v="Indiana"/>
    <s v="Indianapolis"/>
    <s v="In-store"/>
    <x v="1"/>
    <n v="44.999999999999993"/>
    <n v="200"/>
    <n v="8999.9999999999982"/>
    <n v="6299.9999999999982"/>
  </r>
  <r>
    <x v="0"/>
    <n v="1185732"/>
    <x v="130"/>
    <x v="1"/>
    <s v="Indiana"/>
    <s v="Indianapolis"/>
    <s v="In-store"/>
    <x v="3"/>
    <n v="35"/>
    <n v="225"/>
    <n v="7875"/>
    <n v="5118.75"/>
  </r>
  <r>
    <x v="0"/>
    <n v="1185732"/>
    <x v="130"/>
    <x v="1"/>
    <s v="Indiana"/>
    <s v="Indianapolis"/>
    <s v="In-store"/>
    <x v="5"/>
    <n v="35"/>
    <n v="175"/>
    <n v="6125"/>
    <n v="3981.25"/>
  </r>
  <r>
    <x v="2"/>
    <n v="1128299"/>
    <x v="130"/>
    <x v="0"/>
    <s v="Hawaii"/>
    <s v="Honolulu"/>
    <s v="Outlet"/>
    <x v="2"/>
    <n v="75"/>
    <n v="475"/>
    <n v="35625"/>
    <n v="21375"/>
  </r>
  <r>
    <x v="0"/>
    <n v="1185732"/>
    <x v="130"/>
    <x v="1"/>
    <s v="Indiana"/>
    <s v="Indianapolis"/>
    <s v="In-store"/>
    <x v="4"/>
    <n v="60"/>
    <n v="545"/>
    <n v="32700"/>
    <n v="19620"/>
  </r>
  <r>
    <x v="0"/>
    <n v="1185732"/>
    <x v="130"/>
    <x v="1"/>
    <s v="Indiana"/>
    <s v="Indianapolis"/>
    <s v="In-store"/>
    <x v="0"/>
    <n v="40"/>
    <n v="250"/>
    <n v="10000"/>
    <n v="6000"/>
  </r>
  <r>
    <x v="0"/>
    <n v="1185732"/>
    <x v="130"/>
    <x v="1"/>
    <s v="Indiana"/>
    <s v="Indianapolis"/>
    <s v="In-store"/>
    <x v="2"/>
    <n v="54.999999999999993"/>
    <n v="325"/>
    <n v="17874.999999999996"/>
    <n v="10724.999999999998"/>
  </r>
  <r>
    <x v="3"/>
    <n v="1197831"/>
    <x v="130"/>
    <x v="2"/>
    <s v="Tennessee"/>
    <s v="Knoxville"/>
    <s v="Outlet"/>
    <x v="3"/>
    <n v="55.000000000000007"/>
    <n v="600"/>
    <n v="33000.000000000007"/>
    <n v="18150.000000000007"/>
  </r>
  <r>
    <x v="1"/>
    <n v="1189833"/>
    <x v="130"/>
    <x v="0"/>
    <s v="California"/>
    <s v="Los Angeles"/>
    <s v="Outlet"/>
    <x v="1"/>
    <n v="60"/>
    <n v="650"/>
    <n v="39000"/>
    <n v="17549.999999999996"/>
  </r>
  <r>
    <x v="2"/>
    <n v="1128299"/>
    <x v="130"/>
    <x v="0"/>
    <s v="Hawaii"/>
    <s v="Honolulu"/>
    <s v="Online"/>
    <x v="1"/>
    <n v="55"/>
    <n v="46"/>
    <n v="2530"/>
    <n v="1821.6"/>
  </r>
  <r>
    <x v="2"/>
    <n v="1128299"/>
    <x v="130"/>
    <x v="0"/>
    <s v="Hawaii"/>
    <s v="Honolulu"/>
    <s v="Online"/>
    <x v="0"/>
    <n v="58"/>
    <n v="98"/>
    <n v="5684"/>
    <n v="3808.2799999999997"/>
  </r>
  <r>
    <x v="2"/>
    <n v="1128299"/>
    <x v="130"/>
    <x v="0"/>
    <s v="Hawaii"/>
    <s v="Honolulu"/>
    <s v="Online"/>
    <x v="4"/>
    <n v="51"/>
    <n v="158"/>
    <n v="8058"/>
    <n v="5076.54"/>
  </r>
  <r>
    <x v="2"/>
    <n v="1128299"/>
    <x v="130"/>
    <x v="0"/>
    <s v="Hawaii"/>
    <s v="Honolulu"/>
    <s v="Online"/>
    <x v="3"/>
    <n v="56"/>
    <n v="98"/>
    <n v="5488"/>
    <n v="3292.7999999999997"/>
  </r>
  <r>
    <x v="2"/>
    <n v="1128299"/>
    <x v="130"/>
    <x v="0"/>
    <s v="Hawaii"/>
    <s v="Honolulu"/>
    <s v="Online"/>
    <x v="5"/>
    <n v="52"/>
    <n v="80"/>
    <n v="4160"/>
    <n v="2496"/>
  </r>
  <r>
    <x v="0"/>
    <n v="1185732"/>
    <x v="130"/>
    <x v="1"/>
    <s v="Indiana"/>
    <s v="Indianapolis"/>
    <s v="Online"/>
    <x v="1"/>
    <n v="44"/>
    <n v="58"/>
    <n v="2552"/>
    <n v="1403.6000000000001"/>
  </r>
  <r>
    <x v="0"/>
    <n v="1185732"/>
    <x v="130"/>
    <x v="1"/>
    <s v="Indiana"/>
    <s v="Indianapolis"/>
    <s v="Online"/>
    <x v="3"/>
    <n v="34"/>
    <n v="56"/>
    <n v="1904"/>
    <n v="1009.12"/>
  </r>
  <r>
    <x v="3"/>
    <n v="1197831"/>
    <x v="130"/>
    <x v="2"/>
    <s v="Tennessee"/>
    <s v="Knoxville"/>
    <s v="Outlet"/>
    <x v="3"/>
    <n v="37"/>
    <n v="204"/>
    <n v="7548"/>
    <n v="4000.44"/>
  </r>
  <r>
    <x v="0"/>
    <n v="1185732"/>
    <x v="130"/>
    <x v="1"/>
    <s v="Indiana"/>
    <s v="Indianapolis"/>
    <s v="Online"/>
    <x v="5"/>
    <n v="34"/>
    <n v="49"/>
    <n v="1666"/>
    <n v="849.66"/>
  </r>
  <r>
    <x v="0"/>
    <n v="1185732"/>
    <x v="130"/>
    <x v="1"/>
    <s v="Indiana"/>
    <s v="Indianapolis"/>
    <s v="Online"/>
    <x v="4"/>
    <n v="54"/>
    <n v="164"/>
    <n v="8856"/>
    <n v="4428"/>
  </r>
  <r>
    <x v="0"/>
    <n v="1185732"/>
    <x v="130"/>
    <x v="1"/>
    <s v="Indiana"/>
    <s v="Indianapolis"/>
    <s v="Online"/>
    <x v="2"/>
    <n v="53"/>
    <n v="91"/>
    <n v="4823"/>
    <n v="2315.04"/>
  </r>
  <r>
    <x v="2"/>
    <n v="1128299"/>
    <x v="130"/>
    <x v="0"/>
    <s v="Hawaii"/>
    <s v="Honolulu"/>
    <s v="Online"/>
    <x v="2"/>
    <n v="69"/>
    <n v="143"/>
    <n v="9867"/>
    <n v="4440.1499999999996"/>
  </r>
  <r>
    <x v="0"/>
    <n v="1185732"/>
    <x v="130"/>
    <x v="1"/>
    <s v="Indiana"/>
    <s v="Indianapolis"/>
    <s v="Online"/>
    <x v="0"/>
    <n v="37"/>
    <n v="73"/>
    <n v="2701"/>
    <n v="1215.4499999999998"/>
  </r>
  <r>
    <x v="3"/>
    <n v="1197831"/>
    <x v="130"/>
    <x v="2"/>
    <s v="Tennessee"/>
    <s v="Knoxville"/>
    <s v="Online"/>
    <x v="3"/>
    <n v="50"/>
    <n v="174"/>
    <n v="8700"/>
    <n v="3828.0000000000009"/>
  </r>
  <r>
    <x v="1"/>
    <n v="1189833"/>
    <x v="130"/>
    <x v="0"/>
    <s v="California"/>
    <s v="Los Angeles"/>
    <s v="Outlet"/>
    <x v="1"/>
    <n v="44"/>
    <n v="195"/>
    <n v="8580"/>
    <n v="3260.3999999999987"/>
  </r>
  <r>
    <x v="1"/>
    <n v="1189833"/>
    <x v="130"/>
    <x v="0"/>
    <s v="California"/>
    <s v="Los Angeles"/>
    <s v="Online"/>
    <x v="1"/>
    <n v="58"/>
    <n v="163"/>
    <n v="9454"/>
    <n v="3119.8199999999997"/>
  </r>
  <r>
    <x v="1"/>
    <n v="1189833"/>
    <x v="131"/>
    <x v="0"/>
    <s v="California"/>
    <s v="Los Angeles"/>
    <s v="Outlet"/>
    <x v="2"/>
    <n v="65"/>
    <n v="700"/>
    <n v="45500"/>
    <n v="36400"/>
  </r>
  <r>
    <x v="0"/>
    <n v="1185732"/>
    <x v="131"/>
    <x v="0"/>
    <s v="Utah"/>
    <s v="Salt Lake City"/>
    <s v="In-store"/>
    <x v="3"/>
    <n v="25.000000000000007"/>
    <n v="350"/>
    <n v="8750.0000000000018"/>
    <n v="5687.5000000000018"/>
  </r>
  <r>
    <x v="0"/>
    <n v="1185732"/>
    <x v="131"/>
    <x v="0"/>
    <s v="Utah"/>
    <s v="Salt Lake City"/>
    <s v="In-store"/>
    <x v="0"/>
    <n v="30.000000000000011"/>
    <n v="375"/>
    <n v="11250.000000000004"/>
    <n v="7312.5000000000027"/>
  </r>
  <r>
    <x v="1"/>
    <n v="1197831"/>
    <x v="131"/>
    <x v="1"/>
    <s v="Kansas"/>
    <s v="Wichita"/>
    <s v="Online"/>
    <x v="1"/>
    <n v="44.999999999999993"/>
    <n v="225"/>
    <n v="10124.999999999998"/>
    <n v="6581.25"/>
  </r>
  <r>
    <x v="0"/>
    <n v="1185732"/>
    <x v="131"/>
    <x v="0"/>
    <s v="Utah"/>
    <s v="Salt Lake City"/>
    <s v="In-store"/>
    <x v="1"/>
    <n v="40"/>
    <n v="300"/>
    <n v="12000"/>
    <n v="7800"/>
  </r>
  <r>
    <x v="1"/>
    <n v="1197831"/>
    <x v="131"/>
    <x v="1"/>
    <s v="Kansas"/>
    <s v="Wichita"/>
    <s v="Online"/>
    <x v="4"/>
    <n v="40"/>
    <n v="570"/>
    <n v="22800"/>
    <n v="14820"/>
  </r>
  <r>
    <x v="1"/>
    <n v="1197831"/>
    <x v="131"/>
    <x v="1"/>
    <s v="Kansas"/>
    <s v="Wichita"/>
    <s v="Online"/>
    <x v="0"/>
    <n v="40"/>
    <n v="275"/>
    <n v="11000"/>
    <n v="7150"/>
  </r>
  <r>
    <x v="1"/>
    <n v="1197831"/>
    <x v="131"/>
    <x v="1"/>
    <s v="Kansas"/>
    <s v="Wichita"/>
    <s v="Online"/>
    <x v="3"/>
    <n v="35"/>
    <n v="250"/>
    <n v="8750"/>
    <n v="5687.5"/>
  </r>
  <r>
    <x v="1"/>
    <n v="1197831"/>
    <x v="131"/>
    <x v="1"/>
    <s v="Kansas"/>
    <s v="Wichita"/>
    <s v="Online"/>
    <x v="5"/>
    <n v="35"/>
    <n v="200"/>
    <n v="7000"/>
    <n v="4550"/>
  </r>
  <r>
    <x v="1"/>
    <n v="1197831"/>
    <x v="131"/>
    <x v="1"/>
    <s v="Kansas"/>
    <s v="Wichita"/>
    <s v="Online"/>
    <x v="2"/>
    <n v="44.999999999999993"/>
    <n v="325"/>
    <n v="14624.999999999998"/>
    <n v="9506.2499999999982"/>
  </r>
  <r>
    <x v="0"/>
    <n v="1185732"/>
    <x v="131"/>
    <x v="0"/>
    <s v="Utah"/>
    <s v="Salt Lake City"/>
    <s v="In-store"/>
    <x v="4"/>
    <n v="35"/>
    <n v="670"/>
    <n v="23450"/>
    <n v="14070"/>
  </r>
  <r>
    <x v="0"/>
    <n v="1185732"/>
    <x v="131"/>
    <x v="0"/>
    <s v="Utah"/>
    <s v="Salt Lake City"/>
    <s v="In-store"/>
    <x v="5"/>
    <n v="25.000000000000007"/>
    <n v="275"/>
    <n v="6875.0000000000018"/>
    <n v="4125.0000000000009"/>
  </r>
  <r>
    <x v="0"/>
    <n v="1185732"/>
    <x v="131"/>
    <x v="0"/>
    <s v="Utah"/>
    <s v="Salt Lake City"/>
    <s v="In-store"/>
    <x v="2"/>
    <n v="44.999999999999993"/>
    <n v="400"/>
    <n v="17999.999999999996"/>
    <n v="8999.9999999999982"/>
  </r>
  <r>
    <x v="3"/>
    <n v="1197831"/>
    <x v="131"/>
    <x v="2"/>
    <s v="Tennessee"/>
    <s v="Knoxville"/>
    <s v="Outlet"/>
    <x v="5"/>
    <n v="55.000000000000007"/>
    <n v="475"/>
    <n v="26125.000000000004"/>
    <n v="11756.25"/>
  </r>
  <r>
    <x v="1"/>
    <n v="1189833"/>
    <x v="131"/>
    <x v="0"/>
    <s v="California"/>
    <s v="Los Angeles"/>
    <s v="Outlet"/>
    <x v="2"/>
    <n v="49"/>
    <n v="210"/>
    <n v="10290"/>
    <n v="8026.2"/>
  </r>
  <r>
    <x v="1"/>
    <n v="1189833"/>
    <x v="131"/>
    <x v="0"/>
    <s v="California"/>
    <s v="Los Angeles"/>
    <s v="Online"/>
    <x v="2"/>
    <n v="59"/>
    <n v="189"/>
    <n v="11151"/>
    <n v="7694.1900000000005"/>
  </r>
  <r>
    <x v="0"/>
    <n v="1185732"/>
    <x v="131"/>
    <x v="0"/>
    <s v="Utah"/>
    <s v="Salt Lake City"/>
    <s v="Outlet"/>
    <x v="3"/>
    <n v="19"/>
    <n v="109"/>
    <n v="2071"/>
    <n v="1284.02"/>
  </r>
  <r>
    <x v="0"/>
    <n v="1185732"/>
    <x v="131"/>
    <x v="0"/>
    <s v="Utah"/>
    <s v="Salt Lake City"/>
    <s v="Outlet"/>
    <x v="0"/>
    <n v="22"/>
    <n v="128"/>
    <n v="2816"/>
    <n v="1633.28"/>
  </r>
  <r>
    <x v="0"/>
    <n v="1185732"/>
    <x v="131"/>
    <x v="0"/>
    <s v="Utah"/>
    <s v="Salt Lake City"/>
    <s v="Outlet"/>
    <x v="1"/>
    <n v="29"/>
    <n v="90"/>
    <n v="2610"/>
    <n v="1513.8"/>
  </r>
  <r>
    <x v="0"/>
    <n v="1185732"/>
    <x v="131"/>
    <x v="0"/>
    <s v="Utah"/>
    <s v="Salt Lake City"/>
    <s v="Outlet"/>
    <x v="4"/>
    <n v="27"/>
    <n v="228"/>
    <n v="6156"/>
    <n v="3508.9199999999996"/>
  </r>
  <r>
    <x v="0"/>
    <n v="1185732"/>
    <x v="131"/>
    <x v="0"/>
    <s v="Utah"/>
    <s v="Salt Lake City"/>
    <s v="Outlet"/>
    <x v="5"/>
    <n v="19"/>
    <n v="94"/>
    <n v="1786"/>
    <n v="1018.0199999999999"/>
  </r>
  <r>
    <x v="1"/>
    <n v="1197831"/>
    <x v="131"/>
    <x v="1"/>
    <s v="Kansas"/>
    <s v="Wichita"/>
    <s v="Online"/>
    <x v="4"/>
    <n v="36"/>
    <n v="143"/>
    <n v="5148"/>
    <n v="2831.4"/>
  </r>
  <r>
    <x v="1"/>
    <n v="1197831"/>
    <x v="131"/>
    <x v="1"/>
    <s v="Kansas"/>
    <s v="Wichita"/>
    <s v="Online"/>
    <x v="2"/>
    <n v="42"/>
    <n v="94"/>
    <n v="3948"/>
    <n v="2171.4"/>
  </r>
  <r>
    <x v="1"/>
    <n v="1197831"/>
    <x v="131"/>
    <x v="1"/>
    <s v="Kansas"/>
    <s v="Wichita"/>
    <s v="Online"/>
    <x v="0"/>
    <n v="39"/>
    <n v="77"/>
    <n v="3003"/>
    <n v="1561.56"/>
  </r>
  <r>
    <x v="1"/>
    <n v="1197831"/>
    <x v="131"/>
    <x v="1"/>
    <s v="Kansas"/>
    <s v="Wichita"/>
    <s v="Online"/>
    <x v="3"/>
    <n v="32"/>
    <n v="65"/>
    <n v="2080"/>
    <n v="1060.8000000000002"/>
  </r>
  <r>
    <x v="0"/>
    <n v="1185732"/>
    <x v="131"/>
    <x v="0"/>
    <s v="Utah"/>
    <s v="Salt Lake City"/>
    <s v="Online"/>
    <x v="0"/>
    <n v="29"/>
    <n v="101"/>
    <n v="2929"/>
    <n v="1493.79"/>
  </r>
  <r>
    <x v="0"/>
    <n v="1185732"/>
    <x v="131"/>
    <x v="0"/>
    <s v="Utah"/>
    <s v="Salt Lake City"/>
    <s v="Online"/>
    <x v="3"/>
    <n v="25"/>
    <n v="98"/>
    <n v="2450"/>
    <n v="1225"/>
  </r>
  <r>
    <x v="0"/>
    <n v="1185732"/>
    <x v="131"/>
    <x v="0"/>
    <s v="Utah"/>
    <s v="Salt Lake City"/>
    <s v="Online"/>
    <x v="1"/>
    <n v="39"/>
    <n v="75"/>
    <n v="2925"/>
    <n v="1462.5"/>
  </r>
  <r>
    <x v="1"/>
    <n v="1197831"/>
    <x v="131"/>
    <x v="1"/>
    <s v="Kansas"/>
    <s v="Wichita"/>
    <s v="Online"/>
    <x v="5"/>
    <n v="32"/>
    <n v="58"/>
    <n v="1856"/>
    <n v="928"/>
  </r>
  <r>
    <x v="1"/>
    <n v="1197831"/>
    <x v="131"/>
    <x v="1"/>
    <s v="Kansas"/>
    <s v="Wichita"/>
    <s v="Online"/>
    <x v="1"/>
    <n v="43"/>
    <n v="56"/>
    <n v="2408"/>
    <n v="1204"/>
  </r>
  <r>
    <x v="0"/>
    <n v="1185732"/>
    <x v="131"/>
    <x v="0"/>
    <s v="Utah"/>
    <s v="Salt Lake City"/>
    <s v="Online"/>
    <x v="4"/>
    <n v="32"/>
    <n v="174"/>
    <n v="5568"/>
    <n v="2728.32"/>
  </r>
  <r>
    <x v="0"/>
    <n v="1185732"/>
    <x v="131"/>
    <x v="0"/>
    <s v="Utah"/>
    <s v="Salt Lake City"/>
    <s v="Online"/>
    <x v="5"/>
    <n v="23"/>
    <n v="72"/>
    <n v="1656"/>
    <n v="745.19999999999993"/>
  </r>
  <r>
    <x v="0"/>
    <n v="1185732"/>
    <x v="131"/>
    <x v="0"/>
    <s v="Utah"/>
    <s v="Salt Lake City"/>
    <s v="Outlet"/>
    <x v="2"/>
    <n v="32"/>
    <n v="128"/>
    <n v="4096"/>
    <n v="1761.2799999999997"/>
  </r>
  <r>
    <x v="3"/>
    <n v="1197831"/>
    <x v="131"/>
    <x v="2"/>
    <s v="Tennessee"/>
    <s v="Knoxville"/>
    <s v="Outlet"/>
    <x v="5"/>
    <n v="38"/>
    <n v="157"/>
    <n v="5966"/>
    <n v="2267.0799999999995"/>
  </r>
  <r>
    <x v="0"/>
    <n v="1185732"/>
    <x v="131"/>
    <x v="0"/>
    <s v="Utah"/>
    <s v="Salt Lake City"/>
    <s v="Online"/>
    <x v="2"/>
    <n v="44"/>
    <n v="120"/>
    <n v="5280"/>
    <n v="1848"/>
  </r>
  <r>
    <x v="3"/>
    <n v="1197831"/>
    <x v="131"/>
    <x v="2"/>
    <s v="Tennessee"/>
    <s v="Knoxville"/>
    <s v="Online"/>
    <x v="5"/>
    <n v="52"/>
    <n v="133"/>
    <n v="6916"/>
    <n v="2143.96"/>
  </r>
  <r>
    <x v="3"/>
    <n v="1185732"/>
    <x v="132"/>
    <x v="4"/>
    <s v="Massachusetts"/>
    <s v="Boston"/>
    <s v="In-store"/>
    <x v="3"/>
    <n v="45"/>
    <n v="225"/>
    <n v="10125"/>
    <n v="7593.75"/>
  </r>
  <r>
    <x v="3"/>
    <n v="1185732"/>
    <x v="132"/>
    <x v="4"/>
    <s v="Massachusetts"/>
    <s v="Boston"/>
    <s v="In-store"/>
    <x v="5"/>
    <n v="45"/>
    <n v="175"/>
    <n v="7875"/>
    <n v="5906.25"/>
  </r>
  <r>
    <x v="3"/>
    <n v="1185732"/>
    <x v="132"/>
    <x v="4"/>
    <s v="Massachusetts"/>
    <s v="Boston"/>
    <s v="In-store"/>
    <x v="1"/>
    <n v="54.999999999999993"/>
    <n v="200"/>
    <n v="10999.999999999998"/>
    <n v="8249.9999999999982"/>
  </r>
  <r>
    <x v="2"/>
    <n v="1185732"/>
    <x v="132"/>
    <x v="1"/>
    <s v="South Dakota"/>
    <s v="Sioux Falls"/>
    <s v="Online"/>
    <x v="0"/>
    <n v="50"/>
    <n v="200"/>
    <n v="10000"/>
    <n v="7000"/>
  </r>
  <r>
    <x v="2"/>
    <n v="1185732"/>
    <x v="132"/>
    <x v="1"/>
    <s v="South Dakota"/>
    <s v="Sioux Falls"/>
    <s v="Online"/>
    <x v="3"/>
    <n v="45"/>
    <n v="175"/>
    <n v="7875"/>
    <n v="5512.5"/>
  </r>
  <r>
    <x v="2"/>
    <n v="1185732"/>
    <x v="132"/>
    <x v="1"/>
    <s v="South Dakota"/>
    <s v="Sioux Falls"/>
    <s v="Online"/>
    <x v="5"/>
    <n v="45"/>
    <n v="100"/>
    <n v="4500"/>
    <n v="3150"/>
  </r>
  <r>
    <x v="3"/>
    <n v="1185732"/>
    <x v="132"/>
    <x v="4"/>
    <s v="Massachusetts"/>
    <s v="Boston"/>
    <s v="In-store"/>
    <x v="0"/>
    <n v="50"/>
    <n v="200"/>
    <n v="10000"/>
    <n v="7000"/>
  </r>
  <r>
    <x v="3"/>
    <n v="1185732"/>
    <x v="132"/>
    <x v="4"/>
    <s v="Massachusetts"/>
    <s v="Boston"/>
    <s v="In-store"/>
    <x v="2"/>
    <n v="60"/>
    <n v="325"/>
    <n v="19500"/>
    <n v="13650"/>
  </r>
  <r>
    <x v="2"/>
    <n v="1185732"/>
    <x v="132"/>
    <x v="4"/>
    <s v="Delaware"/>
    <s v="Wilmington"/>
    <s v="In-store"/>
    <x v="1"/>
    <n v="54.999999999999993"/>
    <n v="275"/>
    <n v="15124.999999999998"/>
    <n v="10587.499999999996"/>
  </r>
  <r>
    <x v="3"/>
    <n v="1185732"/>
    <x v="132"/>
    <x v="4"/>
    <s v="Massachusetts"/>
    <s v="Boston"/>
    <s v="In-store"/>
    <x v="4"/>
    <n v="54.999999999999993"/>
    <n v="495"/>
    <n v="27224.999999999996"/>
    <n v="19057.499999999993"/>
  </r>
  <r>
    <x v="2"/>
    <n v="1185732"/>
    <x v="132"/>
    <x v="1"/>
    <s v="South Dakota"/>
    <s v="Sioux Falls"/>
    <s v="Online"/>
    <x v="4"/>
    <n v="60"/>
    <n v="495"/>
    <n v="29700"/>
    <n v="19305"/>
  </r>
  <r>
    <x v="2"/>
    <n v="1185732"/>
    <x v="132"/>
    <x v="1"/>
    <s v="South Dakota"/>
    <s v="Sioux Falls"/>
    <s v="Online"/>
    <x v="1"/>
    <n v="54.999999999999993"/>
    <n v="125"/>
    <n v="6874.9999999999991"/>
    <n v="4468.7499999999991"/>
  </r>
  <r>
    <x v="2"/>
    <n v="1185732"/>
    <x v="132"/>
    <x v="4"/>
    <s v="Delaware"/>
    <s v="Wilmington"/>
    <s v="In-store"/>
    <x v="4"/>
    <n v="54.999999999999993"/>
    <n v="570"/>
    <n v="31349.999999999996"/>
    <n v="20377.499999999996"/>
  </r>
  <r>
    <x v="2"/>
    <n v="1185732"/>
    <x v="132"/>
    <x v="4"/>
    <s v="Delaware"/>
    <s v="Wilmington"/>
    <s v="In-store"/>
    <x v="0"/>
    <n v="50"/>
    <n v="275"/>
    <n v="13750"/>
    <n v="8937.5"/>
  </r>
  <r>
    <x v="3"/>
    <n v="1197831"/>
    <x v="132"/>
    <x v="2"/>
    <s v="Tennessee"/>
    <s v="Knoxville"/>
    <s v="Outlet"/>
    <x v="1"/>
    <n v="54.999999999999993"/>
    <n v="450"/>
    <n v="24749.999999999996"/>
    <n v="14850"/>
  </r>
  <r>
    <x v="1"/>
    <n v="1189833"/>
    <x v="132"/>
    <x v="0"/>
    <s v="California"/>
    <s v="Los Angeles"/>
    <s v="Outlet"/>
    <x v="4"/>
    <n v="50"/>
    <n v="800"/>
    <n v="40000"/>
    <n v="24000"/>
  </r>
  <r>
    <x v="2"/>
    <n v="1185732"/>
    <x v="132"/>
    <x v="1"/>
    <s v="South Dakota"/>
    <s v="Sioux Falls"/>
    <s v="Online"/>
    <x v="2"/>
    <n v="60"/>
    <n v="250"/>
    <n v="15000"/>
    <n v="9000"/>
  </r>
  <r>
    <x v="2"/>
    <n v="1185732"/>
    <x v="132"/>
    <x v="4"/>
    <s v="Delaware"/>
    <s v="Wilmington"/>
    <s v="In-store"/>
    <x v="3"/>
    <n v="45"/>
    <n v="300"/>
    <n v="13500"/>
    <n v="8100"/>
  </r>
  <r>
    <x v="2"/>
    <n v="1185732"/>
    <x v="132"/>
    <x v="4"/>
    <s v="Delaware"/>
    <s v="Wilmington"/>
    <s v="In-store"/>
    <x v="5"/>
    <n v="45"/>
    <n v="250"/>
    <n v="11250"/>
    <n v="6750"/>
  </r>
  <r>
    <x v="2"/>
    <n v="1185732"/>
    <x v="132"/>
    <x v="4"/>
    <s v="Delaware"/>
    <s v="Wilmington"/>
    <s v="In-store"/>
    <x v="2"/>
    <n v="60"/>
    <n v="400"/>
    <n v="24000"/>
    <n v="14400"/>
  </r>
  <r>
    <x v="3"/>
    <n v="1185732"/>
    <x v="132"/>
    <x v="4"/>
    <s v="Massachusetts"/>
    <s v="Boston"/>
    <s v="Outlet"/>
    <x v="1"/>
    <n v="39"/>
    <n v="60"/>
    <n v="2340"/>
    <n v="1684.8"/>
  </r>
  <r>
    <x v="3"/>
    <n v="1185732"/>
    <x v="132"/>
    <x v="4"/>
    <s v="Massachusetts"/>
    <s v="Boston"/>
    <s v="Outlet"/>
    <x v="5"/>
    <n v="32"/>
    <n v="54"/>
    <n v="1728"/>
    <n v="1209.5999999999999"/>
  </r>
  <r>
    <x v="3"/>
    <n v="1185732"/>
    <x v="132"/>
    <x v="4"/>
    <s v="Massachusetts"/>
    <s v="Boston"/>
    <s v="Outlet"/>
    <x v="3"/>
    <n v="30"/>
    <n v="68"/>
    <n v="2040"/>
    <n v="1407.6"/>
  </r>
  <r>
    <x v="3"/>
    <n v="1185732"/>
    <x v="132"/>
    <x v="4"/>
    <s v="Massachusetts"/>
    <s v="Boston"/>
    <s v="Outlet"/>
    <x v="2"/>
    <n v="43"/>
    <n v="104"/>
    <n v="4472"/>
    <n v="2951.5200000000004"/>
  </r>
  <r>
    <x v="3"/>
    <n v="1185732"/>
    <x v="132"/>
    <x v="4"/>
    <s v="Massachusetts"/>
    <s v="Boston"/>
    <s v="Outlet"/>
    <x v="4"/>
    <n v="41"/>
    <n v="173"/>
    <n v="7093"/>
    <n v="4539.5200000000004"/>
  </r>
  <r>
    <x v="3"/>
    <n v="1185732"/>
    <x v="132"/>
    <x v="4"/>
    <s v="Massachusetts"/>
    <s v="Boston"/>
    <s v="Outlet"/>
    <x v="0"/>
    <n v="34"/>
    <n v="68"/>
    <n v="2312"/>
    <n v="1479.68"/>
  </r>
  <r>
    <x v="3"/>
    <n v="1185732"/>
    <x v="132"/>
    <x v="4"/>
    <s v="Massachusetts"/>
    <s v="Boston"/>
    <s v="Online"/>
    <x v="1"/>
    <n v="50"/>
    <n v="54"/>
    <n v="2700"/>
    <n v="1674"/>
  </r>
  <r>
    <x v="3"/>
    <n v="1185732"/>
    <x v="132"/>
    <x v="4"/>
    <s v="Massachusetts"/>
    <s v="Boston"/>
    <s v="Online"/>
    <x v="5"/>
    <n v="44"/>
    <n v="47"/>
    <n v="2068"/>
    <n v="1261.48"/>
  </r>
  <r>
    <x v="3"/>
    <n v="1185732"/>
    <x v="132"/>
    <x v="4"/>
    <s v="Massachusetts"/>
    <s v="Boston"/>
    <s v="Online"/>
    <x v="3"/>
    <n v="41"/>
    <n v="56"/>
    <n v="2296"/>
    <n v="1377.6"/>
  </r>
  <r>
    <x v="3"/>
    <n v="1185732"/>
    <x v="132"/>
    <x v="4"/>
    <s v="Massachusetts"/>
    <s v="Boston"/>
    <s v="Online"/>
    <x v="2"/>
    <n v="55"/>
    <n v="88"/>
    <n v="4840"/>
    <n v="2855.6000000000004"/>
  </r>
  <r>
    <x v="2"/>
    <n v="1185732"/>
    <x v="132"/>
    <x v="1"/>
    <s v="South Dakota"/>
    <s v="Sioux Falls"/>
    <s v="Online"/>
    <x v="3"/>
    <n v="43"/>
    <n v="46"/>
    <n v="1978"/>
    <n v="1147.24"/>
  </r>
  <r>
    <x v="2"/>
    <n v="1185732"/>
    <x v="132"/>
    <x v="4"/>
    <s v="Delaware"/>
    <s v="Wilmington"/>
    <s v="Online"/>
    <x v="1"/>
    <n v="50"/>
    <n v="74"/>
    <n v="3700"/>
    <n v="2146"/>
  </r>
  <r>
    <x v="3"/>
    <n v="1185732"/>
    <x v="132"/>
    <x v="4"/>
    <s v="Massachusetts"/>
    <s v="Boston"/>
    <s v="Online"/>
    <x v="4"/>
    <n v="53"/>
    <n v="129"/>
    <n v="6837"/>
    <n v="3897.09"/>
  </r>
  <r>
    <x v="3"/>
    <n v="1185732"/>
    <x v="132"/>
    <x v="4"/>
    <s v="Massachusetts"/>
    <s v="Boston"/>
    <s v="Online"/>
    <x v="0"/>
    <n v="47"/>
    <n v="54"/>
    <n v="2538"/>
    <n v="1446.66"/>
  </r>
  <r>
    <x v="2"/>
    <n v="1185732"/>
    <x v="132"/>
    <x v="1"/>
    <s v="South Dakota"/>
    <s v="Sioux Falls"/>
    <s v="Online"/>
    <x v="0"/>
    <n v="45"/>
    <n v="60"/>
    <n v="2700"/>
    <n v="1485.0000000000002"/>
  </r>
  <r>
    <x v="2"/>
    <n v="1185732"/>
    <x v="132"/>
    <x v="1"/>
    <s v="South Dakota"/>
    <s v="Sioux Falls"/>
    <s v="Online"/>
    <x v="5"/>
    <n v="43"/>
    <n v="26"/>
    <n v="1118"/>
    <n v="614.90000000000009"/>
  </r>
  <r>
    <x v="2"/>
    <n v="1185732"/>
    <x v="132"/>
    <x v="4"/>
    <s v="Delaware"/>
    <s v="Wilmington"/>
    <s v="Online"/>
    <x v="0"/>
    <n v="47"/>
    <n v="69"/>
    <n v="3243"/>
    <n v="1783.65"/>
  </r>
  <r>
    <x v="3"/>
    <n v="1197831"/>
    <x v="132"/>
    <x v="2"/>
    <s v="Tennessee"/>
    <s v="Knoxville"/>
    <s v="Outlet"/>
    <x v="1"/>
    <n v="43"/>
    <n v="140"/>
    <n v="6020"/>
    <n v="3250.8"/>
  </r>
  <r>
    <x v="2"/>
    <n v="1185732"/>
    <x v="132"/>
    <x v="1"/>
    <s v="South Dakota"/>
    <s v="Sioux Falls"/>
    <s v="Online"/>
    <x v="4"/>
    <n v="58"/>
    <n v="139"/>
    <n v="8062"/>
    <n v="4272.8600000000006"/>
  </r>
  <r>
    <x v="1"/>
    <n v="1189833"/>
    <x v="132"/>
    <x v="0"/>
    <s v="California"/>
    <s v="Los Angeles"/>
    <s v="Outlet"/>
    <x v="4"/>
    <n v="36"/>
    <n v="256"/>
    <n v="9216"/>
    <n v="4884.4799999999996"/>
  </r>
  <r>
    <x v="2"/>
    <n v="1185732"/>
    <x v="132"/>
    <x v="4"/>
    <s v="Delaware"/>
    <s v="Wilmington"/>
    <s v="Online"/>
    <x v="4"/>
    <n v="51"/>
    <n v="160"/>
    <n v="8160"/>
    <n v="4243.2000000000007"/>
  </r>
  <r>
    <x v="1"/>
    <n v="1189833"/>
    <x v="132"/>
    <x v="0"/>
    <s v="California"/>
    <s v="Los Angeles"/>
    <s v="Online"/>
    <x v="4"/>
    <n v="49"/>
    <n v="224"/>
    <n v="10976"/>
    <n v="5488"/>
  </r>
  <r>
    <x v="2"/>
    <n v="1185732"/>
    <x v="132"/>
    <x v="1"/>
    <s v="South Dakota"/>
    <s v="Sioux Falls"/>
    <s v="Online"/>
    <x v="1"/>
    <n v="51"/>
    <n v="38"/>
    <n v="1938"/>
    <n v="969"/>
  </r>
  <r>
    <x v="2"/>
    <n v="1185732"/>
    <x v="132"/>
    <x v="1"/>
    <s v="South Dakota"/>
    <s v="Sioux Falls"/>
    <s v="Online"/>
    <x v="2"/>
    <n v="58"/>
    <n v="68"/>
    <n v="3944"/>
    <n v="1932.56"/>
  </r>
  <r>
    <x v="2"/>
    <n v="1185732"/>
    <x v="132"/>
    <x v="4"/>
    <s v="Delaware"/>
    <s v="Wilmington"/>
    <s v="Online"/>
    <x v="3"/>
    <n v="41"/>
    <n v="81"/>
    <n v="3321"/>
    <n v="1594.08"/>
  </r>
  <r>
    <x v="2"/>
    <n v="1185732"/>
    <x v="132"/>
    <x v="4"/>
    <s v="Delaware"/>
    <s v="Wilmington"/>
    <s v="Online"/>
    <x v="5"/>
    <n v="41"/>
    <n v="65"/>
    <n v="2665"/>
    <n v="1279.2"/>
  </r>
  <r>
    <x v="3"/>
    <n v="1197831"/>
    <x v="132"/>
    <x v="2"/>
    <s v="Tennessee"/>
    <s v="Knoxville"/>
    <s v="Online"/>
    <x v="1"/>
    <n v="51"/>
    <n v="113"/>
    <n v="5763"/>
    <n v="2708.6099999999997"/>
  </r>
  <r>
    <x v="2"/>
    <n v="1185732"/>
    <x v="132"/>
    <x v="4"/>
    <s v="Delaware"/>
    <s v="Wilmington"/>
    <s v="Online"/>
    <x v="2"/>
    <n v="54"/>
    <n v="104"/>
    <n v="5616"/>
    <n v="2527.1999999999998"/>
  </r>
  <r>
    <x v="1"/>
    <n v="1189833"/>
    <x v="133"/>
    <x v="0"/>
    <s v="California"/>
    <s v="Los Angeles"/>
    <s v="Outlet"/>
    <x v="0"/>
    <n v="55.000000000000007"/>
    <n v="800"/>
    <n v="44000.000000000007"/>
    <n v="33000.000000000007"/>
  </r>
  <r>
    <x v="3"/>
    <n v="1128299"/>
    <x v="133"/>
    <x v="3"/>
    <s v="Georgia"/>
    <s v="Atlanta"/>
    <s v="Online"/>
    <x v="2"/>
    <n v="70"/>
    <n v="400"/>
    <n v="28000"/>
    <n v="21000"/>
  </r>
  <r>
    <x v="3"/>
    <n v="1128299"/>
    <x v="133"/>
    <x v="3"/>
    <s v="Georgia"/>
    <s v="Atlanta"/>
    <s v="Online"/>
    <x v="3"/>
    <n v="55.000000000000007"/>
    <n v="425"/>
    <n v="23375.000000000004"/>
    <n v="15193.750000000004"/>
  </r>
  <r>
    <x v="3"/>
    <n v="1128299"/>
    <x v="133"/>
    <x v="3"/>
    <s v="Georgia"/>
    <s v="Atlanta"/>
    <s v="Online"/>
    <x v="1"/>
    <n v="55.000000000000007"/>
    <n v="225"/>
    <n v="12375.000000000002"/>
    <n v="8043.7500000000018"/>
  </r>
  <r>
    <x v="3"/>
    <n v="1128299"/>
    <x v="133"/>
    <x v="3"/>
    <s v="Georgia"/>
    <s v="Atlanta"/>
    <s v="Online"/>
    <x v="4"/>
    <n v="50"/>
    <n v="550"/>
    <n v="27500"/>
    <n v="16500"/>
  </r>
  <r>
    <x v="3"/>
    <n v="1128299"/>
    <x v="133"/>
    <x v="3"/>
    <s v="Georgia"/>
    <s v="Atlanta"/>
    <s v="Online"/>
    <x v="5"/>
    <n v="50"/>
    <n v="325"/>
    <n v="16250"/>
    <n v="9750"/>
  </r>
  <r>
    <x v="3"/>
    <n v="1128299"/>
    <x v="133"/>
    <x v="3"/>
    <s v="Georgia"/>
    <s v="Atlanta"/>
    <s v="Online"/>
    <x v="0"/>
    <n v="55.000000000000007"/>
    <n v="400"/>
    <n v="22000.000000000004"/>
    <n v="13200"/>
  </r>
  <r>
    <x v="3"/>
    <n v="1197831"/>
    <x v="133"/>
    <x v="2"/>
    <s v="Tennessee"/>
    <s v="Knoxville"/>
    <s v="Outlet"/>
    <x v="2"/>
    <n v="65"/>
    <n v="650"/>
    <n v="42250"/>
    <n v="16899.999999999996"/>
  </r>
  <r>
    <x v="1"/>
    <n v="1189833"/>
    <x v="133"/>
    <x v="0"/>
    <s v="California"/>
    <s v="Los Angeles"/>
    <s v="Outlet"/>
    <x v="0"/>
    <n v="43"/>
    <n v="264"/>
    <n v="11352"/>
    <n v="7946.4"/>
  </r>
  <r>
    <x v="3"/>
    <n v="1128299"/>
    <x v="133"/>
    <x v="3"/>
    <s v="Georgia"/>
    <s v="Atlanta"/>
    <s v="Outlet"/>
    <x v="2"/>
    <n v="53"/>
    <n v="124"/>
    <n v="6572"/>
    <n v="4534.68"/>
  </r>
  <r>
    <x v="1"/>
    <n v="1189833"/>
    <x v="133"/>
    <x v="0"/>
    <s v="California"/>
    <s v="Los Angeles"/>
    <s v="Online"/>
    <x v="0"/>
    <n v="51"/>
    <n v="232"/>
    <n v="11832"/>
    <n v="7572.4800000000005"/>
  </r>
  <r>
    <x v="3"/>
    <n v="1128299"/>
    <x v="133"/>
    <x v="3"/>
    <s v="Georgia"/>
    <s v="Atlanta"/>
    <s v="Outlet"/>
    <x v="3"/>
    <n v="40"/>
    <n v="145"/>
    <n v="5800"/>
    <n v="3538.0000000000005"/>
  </r>
  <r>
    <x v="3"/>
    <n v="1128299"/>
    <x v="133"/>
    <x v="3"/>
    <s v="Georgia"/>
    <s v="Atlanta"/>
    <s v="Online"/>
    <x v="2"/>
    <n v="64"/>
    <n v="120"/>
    <n v="7680"/>
    <n v="4608"/>
  </r>
  <r>
    <x v="3"/>
    <n v="1128299"/>
    <x v="133"/>
    <x v="3"/>
    <s v="Georgia"/>
    <s v="Atlanta"/>
    <s v="Outlet"/>
    <x v="1"/>
    <n v="39"/>
    <n v="74"/>
    <n v="2886"/>
    <n v="1673.88"/>
  </r>
  <r>
    <x v="3"/>
    <n v="1128299"/>
    <x v="133"/>
    <x v="3"/>
    <s v="Georgia"/>
    <s v="Atlanta"/>
    <s v="Outlet"/>
    <x v="5"/>
    <n v="34"/>
    <n v="114"/>
    <n v="3876"/>
    <n v="2209.3199999999997"/>
  </r>
  <r>
    <x v="3"/>
    <n v="1128299"/>
    <x v="133"/>
    <x v="3"/>
    <s v="Georgia"/>
    <s v="Atlanta"/>
    <s v="Outlet"/>
    <x v="0"/>
    <n v="36"/>
    <n v="136"/>
    <n v="4896"/>
    <n v="2692.7999999999997"/>
  </r>
  <r>
    <x v="3"/>
    <n v="1128299"/>
    <x v="133"/>
    <x v="3"/>
    <s v="Georgia"/>
    <s v="Atlanta"/>
    <s v="Outlet"/>
    <x v="4"/>
    <n v="37"/>
    <n v="187"/>
    <n v="6919"/>
    <n v="3736.2599999999998"/>
  </r>
  <r>
    <x v="3"/>
    <n v="1128299"/>
    <x v="133"/>
    <x v="3"/>
    <s v="Georgia"/>
    <s v="Atlanta"/>
    <s v="Online"/>
    <x v="1"/>
    <n v="50"/>
    <n v="56"/>
    <n v="2800"/>
    <n v="1456"/>
  </r>
  <r>
    <x v="3"/>
    <n v="1128299"/>
    <x v="133"/>
    <x v="3"/>
    <s v="Georgia"/>
    <s v="Atlanta"/>
    <s v="Online"/>
    <x v="3"/>
    <n v="52"/>
    <n v="123"/>
    <n v="6396"/>
    <n v="3198"/>
  </r>
  <r>
    <x v="3"/>
    <n v="1128299"/>
    <x v="133"/>
    <x v="3"/>
    <s v="Georgia"/>
    <s v="Atlanta"/>
    <s v="Online"/>
    <x v="0"/>
    <n v="52"/>
    <n v="108"/>
    <n v="5616"/>
    <n v="2695.68"/>
  </r>
  <r>
    <x v="3"/>
    <n v="1128299"/>
    <x v="133"/>
    <x v="3"/>
    <s v="Georgia"/>
    <s v="Atlanta"/>
    <s v="Online"/>
    <x v="4"/>
    <n v="47"/>
    <n v="160"/>
    <n v="7520"/>
    <n v="3459.2"/>
  </r>
  <r>
    <x v="3"/>
    <n v="1128299"/>
    <x v="133"/>
    <x v="3"/>
    <s v="Georgia"/>
    <s v="Atlanta"/>
    <s v="Online"/>
    <x v="5"/>
    <n v="47"/>
    <n v="91"/>
    <n v="4277"/>
    <n v="1967.42"/>
  </r>
  <r>
    <x v="3"/>
    <n v="1197831"/>
    <x v="133"/>
    <x v="2"/>
    <s v="Tennessee"/>
    <s v="Knoxville"/>
    <s v="Outlet"/>
    <x v="2"/>
    <n v="43"/>
    <n v="202"/>
    <n v="8686"/>
    <n v="2953.2399999999989"/>
  </r>
  <r>
    <x v="3"/>
    <n v="1197831"/>
    <x v="133"/>
    <x v="2"/>
    <s v="Tennessee"/>
    <s v="Knoxville"/>
    <s v="Online"/>
    <x v="2"/>
    <n v="59"/>
    <n v="169"/>
    <n v="9971"/>
    <n v="2891.5899999999992"/>
  </r>
  <r>
    <x v="3"/>
    <n v="1185732"/>
    <x v="134"/>
    <x v="1"/>
    <s v="Michigan"/>
    <s v="Detroit"/>
    <s v="In-store"/>
    <x v="3"/>
    <n v="45"/>
    <n v="475"/>
    <n v="21375"/>
    <n v="14962.5"/>
  </r>
  <r>
    <x v="3"/>
    <n v="1185732"/>
    <x v="134"/>
    <x v="1"/>
    <s v="Michigan"/>
    <s v="Detroit"/>
    <s v="In-store"/>
    <x v="5"/>
    <n v="45"/>
    <n v="450"/>
    <n v="20250"/>
    <n v="13162.5"/>
  </r>
  <r>
    <x v="3"/>
    <n v="1185732"/>
    <x v="134"/>
    <x v="1"/>
    <s v="Michigan"/>
    <s v="Detroit"/>
    <s v="In-store"/>
    <x v="1"/>
    <n v="54.999999999999993"/>
    <n v="475"/>
    <n v="26124.999999999996"/>
    <n v="15675"/>
  </r>
  <r>
    <x v="1"/>
    <n v="1189833"/>
    <x v="134"/>
    <x v="0"/>
    <s v="California"/>
    <s v="Los Angeles"/>
    <s v="Outlet"/>
    <x v="3"/>
    <n v="50"/>
    <n v="650"/>
    <n v="32500"/>
    <n v="19500"/>
  </r>
  <r>
    <x v="3"/>
    <n v="1185732"/>
    <x v="134"/>
    <x v="1"/>
    <s v="Michigan"/>
    <s v="Detroit"/>
    <s v="In-store"/>
    <x v="0"/>
    <n v="50"/>
    <n v="500"/>
    <n v="25000"/>
    <n v="15000"/>
  </r>
  <r>
    <x v="3"/>
    <n v="1197831"/>
    <x v="134"/>
    <x v="2"/>
    <s v="Tennessee"/>
    <s v="Knoxville"/>
    <s v="Outlet"/>
    <x v="4"/>
    <n v="54.999999999999993"/>
    <n v="800"/>
    <n v="43999.999999999993"/>
    <n v="24200"/>
  </r>
  <r>
    <x v="3"/>
    <n v="1185732"/>
    <x v="134"/>
    <x v="1"/>
    <s v="Michigan"/>
    <s v="Detroit"/>
    <s v="In-store"/>
    <x v="4"/>
    <n v="50"/>
    <n v="795"/>
    <n v="39750"/>
    <n v="19875"/>
  </r>
  <r>
    <x v="3"/>
    <n v="1185732"/>
    <x v="134"/>
    <x v="1"/>
    <s v="Michigan"/>
    <s v="Detroit"/>
    <s v="In-store"/>
    <x v="2"/>
    <n v="60"/>
    <n v="575"/>
    <n v="34500"/>
    <n v="15524.999999999996"/>
  </r>
  <r>
    <x v="3"/>
    <n v="1185732"/>
    <x v="134"/>
    <x v="1"/>
    <s v="Michigan"/>
    <s v="Detroit"/>
    <s v="Online"/>
    <x v="3"/>
    <n v="44"/>
    <n v="133"/>
    <n v="5852"/>
    <n v="3511.2"/>
  </r>
  <r>
    <x v="1"/>
    <n v="1189833"/>
    <x v="134"/>
    <x v="0"/>
    <s v="California"/>
    <s v="Los Angeles"/>
    <s v="Outlet"/>
    <x v="3"/>
    <n v="33"/>
    <n v="208"/>
    <n v="6864"/>
    <n v="3981.12"/>
  </r>
  <r>
    <x v="3"/>
    <n v="1197831"/>
    <x v="134"/>
    <x v="2"/>
    <s v="Tennessee"/>
    <s v="Knoxville"/>
    <s v="Outlet"/>
    <x v="4"/>
    <n v="39"/>
    <n v="248"/>
    <n v="9672"/>
    <n v="5029.4400000000005"/>
  </r>
  <r>
    <x v="3"/>
    <n v="1185732"/>
    <x v="134"/>
    <x v="1"/>
    <s v="Michigan"/>
    <s v="Detroit"/>
    <s v="Online"/>
    <x v="5"/>
    <n v="42"/>
    <n v="126"/>
    <n v="5292"/>
    <n v="2646"/>
  </r>
  <r>
    <x v="1"/>
    <n v="1189833"/>
    <x v="134"/>
    <x v="0"/>
    <s v="California"/>
    <s v="Los Angeles"/>
    <s v="Online"/>
    <x v="3"/>
    <n v="49"/>
    <n v="176"/>
    <n v="8624"/>
    <n v="4225.76"/>
  </r>
  <r>
    <x v="3"/>
    <n v="1185732"/>
    <x v="134"/>
    <x v="1"/>
    <s v="Michigan"/>
    <s v="Detroit"/>
    <s v="Online"/>
    <x v="1"/>
    <n v="52"/>
    <n v="124"/>
    <n v="6448"/>
    <n v="3030.56"/>
  </r>
  <r>
    <x v="3"/>
    <n v="1185732"/>
    <x v="134"/>
    <x v="1"/>
    <s v="Michigan"/>
    <s v="Detroit"/>
    <s v="Online"/>
    <x v="0"/>
    <n v="47"/>
    <n v="150"/>
    <n v="7050"/>
    <n v="3172.5000000000005"/>
  </r>
  <r>
    <x v="3"/>
    <n v="1197831"/>
    <x v="134"/>
    <x v="2"/>
    <s v="Tennessee"/>
    <s v="Knoxville"/>
    <s v="Online"/>
    <x v="4"/>
    <n v="53"/>
    <n v="200"/>
    <n v="10600"/>
    <n v="4452"/>
  </r>
  <r>
    <x v="3"/>
    <n v="1185732"/>
    <x v="134"/>
    <x v="1"/>
    <s v="Michigan"/>
    <s v="Detroit"/>
    <s v="Online"/>
    <x v="4"/>
    <n v="48"/>
    <n v="207"/>
    <n v="9936"/>
    <n v="3875.04"/>
  </r>
  <r>
    <x v="3"/>
    <n v="1185732"/>
    <x v="134"/>
    <x v="1"/>
    <s v="Michigan"/>
    <s v="Detroit"/>
    <s v="Online"/>
    <x v="2"/>
    <n v="55"/>
    <n v="150"/>
    <n v="8250"/>
    <n v="2474.9999999999991"/>
  </r>
  <r>
    <x v="1"/>
    <n v="1189833"/>
    <x v="135"/>
    <x v="0"/>
    <s v="California"/>
    <s v="Los Angeles"/>
    <s v="Outlet"/>
    <x v="5"/>
    <n v="50"/>
    <n v="625"/>
    <n v="31250"/>
    <n v="20312.5"/>
  </r>
  <r>
    <x v="2"/>
    <n v="1185732"/>
    <x v="135"/>
    <x v="2"/>
    <s v="Mississippi"/>
    <s v="Jackson"/>
    <s v="Online"/>
    <x v="0"/>
    <n v="40"/>
    <n v="450"/>
    <n v="18000"/>
    <n v="11700"/>
  </r>
  <r>
    <x v="2"/>
    <n v="1185732"/>
    <x v="135"/>
    <x v="2"/>
    <s v="Mississippi"/>
    <s v="Jackson"/>
    <s v="Online"/>
    <x v="1"/>
    <n v="44.999999999999993"/>
    <n v="400"/>
    <n v="17999.999999999996"/>
    <n v="11699.999999999998"/>
  </r>
  <r>
    <x v="2"/>
    <n v="1185732"/>
    <x v="135"/>
    <x v="2"/>
    <s v="Mississippi"/>
    <s v="Jackson"/>
    <s v="Online"/>
    <x v="4"/>
    <n v="40"/>
    <n v="745"/>
    <n v="29800"/>
    <n v="17880"/>
  </r>
  <r>
    <x v="2"/>
    <n v="1185732"/>
    <x v="135"/>
    <x v="2"/>
    <s v="Mississippi"/>
    <s v="Jackson"/>
    <s v="Online"/>
    <x v="3"/>
    <n v="35"/>
    <n v="425"/>
    <n v="14875"/>
    <n v="8925"/>
  </r>
  <r>
    <x v="2"/>
    <n v="1185732"/>
    <x v="135"/>
    <x v="2"/>
    <s v="Mississippi"/>
    <s v="Jackson"/>
    <s v="Online"/>
    <x v="5"/>
    <n v="35"/>
    <n v="375"/>
    <n v="13125"/>
    <n v="7875"/>
  </r>
  <r>
    <x v="3"/>
    <n v="1197831"/>
    <x v="135"/>
    <x v="2"/>
    <s v="Tennessee"/>
    <s v="Knoxville"/>
    <s v="Outlet"/>
    <x v="0"/>
    <n v="54.999999999999993"/>
    <n v="800"/>
    <n v="43999.999999999993"/>
    <n v="24200"/>
  </r>
  <r>
    <x v="2"/>
    <n v="1185732"/>
    <x v="135"/>
    <x v="2"/>
    <s v="Mississippi"/>
    <s v="Jackson"/>
    <s v="Online"/>
    <x v="2"/>
    <n v="49.999999999999993"/>
    <n v="500"/>
    <n v="24999.999999999996"/>
    <n v="12499.999999999998"/>
  </r>
  <r>
    <x v="2"/>
    <n v="1185732"/>
    <x v="135"/>
    <x v="2"/>
    <s v="Mississippi"/>
    <s v="Jackson"/>
    <s v="Outlet"/>
    <x v="1"/>
    <n v="34"/>
    <n v="132"/>
    <n v="4488"/>
    <n v="2692.8"/>
  </r>
  <r>
    <x v="2"/>
    <n v="1185732"/>
    <x v="135"/>
    <x v="2"/>
    <s v="Mississippi"/>
    <s v="Jackson"/>
    <s v="Outlet"/>
    <x v="0"/>
    <n v="28"/>
    <n v="140"/>
    <n v="3920"/>
    <n v="2312.8000000000002"/>
  </r>
  <r>
    <x v="1"/>
    <n v="1189833"/>
    <x v="135"/>
    <x v="0"/>
    <s v="California"/>
    <s v="Los Angeles"/>
    <s v="Outlet"/>
    <x v="5"/>
    <n v="33"/>
    <n v="213"/>
    <n v="7029"/>
    <n v="4076.82"/>
  </r>
  <r>
    <x v="2"/>
    <n v="1185732"/>
    <x v="135"/>
    <x v="2"/>
    <s v="Mississippi"/>
    <s v="Jackson"/>
    <s v="Outlet"/>
    <x v="4"/>
    <n v="27"/>
    <n v="238"/>
    <n v="6426"/>
    <n v="3727.08"/>
  </r>
  <r>
    <x v="2"/>
    <n v="1185732"/>
    <x v="135"/>
    <x v="2"/>
    <s v="Mississippi"/>
    <s v="Jackson"/>
    <s v="Outlet"/>
    <x v="3"/>
    <n v="26"/>
    <n v="136"/>
    <n v="3536"/>
    <n v="2015.5199999999998"/>
  </r>
  <r>
    <x v="2"/>
    <n v="1185732"/>
    <x v="135"/>
    <x v="2"/>
    <s v="Mississippi"/>
    <s v="Jackson"/>
    <s v="Online"/>
    <x v="0"/>
    <n v="37"/>
    <n v="131"/>
    <n v="4847"/>
    <n v="2665.8500000000004"/>
  </r>
  <r>
    <x v="1"/>
    <n v="1189833"/>
    <x v="135"/>
    <x v="0"/>
    <s v="California"/>
    <s v="Los Angeles"/>
    <s v="Online"/>
    <x v="5"/>
    <n v="48"/>
    <n v="175"/>
    <n v="8400"/>
    <n v="4620"/>
  </r>
  <r>
    <x v="2"/>
    <n v="1185732"/>
    <x v="135"/>
    <x v="2"/>
    <s v="Mississippi"/>
    <s v="Jackson"/>
    <s v="Outlet"/>
    <x v="5"/>
    <n v="24"/>
    <n v="116"/>
    <n v="2784"/>
    <n v="1503.36"/>
  </r>
  <r>
    <x v="2"/>
    <n v="1185732"/>
    <x v="135"/>
    <x v="2"/>
    <s v="Mississippi"/>
    <s v="Jackson"/>
    <s v="Online"/>
    <x v="1"/>
    <n v="41"/>
    <n v="116"/>
    <n v="4756"/>
    <n v="2520.6800000000003"/>
  </r>
  <r>
    <x v="3"/>
    <n v="1197831"/>
    <x v="135"/>
    <x v="2"/>
    <s v="Tennessee"/>
    <s v="Knoxville"/>
    <s v="Outlet"/>
    <x v="0"/>
    <n v="37"/>
    <n v="264"/>
    <n v="9768"/>
    <n v="4981.68"/>
  </r>
  <r>
    <x v="2"/>
    <n v="1185732"/>
    <x v="135"/>
    <x v="2"/>
    <s v="Mississippi"/>
    <s v="Jackson"/>
    <s v="Online"/>
    <x v="5"/>
    <n v="33"/>
    <n v="101"/>
    <n v="3333"/>
    <n v="1633.17"/>
  </r>
  <r>
    <x v="2"/>
    <n v="1185732"/>
    <x v="135"/>
    <x v="2"/>
    <s v="Mississippi"/>
    <s v="Jackson"/>
    <s v="Online"/>
    <x v="3"/>
    <n v="33"/>
    <n v="119"/>
    <n v="3927"/>
    <n v="1806.42"/>
  </r>
  <r>
    <x v="3"/>
    <n v="1197831"/>
    <x v="135"/>
    <x v="2"/>
    <s v="Tennessee"/>
    <s v="Knoxville"/>
    <s v="Online"/>
    <x v="0"/>
    <n v="51"/>
    <n v="240"/>
    <n v="12240"/>
    <n v="5508.0000000000009"/>
  </r>
  <r>
    <x v="2"/>
    <n v="1185732"/>
    <x v="135"/>
    <x v="2"/>
    <s v="Mississippi"/>
    <s v="Jackson"/>
    <s v="Online"/>
    <x v="4"/>
    <n v="39"/>
    <n v="194"/>
    <n v="7566"/>
    <n v="3404.7"/>
  </r>
  <r>
    <x v="2"/>
    <n v="1185732"/>
    <x v="135"/>
    <x v="2"/>
    <s v="Mississippi"/>
    <s v="Jackson"/>
    <s v="Outlet"/>
    <x v="2"/>
    <n v="35"/>
    <n v="150"/>
    <n v="5250"/>
    <n v="2309.9999999999995"/>
  </r>
  <r>
    <x v="2"/>
    <n v="1185732"/>
    <x v="135"/>
    <x v="2"/>
    <s v="Mississippi"/>
    <s v="Jackson"/>
    <s v="Online"/>
    <x v="2"/>
    <n v="47"/>
    <n v="140"/>
    <n v="6580"/>
    <n v="2368.8000000000002"/>
  </r>
  <r>
    <x v="4"/>
    <n v="1185732"/>
    <x v="136"/>
    <x v="4"/>
    <s v="New Hampshire"/>
    <s v="Manchester"/>
    <s v="In-store"/>
    <x v="5"/>
    <n v="55.000000000000007"/>
    <n v="275"/>
    <n v="15125.000000000002"/>
    <n v="10587.500000000004"/>
  </r>
  <r>
    <x v="4"/>
    <n v="1185732"/>
    <x v="136"/>
    <x v="4"/>
    <s v="New Hampshire"/>
    <s v="Manchester"/>
    <s v="In-store"/>
    <x v="3"/>
    <n v="55.000000000000007"/>
    <n v="325"/>
    <n v="17875.000000000004"/>
    <n v="12512.500000000004"/>
  </r>
  <r>
    <x v="4"/>
    <n v="1185732"/>
    <x v="136"/>
    <x v="4"/>
    <s v="New Hampshire"/>
    <s v="Manchester"/>
    <s v="In-store"/>
    <x v="1"/>
    <n v="65"/>
    <n v="300"/>
    <n v="19500"/>
    <n v="13650"/>
  </r>
  <r>
    <x v="4"/>
    <n v="1185732"/>
    <x v="136"/>
    <x v="4"/>
    <s v="New Hampshire"/>
    <s v="Manchester"/>
    <s v="In-store"/>
    <x v="2"/>
    <n v="70"/>
    <n v="425"/>
    <n v="29750"/>
    <n v="19337.5"/>
  </r>
  <r>
    <x v="4"/>
    <n v="1185732"/>
    <x v="136"/>
    <x v="4"/>
    <s v="New Hampshire"/>
    <s v="Manchester"/>
    <s v="In-store"/>
    <x v="4"/>
    <n v="65"/>
    <n v="595"/>
    <n v="38675"/>
    <n v="23205"/>
  </r>
  <r>
    <x v="4"/>
    <n v="1185732"/>
    <x v="136"/>
    <x v="4"/>
    <s v="New Hampshire"/>
    <s v="Manchester"/>
    <s v="In-store"/>
    <x v="0"/>
    <n v="60.000000000000007"/>
    <n v="300"/>
    <n v="18000.000000000004"/>
    <n v="10800.000000000002"/>
  </r>
  <r>
    <x v="3"/>
    <n v="1197831"/>
    <x v="136"/>
    <x v="2"/>
    <s v="Tennessee"/>
    <s v="Knoxville"/>
    <s v="Outlet"/>
    <x v="3"/>
    <n v="60"/>
    <n v="700"/>
    <n v="42000"/>
    <n v="23100.000000000004"/>
  </r>
  <r>
    <x v="1"/>
    <n v="1189833"/>
    <x v="136"/>
    <x v="0"/>
    <s v="California"/>
    <s v="Los Angeles"/>
    <s v="Outlet"/>
    <x v="1"/>
    <n v="60"/>
    <n v="600"/>
    <n v="36000"/>
    <n v="16199.999999999996"/>
  </r>
  <r>
    <x v="4"/>
    <n v="1185732"/>
    <x v="136"/>
    <x v="4"/>
    <s v="New Hampshire"/>
    <s v="Manchester"/>
    <s v="Outlet"/>
    <x v="1"/>
    <n v="52"/>
    <n v="90"/>
    <n v="4680"/>
    <n v="3182.3999999999996"/>
  </r>
  <r>
    <x v="4"/>
    <n v="1185732"/>
    <x v="136"/>
    <x v="4"/>
    <s v="New Hampshire"/>
    <s v="Manchester"/>
    <s v="Outlet"/>
    <x v="3"/>
    <n v="42"/>
    <n v="101"/>
    <n v="4242"/>
    <n v="2799.7200000000003"/>
  </r>
  <r>
    <x v="4"/>
    <n v="1185732"/>
    <x v="136"/>
    <x v="4"/>
    <s v="New Hampshire"/>
    <s v="Manchester"/>
    <s v="Outlet"/>
    <x v="5"/>
    <n v="41"/>
    <n v="91"/>
    <n v="3731"/>
    <n v="2462.46"/>
  </r>
  <r>
    <x v="4"/>
    <n v="1185732"/>
    <x v="136"/>
    <x v="4"/>
    <s v="New Hampshire"/>
    <s v="Manchester"/>
    <s v="Outlet"/>
    <x v="2"/>
    <n v="46"/>
    <n v="140"/>
    <n v="6440"/>
    <n v="3928.4"/>
  </r>
  <r>
    <x v="4"/>
    <n v="1185732"/>
    <x v="136"/>
    <x v="4"/>
    <s v="New Hampshire"/>
    <s v="Manchester"/>
    <s v="Online"/>
    <x v="5"/>
    <n v="52"/>
    <n v="80"/>
    <n v="4160"/>
    <n v="2496"/>
  </r>
  <r>
    <x v="4"/>
    <n v="1185732"/>
    <x v="136"/>
    <x v="4"/>
    <s v="New Hampshire"/>
    <s v="Manchester"/>
    <s v="Online"/>
    <x v="3"/>
    <n v="51"/>
    <n v="98"/>
    <n v="4998"/>
    <n v="2898.84"/>
  </r>
  <r>
    <x v="4"/>
    <n v="1185732"/>
    <x v="136"/>
    <x v="4"/>
    <s v="New Hampshire"/>
    <s v="Manchester"/>
    <s v="Outlet"/>
    <x v="4"/>
    <n v="47"/>
    <n v="196"/>
    <n v="9212"/>
    <n v="5250.84"/>
  </r>
  <r>
    <x v="4"/>
    <n v="1185732"/>
    <x v="136"/>
    <x v="4"/>
    <s v="New Hampshire"/>
    <s v="Manchester"/>
    <s v="Outlet"/>
    <x v="0"/>
    <n v="40"/>
    <n v="93"/>
    <n v="3720"/>
    <n v="2120.3999999999996"/>
  </r>
  <r>
    <x v="4"/>
    <n v="1185732"/>
    <x v="136"/>
    <x v="4"/>
    <s v="New Hampshire"/>
    <s v="Manchester"/>
    <s v="Online"/>
    <x v="1"/>
    <n v="63"/>
    <n v="78"/>
    <n v="4914"/>
    <n v="2702.7000000000003"/>
  </r>
  <r>
    <x v="4"/>
    <n v="1185732"/>
    <x v="136"/>
    <x v="4"/>
    <s v="New Hampshire"/>
    <s v="Manchester"/>
    <s v="Online"/>
    <x v="2"/>
    <n v="65"/>
    <n v="115"/>
    <n v="7475"/>
    <n v="4036.5000000000005"/>
  </r>
  <r>
    <x v="3"/>
    <n v="1197831"/>
    <x v="136"/>
    <x v="2"/>
    <s v="Tennessee"/>
    <s v="Knoxville"/>
    <s v="Outlet"/>
    <x v="3"/>
    <n v="44"/>
    <n v="210"/>
    <n v="9240"/>
    <n v="4527.6000000000004"/>
  </r>
  <r>
    <x v="4"/>
    <n v="1185732"/>
    <x v="136"/>
    <x v="4"/>
    <s v="New Hampshire"/>
    <s v="Manchester"/>
    <s v="Online"/>
    <x v="4"/>
    <n v="64"/>
    <n v="173"/>
    <n v="11072"/>
    <n v="5203.84"/>
  </r>
  <r>
    <x v="4"/>
    <n v="1185732"/>
    <x v="136"/>
    <x v="4"/>
    <s v="New Hampshire"/>
    <s v="Manchester"/>
    <s v="Online"/>
    <x v="0"/>
    <n v="54"/>
    <n v="87"/>
    <n v="4698"/>
    <n v="2161.08"/>
  </r>
  <r>
    <x v="3"/>
    <n v="1197831"/>
    <x v="136"/>
    <x v="2"/>
    <s v="Tennessee"/>
    <s v="Knoxville"/>
    <s v="Online"/>
    <x v="3"/>
    <n v="54"/>
    <n v="210"/>
    <n v="11340"/>
    <n v="5103.0000000000009"/>
  </r>
  <r>
    <x v="1"/>
    <n v="1189833"/>
    <x v="136"/>
    <x v="0"/>
    <s v="California"/>
    <s v="Los Angeles"/>
    <s v="Outlet"/>
    <x v="1"/>
    <n v="46"/>
    <n v="210"/>
    <n v="9660"/>
    <n v="3670.7999999999993"/>
  </r>
  <r>
    <x v="1"/>
    <n v="1189833"/>
    <x v="136"/>
    <x v="0"/>
    <s v="California"/>
    <s v="Los Angeles"/>
    <s v="Online"/>
    <x v="1"/>
    <n v="56"/>
    <n v="174"/>
    <n v="9744"/>
    <n v="3118.08"/>
  </r>
  <r>
    <x v="1"/>
    <n v="1189833"/>
    <x v="137"/>
    <x v="0"/>
    <s v="California"/>
    <s v="Los Angeles"/>
    <s v="Outlet"/>
    <x v="2"/>
    <n v="65"/>
    <n v="650"/>
    <n v="42250"/>
    <n v="33800"/>
  </r>
  <r>
    <x v="5"/>
    <n v="1128299"/>
    <x v="137"/>
    <x v="3"/>
    <s v="Florida"/>
    <s v="Orlando"/>
    <s v="Outlet"/>
    <x v="1"/>
    <n v="54.999999999999993"/>
    <n v="225"/>
    <n v="12374.999999999998"/>
    <n v="9899.9999999999982"/>
  </r>
  <r>
    <x v="5"/>
    <n v="1128299"/>
    <x v="137"/>
    <x v="3"/>
    <s v="Florida"/>
    <s v="Orlando"/>
    <s v="Outlet"/>
    <x v="0"/>
    <n v="65"/>
    <n v="425"/>
    <n v="27625"/>
    <n v="20718.75"/>
  </r>
  <r>
    <x v="5"/>
    <n v="1128299"/>
    <x v="137"/>
    <x v="3"/>
    <s v="Florida"/>
    <s v="Orlando"/>
    <s v="Outlet"/>
    <x v="4"/>
    <n v="60"/>
    <n v="575"/>
    <n v="34500"/>
    <n v="24150"/>
  </r>
  <r>
    <x v="5"/>
    <n v="1128299"/>
    <x v="137"/>
    <x v="3"/>
    <s v="Florida"/>
    <s v="Orlando"/>
    <s v="Outlet"/>
    <x v="3"/>
    <n v="65"/>
    <n v="425"/>
    <n v="27625"/>
    <n v="19337.5"/>
  </r>
  <r>
    <x v="5"/>
    <n v="1128299"/>
    <x v="137"/>
    <x v="3"/>
    <s v="Florida"/>
    <s v="Orlando"/>
    <s v="Outlet"/>
    <x v="5"/>
    <n v="60"/>
    <n v="325"/>
    <n v="19500"/>
    <n v="13650"/>
  </r>
  <r>
    <x v="0"/>
    <n v="1128299"/>
    <x v="137"/>
    <x v="2"/>
    <s v="Louisiana"/>
    <s v="New Orleans"/>
    <s v="Online"/>
    <x v="2"/>
    <n v="65"/>
    <n v="575"/>
    <n v="37375"/>
    <n v="24293.75"/>
  </r>
  <r>
    <x v="0"/>
    <n v="1128299"/>
    <x v="137"/>
    <x v="2"/>
    <s v="Louisiana"/>
    <s v="New Orleans"/>
    <s v="In-store"/>
    <x v="4"/>
    <n v="45"/>
    <n v="550"/>
    <n v="24750"/>
    <n v="14850"/>
  </r>
  <r>
    <x v="0"/>
    <n v="1128299"/>
    <x v="137"/>
    <x v="2"/>
    <s v="Louisiana"/>
    <s v="New Orleans"/>
    <s v="In-store"/>
    <x v="0"/>
    <n v="50"/>
    <n v="400"/>
    <n v="20000"/>
    <n v="12000"/>
  </r>
  <r>
    <x v="0"/>
    <n v="1128299"/>
    <x v="137"/>
    <x v="2"/>
    <s v="Louisiana"/>
    <s v="New Orleans"/>
    <s v="In-store"/>
    <x v="3"/>
    <n v="50"/>
    <n v="400"/>
    <n v="20000"/>
    <n v="12000"/>
  </r>
  <r>
    <x v="0"/>
    <n v="1128299"/>
    <x v="137"/>
    <x v="2"/>
    <s v="Louisiana"/>
    <s v="New Orleans"/>
    <s v="In-store"/>
    <x v="5"/>
    <n v="45"/>
    <n v="325"/>
    <n v="14625"/>
    <n v="8775"/>
  </r>
  <r>
    <x v="0"/>
    <n v="1185732"/>
    <x v="137"/>
    <x v="4"/>
    <s v="West Virginia"/>
    <s v="Charleston"/>
    <s v="In-store"/>
    <x v="4"/>
    <n v="60"/>
    <n v="595"/>
    <n v="35700"/>
    <n v="21420"/>
  </r>
  <r>
    <x v="0"/>
    <n v="1185732"/>
    <x v="137"/>
    <x v="4"/>
    <s v="West Virginia"/>
    <s v="Charleston"/>
    <s v="In-store"/>
    <x v="0"/>
    <n v="40"/>
    <n v="300"/>
    <n v="12000"/>
    <n v="7200"/>
  </r>
  <r>
    <x v="0"/>
    <n v="1185732"/>
    <x v="137"/>
    <x v="4"/>
    <s v="West Virginia"/>
    <s v="Charleston"/>
    <s v="In-store"/>
    <x v="3"/>
    <n v="35"/>
    <n v="275"/>
    <n v="9625"/>
    <n v="5775"/>
  </r>
  <r>
    <x v="0"/>
    <n v="1185732"/>
    <x v="137"/>
    <x v="4"/>
    <s v="West Virginia"/>
    <s v="Charleston"/>
    <s v="In-store"/>
    <x v="5"/>
    <n v="35"/>
    <n v="200"/>
    <n v="7000"/>
    <n v="4200"/>
  </r>
  <r>
    <x v="0"/>
    <n v="1185732"/>
    <x v="137"/>
    <x v="4"/>
    <s v="West Virginia"/>
    <s v="Charleston"/>
    <s v="In-store"/>
    <x v="2"/>
    <n v="54.999999999999993"/>
    <n v="350"/>
    <n v="19249.999999999996"/>
    <n v="11549.999999999998"/>
  </r>
  <r>
    <x v="0"/>
    <n v="1185732"/>
    <x v="137"/>
    <x v="4"/>
    <s v="West Virginia"/>
    <s v="Charleston"/>
    <s v="In-store"/>
    <x v="1"/>
    <n v="44.999999999999993"/>
    <n v="225"/>
    <n v="10124.999999999998"/>
    <n v="6074.9999999999982"/>
  </r>
  <r>
    <x v="5"/>
    <n v="1128299"/>
    <x v="137"/>
    <x v="3"/>
    <s v="Florida"/>
    <s v="Orlando"/>
    <s v="Outlet"/>
    <x v="2"/>
    <n v="70"/>
    <n v="575"/>
    <n v="40250"/>
    <n v="22137.5"/>
  </r>
  <r>
    <x v="0"/>
    <n v="1128299"/>
    <x v="137"/>
    <x v="2"/>
    <s v="Louisiana"/>
    <s v="New Orleans"/>
    <s v="In-store"/>
    <x v="1"/>
    <n v="40"/>
    <n v="225"/>
    <n v="9000"/>
    <n v="4950"/>
  </r>
  <r>
    <x v="3"/>
    <n v="1197831"/>
    <x v="137"/>
    <x v="2"/>
    <s v="Tennessee"/>
    <s v="Knoxville"/>
    <s v="Outlet"/>
    <x v="5"/>
    <n v="60"/>
    <n v="550"/>
    <n v="33000"/>
    <n v="14849.999999999996"/>
  </r>
  <r>
    <x v="1"/>
    <n v="1189833"/>
    <x v="137"/>
    <x v="0"/>
    <s v="California"/>
    <s v="Los Angeles"/>
    <s v="Outlet"/>
    <x v="2"/>
    <n v="46"/>
    <n v="208"/>
    <n v="9568"/>
    <n v="7271.68"/>
  </r>
  <r>
    <x v="5"/>
    <n v="1128299"/>
    <x v="137"/>
    <x v="3"/>
    <s v="Florida"/>
    <s v="Orlando"/>
    <s v="Outlet"/>
    <x v="1"/>
    <n v="42"/>
    <n v="68"/>
    <n v="2856"/>
    <n v="2142"/>
  </r>
  <r>
    <x v="5"/>
    <n v="1128299"/>
    <x v="137"/>
    <x v="3"/>
    <s v="Florida"/>
    <s v="Orlando"/>
    <s v="Outlet"/>
    <x v="0"/>
    <n v="46"/>
    <n v="132"/>
    <n v="6072"/>
    <n v="4371.84"/>
  </r>
  <r>
    <x v="5"/>
    <n v="1128299"/>
    <x v="137"/>
    <x v="3"/>
    <s v="Florida"/>
    <s v="Orlando"/>
    <s v="Online"/>
    <x v="1"/>
    <n v="52"/>
    <n v="68"/>
    <n v="3536"/>
    <n v="2404.48"/>
  </r>
  <r>
    <x v="5"/>
    <n v="1128299"/>
    <x v="137"/>
    <x v="3"/>
    <s v="Florida"/>
    <s v="Orlando"/>
    <s v="Outlet"/>
    <x v="4"/>
    <n v="44"/>
    <n v="201"/>
    <n v="8844"/>
    <n v="5925.4800000000005"/>
  </r>
  <r>
    <x v="5"/>
    <n v="1128299"/>
    <x v="137"/>
    <x v="3"/>
    <s v="Florida"/>
    <s v="Orlando"/>
    <s v="Outlet"/>
    <x v="5"/>
    <n v="39"/>
    <n v="107"/>
    <n v="4173"/>
    <n v="2754.1800000000003"/>
  </r>
  <r>
    <x v="1"/>
    <n v="1189833"/>
    <x v="137"/>
    <x v="0"/>
    <s v="California"/>
    <s v="Los Angeles"/>
    <s v="Online"/>
    <x v="2"/>
    <n v="62"/>
    <n v="176"/>
    <n v="10912"/>
    <n v="7092.8"/>
  </r>
  <r>
    <x v="5"/>
    <n v="1128299"/>
    <x v="137"/>
    <x v="3"/>
    <s v="Florida"/>
    <s v="Orlando"/>
    <s v="Outlet"/>
    <x v="3"/>
    <n v="46"/>
    <n v="132"/>
    <n v="6072"/>
    <n v="3886.08"/>
  </r>
  <r>
    <x v="0"/>
    <n v="1128299"/>
    <x v="137"/>
    <x v="2"/>
    <s v="Louisiana"/>
    <s v="New Orleans"/>
    <s v="Outlet"/>
    <x v="2"/>
    <n v="46"/>
    <n v="178"/>
    <n v="8188"/>
    <n v="4912.8"/>
  </r>
  <r>
    <x v="5"/>
    <n v="1128299"/>
    <x v="137"/>
    <x v="3"/>
    <s v="Florida"/>
    <s v="Orlando"/>
    <s v="Online"/>
    <x v="0"/>
    <n v="60"/>
    <n v="128"/>
    <n v="7680"/>
    <n v="4608"/>
  </r>
  <r>
    <x v="0"/>
    <n v="1128299"/>
    <x v="137"/>
    <x v="2"/>
    <s v="Louisiana"/>
    <s v="New Orleans"/>
    <s v="Outlet"/>
    <x v="3"/>
    <n v="37"/>
    <n v="136"/>
    <n v="5032"/>
    <n v="2918.56"/>
  </r>
  <r>
    <x v="0"/>
    <n v="1128299"/>
    <x v="137"/>
    <x v="2"/>
    <s v="Louisiana"/>
    <s v="New Orleans"/>
    <s v="Outlet"/>
    <x v="4"/>
    <n v="32"/>
    <n v="176"/>
    <n v="5632"/>
    <n v="3210.2400000000002"/>
  </r>
  <r>
    <x v="0"/>
    <n v="1128299"/>
    <x v="137"/>
    <x v="2"/>
    <s v="Louisiana"/>
    <s v="New Orleans"/>
    <s v="Outlet"/>
    <x v="5"/>
    <n v="33"/>
    <n v="101"/>
    <n v="3333"/>
    <n v="1899.8100000000002"/>
  </r>
  <r>
    <x v="5"/>
    <n v="1128299"/>
    <x v="137"/>
    <x v="3"/>
    <s v="Florida"/>
    <s v="Orlando"/>
    <s v="Online"/>
    <x v="4"/>
    <n v="58"/>
    <n v="155"/>
    <n v="8990"/>
    <n v="5124.3"/>
  </r>
  <r>
    <x v="5"/>
    <n v="1128299"/>
    <x v="137"/>
    <x v="3"/>
    <s v="Florida"/>
    <s v="Orlando"/>
    <s v="Online"/>
    <x v="5"/>
    <n v="59"/>
    <n v="88"/>
    <n v="5192"/>
    <n v="2959.44"/>
  </r>
  <r>
    <x v="0"/>
    <n v="1128299"/>
    <x v="137"/>
    <x v="2"/>
    <s v="Louisiana"/>
    <s v="New Orleans"/>
    <s v="Outlet"/>
    <x v="0"/>
    <n v="40"/>
    <n v="128"/>
    <n v="5120"/>
    <n v="2867.2000000000003"/>
  </r>
  <r>
    <x v="5"/>
    <n v="1128299"/>
    <x v="137"/>
    <x v="3"/>
    <s v="Florida"/>
    <s v="Orlando"/>
    <s v="Online"/>
    <x v="3"/>
    <n v="59"/>
    <n v="119"/>
    <n v="7021"/>
    <n v="3861.55"/>
  </r>
  <r>
    <x v="0"/>
    <n v="1128299"/>
    <x v="137"/>
    <x v="2"/>
    <s v="Louisiana"/>
    <s v="New Orleans"/>
    <s v="Online"/>
    <x v="2"/>
    <n v="59"/>
    <n v="167"/>
    <n v="9853"/>
    <n v="5419.1500000000005"/>
  </r>
  <r>
    <x v="5"/>
    <n v="1128299"/>
    <x v="137"/>
    <x v="3"/>
    <s v="Florida"/>
    <s v="Orlando"/>
    <s v="Outlet"/>
    <x v="2"/>
    <n v="48"/>
    <n v="173"/>
    <n v="8304"/>
    <n v="4401.12"/>
  </r>
  <r>
    <x v="0"/>
    <n v="1128299"/>
    <x v="137"/>
    <x v="2"/>
    <s v="Louisiana"/>
    <s v="New Orleans"/>
    <s v="Outlet"/>
    <x v="1"/>
    <n v="32"/>
    <n v="77"/>
    <n v="2464"/>
    <n v="1281.28"/>
  </r>
  <r>
    <x v="0"/>
    <n v="1128299"/>
    <x v="137"/>
    <x v="2"/>
    <s v="Louisiana"/>
    <s v="New Orleans"/>
    <s v="Online"/>
    <x v="3"/>
    <n v="49"/>
    <n v="112"/>
    <n v="5488"/>
    <n v="2689.12"/>
  </r>
  <r>
    <x v="0"/>
    <n v="1128299"/>
    <x v="137"/>
    <x v="2"/>
    <s v="Louisiana"/>
    <s v="New Orleans"/>
    <s v="Online"/>
    <x v="5"/>
    <n v="44"/>
    <n v="85"/>
    <n v="3740"/>
    <n v="1832.6"/>
  </r>
  <r>
    <x v="0"/>
    <n v="1185732"/>
    <x v="137"/>
    <x v="4"/>
    <s v="West Virginia"/>
    <s v="Charleston"/>
    <s v="Online"/>
    <x v="0"/>
    <n v="37"/>
    <n v="87"/>
    <n v="3219"/>
    <n v="1577.31"/>
  </r>
  <r>
    <x v="0"/>
    <n v="1128299"/>
    <x v="137"/>
    <x v="2"/>
    <s v="Louisiana"/>
    <s v="New Orleans"/>
    <s v="Online"/>
    <x v="0"/>
    <n v="47"/>
    <n v="100"/>
    <n v="4700"/>
    <n v="2256"/>
  </r>
  <r>
    <x v="0"/>
    <n v="1185732"/>
    <x v="137"/>
    <x v="4"/>
    <s v="West Virginia"/>
    <s v="Charleston"/>
    <s v="Online"/>
    <x v="4"/>
    <n v="58"/>
    <n v="179"/>
    <n v="10382"/>
    <n v="4983.3599999999997"/>
  </r>
  <r>
    <x v="0"/>
    <n v="1128299"/>
    <x v="137"/>
    <x v="2"/>
    <s v="Louisiana"/>
    <s v="New Orleans"/>
    <s v="Online"/>
    <x v="4"/>
    <n v="43"/>
    <n v="160"/>
    <n v="6880"/>
    <n v="3233.6"/>
  </r>
  <r>
    <x v="0"/>
    <n v="1185732"/>
    <x v="137"/>
    <x v="4"/>
    <s v="West Virginia"/>
    <s v="Charleston"/>
    <s v="Online"/>
    <x v="1"/>
    <n v="42"/>
    <n v="68"/>
    <n v="2856"/>
    <n v="1313.76"/>
  </r>
  <r>
    <x v="0"/>
    <n v="1185732"/>
    <x v="137"/>
    <x v="4"/>
    <s v="West Virginia"/>
    <s v="Charleston"/>
    <s v="Online"/>
    <x v="3"/>
    <n v="32"/>
    <n v="77"/>
    <n v="2464"/>
    <n v="1108.8"/>
  </r>
  <r>
    <x v="0"/>
    <n v="1185732"/>
    <x v="137"/>
    <x v="4"/>
    <s v="West Virginia"/>
    <s v="Charleston"/>
    <s v="Online"/>
    <x v="5"/>
    <n v="33"/>
    <n v="50"/>
    <n v="1650"/>
    <n v="742.49999999999989"/>
  </r>
  <r>
    <x v="0"/>
    <n v="1185732"/>
    <x v="137"/>
    <x v="4"/>
    <s v="West Virginia"/>
    <s v="Charleston"/>
    <s v="Online"/>
    <x v="2"/>
    <n v="52"/>
    <n v="95"/>
    <n v="4940"/>
    <n v="2223"/>
  </r>
  <r>
    <x v="5"/>
    <n v="1128299"/>
    <x v="137"/>
    <x v="3"/>
    <s v="Florida"/>
    <s v="Orlando"/>
    <s v="Online"/>
    <x v="2"/>
    <n v="67"/>
    <n v="173"/>
    <n v="11591"/>
    <n v="4868.2199999999993"/>
  </r>
  <r>
    <x v="0"/>
    <n v="1128299"/>
    <x v="137"/>
    <x v="2"/>
    <s v="Louisiana"/>
    <s v="New Orleans"/>
    <s v="Online"/>
    <x v="1"/>
    <n v="36"/>
    <n v="65"/>
    <n v="2340"/>
    <n v="959.39999999999986"/>
  </r>
  <r>
    <x v="3"/>
    <n v="1197831"/>
    <x v="137"/>
    <x v="2"/>
    <s v="Tennessee"/>
    <s v="Knoxville"/>
    <s v="Outlet"/>
    <x v="5"/>
    <n v="44"/>
    <n v="176"/>
    <n v="7744"/>
    <n v="3097.5999999999995"/>
  </r>
  <r>
    <x v="3"/>
    <n v="1197831"/>
    <x v="137"/>
    <x v="2"/>
    <s v="Tennessee"/>
    <s v="Knoxville"/>
    <s v="Online"/>
    <x v="5"/>
    <n v="54"/>
    <n v="149"/>
    <n v="8046"/>
    <n v="2494.2599999999993"/>
  </r>
  <r>
    <x v="2"/>
    <n v="1185732"/>
    <x v="138"/>
    <x v="1"/>
    <s v="Missouri"/>
    <s v="St. Louis"/>
    <s v="In-store"/>
    <x v="0"/>
    <n v="35.000000000000007"/>
    <n v="325"/>
    <n v="11375.000000000002"/>
    <n v="7393.7500000000027"/>
  </r>
  <r>
    <x v="2"/>
    <n v="1185732"/>
    <x v="138"/>
    <x v="1"/>
    <s v="Missouri"/>
    <s v="St. Louis"/>
    <s v="In-store"/>
    <x v="3"/>
    <n v="30.000000000000004"/>
    <n v="300"/>
    <n v="9000.0000000000018"/>
    <n v="5850.0000000000018"/>
  </r>
  <r>
    <x v="2"/>
    <n v="1185732"/>
    <x v="138"/>
    <x v="1"/>
    <s v="Missouri"/>
    <s v="St. Louis"/>
    <s v="In-store"/>
    <x v="1"/>
    <n v="44.999999999999993"/>
    <n v="250"/>
    <n v="11249.999999999998"/>
    <n v="7312.5"/>
  </r>
  <r>
    <x v="0"/>
    <n v="1197831"/>
    <x v="138"/>
    <x v="2"/>
    <s v="Oklahoma"/>
    <s v="Oklahoma City"/>
    <s v="Online"/>
    <x v="1"/>
    <n v="44.999999999999993"/>
    <n v="250"/>
    <n v="11249.999999999998"/>
    <n v="7312.5"/>
  </r>
  <r>
    <x v="5"/>
    <n v="1197831"/>
    <x v="138"/>
    <x v="2"/>
    <s v="Arkansas"/>
    <s v="Little Rock"/>
    <s v="Online"/>
    <x v="0"/>
    <n v="40"/>
    <n v="375"/>
    <n v="15000"/>
    <n v="9750"/>
  </r>
  <r>
    <x v="5"/>
    <n v="1197831"/>
    <x v="138"/>
    <x v="2"/>
    <s v="Arkansas"/>
    <s v="Little Rock"/>
    <s v="Online"/>
    <x v="1"/>
    <n v="44.999999999999993"/>
    <n v="325"/>
    <n v="14624.999999999998"/>
    <n v="9506.2499999999982"/>
  </r>
  <r>
    <x v="0"/>
    <n v="1197831"/>
    <x v="138"/>
    <x v="2"/>
    <s v="Oklahoma"/>
    <s v="Oklahoma City"/>
    <s v="Online"/>
    <x v="0"/>
    <n v="40"/>
    <n v="300"/>
    <n v="12000"/>
    <n v="7800"/>
  </r>
  <r>
    <x v="1"/>
    <n v="1189833"/>
    <x v="138"/>
    <x v="0"/>
    <s v="California"/>
    <s v="Los Angeles"/>
    <s v="Outlet"/>
    <x v="4"/>
    <n v="50"/>
    <n v="825"/>
    <n v="41250"/>
    <n v="24750"/>
  </r>
  <r>
    <x v="3"/>
    <n v="1197831"/>
    <x v="138"/>
    <x v="2"/>
    <s v="Tennessee"/>
    <s v="Knoxville"/>
    <s v="Outlet"/>
    <x v="1"/>
    <n v="54.999999999999993"/>
    <n v="500"/>
    <n v="27499.999999999996"/>
    <n v="16499.999999999996"/>
  </r>
  <r>
    <x v="2"/>
    <n v="1185732"/>
    <x v="138"/>
    <x v="1"/>
    <s v="Missouri"/>
    <s v="St. Louis"/>
    <s v="In-store"/>
    <x v="4"/>
    <n v="40"/>
    <n v="620"/>
    <n v="24800"/>
    <n v="14880"/>
  </r>
  <r>
    <x v="2"/>
    <n v="1185732"/>
    <x v="138"/>
    <x v="1"/>
    <s v="Missouri"/>
    <s v="St. Louis"/>
    <s v="In-store"/>
    <x v="5"/>
    <n v="30.000000000000004"/>
    <n v="225"/>
    <n v="6750.0000000000009"/>
    <n v="4050.0000000000009"/>
  </r>
  <r>
    <x v="5"/>
    <n v="1197831"/>
    <x v="138"/>
    <x v="2"/>
    <s v="Arkansas"/>
    <s v="Little Rock"/>
    <s v="Online"/>
    <x v="4"/>
    <n v="40"/>
    <n v="670"/>
    <n v="26800"/>
    <n v="16080"/>
  </r>
  <r>
    <x v="5"/>
    <n v="1197831"/>
    <x v="138"/>
    <x v="2"/>
    <s v="Arkansas"/>
    <s v="Little Rock"/>
    <s v="Online"/>
    <x v="3"/>
    <n v="35"/>
    <n v="350"/>
    <n v="12250"/>
    <n v="7350"/>
  </r>
  <r>
    <x v="5"/>
    <n v="1197831"/>
    <x v="138"/>
    <x v="2"/>
    <s v="Arkansas"/>
    <s v="Little Rock"/>
    <s v="Online"/>
    <x v="5"/>
    <n v="35"/>
    <n v="300"/>
    <n v="10500"/>
    <n v="6300"/>
  </r>
  <r>
    <x v="5"/>
    <n v="1197831"/>
    <x v="138"/>
    <x v="2"/>
    <s v="Arkansas"/>
    <s v="Little Rock"/>
    <s v="Online"/>
    <x v="2"/>
    <n v="44.999999999999993"/>
    <n v="425"/>
    <n v="19124.999999999996"/>
    <n v="11474.999999999998"/>
  </r>
  <r>
    <x v="0"/>
    <n v="1197831"/>
    <x v="138"/>
    <x v="2"/>
    <s v="Oklahoma"/>
    <s v="Oklahoma City"/>
    <s v="Online"/>
    <x v="4"/>
    <n v="40"/>
    <n v="595"/>
    <n v="23800"/>
    <n v="14280"/>
  </r>
  <r>
    <x v="0"/>
    <n v="1197831"/>
    <x v="138"/>
    <x v="2"/>
    <s v="Oklahoma"/>
    <s v="Oklahoma City"/>
    <s v="Online"/>
    <x v="3"/>
    <n v="35"/>
    <n v="275"/>
    <n v="9625"/>
    <n v="5775"/>
  </r>
  <r>
    <x v="0"/>
    <n v="1197831"/>
    <x v="138"/>
    <x v="2"/>
    <s v="Oklahoma"/>
    <s v="Oklahoma City"/>
    <s v="Online"/>
    <x v="5"/>
    <n v="35"/>
    <n v="225"/>
    <n v="7875"/>
    <n v="4725"/>
  </r>
  <r>
    <x v="0"/>
    <n v="1197831"/>
    <x v="138"/>
    <x v="2"/>
    <s v="Oklahoma"/>
    <s v="Oklahoma City"/>
    <s v="Online"/>
    <x v="2"/>
    <n v="44.999999999999993"/>
    <n v="350"/>
    <n v="15749.999999999998"/>
    <n v="9449.9999999999964"/>
  </r>
  <r>
    <x v="2"/>
    <n v="1185732"/>
    <x v="138"/>
    <x v="1"/>
    <s v="Missouri"/>
    <s v="St. Louis"/>
    <s v="In-store"/>
    <x v="2"/>
    <n v="49.999999999999993"/>
    <n v="350"/>
    <n v="17499.999999999996"/>
    <n v="8749.9999999999982"/>
  </r>
  <r>
    <x v="0"/>
    <n v="1197831"/>
    <x v="138"/>
    <x v="2"/>
    <s v="Oklahoma"/>
    <s v="Oklahoma City"/>
    <s v="Outlet"/>
    <x v="0"/>
    <n v="29"/>
    <n v="93"/>
    <n v="2697"/>
    <n v="1672.14"/>
  </r>
  <r>
    <x v="5"/>
    <n v="1197831"/>
    <x v="138"/>
    <x v="2"/>
    <s v="Arkansas"/>
    <s v="Little Rock"/>
    <s v="Outlet"/>
    <x v="1"/>
    <n v="32"/>
    <n v="111"/>
    <n v="3552"/>
    <n v="2166.7200000000003"/>
  </r>
  <r>
    <x v="0"/>
    <n v="1197831"/>
    <x v="138"/>
    <x v="2"/>
    <s v="Oklahoma"/>
    <s v="Oklahoma City"/>
    <s v="Outlet"/>
    <x v="1"/>
    <n v="33"/>
    <n v="80"/>
    <n v="2640"/>
    <n v="1557.6000000000001"/>
  </r>
  <r>
    <x v="5"/>
    <n v="1197831"/>
    <x v="138"/>
    <x v="2"/>
    <s v="Arkansas"/>
    <s v="Little Rock"/>
    <s v="Outlet"/>
    <x v="0"/>
    <n v="28"/>
    <n v="116"/>
    <n v="3248"/>
    <n v="1883.8400000000001"/>
  </r>
  <r>
    <x v="0"/>
    <n v="1197831"/>
    <x v="138"/>
    <x v="2"/>
    <s v="Oklahoma"/>
    <s v="Oklahoma City"/>
    <s v="Outlet"/>
    <x v="5"/>
    <n v="26"/>
    <n v="74"/>
    <n v="1924"/>
    <n v="1115.92"/>
  </r>
  <r>
    <x v="0"/>
    <n v="1197831"/>
    <x v="138"/>
    <x v="2"/>
    <s v="Oklahoma"/>
    <s v="Oklahoma City"/>
    <s v="Outlet"/>
    <x v="3"/>
    <n v="27"/>
    <n v="88"/>
    <n v="2376"/>
    <n v="1378.08"/>
  </r>
  <r>
    <x v="0"/>
    <n v="1197831"/>
    <x v="138"/>
    <x v="2"/>
    <s v="Oklahoma"/>
    <s v="Oklahoma City"/>
    <s v="Outlet"/>
    <x v="4"/>
    <n v="28"/>
    <n v="179"/>
    <n v="5012"/>
    <n v="2856.8399999999997"/>
  </r>
  <r>
    <x v="5"/>
    <n v="1197831"/>
    <x v="138"/>
    <x v="2"/>
    <s v="Arkansas"/>
    <s v="Little Rock"/>
    <s v="Outlet"/>
    <x v="3"/>
    <n v="27"/>
    <n v="119"/>
    <n v="3213"/>
    <n v="1799.28"/>
  </r>
  <r>
    <x v="0"/>
    <n v="1197831"/>
    <x v="138"/>
    <x v="2"/>
    <s v="Oklahoma"/>
    <s v="Oklahoma City"/>
    <s v="Online"/>
    <x v="0"/>
    <n v="39"/>
    <n v="87"/>
    <n v="3393"/>
    <n v="1866.15"/>
  </r>
  <r>
    <x v="0"/>
    <n v="1197831"/>
    <x v="138"/>
    <x v="2"/>
    <s v="Oklahoma"/>
    <s v="Oklahoma City"/>
    <s v="Online"/>
    <x v="1"/>
    <n v="43"/>
    <n v="75"/>
    <n v="3225"/>
    <n v="1773.7500000000002"/>
  </r>
  <r>
    <x v="0"/>
    <n v="1197831"/>
    <x v="138"/>
    <x v="2"/>
    <s v="Oklahoma"/>
    <s v="Oklahoma City"/>
    <s v="Outlet"/>
    <x v="2"/>
    <n v="33"/>
    <n v="116"/>
    <n v="3828"/>
    <n v="2105.3999999999996"/>
  </r>
  <r>
    <x v="2"/>
    <n v="1185732"/>
    <x v="138"/>
    <x v="1"/>
    <s v="Missouri"/>
    <s v="St. Louis"/>
    <s v="Online"/>
    <x v="3"/>
    <n v="29"/>
    <n v="87"/>
    <n v="2523"/>
    <n v="1362.42"/>
  </r>
  <r>
    <x v="1"/>
    <n v="1189833"/>
    <x v="138"/>
    <x v="0"/>
    <s v="California"/>
    <s v="Los Angeles"/>
    <s v="Outlet"/>
    <x v="4"/>
    <n v="40"/>
    <n v="272"/>
    <n v="10880"/>
    <n v="5875.2"/>
  </r>
  <r>
    <x v="5"/>
    <n v="1197831"/>
    <x v="138"/>
    <x v="2"/>
    <s v="Arkansas"/>
    <s v="Little Rock"/>
    <s v="Outlet"/>
    <x v="4"/>
    <n v="26"/>
    <n v="228"/>
    <n v="5928"/>
    <n v="3201.12"/>
  </r>
  <r>
    <x v="5"/>
    <n v="1197831"/>
    <x v="138"/>
    <x v="2"/>
    <s v="Arkansas"/>
    <s v="Little Rock"/>
    <s v="Online"/>
    <x v="1"/>
    <n v="42"/>
    <n v="85"/>
    <n v="3570"/>
    <n v="1892.1000000000001"/>
  </r>
  <r>
    <x v="3"/>
    <n v="1197831"/>
    <x v="138"/>
    <x v="2"/>
    <s v="Tennessee"/>
    <s v="Knoxville"/>
    <s v="Outlet"/>
    <x v="1"/>
    <n v="38"/>
    <n v="160"/>
    <n v="6080"/>
    <n v="3222.4"/>
  </r>
  <r>
    <x v="2"/>
    <n v="1185732"/>
    <x v="138"/>
    <x v="1"/>
    <s v="Missouri"/>
    <s v="St. Louis"/>
    <s v="Online"/>
    <x v="0"/>
    <n v="34"/>
    <n v="88"/>
    <n v="2992"/>
    <n v="1585.76"/>
  </r>
  <r>
    <x v="5"/>
    <n v="1197831"/>
    <x v="138"/>
    <x v="2"/>
    <s v="Arkansas"/>
    <s v="Little Rock"/>
    <s v="Outlet"/>
    <x v="5"/>
    <n v="24"/>
    <n v="90"/>
    <n v="2160"/>
    <n v="1144.8"/>
  </r>
  <r>
    <x v="5"/>
    <n v="1197831"/>
    <x v="138"/>
    <x v="2"/>
    <s v="Arkansas"/>
    <s v="Little Rock"/>
    <s v="Outlet"/>
    <x v="2"/>
    <n v="33"/>
    <n v="145"/>
    <n v="4785"/>
    <n v="2536.0499999999997"/>
  </r>
  <r>
    <x v="2"/>
    <n v="1185732"/>
    <x v="138"/>
    <x v="1"/>
    <s v="Missouri"/>
    <s v="St. Louis"/>
    <s v="Online"/>
    <x v="1"/>
    <n v="44"/>
    <n v="70"/>
    <n v="3080"/>
    <n v="1601.6000000000001"/>
  </r>
  <r>
    <x v="1"/>
    <n v="1189833"/>
    <x v="138"/>
    <x v="0"/>
    <s v="California"/>
    <s v="Los Angeles"/>
    <s v="Online"/>
    <x v="4"/>
    <n v="49"/>
    <n v="231"/>
    <n v="11319"/>
    <n v="5659.5"/>
  </r>
  <r>
    <x v="3"/>
    <n v="1197831"/>
    <x v="138"/>
    <x v="2"/>
    <s v="Tennessee"/>
    <s v="Knoxville"/>
    <s v="Online"/>
    <x v="1"/>
    <n v="50"/>
    <n v="140"/>
    <n v="7000"/>
    <n v="3500"/>
  </r>
  <r>
    <x v="5"/>
    <n v="1197831"/>
    <x v="138"/>
    <x v="2"/>
    <s v="Arkansas"/>
    <s v="Little Rock"/>
    <s v="Online"/>
    <x v="0"/>
    <n v="38"/>
    <n v="113"/>
    <n v="4294"/>
    <n v="2147"/>
  </r>
  <r>
    <x v="2"/>
    <n v="1185732"/>
    <x v="138"/>
    <x v="1"/>
    <s v="Missouri"/>
    <s v="St. Louis"/>
    <s v="Online"/>
    <x v="4"/>
    <n v="39"/>
    <n v="180"/>
    <n v="7020"/>
    <n v="3439.7999999999997"/>
  </r>
  <r>
    <x v="0"/>
    <n v="1197831"/>
    <x v="138"/>
    <x v="2"/>
    <s v="Oklahoma"/>
    <s v="Oklahoma City"/>
    <s v="Online"/>
    <x v="3"/>
    <n v="34"/>
    <n v="72"/>
    <n v="2448"/>
    <n v="1175.04"/>
  </r>
  <r>
    <x v="0"/>
    <n v="1197831"/>
    <x v="138"/>
    <x v="2"/>
    <s v="Oklahoma"/>
    <s v="Oklahoma City"/>
    <s v="Online"/>
    <x v="2"/>
    <n v="42"/>
    <n v="98"/>
    <n v="4116"/>
    <n v="1975.6799999999998"/>
  </r>
  <r>
    <x v="5"/>
    <n v="1197831"/>
    <x v="138"/>
    <x v="2"/>
    <s v="Arkansas"/>
    <s v="Little Rock"/>
    <s v="Online"/>
    <x v="5"/>
    <n v="34"/>
    <n v="78"/>
    <n v="2652"/>
    <n v="1246.4399999999998"/>
  </r>
  <r>
    <x v="5"/>
    <n v="1197831"/>
    <x v="138"/>
    <x v="2"/>
    <s v="Arkansas"/>
    <s v="Little Rock"/>
    <s v="Online"/>
    <x v="4"/>
    <n v="39"/>
    <n v="181"/>
    <n v="7059"/>
    <n v="3247.14"/>
  </r>
  <r>
    <x v="0"/>
    <n v="1197831"/>
    <x v="138"/>
    <x v="2"/>
    <s v="Oklahoma"/>
    <s v="Oklahoma City"/>
    <s v="Online"/>
    <x v="4"/>
    <n v="36"/>
    <n v="167"/>
    <n v="6012"/>
    <n v="2765.52"/>
  </r>
  <r>
    <x v="2"/>
    <n v="1185732"/>
    <x v="138"/>
    <x v="1"/>
    <s v="Missouri"/>
    <s v="St. Louis"/>
    <s v="Online"/>
    <x v="5"/>
    <n v="29"/>
    <n v="65"/>
    <n v="1885"/>
    <n v="848.25"/>
  </r>
  <r>
    <x v="5"/>
    <n v="1197831"/>
    <x v="138"/>
    <x v="2"/>
    <s v="Arkansas"/>
    <s v="Little Rock"/>
    <s v="Online"/>
    <x v="3"/>
    <n v="34"/>
    <n v="91"/>
    <n v="3094"/>
    <n v="1392.3"/>
  </r>
  <r>
    <x v="5"/>
    <n v="1197831"/>
    <x v="138"/>
    <x v="2"/>
    <s v="Arkansas"/>
    <s v="Little Rock"/>
    <s v="Online"/>
    <x v="2"/>
    <n v="44"/>
    <n v="111"/>
    <n v="4884"/>
    <n v="2197.7999999999997"/>
  </r>
  <r>
    <x v="0"/>
    <n v="1197831"/>
    <x v="138"/>
    <x v="2"/>
    <s v="Oklahoma"/>
    <s v="Oklahoma City"/>
    <s v="Online"/>
    <x v="5"/>
    <n v="34"/>
    <n v="59"/>
    <n v="2006"/>
    <n v="902.69999999999982"/>
  </r>
  <r>
    <x v="2"/>
    <n v="1185732"/>
    <x v="138"/>
    <x v="1"/>
    <s v="Missouri"/>
    <s v="St. Louis"/>
    <s v="Online"/>
    <x v="2"/>
    <n v="45"/>
    <n v="105"/>
    <n v="4725"/>
    <n v="1890"/>
  </r>
  <r>
    <x v="4"/>
    <n v="1185732"/>
    <x v="139"/>
    <x v="0"/>
    <s v="Alaska"/>
    <s v="Anchorage"/>
    <s v="Outlet"/>
    <x v="5"/>
    <n v="55.000000000000007"/>
    <n v="250"/>
    <n v="13750.000000000002"/>
    <n v="10312.500000000004"/>
  </r>
  <r>
    <x v="1"/>
    <n v="1189833"/>
    <x v="139"/>
    <x v="0"/>
    <s v="California"/>
    <s v="Los Angeles"/>
    <s v="Outlet"/>
    <x v="0"/>
    <n v="55.000000000000007"/>
    <n v="825"/>
    <n v="45375.000000000007"/>
    <n v="34031.250000000007"/>
  </r>
  <r>
    <x v="4"/>
    <n v="1185732"/>
    <x v="139"/>
    <x v="0"/>
    <s v="Alaska"/>
    <s v="Anchorage"/>
    <s v="Outlet"/>
    <x v="3"/>
    <n v="55.000000000000007"/>
    <n v="300"/>
    <n v="16500.000000000004"/>
    <n v="12375.000000000004"/>
  </r>
  <r>
    <x v="4"/>
    <n v="1185732"/>
    <x v="139"/>
    <x v="0"/>
    <s v="Alaska"/>
    <s v="Anchorage"/>
    <s v="Outlet"/>
    <x v="1"/>
    <n v="65"/>
    <n v="275"/>
    <n v="17875"/>
    <n v="13406.25"/>
  </r>
  <r>
    <x v="0"/>
    <n v="1185732"/>
    <x v="139"/>
    <x v="4"/>
    <s v="Maryland"/>
    <s v="Baltimore"/>
    <s v="In-store"/>
    <x v="1"/>
    <n v="49.999999999999993"/>
    <n v="125"/>
    <n v="6249.9999999999991"/>
    <n v="4375"/>
  </r>
  <r>
    <x v="4"/>
    <n v="1185732"/>
    <x v="139"/>
    <x v="0"/>
    <s v="Alaska"/>
    <s v="Anchorage"/>
    <s v="Outlet"/>
    <x v="2"/>
    <n v="70"/>
    <n v="400"/>
    <n v="28000"/>
    <n v="19600"/>
  </r>
  <r>
    <x v="0"/>
    <n v="1185732"/>
    <x v="139"/>
    <x v="4"/>
    <s v="Maryland"/>
    <s v="Baltimore"/>
    <s v="In-store"/>
    <x v="2"/>
    <n v="54.999999999999993"/>
    <n v="250"/>
    <n v="13749.999999999998"/>
    <n v="9624.9999999999964"/>
  </r>
  <r>
    <x v="4"/>
    <n v="1185732"/>
    <x v="139"/>
    <x v="0"/>
    <s v="Alaska"/>
    <s v="Anchorage"/>
    <s v="Outlet"/>
    <x v="4"/>
    <n v="65"/>
    <n v="570"/>
    <n v="37050"/>
    <n v="24082.5"/>
  </r>
  <r>
    <x v="4"/>
    <n v="1185732"/>
    <x v="139"/>
    <x v="0"/>
    <s v="Alaska"/>
    <s v="Anchorage"/>
    <s v="Outlet"/>
    <x v="0"/>
    <n v="60.000000000000007"/>
    <n v="275"/>
    <n v="16500.000000000004"/>
    <n v="10725.000000000002"/>
  </r>
  <r>
    <x v="0"/>
    <n v="1185732"/>
    <x v="139"/>
    <x v="4"/>
    <s v="Maryland"/>
    <s v="Baltimore"/>
    <s v="In-store"/>
    <x v="0"/>
    <n v="45"/>
    <n v="175"/>
    <n v="7875"/>
    <n v="5118.75"/>
  </r>
  <r>
    <x v="0"/>
    <n v="1185732"/>
    <x v="139"/>
    <x v="4"/>
    <s v="Maryland"/>
    <s v="Baltimore"/>
    <s v="In-store"/>
    <x v="3"/>
    <n v="40"/>
    <n v="150"/>
    <n v="6000"/>
    <n v="3900"/>
  </r>
  <r>
    <x v="0"/>
    <n v="1185732"/>
    <x v="139"/>
    <x v="4"/>
    <s v="Maryland"/>
    <s v="Baltimore"/>
    <s v="In-store"/>
    <x v="5"/>
    <n v="40"/>
    <n v="100"/>
    <n v="4000"/>
    <n v="2600"/>
  </r>
  <r>
    <x v="0"/>
    <n v="1185732"/>
    <x v="139"/>
    <x v="4"/>
    <s v="Maryland"/>
    <s v="Baltimore"/>
    <s v="In-store"/>
    <x v="4"/>
    <n v="49.999999999999993"/>
    <n v="470"/>
    <n v="23499.999999999996"/>
    <n v="14099.999999999996"/>
  </r>
  <r>
    <x v="3"/>
    <n v="1197831"/>
    <x v="139"/>
    <x v="2"/>
    <s v="Tennessee"/>
    <s v="Knoxville"/>
    <s v="Outlet"/>
    <x v="2"/>
    <n v="65"/>
    <n v="750"/>
    <n v="48750"/>
    <n v="19499.999999999993"/>
  </r>
  <r>
    <x v="1"/>
    <n v="1189833"/>
    <x v="139"/>
    <x v="0"/>
    <s v="California"/>
    <s v="Los Angeles"/>
    <s v="Outlet"/>
    <x v="0"/>
    <n v="42"/>
    <n v="264"/>
    <n v="11088"/>
    <n v="7761.6"/>
  </r>
  <r>
    <x v="1"/>
    <n v="1189833"/>
    <x v="139"/>
    <x v="0"/>
    <s v="California"/>
    <s v="Los Angeles"/>
    <s v="Online"/>
    <x v="0"/>
    <n v="54"/>
    <n v="215"/>
    <n v="11610"/>
    <n v="7198.2"/>
  </r>
  <r>
    <x v="4"/>
    <n v="1185732"/>
    <x v="139"/>
    <x v="0"/>
    <s v="Alaska"/>
    <s v="Anchorage"/>
    <s v="Online"/>
    <x v="5"/>
    <n v="51"/>
    <n v="63"/>
    <n v="3213"/>
    <n v="1992.06"/>
  </r>
  <r>
    <x v="4"/>
    <n v="1185732"/>
    <x v="139"/>
    <x v="0"/>
    <s v="Alaska"/>
    <s v="Anchorage"/>
    <s v="Online"/>
    <x v="1"/>
    <n v="62"/>
    <n v="69"/>
    <n v="4278"/>
    <n v="2652.3599999999997"/>
  </r>
  <r>
    <x v="4"/>
    <n v="1185732"/>
    <x v="139"/>
    <x v="0"/>
    <s v="Alaska"/>
    <s v="Anchorage"/>
    <s v="Online"/>
    <x v="3"/>
    <n v="53"/>
    <n v="84"/>
    <n v="4452"/>
    <n v="2671.2"/>
  </r>
  <r>
    <x v="4"/>
    <n v="1185732"/>
    <x v="139"/>
    <x v="0"/>
    <s v="Alaska"/>
    <s v="Anchorage"/>
    <s v="Online"/>
    <x v="2"/>
    <n v="67"/>
    <n v="100"/>
    <n v="6700"/>
    <n v="3953"/>
  </r>
  <r>
    <x v="0"/>
    <n v="1185732"/>
    <x v="139"/>
    <x v="4"/>
    <s v="Maryland"/>
    <s v="Baltimore"/>
    <s v="Online"/>
    <x v="2"/>
    <n v="52"/>
    <n v="63"/>
    <n v="3276"/>
    <n v="1932.8400000000001"/>
  </r>
  <r>
    <x v="0"/>
    <n v="1185732"/>
    <x v="139"/>
    <x v="4"/>
    <s v="Maryland"/>
    <s v="Baltimore"/>
    <s v="Online"/>
    <x v="1"/>
    <n v="49"/>
    <n v="36"/>
    <n v="1764"/>
    <n v="1023.12"/>
  </r>
  <r>
    <x v="4"/>
    <n v="1185732"/>
    <x v="139"/>
    <x v="0"/>
    <s v="Alaska"/>
    <s v="Anchorage"/>
    <s v="Online"/>
    <x v="0"/>
    <n v="56"/>
    <n v="72"/>
    <n v="4032"/>
    <n v="2217.5999999999995"/>
  </r>
  <r>
    <x v="0"/>
    <n v="1185732"/>
    <x v="139"/>
    <x v="4"/>
    <s v="Maryland"/>
    <s v="Baltimore"/>
    <s v="Online"/>
    <x v="0"/>
    <n v="42"/>
    <n v="47"/>
    <n v="1974"/>
    <n v="1065.96"/>
  </r>
  <r>
    <x v="0"/>
    <n v="1185732"/>
    <x v="139"/>
    <x v="4"/>
    <s v="Maryland"/>
    <s v="Baltimore"/>
    <s v="Online"/>
    <x v="3"/>
    <n v="36"/>
    <n v="38"/>
    <n v="1368"/>
    <n v="711.36"/>
  </r>
  <r>
    <x v="0"/>
    <n v="1185732"/>
    <x v="139"/>
    <x v="4"/>
    <s v="Maryland"/>
    <s v="Baltimore"/>
    <s v="Online"/>
    <x v="5"/>
    <n v="37"/>
    <n v="30"/>
    <n v="1110"/>
    <n v="577.20000000000005"/>
  </r>
  <r>
    <x v="4"/>
    <n v="1185732"/>
    <x v="139"/>
    <x v="0"/>
    <s v="Alaska"/>
    <s v="Anchorage"/>
    <s v="Online"/>
    <x v="4"/>
    <n v="59"/>
    <n v="160"/>
    <n v="9440"/>
    <n v="4720"/>
  </r>
  <r>
    <x v="0"/>
    <n v="1185732"/>
    <x v="139"/>
    <x v="4"/>
    <s v="Maryland"/>
    <s v="Baltimore"/>
    <s v="Online"/>
    <x v="4"/>
    <n v="49"/>
    <n v="118"/>
    <n v="5782"/>
    <n v="2775.3599999999997"/>
  </r>
  <r>
    <x v="3"/>
    <n v="1197831"/>
    <x v="139"/>
    <x v="2"/>
    <s v="Tennessee"/>
    <s v="Knoxville"/>
    <s v="Outlet"/>
    <x v="2"/>
    <n v="49"/>
    <n v="225"/>
    <n v="11025"/>
    <n v="4079.2499999999991"/>
  </r>
  <r>
    <x v="3"/>
    <n v="1197831"/>
    <x v="139"/>
    <x v="2"/>
    <s v="Tennessee"/>
    <s v="Knoxville"/>
    <s v="Online"/>
    <x v="2"/>
    <n v="61"/>
    <n v="225"/>
    <n v="13725"/>
    <n v="3568.4999999999982"/>
  </r>
  <r>
    <x v="1"/>
    <n v="1189833"/>
    <x v="140"/>
    <x v="0"/>
    <s v="California"/>
    <s v="Los Angeles"/>
    <s v="Outlet"/>
    <x v="3"/>
    <n v="50"/>
    <n v="675"/>
    <n v="33750"/>
    <n v="20250"/>
  </r>
  <r>
    <x v="2"/>
    <n v="1185732"/>
    <x v="140"/>
    <x v="2"/>
    <s v="Tennessee"/>
    <s v="Knoxville"/>
    <s v="Outlet"/>
    <x v="4"/>
    <n v="35"/>
    <n v="425"/>
    <n v="14875"/>
    <n v="8925"/>
  </r>
  <r>
    <x v="2"/>
    <n v="1185732"/>
    <x v="140"/>
    <x v="2"/>
    <s v="Tennessee"/>
    <s v="Knoxville"/>
    <s v="Outlet"/>
    <x v="4"/>
    <n v="27"/>
    <n v="140"/>
    <n v="3780"/>
    <n v="2116.8000000000002"/>
  </r>
  <r>
    <x v="1"/>
    <n v="1189833"/>
    <x v="140"/>
    <x v="0"/>
    <s v="California"/>
    <s v="Los Angeles"/>
    <s v="Outlet"/>
    <x v="3"/>
    <n v="35"/>
    <n v="223"/>
    <n v="7805"/>
    <n v="4214.7"/>
  </r>
  <r>
    <x v="1"/>
    <n v="1189833"/>
    <x v="140"/>
    <x v="0"/>
    <s v="California"/>
    <s v="Los Angeles"/>
    <s v="Online"/>
    <x v="3"/>
    <n v="47"/>
    <n v="169"/>
    <n v="7943"/>
    <n v="3971.5"/>
  </r>
  <r>
    <x v="2"/>
    <n v="1185732"/>
    <x v="140"/>
    <x v="2"/>
    <s v="Tennessee"/>
    <s v="Knoxville"/>
    <s v="Online"/>
    <x v="4"/>
    <n v="32"/>
    <n v="119"/>
    <n v="3808"/>
    <n v="1904"/>
  </r>
  <r>
    <x v="1"/>
    <n v="1189833"/>
    <x v="141"/>
    <x v="0"/>
    <s v="California"/>
    <s v="Los Angeles"/>
    <s v="Outlet"/>
    <x v="5"/>
    <n v="50"/>
    <n v="650"/>
    <n v="32500"/>
    <n v="21125"/>
  </r>
  <r>
    <x v="2"/>
    <n v="1185732"/>
    <x v="141"/>
    <x v="2"/>
    <s v="Tennessee"/>
    <s v="Knoxville"/>
    <s v="Outlet"/>
    <x v="0"/>
    <n v="35"/>
    <n v="225"/>
    <n v="7875"/>
    <n v="5118.75"/>
  </r>
  <r>
    <x v="2"/>
    <n v="1185732"/>
    <x v="141"/>
    <x v="2"/>
    <s v="Tennessee"/>
    <s v="Knoxville"/>
    <s v="Outlet"/>
    <x v="0"/>
    <n v="23"/>
    <n v="70"/>
    <n v="1610"/>
    <n v="949.90000000000009"/>
  </r>
  <r>
    <x v="1"/>
    <n v="1189833"/>
    <x v="141"/>
    <x v="0"/>
    <s v="California"/>
    <s v="Los Angeles"/>
    <s v="Outlet"/>
    <x v="5"/>
    <n v="33"/>
    <n v="221"/>
    <n v="7293"/>
    <n v="4229.9400000000005"/>
  </r>
  <r>
    <x v="1"/>
    <n v="1189833"/>
    <x v="141"/>
    <x v="0"/>
    <s v="California"/>
    <s v="Los Angeles"/>
    <s v="Online"/>
    <x v="5"/>
    <n v="47"/>
    <n v="176"/>
    <n v="8272"/>
    <n v="4549.6000000000004"/>
  </r>
  <r>
    <x v="2"/>
    <n v="1185732"/>
    <x v="141"/>
    <x v="2"/>
    <s v="Tennessee"/>
    <s v="Knoxville"/>
    <s v="Online"/>
    <x v="0"/>
    <n v="32"/>
    <n v="56"/>
    <n v="1792"/>
    <n v="913.92000000000007"/>
  </r>
  <r>
    <x v="4"/>
    <n v="1185732"/>
    <x v="142"/>
    <x v="3"/>
    <s v="Kentucky"/>
    <s v="Louisville"/>
    <s v="Online"/>
    <x v="0"/>
    <n v="45.000000000000007"/>
    <n v="225"/>
    <n v="10125.000000000002"/>
    <n v="6581.2500000000018"/>
  </r>
  <r>
    <x v="2"/>
    <n v="1185732"/>
    <x v="142"/>
    <x v="2"/>
    <s v="Tennessee"/>
    <s v="Knoxville"/>
    <s v="Outlet"/>
    <x v="3"/>
    <n v="25"/>
    <n v="225"/>
    <n v="5625"/>
    <n v="3656.25"/>
  </r>
  <r>
    <x v="4"/>
    <n v="1185732"/>
    <x v="142"/>
    <x v="3"/>
    <s v="Kentucky"/>
    <s v="Louisville"/>
    <s v="Online"/>
    <x v="1"/>
    <n v="50"/>
    <n v="150"/>
    <n v="7500"/>
    <n v="4875"/>
  </r>
  <r>
    <x v="4"/>
    <n v="1185732"/>
    <x v="142"/>
    <x v="3"/>
    <s v="Kentucky"/>
    <s v="Louisville"/>
    <s v="Online"/>
    <x v="4"/>
    <n v="50"/>
    <n v="520"/>
    <n v="26000"/>
    <n v="15600"/>
  </r>
  <r>
    <x v="4"/>
    <n v="1185732"/>
    <x v="142"/>
    <x v="3"/>
    <s v="Kentucky"/>
    <s v="Louisville"/>
    <s v="Online"/>
    <x v="3"/>
    <n v="40"/>
    <n v="200"/>
    <n v="8000"/>
    <n v="4800"/>
  </r>
  <r>
    <x v="4"/>
    <n v="1185732"/>
    <x v="142"/>
    <x v="3"/>
    <s v="Kentucky"/>
    <s v="Louisville"/>
    <s v="Online"/>
    <x v="5"/>
    <n v="40"/>
    <n v="125"/>
    <n v="5000"/>
    <n v="3000"/>
  </r>
  <r>
    <x v="4"/>
    <n v="1185732"/>
    <x v="142"/>
    <x v="3"/>
    <s v="Kentucky"/>
    <s v="Louisville"/>
    <s v="Online"/>
    <x v="2"/>
    <n v="55.000000000000007"/>
    <n v="275"/>
    <n v="15125.000000000002"/>
    <n v="9075.0000000000018"/>
  </r>
  <r>
    <x v="1"/>
    <n v="1189833"/>
    <x v="142"/>
    <x v="0"/>
    <s v="California"/>
    <s v="Los Angeles"/>
    <s v="Outlet"/>
    <x v="1"/>
    <n v="60"/>
    <n v="600"/>
    <n v="36000"/>
    <n v="16199.999999999996"/>
  </r>
  <r>
    <x v="2"/>
    <n v="1185732"/>
    <x v="142"/>
    <x v="2"/>
    <s v="Tennessee"/>
    <s v="Knoxville"/>
    <s v="Outlet"/>
    <x v="3"/>
    <n v="19"/>
    <n v="74"/>
    <n v="1406"/>
    <n v="857.66000000000008"/>
  </r>
  <r>
    <x v="4"/>
    <n v="1185732"/>
    <x v="142"/>
    <x v="3"/>
    <s v="Kentucky"/>
    <s v="Louisville"/>
    <s v="Online"/>
    <x v="1"/>
    <n v="46"/>
    <n v="42"/>
    <n v="1932"/>
    <n v="1043.2800000000002"/>
  </r>
  <r>
    <x v="2"/>
    <n v="1185732"/>
    <x v="142"/>
    <x v="2"/>
    <s v="Tennessee"/>
    <s v="Knoxville"/>
    <s v="Online"/>
    <x v="3"/>
    <n v="24"/>
    <n v="65"/>
    <n v="1560"/>
    <n v="811.2"/>
  </r>
  <r>
    <x v="4"/>
    <n v="1185732"/>
    <x v="142"/>
    <x v="3"/>
    <s v="Kentucky"/>
    <s v="Louisville"/>
    <s v="Online"/>
    <x v="0"/>
    <n v="42"/>
    <n v="68"/>
    <n v="2856"/>
    <n v="1428"/>
  </r>
  <r>
    <x v="4"/>
    <n v="1185732"/>
    <x v="142"/>
    <x v="3"/>
    <s v="Kentucky"/>
    <s v="Louisville"/>
    <s v="Online"/>
    <x v="4"/>
    <n v="49"/>
    <n v="156"/>
    <n v="7644"/>
    <n v="3745.56"/>
  </r>
  <r>
    <x v="4"/>
    <n v="1185732"/>
    <x v="142"/>
    <x v="3"/>
    <s v="Kentucky"/>
    <s v="Louisville"/>
    <s v="Online"/>
    <x v="2"/>
    <n v="51"/>
    <n v="83"/>
    <n v="4233"/>
    <n v="2074.17"/>
  </r>
  <r>
    <x v="4"/>
    <n v="1185732"/>
    <x v="142"/>
    <x v="3"/>
    <s v="Kentucky"/>
    <s v="Louisville"/>
    <s v="Online"/>
    <x v="3"/>
    <n v="38"/>
    <n v="58"/>
    <n v="2204"/>
    <n v="1057.92"/>
  </r>
  <r>
    <x v="4"/>
    <n v="1185732"/>
    <x v="142"/>
    <x v="3"/>
    <s v="Kentucky"/>
    <s v="Louisville"/>
    <s v="Online"/>
    <x v="5"/>
    <n v="38"/>
    <n v="38"/>
    <n v="1444"/>
    <n v="664.2399999999999"/>
  </r>
  <r>
    <x v="1"/>
    <n v="1189833"/>
    <x v="142"/>
    <x v="0"/>
    <s v="California"/>
    <s v="Los Angeles"/>
    <s v="Outlet"/>
    <x v="1"/>
    <n v="46"/>
    <n v="204"/>
    <n v="9384"/>
    <n v="4035.119999999999"/>
  </r>
  <r>
    <x v="1"/>
    <n v="1189833"/>
    <x v="142"/>
    <x v="0"/>
    <s v="California"/>
    <s v="Los Angeles"/>
    <s v="Online"/>
    <x v="1"/>
    <n v="55"/>
    <n v="174"/>
    <n v="9570"/>
    <n v="2966.7"/>
  </r>
  <r>
    <x v="1"/>
    <n v="1189833"/>
    <x v="143"/>
    <x v="0"/>
    <s v="California"/>
    <s v="Los Angeles"/>
    <s v="Outlet"/>
    <x v="2"/>
    <n v="65"/>
    <n v="700"/>
    <n v="45500"/>
    <n v="36400"/>
  </r>
  <r>
    <x v="2"/>
    <n v="1128299"/>
    <x v="143"/>
    <x v="0"/>
    <s v="Arizona"/>
    <s v="Phoenix"/>
    <s v="Online"/>
    <x v="2"/>
    <n v="70"/>
    <n v="375"/>
    <n v="26250"/>
    <n v="19687.5"/>
  </r>
  <r>
    <x v="2"/>
    <n v="1128299"/>
    <x v="143"/>
    <x v="0"/>
    <s v="Arizona"/>
    <s v="Phoenix"/>
    <s v="Online"/>
    <x v="1"/>
    <n v="55.000000000000007"/>
    <n v="200"/>
    <n v="11000.000000000002"/>
    <n v="7700.0000000000018"/>
  </r>
  <r>
    <x v="2"/>
    <n v="1128299"/>
    <x v="143"/>
    <x v="0"/>
    <s v="Arizona"/>
    <s v="Phoenix"/>
    <s v="Online"/>
    <x v="4"/>
    <n v="50"/>
    <n v="525"/>
    <n v="26250"/>
    <n v="17062.5"/>
  </r>
  <r>
    <x v="2"/>
    <n v="1128299"/>
    <x v="143"/>
    <x v="0"/>
    <s v="Arizona"/>
    <s v="Phoenix"/>
    <s v="Online"/>
    <x v="3"/>
    <n v="55.000000000000007"/>
    <n v="400"/>
    <n v="22000.000000000004"/>
    <n v="14300.000000000004"/>
  </r>
  <r>
    <x v="2"/>
    <n v="1128299"/>
    <x v="143"/>
    <x v="0"/>
    <s v="Arizona"/>
    <s v="Phoenix"/>
    <s v="Online"/>
    <x v="5"/>
    <n v="50"/>
    <n v="300"/>
    <n v="15000"/>
    <n v="9750"/>
  </r>
  <r>
    <x v="2"/>
    <n v="1185732"/>
    <x v="143"/>
    <x v="2"/>
    <s v="Tennessee"/>
    <s v="Knoxville"/>
    <s v="Outlet"/>
    <x v="5"/>
    <n v="30.000000000000004"/>
    <n v="75"/>
    <n v="2250.0000000000005"/>
    <n v="1350.0000000000002"/>
  </r>
  <r>
    <x v="2"/>
    <n v="1128299"/>
    <x v="143"/>
    <x v="0"/>
    <s v="Arizona"/>
    <s v="Phoenix"/>
    <s v="Online"/>
    <x v="0"/>
    <n v="55.000000000000007"/>
    <n v="375"/>
    <n v="20625.000000000004"/>
    <n v="12375.000000000002"/>
  </r>
  <r>
    <x v="1"/>
    <n v="1189833"/>
    <x v="143"/>
    <x v="0"/>
    <s v="California"/>
    <s v="Los Angeles"/>
    <s v="Outlet"/>
    <x v="2"/>
    <n v="49"/>
    <n v="238"/>
    <n v="11662"/>
    <n v="8863.119999999999"/>
  </r>
  <r>
    <x v="2"/>
    <n v="1128299"/>
    <x v="143"/>
    <x v="0"/>
    <s v="Arizona"/>
    <s v="Phoenix"/>
    <s v="Outlet"/>
    <x v="2"/>
    <n v="53"/>
    <n v="124"/>
    <n v="6572"/>
    <n v="4666.12"/>
  </r>
  <r>
    <x v="2"/>
    <n v="1128299"/>
    <x v="143"/>
    <x v="0"/>
    <s v="Arizona"/>
    <s v="Phoenix"/>
    <s v="Outlet"/>
    <x v="1"/>
    <n v="39"/>
    <n v="62"/>
    <n v="2418"/>
    <n v="1620.06"/>
  </r>
  <r>
    <x v="1"/>
    <n v="1189833"/>
    <x v="143"/>
    <x v="0"/>
    <s v="California"/>
    <s v="Los Angeles"/>
    <s v="Online"/>
    <x v="2"/>
    <n v="59"/>
    <n v="189"/>
    <n v="11151"/>
    <n v="7359.66"/>
  </r>
  <r>
    <x v="2"/>
    <n v="1128299"/>
    <x v="143"/>
    <x v="0"/>
    <s v="Arizona"/>
    <s v="Phoenix"/>
    <s v="Online"/>
    <x v="2"/>
    <n v="64"/>
    <n v="98"/>
    <n v="6272"/>
    <n v="4014.08"/>
  </r>
  <r>
    <x v="2"/>
    <n v="1128299"/>
    <x v="143"/>
    <x v="0"/>
    <s v="Arizona"/>
    <s v="Phoenix"/>
    <s v="Outlet"/>
    <x v="5"/>
    <n v="39"/>
    <n v="93"/>
    <n v="3627"/>
    <n v="2285.0100000000002"/>
  </r>
  <r>
    <x v="2"/>
    <n v="1128299"/>
    <x v="143"/>
    <x v="0"/>
    <s v="Arizona"/>
    <s v="Phoenix"/>
    <s v="Outlet"/>
    <x v="4"/>
    <n v="38"/>
    <n v="184"/>
    <n v="6992"/>
    <n v="4335.04"/>
  </r>
  <r>
    <x v="2"/>
    <n v="1128299"/>
    <x v="143"/>
    <x v="0"/>
    <s v="Arizona"/>
    <s v="Phoenix"/>
    <s v="Outlet"/>
    <x v="3"/>
    <n v="41"/>
    <n v="132"/>
    <n v="5412"/>
    <n v="3355.44"/>
  </r>
  <r>
    <x v="2"/>
    <n v="1128299"/>
    <x v="143"/>
    <x v="0"/>
    <s v="Arizona"/>
    <s v="Phoenix"/>
    <s v="Online"/>
    <x v="1"/>
    <n v="51"/>
    <n v="58"/>
    <n v="2958"/>
    <n v="1745.22"/>
  </r>
  <r>
    <x v="2"/>
    <n v="1128299"/>
    <x v="143"/>
    <x v="0"/>
    <s v="Arizona"/>
    <s v="Phoenix"/>
    <s v="Outlet"/>
    <x v="0"/>
    <n v="36"/>
    <n v="116"/>
    <n v="4176"/>
    <n v="2422.08"/>
  </r>
  <r>
    <x v="2"/>
    <n v="1185732"/>
    <x v="143"/>
    <x v="2"/>
    <s v="Tennessee"/>
    <s v="Knoxville"/>
    <s v="Outlet"/>
    <x v="5"/>
    <n v="22"/>
    <n v="23"/>
    <n v="506"/>
    <n v="288.41999999999996"/>
  </r>
  <r>
    <x v="2"/>
    <n v="1128299"/>
    <x v="143"/>
    <x v="0"/>
    <s v="Arizona"/>
    <s v="Phoenix"/>
    <s v="Online"/>
    <x v="3"/>
    <n v="50"/>
    <n v="120"/>
    <n v="6000"/>
    <n v="3180"/>
  </r>
  <r>
    <x v="2"/>
    <n v="1128299"/>
    <x v="143"/>
    <x v="0"/>
    <s v="Arizona"/>
    <s v="Phoenix"/>
    <s v="Online"/>
    <x v="4"/>
    <n v="47"/>
    <n v="147"/>
    <n v="6909"/>
    <n v="3661.77"/>
  </r>
  <r>
    <x v="2"/>
    <n v="1128299"/>
    <x v="143"/>
    <x v="0"/>
    <s v="Arizona"/>
    <s v="Phoenix"/>
    <s v="Online"/>
    <x v="5"/>
    <n v="49"/>
    <n v="90"/>
    <n v="4410"/>
    <n v="2205"/>
  </r>
  <r>
    <x v="2"/>
    <n v="1185732"/>
    <x v="143"/>
    <x v="2"/>
    <s v="Tennessee"/>
    <s v="Knoxville"/>
    <s v="Online"/>
    <x v="5"/>
    <n v="27"/>
    <n v="19"/>
    <n v="513"/>
    <n v="241.11"/>
  </r>
  <r>
    <x v="2"/>
    <n v="1128299"/>
    <x v="143"/>
    <x v="0"/>
    <s v="Arizona"/>
    <s v="Phoenix"/>
    <s v="Online"/>
    <x v="0"/>
    <n v="53"/>
    <n v="113"/>
    <n v="5989"/>
    <n v="2754.9399999999996"/>
  </r>
  <r>
    <x v="2"/>
    <n v="1128299"/>
    <x v="144"/>
    <x v="3"/>
    <s v="Virginia"/>
    <s v="Richmond"/>
    <s v="In-store"/>
    <x v="2"/>
    <n v="60"/>
    <n v="525"/>
    <n v="31500"/>
    <n v="22050"/>
  </r>
  <r>
    <x v="0"/>
    <n v="1128299"/>
    <x v="144"/>
    <x v="0"/>
    <s v="Oregon"/>
    <s v="Portland"/>
    <s v="In-store"/>
    <x v="2"/>
    <n v="60"/>
    <n v="525"/>
    <n v="31500"/>
    <n v="22050"/>
  </r>
  <r>
    <x v="2"/>
    <n v="1185732"/>
    <x v="144"/>
    <x v="1"/>
    <s v="Nebraska"/>
    <s v="Omaha"/>
    <s v="Outlet"/>
    <x v="1"/>
    <n v="44.999999999999993"/>
    <n v="125"/>
    <n v="5624.9999999999991"/>
    <n v="3656.25"/>
  </r>
  <r>
    <x v="2"/>
    <n v="1128299"/>
    <x v="144"/>
    <x v="3"/>
    <s v="Virginia"/>
    <s v="Richmond"/>
    <s v="In-store"/>
    <x v="0"/>
    <n v="55.000000000000007"/>
    <n v="350"/>
    <n v="19250.000000000004"/>
    <n v="12512.500000000004"/>
  </r>
  <r>
    <x v="2"/>
    <n v="1128299"/>
    <x v="144"/>
    <x v="3"/>
    <s v="Virginia"/>
    <s v="Richmond"/>
    <s v="In-store"/>
    <x v="3"/>
    <n v="55.000000000000007"/>
    <n v="350"/>
    <n v="19250.000000000004"/>
    <n v="12512.500000000004"/>
  </r>
  <r>
    <x v="0"/>
    <n v="1128299"/>
    <x v="144"/>
    <x v="0"/>
    <s v="Oregon"/>
    <s v="Portland"/>
    <s v="In-store"/>
    <x v="0"/>
    <n v="55.000000000000007"/>
    <n v="350"/>
    <n v="19250.000000000004"/>
    <n v="12512.500000000004"/>
  </r>
  <r>
    <x v="0"/>
    <n v="1128299"/>
    <x v="144"/>
    <x v="0"/>
    <s v="Oregon"/>
    <s v="Portland"/>
    <s v="In-store"/>
    <x v="3"/>
    <n v="55.000000000000007"/>
    <n v="350"/>
    <n v="19250.000000000004"/>
    <n v="12512.500000000004"/>
  </r>
  <r>
    <x v="2"/>
    <n v="1128299"/>
    <x v="144"/>
    <x v="3"/>
    <s v="Virginia"/>
    <s v="Richmond"/>
    <s v="In-store"/>
    <x v="4"/>
    <n v="50"/>
    <n v="500"/>
    <n v="25000"/>
    <n v="16250"/>
  </r>
  <r>
    <x v="2"/>
    <n v="1128299"/>
    <x v="144"/>
    <x v="3"/>
    <s v="Virginia"/>
    <s v="Richmond"/>
    <s v="In-store"/>
    <x v="5"/>
    <n v="50"/>
    <n v="275"/>
    <n v="13750"/>
    <n v="8937.5"/>
  </r>
  <r>
    <x v="0"/>
    <n v="1128299"/>
    <x v="144"/>
    <x v="0"/>
    <s v="Oregon"/>
    <s v="Portland"/>
    <s v="In-store"/>
    <x v="4"/>
    <n v="50"/>
    <n v="500"/>
    <n v="25000"/>
    <n v="16250"/>
  </r>
  <r>
    <x v="0"/>
    <n v="1128299"/>
    <x v="144"/>
    <x v="0"/>
    <s v="Oregon"/>
    <s v="Portland"/>
    <s v="In-store"/>
    <x v="5"/>
    <n v="50"/>
    <n v="275"/>
    <n v="13750"/>
    <n v="8937.5"/>
  </r>
  <r>
    <x v="1"/>
    <n v="1189833"/>
    <x v="144"/>
    <x v="0"/>
    <s v="California"/>
    <s v="Los Angeles"/>
    <s v="Outlet"/>
    <x v="4"/>
    <n v="50"/>
    <n v="900"/>
    <n v="45000"/>
    <n v="27000"/>
  </r>
  <r>
    <x v="2"/>
    <n v="1128299"/>
    <x v="144"/>
    <x v="3"/>
    <s v="Virginia"/>
    <s v="Richmond"/>
    <s v="In-store"/>
    <x v="1"/>
    <n v="44.999999999999993"/>
    <n v="175"/>
    <n v="7874.9999999999991"/>
    <n v="4724.9999999999982"/>
  </r>
  <r>
    <x v="0"/>
    <n v="1128299"/>
    <x v="144"/>
    <x v="0"/>
    <s v="Oregon"/>
    <s v="Portland"/>
    <s v="In-store"/>
    <x v="1"/>
    <n v="44.999999999999993"/>
    <n v="175"/>
    <n v="7874.9999999999991"/>
    <n v="4724.9999999999982"/>
  </r>
  <r>
    <x v="2"/>
    <n v="1128299"/>
    <x v="144"/>
    <x v="3"/>
    <s v="Virginia"/>
    <s v="Richmond"/>
    <s v="Outlet"/>
    <x v="2"/>
    <n v="44"/>
    <n v="168"/>
    <n v="7392"/>
    <n v="4804.8"/>
  </r>
  <r>
    <x v="0"/>
    <n v="1128299"/>
    <x v="144"/>
    <x v="0"/>
    <s v="Oregon"/>
    <s v="Portland"/>
    <s v="Outlet"/>
    <x v="2"/>
    <n v="46"/>
    <n v="173"/>
    <n v="7958"/>
    <n v="5093.12"/>
  </r>
  <r>
    <x v="2"/>
    <n v="1128299"/>
    <x v="144"/>
    <x v="3"/>
    <s v="Virginia"/>
    <s v="Richmond"/>
    <s v="Outlet"/>
    <x v="3"/>
    <n v="37"/>
    <n v="109"/>
    <n v="4033"/>
    <n v="2540.79"/>
  </r>
  <r>
    <x v="2"/>
    <n v="1128299"/>
    <x v="144"/>
    <x v="3"/>
    <s v="Virginia"/>
    <s v="Richmond"/>
    <s v="Outlet"/>
    <x v="5"/>
    <n v="33"/>
    <n v="85"/>
    <n v="2805"/>
    <n v="1739.1"/>
  </r>
  <r>
    <x v="0"/>
    <n v="1128299"/>
    <x v="144"/>
    <x v="0"/>
    <s v="Oregon"/>
    <s v="Portland"/>
    <s v="Outlet"/>
    <x v="3"/>
    <n v="39"/>
    <n v="119"/>
    <n v="4641"/>
    <n v="2831.01"/>
  </r>
  <r>
    <x v="0"/>
    <n v="1128299"/>
    <x v="144"/>
    <x v="0"/>
    <s v="Oregon"/>
    <s v="Portland"/>
    <s v="Outlet"/>
    <x v="5"/>
    <n v="33"/>
    <n v="94"/>
    <n v="3102"/>
    <n v="1892.22"/>
  </r>
  <r>
    <x v="0"/>
    <n v="1128299"/>
    <x v="144"/>
    <x v="0"/>
    <s v="Oregon"/>
    <s v="Portland"/>
    <s v="Outlet"/>
    <x v="0"/>
    <n v="36"/>
    <n v="109"/>
    <n v="3924"/>
    <n v="2354.4"/>
  </r>
  <r>
    <x v="2"/>
    <n v="1128299"/>
    <x v="144"/>
    <x v="3"/>
    <s v="Virginia"/>
    <s v="Richmond"/>
    <s v="Outlet"/>
    <x v="4"/>
    <n v="39"/>
    <n v="175"/>
    <n v="6825"/>
    <n v="4095"/>
  </r>
  <r>
    <x v="2"/>
    <n v="1128299"/>
    <x v="144"/>
    <x v="3"/>
    <s v="Virginia"/>
    <s v="Richmond"/>
    <s v="Outlet"/>
    <x v="0"/>
    <n v="40"/>
    <n v="105"/>
    <n v="4200"/>
    <n v="2478"/>
  </r>
  <r>
    <x v="0"/>
    <n v="1128299"/>
    <x v="144"/>
    <x v="0"/>
    <s v="Oregon"/>
    <s v="Portland"/>
    <s v="Outlet"/>
    <x v="4"/>
    <n v="39"/>
    <n v="155"/>
    <n v="6045"/>
    <n v="3506.1"/>
  </r>
  <r>
    <x v="2"/>
    <n v="1128299"/>
    <x v="144"/>
    <x v="3"/>
    <s v="Virginia"/>
    <s v="Richmond"/>
    <s v="Online"/>
    <x v="2"/>
    <n v="56"/>
    <n v="152"/>
    <n v="8512"/>
    <n v="4851.84"/>
  </r>
  <r>
    <x v="2"/>
    <n v="1128299"/>
    <x v="144"/>
    <x v="3"/>
    <s v="Virginia"/>
    <s v="Richmond"/>
    <s v="Outlet"/>
    <x v="1"/>
    <n v="34"/>
    <n v="54"/>
    <n v="1836"/>
    <n v="1046.52"/>
  </r>
  <r>
    <x v="0"/>
    <n v="1128299"/>
    <x v="144"/>
    <x v="0"/>
    <s v="Oregon"/>
    <s v="Portland"/>
    <s v="Outlet"/>
    <x v="1"/>
    <n v="33"/>
    <n v="58"/>
    <n v="1914"/>
    <n v="1071.8400000000001"/>
  </r>
  <r>
    <x v="2"/>
    <n v="1185732"/>
    <x v="144"/>
    <x v="1"/>
    <s v="Nebraska"/>
    <s v="Omaha"/>
    <s v="Online"/>
    <x v="1"/>
    <n v="43"/>
    <n v="35"/>
    <n v="1505"/>
    <n v="827.75000000000011"/>
  </r>
  <r>
    <x v="2"/>
    <n v="1128299"/>
    <x v="144"/>
    <x v="3"/>
    <s v="Virginia"/>
    <s v="Richmond"/>
    <s v="Online"/>
    <x v="0"/>
    <n v="51"/>
    <n v="98"/>
    <n v="4998"/>
    <n v="2748.9"/>
  </r>
  <r>
    <x v="0"/>
    <n v="1128299"/>
    <x v="144"/>
    <x v="0"/>
    <s v="Oregon"/>
    <s v="Portland"/>
    <s v="Online"/>
    <x v="4"/>
    <n v="48"/>
    <n v="145"/>
    <n v="6960"/>
    <n v="3828.0000000000005"/>
  </r>
  <r>
    <x v="0"/>
    <n v="1128299"/>
    <x v="144"/>
    <x v="0"/>
    <s v="Oregon"/>
    <s v="Portland"/>
    <s v="Online"/>
    <x v="2"/>
    <n v="54"/>
    <n v="158"/>
    <n v="8532"/>
    <n v="4692.6000000000004"/>
  </r>
  <r>
    <x v="2"/>
    <n v="1128299"/>
    <x v="144"/>
    <x v="3"/>
    <s v="Virginia"/>
    <s v="Richmond"/>
    <s v="Online"/>
    <x v="4"/>
    <n v="46"/>
    <n v="125"/>
    <n v="5750"/>
    <n v="3105"/>
  </r>
  <r>
    <x v="0"/>
    <n v="1128299"/>
    <x v="144"/>
    <x v="0"/>
    <s v="Oregon"/>
    <s v="Portland"/>
    <s v="Online"/>
    <x v="0"/>
    <n v="50"/>
    <n v="105"/>
    <n v="5250"/>
    <n v="2835"/>
  </r>
  <r>
    <x v="1"/>
    <n v="1189833"/>
    <x v="144"/>
    <x v="0"/>
    <s v="California"/>
    <s v="Los Angeles"/>
    <s v="Outlet"/>
    <x v="4"/>
    <n v="39"/>
    <n v="315"/>
    <n v="12285"/>
    <n v="6633.9"/>
  </r>
  <r>
    <x v="0"/>
    <n v="1128299"/>
    <x v="144"/>
    <x v="0"/>
    <s v="Oregon"/>
    <s v="Portland"/>
    <s v="Online"/>
    <x v="5"/>
    <n v="49"/>
    <n v="83"/>
    <n v="4067"/>
    <n v="2114.84"/>
  </r>
  <r>
    <x v="2"/>
    <n v="1128299"/>
    <x v="144"/>
    <x v="3"/>
    <s v="Virginia"/>
    <s v="Richmond"/>
    <s v="Online"/>
    <x v="3"/>
    <n v="50"/>
    <n v="88"/>
    <n v="4400"/>
    <n v="2200"/>
  </r>
  <r>
    <x v="2"/>
    <n v="1128299"/>
    <x v="144"/>
    <x v="3"/>
    <s v="Virginia"/>
    <s v="Richmond"/>
    <s v="Online"/>
    <x v="5"/>
    <n v="47"/>
    <n v="69"/>
    <n v="3243"/>
    <n v="1621.5"/>
  </r>
  <r>
    <x v="0"/>
    <n v="1128299"/>
    <x v="144"/>
    <x v="0"/>
    <s v="Oregon"/>
    <s v="Portland"/>
    <s v="Online"/>
    <x v="3"/>
    <n v="50"/>
    <n v="95"/>
    <n v="4750"/>
    <n v="2375"/>
  </r>
  <r>
    <x v="1"/>
    <n v="1189833"/>
    <x v="144"/>
    <x v="0"/>
    <s v="California"/>
    <s v="Los Angeles"/>
    <s v="Online"/>
    <x v="4"/>
    <n v="49"/>
    <n v="225"/>
    <n v="11025"/>
    <n v="5402.25"/>
  </r>
  <r>
    <x v="2"/>
    <n v="1128299"/>
    <x v="144"/>
    <x v="3"/>
    <s v="Virginia"/>
    <s v="Richmond"/>
    <s v="Online"/>
    <x v="1"/>
    <n v="44"/>
    <n v="49"/>
    <n v="2156"/>
    <n v="991.76"/>
  </r>
  <r>
    <x v="0"/>
    <n v="1128299"/>
    <x v="144"/>
    <x v="0"/>
    <s v="Oregon"/>
    <s v="Portland"/>
    <s v="Online"/>
    <x v="1"/>
    <n v="41"/>
    <n v="44"/>
    <n v="1804"/>
    <n v="811.8"/>
  </r>
  <r>
    <x v="1"/>
    <n v="1189833"/>
    <x v="145"/>
    <x v="0"/>
    <s v="California"/>
    <s v="Los Angeles"/>
    <s v="Outlet"/>
    <x v="0"/>
    <n v="55.000000000000007"/>
    <n v="900"/>
    <n v="49500.000000000007"/>
    <n v="37125.000000000007"/>
  </r>
  <r>
    <x v="2"/>
    <n v="1185732"/>
    <x v="145"/>
    <x v="1"/>
    <s v="Nebraska"/>
    <s v="Omaha"/>
    <s v="Outlet"/>
    <x v="2"/>
    <n v="35"/>
    <n v="225"/>
    <n v="7875"/>
    <n v="3937.5"/>
  </r>
  <r>
    <x v="1"/>
    <n v="1189833"/>
    <x v="145"/>
    <x v="0"/>
    <s v="California"/>
    <s v="Los Angeles"/>
    <s v="Outlet"/>
    <x v="0"/>
    <n v="42"/>
    <n v="288"/>
    <n v="12096"/>
    <n v="8709.119999999999"/>
  </r>
  <r>
    <x v="1"/>
    <n v="1189833"/>
    <x v="145"/>
    <x v="0"/>
    <s v="California"/>
    <s v="Los Angeles"/>
    <s v="Online"/>
    <x v="0"/>
    <n v="50"/>
    <n v="243"/>
    <n v="12150"/>
    <n v="7533"/>
  </r>
  <r>
    <x v="2"/>
    <n v="1185732"/>
    <x v="145"/>
    <x v="1"/>
    <s v="Nebraska"/>
    <s v="Omaha"/>
    <s v="Online"/>
    <x v="2"/>
    <n v="32"/>
    <n v="68"/>
    <n v="2176"/>
    <n v="848.6400000000001"/>
  </r>
  <r>
    <x v="1"/>
    <n v="1128299"/>
    <x v="146"/>
    <x v="0"/>
    <s v="New Mexico"/>
    <s v="Albuquerque"/>
    <s v="Online"/>
    <x v="2"/>
    <n v="75.000000000000014"/>
    <n v="425"/>
    <n v="31875.000000000007"/>
    <n v="23906.250000000007"/>
  </r>
  <r>
    <x v="1"/>
    <n v="1128299"/>
    <x v="146"/>
    <x v="0"/>
    <s v="New Mexico"/>
    <s v="Albuquerque"/>
    <s v="Online"/>
    <x v="1"/>
    <n v="60.000000000000007"/>
    <n v="250"/>
    <n v="15000.000000000002"/>
    <n v="10500.000000000004"/>
  </r>
  <r>
    <x v="1"/>
    <n v="1128299"/>
    <x v="146"/>
    <x v="0"/>
    <s v="New Mexico"/>
    <s v="Albuquerque"/>
    <s v="Online"/>
    <x v="3"/>
    <n v="60.000000000000007"/>
    <n v="450"/>
    <n v="27000.000000000004"/>
    <n v="17550.000000000007"/>
  </r>
  <r>
    <x v="1"/>
    <n v="1128299"/>
    <x v="146"/>
    <x v="0"/>
    <s v="New Mexico"/>
    <s v="Albuquerque"/>
    <s v="Online"/>
    <x v="4"/>
    <n v="55.000000000000007"/>
    <n v="575"/>
    <n v="31625.000000000004"/>
    <n v="20556.250000000007"/>
  </r>
  <r>
    <x v="1"/>
    <n v="1128299"/>
    <x v="146"/>
    <x v="0"/>
    <s v="New Mexico"/>
    <s v="Albuquerque"/>
    <s v="Online"/>
    <x v="5"/>
    <n v="55.000000000000007"/>
    <n v="350"/>
    <n v="19250.000000000004"/>
    <n v="12512.500000000004"/>
  </r>
  <r>
    <x v="1"/>
    <n v="1189833"/>
    <x v="146"/>
    <x v="0"/>
    <s v="California"/>
    <s v="Los Angeles"/>
    <s v="Outlet"/>
    <x v="3"/>
    <n v="50"/>
    <n v="700"/>
    <n v="35000"/>
    <n v="21000"/>
  </r>
  <r>
    <x v="2"/>
    <n v="1185732"/>
    <x v="146"/>
    <x v="1"/>
    <s v="Nebraska"/>
    <s v="Omaha"/>
    <s v="Outlet"/>
    <x v="4"/>
    <n v="35"/>
    <n v="475"/>
    <n v="16625"/>
    <n v="9975"/>
  </r>
  <r>
    <x v="1"/>
    <n v="1128299"/>
    <x v="146"/>
    <x v="0"/>
    <s v="New Mexico"/>
    <s v="Albuquerque"/>
    <s v="Online"/>
    <x v="0"/>
    <n v="60.000000000000007"/>
    <n v="425"/>
    <n v="25500.000000000004"/>
    <n v="15300"/>
  </r>
  <r>
    <x v="1"/>
    <n v="1128299"/>
    <x v="146"/>
    <x v="0"/>
    <s v="New Mexico"/>
    <s v="Albuquerque"/>
    <s v="Outlet"/>
    <x v="2"/>
    <n v="56"/>
    <n v="132"/>
    <n v="7392"/>
    <n v="5248.32"/>
  </r>
  <r>
    <x v="1"/>
    <n v="1128299"/>
    <x v="146"/>
    <x v="0"/>
    <s v="New Mexico"/>
    <s v="Albuquerque"/>
    <s v="Outlet"/>
    <x v="1"/>
    <n v="45"/>
    <n v="78"/>
    <n v="3510"/>
    <n v="2281.5"/>
  </r>
  <r>
    <x v="1"/>
    <n v="1128299"/>
    <x v="146"/>
    <x v="0"/>
    <s v="New Mexico"/>
    <s v="Albuquerque"/>
    <s v="Online"/>
    <x v="2"/>
    <n v="69"/>
    <n v="115"/>
    <n v="7935"/>
    <n v="4840.3500000000004"/>
  </r>
  <r>
    <x v="1"/>
    <n v="1128299"/>
    <x v="146"/>
    <x v="0"/>
    <s v="New Mexico"/>
    <s v="Albuquerque"/>
    <s v="Outlet"/>
    <x v="3"/>
    <n v="46"/>
    <n v="135"/>
    <n v="6210"/>
    <n v="3663.9"/>
  </r>
  <r>
    <x v="1"/>
    <n v="1128299"/>
    <x v="146"/>
    <x v="0"/>
    <s v="New Mexico"/>
    <s v="Albuquerque"/>
    <s v="Outlet"/>
    <x v="4"/>
    <n v="43"/>
    <n v="184"/>
    <n v="7912"/>
    <n v="4668.08"/>
  </r>
  <r>
    <x v="1"/>
    <n v="1128299"/>
    <x v="146"/>
    <x v="0"/>
    <s v="New Mexico"/>
    <s v="Albuquerque"/>
    <s v="Outlet"/>
    <x v="5"/>
    <n v="43"/>
    <n v="109"/>
    <n v="4687"/>
    <n v="2765.33"/>
  </r>
  <r>
    <x v="1"/>
    <n v="1128299"/>
    <x v="146"/>
    <x v="0"/>
    <s v="New Mexico"/>
    <s v="Albuquerque"/>
    <s v="Online"/>
    <x v="1"/>
    <n v="56"/>
    <n v="65"/>
    <n v="3640"/>
    <n v="2111.1999999999998"/>
  </r>
  <r>
    <x v="1"/>
    <n v="1128299"/>
    <x v="146"/>
    <x v="0"/>
    <s v="New Mexico"/>
    <s v="Albuquerque"/>
    <s v="Outlet"/>
    <x v="0"/>
    <n v="46"/>
    <n v="136"/>
    <n v="6256"/>
    <n v="3628.4799999999996"/>
  </r>
  <r>
    <x v="1"/>
    <n v="1128299"/>
    <x v="146"/>
    <x v="0"/>
    <s v="New Mexico"/>
    <s v="Albuquerque"/>
    <s v="Online"/>
    <x v="4"/>
    <n v="51"/>
    <n v="150"/>
    <n v="7650"/>
    <n v="4207.5"/>
  </r>
  <r>
    <x v="1"/>
    <n v="1128299"/>
    <x v="146"/>
    <x v="0"/>
    <s v="New Mexico"/>
    <s v="Albuquerque"/>
    <s v="Online"/>
    <x v="5"/>
    <n v="51"/>
    <n v="91"/>
    <n v="4641"/>
    <n v="2506.1400000000003"/>
  </r>
  <r>
    <x v="1"/>
    <n v="1189833"/>
    <x v="146"/>
    <x v="0"/>
    <s v="California"/>
    <s v="Los Angeles"/>
    <s v="Outlet"/>
    <x v="3"/>
    <n v="39"/>
    <n v="231"/>
    <n v="9009"/>
    <n v="4864.8599999999997"/>
  </r>
  <r>
    <x v="1"/>
    <n v="1128299"/>
    <x v="146"/>
    <x v="0"/>
    <s v="New Mexico"/>
    <s v="Albuquerque"/>
    <s v="Online"/>
    <x v="3"/>
    <n v="56"/>
    <n v="126"/>
    <n v="7056"/>
    <n v="3739.6800000000003"/>
  </r>
  <r>
    <x v="1"/>
    <n v="1128299"/>
    <x v="146"/>
    <x v="0"/>
    <s v="New Mexico"/>
    <s v="Albuquerque"/>
    <s v="Online"/>
    <x v="0"/>
    <n v="58"/>
    <n v="111"/>
    <n v="6438"/>
    <n v="3154.62"/>
  </r>
  <r>
    <x v="1"/>
    <n v="1189833"/>
    <x v="146"/>
    <x v="0"/>
    <s v="California"/>
    <s v="Los Angeles"/>
    <s v="Online"/>
    <x v="3"/>
    <n v="46"/>
    <n v="182"/>
    <n v="8372"/>
    <n v="3851.12"/>
  </r>
  <r>
    <x v="2"/>
    <n v="1185732"/>
    <x v="146"/>
    <x v="1"/>
    <s v="Nebraska"/>
    <s v="Omaha"/>
    <s v="Online"/>
    <x v="4"/>
    <n v="32"/>
    <n v="119"/>
    <n v="3808"/>
    <n v="1751.6799999999998"/>
  </r>
  <r>
    <x v="1"/>
    <n v="1189833"/>
    <x v="147"/>
    <x v="0"/>
    <s v="California"/>
    <s v="Los Angeles"/>
    <s v="Outlet"/>
    <x v="5"/>
    <n v="50"/>
    <n v="700"/>
    <n v="35000"/>
    <n v="22750"/>
  </r>
  <r>
    <x v="2"/>
    <n v="1185732"/>
    <x v="147"/>
    <x v="1"/>
    <s v="Nebraska"/>
    <s v="Omaha"/>
    <s v="Outlet"/>
    <x v="0"/>
    <n v="35"/>
    <n v="125"/>
    <n v="4375"/>
    <n v="2843.75"/>
  </r>
  <r>
    <x v="1"/>
    <n v="1189833"/>
    <x v="147"/>
    <x v="0"/>
    <s v="California"/>
    <s v="Los Angeles"/>
    <s v="Outlet"/>
    <x v="5"/>
    <n v="35"/>
    <n v="224"/>
    <n v="7840"/>
    <n v="4704"/>
  </r>
  <r>
    <x v="1"/>
    <n v="1189833"/>
    <x v="147"/>
    <x v="0"/>
    <s v="California"/>
    <s v="Los Angeles"/>
    <s v="Online"/>
    <x v="5"/>
    <n v="49"/>
    <n v="210"/>
    <n v="10290"/>
    <n v="5145"/>
  </r>
  <r>
    <x v="2"/>
    <n v="1185732"/>
    <x v="147"/>
    <x v="1"/>
    <s v="Nebraska"/>
    <s v="Omaha"/>
    <s v="Online"/>
    <x v="0"/>
    <n v="33"/>
    <n v="38"/>
    <n v="1254"/>
    <n v="627"/>
  </r>
  <r>
    <x v="2"/>
    <n v="1185732"/>
    <x v="148"/>
    <x v="1"/>
    <s v="Nebraska"/>
    <s v="Omaha"/>
    <s v="Outlet"/>
    <x v="3"/>
    <n v="25"/>
    <n v="175"/>
    <n v="4375"/>
    <n v="2843.75"/>
  </r>
  <r>
    <x v="1"/>
    <n v="1189833"/>
    <x v="148"/>
    <x v="0"/>
    <s v="California"/>
    <s v="Los Angeles"/>
    <s v="Outlet"/>
    <x v="1"/>
    <n v="60"/>
    <n v="625"/>
    <n v="37500"/>
    <n v="16874.999999999996"/>
  </r>
  <r>
    <x v="2"/>
    <n v="1185732"/>
    <x v="148"/>
    <x v="1"/>
    <s v="Nebraska"/>
    <s v="Omaha"/>
    <s v="Online"/>
    <x v="3"/>
    <n v="23"/>
    <n v="47"/>
    <n v="1081"/>
    <n v="540.5"/>
  </r>
  <r>
    <x v="1"/>
    <n v="1189833"/>
    <x v="148"/>
    <x v="0"/>
    <s v="California"/>
    <s v="Los Angeles"/>
    <s v="Outlet"/>
    <x v="1"/>
    <n v="43"/>
    <n v="219"/>
    <n v="9417"/>
    <n v="3578.4599999999991"/>
  </r>
  <r>
    <x v="1"/>
    <n v="1189833"/>
    <x v="148"/>
    <x v="0"/>
    <s v="California"/>
    <s v="Los Angeles"/>
    <s v="Online"/>
    <x v="1"/>
    <n v="55"/>
    <n v="156"/>
    <n v="8580"/>
    <n v="3003"/>
  </r>
  <r>
    <x v="1"/>
    <n v="1189833"/>
    <x v="149"/>
    <x v="0"/>
    <s v="California"/>
    <s v="Los Angeles"/>
    <s v="Outlet"/>
    <x v="2"/>
    <n v="65"/>
    <n v="725"/>
    <n v="47125"/>
    <n v="37700"/>
  </r>
  <r>
    <x v="2"/>
    <n v="1185732"/>
    <x v="149"/>
    <x v="1"/>
    <s v="Nebraska"/>
    <s v="Omaha"/>
    <s v="Outlet"/>
    <x v="5"/>
    <n v="30.000000000000004"/>
    <n v="50"/>
    <n v="1500.0000000000002"/>
    <n v="900"/>
  </r>
  <r>
    <x v="1"/>
    <n v="1189833"/>
    <x v="149"/>
    <x v="0"/>
    <s v="California"/>
    <s v="Los Angeles"/>
    <s v="Outlet"/>
    <x v="2"/>
    <n v="44"/>
    <n v="232"/>
    <n v="10208"/>
    <n v="7656"/>
  </r>
  <r>
    <x v="1"/>
    <n v="1189833"/>
    <x v="149"/>
    <x v="0"/>
    <s v="California"/>
    <s v="Los Angeles"/>
    <s v="Online"/>
    <x v="2"/>
    <n v="59"/>
    <n v="196"/>
    <n v="11564"/>
    <n v="7516.6"/>
  </r>
  <r>
    <x v="2"/>
    <n v="1185732"/>
    <x v="149"/>
    <x v="1"/>
    <s v="Nebraska"/>
    <s v="Omaha"/>
    <s v="Online"/>
    <x v="5"/>
    <n v="29"/>
    <n v="14"/>
    <n v="406"/>
    <n v="203"/>
  </r>
  <r>
    <x v="2"/>
    <n v="1185732"/>
    <x v="150"/>
    <x v="1"/>
    <s v="Nebraska"/>
    <s v="Omaha"/>
    <s v="Outlet"/>
    <x v="1"/>
    <n v="44.999999999999993"/>
    <n v="125"/>
    <n v="5624.9999999999991"/>
    <n v="3656.25"/>
  </r>
  <r>
    <x v="2"/>
    <n v="1185732"/>
    <x v="150"/>
    <x v="0"/>
    <s v="California"/>
    <s v="Los Angeles"/>
    <s v="Outlet"/>
    <x v="4"/>
    <n v="45"/>
    <n v="475"/>
    <n v="21375"/>
    <n v="12825"/>
  </r>
  <r>
    <x v="2"/>
    <n v="1185732"/>
    <x v="150"/>
    <x v="0"/>
    <s v="California"/>
    <s v="Los Angeles"/>
    <s v="Outlet"/>
    <x v="4"/>
    <n v="36"/>
    <n v="147"/>
    <n v="5292"/>
    <n v="2910.6"/>
  </r>
  <r>
    <x v="2"/>
    <n v="1185732"/>
    <x v="150"/>
    <x v="1"/>
    <s v="Nebraska"/>
    <s v="Omaha"/>
    <s v="Online"/>
    <x v="1"/>
    <n v="41"/>
    <n v="31"/>
    <n v="1271"/>
    <n v="648.21"/>
  </r>
  <r>
    <x v="2"/>
    <n v="1185732"/>
    <x v="150"/>
    <x v="0"/>
    <s v="California"/>
    <s v="Los Angeles"/>
    <s v="Online"/>
    <x v="4"/>
    <n v="44"/>
    <n v="124"/>
    <n v="5456"/>
    <n v="2618.88"/>
  </r>
  <r>
    <x v="2"/>
    <n v="1185732"/>
    <x v="151"/>
    <x v="0"/>
    <s v="California"/>
    <s v="Los Angeles"/>
    <s v="Outlet"/>
    <x v="0"/>
    <n v="45"/>
    <n v="275"/>
    <n v="12375"/>
    <n v="8043.75"/>
  </r>
  <r>
    <x v="2"/>
    <n v="1185732"/>
    <x v="151"/>
    <x v="1"/>
    <s v="Nebraska"/>
    <s v="Omaha"/>
    <s v="Outlet"/>
    <x v="2"/>
    <n v="35"/>
    <n v="200"/>
    <n v="7000"/>
    <n v="3500"/>
  </r>
  <r>
    <x v="2"/>
    <n v="1185732"/>
    <x v="151"/>
    <x v="0"/>
    <s v="California"/>
    <s v="Los Angeles"/>
    <s v="Outlet"/>
    <x v="0"/>
    <n v="31"/>
    <n v="91"/>
    <n v="2821"/>
    <n v="1664.39"/>
  </r>
  <r>
    <x v="2"/>
    <n v="1185732"/>
    <x v="151"/>
    <x v="0"/>
    <s v="California"/>
    <s v="Los Angeles"/>
    <s v="Online"/>
    <x v="0"/>
    <n v="41"/>
    <n v="77"/>
    <n v="3157"/>
    <n v="1704.7800000000002"/>
  </r>
  <r>
    <x v="2"/>
    <n v="1185732"/>
    <x v="151"/>
    <x v="1"/>
    <s v="Nebraska"/>
    <s v="Omaha"/>
    <s v="Online"/>
    <x v="2"/>
    <n v="32"/>
    <n v="60"/>
    <n v="1920"/>
    <n v="729.59999999999991"/>
  </r>
  <r>
    <x v="2"/>
    <n v="1185732"/>
    <x v="152"/>
    <x v="0"/>
    <s v="California"/>
    <s v="Los Angeles"/>
    <s v="Outlet"/>
    <x v="3"/>
    <n v="35"/>
    <n v="275"/>
    <n v="9625"/>
    <n v="6256.25"/>
  </r>
  <r>
    <x v="2"/>
    <n v="1185732"/>
    <x v="152"/>
    <x v="1"/>
    <s v="Nebraska"/>
    <s v="Omaha"/>
    <s v="Outlet"/>
    <x v="4"/>
    <n v="40"/>
    <n v="420"/>
    <n v="16800"/>
    <n v="10080"/>
  </r>
  <r>
    <x v="2"/>
    <n v="1185732"/>
    <x v="152"/>
    <x v="0"/>
    <s v="California"/>
    <s v="Los Angeles"/>
    <s v="Outlet"/>
    <x v="3"/>
    <n v="24"/>
    <n v="94"/>
    <n v="2256"/>
    <n v="1376.16"/>
  </r>
  <r>
    <x v="2"/>
    <n v="1185732"/>
    <x v="152"/>
    <x v="0"/>
    <s v="California"/>
    <s v="Los Angeles"/>
    <s v="Online"/>
    <x v="3"/>
    <n v="32"/>
    <n v="83"/>
    <n v="2656"/>
    <n v="1407.68"/>
  </r>
  <r>
    <x v="2"/>
    <n v="1185732"/>
    <x v="152"/>
    <x v="1"/>
    <s v="Nebraska"/>
    <s v="Omaha"/>
    <s v="Online"/>
    <x v="4"/>
    <n v="38"/>
    <n v="122"/>
    <n v="4636"/>
    <n v="2132.56"/>
  </r>
  <r>
    <x v="0"/>
    <n v="1185732"/>
    <x v="153"/>
    <x v="1"/>
    <s v="Wisconsin"/>
    <s v="Milwaukee"/>
    <s v="In-store"/>
    <x v="3"/>
    <n v="25.000000000000007"/>
    <n v="200"/>
    <n v="5000.0000000000018"/>
    <n v="3500.0000000000014"/>
  </r>
  <r>
    <x v="0"/>
    <n v="1185732"/>
    <x v="153"/>
    <x v="1"/>
    <s v="Wisconsin"/>
    <s v="Milwaukee"/>
    <s v="In-store"/>
    <x v="5"/>
    <n v="25.000000000000007"/>
    <n v="175"/>
    <n v="4375.0000000000009"/>
    <n v="3062.5000000000009"/>
  </r>
  <r>
    <x v="0"/>
    <n v="1185732"/>
    <x v="153"/>
    <x v="1"/>
    <s v="Wisconsin"/>
    <s v="Milwaukee"/>
    <s v="In-store"/>
    <x v="4"/>
    <n v="35"/>
    <n v="550"/>
    <n v="19250"/>
    <n v="13475"/>
  </r>
  <r>
    <x v="2"/>
    <n v="1185732"/>
    <x v="153"/>
    <x v="1"/>
    <s v="Nebraska"/>
    <s v="Omaha"/>
    <s v="Outlet"/>
    <x v="0"/>
    <n v="40"/>
    <n v="100"/>
    <n v="4000"/>
    <n v="2600"/>
  </r>
  <r>
    <x v="0"/>
    <n v="1185732"/>
    <x v="153"/>
    <x v="1"/>
    <s v="Wisconsin"/>
    <s v="Milwaukee"/>
    <s v="In-store"/>
    <x v="0"/>
    <n v="30.000000000000011"/>
    <n v="300"/>
    <n v="9000.0000000000036"/>
    <n v="5850.0000000000018"/>
  </r>
  <r>
    <x v="2"/>
    <n v="1185732"/>
    <x v="153"/>
    <x v="0"/>
    <s v="California"/>
    <s v="Los Angeles"/>
    <s v="Outlet"/>
    <x v="5"/>
    <n v="40"/>
    <n v="125"/>
    <n v="5000"/>
    <n v="3000"/>
  </r>
  <r>
    <x v="0"/>
    <n v="1185732"/>
    <x v="153"/>
    <x v="1"/>
    <s v="Wisconsin"/>
    <s v="Milwaukee"/>
    <s v="In-store"/>
    <x v="2"/>
    <n v="55.000000000000007"/>
    <n v="325"/>
    <n v="17875.000000000004"/>
    <n v="10725.000000000002"/>
  </r>
  <r>
    <x v="0"/>
    <n v="1185732"/>
    <x v="153"/>
    <x v="1"/>
    <s v="Wisconsin"/>
    <s v="Milwaukee"/>
    <s v="In-store"/>
    <x v="1"/>
    <n v="35"/>
    <n v="175"/>
    <n v="6125"/>
    <n v="3062.5"/>
  </r>
  <r>
    <x v="0"/>
    <n v="1185732"/>
    <x v="153"/>
    <x v="1"/>
    <s v="Wisconsin"/>
    <s v="Milwaukee"/>
    <s v="Online"/>
    <x v="5"/>
    <n v="24"/>
    <n v="47"/>
    <n v="1128"/>
    <n v="665.52"/>
  </r>
  <r>
    <x v="0"/>
    <n v="1185732"/>
    <x v="153"/>
    <x v="1"/>
    <s v="Wisconsin"/>
    <s v="Milwaukee"/>
    <s v="Online"/>
    <x v="3"/>
    <n v="24"/>
    <n v="52"/>
    <n v="1248"/>
    <n v="698.88"/>
  </r>
  <r>
    <x v="0"/>
    <n v="1185732"/>
    <x v="153"/>
    <x v="1"/>
    <s v="Wisconsin"/>
    <s v="Milwaukee"/>
    <s v="Online"/>
    <x v="4"/>
    <n v="32"/>
    <n v="160"/>
    <n v="5120"/>
    <n v="2867.2"/>
  </r>
  <r>
    <x v="2"/>
    <n v="1185732"/>
    <x v="153"/>
    <x v="1"/>
    <s v="Nebraska"/>
    <s v="Omaha"/>
    <s v="Online"/>
    <x v="0"/>
    <n v="39"/>
    <n v="26"/>
    <n v="1014"/>
    <n v="547.56000000000006"/>
  </r>
  <r>
    <x v="2"/>
    <n v="1185732"/>
    <x v="153"/>
    <x v="0"/>
    <s v="California"/>
    <s v="Los Angeles"/>
    <s v="Outlet"/>
    <x v="5"/>
    <n v="27"/>
    <n v="41"/>
    <n v="1107"/>
    <n v="597.78"/>
  </r>
  <r>
    <x v="0"/>
    <n v="1185732"/>
    <x v="153"/>
    <x v="1"/>
    <s v="Wisconsin"/>
    <s v="Milwaukee"/>
    <s v="Online"/>
    <x v="0"/>
    <n v="27"/>
    <n v="90"/>
    <n v="2430"/>
    <n v="1239.3"/>
  </r>
  <r>
    <x v="2"/>
    <n v="1185732"/>
    <x v="153"/>
    <x v="0"/>
    <s v="California"/>
    <s v="Los Angeles"/>
    <s v="Online"/>
    <x v="5"/>
    <n v="37"/>
    <n v="34"/>
    <n v="1258"/>
    <n v="603.84"/>
  </r>
  <r>
    <x v="0"/>
    <n v="1185732"/>
    <x v="153"/>
    <x v="1"/>
    <s v="Wisconsin"/>
    <s v="Milwaukee"/>
    <s v="Online"/>
    <x v="2"/>
    <n v="51"/>
    <n v="98"/>
    <n v="4998"/>
    <n v="2249.1"/>
  </r>
  <r>
    <x v="0"/>
    <n v="1185732"/>
    <x v="153"/>
    <x v="1"/>
    <s v="Wisconsin"/>
    <s v="Milwaukee"/>
    <s v="Online"/>
    <x v="1"/>
    <n v="34"/>
    <n v="46"/>
    <n v="1564"/>
    <n v="625.6"/>
  </r>
  <r>
    <x v="0"/>
    <n v="1197831"/>
    <x v="154"/>
    <x v="0"/>
    <s v="Idaho"/>
    <s v="Boise"/>
    <s v="Online"/>
    <x v="1"/>
    <n v="55.000000000000007"/>
    <n v="450"/>
    <n v="24750.000000000004"/>
    <n v="17325.000000000004"/>
  </r>
  <r>
    <x v="2"/>
    <n v="1185732"/>
    <x v="154"/>
    <x v="1"/>
    <s v="Nebraska"/>
    <s v="Omaha"/>
    <s v="Outlet"/>
    <x v="3"/>
    <n v="30.000000000000004"/>
    <n v="150"/>
    <n v="4500.0000000000009"/>
    <n v="2925.0000000000009"/>
  </r>
  <r>
    <x v="2"/>
    <n v="1185732"/>
    <x v="154"/>
    <x v="1"/>
    <s v="Illinois"/>
    <s v="Chicago"/>
    <s v="Outlet"/>
    <x v="1"/>
    <n v="54.999999999999993"/>
    <n v="175"/>
    <n v="9624.9999999999982"/>
    <n v="6256.2499999999991"/>
  </r>
  <r>
    <x v="0"/>
    <n v="1197831"/>
    <x v="154"/>
    <x v="0"/>
    <s v="Idaho"/>
    <s v="Boise"/>
    <s v="Online"/>
    <x v="4"/>
    <n v="45"/>
    <n v="750"/>
    <n v="33750"/>
    <n v="21937.5"/>
  </r>
  <r>
    <x v="0"/>
    <n v="1197831"/>
    <x v="154"/>
    <x v="0"/>
    <s v="Idaho"/>
    <s v="Boise"/>
    <s v="Online"/>
    <x v="0"/>
    <n v="50"/>
    <n v="750"/>
    <n v="37500"/>
    <n v="24375"/>
  </r>
  <r>
    <x v="0"/>
    <n v="1197831"/>
    <x v="154"/>
    <x v="0"/>
    <s v="Idaho"/>
    <s v="Boise"/>
    <s v="Online"/>
    <x v="3"/>
    <n v="50"/>
    <n v="600"/>
    <n v="30000"/>
    <n v="19500"/>
  </r>
  <r>
    <x v="3"/>
    <n v="1185732"/>
    <x v="154"/>
    <x v="3"/>
    <s v="North Carolina"/>
    <s v="Charlotte"/>
    <s v="Online"/>
    <x v="0"/>
    <n v="45"/>
    <n v="700"/>
    <n v="31500"/>
    <n v="20475"/>
  </r>
  <r>
    <x v="3"/>
    <n v="1185732"/>
    <x v="154"/>
    <x v="3"/>
    <s v="North Carolina"/>
    <s v="Charlotte"/>
    <s v="Online"/>
    <x v="1"/>
    <n v="65"/>
    <n v="650"/>
    <n v="42250"/>
    <n v="27462.5"/>
  </r>
  <r>
    <x v="3"/>
    <n v="1185732"/>
    <x v="154"/>
    <x v="3"/>
    <s v="North Carolina"/>
    <s v="Charlotte"/>
    <s v="Online"/>
    <x v="3"/>
    <n v="50"/>
    <n v="675"/>
    <n v="33750"/>
    <n v="20250"/>
  </r>
  <r>
    <x v="3"/>
    <n v="1185732"/>
    <x v="154"/>
    <x v="3"/>
    <s v="North Carolina"/>
    <s v="Charlotte"/>
    <s v="Online"/>
    <x v="5"/>
    <n v="50"/>
    <n v="650"/>
    <n v="32500"/>
    <n v="19500"/>
  </r>
  <r>
    <x v="3"/>
    <n v="1185732"/>
    <x v="154"/>
    <x v="3"/>
    <s v="North Carolina"/>
    <s v="Charlotte"/>
    <s v="Online"/>
    <x v="4"/>
    <n v="49.999999999999993"/>
    <n v="950"/>
    <n v="47499.999999999993"/>
    <n v="28499.999999999993"/>
  </r>
  <r>
    <x v="0"/>
    <n v="1197831"/>
    <x v="154"/>
    <x v="0"/>
    <s v="Idaho"/>
    <s v="Boise"/>
    <s v="Online"/>
    <x v="5"/>
    <n v="50"/>
    <n v="550"/>
    <n v="27500"/>
    <n v="15125"/>
  </r>
  <r>
    <x v="0"/>
    <n v="1197831"/>
    <x v="154"/>
    <x v="0"/>
    <s v="Idaho"/>
    <s v="Boise"/>
    <s v="Online"/>
    <x v="2"/>
    <n v="60.000000000000007"/>
    <n v="825"/>
    <n v="49500.000000000007"/>
    <n v="24750.000000000004"/>
  </r>
  <r>
    <x v="3"/>
    <n v="1185732"/>
    <x v="154"/>
    <x v="3"/>
    <s v="North Carolina"/>
    <s v="Charlotte"/>
    <s v="Online"/>
    <x v="2"/>
    <n v="70"/>
    <n v="825"/>
    <n v="57750"/>
    <n v="28875"/>
  </r>
  <r>
    <x v="0"/>
    <n v="1197831"/>
    <x v="154"/>
    <x v="0"/>
    <s v="Idaho"/>
    <s v="Boise"/>
    <s v="Outlet"/>
    <x v="1"/>
    <n v="43"/>
    <n v="158"/>
    <n v="6794"/>
    <n v="4484.0400000000009"/>
  </r>
  <r>
    <x v="0"/>
    <n v="1197831"/>
    <x v="154"/>
    <x v="0"/>
    <s v="Idaho"/>
    <s v="Boise"/>
    <s v="Outlet"/>
    <x v="4"/>
    <n v="31"/>
    <n v="233"/>
    <n v="7223"/>
    <n v="4478.26"/>
  </r>
  <r>
    <x v="0"/>
    <n v="1197831"/>
    <x v="154"/>
    <x v="0"/>
    <s v="Idaho"/>
    <s v="Boise"/>
    <s v="Outlet"/>
    <x v="0"/>
    <n v="35"/>
    <n v="263"/>
    <n v="9205"/>
    <n v="5430.9500000000007"/>
  </r>
  <r>
    <x v="0"/>
    <n v="1197831"/>
    <x v="154"/>
    <x v="0"/>
    <s v="Idaho"/>
    <s v="Boise"/>
    <s v="Outlet"/>
    <x v="3"/>
    <n v="34"/>
    <n v="186"/>
    <n v="6324"/>
    <n v="3731.1600000000003"/>
  </r>
  <r>
    <x v="0"/>
    <n v="1197831"/>
    <x v="154"/>
    <x v="0"/>
    <s v="Idaho"/>
    <s v="Boise"/>
    <s v="Online"/>
    <x v="1"/>
    <n v="52"/>
    <n v="117"/>
    <n v="6084"/>
    <n v="3467.88"/>
  </r>
  <r>
    <x v="3"/>
    <n v="1185732"/>
    <x v="154"/>
    <x v="3"/>
    <s v="North Carolina"/>
    <s v="Charlotte"/>
    <s v="Online"/>
    <x v="0"/>
    <n v="42"/>
    <n v="182"/>
    <n v="7644"/>
    <n v="4051.32"/>
  </r>
  <r>
    <x v="0"/>
    <n v="1197831"/>
    <x v="154"/>
    <x v="0"/>
    <s v="Idaho"/>
    <s v="Boise"/>
    <s v="Online"/>
    <x v="0"/>
    <n v="46"/>
    <n v="188"/>
    <n v="8648"/>
    <n v="4496.96"/>
  </r>
  <r>
    <x v="0"/>
    <n v="1197831"/>
    <x v="154"/>
    <x v="0"/>
    <s v="Idaho"/>
    <s v="Boise"/>
    <s v="Online"/>
    <x v="3"/>
    <n v="47"/>
    <n v="174"/>
    <n v="8178"/>
    <n v="4252.5599999999995"/>
  </r>
  <r>
    <x v="2"/>
    <n v="1185732"/>
    <x v="154"/>
    <x v="1"/>
    <s v="Illinois"/>
    <s v="Chicago"/>
    <s v="Online"/>
    <x v="1"/>
    <n v="53"/>
    <n v="47"/>
    <n v="2491"/>
    <n v="1270.4100000000001"/>
  </r>
  <r>
    <x v="3"/>
    <n v="1185732"/>
    <x v="154"/>
    <x v="3"/>
    <s v="North Carolina"/>
    <s v="Charlotte"/>
    <s v="Online"/>
    <x v="1"/>
    <n v="61"/>
    <n v="163"/>
    <n v="9943"/>
    <n v="5070.93"/>
  </r>
  <r>
    <x v="0"/>
    <n v="1197831"/>
    <x v="154"/>
    <x v="0"/>
    <s v="Idaho"/>
    <s v="Boise"/>
    <s v="Outlet"/>
    <x v="5"/>
    <n v="33"/>
    <n v="187"/>
    <n v="6171"/>
    <n v="3147.21"/>
  </r>
  <r>
    <x v="0"/>
    <n v="1197831"/>
    <x v="154"/>
    <x v="0"/>
    <s v="Idaho"/>
    <s v="Boise"/>
    <s v="Online"/>
    <x v="4"/>
    <n v="42"/>
    <n v="195"/>
    <n v="8190"/>
    <n v="4176.8999999999996"/>
  </r>
  <r>
    <x v="2"/>
    <n v="1185732"/>
    <x v="154"/>
    <x v="1"/>
    <s v="Nebraska"/>
    <s v="Omaha"/>
    <s v="Online"/>
    <x v="3"/>
    <n v="29"/>
    <n v="39"/>
    <n v="1131"/>
    <n v="565.5"/>
  </r>
  <r>
    <x v="3"/>
    <n v="1185732"/>
    <x v="154"/>
    <x v="3"/>
    <s v="North Carolina"/>
    <s v="Charlotte"/>
    <s v="Online"/>
    <x v="5"/>
    <n v="49"/>
    <n v="169"/>
    <n v="8281"/>
    <n v="4057.6899999999996"/>
  </r>
  <r>
    <x v="3"/>
    <n v="1185732"/>
    <x v="154"/>
    <x v="3"/>
    <s v="North Carolina"/>
    <s v="Charlotte"/>
    <s v="Online"/>
    <x v="3"/>
    <n v="47"/>
    <n v="169"/>
    <n v="7943"/>
    <n v="3653.7799999999997"/>
  </r>
  <r>
    <x v="3"/>
    <n v="1185732"/>
    <x v="154"/>
    <x v="3"/>
    <s v="North Carolina"/>
    <s v="Charlotte"/>
    <s v="Online"/>
    <x v="4"/>
    <n v="46"/>
    <n v="238"/>
    <n v="10948"/>
    <n v="4926.5999999999995"/>
  </r>
  <r>
    <x v="0"/>
    <n v="1197831"/>
    <x v="154"/>
    <x v="0"/>
    <s v="Idaho"/>
    <s v="Boise"/>
    <s v="Outlet"/>
    <x v="2"/>
    <n v="39"/>
    <n v="248"/>
    <n v="9672"/>
    <n v="4352.3999999999996"/>
  </r>
  <r>
    <x v="0"/>
    <n v="1197831"/>
    <x v="154"/>
    <x v="0"/>
    <s v="Idaho"/>
    <s v="Boise"/>
    <s v="Online"/>
    <x v="5"/>
    <n v="48"/>
    <n v="143"/>
    <n v="6864"/>
    <n v="2814.2399999999993"/>
  </r>
  <r>
    <x v="3"/>
    <n v="1185732"/>
    <x v="154"/>
    <x v="3"/>
    <s v="North Carolina"/>
    <s v="Charlotte"/>
    <s v="Online"/>
    <x v="2"/>
    <n v="67"/>
    <n v="231"/>
    <n v="15477"/>
    <n v="6190.8000000000011"/>
  </r>
  <r>
    <x v="0"/>
    <n v="1197831"/>
    <x v="154"/>
    <x v="0"/>
    <s v="Idaho"/>
    <s v="Boise"/>
    <s v="Online"/>
    <x v="2"/>
    <n v="55"/>
    <n v="231"/>
    <n v="12705"/>
    <n v="4954.95"/>
  </r>
  <r>
    <x v="3"/>
    <n v="1185732"/>
    <x v="155"/>
    <x v="4"/>
    <s v="Connecticut"/>
    <s v="Hartford"/>
    <s v="In-store"/>
    <x v="3"/>
    <n v="45"/>
    <n v="300"/>
    <n v="13500"/>
    <n v="9450"/>
  </r>
  <r>
    <x v="3"/>
    <n v="1185732"/>
    <x v="155"/>
    <x v="4"/>
    <s v="Connecticut"/>
    <s v="Hartford"/>
    <s v="In-store"/>
    <x v="5"/>
    <n v="45"/>
    <n v="275"/>
    <n v="12375"/>
    <n v="8662.5"/>
  </r>
  <r>
    <x v="3"/>
    <n v="1185732"/>
    <x v="155"/>
    <x v="4"/>
    <s v="Connecticut"/>
    <s v="Hartford"/>
    <s v="In-store"/>
    <x v="1"/>
    <n v="54.999999999999993"/>
    <n v="275"/>
    <n v="15124.999999999998"/>
    <n v="10587.499999999996"/>
  </r>
  <r>
    <x v="3"/>
    <n v="1185732"/>
    <x v="155"/>
    <x v="4"/>
    <s v="Connecticut"/>
    <s v="Hartford"/>
    <s v="In-store"/>
    <x v="2"/>
    <n v="60"/>
    <n v="425"/>
    <n v="25500"/>
    <n v="16575"/>
  </r>
  <r>
    <x v="3"/>
    <n v="1185732"/>
    <x v="155"/>
    <x v="4"/>
    <s v="Connecticut"/>
    <s v="Hartford"/>
    <s v="In-store"/>
    <x v="4"/>
    <n v="54.999999999999993"/>
    <n v="625"/>
    <n v="34374.999999999993"/>
    <n v="20624.999999999996"/>
  </r>
  <r>
    <x v="3"/>
    <n v="1185732"/>
    <x v="155"/>
    <x v="4"/>
    <s v="Connecticut"/>
    <s v="Hartford"/>
    <s v="In-store"/>
    <x v="0"/>
    <n v="50"/>
    <n v="375"/>
    <n v="18750"/>
    <n v="11250"/>
  </r>
  <r>
    <x v="2"/>
    <n v="1185732"/>
    <x v="155"/>
    <x v="1"/>
    <s v="Illinois"/>
    <s v="Chicago"/>
    <s v="Outlet"/>
    <x v="2"/>
    <n v="45"/>
    <n v="275"/>
    <n v="12375"/>
    <n v="6187.5"/>
  </r>
  <r>
    <x v="3"/>
    <n v="1185732"/>
    <x v="155"/>
    <x v="4"/>
    <s v="Connecticut"/>
    <s v="Hartford"/>
    <s v="Outlet"/>
    <x v="1"/>
    <n v="36"/>
    <n v="91"/>
    <n v="3276"/>
    <n v="2227.6800000000003"/>
  </r>
  <r>
    <x v="3"/>
    <n v="1185732"/>
    <x v="155"/>
    <x v="4"/>
    <s v="Connecticut"/>
    <s v="Hartford"/>
    <s v="Outlet"/>
    <x v="3"/>
    <n v="35"/>
    <n v="96"/>
    <n v="3360"/>
    <n v="2251.1999999999998"/>
  </r>
  <r>
    <x v="3"/>
    <n v="1185732"/>
    <x v="155"/>
    <x v="4"/>
    <s v="Connecticut"/>
    <s v="Hartford"/>
    <s v="Outlet"/>
    <x v="5"/>
    <n v="35"/>
    <n v="85"/>
    <n v="2975"/>
    <n v="1933.75"/>
  </r>
  <r>
    <x v="3"/>
    <n v="1185732"/>
    <x v="155"/>
    <x v="4"/>
    <s v="Connecticut"/>
    <s v="Hartford"/>
    <s v="Outlet"/>
    <x v="2"/>
    <n v="39"/>
    <n v="128"/>
    <n v="4992"/>
    <n v="3045.12"/>
  </r>
  <r>
    <x v="3"/>
    <n v="1185732"/>
    <x v="155"/>
    <x v="4"/>
    <s v="Connecticut"/>
    <s v="Hartford"/>
    <s v="Online"/>
    <x v="5"/>
    <n v="42"/>
    <n v="80"/>
    <n v="3360"/>
    <n v="1948.8"/>
  </r>
  <r>
    <x v="3"/>
    <n v="1185732"/>
    <x v="155"/>
    <x v="4"/>
    <s v="Connecticut"/>
    <s v="Hartford"/>
    <s v="Online"/>
    <x v="1"/>
    <n v="53"/>
    <n v="74"/>
    <n v="3922"/>
    <n v="2196.3199999999997"/>
  </r>
  <r>
    <x v="3"/>
    <n v="1185732"/>
    <x v="155"/>
    <x v="4"/>
    <s v="Connecticut"/>
    <s v="Hartford"/>
    <s v="Online"/>
    <x v="3"/>
    <n v="42"/>
    <n v="87"/>
    <n v="3654"/>
    <n v="2009.7000000000003"/>
  </r>
  <r>
    <x v="3"/>
    <n v="1185732"/>
    <x v="155"/>
    <x v="4"/>
    <s v="Connecticut"/>
    <s v="Hartford"/>
    <s v="Outlet"/>
    <x v="4"/>
    <n v="40"/>
    <n v="206"/>
    <n v="8240"/>
    <n v="4367.2"/>
  </r>
  <r>
    <x v="3"/>
    <n v="1185732"/>
    <x v="155"/>
    <x v="4"/>
    <s v="Connecticut"/>
    <s v="Hartford"/>
    <s v="Outlet"/>
    <x v="0"/>
    <n v="38"/>
    <n v="124"/>
    <n v="4712"/>
    <n v="2497.3599999999997"/>
  </r>
  <r>
    <x v="3"/>
    <n v="1185732"/>
    <x v="155"/>
    <x v="4"/>
    <s v="Connecticut"/>
    <s v="Hartford"/>
    <s v="Online"/>
    <x v="2"/>
    <n v="56"/>
    <n v="123"/>
    <n v="6888"/>
    <n v="3512.88"/>
  </r>
  <r>
    <x v="3"/>
    <n v="1185732"/>
    <x v="155"/>
    <x v="4"/>
    <s v="Connecticut"/>
    <s v="Hartford"/>
    <s v="Online"/>
    <x v="0"/>
    <n v="48"/>
    <n v="94"/>
    <n v="4512"/>
    <n v="2256"/>
  </r>
  <r>
    <x v="3"/>
    <n v="1185732"/>
    <x v="155"/>
    <x v="4"/>
    <s v="Connecticut"/>
    <s v="Hartford"/>
    <s v="Online"/>
    <x v="4"/>
    <n v="50"/>
    <n v="175"/>
    <n v="8750"/>
    <n v="3937.5"/>
  </r>
  <r>
    <x v="2"/>
    <n v="1185732"/>
    <x v="155"/>
    <x v="1"/>
    <s v="Illinois"/>
    <s v="Chicago"/>
    <s v="Online"/>
    <x v="2"/>
    <n v="41"/>
    <n v="69"/>
    <n v="2829"/>
    <n v="1131.6000000000001"/>
  </r>
  <r>
    <x v="2"/>
    <n v="1185732"/>
    <x v="156"/>
    <x v="1"/>
    <s v="Iowa"/>
    <s v="Des Moines"/>
    <s v="In-store"/>
    <x v="3"/>
    <n v="25.000000000000007"/>
    <n v="200"/>
    <n v="5000.0000000000018"/>
    <n v="3500.0000000000014"/>
  </r>
  <r>
    <x v="2"/>
    <n v="1185732"/>
    <x v="156"/>
    <x v="1"/>
    <s v="Iowa"/>
    <s v="Des Moines"/>
    <s v="In-store"/>
    <x v="5"/>
    <n v="25.000000000000007"/>
    <n v="175"/>
    <n v="4375.0000000000009"/>
    <n v="3062.5000000000009"/>
  </r>
  <r>
    <x v="2"/>
    <n v="1185732"/>
    <x v="156"/>
    <x v="1"/>
    <s v="Iowa"/>
    <s v="Des Moines"/>
    <s v="In-store"/>
    <x v="4"/>
    <n v="35"/>
    <n v="525"/>
    <n v="18375"/>
    <n v="12862.5"/>
  </r>
  <r>
    <x v="2"/>
    <n v="1185732"/>
    <x v="156"/>
    <x v="1"/>
    <s v="Nebraska"/>
    <s v="Omaha"/>
    <s v="Outlet"/>
    <x v="1"/>
    <n v="50"/>
    <n v="50"/>
    <n v="2500"/>
    <n v="1625"/>
  </r>
  <r>
    <x v="2"/>
    <n v="1185732"/>
    <x v="156"/>
    <x v="1"/>
    <s v="Iowa"/>
    <s v="Des Moines"/>
    <s v="In-store"/>
    <x v="0"/>
    <n v="30.000000000000011"/>
    <n v="275"/>
    <n v="8250.0000000000036"/>
    <n v="5362.5000000000018"/>
  </r>
  <r>
    <x v="2"/>
    <n v="1185732"/>
    <x v="156"/>
    <x v="1"/>
    <s v="Illinois"/>
    <s v="Chicago"/>
    <s v="Outlet"/>
    <x v="4"/>
    <n v="45"/>
    <n v="525"/>
    <n v="23625"/>
    <n v="14175"/>
  </r>
  <r>
    <x v="2"/>
    <n v="1185732"/>
    <x v="156"/>
    <x v="1"/>
    <s v="Iowa"/>
    <s v="Des Moines"/>
    <s v="In-store"/>
    <x v="2"/>
    <n v="55.000000000000007"/>
    <n v="325"/>
    <n v="17875.000000000004"/>
    <n v="10725.000000000002"/>
  </r>
  <r>
    <x v="2"/>
    <n v="1185732"/>
    <x v="156"/>
    <x v="1"/>
    <s v="Iowa"/>
    <s v="Des Moines"/>
    <s v="In-store"/>
    <x v="1"/>
    <n v="35"/>
    <n v="175"/>
    <n v="6125"/>
    <n v="3062.5"/>
  </r>
  <r>
    <x v="2"/>
    <n v="1185732"/>
    <x v="156"/>
    <x v="1"/>
    <s v="Iowa"/>
    <s v="Des Moines"/>
    <s v="Online"/>
    <x v="4"/>
    <n v="32"/>
    <n v="137"/>
    <n v="4384"/>
    <n v="2542.7200000000003"/>
  </r>
  <r>
    <x v="2"/>
    <n v="1185732"/>
    <x v="156"/>
    <x v="1"/>
    <s v="Iowa"/>
    <s v="Des Moines"/>
    <s v="Online"/>
    <x v="5"/>
    <n v="24"/>
    <n v="44"/>
    <n v="1056"/>
    <n v="591.36"/>
  </r>
  <r>
    <x v="2"/>
    <n v="1185732"/>
    <x v="156"/>
    <x v="1"/>
    <s v="Iowa"/>
    <s v="Des Moines"/>
    <s v="Online"/>
    <x v="3"/>
    <n v="23"/>
    <n v="50"/>
    <n v="1150"/>
    <n v="632.5"/>
  </r>
  <r>
    <x v="2"/>
    <n v="1185732"/>
    <x v="156"/>
    <x v="1"/>
    <s v="Nebraska"/>
    <s v="Omaha"/>
    <s v="Online"/>
    <x v="1"/>
    <n v="45"/>
    <n v="13"/>
    <n v="585"/>
    <n v="310.05"/>
  </r>
  <r>
    <x v="2"/>
    <n v="1185732"/>
    <x v="156"/>
    <x v="1"/>
    <s v="Iowa"/>
    <s v="Des Moines"/>
    <s v="Online"/>
    <x v="0"/>
    <n v="28"/>
    <n v="77"/>
    <n v="2156"/>
    <n v="1121.1200000000001"/>
  </r>
  <r>
    <x v="2"/>
    <n v="1185732"/>
    <x v="156"/>
    <x v="1"/>
    <s v="Illinois"/>
    <s v="Chicago"/>
    <s v="Online"/>
    <x v="4"/>
    <n v="44"/>
    <n v="158"/>
    <n v="6952"/>
    <n v="3406.48"/>
  </r>
  <r>
    <x v="2"/>
    <n v="1185732"/>
    <x v="156"/>
    <x v="1"/>
    <s v="Iowa"/>
    <s v="Des Moines"/>
    <s v="Online"/>
    <x v="2"/>
    <n v="51"/>
    <n v="85"/>
    <n v="4335"/>
    <n v="2037.4499999999998"/>
  </r>
  <r>
    <x v="2"/>
    <n v="1185732"/>
    <x v="156"/>
    <x v="1"/>
    <s v="Iowa"/>
    <s v="Des Moines"/>
    <s v="Online"/>
    <x v="1"/>
    <n v="34"/>
    <n v="44"/>
    <n v="1496"/>
    <n v="538.55999999999995"/>
  </r>
  <r>
    <x v="2"/>
    <n v="1185732"/>
    <x v="157"/>
    <x v="3"/>
    <s v="South Carolina"/>
    <s v="Charleston"/>
    <s v="Online"/>
    <x v="3"/>
    <n v="50"/>
    <n v="775"/>
    <n v="38750"/>
    <n v="29062.5"/>
  </r>
  <r>
    <x v="2"/>
    <n v="1185732"/>
    <x v="157"/>
    <x v="3"/>
    <s v="South Carolina"/>
    <s v="Charleston"/>
    <s v="Online"/>
    <x v="5"/>
    <n v="50"/>
    <n v="750"/>
    <n v="37500"/>
    <n v="26250"/>
  </r>
  <r>
    <x v="2"/>
    <n v="1185732"/>
    <x v="157"/>
    <x v="1"/>
    <s v="Illinois"/>
    <s v="Chicago"/>
    <s v="Outlet"/>
    <x v="0"/>
    <n v="45"/>
    <n v="175"/>
    <n v="7875"/>
    <n v="5118.75"/>
  </r>
  <r>
    <x v="2"/>
    <n v="1185732"/>
    <x v="157"/>
    <x v="3"/>
    <s v="South Carolina"/>
    <s v="Charleston"/>
    <s v="Online"/>
    <x v="0"/>
    <n v="50"/>
    <n v="800"/>
    <n v="40000"/>
    <n v="26000"/>
  </r>
  <r>
    <x v="2"/>
    <n v="1185732"/>
    <x v="157"/>
    <x v="3"/>
    <s v="South Carolina"/>
    <s v="Charleston"/>
    <s v="Online"/>
    <x v="1"/>
    <n v="65"/>
    <n v="750"/>
    <n v="48750"/>
    <n v="31687.5"/>
  </r>
  <r>
    <x v="2"/>
    <n v="1185732"/>
    <x v="157"/>
    <x v="3"/>
    <s v="South Carolina"/>
    <s v="Charleston"/>
    <s v="Online"/>
    <x v="4"/>
    <n v="54.999999999999993"/>
    <n v="1050"/>
    <n v="57749.999999999993"/>
    <n v="31762.499999999993"/>
  </r>
  <r>
    <x v="2"/>
    <n v="1185732"/>
    <x v="157"/>
    <x v="1"/>
    <s v="Nebraska"/>
    <s v="Omaha"/>
    <s v="Outlet"/>
    <x v="2"/>
    <n v="40"/>
    <n v="150"/>
    <n v="6000"/>
    <n v="3000"/>
  </r>
  <r>
    <x v="2"/>
    <n v="1185732"/>
    <x v="157"/>
    <x v="3"/>
    <s v="South Carolina"/>
    <s v="Charleston"/>
    <s v="Online"/>
    <x v="2"/>
    <n v="70"/>
    <n v="925"/>
    <n v="64750"/>
    <n v="32375"/>
  </r>
  <r>
    <x v="2"/>
    <n v="1185732"/>
    <x v="157"/>
    <x v="3"/>
    <s v="South Carolina"/>
    <s v="Charleston"/>
    <s v="Online"/>
    <x v="3"/>
    <n v="47"/>
    <n v="209"/>
    <n v="9823"/>
    <n v="6286.72"/>
  </r>
  <r>
    <x v="2"/>
    <n v="1185732"/>
    <x v="157"/>
    <x v="3"/>
    <s v="South Carolina"/>
    <s v="Charleston"/>
    <s v="Online"/>
    <x v="1"/>
    <n v="62"/>
    <n v="195"/>
    <n v="12090"/>
    <n v="6649.5000000000009"/>
  </r>
  <r>
    <x v="2"/>
    <n v="1185732"/>
    <x v="157"/>
    <x v="3"/>
    <s v="South Carolina"/>
    <s v="Charleston"/>
    <s v="Online"/>
    <x v="5"/>
    <n v="47"/>
    <n v="218"/>
    <n v="10246"/>
    <n v="5635.3"/>
  </r>
  <r>
    <x v="2"/>
    <n v="1185732"/>
    <x v="157"/>
    <x v="3"/>
    <s v="South Carolina"/>
    <s v="Charleston"/>
    <s v="Online"/>
    <x v="0"/>
    <n v="49"/>
    <n v="200"/>
    <n v="9800"/>
    <n v="5390"/>
  </r>
  <r>
    <x v="2"/>
    <n v="1185732"/>
    <x v="157"/>
    <x v="1"/>
    <s v="Illinois"/>
    <s v="Chicago"/>
    <s v="Online"/>
    <x v="0"/>
    <n v="43"/>
    <n v="51"/>
    <n v="2193"/>
    <n v="1162.29"/>
  </r>
  <r>
    <x v="2"/>
    <n v="1185732"/>
    <x v="157"/>
    <x v="3"/>
    <s v="South Carolina"/>
    <s v="Charleston"/>
    <s v="Online"/>
    <x v="4"/>
    <n v="51"/>
    <n v="273"/>
    <n v="13923"/>
    <n v="6126.119999999999"/>
  </r>
  <r>
    <x v="2"/>
    <n v="1185732"/>
    <x v="157"/>
    <x v="1"/>
    <s v="Nebraska"/>
    <s v="Omaha"/>
    <s v="Online"/>
    <x v="2"/>
    <n v="37"/>
    <n v="38"/>
    <n v="1406"/>
    <n v="548.34"/>
  </r>
  <r>
    <x v="2"/>
    <n v="1185732"/>
    <x v="157"/>
    <x v="3"/>
    <s v="South Carolina"/>
    <s v="Charleston"/>
    <s v="Online"/>
    <x v="2"/>
    <n v="65"/>
    <n v="250"/>
    <n v="16250"/>
    <n v="5850"/>
  </r>
  <r>
    <x v="1"/>
    <n v="1185732"/>
    <x v="158"/>
    <x v="4"/>
    <s v="New Jersey"/>
    <s v="Newark"/>
    <s v="In-store"/>
    <x v="1"/>
    <n v="49.999999999999993"/>
    <n v="250"/>
    <n v="12499.999999999998"/>
    <n v="8750"/>
  </r>
  <r>
    <x v="2"/>
    <n v="1185732"/>
    <x v="158"/>
    <x v="4"/>
    <s v="Rhode Island"/>
    <s v="Providence"/>
    <s v="In-store"/>
    <x v="1"/>
    <n v="49.999999999999993"/>
    <n v="200"/>
    <n v="9999.9999999999982"/>
    <n v="7000"/>
  </r>
  <r>
    <x v="2"/>
    <n v="1185732"/>
    <x v="158"/>
    <x v="1"/>
    <s v="Illinois"/>
    <s v="Chicago"/>
    <s v="Outlet"/>
    <x v="3"/>
    <n v="35"/>
    <n v="225"/>
    <n v="7875"/>
    <n v="5118.75"/>
  </r>
  <r>
    <x v="1"/>
    <n v="1185732"/>
    <x v="158"/>
    <x v="4"/>
    <s v="New Jersey"/>
    <s v="Newark"/>
    <s v="In-store"/>
    <x v="4"/>
    <n v="49.999999999999993"/>
    <n v="600"/>
    <n v="29999.999999999996"/>
    <n v="19499.999999999996"/>
  </r>
  <r>
    <x v="1"/>
    <n v="1185732"/>
    <x v="158"/>
    <x v="4"/>
    <s v="New Jersey"/>
    <s v="Newark"/>
    <s v="In-store"/>
    <x v="0"/>
    <n v="45"/>
    <n v="350"/>
    <n v="15750"/>
    <n v="10237.5"/>
  </r>
  <r>
    <x v="2"/>
    <n v="1185732"/>
    <x v="158"/>
    <x v="4"/>
    <s v="Rhode Island"/>
    <s v="Providence"/>
    <s v="In-store"/>
    <x v="4"/>
    <n v="49.999999999999993"/>
    <n v="550"/>
    <n v="27499.999999999996"/>
    <n v="17874.999999999996"/>
  </r>
  <r>
    <x v="2"/>
    <n v="1185732"/>
    <x v="158"/>
    <x v="4"/>
    <s v="Rhode Island"/>
    <s v="Providence"/>
    <s v="In-store"/>
    <x v="0"/>
    <n v="45"/>
    <n v="300"/>
    <n v="13500"/>
    <n v="8775"/>
  </r>
  <r>
    <x v="2"/>
    <n v="1185732"/>
    <x v="158"/>
    <x v="1"/>
    <s v="Nebraska"/>
    <s v="Omaha"/>
    <s v="Outlet"/>
    <x v="4"/>
    <n v="40"/>
    <n v="375"/>
    <n v="15000"/>
    <n v="9000"/>
  </r>
  <r>
    <x v="1"/>
    <n v="1185732"/>
    <x v="158"/>
    <x v="4"/>
    <s v="New Jersey"/>
    <s v="Newark"/>
    <s v="In-store"/>
    <x v="3"/>
    <n v="40"/>
    <n v="275"/>
    <n v="11000"/>
    <n v="6600"/>
  </r>
  <r>
    <x v="1"/>
    <n v="1185732"/>
    <x v="158"/>
    <x v="4"/>
    <s v="New Jersey"/>
    <s v="Newark"/>
    <s v="In-store"/>
    <x v="5"/>
    <n v="40"/>
    <n v="250"/>
    <n v="10000"/>
    <n v="6000"/>
  </r>
  <r>
    <x v="2"/>
    <n v="1185732"/>
    <x v="158"/>
    <x v="4"/>
    <s v="Rhode Island"/>
    <s v="Providence"/>
    <s v="In-store"/>
    <x v="3"/>
    <n v="40"/>
    <n v="225"/>
    <n v="9000"/>
    <n v="5400"/>
  </r>
  <r>
    <x v="2"/>
    <n v="1185732"/>
    <x v="158"/>
    <x v="4"/>
    <s v="Rhode Island"/>
    <s v="Providence"/>
    <s v="In-store"/>
    <x v="5"/>
    <n v="40"/>
    <n v="200"/>
    <n v="8000"/>
    <n v="4800"/>
  </r>
  <r>
    <x v="2"/>
    <n v="1185732"/>
    <x v="158"/>
    <x v="4"/>
    <s v="Rhode Island"/>
    <s v="Providence"/>
    <s v="In-store"/>
    <x v="2"/>
    <n v="54.999999999999993"/>
    <n v="350"/>
    <n v="19249.999999999996"/>
    <n v="11549.999999999998"/>
  </r>
  <r>
    <x v="1"/>
    <n v="1185732"/>
    <x v="158"/>
    <x v="4"/>
    <s v="New Jersey"/>
    <s v="Newark"/>
    <s v="In-store"/>
    <x v="2"/>
    <n v="54.999999999999993"/>
    <n v="400"/>
    <n v="21999.999999999996"/>
    <n v="13199.999999999996"/>
  </r>
  <r>
    <x v="2"/>
    <n v="1185732"/>
    <x v="158"/>
    <x v="4"/>
    <s v="Rhode Island"/>
    <s v="Providence"/>
    <s v="Outlet"/>
    <x v="1"/>
    <n v="39"/>
    <n v="66"/>
    <n v="2574"/>
    <n v="1673.1"/>
  </r>
  <r>
    <x v="2"/>
    <n v="1185732"/>
    <x v="158"/>
    <x v="4"/>
    <s v="Rhode Island"/>
    <s v="Providence"/>
    <s v="Outlet"/>
    <x v="0"/>
    <n v="35"/>
    <n v="105"/>
    <n v="3675"/>
    <n v="2241.75"/>
  </r>
  <r>
    <x v="2"/>
    <n v="1185732"/>
    <x v="158"/>
    <x v="4"/>
    <s v="Rhode Island"/>
    <s v="Providence"/>
    <s v="Outlet"/>
    <x v="4"/>
    <n v="36"/>
    <n v="176"/>
    <n v="6336"/>
    <n v="3801.6000000000004"/>
  </r>
  <r>
    <x v="2"/>
    <n v="1185732"/>
    <x v="158"/>
    <x v="4"/>
    <s v="Rhode Island"/>
    <s v="Providence"/>
    <s v="Online"/>
    <x v="1"/>
    <n v="48"/>
    <n v="58"/>
    <n v="2784"/>
    <n v="1642.5600000000002"/>
  </r>
  <r>
    <x v="2"/>
    <n v="1185732"/>
    <x v="158"/>
    <x v="4"/>
    <s v="Rhode Island"/>
    <s v="Providence"/>
    <s v="Outlet"/>
    <x v="3"/>
    <n v="32"/>
    <n v="74"/>
    <n v="2368"/>
    <n v="1373.44"/>
  </r>
  <r>
    <x v="1"/>
    <n v="1185732"/>
    <x v="158"/>
    <x v="4"/>
    <s v="New Jersey"/>
    <s v="Newark"/>
    <s v="Online"/>
    <x v="1"/>
    <n v="46"/>
    <n v="65"/>
    <n v="2990"/>
    <n v="1644.5000000000002"/>
  </r>
  <r>
    <x v="2"/>
    <n v="1185732"/>
    <x v="158"/>
    <x v="4"/>
    <s v="Rhode Island"/>
    <s v="Providence"/>
    <s v="Online"/>
    <x v="4"/>
    <n v="47"/>
    <n v="138"/>
    <n v="6486"/>
    <n v="3567.3"/>
  </r>
  <r>
    <x v="2"/>
    <n v="1185732"/>
    <x v="158"/>
    <x v="4"/>
    <s v="Rhode Island"/>
    <s v="Providence"/>
    <s v="Outlet"/>
    <x v="2"/>
    <n v="43"/>
    <n v="119"/>
    <n v="5117"/>
    <n v="2814.35"/>
  </r>
  <r>
    <x v="1"/>
    <n v="1185732"/>
    <x v="158"/>
    <x v="4"/>
    <s v="New Jersey"/>
    <s v="Newark"/>
    <s v="Online"/>
    <x v="4"/>
    <n v="45"/>
    <n v="156"/>
    <n v="7020"/>
    <n v="3790.8"/>
  </r>
  <r>
    <x v="1"/>
    <n v="1185732"/>
    <x v="158"/>
    <x v="4"/>
    <s v="New Jersey"/>
    <s v="Newark"/>
    <s v="Online"/>
    <x v="0"/>
    <n v="44"/>
    <n v="105"/>
    <n v="4620"/>
    <n v="2494.8000000000002"/>
  </r>
  <r>
    <x v="2"/>
    <n v="1185732"/>
    <x v="158"/>
    <x v="1"/>
    <s v="Illinois"/>
    <s v="Chicago"/>
    <s v="Online"/>
    <x v="3"/>
    <n v="32"/>
    <n v="61"/>
    <n v="1952"/>
    <n v="1054.08"/>
  </r>
  <r>
    <x v="2"/>
    <n v="1185732"/>
    <x v="158"/>
    <x v="4"/>
    <s v="Rhode Island"/>
    <s v="Providence"/>
    <s v="Outlet"/>
    <x v="5"/>
    <n v="26"/>
    <n v="70"/>
    <n v="1820"/>
    <n v="982.8"/>
  </r>
  <r>
    <x v="2"/>
    <n v="1185732"/>
    <x v="158"/>
    <x v="4"/>
    <s v="Rhode Island"/>
    <s v="Providence"/>
    <s v="Online"/>
    <x v="0"/>
    <n v="41"/>
    <n v="90"/>
    <n v="3690"/>
    <n v="1881.9"/>
  </r>
  <r>
    <x v="1"/>
    <n v="1185732"/>
    <x v="158"/>
    <x v="4"/>
    <s v="New Jersey"/>
    <s v="Newark"/>
    <s v="Online"/>
    <x v="2"/>
    <n v="50"/>
    <n v="120"/>
    <n v="6000"/>
    <n v="3000"/>
  </r>
  <r>
    <x v="2"/>
    <n v="1185732"/>
    <x v="158"/>
    <x v="4"/>
    <s v="Rhode Island"/>
    <s v="Providence"/>
    <s v="Online"/>
    <x v="2"/>
    <n v="51"/>
    <n v="88"/>
    <n v="4488"/>
    <n v="2199.12"/>
  </r>
  <r>
    <x v="2"/>
    <n v="1185732"/>
    <x v="158"/>
    <x v="1"/>
    <s v="Nebraska"/>
    <s v="Omaha"/>
    <s v="Online"/>
    <x v="4"/>
    <n v="38"/>
    <n v="105"/>
    <n v="3990"/>
    <n v="1875.2999999999997"/>
  </r>
  <r>
    <x v="1"/>
    <n v="1185732"/>
    <x v="158"/>
    <x v="4"/>
    <s v="New Jersey"/>
    <s v="Newark"/>
    <s v="Online"/>
    <x v="3"/>
    <n v="38"/>
    <n v="69"/>
    <n v="2622"/>
    <n v="1232.3399999999999"/>
  </r>
  <r>
    <x v="1"/>
    <n v="1185732"/>
    <x v="158"/>
    <x v="4"/>
    <s v="New Jersey"/>
    <s v="Newark"/>
    <s v="Online"/>
    <x v="5"/>
    <n v="39"/>
    <n v="65"/>
    <n v="2535"/>
    <n v="1166.0999999999999"/>
  </r>
  <r>
    <x v="2"/>
    <n v="1185732"/>
    <x v="158"/>
    <x v="4"/>
    <s v="Rhode Island"/>
    <s v="Providence"/>
    <s v="Online"/>
    <x v="5"/>
    <n v="39"/>
    <n v="60"/>
    <n v="2340"/>
    <n v="1076.3999999999999"/>
  </r>
  <r>
    <x v="2"/>
    <n v="1185732"/>
    <x v="158"/>
    <x v="4"/>
    <s v="Rhode Island"/>
    <s v="Providence"/>
    <s v="Online"/>
    <x v="3"/>
    <n v="39"/>
    <n v="65"/>
    <n v="2535"/>
    <n v="1140.75"/>
  </r>
  <r>
    <x v="3"/>
    <n v="1185732"/>
    <x v="159"/>
    <x v="1"/>
    <s v="North Dakota"/>
    <s v="Fargo"/>
    <s v="In-store"/>
    <x v="0"/>
    <n v="35.000000000000007"/>
    <n v="250"/>
    <n v="8750.0000000000018"/>
    <n v="6125.0000000000018"/>
  </r>
  <r>
    <x v="3"/>
    <n v="1185732"/>
    <x v="159"/>
    <x v="1"/>
    <s v="North Dakota"/>
    <s v="Fargo"/>
    <s v="In-store"/>
    <x v="3"/>
    <n v="30.000000000000004"/>
    <n v="200"/>
    <n v="6000.0000000000009"/>
    <n v="4200.0000000000009"/>
  </r>
  <r>
    <x v="3"/>
    <n v="1185732"/>
    <x v="159"/>
    <x v="1"/>
    <s v="North Dakota"/>
    <s v="Fargo"/>
    <s v="In-store"/>
    <x v="5"/>
    <n v="30.000000000000004"/>
    <n v="175"/>
    <n v="5250.0000000000009"/>
    <n v="3675.0000000000009"/>
  </r>
  <r>
    <x v="2"/>
    <n v="1185732"/>
    <x v="159"/>
    <x v="1"/>
    <s v="Nebraska"/>
    <s v="Omaha"/>
    <s v="Outlet"/>
    <x v="0"/>
    <n v="35"/>
    <n v="75"/>
    <n v="2625"/>
    <n v="1706.25"/>
  </r>
  <r>
    <x v="3"/>
    <n v="1185732"/>
    <x v="159"/>
    <x v="1"/>
    <s v="North Dakota"/>
    <s v="Fargo"/>
    <s v="In-store"/>
    <x v="4"/>
    <n v="40"/>
    <n v="500"/>
    <n v="20000"/>
    <n v="13000"/>
  </r>
  <r>
    <x v="3"/>
    <n v="1185732"/>
    <x v="159"/>
    <x v="1"/>
    <s v="North Dakota"/>
    <s v="Fargo"/>
    <s v="In-store"/>
    <x v="1"/>
    <n v="40"/>
    <n v="175"/>
    <n v="7000"/>
    <n v="4550"/>
  </r>
  <r>
    <x v="2"/>
    <n v="1185732"/>
    <x v="159"/>
    <x v="1"/>
    <s v="Illinois"/>
    <s v="Chicago"/>
    <s v="Outlet"/>
    <x v="5"/>
    <n v="40"/>
    <n v="100"/>
    <n v="4000"/>
    <n v="2400"/>
  </r>
  <r>
    <x v="3"/>
    <n v="1185732"/>
    <x v="159"/>
    <x v="1"/>
    <s v="North Dakota"/>
    <s v="Fargo"/>
    <s v="In-store"/>
    <x v="2"/>
    <n v="55.000000000000007"/>
    <n v="325"/>
    <n v="17875.000000000004"/>
    <n v="10725.000000000002"/>
  </r>
  <r>
    <x v="3"/>
    <n v="1185732"/>
    <x v="159"/>
    <x v="1"/>
    <s v="North Dakota"/>
    <s v="Fargo"/>
    <s v="Online"/>
    <x v="3"/>
    <n v="27"/>
    <n v="60"/>
    <n v="1620"/>
    <n v="972"/>
  </r>
  <r>
    <x v="3"/>
    <n v="1185732"/>
    <x v="159"/>
    <x v="1"/>
    <s v="North Dakota"/>
    <s v="Fargo"/>
    <s v="Online"/>
    <x v="5"/>
    <n v="29"/>
    <n v="51"/>
    <n v="1479"/>
    <n v="857.82"/>
  </r>
  <r>
    <x v="3"/>
    <n v="1185732"/>
    <x v="159"/>
    <x v="1"/>
    <s v="North Dakota"/>
    <s v="Fargo"/>
    <s v="Online"/>
    <x v="0"/>
    <n v="32"/>
    <n v="65"/>
    <n v="2080"/>
    <n v="1185.5999999999999"/>
  </r>
  <r>
    <x v="2"/>
    <n v="1185732"/>
    <x v="159"/>
    <x v="1"/>
    <s v="Nebraska"/>
    <s v="Omaha"/>
    <s v="Online"/>
    <x v="0"/>
    <n v="32"/>
    <n v="23"/>
    <n v="736"/>
    <n v="404.8"/>
  </r>
  <r>
    <x v="3"/>
    <n v="1185732"/>
    <x v="159"/>
    <x v="1"/>
    <s v="North Dakota"/>
    <s v="Fargo"/>
    <s v="Online"/>
    <x v="4"/>
    <n v="36"/>
    <n v="125"/>
    <n v="4500"/>
    <n v="2475"/>
  </r>
  <r>
    <x v="3"/>
    <n v="1185732"/>
    <x v="159"/>
    <x v="1"/>
    <s v="North Dakota"/>
    <s v="Fargo"/>
    <s v="Online"/>
    <x v="1"/>
    <n v="38"/>
    <n v="47"/>
    <n v="1786"/>
    <n v="964.44"/>
  </r>
  <r>
    <x v="2"/>
    <n v="1185732"/>
    <x v="159"/>
    <x v="1"/>
    <s v="Illinois"/>
    <s v="Chicago"/>
    <s v="Online"/>
    <x v="5"/>
    <n v="39"/>
    <n v="28"/>
    <n v="1092"/>
    <n v="513.24"/>
  </r>
  <r>
    <x v="3"/>
    <n v="1185732"/>
    <x v="159"/>
    <x v="1"/>
    <s v="North Dakota"/>
    <s v="Fargo"/>
    <s v="Online"/>
    <x v="2"/>
    <n v="51"/>
    <n v="91"/>
    <n v="4641"/>
    <n v="2134.8599999999997"/>
  </r>
  <r>
    <x v="2"/>
    <n v="1128299"/>
    <x v="160"/>
    <x v="0"/>
    <s v="Hawaii"/>
    <s v="Honolulu"/>
    <s v="Outlet"/>
    <x v="1"/>
    <n v="85.000000000000014"/>
    <n v="350"/>
    <n v="29750.000000000004"/>
    <n v="25287.500000000007"/>
  </r>
  <r>
    <x v="2"/>
    <n v="1128299"/>
    <x v="160"/>
    <x v="0"/>
    <s v="Hawaii"/>
    <s v="Honolulu"/>
    <s v="Outlet"/>
    <x v="0"/>
    <n v="75"/>
    <n v="600"/>
    <n v="45000"/>
    <n v="36000"/>
  </r>
  <r>
    <x v="2"/>
    <n v="1128299"/>
    <x v="160"/>
    <x v="0"/>
    <s v="Hawaii"/>
    <s v="Honolulu"/>
    <s v="Outlet"/>
    <x v="4"/>
    <n v="70"/>
    <n v="725"/>
    <n v="50750"/>
    <n v="38062.5"/>
  </r>
  <r>
    <x v="2"/>
    <n v="1128299"/>
    <x v="160"/>
    <x v="0"/>
    <s v="Hawaii"/>
    <s v="Honolulu"/>
    <s v="Outlet"/>
    <x v="3"/>
    <n v="75"/>
    <n v="600"/>
    <n v="45000"/>
    <n v="33750"/>
  </r>
  <r>
    <x v="2"/>
    <n v="1128299"/>
    <x v="160"/>
    <x v="0"/>
    <s v="Hawaii"/>
    <s v="Honolulu"/>
    <s v="Outlet"/>
    <x v="5"/>
    <n v="75"/>
    <n v="475"/>
    <n v="35625"/>
    <n v="26718.75"/>
  </r>
  <r>
    <x v="0"/>
    <n v="1185732"/>
    <x v="160"/>
    <x v="4"/>
    <s v="New York"/>
    <s v="Albany"/>
    <s v="In-store"/>
    <x v="3"/>
    <n v="50"/>
    <n v="600"/>
    <n v="30000"/>
    <n v="22500"/>
  </r>
  <r>
    <x v="0"/>
    <n v="1185732"/>
    <x v="160"/>
    <x v="4"/>
    <s v="New York"/>
    <s v="Albany"/>
    <s v="In-store"/>
    <x v="5"/>
    <n v="50"/>
    <n v="575"/>
    <n v="28750"/>
    <n v="20125"/>
  </r>
  <r>
    <x v="0"/>
    <n v="1185732"/>
    <x v="160"/>
    <x v="1"/>
    <s v="Indiana"/>
    <s v="Indianapolis"/>
    <s v="In-store"/>
    <x v="1"/>
    <n v="40"/>
    <n v="175"/>
    <n v="7000"/>
    <n v="4900"/>
  </r>
  <r>
    <x v="2"/>
    <n v="1185732"/>
    <x v="160"/>
    <x v="1"/>
    <s v="Nebraska"/>
    <s v="Omaha"/>
    <s v="Outlet"/>
    <x v="3"/>
    <n v="25.000000000000007"/>
    <n v="75"/>
    <n v="1875.0000000000005"/>
    <n v="1218.7500000000005"/>
  </r>
  <r>
    <x v="0"/>
    <n v="1185732"/>
    <x v="160"/>
    <x v="4"/>
    <s v="New York"/>
    <s v="Albany"/>
    <s v="In-store"/>
    <x v="0"/>
    <n v="55.000000000000007"/>
    <n v="625"/>
    <n v="34375.000000000007"/>
    <n v="22343.750000000007"/>
  </r>
  <r>
    <x v="2"/>
    <n v="1185732"/>
    <x v="160"/>
    <x v="1"/>
    <s v="Illinois"/>
    <s v="Chicago"/>
    <s v="Outlet"/>
    <x v="1"/>
    <n v="54.999999999999993"/>
    <n v="175"/>
    <n v="9624.9999999999982"/>
    <n v="6256.2499999999991"/>
  </r>
  <r>
    <x v="0"/>
    <n v="1185732"/>
    <x v="160"/>
    <x v="4"/>
    <s v="New York"/>
    <s v="Albany"/>
    <s v="In-store"/>
    <x v="1"/>
    <n v="65"/>
    <n v="575"/>
    <n v="37375"/>
    <n v="24293.75"/>
  </r>
  <r>
    <x v="0"/>
    <n v="1185732"/>
    <x v="160"/>
    <x v="1"/>
    <s v="Indiana"/>
    <s v="Indianapolis"/>
    <s v="In-store"/>
    <x v="3"/>
    <n v="30.000000000000004"/>
    <n v="200"/>
    <n v="6000.0000000000009"/>
    <n v="3900.0000000000009"/>
  </r>
  <r>
    <x v="0"/>
    <n v="1185732"/>
    <x v="160"/>
    <x v="1"/>
    <s v="Indiana"/>
    <s v="Indianapolis"/>
    <s v="In-store"/>
    <x v="5"/>
    <n v="30.000000000000004"/>
    <n v="175"/>
    <n v="5250.0000000000009"/>
    <n v="3412.5000000000009"/>
  </r>
  <r>
    <x v="0"/>
    <n v="1185732"/>
    <x v="160"/>
    <x v="1"/>
    <s v="Indiana"/>
    <s v="Indianapolis"/>
    <s v="In-store"/>
    <x v="0"/>
    <n v="35.000000000000007"/>
    <n v="325"/>
    <n v="11375.000000000002"/>
    <n v="6825.0000000000018"/>
  </r>
  <r>
    <x v="2"/>
    <n v="1128299"/>
    <x v="160"/>
    <x v="0"/>
    <s v="Hawaii"/>
    <s v="Honolulu"/>
    <s v="Outlet"/>
    <x v="2"/>
    <n v="100"/>
    <n v="650"/>
    <n v="65000"/>
    <n v="39000"/>
  </r>
  <r>
    <x v="0"/>
    <n v="1185732"/>
    <x v="160"/>
    <x v="1"/>
    <s v="Indiana"/>
    <s v="Indianapolis"/>
    <s v="In-store"/>
    <x v="4"/>
    <n v="40"/>
    <n v="575"/>
    <n v="23000"/>
    <n v="13800"/>
  </r>
  <r>
    <x v="0"/>
    <n v="1185732"/>
    <x v="160"/>
    <x v="1"/>
    <s v="Indiana"/>
    <s v="Indianapolis"/>
    <s v="In-store"/>
    <x v="2"/>
    <n v="60.000000000000007"/>
    <n v="325"/>
    <n v="19500.000000000004"/>
    <n v="11700.000000000002"/>
  </r>
  <r>
    <x v="0"/>
    <n v="1185732"/>
    <x v="160"/>
    <x v="4"/>
    <s v="New York"/>
    <s v="Albany"/>
    <s v="In-store"/>
    <x v="4"/>
    <n v="60"/>
    <n v="875"/>
    <n v="52500"/>
    <n v="28875"/>
  </r>
  <r>
    <x v="0"/>
    <n v="1185732"/>
    <x v="160"/>
    <x v="4"/>
    <s v="New York"/>
    <s v="Albany"/>
    <s v="In-store"/>
    <x v="2"/>
    <n v="70"/>
    <n v="725"/>
    <n v="50750"/>
    <n v="25375"/>
  </r>
  <r>
    <x v="2"/>
    <n v="1128299"/>
    <x v="160"/>
    <x v="0"/>
    <s v="Hawaii"/>
    <s v="Honolulu"/>
    <s v="Online"/>
    <x v="1"/>
    <n v="83"/>
    <n v="88"/>
    <n v="7304"/>
    <n v="5112.8"/>
  </r>
  <r>
    <x v="2"/>
    <n v="1128299"/>
    <x v="160"/>
    <x v="0"/>
    <s v="Hawaii"/>
    <s v="Honolulu"/>
    <s v="Online"/>
    <x v="0"/>
    <n v="72"/>
    <n v="156"/>
    <n v="11232"/>
    <n v="7750.08"/>
  </r>
  <r>
    <x v="2"/>
    <n v="1128299"/>
    <x v="160"/>
    <x v="0"/>
    <s v="Hawaii"/>
    <s v="Honolulu"/>
    <s v="Online"/>
    <x v="3"/>
    <n v="71"/>
    <n v="180"/>
    <n v="12780"/>
    <n v="8179.2"/>
  </r>
  <r>
    <x v="2"/>
    <n v="1128299"/>
    <x v="160"/>
    <x v="0"/>
    <s v="Hawaii"/>
    <s v="Honolulu"/>
    <s v="Online"/>
    <x v="5"/>
    <n v="74"/>
    <n v="133"/>
    <n v="9842"/>
    <n v="6102.04"/>
  </r>
  <r>
    <x v="0"/>
    <n v="1185732"/>
    <x v="160"/>
    <x v="4"/>
    <s v="New York"/>
    <s v="Albany"/>
    <s v="Online"/>
    <x v="3"/>
    <n v="48"/>
    <n v="150"/>
    <n v="7200"/>
    <n v="4464"/>
  </r>
  <r>
    <x v="2"/>
    <n v="1128299"/>
    <x v="160"/>
    <x v="0"/>
    <s v="Hawaii"/>
    <s v="Honolulu"/>
    <s v="Online"/>
    <x v="4"/>
    <n v="67"/>
    <n v="210"/>
    <n v="14070"/>
    <n v="8442"/>
  </r>
  <r>
    <x v="0"/>
    <n v="1185732"/>
    <x v="160"/>
    <x v="4"/>
    <s v="New York"/>
    <s v="Albany"/>
    <s v="Online"/>
    <x v="5"/>
    <n v="49"/>
    <n v="144"/>
    <n v="7056"/>
    <n v="4163.04"/>
  </r>
  <r>
    <x v="0"/>
    <n v="1185732"/>
    <x v="160"/>
    <x v="1"/>
    <s v="Indiana"/>
    <s v="Indianapolis"/>
    <s v="Online"/>
    <x v="3"/>
    <n v="27"/>
    <n v="50"/>
    <n v="1350"/>
    <n v="742.50000000000011"/>
  </r>
  <r>
    <x v="2"/>
    <n v="1185732"/>
    <x v="160"/>
    <x v="1"/>
    <s v="Nebraska"/>
    <s v="Omaha"/>
    <s v="Online"/>
    <x v="3"/>
    <n v="23"/>
    <n v="21"/>
    <n v="483"/>
    <n v="265.65000000000003"/>
  </r>
  <r>
    <x v="0"/>
    <n v="1185732"/>
    <x v="160"/>
    <x v="1"/>
    <s v="Indiana"/>
    <s v="Indianapolis"/>
    <s v="Online"/>
    <x v="1"/>
    <n v="36"/>
    <n v="53"/>
    <n v="1908"/>
    <n v="1049.4000000000001"/>
  </r>
  <r>
    <x v="2"/>
    <n v="1185732"/>
    <x v="160"/>
    <x v="1"/>
    <s v="Illinois"/>
    <s v="Chicago"/>
    <s v="Online"/>
    <x v="1"/>
    <n v="50"/>
    <n v="44"/>
    <n v="2200"/>
    <n v="1166"/>
  </r>
  <r>
    <x v="0"/>
    <n v="1185732"/>
    <x v="160"/>
    <x v="1"/>
    <s v="Indiana"/>
    <s v="Indianapolis"/>
    <s v="Online"/>
    <x v="5"/>
    <n v="29"/>
    <n v="46"/>
    <n v="1334"/>
    <n v="707.02"/>
  </r>
  <r>
    <x v="0"/>
    <n v="1185732"/>
    <x v="160"/>
    <x v="4"/>
    <s v="New York"/>
    <s v="Albany"/>
    <s v="Online"/>
    <x v="0"/>
    <n v="54"/>
    <n v="175"/>
    <n v="9450"/>
    <n v="4914"/>
  </r>
  <r>
    <x v="0"/>
    <n v="1185732"/>
    <x v="160"/>
    <x v="4"/>
    <s v="New York"/>
    <s v="Albany"/>
    <s v="Online"/>
    <x v="1"/>
    <n v="62"/>
    <n v="150"/>
    <n v="9300"/>
    <n v="4743"/>
  </r>
  <r>
    <x v="0"/>
    <n v="1185732"/>
    <x v="160"/>
    <x v="1"/>
    <s v="Indiana"/>
    <s v="Indianapolis"/>
    <s v="Online"/>
    <x v="2"/>
    <n v="56"/>
    <n v="91"/>
    <n v="5096"/>
    <n v="2497.04"/>
  </r>
  <r>
    <x v="2"/>
    <n v="1128299"/>
    <x v="160"/>
    <x v="0"/>
    <s v="Hawaii"/>
    <s v="Honolulu"/>
    <s v="Online"/>
    <x v="2"/>
    <n v="97"/>
    <n v="169"/>
    <n v="16393"/>
    <n v="7868.6399999999994"/>
  </r>
  <r>
    <x v="0"/>
    <n v="1185732"/>
    <x v="160"/>
    <x v="1"/>
    <s v="Indiana"/>
    <s v="Indianapolis"/>
    <s v="Online"/>
    <x v="0"/>
    <n v="32"/>
    <n v="94"/>
    <n v="3008"/>
    <n v="1413.76"/>
  </r>
  <r>
    <x v="0"/>
    <n v="1185732"/>
    <x v="160"/>
    <x v="1"/>
    <s v="Indiana"/>
    <s v="Indianapolis"/>
    <s v="Online"/>
    <x v="4"/>
    <n v="36"/>
    <n v="155"/>
    <n v="5580"/>
    <n v="2510.9999999999995"/>
  </r>
  <r>
    <x v="0"/>
    <n v="1185732"/>
    <x v="160"/>
    <x v="4"/>
    <s v="New York"/>
    <s v="Albany"/>
    <s v="Online"/>
    <x v="4"/>
    <n v="59"/>
    <n v="263"/>
    <n v="15517"/>
    <n v="6827.48"/>
  </r>
  <r>
    <x v="0"/>
    <n v="1185732"/>
    <x v="160"/>
    <x v="4"/>
    <s v="New York"/>
    <s v="Albany"/>
    <s v="Online"/>
    <x v="2"/>
    <n v="69"/>
    <n v="181"/>
    <n v="12489"/>
    <n v="4745.82"/>
  </r>
  <r>
    <x v="0"/>
    <n v="1185732"/>
    <x v="161"/>
    <x v="0"/>
    <s v="Utah"/>
    <s v="Salt Lake City"/>
    <s v="In-store"/>
    <x v="0"/>
    <n v="25.000000000000011"/>
    <n v="400"/>
    <n v="10000.000000000004"/>
    <n v="6500.0000000000027"/>
  </r>
  <r>
    <x v="0"/>
    <n v="1185732"/>
    <x v="161"/>
    <x v="0"/>
    <s v="Utah"/>
    <s v="Salt Lake City"/>
    <s v="In-store"/>
    <x v="1"/>
    <n v="35"/>
    <n v="400"/>
    <n v="14000"/>
    <n v="9100"/>
  </r>
  <r>
    <x v="4"/>
    <n v="1185732"/>
    <x v="161"/>
    <x v="1"/>
    <s v="Ohio"/>
    <s v="Columbus"/>
    <s v="Online"/>
    <x v="0"/>
    <n v="45"/>
    <n v="550"/>
    <n v="24750"/>
    <n v="16087.5"/>
  </r>
  <r>
    <x v="4"/>
    <n v="1185732"/>
    <x v="161"/>
    <x v="1"/>
    <s v="Ohio"/>
    <s v="Columbus"/>
    <s v="Online"/>
    <x v="1"/>
    <n v="65"/>
    <n v="500"/>
    <n v="32500"/>
    <n v="21125"/>
  </r>
  <r>
    <x v="0"/>
    <n v="1185732"/>
    <x v="161"/>
    <x v="0"/>
    <s v="Utah"/>
    <s v="Salt Lake City"/>
    <s v="In-store"/>
    <x v="3"/>
    <n v="20.000000000000007"/>
    <n v="425"/>
    <n v="8500.0000000000036"/>
    <n v="5525.0000000000018"/>
  </r>
  <r>
    <x v="0"/>
    <n v="1185732"/>
    <x v="161"/>
    <x v="0"/>
    <s v="Utah"/>
    <s v="Salt Lake City"/>
    <s v="In-store"/>
    <x v="4"/>
    <n v="30.000000000000004"/>
    <n v="650"/>
    <n v="19500.000000000004"/>
    <n v="11700.000000000002"/>
  </r>
  <r>
    <x v="0"/>
    <n v="1185732"/>
    <x v="161"/>
    <x v="0"/>
    <s v="Utah"/>
    <s v="Salt Lake City"/>
    <s v="In-store"/>
    <x v="5"/>
    <n v="20.000000000000007"/>
    <n v="400"/>
    <n v="8000.0000000000027"/>
    <n v="4800.0000000000018"/>
  </r>
  <r>
    <x v="4"/>
    <n v="1185732"/>
    <x v="161"/>
    <x v="1"/>
    <s v="Ohio"/>
    <s v="Columbus"/>
    <s v="Online"/>
    <x v="3"/>
    <n v="50"/>
    <n v="525"/>
    <n v="26250"/>
    <n v="15750"/>
  </r>
  <r>
    <x v="4"/>
    <n v="1185732"/>
    <x v="161"/>
    <x v="1"/>
    <s v="Ohio"/>
    <s v="Columbus"/>
    <s v="Online"/>
    <x v="5"/>
    <n v="50"/>
    <n v="500"/>
    <n v="25000"/>
    <n v="15000"/>
  </r>
  <r>
    <x v="4"/>
    <n v="1185732"/>
    <x v="161"/>
    <x v="1"/>
    <s v="Ohio"/>
    <s v="Columbus"/>
    <s v="Online"/>
    <x v="4"/>
    <n v="49.999999999999993"/>
    <n v="800"/>
    <n v="39999.999999999993"/>
    <n v="23999.999999999993"/>
  </r>
  <r>
    <x v="2"/>
    <n v="1185732"/>
    <x v="161"/>
    <x v="1"/>
    <s v="Illinois"/>
    <s v="Chicago"/>
    <s v="Outlet"/>
    <x v="2"/>
    <n v="45"/>
    <n v="275"/>
    <n v="12375"/>
    <n v="6187.5"/>
  </r>
  <r>
    <x v="0"/>
    <n v="1185732"/>
    <x v="161"/>
    <x v="0"/>
    <s v="Utah"/>
    <s v="Salt Lake City"/>
    <s v="In-store"/>
    <x v="2"/>
    <n v="40"/>
    <n v="575"/>
    <n v="23000"/>
    <n v="11500"/>
  </r>
  <r>
    <x v="4"/>
    <n v="1185732"/>
    <x v="161"/>
    <x v="1"/>
    <s v="Ohio"/>
    <s v="Columbus"/>
    <s v="Online"/>
    <x v="2"/>
    <n v="70"/>
    <n v="675"/>
    <n v="47250"/>
    <n v="23625"/>
  </r>
  <r>
    <x v="0"/>
    <n v="1185732"/>
    <x v="161"/>
    <x v="0"/>
    <s v="Utah"/>
    <s v="Salt Lake City"/>
    <s v="Outlet"/>
    <x v="3"/>
    <n v="13"/>
    <n v="128"/>
    <n v="1664"/>
    <n v="1048.3200000000002"/>
  </r>
  <r>
    <x v="0"/>
    <n v="1185732"/>
    <x v="161"/>
    <x v="0"/>
    <s v="Utah"/>
    <s v="Salt Lake City"/>
    <s v="Outlet"/>
    <x v="1"/>
    <n v="24"/>
    <n v="132"/>
    <n v="3168"/>
    <n v="1995.84"/>
  </r>
  <r>
    <x v="0"/>
    <n v="1185732"/>
    <x v="161"/>
    <x v="0"/>
    <s v="Utah"/>
    <s v="Salt Lake City"/>
    <s v="Outlet"/>
    <x v="0"/>
    <n v="18"/>
    <n v="132"/>
    <n v="2376"/>
    <n v="1425.6"/>
  </r>
  <r>
    <x v="0"/>
    <n v="1185732"/>
    <x v="161"/>
    <x v="0"/>
    <s v="Utah"/>
    <s v="Salt Lake City"/>
    <s v="Outlet"/>
    <x v="4"/>
    <n v="21"/>
    <n v="208"/>
    <n v="4368"/>
    <n v="2489.7599999999998"/>
  </r>
  <r>
    <x v="0"/>
    <n v="1185732"/>
    <x v="161"/>
    <x v="0"/>
    <s v="Utah"/>
    <s v="Salt Lake City"/>
    <s v="Outlet"/>
    <x v="5"/>
    <n v="13"/>
    <n v="132"/>
    <n v="1716"/>
    <n v="978.11999999999989"/>
  </r>
  <r>
    <x v="0"/>
    <n v="1185732"/>
    <x v="161"/>
    <x v="0"/>
    <s v="Utah"/>
    <s v="Salt Lake City"/>
    <s v="Online"/>
    <x v="1"/>
    <n v="34"/>
    <n v="108"/>
    <n v="3672"/>
    <n v="2019.6000000000001"/>
  </r>
  <r>
    <x v="4"/>
    <n v="1185732"/>
    <x v="161"/>
    <x v="1"/>
    <s v="Ohio"/>
    <s v="Columbus"/>
    <s v="Online"/>
    <x v="0"/>
    <n v="41"/>
    <n v="138"/>
    <n v="5658"/>
    <n v="3055.32"/>
  </r>
  <r>
    <x v="4"/>
    <n v="1185732"/>
    <x v="161"/>
    <x v="1"/>
    <s v="Ohio"/>
    <s v="Columbus"/>
    <s v="Online"/>
    <x v="1"/>
    <n v="62"/>
    <n v="150"/>
    <n v="9300"/>
    <n v="4929"/>
  </r>
  <r>
    <x v="0"/>
    <n v="1185732"/>
    <x v="161"/>
    <x v="0"/>
    <s v="Utah"/>
    <s v="Salt Lake City"/>
    <s v="Online"/>
    <x v="0"/>
    <n v="24"/>
    <n v="112"/>
    <n v="2688"/>
    <n v="1370.88"/>
  </r>
  <r>
    <x v="0"/>
    <n v="1185732"/>
    <x v="161"/>
    <x v="0"/>
    <s v="Utah"/>
    <s v="Salt Lake City"/>
    <s v="Online"/>
    <x v="3"/>
    <n v="19"/>
    <n v="115"/>
    <n v="2185"/>
    <n v="1114.3499999999999"/>
  </r>
  <r>
    <x v="0"/>
    <n v="1185732"/>
    <x v="161"/>
    <x v="0"/>
    <s v="Utah"/>
    <s v="Salt Lake City"/>
    <s v="Online"/>
    <x v="4"/>
    <n v="28"/>
    <n v="182"/>
    <n v="5096"/>
    <n v="2497.04"/>
  </r>
  <r>
    <x v="0"/>
    <n v="1185732"/>
    <x v="161"/>
    <x v="0"/>
    <s v="Utah"/>
    <s v="Salt Lake City"/>
    <s v="Online"/>
    <x v="5"/>
    <n v="19"/>
    <n v="108"/>
    <n v="2052"/>
    <n v="1005.48"/>
  </r>
  <r>
    <x v="4"/>
    <n v="1185732"/>
    <x v="161"/>
    <x v="1"/>
    <s v="Ohio"/>
    <s v="Columbus"/>
    <s v="Online"/>
    <x v="5"/>
    <n v="49"/>
    <n v="140"/>
    <n v="6860"/>
    <n v="3361.4"/>
  </r>
  <r>
    <x v="4"/>
    <n v="1185732"/>
    <x v="161"/>
    <x v="1"/>
    <s v="Ohio"/>
    <s v="Columbus"/>
    <s v="Online"/>
    <x v="4"/>
    <n v="49"/>
    <n v="232"/>
    <n v="11368"/>
    <n v="5342.96"/>
  </r>
  <r>
    <x v="4"/>
    <n v="1185732"/>
    <x v="161"/>
    <x v="1"/>
    <s v="Ohio"/>
    <s v="Columbus"/>
    <s v="Online"/>
    <x v="3"/>
    <n v="49"/>
    <n v="142"/>
    <n v="6958"/>
    <n v="3200.68"/>
  </r>
  <r>
    <x v="0"/>
    <n v="1185732"/>
    <x v="161"/>
    <x v="0"/>
    <s v="Utah"/>
    <s v="Salt Lake City"/>
    <s v="Outlet"/>
    <x v="2"/>
    <n v="32"/>
    <n v="190"/>
    <n v="6080"/>
    <n v="2796.7999999999997"/>
  </r>
  <r>
    <x v="0"/>
    <n v="1185732"/>
    <x v="161"/>
    <x v="0"/>
    <s v="Utah"/>
    <s v="Salt Lake City"/>
    <s v="Online"/>
    <x v="2"/>
    <n v="38"/>
    <n v="150"/>
    <n v="5700"/>
    <n v="2280"/>
  </r>
  <r>
    <x v="4"/>
    <n v="1185732"/>
    <x v="161"/>
    <x v="1"/>
    <s v="Ohio"/>
    <s v="Columbus"/>
    <s v="Online"/>
    <x v="2"/>
    <n v="64"/>
    <n v="196"/>
    <n v="12544"/>
    <n v="4766.72"/>
  </r>
  <r>
    <x v="2"/>
    <n v="1185732"/>
    <x v="161"/>
    <x v="1"/>
    <s v="Illinois"/>
    <s v="Chicago"/>
    <s v="Online"/>
    <x v="2"/>
    <n v="43"/>
    <n v="77"/>
    <n v="3311"/>
    <n v="1158.8499999999999"/>
  </r>
  <r>
    <x v="1"/>
    <n v="1185732"/>
    <x v="162"/>
    <x v="0"/>
    <s v="Wyoming"/>
    <s v="Cheyenne"/>
    <s v="In-store"/>
    <x v="2"/>
    <n v="55.000000000000007"/>
    <n v="650"/>
    <n v="35750.000000000007"/>
    <n v="26812.500000000007"/>
  </r>
  <r>
    <x v="1"/>
    <n v="1185732"/>
    <x v="162"/>
    <x v="0"/>
    <s v="Wyoming"/>
    <s v="Cheyenne"/>
    <s v="In-store"/>
    <x v="0"/>
    <n v="45.000000000000007"/>
    <n v="600"/>
    <n v="27000.000000000004"/>
    <n v="18900.000000000007"/>
  </r>
  <r>
    <x v="1"/>
    <n v="1185732"/>
    <x v="162"/>
    <x v="0"/>
    <s v="Wyoming"/>
    <s v="Cheyenne"/>
    <s v="In-store"/>
    <x v="1"/>
    <n v="50"/>
    <n v="500"/>
    <n v="25000"/>
    <n v="17500"/>
  </r>
  <r>
    <x v="2"/>
    <n v="1185732"/>
    <x v="162"/>
    <x v="1"/>
    <s v="South Dakota"/>
    <s v="Sioux Falls"/>
    <s v="Online"/>
    <x v="0"/>
    <n v="40.000000000000007"/>
    <n v="250"/>
    <n v="10000.000000000002"/>
    <n v="7000.0000000000018"/>
  </r>
  <r>
    <x v="2"/>
    <n v="1185732"/>
    <x v="162"/>
    <x v="1"/>
    <s v="South Dakota"/>
    <s v="Sioux Falls"/>
    <s v="Online"/>
    <x v="3"/>
    <n v="35"/>
    <n v="200"/>
    <n v="7000"/>
    <n v="4900"/>
  </r>
  <r>
    <x v="2"/>
    <n v="1185732"/>
    <x v="162"/>
    <x v="1"/>
    <s v="South Dakota"/>
    <s v="Sioux Falls"/>
    <s v="Online"/>
    <x v="5"/>
    <n v="35"/>
    <n v="175"/>
    <n v="6125"/>
    <n v="4287.5"/>
  </r>
  <r>
    <x v="2"/>
    <n v="1185732"/>
    <x v="162"/>
    <x v="1"/>
    <s v="Nebraska"/>
    <s v="Omaha"/>
    <s v="Outlet"/>
    <x v="1"/>
    <n v="45"/>
    <n v="25"/>
    <n v="1125"/>
    <n v="731.25"/>
  </r>
  <r>
    <x v="1"/>
    <n v="1185732"/>
    <x v="162"/>
    <x v="0"/>
    <s v="Wyoming"/>
    <s v="Cheyenne"/>
    <s v="In-store"/>
    <x v="3"/>
    <n v="40"/>
    <n v="525"/>
    <n v="21000"/>
    <n v="13650"/>
  </r>
  <r>
    <x v="1"/>
    <n v="1185732"/>
    <x v="162"/>
    <x v="0"/>
    <s v="Wyoming"/>
    <s v="Cheyenne"/>
    <s v="In-store"/>
    <x v="5"/>
    <n v="40"/>
    <n v="500"/>
    <n v="20000"/>
    <n v="13000"/>
  </r>
  <r>
    <x v="2"/>
    <n v="1185732"/>
    <x v="162"/>
    <x v="1"/>
    <s v="South Dakota"/>
    <s v="Sioux Falls"/>
    <s v="Online"/>
    <x v="4"/>
    <n v="45"/>
    <n v="500"/>
    <n v="22500"/>
    <n v="14625"/>
  </r>
  <r>
    <x v="2"/>
    <n v="1185732"/>
    <x v="162"/>
    <x v="1"/>
    <s v="South Dakota"/>
    <s v="Sioux Falls"/>
    <s v="Online"/>
    <x v="1"/>
    <n v="45"/>
    <n v="175"/>
    <n v="7875"/>
    <n v="5118.75"/>
  </r>
  <r>
    <x v="4"/>
    <n v="1185732"/>
    <x v="162"/>
    <x v="4"/>
    <s v="Vermont"/>
    <s v="Burlington"/>
    <s v="In-store"/>
    <x v="3"/>
    <n v="50"/>
    <n v="325"/>
    <n v="16250"/>
    <n v="10562.5"/>
  </r>
  <r>
    <x v="4"/>
    <n v="1185732"/>
    <x v="162"/>
    <x v="4"/>
    <s v="Vermont"/>
    <s v="Burlington"/>
    <s v="In-store"/>
    <x v="5"/>
    <n v="50"/>
    <n v="300"/>
    <n v="15000"/>
    <n v="9750"/>
  </r>
  <r>
    <x v="4"/>
    <n v="1185732"/>
    <x v="162"/>
    <x v="4"/>
    <s v="Vermont"/>
    <s v="Burlington"/>
    <s v="In-store"/>
    <x v="1"/>
    <n v="60"/>
    <n v="300"/>
    <n v="18000"/>
    <n v="11700"/>
  </r>
  <r>
    <x v="2"/>
    <n v="1185732"/>
    <x v="162"/>
    <x v="1"/>
    <s v="Illinois"/>
    <s v="Chicago"/>
    <s v="Outlet"/>
    <x v="4"/>
    <n v="50"/>
    <n v="495"/>
    <n v="24750"/>
    <n v="14850"/>
  </r>
  <r>
    <x v="2"/>
    <n v="1185732"/>
    <x v="162"/>
    <x v="1"/>
    <s v="South Dakota"/>
    <s v="Sioux Falls"/>
    <s v="Online"/>
    <x v="2"/>
    <n v="55.000000000000007"/>
    <n v="325"/>
    <n v="17875.000000000004"/>
    <n v="10725.000000000002"/>
  </r>
  <r>
    <x v="4"/>
    <n v="1185732"/>
    <x v="162"/>
    <x v="4"/>
    <s v="Vermont"/>
    <s v="Burlington"/>
    <s v="In-store"/>
    <x v="2"/>
    <n v="65"/>
    <n v="450"/>
    <n v="29250"/>
    <n v="17550"/>
  </r>
  <r>
    <x v="4"/>
    <n v="1185732"/>
    <x v="162"/>
    <x v="4"/>
    <s v="Vermont"/>
    <s v="Burlington"/>
    <s v="In-store"/>
    <x v="4"/>
    <n v="60"/>
    <n v="650"/>
    <n v="39000"/>
    <n v="21450"/>
  </r>
  <r>
    <x v="4"/>
    <n v="1185732"/>
    <x v="162"/>
    <x v="4"/>
    <s v="Vermont"/>
    <s v="Burlington"/>
    <s v="In-store"/>
    <x v="0"/>
    <n v="55.000000000000007"/>
    <n v="400"/>
    <n v="22000.000000000004"/>
    <n v="12100.000000000002"/>
  </r>
  <r>
    <x v="1"/>
    <n v="1185732"/>
    <x v="162"/>
    <x v="0"/>
    <s v="Wyoming"/>
    <s v="Cheyenne"/>
    <s v="In-store"/>
    <x v="4"/>
    <n v="50"/>
    <n v="850"/>
    <n v="42500"/>
    <n v="21250"/>
  </r>
  <r>
    <x v="1"/>
    <n v="1185732"/>
    <x v="162"/>
    <x v="0"/>
    <s v="Wyoming"/>
    <s v="Cheyenne"/>
    <s v="Online"/>
    <x v="2"/>
    <n v="50"/>
    <n v="163"/>
    <n v="8150"/>
    <n v="5134.5"/>
  </r>
  <r>
    <x v="4"/>
    <n v="1185732"/>
    <x v="162"/>
    <x v="4"/>
    <s v="Vermont"/>
    <s v="Burlington"/>
    <s v="Outlet"/>
    <x v="3"/>
    <n v="35"/>
    <n v="104"/>
    <n v="3640"/>
    <n v="2220.4"/>
  </r>
  <r>
    <x v="4"/>
    <n v="1185732"/>
    <x v="162"/>
    <x v="4"/>
    <s v="Vermont"/>
    <s v="Burlington"/>
    <s v="Outlet"/>
    <x v="5"/>
    <n v="38"/>
    <n v="102"/>
    <n v="3876"/>
    <n v="2325.6000000000004"/>
  </r>
  <r>
    <x v="2"/>
    <n v="1185732"/>
    <x v="162"/>
    <x v="1"/>
    <s v="South Dakota"/>
    <s v="Sioux Falls"/>
    <s v="Online"/>
    <x v="0"/>
    <n v="39"/>
    <n v="70"/>
    <n v="2730"/>
    <n v="1638"/>
  </r>
  <r>
    <x v="4"/>
    <n v="1185732"/>
    <x v="162"/>
    <x v="4"/>
    <s v="Vermont"/>
    <s v="Burlington"/>
    <s v="Outlet"/>
    <x v="1"/>
    <n v="44"/>
    <n v="105"/>
    <n v="4620"/>
    <n v="2725.8"/>
  </r>
  <r>
    <x v="1"/>
    <n v="1185732"/>
    <x v="162"/>
    <x v="0"/>
    <s v="Wyoming"/>
    <s v="Cheyenne"/>
    <s v="Online"/>
    <x v="0"/>
    <n v="42"/>
    <n v="168"/>
    <n v="7056"/>
    <n v="4163.04"/>
  </r>
  <r>
    <x v="2"/>
    <n v="1185732"/>
    <x v="162"/>
    <x v="1"/>
    <s v="South Dakota"/>
    <s v="Sioux Falls"/>
    <s v="Online"/>
    <x v="3"/>
    <n v="32"/>
    <n v="54"/>
    <n v="1728"/>
    <n v="984.96"/>
  </r>
  <r>
    <x v="1"/>
    <n v="1185732"/>
    <x v="162"/>
    <x v="0"/>
    <s v="Wyoming"/>
    <s v="Cheyenne"/>
    <s v="Online"/>
    <x v="1"/>
    <n v="49"/>
    <n v="135"/>
    <n v="6615"/>
    <n v="3704.4"/>
  </r>
  <r>
    <x v="2"/>
    <n v="1185732"/>
    <x v="162"/>
    <x v="1"/>
    <s v="South Dakota"/>
    <s v="Sioux Falls"/>
    <s v="Online"/>
    <x v="1"/>
    <n v="41"/>
    <n v="51"/>
    <n v="2091"/>
    <n v="1150.0500000000002"/>
  </r>
  <r>
    <x v="1"/>
    <n v="1185732"/>
    <x v="162"/>
    <x v="0"/>
    <s v="Wyoming"/>
    <s v="Cheyenne"/>
    <s v="Online"/>
    <x v="3"/>
    <n v="38"/>
    <n v="131"/>
    <n v="4978"/>
    <n v="2737.9"/>
  </r>
  <r>
    <x v="2"/>
    <n v="1185732"/>
    <x v="162"/>
    <x v="1"/>
    <s v="South Dakota"/>
    <s v="Sioux Falls"/>
    <s v="Online"/>
    <x v="5"/>
    <n v="32"/>
    <n v="49"/>
    <n v="1568"/>
    <n v="862.40000000000009"/>
  </r>
  <r>
    <x v="4"/>
    <n v="1185732"/>
    <x v="162"/>
    <x v="4"/>
    <s v="Vermont"/>
    <s v="Burlington"/>
    <s v="Outlet"/>
    <x v="2"/>
    <n v="49"/>
    <n v="158"/>
    <n v="7742"/>
    <n v="4258.1000000000004"/>
  </r>
  <r>
    <x v="4"/>
    <n v="1185732"/>
    <x v="162"/>
    <x v="4"/>
    <s v="Vermont"/>
    <s v="Burlington"/>
    <s v="Online"/>
    <x v="5"/>
    <n v="47"/>
    <n v="90"/>
    <n v="4230"/>
    <n v="2326.5"/>
  </r>
  <r>
    <x v="2"/>
    <n v="1185732"/>
    <x v="162"/>
    <x v="1"/>
    <s v="South Dakota"/>
    <s v="Sioux Falls"/>
    <s v="Online"/>
    <x v="4"/>
    <n v="41"/>
    <n v="135"/>
    <n v="5535"/>
    <n v="2988.9"/>
  </r>
  <r>
    <x v="1"/>
    <n v="1185732"/>
    <x v="162"/>
    <x v="0"/>
    <s v="Wyoming"/>
    <s v="Cheyenne"/>
    <s v="Online"/>
    <x v="5"/>
    <n v="38"/>
    <n v="140"/>
    <n v="5320"/>
    <n v="2819.6000000000004"/>
  </r>
  <r>
    <x v="4"/>
    <n v="1185732"/>
    <x v="162"/>
    <x v="4"/>
    <s v="Vermont"/>
    <s v="Burlington"/>
    <s v="Online"/>
    <x v="3"/>
    <n v="45"/>
    <n v="81"/>
    <n v="3645"/>
    <n v="1931.8500000000001"/>
  </r>
  <r>
    <x v="2"/>
    <n v="1185732"/>
    <x v="162"/>
    <x v="1"/>
    <s v="Nebraska"/>
    <s v="Omaha"/>
    <s v="Online"/>
    <x v="1"/>
    <n v="42"/>
    <n v="6"/>
    <n v="252"/>
    <n v="131.04000000000002"/>
  </r>
  <r>
    <x v="4"/>
    <n v="1185732"/>
    <x v="162"/>
    <x v="4"/>
    <s v="Vermont"/>
    <s v="Burlington"/>
    <s v="Outlet"/>
    <x v="4"/>
    <n v="47"/>
    <n v="195"/>
    <n v="9165"/>
    <n v="4674.1499999999996"/>
  </r>
  <r>
    <x v="4"/>
    <n v="1185732"/>
    <x v="162"/>
    <x v="4"/>
    <s v="Vermont"/>
    <s v="Burlington"/>
    <s v="Online"/>
    <x v="1"/>
    <n v="58"/>
    <n v="81"/>
    <n v="4698"/>
    <n v="2349"/>
  </r>
  <r>
    <x v="4"/>
    <n v="1185732"/>
    <x v="162"/>
    <x v="4"/>
    <s v="Vermont"/>
    <s v="Burlington"/>
    <s v="Outlet"/>
    <x v="0"/>
    <n v="44"/>
    <n v="120"/>
    <n v="5280"/>
    <n v="2640"/>
  </r>
  <r>
    <x v="4"/>
    <n v="1185732"/>
    <x v="162"/>
    <x v="4"/>
    <s v="Vermont"/>
    <s v="Burlington"/>
    <s v="Online"/>
    <x v="2"/>
    <n v="62"/>
    <n v="117"/>
    <n v="7254"/>
    <n v="3481.92"/>
  </r>
  <r>
    <x v="2"/>
    <n v="1185732"/>
    <x v="162"/>
    <x v="1"/>
    <s v="South Dakota"/>
    <s v="Sioux Falls"/>
    <s v="Online"/>
    <x v="2"/>
    <n v="50"/>
    <n v="94"/>
    <n v="4700"/>
    <n v="2209"/>
  </r>
  <r>
    <x v="2"/>
    <n v="1185732"/>
    <x v="162"/>
    <x v="1"/>
    <s v="Illinois"/>
    <s v="Chicago"/>
    <s v="Online"/>
    <x v="4"/>
    <n v="47"/>
    <n v="144"/>
    <n v="6768"/>
    <n v="3045.6"/>
  </r>
  <r>
    <x v="4"/>
    <n v="1185732"/>
    <x v="162"/>
    <x v="4"/>
    <s v="Vermont"/>
    <s v="Burlington"/>
    <s v="Online"/>
    <x v="4"/>
    <n v="58"/>
    <n v="163"/>
    <n v="9454"/>
    <n v="3970.6799999999994"/>
  </r>
  <r>
    <x v="4"/>
    <n v="1185732"/>
    <x v="162"/>
    <x v="4"/>
    <s v="Vermont"/>
    <s v="Burlington"/>
    <s v="Online"/>
    <x v="0"/>
    <n v="53"/>
    <n v="116"/>
    <n v="6148"/>
    <n v="2520.6799999999994"/>
  </r>
  <r>
    <x v="1"/>
    <n v="1185732"/>
    <x v="162"/>
    <x v="0"/>
    <s v="Wyoming"/>
    <s v="Cheyenne"/>
    <s v="Online"/>
    <x v="4"/>
    <n v="46"/>
    <n v="247"/>
    <n v="11362"/>
    <n v="4203.9399999999996"/>
  </r>
  <r>
    <x v="3"/>
    <n v="1128299"/>
    <x v="163"/>
    <x v="3"/>
    <s v="Georgia"/>
    <s v="Atlanta"/>
    <s v="Online"/>
    <x v="2"/>
    <n v="70"/>
    <n v="575"/>
    <n v="40250"/>
    <n v="30187.5"/>
  </r>
  <r>
    <x v="3"/>
    <n v="1128299"/>
    <x v="163"/>
    <x v="3"/>
    <s v="Georgia"/>
    <s v="Atlanta"/>
    <s v="Online"/>
    <x v="3"/>
    <n v="55.000000000000007"/>
    <n v="525"/>
    <n v="28875.000000000004"/>
    <n v="18768.750000000007"/>
  </r>
  <r>
    <x v="3"/>
    <n v="1128299"/>
    <x v="163"/>
    <x v="3"/>
    <s v="Georgia"/>
    <s v="Atlanta"/>
    <s v="Online"/>
    <x v="1"/>
    <n v="55.000000000000007"/>
    <n v="275"/>
    <n v="15125.000000000002"/>
    <n v="9831.2500000000036"/>
  </r>
  <r>
    <x v="2"/>
    <n v="1185732"/>
    <x v="163"/>
    <x v="1"/>
    <s v="Illinois"/>
    <s v="Chicago"/>
    <s v="Outlet"/>
    <x v="0"/>
    <n v="50"/>
    <n v="200"/>
    <n v="10000"/>
    <n v="6500"/>
  </r>
  <r>
    <x v="3"/>
    <n v="1128299"/>
    <x v="163"/>
    <x v="3"/>
    <s v="Georgia"/>
    <s v="Atlanta"/>
    <s v="Online"/>
    <x v="4"/>
    <n v="50"/>
    <n v="675"/>
    <n v="33750"/>
    <n v="20250"/>
  </r>
  <r>
    <x v="3"/>
    <n v="1128299"/>
    <x v="163"/>
    <x v="3"/>
    <s v="Georgia"/>
    <s v="Atlanta"/>
    <s v="Online"/>
    <x v="0"/>
    <n v="55.000000000000007"/>
    <n v="525"/>
    <n v="28875.000000000004"/>
    <n v="17325.000000000004"/>
  </r>
  <r>
    <x v="3"/>
    <n v="1128299"/>
    <x v="163"/>
    <x v="3"/>
    <s v="Georgia"/>
    <s v="Atlanta"/>
    <s v="Online"/>
    <x v="5"/>
    <n v="50"/>
    <n v="400"/>
    <n v="20000"/>
    <n v="12000"/>
  </r>
  <r>
    <x v="2"/>
    <n v="1185732"/>
    <x v="163"/>
    <x v="1"/>
    <s v="Nebraska"/>
    <s v="Omaha"/>
    <s v="Outlet"/>
    <x v="2"/>
    <n v="35"/>
    <n v="150"/>
    <n v="5250"/>
    <n v="2625"/>
  </r>
  <r>
    <x v="3"/>
    <n v="1128299"/>
    <x v="163"/>
    <x v="3"/>
    <s v="Georgia"/>
    <s v="Atlanta"/>
    <s v="Outlet"/>
    <x v="2"/>
    <n v="53"/>
    <n v="190"/>
    <n v="10070"/>
    <n v="6847.6"/>
  </r>
  <r>
    <x v="3"/>
    <n v="1128299"/>
    <x v="163"/>
    <x v="3"/>
    <s v="Georgia"/>
    <s v="Atlanta"/>
    <s v="Online"/>
    <x v="2"/>
    <n v="67"/>
    <n v="150"/>
    <n v="10050"/>
    <n v="6532.5"/>
  </r>
  <r>
    <x v="3"/>
    <n v="1128299"/>
    <x v="163"/>
    <x v="3"/>
    <s v="Georgia"/>
    <s v="Atlanta"/>
    <s v="Outlet"/>
    <x v="3"/>
    <n v="39"/>
    <n v="158"/>
    <n v="6162"/>
    <n v="3820.44"/>
  </r>
  <r>
    <x v="3"/>
    <n v="1128299"/>
    <x v="163"/>
    <x v="3"/>
    <s v="Georgia"/>
    <s v="Atlanta"/>
    <s v="Outlet"/>
    <x v="1"/>
    <n v="42"/>
    <n v="94"/>
    <n v="3948"/>
    <n v="2408.2800000000002"/>
  </r>
  <r>
    <x v="3"/>
    <n v="1128299"/>
    <x v="163"/>
    <x v="3"/>
    <s v="Georgia"/>
    <s v="Atlanta"/>
    <s v="Outlet"/>
    <x v="5"/>
    <n v="33"/>
    <n v="132"/>
    <n v="4356"/>
    <n v="2482.92"/>
  </r>
  <r>
    <x v="3"/>
    <n v="1128299"/>
    <x v="163"/>
    <x v="3"/>
    <s v="Georgia"/>
    <s v="Atlanta"/>
    <s v="Outlet"/>
    <x v="4"/>
    <n v="35"/>
    <n v="203"/>
    <n v="7105"/>
    <n v="4049.8499999999995"/>
  </r>
  <r>
    <x v="3"/>
    <n v="1128299"/>
    <x v="163"/>
    <x v="3"/>
    <s v="Georgia"/>
    <s v="Atlanta"/>
    <s v="Outlet"/>
    <x v="0"/>
    <n v="41"/>
    <n v="163"/>
    <n v="6683"/>
    <n v="3742.48"/>
  </r>
  <r>
    <x v="2"/>
    <n v="1185732"/>
    <x v="163"/>
    <x v="1"/>
    <s v="Illinois"/>
    <s v="Chicago"/>
    <s v="Online"/>
    <x v="0"/>
    <n v="46"/>
    <n v="60"/>
    <n v="2760"/>
    <n v="1435.2"/>
  </r>
  <r>
    <x v="3"/>
    <n v="1128299"/>
    <x v="163"/>
    <x v="3"/>
    <s v="Georgia"/>
    <s v="Atlanta"/>
    <s v="Online"/>
    <x v="3"/>
    <n v="52"/>
    <n v="142"/>
    <n v="7384"/>
    <n v="3839.6800000000003"/>
  </r>
  <r>
    <x v="3"/>
    <n v="1128299"/>
    <x v="163"/>
    <x v="3"/>
    <s v="Georgia"/>
    <s v="Atlanta"/>
    <s v="Online"/>
    <x v="1"/>
    <n v="51"/>
    <n v="72"/>
    <n v="3672"/>
    <n v="1909.44"/>
  </r>
  <r>
    <x v="3"/>
    <n v="1128299"/>
    <x v="163"/>
    <x v="3"/>
    <s v="Georgia"/>
    <s v="Atlanta"/>
    <s v="Online"/>
    <x v="0"/>
    <n v="54"/>
    <n v="147"/>
    <n v="7938"/>
    <n v="3889.62"/>
  </r>
  <r>
    <x v="3"/>
    <n v="1128299"/>
    <x v="163"/>
    <x v="3"/>
    <s v="Georgia"/>
    <s v="Atlanta"/>
    <s v="Online"/>
    <x v="5"/>
    <n v="49"/>
    <n v="120"/>
    <n v="5880"/>
    <n v="2881.2"/>
  </r>
  <r>
    <x v="3"/>
    <n v="1128299"/>
    <x v="163"/>
    <x v="3"/>
    <s v="Georgia"/>
    <s v="Atlanta"/>
    <s v="Online"/>
    <x v="4"/>
    <n v="46"/>
    <n v="176"/>
    <n v="8096"/>
    <n v="3805.12"/>
  </r>
  <r>
    <x v="2"/>
    <n v="1185732"/>
    <x v="163"/>
    <x v="1"/>
    <s v="Nebraska"/>
    <s v="Omaha"/>
    <s v="Online"/>
    <x v="2"/>
    <n v="34"/>
    <n v="39"/>
    <n v="1326"/>
    <n v="503.88"/>
  </r>
  <r>
    <x v="2"/>
    <n v="1185732"/>
    <x v="164"/>
    <x v="1"/>
    <s v="Illinois"/>
    <s v="Chicago"/>
    <s v="Outlet"/>
    <x v="3"/>
    <n v="40"/>
    <n v="225"/>
    <n v="9000"/>
    <n v="5850"/>
  </r>
  <r>
    <x v="1"/>
    <n v="1197831"/>
    <x v="164"/>
    <x v="1"/>
    <s v="Kansas"/>
    <s v="Wichita"/>
    <s v="Online"/>
    <x v="4"/>
    <n v="40"/>
    <n v="575"/>
    <n v="23000"/>
    <n v="14950"/>
  </r>
  <r>
    <x v="1"/>
    <n v="1197831"/>
    <x v="164"/>
    <x v="1"/>
    <s v="Kansas"/>
    <s v="Wichita"/>
    <s v="Online"/>
    <x v="0"/>
    <n v="35"/>
    <n v="325"/>
    <n v="11375"/>
    <n v="7393.75"/>
  </r>
  <r>
    <x v="1"/>
    <n v="1197831"/>
    <x v="164"/>
    <x v="1"/>
    <s v="Kansas"/>
    <s v="Wichita"/>
    <s v="Online"/>
    <x v="3"/>
    <n v="40"/>
    <n v="300"/>
    <n v="12000"/>
    <n v="7800"/>
  </r>
  <r>
    <x v="1"/>
    <n v="1197831"/>
    <x v="164"/>
    <x v="1"/>
    <s v="Kansas"/>
    <s v="Wichita"/>
    <s v="Online"/>
    <x v="5"/>
    <n v="40"/>
    <n v="275"/>
    <n v="11000"/>
    <n v="7150"/>
  </r>
  <r>
    <x v="1"/>
    <n v="1197831"/>
    <x v="164"/>
    <x v="1"/>
    <s v="Kansas"/>
    <s v="Wichita"/>
    <s v="Online"/>
    <x v="1"/>
    <n v="54.999999999999993"/>
    <n v="275"/>
    <n v="15124.999999999998"/>
    <n v="9831.2499999999982"/>
  </r>
  <r>
    <x v="1"/>
    <n v="1197831"/>
    <x v="164"/>
    <x v="1"/>
    <s v="Kansas"/>
    <s v="Wichita"/>
    <s v="Online"/>
    <x v="2"/>
    <n v="60"/>
    <n v="450"/>
    <n v="27000"/>
    <n v="17550"/>
  </r>
  <r>
    <x v="2"/>
    <n v="1185732"/>
    <x v="164"/>
    <x v="1"/>
    <s v="Nebraska"/>
    <s v="Omaha"/>
    <s v="Outlet"/>
    <x v="4"/>
    <n v="45"/>
    <n v="420"/>
    <n v="18900"/>
    <n v="11340"/>
  </r>
  <r>
    <x v="2"/>
    <n v="1185732"/>
    <x v="164"/>
    <x v="1"/>
    <s v="Illinois"/>
    <s v="Chicago"/>
    <s v="Online"/>
    <x v="3"/>
    <n v="37"/>
    <n v="68"/>
    <n v="2516"/>
    <n v="1383.8000000000002"/>
  </r>
  <r>
    <x v="1"/>
    <n v="1197831"/>
    <x v="164"/>
    <x v="1"/>
    <s v="Kansas"/>
    <s v="Wichita"/>
    <s v="Online"/>
    <x v="5"/>
    <n v="38"/>
    <n v="80"/>
    <n v="3040"/>
    <n v="1672.0000000000002"/>
  </r>
  <r>
    <x v="1"/>
    <n v="1197831"/>
    <x v="164"/>
    <x v="1"/>
    <s v="Kansas"/>
    <s v="Wichita"/>
    <s v="Online"/>
    <x v="3"/>
    <n v="37"/>
    <n v="81"/>
    <n v="2997"/>
    <n v="1618.38"/>
  </r>
  <r>
    <x v="1"/>
    <n v="1197831"/>
    <x v="164"/>
    <x v="1"/>
    <s v="Kansas"/>
    <s v="Wichita"/>
    <s v="Online"/>
    <x v="0"/>
    <n v="32"/>
    <n v="94"/>
    <n v="3008"/>
    <n v="1564.16"/>
  </r>
  <r>
    <x v="1"/>
    <n v="1197831"/>
    <x v="164"/>
    <x v="1"/>
    <s v="Kansas"/>
    <s v="Wichita"/>
    <s v="Online"/>
    <x v="1"/>
    <n v="54"/>
    <n v="83"/>
    <n v="4482"/>
    <n v="2330.64"/>
  </r>
  <r>
    <x v="1"/>
    <n v="1197831"/>
    <x v="164"/>
    <x v="1"/>
    <s v="Kansas"/>
    <s v="Wichita"/>
    <s v="Online"/>
    <x v="2"/>
    <n v="58"/>
    <n v="117"/>
    <n v="6786"/>
    <n v="3460.86"/>
  </r>
  <r>
    <x v="1"/>
    <n v="1197831"/>
    <x v="164"/>
    <x v="1"/>
    <s v="Kansas"/>
    <s v="Wichita"/>
    <s v="Online"/>
    <x v="4"/>
    <n v="37"/>
    <n v="144"/>
    <n v="5328"/>
    <n v="2664"/>
  </r>
  <r>
    <x v="2"/>
    <n v="1185732"/>
    <x v="164"/>
    <x v="1"/>
    <s v="Nebraska"/>
    <s v="Omaha"/>
    <s v="Online"/>
    <x v="4"/>
    <n v="44"/>
    <n v="118"/>
    <n v="5192"/>
    <n v="2388.3199999999997"/>
  </r>
  <r>
    <x v="3"/>
    <n v="1185732"/>
    <x v="165"/>
    <x v="4"/>
    <s v="Massachusetts"/>
    <s v="Boston"/>
    <s v="In-store"/>
    <x v="3"/>
    <n v="45"/>
    <n v="250"/>
    <n v="11250"/>
    <n v="8437.5"/>
  </r>
  <r>
    <x v="3"/>
    <n v="1185732"/>
    <x v="165"/>
    <x v="4"/>
    <s v="Massachusetts"/>
    <s v="Boston"/>
    <s v="In-store"/>
    <x v="5"/>
    <n v="45"/>
    <n v="225"/>
    <n v="10125"/>
    <n v="7593.75"/>
  </r>
  <r>
    <x v="3"/>
    <n v="1185732"/>
    <x v="165"/>
    <x v="4"/>
    <s v="Massachusetts"/>
    <s v="Boston"/>
    <s v="In-store"/>
    <x v="1"/>
    <n v="54.999999999999993"/>
    <n v="225"/>
    <n v="12374.999999999998"/>
    <n v="9281.2499999999982"/>
  </r>
  <r>
    <x v="2"/>
    <n v="1185732"/>
    <x v="165"/>
    <x v="4"/>
    <s v="Delaware"/>
    <s v="Wilmington"/>
    <s v="In-store"/>
    <x v="1"/>
    <n v="54.999999999999993"/>
    <n v="300"/>
    <n v="16499.999999999996"/>
    <n v="11549.999999999996"/>
  </r>
  <r>
    <x v="3"/>
    <n v="1185732"/>
    <x v="165"/>
    <x v="4"/>
    <s v="Massachusetts"/>
    <s v="Boston"/>
    <s v="In-store"/>
    <x v="0"/>
    <n v="50"/>
    <n v="325"/>
    <n v="16250"/>
    <n v="11375"/>
  </r>
  <r>
    <x v="3"/>
    <n v="1185732"/>
    <x v="165"/>
    <x v="4"/>
    <s v="Massachusetts"/>
    <s v="Boston"/>
    <s v="In-store"/>
    <x v="2"/>
    <n v="60"/>
    <n v="375"/>
    <n v="22500"/>
    <n v="15750"/>
  </r>
  <r>
    <x v="3"/>
    <n v="1185732"/>
    <x v="165"/>
    <x v="4"/>
    <s v="Massachusetts"/>
    <s v="Boston"/>
    <s v="In-store"/>
    <x v="4"/>
    <n v="54.999999999999993"/>
    <n v="575"/>
    <n v="31624.999999999996"/>
    <n v="22137.499999999993"/>
  </r>
  <r>
    <x v="2"/>
    <n v="1185732"/>
    <x v="165"/>
    <x v="1"/>
    <s v="Nebraska"/>
    <s v="Omaha"/>
    <s v="Outlet"/>
    <x v="0"/>
    <n v="40.000000000000007"/>
    <n v="125"/>
    <n v="5000.0000000000009"/>
    <n v="3250.0000000000009"/>
  </r>
  <r>
    <x v="2"/>
    <n v="1185732"/>
    <x v="165"/>
    <x v="4"/>
    <s v="Delaware"/>
    <s v="Wilmington"/>
    <s v="In-store"/>
    <x v="4"/>
    <n v="54.999999999999993"/>
    <n v="650"/>
    <n v="35749.999999999993"/>
    <n v="23237.499999999996"/>
  </r>
  <r>
    <x v="2"/>
    <n v="1185732"/>
    <x v="165"/>
    <x v="4"/>
    <s v="Delaware"/>
    <s v="Wilmington"/>
    <s v="In-store"/>
    <x v="0"/>
    <n v="50"/>
    <n v="400"/>
    <n v="20000"/>
    <n v="13000"/>
  </r>
  <r>
    <x v="2"/>
    <n v="1185732"/>
    <x v="165"/>
    <x v="1"/>
    <s v="Illinois"/>
    <s v="Chicago"/>
    <s v="Outlet"/>
    <x v="5"/>
    <n v="45"/>
    <n v="75"/>
    <n v="3375"/>
    <n v="2025"/>
  </r>
  <r>
    <x v="2"/>
    <n v="1185732"/>
    <x v="165"/>
    <x v="4"/>
    <s v="Delaware"/>
    <s v="Wilmington"/>
    <s v="In-store"/>
    <x v="3"/>
    <n v="45"/>
    <n v="325"/>
    <n v="14625"/>
    <n v="8775"/>
  </r>
  <r>
    <x v="2"/>
    <n v="1185732"/>
    <x v="165"/>
    <x v="4"/>
    <s v="Delaware"/>
    <s v="Wilmington"/>
    <s v="In-store"/>
    <x v="5"/>
    <n v="45"/>
    <n v="300"/>
    <n v="13500"/>
    <n v="8100"/>
  </r>
  <r>
    <x v="2"/>
    <n v="1185732"/>
    <x v="165"/>
    <x v="4"/>
    <s v="Delaware"/>
    <s v="Wilmington"/>
    <s v="In-store"/>
    <x v="2"/>
    <n v="60"/>
    <n v="450"/>
    <n v="27000"/>
    <n v="16200"/>
  </r>
  <r>
    <x v="3"/>
    <n v="1185732"/>
    <x v="165"/>
    <x v="4"/>
    <s v="Massachusetts"/>
    <s v="Boston"/>
    <s v="Outlet"/>
    <x v="5"/>
    <n v="34"/>
    <n v="72"/>
    <n v="2448"/>
    <n v="1762.56"/>
  </r>
  <r>
    <x v="3"/>
    <n v="1185732"/>
    <x v="165"/>
    <x v="4"/>
    <s v="Massachusetts"/>
    <s v="Boston"/>
    <s v="Outlet"/>
    <x v="3"/>
    <n v="36"/>
    <n v="75"/>
    <n v="2700"/>
    <n v="1863"/>
  </r>
  <r>
    <x v="3"/>
    <n v="1185732"/>
    <x v="165"/>
    <x v="4"/>
    <s v="Massachusetts"/>
    <s v="Boston"/>
    <s v="Outlet"/>
    <x v="0"/>
    <n v="36"/>
    <n v="114"/>
    <n v="4104"/>
    <n v="2790.7200000000003"/>
  </r>
  <r>
    <x v="3"/>
    <n v="1185732"/>
    <x v="165"/>
    <x v="4"/>
    <s v="Massachusetts"/>
    <s v="Boston"/>
    <s v="Outlet"/>
    <x v="1"/>
    <n v="39"/>
    <n v="74"/>
    <n v="2886"/>
    <n v="1962.48"/>
  </r>
  <r>
    <x v="3"/>
    <n v="1185732"/>
    <x v="165"/>
    <x v="4"/>
    <s v="Massachusetts"/>
    <s v="Boston"/>
    <s v="Online"/>
    <x v="5"/>
    <n v="41"/>
    <n v="65"/>
    <n v="2665"/>
    <n v="1732.25"/>
  </r>
  <r>
    <x v="3"/>
    <n v="1185732"/>
    <x v="165"/>
    <x v="4"/>
    <s v="Massachusetts"/>
    <s v="Boston"/>
    <s v="Outlet"/>
    <x v="4"/>
    <n v="39"/>
    <n v="196"/>
    <n v="7644"/>
    <n v="4968.6000000000004"/>
  </r>
  <r>
    <x v="3"/>
    <n v="1185732"/>
    <x v="165"/>
    <x v="4"/>
    <s v="Massachusetts"/>
    <s v="Boston"/>
    <s v="Outlet"/>
    <x v="2"/>
    <n v="47"/>
    <n v="120"/>
    <n v="5640"/>
    <n v="3666"/>
  </r>
  <r>
    <x v="3"/>
    <n v="1185732"/>
    <x v="165"/>
    <x v="4"/>
    <s v="Massachusetts"/>
    <s v="Boston"/>
    <s v="Online"/>
    <x v="3"/>
    <n v="42"/>
    <n v="68"/>
    <n v="2856"/>
    <n v="1827.8400000000001"/>
  </r>
  <r>
    <x v="3"/>
    <n v="1185732"/>
    <x v="165"/>
    <x v="4"/>
    <s v="Massachusetts"/>
    <s v="Boston"/>
    <s v="Online"/>
    <x v="1"/>
    <n v="51"/>
    <n v="59"/>
    <n v="3009"/>
    <n v="1865.58"/>
  </r>
  <r>
    <x v="3"/>
    <n v="1185732"/>
    <x v="165"/>
    <x v="4"/>
    <s v="Massachusetts"/>
    <s v="Boston"/>
    <s v="Online"/>
    <x v="2"/>
    <n v="54"/>
    <n v="101"/>
    <n v="5454"/>
    <n v="3272.4"/>
  </r>
  <r>
    <x v="2"/>
    <n v="1185732"/>
    <x v="165"/>
    <x v="4"/>
    <s v="Delaware"/>
    <s v="Wilmington"/>
    <s v="Online"/>
    <x v="1"/>
    <n v="50"/>
    <n v="75"/>
    <n v="3750"/>
    <n v="2250"/>
  </r>
  <r>
    <x v="3"/>
    <n v="1185732"/>
    <x v="165"/>
    <x v="4"/>
    <s v="Massachusetts"/>
    <s v="Boston"/>
    <s v="Online"/>
    <x v="0"/>
    <n v="47"/>
    <n v="94"/>
    <n v="4418"/>
    <n v="2562.44"/>
  </r>
  <r>
    <x v="3"/>
    <n v="1185732"/>
    <x v="165"/>
    <x v="4"/>
    <s v="Massachusetts"/>
    <s v="Boston"/>
    <s v="Online"/>
    <x v="4"/>
    <n v="51"/>
    <n v="155"/>
    <n v="7905"/>
    <n v="4584.8999999999996"/>
  </r>
  <r>
    <x v="2"/>
    <n v="1185732"/>
    <x v="165"/>
    <x v="4"/>
    <s v="Delaware"/>
    <s v="Wilmington"/>
    <s v="Online"/>
    <x v="0"/>
    <n v="48"/>
    <n v="120"/>
    <n v="5760"/>
    <n v="3168.0000000000005"/>
  </r>
  <r>
    <x v="2"/>
    <n v="1185732"/>
    <x v="165"/>
    <x v="4"/>
    <s v="Delaware"/>
    <s v="Wilmington"/>
    <s v="Online"/>
    <x v="4"/>
    <n v="51"/>
    <n v="189"/>
    <n v="9639"/>
    <n v="5205.0600000000004"/>
  </r>
  <r>
    <x v="2"/>
    <n v="1185732"/>
    <x v="165"/>
    <x v="1"/>
    <s v="Nebraska"/>
    <s v="Omaha"/>
    <s v="Online"/>
    <x v="0"/>
    <n v="38"/>
    <n v="33"/>
    <n v="1254"/>
    <n v="627"/>
  </r>
  <r>
    <x v="2"/>
    <n v="1185732"/>
    <x v="165"/>
    <x v="1"/>
    <s v="Illinois"/>
    <s v="Chicago"/>
    <s v="Online"/>
    <x v="5"/>
    <n v="41"/>
    <n v="19"/>
    <n v="779"/>
    <n v="366.13"/>
  </r>
  <r>
    <x v="2"/>
    <n v="1185732"/>
    <x v="165"/>
    <x v="4"/>
    <s v="Delaware"/>
    <s v="Wilmington"/>
    <s v="Online"/>
    <x v="3"/>
    <n v="43"/>
    <n v="85"/>
    <n v="3655"/>
    <n v="1717.85"/>
  </r>
  <r>
    <x v="2"/>
    <n v="1185732"/>
    <x v="165"/>
    <x v="4"/>
    <s v="Delaware"/>
    <s v="Wilmington"/>
    <s v="Online"/>
    <x v="2"/>
    <n v="56"/>
    <n v="135"/>
    <n v="7560"/>
    <n v="3553.2"/>
  </r>
  <r>
    <x v="2"/>
    <n v="1185732"/>
    <x v="165"/>
    <x v="4"/>
    <s v="Delaware"/>
    <s v="Wilmington"/>
    <s v="Online"/>
    <x v="5"/>
    <n v="41"/>
    <n v="75"/>
    <n v="3075"/>
    <n v="1383.7499999999998"/>
  </r>
  <r>
    <x v="2"/>
    <n v="1185732"/>
    <x v="166"/>
    <x v="1"/>
    <s v="Illinois"/>
    <s v="Chicago"/>
    <s v="Outlet"/>
    <x v="1"/>
    <n v="60"/>
    <n v="125"/>
    <n v="7500"/>
    <n v="4875"/>
  </r>
  <r>
    <x v="2"/>
    <n v="1185732"/>
    <x v="166"/>
    <x v="1"/>
    <s v="Nebraska"/>
    <s v="Omaha"/>
    <s v="Outlet"/>
    <x v="3"/>
    <n v="35"/>
    <n v="100"/>
    <n v="3500"/>
    <n v="2275"/>
  </r>
  <r>
    <x v="2"/>
    <n v="1185732"/>
    <x v="166"/>
    <x v="1"/>
    <s v="Illinois"/>
    <s v="Chicago"/>
    <s v="Online"/>
    <x v="1"/>
    <n v="56"/>
    <n v="38"/>
    <n v="2128"/>
    <n v="1127.8400000000001"/>
  </r>
  <r>
    <x v="2"/>
    <n v="1185732"/>
    <x v="166"/>
    <x v="1"/>
    <s v="Nebraska"/>
    <s v="Omaha"/>
    <s v="Online"/>
    <x v="3"/>
    <n v="32"/>
    <n v="30"/>
    <n v="960"/>
    <n v="499.20000000000005"/>
  </r>
  <r>
    <x v="5"/>
    <n v="1128299"/>
    <x v="167"/>
    <x v="3"/>
    <s v="Florida"/>
    <s v="Orlando"/>
    <s v="In-store"/>
    <x v="1"/>
    <n v="95"/>
    <n v="450"/>
    <n v="42750"/>
    <n v="34200"/>
  </r>
  <r>
    <x v="5"/>
    <n v="1128299"/>
    <x v="167"/>
    <x v="3"/>
    <s v="Florida"/>
    <s v="Orlando"/>
    <s v="In-store"/>
    <x v="0"/>
    <n v="70"/>
    <n v="700"/>
    <n v="49000"/>
    <n v="36750"/>
  </r>
  <r>
    <x v="5"/>
    <n v="1128299"/>
    <x v="167"/>
    <x v="3"/>
    <s v="Florida"/>
    <s v="Orlando"/>
    <s v="In-store"/>
    <x v="3"/>
    <n v="85"/>
    <n v="700"/>
    <n v="59500"/>
    <n v="41650"/>
  </r>
  <r>
    <x v="5"/>
    <n v="1128299"/>
    <x v="167"/>
    <x v="3"/>
    <s v="Florida"/>
    <s v="Orlando"/>
    <s v="In-store"/>
    <x v="5"/>
    <n v="85"/>
    <n v="575"/>
    <n v="48875"/>
    <n v="34212.5"/>
  </r>
  <r>
    <x v="3"/>
    <n v="1185732"/>
    <x v="167"/>
    <x v="1"/>
    <s v="Michigan"/>
    <s v="Detroit"/>
    <s v="In-store"/>
    <x v="3"/>
    <n v="45"/>
    <n v="550"/>
    <n v="24750"/>
    <n v="17325"/>
  </r>
  <r>
    <x v="5"/>
    <n v="1128299"/>
    <x v="167"/>
    <x v="3"/>
    <s v="Florida"/>
    <s v="Orlando"/>
    <s v="Outlet"/>
    <x v="4"/>
    <n v="64.999999999999986"/>
    <n v="825"/>
    <n v="53624.999999999985"/>
    <n v="37537.499999999985"/>
  </r>
  <r>
    <x v="3"/>
    <n v="1185732"/>
    <x v="167"/>
    <x v="1"/>
    <s v="Michigan"/>
    <s v="Detroit"/>
    <s v="In-store"/>
    <x v="5"/>
    <n v="45"/>
    <n v="525"/>
    <n v="23625"/>
    <n v="15356.25"/>
  </r>
  <r>
    <x v="0"/>
    <n v="1128299"/>
    <x v="167"/>
    <x v="2"/>
    <s v="Louisiana"/>
    <s v="New Orleans"/>
    <s v="Online"/>
    <x v="2"/>
    <n v="110.00000000000001"/>
    <n v="750"/>
    <n v="82500.000000000015"/>
    <n v="53625.000000000015"/>
  </r>
  <r>
    <x v="2"/>
    <n v="1185732"/>
    <x v="167"/>
    <x v="1"/>
    <s v="Nebraska"/>
    <s v="Omaha"/>
    <s v="Outlet"/>
    <x v="5"/>
    <n v="35"/>
    <n v="25"/>
    <n v="875"/>
    <n v="525"/>
  </r>
  <r>
    <x v="3"/>
    <n v="1185732"/>
    <x v="167"/>
    <x v="1"/>
    <s v="Michigan"/>
    <s v="Detroit"/>
    <s v="In-store"/>
    <x v="0"/>
    <n v="50"/>
    <n v="575"/>
    <n v="28750"/>
    <n v="17250"/>
  </r>
  <r>
    <x v="3"/>
    <n v="1185732"/>
    <x v="167"/>
    <x v="1"/>
    <s v="Michigan"/>
    <s v="Detroit"/>
    <s v="In-store"/>
    <x v="1"/>
    <n v="60"/>
    <n v="525"/>
    <n v="31500"/>
    <n v="18900"/>
  </r>
  <r>
    <x v="0"/>
    <n v="1128299"/>
    <x v="167"/>
    <x v="2"/>
    <s v="Louisiana"/>
    <s v="New Orleans"/>
    <s v="Online"/>
    <x v="4"/>
    <n v="60"/>
    <n v="825"/>
    <n v="49500"/>
    <n v="29700"/>
  </r>
  <r>
    <x v="0"/>
    <n v="1128299"/>
    <x v="167"/>
    <x v="2"/>
    <s v="Louisiana"/>
    <s v="New Orleans"/>
    <s v="Online"/>
    <x v="0"/>
    <n v="70"/>
    <n v="700"/>
    <n v="49000"/>
    <n v="29400"/>
  </r>
  <r>
    <x v="0"/>
    <n v="1128299"/>
    <x v="167"/>
    <x v="2"/>
    <s v="Louisiana"/>
    <s v="New Orleans"/>
    <s v="Online"/>
    <x v="3"/>
    <n v="85"/>
    <n v="700"/>
    <n v="59500"/>
    <n v="35700"/>
  </r>
  <r>
    <x v="0"/>
    <n v="1128299"/>
    <x v="167"/>
    <x v="2"/>
    <s v="Louisiana"/>
    <s v="New Orleans"/>
    <s v="Online"/>
    <x v="5"/>
    <n v="85"/>
    <n v="575"/>
    <n v="48875"/>
    <n v="29325"/>
  </r>
  <r>
    <x v="0"/>
    <n v="1185732"/>
    <x v="167"/>
    <x v="4"/>
    <s v="West Virginia"/>
    <s v="Charleston"/>
    <s v="In-store"/>
    <x v="4"/>
    <n v="45"/>
    <n v="600"/>
    <n v="27000"/>
    <n v="16200"/>
  </r>
  <r>
    <x v="0"/>
    <n v="1185732"/>
    <x v="167"/>
    <x v="4"/>
    <s v="West Virginia"/>
    <s v="Charleston"/>
    <s v="In-store"/>
    <x v="0"/>
    <n v="40.000000000000007"/>
    <n v="425"/>
    <n v="17000.000000000004"/>
    <n v="10200.000000000002"/>
  </r>
  <r>
    <x v="0"/>
    <n v="1185732"/>
    <x v="167"/>
    <x v="4"/>
    <s v="West Virginia"/>
    <s v="Charleston"/>
    <s v="In-store"/>
    <x v="3"/>
    <n v="35"/>
    <n v="300"/>
    <n v="10500"/>
    <n v="6300"/>
  </r>
  <r>
    <x v="0"/>
    <n v="1185732"/>
    <x v="167"/>
    <x v="4"/>
    <s v="West Virginia"/>
    <s v="Charleston"/>
    <s v="In-store"/>
    <x v="5"/>
    <n v="35"/>
    <n v="275"/>
    <n v="9625"/>
    <n v="5775"/>
  </r>
  <r>
    <x v="0"/>
    <n v="1185732"/>
    <x v="167"/>
    <x v="4"/>
    <s v="West Virginia"/>
    <s v="Charleston"/>
    <s v="In-store"/>
    <x v="1"/>
    <n v="45"/>
    <n v="275"/>
    <n v="12375"/>
    <n v="7425"/>
  </r>
  <r>
    <x v="0"/>
    <n v="1185732"/>
    <x v="167"/>
    <x v="4"/>
    <s v="West Virginia"/>
    <s v="Charleston"/>
    <s v="In-store"/>
    <x v="2"/>
    <n v="65.000000000000014"/>
    <n v="425"/>
    <n v="27625.000000000007"/>
    <n v="16575.000000000004"/>
  </r>
  <r>
    <x v="5"/>
    <n v="1128299"/>
    <x v="167"/>
    <x v="3"/>
    <s v="Florida"/>
    <s v="Orlando"/>
    <s v="In-store"/>
    <x v="2"/>
    <n v="110.00000000000001"/>
    <n v="750"/>
    <n v="82500.000000000015"/>
    <n v="45375.000000000007"/>
  </r>
  <r>
    <x v="0"/>
    <n v="1128299"/>
    <x v="167"/>
    <x v="2"/>
    <s v="Louisiana"/>
    <s v="New Orleans"/>
    <s v="Online"/>
    <x v="1"/>
    <n v="95"/>
    <n v="450"/>
    <n v="42750"/>
    <n v="23512.5"/>
  </r>
  <r>
    <x v="2"/>
    <n v="1185732"/>
    <x v="167"/>
    <x v="1"/>
    <s v="Illinois"/>
    <s v="Chicago"/>
    <s v="Outlet"/>
    <x v="2"/>
    <n v="50"/>
    <n v="225"/>
    <n v="11250"/>
    <n v="5625"/>
  </r>
  <r>
    <x v="3"/>
    <n v="1185732"/>
    <x v="167"/>
    <x v="1"/>
    <s v="Michigan"/>
    <s v="Detroit"/>
    <s v="In-store"/>
    <x v="4"/>
    <n v="54.999999999999993"/>
    <n v="825"/>
    <n v="45374.999999999993"/>
    <n v="22687.499999999996"/>
  </r>
  <r>
    <x v="3"/>
    <n v="1185732"/>
    <x v="167"/>
    <x v="1"/>
    <s v="Michigan"/>
    <s v="Detroit"/>
    <s v="In-store"/>
    <x v="2"/>
    <n v="65"/>
    <n v="675"/>
    <n v="43875"/>
    <n v="19743.749999999996"/>
  </r>
  <r>
    <x v="5"/>
    <n v="1128299"/>
    <x v="167"/>
    <x v="3"/>
    <s v="Florida"/>
    <s v="Orlando"/>
    <s v="Outlet"/>
    <x v="1"/>
    <n v="71"/>
    <n v="153"/>
    <n v="10863"/>
    <n v="8473.14"/>
  </r>
  <r>
    <x v="5"/>
    <n v="1128299"/>
    <x v="167"/>
    <x v="3"/>
    <s v="Florida"/>
    <s v="Orlando"/>
    <s v="Outlet"/>
    <x v="0"/>
    <n v="53"/>
    <n v="224"/>
    <n v="11872"/>
    <n v="8429.1200000000008"/>
  </r>
  <r>
    <x v="5"/>
    <n v="1128299"/>
    <x v="167"/>
    <x v="3"/>
    <s v="Florida"/>
    <s v="Orlando"/>
    <s v="Online"/>
    <x v="1"/>
    <n v="89"/>
    <n v="126"/>
    <n v="11214"/>
    <n v="7625.52"/>
  </r>
  <r>
    <x v="5"/>
    <n v="1128299"/>
    <x v="167"/>
    <x v="3"/>
    <s v="Florida"/>
    <s v="Orlando"/>
    <s v="Outlet"/>
    <x v="4"/>
    <n v="50"/>
    <n v="272"/>
    <n v="13600"/>
    <n v="9248"/>
  </r>
  <r>
    <x v="5"/>
    <n v="1128299"/>
    <x v="167"/>
    <x v="3"/>
    <s v="Florida"/>
    <s v="Orlando"/>
    <s v="Outlet"/>
    <x v="3"/>
    <n v="60"/>
    <n v="238"/>
    <n v="14280"/>
    <n v="9567.6"/>
  </r>
  <r>
    <x v="5"/>
    <n v="1128299"/>
    <x v="167"/>
    <x v="3"/>
    <s v="Florida"/>
    <s v="Orlando"/>
    <s v="Online"/>
    <x v="0"/>
    <n v="64"/>
    <n v="203"/>
    <n v="12992"/>
    <n v="8444.7999999999993"/>
  </r>
  <r>
    <x v="5"/>
    <n v="1128299"/>
    <x v="167"/>
    <x v="3"/>
    <s v="Florida"/>
    <s v="Orlando"/>
    <s v="Outlet"/>
    <x v="5"/>
    <n v="66"/>
    <n v="196"/>
    <n v="12936"/>
    <n v="8149.68"/>
  </r>
  <r>
    <x v="0"/>
    <n v="1128299"/>
    <x v="167"/>
    <x v="2"/>
    <s v="Louisiana"/>
    <s v="New Orleans"/>
    <s v="Outlet"/>
    <x v="2"/>
    <n v="80"/>
    <n v="248"/>
    <n v="19840"/>
    <n v="11705.6"/>
  </r>
  <r>
    <x v="5"/>
    <n v="1128299"/>
    <x v="167"/>
    <x v="3"/>
    <s v="Florida"/>
    <s v="Orlando"/>
    <s v="Online"/>
    <x v="5"/>
    <n v="77"/>
    <n v="155"/>
    <n v="11935"/>
    <n v="6922.3"/>
  </r>
  <r>
    <x v="5"/>
    <n v="1128299"/>
    <x v="167"/>
    <x v="3"/>
    <s v="Florida"/>
    <s v="Orlando"/>
    <s v="Online"/>
    <x v="3"/>
    <n v="80"/>
    <n v="210"/>
    <n v="16800"/>
    <n v="9576"/>
  </r>
  <r>
    <x v="0"/>
    <n v="1128299"/>
    <x v="167"/>
    <x v="2"/>
    <s v="Louisiana"/>
    <s v="New Orleans"/>
    <s v="Outlet"/>
    <x v="3"/>
    <n v="55"/>
    <n v="210"/>
    <n v="11550"/>
    <n v="6468.0000000000009"/>
  </r>
  <r>
    <x v="3"/>
    <n v="1185732"/>
    <x v="167"/>
    <x v="1"/>
    <s v="Michigan"/>
    <s v="Detroit"/>
    <s v="Online"/>
    <x v="3"/>
    <n v="41"/>
    <n v="138"/>
    <n v="5658"/>
    <n v="3168.48"/>
  </r>
  <r>
    <x v="0"/>
    <n v="1128299"/>
    <x v="167"/>
    <x v="2"/>
    <s v="Louisiana"/>
    <s v="New Orleans"/>
    <s v="Outlet"/>
    <x v="0"/>
    <n v="55"/>
    <n v="224"/>
    <n v="12320"/>
    <n v="6776.0000000000009"/>
  </r>
  <r>
    <x v="5"/>
    <n v="1128299"/>
    <x v="167"/>
    <x v="3"/>
    <s v="Florida"/>
    <s v="Orlando"/>
    <s v="Online"/>
    <x v="4"/>
    <n v="61"/>
    <n v="223"/>
    <n v="13603"/>
    <n v="7481.6500000000005"/>
  </r>
  <r>
    <x v="0"/>
    <n v="1128299"/>
    <x v="167"/>
    <x v="2"/>
    <s v="Louisiana"/>
    <s v="New Orleans"/>
    <s v="Outlet"/>
    <x v="4"/>
    <n v="47"/>
    <n v="256"/>
    <n v="12032"/>
    <n v="6376.96"/>
  </r>
  <r>
    <x v="0"/>
    <n v="1128299"/>
    <x v="167"/>
    <x v="2"/>
    <s v="Louisiana"/>
    <s v="New Orleans"/>
    <s v="Outlet"/>
    <x v="5"/>
    <n v="59"/>
    <n v="184"/>
    <n v="10856"/>
    <n v="5753.68"/>
  </r>
  <r>
    <x v="5"/>
    <n v="1128299"/>
    <x v="167"/>
    <x v="3"/>
    <s v="Florida"/>
    <s v="Orlando"/>
    <s v="Outlet"/>
    <x v="2"/>
    <n v="74"/>
    <n v="248"/>
    <n v="18352"/>
    <n v="9726.56"/>
  </r>
  <r>
    <x v="0"/>
    <n v="1128299"/>
    <x v="167"/>
    <x v="2"/>
    <s v="Louisiana"/>
    <s v="New Orleans"/>
    <s v="Outlet"/>
    <x v="1"/>
    <n v="70"/>
    <n v="153"/>
    <n v="10710"/>
    <n v="5676.2999999999993"/>
  </r>
  <r>
    <x v="3"/>
    <n v="1185732"/>
    <x v="167"/>
    <x v="1"/>
    <s v="Michigan"/>
    <s v="Detroit"/>
    <s v="Online"/>
    <x v="5"/>
    <n v="43"/>
    <n v="158"/>
    <n v="6794"/>
    <n v="3532.88"/>
  </r>
  <r>
    <x v="0"/>
    <n v="1128299"/>
    <x v="167"/>
    <x v="2"/>
    <s v="Louisiana"/>
    <s v="New Orleans"/>
    <s v="Online"/>
    <x v="2"/>
    <n v="100"/>
    <n v="195"/>
    <n v="19500"/>
    <n v="10140"/>
  </r>
  <r>
    <x v="0"/>
    <n v="1185732"/>
    <x v="167"/>
    <x v="4"/>
    <s v="West Virginia"/>
    <s v="Charleston"/>
    <s v="Online"/>
    <x v="0"/>
    <n v="37"/>
    <n v="119"/>
    <n v="4403"/>
    <n v="2201.5"/>
  </r>
  <r>
    <x v="0"/>
    <n v="1128299"/>
    <x v="167"/>
    <x v="2"/>
    <s v="Louisiana"/>
    <s v="New Orleans"/>
    <s v="Online"/>
    <x v="4"/>
    <n v="58"/>
    <n v="248"/>
    <n v="14384"/>
    <n v="7048.16"/>
  </r>
  <r>
    <x v="0"/>
    <n v="1128299"/>
    <x v="167"/>
    <x v="2"/>
    <s v="Louisiana"/>
    <s v="New Orleans"/>
    <s v="Online"/>
    <x v="0"/>
    <n v="65"/>
    <n v="210"/>
    <n v="13650"/>
    <n v="6552"/>
  </r>
  <r>
    <x v="0"/>
    <n v="1185732"/>
    <x v="167"/>
    <x v="4"/>
    <s v="West Virginia"/>
    <s v="Charleston"/>
    <s v="Online"/>
    <x v="4"/>
    <n v="43"/>
    <n v="150"/>
    <n v="6450"/>
    <n v="3096"/>
  </r>
  <r>
    <x v="0"/>
    <n v="1185732"/>
    <x v="167"/>
    <x v="4"/>
    <s v="West Virginia"/>
    <s v="Charleston"/>
    <s v="Online"/>
    <x v="5"/>
    <n v="33"/>
    <n v="69"/>
    <n v="2277"/>
    <n v="1092.96"/>
  </r>
  <r>
    <x v="0"/>
    <n v="1185732"/>
    <x v="167"/>
    <x v="4"/>
    <s v="West Virginia"/>
    <s v="Charleston"/>
    <s v="Online"/>
    <x v="2"/>
    <n v="59"/>
    <n v="115"/>
    <n v="6785"/>
    <n v="3256.7999999999997"/>
  </r>
  <r>
    <x v="2"/>
    <n v="1185732"/>
    <x v="167"/>
    <x v="1"/>
    <s v="Nebraska"/>
    <s v="Omaha"/>
    <s v="Online"/>
    <x v="5"/>
    <n v="34"/>
    <n v="7"/>
    <n v="238"/>
    <n v="111.86"/>
  </r>
  <r>
    <x v="3"/>
    <n v="1185732"/>
    <x v="167"/>
    <x v="1"/>
    <s v="Michigan"/>
    <s v="Detroit"/>
    <s v="Online"/>
    <x v="0"/>
    <n v="46"/>
    <n v="167"/>
    <n v="7682"/>
    <n v="3533.7199999999993"/>
  </r>
  <r>
    <x v="0"/>
    <n v="1185732"/>
    <x v="167"/>
    <x v="4"/>
    <s v="West Virginia"/>
    <s v="Charleston"/>
    <s v="Online"/>
    <x v="3"/>
    <n v="33"/>
    <n v="81"/>
    <n v="2673"/>
    <n v="1229.58"/>
  </r>
  <r>
    <x v="3"/>
    <n v="1185732"/>
    <x v="167"/>
    <x v="1"/>
    <s v="Michigan"/>
    <s v="Detroit"/>
    <s v="Online"/>
    <x v="1"/>
    <n v="57"/>
    <n v="152"/>
    <n v="8664"/>
    <n v="3898.8"/>
  </r>
  <r>
    <x v="0"/>
    <n v="1128299"/>
    <x v="167"/>
    <x v="2"/>
    <s v="Louisiana"/>
    <s v="New Orleans"/>
    <s v="Online"/>
    <x v="3"/>
    <n v="83"/>
    <n v="203"/>
    <n v="16849"/>
    <n v="7582.0500000000011"/>
  </r>
  <r>
    <x v="0"/>
    <n v="1128299"/>
    <x v="167"/>
    <x v="2"/>
    <s v="Louisiana"/>
    <s v="New Orleans"/>
    <s v="Online"/>
    <x v="5"/>
    <n v="82"/>
    <n v="161"/>
    <n v="13202"/>
    <n v="5940.9000000000005"/>
  </r>
  <r>
    <x v="0"/>
    <n v="1185732"/>
    <x v="167"/>
    <x v="4"/>
    <s v="West Virginia"/>
    <s v="Charleston"/>
    <s v="Online"/>
    <x v="1"/>
    <n v="41"/>
    <n v="74"/>
    <n v="3034"/>
    <n v="1365.3"/>
  </r>
  <r>
    <x v="5"/>
    <n v="1128299"/>
    <x v="167"/>
    <x v="3"/>
    <s v="Florida"/>
    <s v="Orlando"/>
    <s v="Online"/>
    <x v="2"/>
    <n v="103"/>
    <n v="218"/>
    <n v="22454"/>
    <n v="9879.7599999999984"/>
  </r>
  <r>
    <x v="0"/>
    <n v="1128299"/>
    <x v="167"/>
    <x v="2"/>
    <s v="Louisiana"/>
    <s v="New Orleans"/>
    <s v="Online"/>
    <x v="1"/>
    <n v="92"/>
    <n v="117"/>
    <n v="10764"/>
    <n v="4628.5199999999995"/>
  </r>
  <r>
    <x v="3"/>
    <n v="1185732"/>
    <x v="167"/>
    <x v="1"/>
    <s v="Michigan"/>
    <s v="Detroit"/>
    <s v="Online"/>
    <x v="4"/>
    <n v="52"/>
    <n v="206"/>
    <n v="10712"/>
    <n v="4070.5600000000004"/>
  </r>
  <r>
    <x v="2"/>
    <n v="1185732"/>
    <x v="167"/>
    <x v="1"/>
    <s v="Illinois"/>
    <s v="Chicago"/>
    <s v="Online"/>
    <x v="2"/>
    <n v="45"/>
    <n v="63"/>
    <n v="2835"/>
    <n v="1048.95"/>
  </r>
  <r>
    <x v="3"/>
    <n v="1185732"/>
    <x v="167"/>
    <x v="1"/>
    <s v="Michigan"/>
    <s v="Detroit"/>
    <s v="Online"/>
    <x v="2"/>
    <n v="60"/>
    <n v="169"/>
    <n v="10140"/>
    <n v="3549"/>
  </r>
  <r>
    <x v="2"/>
    <n v="1185732"/>
    <x v="168"/>
    <x v="1"/>
    <s v="Missouri"/>
    <s v="St. Louis"/>
    <s v="In-store"/>
    <x v="0"/>
    <n v="30.000000000000011"/>
    <n v="350"/>
    <n v="10500.000000000004"/>
    <n v="6825.0000000000027"/>
  </r>
  <r>
    <x v="2"/>
    <n v="1185732"/>
    <x v="168"/>
    <x v="1"/>
    <s v="Missouri"/>
    <s v="St. Louis"/>
    <s v="In-store"/>
    <x v="3"/>
    <n v="25.000000000000007"/>
    <n v="375"/>
    <n v="9375.0000000000018"/>
    <n v="6093.7500000000018"/>
  </r>
  <r>
    <x v="2"/>
    <n v="1185732"/>
    <x v="168"/>
    <x v="1"/>
    <s v="Nebraska"/>
    <s v="Omaha"/>
    <s v="Outlet"/>
    <x v="1"/>
    <n v="49.999999999999993"/>
    <n v="50"/>
    <n v="2499.9999999999995"/>
    <n v="1624.9999999999998"/>
  </r>
  <r>
    <x v="2"/>
    <n v="1185732"/>
    <x v="168"/>
    <x v="1"/>
    <s v="Missouri"/>
    <s v="St. Louis"/>
    <s v="In-store"/>
    <x v="1"/>
    <n v="40"/>
    <n v="350"/>
    <n v="14000"/>
    <n v="9100"/>
  </r>
  <r>
    <x v="2"/>
    <n v="1185732"/>
    <x v="168"/>
    <x v="2"/>
    <s v="Mississippi"/>
    <s v="Jackson"/>
    <s v="Online"/>
    <x v="0"/>
    <n v="40"/>
    <n v="500"/>
    <n v="20000"/>
    <n v="13000"/>
  </r>
  <r>
    <x v="2"/>
    <n v="1185732"/>
    <x v="168"/>
    <x v="2"/>
    <s v="Mississippi"/>
    <s v="Jackson"/>
    <s v="Online"/>
    <x v="1"/>
    <n v="60"/>
    <n v="450"/>
    <n v="27000"/>
    <n v="17550"/>
  </r>
  <r>
    <x v="2"/>
    <n v="1185732"/>
    <x v="168"/>
    <x v="1"/>
    <s v="Missouri"/>
    <s v="St. Louis"/>
    <s v="In-store"/>
    <x v="5"/>
    <n v="25.000000000000007"/>
    <n v="350"/>
    <n v="8750.0000000000018"/>
    <n v="5250.0000000000018"/>
  </r>
  <r>
    <x v="2"/>
    <n v="1185732"/>
    <x v="168"/>
    <x v="1"/>
    <s v="Illinois"/>
    <s v="Chicago"/>
    <s v="Outlet"/>
    <x v="4"/>
    <n v="50"/>
    <n v="450"/>
    <n v="22500"/>
    <n v="13500"/>
  </r>
  <r>
    <x v="2"/>
    <n v="1185732"/>
    <x v="168"/>
    <x v="1"/>
    <s v="Missouri"/>
    <s v="St. Louis"/>
    <s v="In-store"/>
    <x v="4"/>
    <n v="35"/>
    <n v="600"/>
    <n v="21000"/>
    <n v="12600"/>
  </r>
  <r>
    <x v="2"/>
    <n v="1185732"/>
    <x v="168"/>
    <x v="2"/>
    <s v="Mississippi"/>
    <s v="Jackson"/>
    <s v="Online"/>
    <x v="4"/>
    <n v="44.999999999999993"/>
    <n v="750"/>
    <n v="33749.999999999993"/>
    <n v="20249.999999999996"/>
  </r>
  <r>
    <x v="2"/>
    <n v="1185732"/>
    <x v="168"/>
    <x v="2"/>
    <s v="Mississippi"/>
    <s v="Jackson"/>
    <s v="Online"/>
    <x v="3"/>
    <n v="45"/>
    <n v="475"/>
    <n v="21375"/>
    <n v="12825"/>
  </r>
  <r>
    <x v="2"/>
    <n v="1185732"/>
    <x v="168"/>
    <x v="2"/>
    <s v="Mississippi"/>
    <s v="Jackson"/>
    <s v="Online"/>
    <x v="5"/>
    <n v="45"/>
    <n v="450"/>
    <n v="20250"/>
    <n v="12150"/>
  </r>
  <r>
    <x v="2"/>
    <n v="1185732"/>
    <x v="168"/>
    <x v="1"/>
    <s v="Missouri"/>
    <s v="St. Louis"/>
    <s v="In-store"/>
    <x v="2"/>
    <n v="45"/>
    <n v="525"/>
    <n v="23625"/>
    <n v="11812.5"/>
  </r>
  <r>
    <x v="2"/>
    <n v="1185732"/>
    <x v="168"/>
    <x v="2"/>
    <s v="Mississippi"/>
    <s v="Jackson"/>
    <s v="Online"/>
    <x v="2"/>
    <n v="65"/>
    <n v="625"/>
    <n v="40625"/>
    <n v="20312.5"/>
  </r>
  <r>
    <x v="2"/>
    <n v="1185732"/>
    <x v="168"/>
    <x v="2"/>
    <s v="Mississippi"/>
    <s v="Jackson"/>
    <s v="Outlet"/>
    <x v="1"/>
    <n v="47"/>
    <n v="135"/>
    <n v="6345"/>
    <n v="3933.9"/>
  </r>
  <r>
    <x v="2"/>
    <n v="1185732"/>
    <x v="168"/>
    <x v="2"/>
    <s v="Mississippi"/>
    <s v="Jackson"/>
    <s v="Outlet"/>
    <x v="0"/>
    <n v="29"/>
    <n v="150"/>
    <n v="4350"/>
    <n v="2653.5"/>
  </r>
  <r>
    <x v="2"/>
    <n v="1185732"/>
    <x v="168"/>
    <x v="2"/>
    <s v="Mississippi"/>
    <s v="Jackson"/>
    <s v="Outlet"/>
    <x v="5"/>
    <n v="34"/>
    <n v="149"/>
    <n v="5066"/>
    <n v="2887.62"/>
  </r>
  <r>
    <x v="2"/>
    <n v="1185732"/>
    <x v="168"/>
    <x v="2"/>
    <s v="Mississippi"/>
    <s v="Jackson"/>
    <s v="Outlet"/>
    <x v="4"/>
    <n v="31"/>
    <n v="263"/>
    <n v="8153"/>
    <n v="4565.68"/>
  </r>
  <r>
    <x v="2"/>
    <n v="1185732"/>
    <x v="168"/>
    <x v="1"/>
    <s v="Missouri"/>
    <s v="St. Louis"/>
    <s v="Online"/>
    <x v="1"/>
    <n v="38"/>
    <n v="102"/>
    <n v="3876"/>
    <n v="2131.8000000000002"/>
  </r>
  <r>
    <x v="2"/>
    <n v="1185732"/>
    <x v="168"/>
    <x v="2"/>
    <s v="Mississippi"/>
    <s v="Jackson"/>
    <s v="Online"/>
    <x v="1"/>
    <n v="57"/>
    <n v="135"/>
    <n v="7695"/>
    <n v="4232.25"/>
  </r>
  <r>
    <x v="2"/>
    <n v="1185732"/>
    <x v="168"/>
    <x v="1"/>
    <s v="Missouri"/>
    <s v="St. Louis"/>
    <s v="Online"/>
    <x v="0"/>
    <n v="27"/>
    <n v="91"/>
    <n v="2457"/>
    <n v="1326.7800000000002"/>
  </r>
  <r>
    <x v="2"/>
    <n v="1185732"/>
    <x v="168"/>
    <x v="1"/>
    <s v="Nebraska"/>
    <s v="Omaha"/>
    <s v="Online"/>
    <x v="1"/>
    <n v="46"/>
    <n v="13"/>
    <n v="598"/>
    <n v="322.92"/>
  </r>
  <r>
    <x v="2"/>
    <n v="1185732"/>
    <x v="168"/>
    <x v="2"/>
    <s v="Mississippi"/>
    <s v="Jackson"/>
    <s v="Outlet"/>
    <x v="3"/>
    <n v="33"/>
    <n v="157"/>
    <n v="5181"/>
    <n v="2797.74"/>
  </r>
  <r>
    <x v="2"/>
    <n v="1185732"/>
    <x v="168"/>
    <x v="2"/>
    <s v="Mississippi"/>
    <s v="Jackson"/>
    <s v="Online"/>
    <x v="0"/>
    <n v="37"/>
    <n v="125"/>
    <n v="4625"/>
    <n v="2451.25"/>
  </r>
  <r>
    <x v="2"/>
    <n v="1185732"/>
    <x v="168"/>
    <x v="1"/>
    <s v="Missouri"/>
    <s v="St. Louis"/>
    <s v="Online"/>
    <x v="3"/>
    <n v="23"/>
    <n v="113"/>
    <n v="2599"/>
    <n v="1325.49"/>
  </r>
  <r>
    <x v="2"/>
    <n v="1185732"/>
    <x v="168"/>
    <x v="1"/>
    <s v="Missouri"/>
    <s v="St. Louis"/>
    <s v="Online"/>
    <x v="5"/>
    <n v="23"/>
    <n v="91"/>
    <n v="2093"/>
    <n v="1046.5"/>
  </r>
  <r>
    <x v="2"/>
    <n v="1185732"/>
    <x v="168"/>
    <x v="2"/>
    <s v="Mississippi"/>
    <s v="Jackson"/>
    <s v="Online"/>
    <x v="5"/>
    <n v="43"/>
    <n v="117"/>
    <n v="5031"/>
    <n v="2515.5"/>
  </r>
  <r>
    <x v="2"/>
    <n v="1185732"/>
    <x v="168"/>
    <x v="1"/>
    <s v="Illinois"/>
    <s v="Chicago"/>
    <s v="Online"/>
    <x v="4"/>
    <n v="48"/>
    <n v="122"/>
    <n v="5856"/>
    <n v="2810.88"/>
  </r>
  <r>
    <x v="2"/>
    <n v="1185732"/>
    <x v="168"/>
    <x v="2"/>
    <s v="Mississippi"/>
    <s v="Jackson"/>
    <s v="Online"/>
    <x v="4"/>
    <n v="44"/>
    <n v="210"/>
    <n v="9240"/>
    <n v="4435.2"/>
  </r>
  <r>
    <x v="2"/>
    <n v="1185732"/>
    <x v="168"/>
    <x v="2"/>
    <s v="Mississippi"/>
    <s v="Jackson"/>
    <s v="Outlet"/>
    <x v="2"/>
    <n v="51"/>
    <n v="219"/>
    <n v="11169"/>
    <n v="5249.4299999999994"/>
  </r>
  <r>
    <x v="2"/>
    <n v="1185732"/>
    <x v="168"/>
    <x v="1"/>
    <s v="Missouri"/>
    <s v="St. Louis"/>
    <s v="Online"/>
    <x v="4"/>
    <n v="32"/>
    <n v="168"/>
    <n v="5376"/>
    <n v="2472.96"/>
  </r>
  <r>
    <x v="2"/>
    <n v="1185732"/>
    <x v="168"/>
    <x v="2"/>
    <s v="Mississippi"/>
    <s v="Jackson"/>
    <s v="Online"/>
    <x v="3"/>
    <n v="41"/>
    <n v="143"/>
    <n v="5863"/>
    <n v="2638.35"/>
  </r>
  <r>
    <x v="2"/>
    <n v="1185732"/>
    <x v="168"/>
    <x v="2"/>
    <s v="Mississippi"/>
    <s v="Jackson"/>
    <s v="Online"/>
    <x v="2"/>
    <n v="60"/>
    <n v="188"/>
    <n v="11280"/>
    <n v="4173.6000000000004"/>
  </r>
  <r>
    <x v="2"/>
    <n v="1185732"/>
    <x v="168"/>
    <x v="1"/>
    <s v="Missouri"/>
    <s v="St. Louis"/>
    <s v="Online"/>
    <x v="2"/>
    <n v="42"/>
    <n v="142"/>
    <n v="5964"/>
    <n v="2087.4"/>
  </r>
  <r>
    <x v="4"/>
    <n v="1185732"/>
    <x v="169"/>
    <x v="4"/>
    <s v="New Hampshire"/>
    <s v="Manchester"/>
    <s v="In-store"/>
    <x v="3"/>
    <n v="55.000000000000007"/>
    <n v="350"/>
    <n v="19250.000000000004"/>
    <n v="13475.000000000004"/>
  </r>
  <r>
    <x v="4"/>
    <n v="1185732"/>
    <x v="169"/>
    <x v="4"/>
    <s v="New Hampshire"/>
    <s v="Manchester"/>
    <s v="In-store"/>
    <x v="5"/>
    <n v="55.000000000000007"/>
    <n v="325"/>
    <n v="17875.000000000004"/>
    <n v="12512.500000000004"/>
  </r>
  <r>
    <x v="4"/>
    <n v="1185732"/>
    <x v="169"/>
    <x v="4"/>
    <s v="New Hampshire"/>
    <s v="Manchester"/>
    <s v="In-store"/>
    <x v="1"/>
    <n v="65"/>
    <n v="325"/>
    <n v="21125"/>
    <n v="14787.5"/>
  </r>
  <r>
    <x v="2"/>
    <n v="1185732"/>
    <x v="169"/>
    <x v="1"/>
    <s v="Illinois"/>
    <s v="Chicago"/>
    <s v="Outlet"/>
    <x v="0"/>
    <n v="50"/>
    <n v="150"/>
    <n v="7500"/>
    <n v="4875"/>
  </r>
  <r>
    <x v="4"/>
    <n v="1185732"/>
    <x v="169"/>
    <x v="4"/>
    <s v="New Hampshire"/>
    <s v="Manchester"/>
    <s v="In-store"/>
    <x v="2"/>
    <n v="70"/>
    <n v="475"/>
    <n v="33250"/>
    <n v="21612.5"/>
  </r>
  <r>
    <x v="4"/>
    <n v="1185732"/>
    <x v="169"/>
    <x v="4"/>
    <s v="New Hampshire"/>
    <s v="Manchester"/>
    <s v="In-store"/>
    <x v="4"/>
    <n v="65"/>
    <n v="675"/>
    <n v="43875"/>
    <n v="26325"/>
  </r>
  <r>
    <x v="4"/>
    <n v="1185732"/>
    <x v="169"/>
    <x v="4"/>
    <s v="New Hampshire"/>
    <s v="Manchester"/>
    <s v="In-store"/>
    <x v="0"/>
    <n v="60.000000000000007"/>
    <n v="425"/>
    <n v="25500.000000000004"/>
    <n v="15300"/>
  </r>
  <r>
    <x v="2"/>
    <n v="1185732"/>
    <x v="169"/>
    <x v="1"/>
    <s v="Nebraska"/>
    <s v="Omaha"/>
    <s v="Outlet"/>
    <x v="2"/>
    <n v="54.999999999999993"/>
    <n v="150"/>
    <n v="8249.9999999999982"/>
    <n v="4124.9999999999991"/>
  </r>
  <r>
    <x v="4"/>
    <n v="1185732"/>
    <x v="169"/>
    <x v="4"/>
    <s v="New Hampshire"/>
    <s v="Manchester"/>
    <s v="Outlet"/>
    <x v="5"/>
    <n v="37"/>
    <n v="104"/>
    <n v="3848"/>
    <n v="2539.6800000000003"/>
  </r>
  <r>
    <x v="4"/>
    <n v="1185732"/>
    <x v="169"/>
    <x v="4"/>
    <s v="New Hampshire"/>
    <s v="Manchester"/>
    <s v="Outlet"/>
    <x v="3"/>
    <n v="43"/>
    <n v="109"/>
    <n v="4687"/>
    <n v="2999.6800000000003"/>
  </r>
  <r>
    <x v="4"/>
    <n v="1185732"/>
    <x v="169"/>
    <x v="4"/>
    <s v="New Hampshire"/>
    <s v="Manchester"/>
    <s v="Outlet"/>
    <x v="1"/>
    <n v="47"/>
    <n v="114"/>
    <n v="5358"/>
    <n v="3375.54"/>
  </r>
  <r>
    <x v="4"/>
    <n v="1185732"/>
    <x v="169"/>
    <x v="4"/>
    <s v="New Hampshire"/>
    <s v="Manchester"/>
    <s v="Online"/>
    <x v="5"/>
    <n v="52"/>
    <n v="91"/>
    <n v="4732"/>
    <n v="2744.5600000000004"/>
  </r>
  <r>
    <x v="4"/>
    <n v="1185732"/>
    <x v="169"/>
    <x v="4"/>
    <s v="New Hampshire"/>
    <s v="Manchester"/>
    <s v="Outlet"/>
    <x v="2"/>
    <n v="50"/>
    <n v="162"/>
    <n v="8100"/>
    <n v="4698"/>
  </r>
  <r>
    <x v="4"/>
    <n v="1185732"/>
    <x v="169"/>
    <x v="4"/>
    <s v="New Hampshire"/>
    <s v="Manchester"/>
    <s v="Online"/>
    <x v="1"/>
    <n v="60"/>
    <n v="94"/>
    <n v="5640"/>
    <n v="3214.8"/>
  </r>
  <r>
    <x v="4"/>
    <n v="1185732"/>
    <x v="169"/>
    <x v="4"/>
    <s v="New Hampshire"/>
    <s v="Manchester"/>
    <s v="Online"/>
    <x v="3"/>
    <n v="53"/>
    <n v="88"/>
    <n v="4664"/>
    <n v="2611.84"/>
  </r>
  <r>
    <x v="2"/>
    <n v="1185732"/>
    <x v="169"/>
    <x v="1"/>
    <s v="Illinois"/>
    <s v="Chicago"/>
    <s v="Online"/>
    <x v="0"/>
    <n v="48"/>
    <n v="44"/>
    <n v="2112"/>
    <n v="1140.48"/>
  </r>
  <r>
    <x v="4"/>
    <n v="1185732"/>
    <x v="169"/>
    <x v="4"/>
    <s v="New Hampshire"/>
    <s v="Manchester"/>
    <s v="Outlet"/>
    <x v="4"/>
    <n v="44"/>
    <n v="216"/>
    <n v="9504"/>
    <n v="5132.16"/>
  </r>
  <r>
    <x v="4"/>
    <n v="1185732"/>
    <x v="169"/>
    <x v="4"/>
    <s v="New Hampshire"/>
    <s v="Manchester"/>
    <s v="Online"/>
    <x v="2"/>
    <n v="66"/>
    <n v="138"/>
    <n v="9108"/>
    <n v="4827.2400000000007"/>
  </r>
  <r>
    <x v="4"/>
    <n v="1185732"/>
    <x v="169"/>
    <x v="4"/>
    <s v="New Hampshire"/>
    <s v="Manchester"/>
    <s v="Outlet"/>
    <x v="0"/>
    <n v="40"/>
    <n v="140"/>
    <n v="5600"/>
    <n v="2968"/>
  </r>
  <r>
    <x v="4"/>
    <n v="1185732"/>
    <x v="169"/>
    <x v="4"/>
    <s v="New Hampshire"/>
    <s v="Manchester"/>
    <s v="Online"/>
    <x v="0"/>
    <n v="56"/>
    <n v="123"/>
    <n v="6888"/>
    <n v="3375.12"/>
  </r>
  <r>
    <x v="4"/>
    <n v="1185732"/>
    <x v="169"/>
    <x v="4"/>
    <s v="New Hampshire"/>
    <s v="Manchester"/>
    <s v="Online"/>
    <x v="4"/>
    <n v="59"/>
    <n v="169"/>
    <n v="9971"/>
    <n v="4686.37"/>
  </r>
  <r>
    <x v="2"/>
    <n v="1185732"/>
    <x v="169"/>
    <x v="1"/>
    <s v="Nebraska"/>
    <s v="Omaha"/>
    <s v="Online"/>
    <x v="2"/>
    <n v="51"/>
    <n v="41"/>
    <n v="2091"/>
    <n v="794.57999999999993"/>
  </r>
  <r>
    <x v="2"/>
    <n v="1185732"/>
    <x v="170"/>
    <x v="1"/>
    <s v="Illinois"/>
    <s v="Chicago"/>
    <s v="Outlet"/>
    <x v="3"/>
    <n v="40"/>
    <n v="150"/>
    <n v="6000"/>
    <n v="3900"/>
  </r>
  <r>
    <x v="2"/>
    <n v="1185732"/>
    <x v="170"/>
    <x v="1"/>
    <s v="Nebraska"/>
    <s v="Omaha"/>
    <s v="Outlet"/>
    <x v="4"/>
    <n v="40"/>
    <n v="400"/>
    <n v="16000"/>
    <n v="9600"/>
  </r>
  <r>
    <x v="2"/>
    <n v="1185732"/>
    <x v="170"/>
    <x v="1"/>
    <s v="Illinois"/>
    <s v="Chicago"/>
    <s v="Online"/>
    <x v="3"/>
    <n v="36"/>
    <n v="42"/>
    <n v="1512"/>
    <n v="786.24"/>
  </r>
  <r>
    <x v="2"/>
    <n v="1185732"/>
    <x v="170"/>
    <x v="1"/>
    <s v="Nebraska"/>
    <s v="Omaha"/>
    <s v="Online"/>
    <x v="4"/>
    <n v="36"/>
    <n v="120"/>
    <n v="4320"/>
    <n v="2030.4"/>
  </r>
  <r>
    <x v="5"/>
    <n v="1197831"/>
    <x v="171"/>
    <x v="2"/>
    <s v="Arkansas"/>
    <s v="Little Rock"/>
    <s v="Online"/>
    <x v="1"/>
    <n v="54.999999999999993"/>
    <n v="375"/>
    <n v="20624.999999999996"/>
    <n v="13406.25"/>
  </r>
  <r>
    <x v="2"/>
    <n v="1185732"/>
    <x v="171"/>
    <x v="1"/>
    <s v="Nebraska"/>
    <s v="Omaha"/>
    <s v="Outlet"/>
    <x v="0"/>
    <n v="35.000000000000007"/>
    <n v="150"/>
    <n v="5250.0000000000009"/>
    <n v="3412.5000000000009"/>
  </r>
  <r>
    <x v="5"/>
    <n v="1197831"/>
    <x v="171"/>
    <x v="2"/>
    <s v="Arkansas"/>
    <s v="Little Rock"/>
    <s v="Online"/>
    <x v="0"/>
    <n v="35"/>
    <n v="425"/>
    <n v="14875"/>
    <n v="9668.75"/>
  </r>
  <r>
    <x v="0"/>
    <n v="1197831"/>
    <x v="171"/>
    <x v="2"/>
    <s v="Oklahoma"/>
    <s v="Oklahoma City"/>
    <s v="Online"/>
    <x v="0"/>
    <n v="35"/>
    <n v="350"/>
    <n v="12250"/>
    <n v="7962.5"/>
  </r>
  <r>
    <x v="0"/>
    <n v="1197831"/>
    <x v="171"/>
    <x v="2"/>
    <s v="Oklahoma"/>
    <s v="Oklahoma City"/>
    <s v="Online"/>
    <x v="1"/>
    <n v="54.999999999999993"/>
    <n v="300"/>
    <n v="16499.999999999996"/>
    <n v="10724.999999999998"/>
  </r>
  <r>
    <x v="2"/>
    <n v="1185732"/>
    <x v="171"/>
    <x v="1"/>
    <s v="Illinois"/>
    <s v="Chicago"/>
    <s v="Outlet"/>
    <x v="5"/>
    <n v="45"/>
    <n v="75"/>
    <n v="3375"/>
    <n v="2025"/>
  </r>
  <r>
    <x v="5"/>
    <n v="1197831"/>
    <x v="171"/>
    <x v="2"/>
    <s v="Arkansas"/>
    <s v="Little Rock"/>
    <s v="Online"/>
    <x v="4"/>
    <n v="40"/>
    <n v="675"/>
    <n v="27000"/>
    <n v="16200"/>
  </r>
  <r>
    <x v="5"/>
    <n v="1197831"/>
    <x v="171"/>
    <x v="2"/>
    <s v="Arkansas"/>
    <s v="Little Rock"/>
    <s v="Online"/>
    <x v="3"/>
    <n v="40"/>
    <n v="400"/>
    <n v="16000"/>
    <n v="9600"/>
  </r>
  <r>
    <x v="5"/>
    <n v="1197831"/>
    <x v="171"/>
    <x v="2"/>
    <s v="Arkansas"/>
    <s v="Little Rock"/>
    <s v="Online"/>
    <x v="5"/>
    <n v="40"/>
    <n v="375"/>
    <n v="15000"/>
    <n v="9000"/>
  </r>
  <r>
    <x v="5"/>
    <n v="1197831"/>
    <x v="171"/>
    <x v="2"/>
    <s v="Arkansas"/>
    <s v="Little Rock"/>
    <s v="Online"/>
    <x v="2"/>
    <n v="60"/>
    <n v="550"/>
    <n v="33000"/>
    <n v="19800"/>
  </r>
  <r>
    <x v="0"/>
    <n v="1197831"/>
    <x v="171"/>
    <x v="2"/>
    <s v="Oklahoma"/>
    <s v="Oklahoma City"/>
    <s v="Online"/>
    <x v="4"/>
    <n v="40"/>
    <n v="600"/>
    <n v="24000"/>
    <n v="14400"/>
  </r>
  <r>
    <x v="0"/>
    <n v="1197831"/>
    <x v="171"/>
    <x v="2"/>
    <s v="Oklahoma"/>
    <s v="Oklahoma City"/>
    <s v="Online"/>
    <x v="3"/>
    <n v="40"/>
    <n v="325"/>
    <n v="13000"/>
    <n v="7800"/>
  </r>
  <r>
    <x v="0"/>
    <n v="1197831"/>
    <x v="171"/>
    <x v="2"/>
    <s v="Oklahoma"/>
    <s v="Oklahoma City"/>
    <s v="Online"/>
    <x v="5"/>
    <n v="40"/>
    <n v="300"/>
    <n v="12000"/>
    <n v="7200"/>
  </r>
  <r>
    <x v="0"/>
    <n v="1197831"/>
    <x v="171"/>
    <x v="2"/>
    <s v="Oklahoma"/>
    <s v="Oklahoma City"/>
    <s v="Online"/>
    <x v="2"/>
    <n v="60"/>
    <n v="475"/>
    <n v="28500"/>
    <n v="17100"/>
  </r>
  <r>
    <x v="0"/>
    <n v="1197831"/>
    <x v="171"/>
    <x v="2"/>
    <s v="Oklahoma"/>
    <s v="Oklahoma City"/>
    <s v="Outlet"/>
    <x v="1"/>
    <n v="41"/>
    <n v="105"/>
    <n v="4305"/>
    <n v="2669.1"/>
  </r>
  <r>
    <x v="0"/>
    <n v="1197831"/>
    <x v="171"/>
    <x v="2"/>
    <s v="Oklahoma"/>
    <s v="Oklahoma City"/>
    <s v="Outlet"/>
    <x v="0"/>
    <n v="25"/>
    <n v="123"/>
    <n v="3075"/>
    <n v="1875.7500000000002"/>
  </r>
  <r>
    <x v="5"/>
    <n v="1197831"/>
    <x v="171"/>
    <x v="2"/>
    <s v="Arkansas"/>
    <s v="Little Rock"/>
    <s v="Outlet"/>
    <x v="0"/>
    <n v="25"/>
    <n v="149"/>
    <n v="3725"/>
    <n v="2272.25"/>
  </r>
  <r>
    <x v="5"/>
    <n v="1197831"/>
    <x v="171"/>
    <x v="2"/>
    <s v="Arkansas"/>
    <s v="Little Rock"/>
    <s v="Outlet"/>
    <x v="1"/>
    <n v="37"/>
    <n v="116"/>
    <n v="4292"/>
    <n v="2618.12"/>
  </r>
  <r>
    <x v="0"/>
    <n v="1197831"/>
    <x v="171"/>
    <x v="2"/>
    <s v="Oklahoma"/>
    <s v="Oklahoma City"/>
    <s v="Outlet"/>
    <x v="2"/>
    <n v="40"/>
    <n v="143"/>
    <n v="5720"/>
    <n v="3317.6"/>
  </r>
  <r>
    <x v="5"/>
    <n v="1197831"/>
    <x v="171"/>
    <x v="2"/>
    <s v="Arkansas"/>
    <s v="Little Rock"/>
    <s v="Outlet"/>
    <x v="2"/>
    <n v="48"/>
    <n v="165"/>
    <n v="7920"/>
    <n v="4514.3999999999996"/>
  </r>
  <r>
    <x v="0"/>
    <n v="1197831"/>
    <x v="171"/>
    <x v="2"/>
    <s v="Oklahoma"/>
    <s v="Oklahoma City"/>
    <s v="Outlet"/>
    <x v="3"/>
    <n v="27"/>
    <n v="107"/>
    <n v="2889"/>
    <n v="1646.7299999999998"/>
  </r>
  <r>
    <x v="5"/>
    <n v="1197831"/>
    <x v="171"/>
    <x v="2"/>
    <s v="Arkansas"/>
    <s v="Little Rock"/>
    <s v="Outlet"/>
    <x v="4"/>
    <n v="28"/>
    <n v="236"/>
    <n v="6608"/>
    <n v="3700.48"/>
  </r>
  <r>
    <x v="5"/>
    <n v="1197831"/>
    <x v="171"/>
    <x v="2"/>
    <s v="Arkansas"/>
    <s v="Little Rock"/>
    <s v="Outlet"/>
    <x v="5"/>
    <n v="29"/>
    <n v="124"/>
    <n v="3596"/>
    <n v="2013.76"/>
  </r>
  <r>
    <x v="0"/>
    <n v="1197831"/>
    <x v="171"/>
    <x v="2"/>
    <s v="Oklahoma"/>
    <s v="Oklahoma City"/>
    <s v="Online"/>
    <x v="0"/>
    <n v="33"/>
    <n v="88"/>
    <n v="2904"/>
    <n v="1597.2"/>
  </r>
  <r>
    <x v="5"/>
    <n v="1197831"/>
    <x v="171"/>
    <x v="2"/>
    <s v="Arkansas"/>
    <s v="Little Rock"/>
    <s v="Outlet"/>
    <x v="3"/>
    <n v="28"/>
    <n v="124"/>
    <n v="3472"/>
    <n v="1909.6"/>
  </r>
  <r>
    <x v="0"/>
    <n v="1197831"/>
    <x v="171"/>
    <x v="2"/>
    <s v="Oklahoma"/>
    <s v="Oklahoma City"/>
    <s v="Outlet"/>
    <x v="5"/>
    <n v="29"/>
    <n v="102"/>
    <n v="2958"/>
    <n v="1626.8999999999999"/>
  </r>
  <r>
    <x v="0"/>
    <n v="1197831"/>
    <x v="171"/>
    <x v="2"/>
    <s v="Oklahoma"/>
    <s v="Oklahoma City"/>
    <s v="Outlet"/>
    <x v="4"/>
    <n v="32"/>
    <n v="192"/>
    <n v="6144"/>
    <n v="3317.7599999999998"/>
  </r>
  <r>
    <x v="0"/>
    <n v="1197831"/>
    <x v="171"/>
    <x v="2"/>
    <s v="Oklahoma"/>
    <s v="Oklahoma City"/>
    <s v="Online"/>
    <x v="1"/>
    <n v="51"/>
    <n v="87"/>
    <n v="4437"/>
    <n v="2351.61"/>
  </r>
  <r>
    <x v="5"/>
    <n v="1197831"/>
    <x v="171"/>
    <x v="2"/>
    <s v="Arkansas"/>
    <s v="Little Rock"/>
    <s v="Online"/>
    <x v="1"/>
    <n v="54"/>
    <n v="98"/>
    <n v="5292"/>
    <n v="2751.84"/>
  </r>
  <r>
    <x v="5"/>
    <n v="1197831"/>
    <x v="171"/>
    <x v="2"/>
    <s v="Arkansas"/>
    <s v="Little Rock"/>
    <s v="Online"/>
    <x v="0"/>
    <n v="32"/>
    <n v="106"/>
    <n v="3392"/>
    <n v="1729.92"/>
  </r>
  <r>
    <x v="2"/>
    <n v="1185732"/>
    <x v="171"/>
    <x v="1"/>
    <s v="Illinois"/>
    <s v="Chicago"/>
    <s v="Online"/>
    <x v="5"/>
    <n v="44"/>
    <n v="20"/>
    <n v="880"/>
    <n v="440"/>
  </r>
  <r>
    <x v="2"/>
    <n v="1185732"/>
    <x v="171"/>
    <x v="1"/>
    <s v="Nebraska"/>
    <s v="Omaha"/>
    <s v="Online"/>
    <x v="0"/>
    <n v="32"/>
    <n v="45"/>
    <n v="1440"/>
    <n v="720"/>
  </r>
  <r>
    <x v="5"/>
    <n v="1197831"/>
    <x v="171"/>
    <x v="2"/>
    <s v="Arkansas"/>
    <s v="Little Rock"/>
    <s v="Online"/>
    <x v="4"/>
    <n v="36"/>
    <n v="203"/>
    <n v="7308"/>
    <n v="3654"/>
  </r>
  <r>
    <x v="0"/>
    <n v="1197831"/>
    <x v="171"/>
    <x v="2"/>
    <s v="Oklahoma"/>
    <s v="Oklahoma City"/>
    <s v="Online"/>
    <x v="5"/>
    <n v="38"/>
    <n v="87"/>
    <n v="3306"/>
    <n v="1653"/>
  </r>
  <r>
    <x v="0"/>
    <n v="1197831"/>
    <x v="171"/>
    <x v="2"/>
    <s v="Oklahoma"/>
    <s v="Oklahoma City"/>
    <s v="Online"/>
    <x v="4"/>
    <n v="38"/>
    <n v="156"/>
    <n v="5928"/>
    <n v="2904.72"/>
  </r>
  <r>
    <x v="0"/>
    <n v="1197831"/>
    <x v="171"/>
    <x v="2"/>
    <s v="Oklahoma"/>
    <s v="Oklahoma City"/>
    <s v="Online"/>
    <x v="2"/>
    <n v="55"/>
    <n v="124"/>
    <n v="6820"/>
    <n v="3341.7999999999997"/>
  </r>
  <r>
    <x v="5"/>
    <n v="1197831"/>
    <x v="171"/>
    <x v="2"/>
    <s v="Arkansas"/>
    <s v="Little Rock"/>
    <s v="Online"/>
    <x v="5"/>
    <n v="37"/>
    <n v="98"/>
    <n v="3626"/>
    <n v="1740.48"/>
  </r>
  <r>
    <x v="0"/>
    <n v="1197831"/>
    <x v="171"/>
    <x v="2"/>
    <s v="Oklahoma"/>
    <s v="Oklahoma City"/>
    <s v="Online"/>
    <x v="3"/>
    <n v="36"/>
    <n v="88"/>
    <n v="3168"/>
    <n v="1520.6399999999999"/>
  </r>
  <r>
    <x v="5"/>
    <n v="1197831"/>
    <x v="171"/>
    <x v="2"/>
    <s v="Arkansas"/>
    <s v="Little Rock"/>
    <s v="Online"/>
    <x v="3"/>
    <n v="38"/>
    <n v="104"/>
    <n v="3952"/>
    <n v="1817.92"/>
  </r>
  <r>
    <x v="5"/>
    <n v="1197831"/>
    <x v="171"/>
    <x v="2"/>
    <s v="Arkansas"/>
    <s v="Little Rock"/>
    <s v="Online"/>
    <x v="2"/>
    <n v="54"/>
    <n v="160"/>
    <n v="8640"/>
    <n v="3974.3999999999996"/>
  </r>
  <r>
    <x v="4"/>
    <n v="1185732"/>
    <x v="172"/>
    <x v="0"/>
    <s v="Alaska"/>
    <s v="Anchorage"/>
    <s v="Outlet"/>
    <x v="3"/>
    <n v="55.000000000000007"/>
    <n v="325"/>
    <n v="17875.000000000004"/>
    <n v="13406.250000000004"/>
  </r>
  <r>
    <x v="4"/>
    <n v="1185732"/>
    <x v="172"/>
    <x v="0"/>
    <s v="Alaska"/>
    <s v="Anchorage"/>
    <s v="Outlet"/>
    <x v="5"/>
    <n v="55.000000000000007"/>
    <n v="300"/>
    <n v="16500.000000000004"/>
    <n v="12375.000000000004"/>
  </r>
  <r>
    <x v="4"/>
    <n v="1185732"/>
    <x v="172"/>
    <x v="0"/>
    <s v="Alaska"/>
    <s v="Anchorage"/>
    <s v="Outlet"/>
    <x v="1"/>
    <n v="65"/>
    <n v="300"/>
    <n v="19500"/>
    <n v="14625"/>
  </r>
  <r>
    <x v="4"/>
    <n v="1185732"/>
    <x v="172"/>
    <x v="0"/>
    <s v="Alaska"/>
    <s v="Anchorage"/>
    <s v="Outlet"/>
    <x v="2"/>
    <n v="70"/>
    <n v="450"/>
    <n v="31500"/>
    <n v="22050"/>
  </r>
  <r>
    <x v="2"/>
    <n v="1185732"/>
    <x v="172"/>
    <x v="4"/>
    <s v="Maryland"/>
    <s v="Baltimore"/>
    <s v="In-store"/>
    <x v="2"/>
    <n v="54.999999999999993"/>
    <n v="300"/>
    <n v="16499.999999999996"/>
    <n v="11549.999999999996"/>
  </r>
  <r>
    <x v="2"/>
    <n v="1185732"/>
    <x v="172"/>
    <x v="4"/>
    <s v="Maryland"/>
    <s v="Baltimore"/>
    <s v="In-store"/>
    <x v="1"/>
    <n v="49.999999999999993"/>
    <n v="150"/>
    <n v="7499.9999999999991"/>
    <n v="5249.9999999999982"/>
  </r>
  <r>
    <x v="4"/>
    <n v="1185732"/>
    <x v="172"/>
    <x v="3"/>
    <s v="Kentucky"/>
    <s v="Louisville"/>
    <s v="Online"/>
    <x v="0"/>
    <n v="35.000000000000007"/>
    <n v="275"/>
    <n v="9625.0000000000018"/>
    <n v="6256.2500000000018"/>
  </r>
  <r>
    <x v="2"/>
    <n v="1185732"/>
    <x v="172"/>
    <x v="1"/>
    <s v="Illinois"/>
    <s v="Chicago"/>
    <s v="Outlet"/>
    <x v="1"/>
    <n v="60"/>
    <n v="100"/>
    <n v="6000"/>
    <n v="3900"/>
  </r>
  <r>
    <x v="2"/>
    <n v="1185732"/>
    <x v="172"/>
    <x v="1"/>
    <s v="Nebraska"/>
    <s v="Omaha"/>
    <s v="Outlet"/>
    <x v="3"/>
    <n v="30.000000000000004"/>
    <n v="175"/>
    <n v="5250.0000000000009"/>
    <n v="3412.5000000000009"/>
  </r>
  <r>
    <x v="4"/>
    <n v="1185732"/>
    <x v="172"/>
    <x v="0"/>
    <s v="Alaska"/>
    <s v="Anchorage"/>
    <s v="Outlet"/>
    <x v="4"/>
    <n v="65"/>
    <n v="650"/>
    <n v="42250"/>
    <n v="27462.5"/>
  </r>
  <r>
    <x v="4"/>
    <n v="1185732"/>
    <x v="172"/>
    <x v="3"/>
    <s v="Kentucky"/>
    <s v="Louisville"/>
    <s v="Online"/>
    <x v="1"/>
    <n v="50"/>
    <n v="200"/>
    <n v="10000"/>
    <n v="6500"/>
  </r>
  <r>
    <x v="0"/>
    <n v="1185732"/>
    <x v="172"/>
    <x v="4"/>
    <s v="Maryland"/>
    <s v="Baltimore"/>
    <s v="In-store"/>
    <x v="0"/>
    <n v="45"/>
    <n v="250"/>
    <n v="11250"/>
    <n v="7312.5"/>
  </r>
  <r>
    <x v="2"/>
    <n v="1185732"/>
    <x v="172"/>
    <x v="4"/>
    <s v="Maryland"/>
    <s v="Baltimore"/>
    <s v="In-store"/>
    <x v="3"/>
    <n v="40"/>
    <n v="175"/>
    <n v="7000"/>
    <n v="4550"/>
  </r>
  <r>
    <x v="2"/>
    <n v="1185732"/>
    <x v="172"/>
    <x v="4"/>
    <s v="Maryland"/>
    <s v="Baltimore"/>
    <s v="In-store"/>
    <x v="5"/>
    <n v="40"/>
    <n v="150"/>
    <n v="6000"/>
    <n v="3900"/>
  </r>
  <r>
    <x v="4"/>
    <n v="1185732"/>
    <x v="172"/>
    <x v="0"/>
    <s v="Alaska"/>
    <s v="Anchorage"/>
    <s v="Outlet"/>
    <x v="0"/>
    <n v="60.000000000000007"/>
    <n v="400"/>
    <n v="24000.000000000004"/>
    <n v="15600"/>
  </r>
  <r>
    <x v="4"/>
    <n v="1185732"/>
    <x v="172"/>
    <x v="3"/>
    <s v="Kentucky"/>
    <s v="Louisville"/>
    <s v="Online"/>
    <x v="4"/>
    <n v="40"/>
    <n v="525"/>
    <n v="21000"/>
    <n v="12600"/>
  </r>
  <r>
    <x v="4"/>
    <n v="1185732"/>
    <x v="172"/>
    <x v="3"/>
    <s v="Kentucky"/>
    <s v="Louisville"/>
    <s v="Online"/>
    <x v="3"/>
    <n v="30.000000000000004"/>
    <n v="225"/>
    <n v="6750.0000000000009"/>
    <n v="4050.0000000000009"/>
  </r>
  <r>
    <x v="4"/>
    <n v="1185732"/>
    <x v="172"/>
    <x v="3"/>
    <s v="Kentucky"/>
    <s v="Louisville"/>
    <s v="Online"/>
    <x v="2"/>
    <n v="55.000000000000007"/>
    <n v="375"/>
    <n v="20625.000000000004"/>
    <n v="12375.000000000002"/>
  </r>
  <r>
    <x v="0"/>
    <n v="1185732"/>
    <x v="172"/>
    <x v="4"/>
    <s v="Maryland"/>
    <s v="Baltimore"/>
    <s v="In-store"/>
    <x v="4"/>
    <n v="49.999999999999993"/>
    <n v="500"/>
    <n v="24999.999999999996"/>
    <n v="14999.999999999996"/>
  </r>
  <r>
    <x v="4"/>
    <n v="1185732"/>
    <x v="172"/>
    <x v="3"/>
    <s v="Kentucky"/>
    <s v="Louisville"/>
    <s v="Online"/>
    <x v="5"/>
    <n v="30.000000000000004"/>
    <n v="200"/>
    <n v="6000.0000000000009"/>
    <n v="3600"/>
  </r>
  <r>
    <x v="4"/>
    <n v="1185732"/>
    <x v="172"/>
    <x v="0"/>
    <s v="Alaska"/>
    <s v="Anchorage"/>
    <s v="Online"/>
    <x v="1"/>
    <n v="60"/>
    <n v="84"/>
    <n v="5040"/>
    <n v="3225.6000000000004"/>
  </r>
  <r>
    <x v="4"/>
    <n v="1185732"/>
    <x v="172"/>
    <x v="0"/>
    <s v="Alaska"/>
    <s v="Anchorage"/>
    <s v="Online"/>
    <x v="3"/>
    <n v="53"/>
    <n v="81"/>
    <n v="4293"/>
    <n v="2747.52"/>
  </r>
  <r>
    <x v="4"/>
    <n v="1185732"/>
    <x v="172"/>
    <x v="0"/>
    <s v="Alaska"/>
    <s v="Anchorage"/>
    <s v="Online"/>
    <x v="5"/>
    <n v="53"/>
    <n v="90"/>
    <n v="4770"/>
    <n v="3052.8"/>
  </r>
  <r>
    <x v="4"/>
    <n v="1185732"/>
    <x v="172"/>
    <x v="0"/>
    <s v="Alaska"/>
    <s v="Anchorage"/>
    <s v="Online"/>
    <x v="2"/>
    <n v="67"/>
    <n v="126"/>
    <n v="8442"/>
    <n v="4896.3600000000006"/>
  </r>
  <r>
    <x v="2"/>
    <n v="1185732"/>
    <x v="172"/>
    <x v="4"/>
    <s v="Maryland"/>
    <s v="Baltimore"/>
    <s v="Online"/>
    <x v="1"/>
    <n v="49"/>
    <n v="42"/>
    <n v="2058"/>
    <n v="1152.48"/>
  </r>
  <r>
    <x v="2"/>
    <n v="1185732"/>
    <x v="172"/>
    <x v="4"/>
    <s v="Maryland"/>
    <s v="Baltimore"/>
    <s v="Online"/>
    <x v="2"/>
    <n v="53"/>
    <n v="84"/>
    <n v="4452"/>
    <n v="2448.6000000000004"/>
  </r>
  <r>
    <x v="2"/>
    <n v="1185732"/>
    <x v="172"/>
    <x v="1"/>
    <s v="Nebraska"/>
    <s v="Omaha"/>
    <s v="Online"/>
    <x v="3"/>
    <n v="27"/>
    <n v="46"/>
    <n v="1242"/>
    <n v="683.1"/>
  </r>
  <r>
    <x v="4"/>
    <n v="1185732"/>
    <x v="172"/>
    <x v="0"/>
    <s v="Alaska"/>
    <s v="Anchorage"/>
    <s v="Online"/>
    <x v="4"/>
    <n v="59"/>
    <n v="189"/>
    <n v="11151"/>
    <n v="6021.54"/>
  </r>
  <r>
    <x v="2"/>
    <n v="1185732"/>
    <x v="172"/>
    <x v="1"/>
    <s v="Illinois"/>
    <s v="Chicago"/>
    <s v="Online"/>
    <x v="1"/>
    <n v="54"/>
    <n v="28"/>
    <n v="1512"/>
    <n v="801.36"/>
  </r>
  <r>
    <x v="0"/>
    <n v="1185732"/>
    <x v="172"/>
    <x v="4"/>
    <s v="Maryland"/>
    <s v="Baltimore"/>
    <s v="Online"/>
    <x v="0"/>
    <n v="41"/>
    <n v="75"/>
    <n v="3075"/>
    <n v="1629.75"/>
  </r>
  <r>
    <x v="4"/>
    <n v="1185732"/>
    <x v="172"/>
    <x v="3"/>
    <s v="Kentucky"/>
    <s v="Louisville"/>
    <s v="Online"/>
    <x v="0"/>
    <n v="33"/>
    <n v="77"/>
    <n v="2541"/>
    <n v="1295.9100000000001"/>
  </r>
  <r>
    <x v="4"/>
    <n v="1185732"/>
    <x v="172"/>
    <x v="3"/>
    <s v="Kentucky"/>
    <s v="Louisville"/>
    <s v="Online"/>
    <x v="1"/>
    <n v="49"/>
    <n v="54"/>
    <n v="2646"/>
    <n v="1349.46"/>
  </r>
  <r>
    <x v="4"/>
    <n v="1185732"/>
    <x v="172"/>
    <x v="0"/>
    <s v="Alaska"/>
    <s v="Anchorage"/>
    <s v="Online"/>
    <x v="0"/>
    <n v="55"/>
    <n v="112"/>
    <n v="6160"/>
    <n v="3080"/>
  </r>
  <r>
    <x v="4"/>
    <n v="1185732"/>
    <x v="172"/>
    <x v="3"/>
    <s v="Kentucky"/>
    <s v="Louisville"/>
    <s v="Online"/>
    <x v="4"/>
    <n v="36"/>
    <n v="142"/>
    <n v="5112"/>
    <n v="2556"/>
  </r>
  <r>
    <x v="0"/>
    <n v="1185732"/>
    <x v="172"/>
    <x v="4"/>
    <s v="Maryland"/>
    <s v="Baltimore"/>
    <s v="Online"/>
    <x v="4"/>
    <n v="47"/>
    <n v="125"/>
    <n v="5875"/>
    <n v="2937.5"/>
  </r>
  <r>
    <x v="2"/>
    <n v="1185732"/>
    <x v="172"/>
    <x v="4"/>
    <s v="Maryland"/>
    <s v="Baltimore"/>
    <s v="Online"/>
    <x v="3"/>
    <n v="37"/>
    <n v="47"/>
    <n v="1739"/>
    <n v="869.5"/>
  </r>
  <r>
    <x v="2"/>
    <n v="1185732"/>
    <x v="172"/>
    <x v="4"/>
    <s v="Maryland"/>
    <s v="Baltimore"/>
    <s v="Online"/>
    <x v="5"/>
    <n v="37"/>
    <n v="44"/>
    <n v="1628"/>
    <n v="814"/>
  </r>
  <r>
    <x v="4"/>
    <n v="1185732"/>
    <x v="172"/>
    <x v="3"/>
    <s v="Kentucky"/>
    <s v="Louisville"/>
    <s v="Online"/>
    <x v="2"/>
    <n v="52"/>
    <n v="101"/>
    <n v="5252"/>
    <n v="2520.96"/>
  </r>
  <r>
    <x v="4"/>
    <n v="1185732"/>
    <x v="172"/>
    <x v="3"/>
    <s v="Kentucky"/>
    <s v="Louisville"/>
    <s v="Online"/>
    <x v="3"/>
    <n v="28"/>
    <n v="56"/>
    <n v="1568"/>
    <n v="705.59999999999991"/>
  </r>
  <r>
    <x v="4"/>
    <n v="1185732"/>
    <x v="172"/>
    <x v="3"/>
    <s v="Kentucky"/>
    <s v="Louisville"/>
    <s v="Online"/>
    <x v="5"/>
    <n v="29"/>
    <n v="52"/>
    <n v="1508"/>
    <n v="678.59999999999991"/>
  </r>
  <r>
    <x v="2"/>
    <n v="1128299"/>
    <x v="173"/>
    <x v="0"/>
    <s v="Arizona"/>
    <s v="Phoenix"/>
    <s v="Online"/>
    <x v="2"/>
    <n v="70"/>
    <n v="525"/>
    <n v="36750"/>
    <n v="27562.5"/>
  </r>
  <r>
    <x v="2"/>
    <n v="1128299"/>
    <x v="173"/>
    <x v="0"/>
    <s v="Arizona"/>
    <s v="Phoenix"/>
    <s v="Online"/>
    <x v="1"/>
    <n v="55.000000000000007"/>
    <n v="225"/>
    <n v="12375.000000000002"/>
    <n v="8662.5000000000018"/>
  </r>
  <r>
    <x v="2"/>
    <n v="1128299"/>
    <x v="173"/>
    <x v="0"/>
    <s v="Arizona"/>
    <s v="Phoenix"/>
    <s v="Online"/>
    <x v="4"/>
    <n v="50"/>
    <n v="625"/>
    <n v="31250"/>
    <n v="20312.5"/>
  </r>
  <r>
    <x v="2"/>
    <n v="1128299"/>
    <x v="173"/>
    <x v="0"/>
    <s v="Arizona"/>
    <s v="Phoenix"/>
    <s v="Online"/>
    <x v="3"/>
    <n v="55.000000000000007"/>
    <n v="475"/>
    <n v="26125.000000000004"/>
    <n v="16981.250000000004"/>
  </r>
  <r>
    <x v="2"/>
    <n v="1128299"/>
    <x v="173"/>
    <x v="0"/>
    <s v="Arizona"/>
    <s v="Phoenix"/>
    <s v="Online"/>
    <x v="5"/>
    <n v="50"/>
    <n v="350"/>
    <n v="17500"/>
    <n v="11375"/>
  </r>
  <r>
    <x v="2"/>
    <n v="1185732"/>
    <x v="173"/>
    <x v="1"/>
    <s v="Nebraska"/>
    <s v="Omaha"/>
    <s v="Outlet"/>
    <x v="5"/>
    <n v="30.000000000000004"/>
    <n v="150"/>
    <n v="4500.0000000000009"/>
    <n v="2700.0000000000005"/>
  </r>
  <r>
    <x v="2"/>
    <n v="1128299"/>
    <x v="173"/>
    <x v="0"/>
    <s v="Arizona"/>
    <s v="Phoenix"/>
    <s v="Online"/>
    <x v="0"/>
    <n v="55.000000000000007"/>
    <n v="475"/>
    <n v="26125.000000000004"/>
    <n v="15675"/>
  </r>
  <r>
    <x v="2"/>
    <n v="1185732"/>
    <x v="173"/>
    <x v="1"/>
    <s v="Illinois"/>
    <s v="Chicago"/>
    <s v="Outlet"/>
    <x v="2"/>
    <n v="50"/>
    <n v="225"/>
    <n v="11250"/>
    <n v="5625"/>
  </r>
  <r>
    <x v="2"/>
    <n v="1128299"/>
    <x v="173"/>
    <x v="0"/>
    <s v="Arizona"/>
    <s v="Phoenix"/>
    <s v="Outlet"/>
    <x v="2"/>
    <n v="46"/>
    <n v="158"/>
    <n v="7268"/>
    <n v="5014.92"/>
  </r>
  <r>
    <x v="2"/>
    <n v="1128299"/>
    <x v="173"/>
    <x v="0"/>
    <s v="Arizona"/>
    <s v="Phoenix"/>
    <s v="Outlet"/>
    <x v="1"/>
    <n v="43"/>
    <n v="72"/>
    <n v="3096"/>
    <n v="2043.3600000000001"/>
  </r>
  <r>
    <x v="2"/>
    <n v="1128299"/>
    <x v="173"/>
    <x v="0"/>
    <s v="Arizona"/>
    <s v="Phoenix"/>
    <s v="Outlet"/>
    <x v="3"/>
    <n v="41"/>
    <n v="147"/>
    <n v="6027"/>
    <n v="3736.74"/>
  </r>
  <r>
    <x v="2"/>
    <n v="1128299"/>
    <x v="173"/>
    <x v="0"/>
    <s v="Arizona"/>
    <s v="Phoenix"/>
    <s v="Online"/>
    <x v="2"/>
    <n v="69"/>
    <n v="131"/>
    <n v="9039"/>
    <n v="5513.79"/>
  </r>
  <r>
    <x v="2"/>
    <n v="1128299"/>
    <x v="173"/>
    <x v="0"/>
    <s v="Arizona"/>
    <s v="Phoenix"/>
    <s v="Outlet"/>
    <x v="4"/>
    <n v="37"/>
    <n v="194"/>
    <n v="7178"/>
    <n v="4378.58"/>
  </r>
  <r>
    <x v="2"/>
    <n v="1128299"/>
    <x v="173"/>
    <x v="0"/>
    <s v="Arizona"/>
    <s v="Phoenix"/>
    <s v="Outlet"/>
    <x v="5"/>
    <n v="38"/>
    <n v="105"/>
    <n v="3990"/>
    <n v="2394"/>
  </r>
  <r>
    <x v="2"/>
    <n v="1128299"/>
    <x v="173"/>
    <x v="0"/>
    <s v="Arizona"/>
    <s v="Phoenix"/>
    <s v="Online"/>
    <x v="1"/>
    <n v="51"/>
    <n v="68"/>
    <n v="3468"/>
    <n v="2011.44"/>
  </r>
  <r>
    <x v="2"/>
    <n v="1128299"/>
    <x v="173"/>
    <x v="0"/>
    <s v="Arizona"/>
    <s v="Phoenix"/>
    <s v="Outlet"/>
    <x v="0"/>
    <n v="36"/>
    <n v="143"/>
    <n v="5148"/>
    <n v="2985.8399999999997"/>
  </r>
  <r>
    <x v="2"/>
    <n v="1128299"/>
    <x v="173"/>
    <x v="0"/>
    <s v="Arizona"/>
    <s v="Phoenix"/>
    <s v="Online"/>
    <x v="3"/>
    <n v="51"/>
    <n v="138"/>
    <n v="7038"/>
    <n v="3870.9"/>
  </r>
  <r>
    <x v="2"/>
    <n v="1128299"/>
    <x v="173"/>
    <x v="0"/>
    <s v="Arizona"/>
    <s v="Phoenix"/>
    <s v="Online"/>
    <x v="4"/>
    <n v="48"/>
    <n v="156"/>
    <n v="7488"/>
    <n v="3818.88"/>
  </r>
  <r>
    <x v="2"/>
    <n v="1128299"/>
    <x v="173"/>
    <x v="0"/>
    <s v="Arizona"/>
    <s v="Phoenix"/>
    <s v="Online"/>
    <x v="5"/>
    <n v="46"/>
    <n v="95"/>
    <n v="4370"/>
    <n v="2185"/>
  </r>
  <r>
    <x v="2"/>
    <n v="1128299"/>
    <x v="173"/>
    <x v="0"/>
    <s v="Arizona"/>
    <s v="Phoenix"/>
    <s v="Online"/>
    <x v="0"/>
    <n v="51"/>
    <n v="138"/>
    <n v="7038"/>
    <n v="3378.24"/>
  </r>
  <r>
    <x v="2"/>
    <n v="1185732"/>
    <x v="173"/>
    <x v="1"/>
    <s v="Nebraska"/>
    <s v="Omaha"/>
    <s v="Online"/>
    <x v="5"/>
    <n v="27"/>
    <n v="39"/>
    <n v="1053"/>
    <n v="484.38"/>
  </r>
  <r>
    <x v="2"/>
    <n v="1185732"/>
    <x v="173"/>
    <x v="1"/>
    <s v="Illinois"/>
    <s v="Chicago"/>
    <s v="Online"/>
    <x v="2"/>
    <n v="49"/>
    <n v="65"/>
    <n v="3185"/>
    <n v="1274"/>
  </r>
  <r>
    <x v="2"/>
    <n v="1128299"/>
    <x v="174"/>
    <x v="3"/>
    <s v="Virginia"/>
    <s v="Richmond"/>
    <s v="In-store"/>
    <x v="2"/>
    <n v="105"/>
    <n v="700"/>
    <n v="73500"/>
    <n v="51450"/>
  </r>
  <r>
    <x v="0"/>
    <n v="1128299"/>
    <x v="174"/>
    <x v="0"/>
    <s v="Oregon"/>
    <s v="Portland"/>
    <s v="In-store"/>
    <x v="2"/>
    <n v="105"/>
    <n v="700"/>
    <n v="73500"/>
    <n v="51450"/>
  </r>
  <r>
    <x v="2"/>
    <n v="1128299"/>
    <x v="174"/>
    <x v="3"/>
    <s v="Virginia"/>
    <s v="Richmond"/>
    <s v="In-store"/>
    <x v="4"/>
    <n v="54.999999999999993"/>
    <n v="775"/>
    <n v="42624.999999999993"/>
    <n v="27706.25"/>
  </r>
  <r>
    <x v="0"/>
    <n v="1128299"/>
    <x v="174"/>
    <x v="0"/>
    <s v="Oregon"/>
    <s v="Portland"/>
    <s v="In-store"/>
    <x v="4"/>
    <n v="54.999999999999993"/>
    <n v="775"/>
    <n v="42624.999999999993"/>
    <n v="27706.25"/>
  </r>
  <r>
    <x v="2"/>
    <n v="1185732"/>
    <x v="174"/>
    <x v="1"/>
    <s v="Nebraska"/>
    <s v="Omaha"/>
    <s v="Outlet"/>
    <x v="1"/>
    <n v="45"/>
    <n v="150"/>
    <n v="6750"/>
    <n v="4387.5"/>
  </r>
  <r>
    <x v="2"/>
    <n v="1128299"/>
    <x v="174"/>
    <x v="3"/>
    <s v="Virginia"/>
    <s v="Richmond"/>
    <s v="In-store"/>
    <x v="0"/>
    <n v="64.999999999999986"/>
    <n v="650"/>
    <n v="42249.999999999993"/>
    <n v="27462.499999999993"/>
  </r>
  <r>
    <x v="2"/>
    <n v="1128299"/>
    <x v="174"/>
    <x v="3"/>
    <s v="Virginia"/>
    <s v="Richmond"/>
    <s v="In-store"/>
    <x v="3"/>
    <n v="80"/>
    <n v="650"/>
    <n v="52000"/>
    <n v="33800"/>
  </r>
  <r>
    <x v="2"/>
    <n v="1128299"/>
    <x v="174"/>
    <x v="3"/>
    <s v="Virginia"/>
    <s v="Richmond"/>
    <s v="In-store"/>
    <x v="5"/>
    <n v="80"/>
    <n v="525"/>
    <n v="42000"/>
    <n v="27300"/>
  </r>
  <r>
    <x v="0"/>
    <n v="1128299"/>
    <x v="174"/>
    <x v="0"/>
    <s v="Oregon"/>
    <s v="Portland"/>
    <s v="In-store"/>
    <x v="0"/>
    <n v="64.999999999999986"/>
    <n v="650"/>
    <n v="42249.999999999993"/>
    <n v="27462.499999999993"/>
  </r>
  <r>
    <x v="0"/>
    <n v="1128299"/>
    <x v="174"/>
    <x v="0"/>
    <s v="Oregon"/>
    <s v="Portland"/>
    <s v="In-store"/>
    <x v="3"/>
    <n v="80"/>
    <n v="650"/>
    <n v="52000"/>
    <n v="33800"/>
  </r>
  <r>
    <x v="0"/>
    <n v="1128299"/>
    <x v="174"/>
    <x v="0"/>
    <s v="Oregon"/>
    <s v="Portland"/>
    <s v="In-store"/>
    <x v="5"/>
    <n v="80"/>
    <n v="525"/>
    <n v="42000"/>
    <n v="27300"/>
  </r>
  <r>
    <x v="2"/>
    <n v="1185732"/>
    <x v="174"/>
    <x v="1"/>
    <s v="Illinois"/>
    <s v="Chicago"/>
    <s v="Outlet"/>
    <x v="4"/>
    <n v="60"/>
    <n v="495"/>
    <n v="29700"/>
    <n v="17820"/>
  </r>
  <r>
    <x v="2"/>
    <n v="1128299"/>
    <x v="174"/>
    <x v="3"/>
    <s v="Virginia"/>
    <s v="Richmond"/>
    <s v="In-store"/>
    <x v="1"/>
    <n v="90"/>
    <n v="400"/>
    <n v="36000"/>
    <n v="21600"/>
  </r>
  <r>
    <x v="0"/>
    <n v="1128299"/>
    <x v="174"/>
    <x v="0"/>
    <s v="Oregon"/>
    <s v="Portland"/>
    <s v="In-store"/>
    <x v="1"/>
    <n v="90"/>
    <n v="400"/>
    <n v="36000"/>
    <n v="21600"/>
  </r>
  <r>
    <x v="0"/>
    <n v="1128299"/>
    <x v="174"/>
    <x v="0"/>
    <s v="Oregon"/>
    <s v="Portland"/>
    <s v="Outlet"/>
    <x v="2"/>
    <n v="74"/>
    <n v="231"/>
    <n v="17094"/>
    <n v="11452.98"/>
  </r>
  <r>
    <x v="2"/>
    <n v="1128299"/>
    <x v="174"/>
    <x v="3"/>
    <s v="Virginia"/>
    <s v="Richmond"/>
    <s v="Outlet"/>
    <x v="4"/>
    <n v="37"/>
    <n v="233"/>
    <n v="8621"/>
    <n v="5431.23"/>
  </r>
  <r>
    <x v="2"/>
    <n v="1128299"/>
    <x v="174"/>
    <x v="3"/>
    <s v="Virginia"/>
    <s v="Richmond"/>
    <s v="Outlet"/>
    <x v="3"/>
    <n v="58"/>
    <n v="208"/>
    <n v="12064"/>
    <n v="7600.32"/>
  </r>
  <r>
    <x v="2"/>
    <n v="1128299"/>
    <x v="174"/>
    <x v="3"/>
    <s v="Virginia"/>
    <s v="Richmond"/>
    <s v="Outlet"/>
    <x v="2"/>
    <n v="82"/>
    <n v="231"/>
    <n v="18942"/>
    <n v="11933.46"/>
  </r>
  <r>
    <x v="0"/>
    <n v="1128299"/>
    <x v="174"/>
    <x v="0"/>
    <s v="Oregon"/>
    <s v="Portland"/>
    <s v="Outlet"/>
    <x v="4"/>
    <n v="43"/>
    <n v="240"/>
    <n v="10320"/>
    <n v="6398.4"/>
  </r>
  <r>
    <x v="0"/>
    <n v="1128299"/>
    <x v="174"/>
    <x v="0"/>
    <s v="Oregon"/>
    <s v="Portland"/>
    <s v="Outlet"/>
    <x v="3"/>
    <n v="53"/>
    <n v="208"/>
    <n v="11024"/>
    <n v="6724.64"/>
  </r>
  <r>
    <x v="2"/>
    <n v="1128299"/>
    <x v="174"/>
    <x v="3"/>
    <s v="Virginia"/>
    <s v="Richmond"/>
    <s v="Online"/>
    <x v="2"/>
    <n v="96"/>
    <n v="182"/>
    <n v="17472"/>
    <n v="10483.200000000001"/>
  </r>
  <r>
    <x v="0"/>
    <n v="1128299"/>
    <x v="174"/>
    <x v="0"/>
    <s v="Oregon"/>
    <s v="Portland"/>
    <s v="Outlet"/>
    <x v="5"/>
    <n v="62"/>
    <n v="179"/>
    <n v="11098"/>
    <n v="6547.8200000000006"/>
  </r>
  <r>
    <x v="2"/>
    <n v="1128299"/>
    <x v="174"/>
    <x v="3"/>
    <s v="Virginia"/>
    <s v="Richmond"/>
    <s v="Outlet"/>
    <x v="0"/>
    <n v="45"/>
    <n v="221"/>
    <n v="9945"/>
    <n v="5867.55"/>
  </r>
  <r>
    <x v="0"/>
    <n v="1128299"/>
    <x v="174"/>
    <x v="0"/>
    <s v="Oregon"/>
    <s v="Portland"/>
    <s v="Outlet"/>
    <x v="0"/>
    <n v="47"/>
    <n v="202"/>
    <n v="9494"/>
    <n v="5601.46"/>
  </r>
  <r>
    <x v="2"/>
    <n v="1128299"/>
    <x v="174"/>
    <x v="3"/>
    <s v="Virginia"/>
    <s v="Richmond"/>
    <s v="Outlet"/>
    <x v="5"/>
    <n v="61"/>
    <n v="184"/>
    <n v="11224"/>
    <n v="6622.16"/>
  </r>
  <r>
    <x v="0"/>
    <n v="1128299"/>
    <x v="174"/>
    <x v="0"/>
    <s v="Oregon"/>
    <s v="Portland"/>
    <s v="Online"/>
    <x v="2"/>
    <n v="95"/>
    <n v="189"/>
    <n v="17955"/>
    <n v="9875.25"/>
  </r>
  <r>
    <x v="2"/>
    <n v="1128299"/>
    <x v="174"/>
    <x v="3"/>
    <s v="Virginia"/>
    <s v="Richmond"/>
    <s v="Online"/>
    <x v="0"/>
    <n v="62"/>
    <n v="176"/>
    <n v="10912"/>
    <n v="5892.4800000000005"/>
  </r>
  <r>
    <x v="0"/>
    <n v="1128299"/>
    <x v="174"/>
    <x v="0"/>
    <s v="Oregon"/>
    <s v="Portland"/>
    <s v="Online"/>
    <x v="3"/>
    <n v="78"/>
    <n v="189"/>
    <n v="14742"/>
    <n v="7960.68"/>
  </r>
  <r>
    <x v="2"/>
    <n v="1128299"/>
    <x v="174"/>
    <x v="3"/>
    <s v="Virginia"/>
    <s v="Richmond"/>
    <s v="Outlet"/>
    <x v="1"/>
    <n v="68"/>
    <n v="128"/>
    <n v="8704"/>
    <n v="4700.16"/>
  </r>
  <r>
    <x v="0"/>
    <n v="1128299"/>
    <x v="174"/>
    <x v="0"/>
    <s v="Oregon"/>
    <s v="Portland"/>
    <s v="Outlet"/>
    <x v="1"/>
    <n v="67"/>
    <n v="140"/>
    <n v="9380"/>
    <n v="5065.2"/>
  </r>
  <r>
    <x v="2"/>
    <n v="1128299"/>
    <x v="174"/>
    <x v="3"/>
    <s v="Virginia"/>
    <s v="Richmond"/>
    <s v="Online"/>
    <x v="4"/>
    <n v="53"/>
    <n v="233"/>
    <n v="12349"/>
    <n v="6544.97"/>
  </r>
  <r>
    <x v="2"/>
    <n v="1128299"/>
    <x v="174"/>
    <x v="3"/>
    <s v="Virginia"/>
    <s v="Richmond"/>
    <s v="Online"/>
    <x v="3"/>
    <n v="73"/>
    <n v="195"/>
    <n v="14235"/>
    <n v="7402.2"/>
  </r>
  <r>
    <x v="0"/>
    <n v="1128299"/>
    <x v="174"/>
    <x v="0"/>
    <s v="Oregon"/>
    <s v="Portland"/>
    <s v="Online"/>
    <x v="4"/>
    <n v="51"/>
    <n v="225"/>
    <n v="11475"/>
    <n v="5852.25"/>
  </r>
  <r>
    <x v="2"/>
    <n v="1128299"/>
    <x v="174"/>
    <x v="3"/>
    <s v="Virginia"/>
    <s v="Richmond"/>
    <s v="Online"/>
    <x v="5"/>
    <n v="72"/>
    <n v="142"/>
    <n v="10224"/>
    <n v="5214.24"/>
  </r>
  <r>
    <x v="0"/>
    <n v="1128299"/>
    <x v="174"/>
    <x v="0"/>
    <s v="Oregon"/>
    <s v="Portland"/>
    <s v="Online"/>
    <x v="0"/>
    <n v="62"/>
    <n v="169"/>
    <n v="10478"/>
    <n v="5343.78"/>
  </r>
  <r>
    <x v="2"/>
    <n v="1185732"/>
    <x v="174"/>
    <x v="1"/>
    <s v="Nebraska"/>
    <s v="Omaha"/>
    <s v="Online"/>
    <x v="1"/>
    <n v="42"/>
    <n v="42"/>
    <n v="1764"/>
    <n v="882"/>
  </r>
  <r>
    <x v="0"/>
    <n v="1128299"/>
    <x v="174"/>
    <x v="0"/>
    <s v="Oregon"/>
    <s v="Portland"/>
    <s v="Online"/>
    <x v="5"/>
    <n v="74"/>
    <n v="158"/>
    <n v="11692"/>
    <n v="5846"/>
  </r>
  <r>
    <x v="2"/>
    <n v="1128299"/>
    <x v="174"/>
    <x v="3"/>
    <s v="Virginia"/>
    <s v="Richmond"/>
    <s v="Online"/>
    <x v="1"/>
    <n v="81"/>
    <n v="104"/>
    <n v="8424"/>
    <n v="4127.76"/>
  </r>
  <r>
    <x v="0"/>
    <n v="1128299"/>
    <x v="174"/>
    <x v="0"/>
    <s v="Oregon"/>
    <s v="Portland"/>
    <s v="Online"/>
    <x v="1"/>
    <n v="86"/>
    <n v="108"/>
    <n v="9288"/>
    <n v="4365.3599999999997"/>
  </r>
  <r>
    <x v="2"/>
    <n v="1185732"/>
    <x v="174"/>
    <x v="1"/>
    <s v="Illinois"/>
    <s v="Chicago"/>
    <s v="Online"/>
    <x v="4"/>
    <n v="58"/>
    <n v="134"/>
    <n v="7772"/>
    <n v="3575.12"/>
  </r>
  <r>
    <x v="2"/>
    <n v="1185732"/>
    <x v="175"/>
    <x v="1"/>
    <s v="Illinois"/>
    <s v="Chicago"/>
    <s v="Outlet"/>
    <x v="0"/>
    <n v="55.000000000000007"/>
    <n v="200"/>
    <n v="11000.000000000002"/>
    <n v="7150.0000000000018"/>
  </r>
  <r>
    <x v="2"/>
    <n v="1185732"/>
    <x v="175"/>
    <x v="1"/>
    <s v="Nebraska"/>
    <s v="Omaha"/>
    <s v="Outlet"/>
    <x v="2"/>
    <n v="50"/>
    <n v="325"/>
    <n v="16250"/>
    <n v="8125"/>
  </r>
  <r>
    <x v="2"/>
    <n v="1185732"/>
    <x v="175"/>
    <x v="1"/>
    <s v="Illinois"/>
    <s v="Chicago"/>
    <s v="Online"/>
    <x v="0"/>
    <n v="53"/>
    <n v="54"/>
    <n v="2862"/>
    <n v="1574.1000000000001"/>
  </r>
  <r>
    <x v="2"/>
    <n v="1185732"/>
    <x v="175"/>
    <x v="1"/>
    <s v="Nebraska"/>
    <s v="Omaha"/>
    <s v="Online"/>
    <x v="2"/>
    <n v="49"/>
    <n v="85"/>
    <n v="4165"/>
    <n v="1582.6999999999998"/>
  </r>
  <r>
    <x v="1"/>
    <n v="1128299"/>
    <x v="176"/>
    <x v="0"/>
    <s v="New Mexico"/>
    <s v="Albuquerque"/>
    <s v="Online"/>
    <x v="2"/>
    <n v="75.000000000000014"/>
    <n v="600"/>
    <n v="45000.000000000007"/>
    <n v="33750.000000000007"/>
  </r>
  <r>
    <x v="1"/>
    <n v="1128299"/>
    <x v="176"/>
    <x v="0"/>
    <s v="New Mexico"/>
    <s v="Albuquerque"/>
    <s v="Online"/>
    <x v="1"/>
    <n v="60.000000000000007"/>
    <n v="300"/>
    <n v="18000.000000000004"/>
    <n v="12600.000000000004"/>
  </r>
  <r>
    <x v="1"/>
    <n v="1128299"/>
    <x v="176"/>
    <x v="0"/>
    <s v="New Mexico"/>
    <s v="Albuquerque"/>
    <s v="Online"/>
    <x v="4"/>
    <n v="55.000000000000007"/>
    <n v="700"/>
    <n v="38500.000000000007"/>
    <n v="25025.000000000007"/>
  </r>
  <r>
    <x v="1"/>
    <n v="1128299"/>
    <x v="176"/>
    <x v="0"/>
    <s v="New Mexico"/>
    <s v="Albuquerque"/>
    <s v="Online"/>
    <x v="3"/>
    <n v="60.000000000000007"/>
    <n v="550"/>
    <n v="33000.000000000007"/>
    <n v="21450.000000000007"/>
  </r>
  <r>
    <x v="2"/>
    <n v="1185732"/>
    <x v="176"/>
    <x v="1"/>
    <s v="Illinois"/>
    <s v="Chicago"/>
    <s v="Outlet"/>
    <x v="3"/>
    <n v="50"/>
    <n v="175"/>
    <n v="8750"/>
    <n v="5687.5"/>
  </r>
  <r>
    <x v="1"/>
    <n v="1128299"/>
    <x v="176"/>
    <x v="0"/>
    <s v="New Mexico"/>
    <s v="Albuquerque"/>
    <s v="Online"/>
    <x v="5"/>
    <n v="55.000000000000007"/>
    <n v="425"/>
    <n v="23375.000000000004"/>
    <n v="15193.750000000004"/>
  </r>
  <r>
    <x v="2"/>
    <n v="1185732"/>
    <x v="176"/>
    <x v="1"/>
    <s v="Nebraska"/>
    <s v="Omaha"/>
    <s v="Outlet"/>
    <x v="4"/>
    <n v="45"/>
    <n v="550"/>
    <n v="24750"/>
    <n v="14850"/>
  </r>
  <r>
    <x v="1"/>
    <n v="1128299"/>
    <x v="176"/>
    <x v="0"/>
    <s v="New Mexico"/>
    <s v="Albuquerque"/>
    <s v="Online"/>
    <x v="0"/>
    <n v="60.000000000000007"/>
    <n v="550"/>
    <n v="33000.000000000007"/>
    <n v="19800.000000000004"/>
  </r>
  <r>
    <x v="1"/>
    <n v="1128299"/>
    <x v="176"/>
    <x v="0"/>
    <s v="New Mexico"/>
    <s v="Albuquerque"/>
    <s v="Outlet"/>
    <x v="2"/>
    <n v="50"/>
    <n v="192"/>
    <n v="9600"/>
    <n v="6912"/>
  </r>
  <r>
    <x v="1"/>
    <n v="1128299"/>
    <x v="176"/>
    <x v="0"/>
    <s v="New Mexico"/>
    <s v="Albuquerque"/>
    <s v="Outlet"/>
    <x v="1"/>
    <n v="44"/>
    <n v="93"/>
    <n v="4092"/>
    <n v="2659.8"/>
  </r>
  <r>
    <x v="1"/>
    <n v="1128299"/>
    <x v="176"/>
    <x v="0"/>
    <s v="New Mexico"/>
    <s v="Albuquerque"/>
    <s v="Online"/>
    <x v="2"/>
    <n v="74"/>
    <n v="162"/>
    <n v="11988"/>
    <n v="7672.32"/>
  </r>
  <r>
    <x v="1"/>
    <n v="1128299"/>
    <x v="176"/>
    <x v="0"/>
    <s v="New Mexico"/>
    <s v="Albuquerque"/>
    <s v="Outlet"/>
    <x v="4"/>
    <n v="37"/>
    <n v="224"/>
    <n v="8288"/>
    <n v="5055.68"/>
  </r>
  <r>
    <x v="1"/>
    <n v="1128299"/>
    <x v="176"/>
    <x v="0"/>
    <s v="New Mexico"/>
    <s v="Albuquerque"/>
    <s v="Outlet"/>
    <x v="5"/>
    <n v="37"/>
    <n v="128"/>
    <n v="4736"/>
    <n v="2841.6000000000004"/>
  </r>
  <r>
    <x v="1"/>
    <n v="1128299"/>
    <x v="176"/>
    <x v="0"/>
    <s v="New Mexico"/>
    <s v="Albuquerque"/>
    <s v="Outlet"/>
    <x v="3"/>
    <n v="41"/>
    <n v="193"/>
    <n v="7913"/>
    <n v="4747.8"/>
  </r>
  <r>
    <x v="1"/>
    <n v="1128299"/>
    <x v="176"/>
    <x v="0"/>
    <s v="New Mexico"/>
    <s v="Albuquerque"/>
    <s v="Online"/>
    <x v="1"/>
    <n v="56"/>
    <n v="87"/>
    <n v="4872"/>
    <n v="2777.04"/>
  </r>
  <r>
    <x v="1"/>
    <n v="1128299"/>
    <x v="176"/>
    <x v="0"/>
    <s v="New Mexico"/>
    <s v="Albuquerque"/>
    <s v="Outlet"/>
    <x v="0"/>
    <n v="47"/>
    <n v="187"/>
    <n v="8789"/>
    <n v="5009.7299999999996"/>
  </r>
  <r>
    <x v="1"/>
    <n v="1128299"/>
    <x v="176"/>
    <x v="0"/>
    <s v="New Mexico"/>
    <s v="Albuquerque"/>
    <s v="Online"/>
    <x v="5"/>
    <n v="54"/>
    <n v="106"/>
    <n v="5724"/>
    <n v="3148.2000000000003"/>
  </r>
  <r>
    <x v="2"/>
    <n v="1185732"/>
    <x v="176"/>
    <x v="1"/>
    <s v="Illinois"/>
    <s v="Chicago"/>
    <s v="Online"/>
    <x v="3"/>
    <n v="49"/>
    <n v="44"/>
    <n v="2156"/>
    <n v="1164.2400000000002"/>
  </r>
  <r>
    <x v="1"/>
    <n v="1128299"/>
    <x v="176"/>
    <x v="0"/>
    <s v="New Mexico"/>
    <s v="Albuquerque"/>
    <s v="Online"/>
    <x v="4"/>
    <n v="52"/>
    <n v="203"/>
    <n v="10556"/>
    <n v="5489.12"/>
  </r>
  <r>
    <x v="1"/>
    <n v="1128299"/>
    <x v="176"/>
    <x v="0"/>
    <s v="New Mexico"/>
    <s v="Albuquerque"/>
    <s v="Online"/>
    <x v="3"/>
    <n v="54"/>
    <n v="149"/>
    <n v="8046"/>
    <n v="4023"/>
  </r>
  <r>
    <x v="2"/>
    <n v="1185732"/>
    <x v="176"/>
    <x v="1"/>
    <s v="Nebraska"/>
    <s v="Omaha"/>
    <s v="Online"/>
    <x v="4"/>
    <n v="43"/>
    <n v="165"/>
    <n v="7095"/>
    <n v="3476.5499999999997"/>
  </r>
  <r>
    <x v="1"/>
    <n v="1128299"/>
    <x v="176"/>
    <x v="0"/>
    <s v="New Mexico"/>
    <s v="Albuquerque"/>
    <s v="Online"/>
    <x v="0"/>
    <n v="54"/>
    <n v="154"/>
    <n v="8316"/>
    <n v="3991.6800000000003"/>
  </r>
  <r>
    <x v="2"/>
    <n v="1185732"/>
    <x v="177"/>
    <x v="1"/>
    <s v="Nebraska"/>
    <s v="Omaha"/>
    <s v="Outlet"/>
    <x v="0"/>
    <n v="40.000000000000007"/>
    <n v="300"/>
    <n v="12000.000000000002"/>
    <n v="7800.0000000000018"/>
  </r>
  <r>
    <x v="2"/>
    <n v="1185732"/>
    <x v="177"/>
    <x v="1"/>
    <s v="Illinois"/>
    <s v="Chicago"/>
    <s v="Outlet"/>
    <x v="5"/>
    <n v="50"/>
    <n v="100"/>
    <n v="5000"/>
    <n v="3000"/>
  </r>
  <r>
    <x v="2"/>
    <n v="1185732"/>
    <x v="177"/>
    <x v="1"/>
    <s v="Nebraska"/>
    <s v="Omaha"/>
    <s v="Online"/>
    <x v="0"/>
    <n v="37"/>
    <n v="81"/>
    <n v="2997"/>
    <n v="1648.3500000000001"/>
  </r>
  <r>
    <x v="2"/>
    <n v="1185732"/>
    <x v="177"/>
    <x v="1"/>
    <s v="Illinois"/>
    <s v="Chicago"/>
    <s v="Online"/>
    <x v="5"/>
    <n v="48"/>
    <n v="28"/>
    <n v="1344"/>
    <n v="631.67999999999995"/>
  </r>
  <r>
    <x v="2"/>
    <n v="1185732"/>
    <x v="178"/>
    <x v="1"/>
    <s v="Illinois"/>
    <s v="Chicago"/>
    <s v="Outlet"/>
    <x v="1"/>
    <n v="60"/>
    <n v="125"/>
    <n v="7500"/>
    <n v="4875"/>
  </r>
  <r>
    <x v="2"/>
    <n v="1185732"/>
    <x v="178"/>
    <x v="1"/>
    <s v="Nebraska"/>
    <s v="Omaha"/>
    <s v="Outlet"/>
    <x v="3"/>
    <n v="35"/>
    <n v="225"/>
    <n v="7875"/>
    <n v="5118.75"/>
  </r>
  <r>
    <x v="2"/>
    <n v="1185732"/>
    <x v="178"/>
    <x v="1"/>
    <s v="Nebraska"/>
    <s v="Omaha"/>
    <s v="Online"/>
    <x v="3"/>
    <n v="34"/>
    <n v="63"/>
    <n v="2142"/>
    <n v="1178.1000000000001"/>
  </r>
  <r>
    <x v="2"/>
    <n v="1185732"/>
    <x v="178"/>
    <x v="1"/>
    <s v="Illinois"/>
    <s v="Chicago"/>
    <s v="Online"/>
    <x v="1"/>
    <n v="59"/>
    <n v="35"/>
    <n v="2065"/>
    <n v="1115.0999999999999"/>
  </r>
  <r>
    <x v="2"/>
    <n v="1185732"/>
    <x v="179"/>
    <x v="1"/>
    <s v="Nebraska"/>
    <s v="Omaha"/>
    <s v="Outlet"/>
    <x v="5"/>
    <n v="35"/>
    <n v="175"/>
    <n v="6125"/>
    <n v="3675"/>
  </r>
  <r>
    <x v="2"/>
    <n v="1185732"/>
    <x v="179"/>
    <x v="1"/>
    <s v="Illinois"/>
    <s v="Chicago"/>
    <s v="Outlet"/>
    <x v="2"/>
    <n v="65"/>
    <n v="250"/>
    <n v="16250"/>
    <n v="8125"/>
  </r>
  <r>
    <x v="2"/>
    <n v="1185732"/>
    <x v="179"/>
    <x v="1"/>
    <s v="Nebraska"/>
    <s v="Omaha"/>
    <s v="Online"/>
    <x v="5"/>
    <n v="33"/>
    <n v="46"/>
    <n v="1518"/>
    <n v="728.64"/>
  </r>
  <r>
    <x v="2"/>
    <n v="1185732"/>
    <x v="179"/>
    <x v="1"/>
    <s v="Illinois"/>
    <s v="Chicago"/>
    <s v="Online"/>
    <x v="2"/>
    <n v="64"/>
    <n v="63"/>
    <n v="4032"/>
    <n v="1612.8000000000002"/>
  </r>
  <r>
    <x v="2"/>
    <n v="1185732"/>
    <x v="180"/>
    <x v="1"/>
    <s v="Nebraska"/>
    <s v="Omaha"/>
    <s v="Outlet"/>
    <x v="1"/>
    <n v="45"/>
    <n v="175"/>
    <n v="7875"/>
    <n v="5118.75"/>
  </r>
  <r>
    <x v="2"/>
    <n v="1185732"/>
    <x v="180"/>
    <x v="1"/>
    <s v="Illinois"/>
    <s v="Chicago"/>
    <s v="Outlet"/>
    <x v="4"/>
    <n v="50"/>
    <n v="500"/>
    <n v="25000"/>
    <n v="15000"/>
  </r>
  <r>
    <x v="2"/>
    <n v="1185732"/>
    <x v="180"/>
    <x v="1"/>
    <s v="Nebraska"/>
    <s v="Omaha"/>
    <s v="Online"/>
    <x v="1"/>
    <n v="41"/>
    <n v="44"/>
    <n v="1804"/>
    <n v="920.04"/>
  </r>
  <r>
    <x v="2"/>
    <n v="1185732"/>
    <x v="180"/>
    <x v="1"/>
    <s v="Illinois"/>
    <s v="Chicago"/>
    <s v="Online"/>
    <x v="4"/>
    <n v="46"/>
    <n v="135"/>
    <n v="6210"/>
    <n v="2794.4999999999995"/>
  </r>
  <r>
    <x v="2"/>
    <n v="1185732"/>
    <x v="181"/>
    <x v="1"/>
    <s v="Illinois"/>
    <s v="Chicago"/>
    <s v="Outlet"/>
    <x v="0"/>
    <n v="45.000000000000007"/>
    <n v="250"/>
    <n v="11250.000000000002"/>
    <n v="7312.5000000000018"/>
  </r>
  <r>
    <x v="2"/>
    <n v="1185732"/>
    <x v="181"/>
    <x v="1"/>
    <s v="Nebraska"/>
    <s v="Omaha"/>
    <s v="Outlet"/>
    <x v="2"/>
    <n v="50"/>
    <n v="350"/>
    <n v="17500"/>
    <n v="8750"/>
  </r>
  <r>
    <x v="2"/>
    <n v="1185732"/>
    <x v="181"/>
    <x v="1"/>
    <s v="Illinois"/>
    <s v="Chicago"/>
    <s v="Online"/>
    <x v="0"/>
    <n v="43"/>
    <n v="63"/>
    <n v="2709"/>
    <n v="1489.95"/>
  </r>
  <r>
    <x v="2"/>
    <n v="1185732"/>
    <x v="181"/>
    <x v="1"/>
    <s v="Nebraska"/>
    <s v="Omaha"/>
    <s v="Online"/>
    <x v="2"/>
    <n v="49"/>
    <n v="91"/>
    <n v="4459"/>
    <n v="1649.83"/>
  </r>
  <r>
    <x v="0"/>
    <n v="1185732"/>
    <x v="182"/>
    <x v="1"/>
    <s v="Wisconsin"/>
    <s v="Milwaukee"/>
    <s v="In-store"/>
    <x v="4"/>
    <n v="50"/>
    <n v="550"/>
    <n v="27500"/>
    <n v="19250"/>
  </r>
  <r>
    <x v="0"/>
    <n v="1185732"/>
    <x v="182"/>
    <x v="1"/>
    <s v="Wisconsin"/>
    <s v="Milwaukee"/>
    <s v="In-store"/>
    <x v="3"/>
    <n v="40"/>
    <n v="225"/>
    <n v="9000"/>
    <n v="6300"/>
  </r>
  <r>
    <x v="0"/>
    <n v="1185732"/>
    <x v="182"/>
    <x v="1"/>
    <s v="Wisconsin"/>
    <s v="Milwaukee"/>
    <s v="In-store"/>
    <x v="5"/>
    <n v="40"/>
    <n v="175"/>
    <n v="7000"/>
    <n v="4900"/>
  </r>
  <r>
    <x v="0"/>
    <n v="1185732"/>
    <x v="182"/>
    <x v="1"/>
    <s v="Wisconsin"/>
    <s v="Milwaukee"/>
    <s v="In-store"/>
    <x v="0"/>
    <n v="45.000000000000007"/>
    <n v="300"/>
    <n v="13500.000000000002"/>
    <n v="8775.0000000000036"/>
  </r>
  <r>
    <x v="2"/>
    <n v="1185732"/>
    <x v="182"/>
    <x v="1"/>
    <s v="Illinois"/>
    <s v="Chicago"/>
    <s v="Outlet"/>
    <x v="3"/>
    <n v="40"/>
    <n v="200"/>
    <n v="8000"/>
    <n v="5200"/>
  </r>
  <r>
    <x v="3"/>
    <n v="1185732"/>
    <x v="182"/>
    <x v="3"/>
    <s v="North Carolina"/>
    <s v="Charlotte"/>
    <s v="Online"/>
    <x v="0"/>
    <n v="60.000000000000007"/>
    <n v="800"/>
    <n v="48000.000000000007"/>
    <n v="31200.000000000007"/>
  </r>
  <r>
    <x v="3"/>
    <n v="1185732"/>
    <x v="182"/>
    <x v="3"/>
    <s v="North Carolina"/>
    <s v="Charlotte"/>
    <s v="Online"/>
    <x v="1"/>
    <n v="65"/>
    <n v="700"/>
    <n v="45500"/>
    <n v="29575"/>
  </r>
  <r>
    <x v="2"/>
    <n v="1185732"/>
    <x v="182"/>
    <x v="1"/>
    <s v="Nebraska"/>
    <s v="Omaha"/>
    <s v="Outlet"/>
    <x v="4"/>
    <n v="45"/>
    <n v="500"/>
    <n v="22500"/>
    <n v="13500"/>
  </r>
  <r>
    <x v="3"/>
    <n v="1185732"/>
    <x v="182"/>
    <x v="3"/>
    <s v="North Carolina"/>
    <s v="Charlotte"/>
    <s v="Online"/>
    <x v="4"/>
    <n v="65"/>
    <n v="1050"/>
    <n v="68250"/>
    <n v="40950"/>
  </r>
  <r>
    <x v="3"/>
    <n v="1185732"/>
    <x v="182"/>
    <x v="3"/>
    <s v="North Carolina"/>
    <s v="Charlotte"/>
    <s v="Online"/>
    <x v="3"/>
    <n v="55.000000000000007"/>
    <n v="725"/>
    <n v="39875.000000000007"/>
    <n v="23925.000000000004"/>
  </r>
  <r>
    <x v="3"/>
    <n v="1185732"/>
    <x v="182"/>
    <x v="3"/>
    <s v="North Carolina"/>
    <s v="Charlotte"/>
    <s v="Online"/>
    <x v="5"/>
    <n v="55.000000000000007"/>
    <n v="675"/>
    <n v="37125.000000000007"/>
    <n v="22275.000000000004"/>
  </r>
  <r>
    <x v="0"/>
    <n v="1185732"/>
    <x v="182"/>
    <x v="1"/>
    <s v="Wisconsin"/>
    <s v="Milwaukee"/>
    <s v="In-store"/>
    <x v="2"/>
    <n v="55.000000000000007"/>
    <n v="375"/>
    <n v="20625.000000000004"/>
    <n v="12375.000000000002"/>
  </r>
  <r>
    <x v="3"/>
    <n v="1185732"/>
    <x v="182"/>
    <x v="3"/>
    <s v="North Carolina"/>
    <s v="Charlotte"/>
    <s v="Online"/>
    <x v="2"/>
    <n v="70"/>
    <n v="875"/>
    <n v="61250"/>
    <n v="30625"/>
  </r>
  <r>
    <x v="0"/>
    <n v="1185732"/>
    <x v="182"/>
    <x v="1"/>
    <s v="Wisconsin"/>
    <s v="Milwaukee"/>
    <s v="In-store"/>
    <x v="1"/>
    <n v="50"/>
    <n v="200"/>
    <n v="10000"/>
    <n v="5000"/>
  </r>
  <r>
    <x v="0"/>
    <n v="1185732"/>
    <x v="182"/>
    <x v="1"/>
    <s v="Wisconsin"/>
    <s v="Milwaukee"/>
    <s v="Online"/>
    <x v="4"/>
    <n v="45"/>
    <n v="149"/>
    <n v="6705"/>
    <n v="3888.9"/>
  </r>
  <r>
    <x v="0"/>
    <n v="1185732"/>
    <x v="182"/>
    <x v="1"/>
    <s v="Wisconsin"/>
    <s v="Milwaukee"/>
    <s v="Online"/>
    <x v="5"/>
    <n v="38"/>
    <n v="51"/>
    <n v="1938"/>
    <n v="1124.04"/>
  </r>
  <r>
    <x v="0"/>
    <n v="1185732"/>
    <x v="182"/>
    <x v="1"/>
    <s v="Wisconsin"/>
    <s v="Milwaukee"/>
    <s v="Online"/>
    <x v="3"/>
    <n v="38"/>
    <n v="61"/>
    <n v="2318"/>
    <n v="1321.26"/>
  </r>
  <r>
    <x v="2"/>
    <n v="1185732"/>
    <x v="182"/>
    <x v="1"/>
    <s v="Illinois"/>
    <s v="Chicago"/>
    <s v="Online"/>
    <x v="3"/>
    <n v="39"/>
    <n v="54"/>
    <n v="2106"/>
    <n v="1158.3000000000002"/>
  </r>
  <r>
    <x v="3"/>
    <n v="1185732"/>
    <x v="182"/>
    <x v="3"/>
    <s v="North Carolina"/>
    <s v="Charlotte"/>
    <s v="Online"/>
    <x v="1"/>
    <n v="59"/>
    <n v="182"/>
    <n v="10738"/>
    <n v="5476.38"/>
  </r>
  <r>
    <x v="0"/>
    <n v="1185732"/>
    <x v="182"/>
    <x v="1"/>
    <s v="Wisconsin"/>
    <s v="Milwaukee"/>
    <s v="Online"/>
    <x v="0"/>
    <n v="42"/>
    <n v="87"/>
    <n v="3654"/>
    <n v="1863.54"/>
  </r>
  <r>
    <x v="3"/>
    <n v="1185732"/>
    <x v="182"/>
    <x v="3"/>
    <s v="North Carolina"/>
    <s v="Charlotte"/>
    <s v="Online"/>
    <x v="4"/>
    <n v="60"/>
    <n v="294"/>
    <n v="17640"/>
    <n v="8820"/>
  </r>
  <r>
    <x v="3"/>
    <n v="1185732"/>
    <x v="182"/>
    <x v="3"/>
    <s v="North Carolina"/>
    <s v="Charlotte"/>
    <s v="Online"/>
    <x v="0"/>
    <n v="58"/>
    <n v="224"/>
    <n v="12992"/>
    <n v="6496"/>
  </r>
  <r>
    <x v="3"/>
    <n v="1185732"/>
    <x v="182"/>
    <x v="3"/>
    <s v="North Carolina"/>
    <s v="Charlotte"/>
    <s v="Online"/>
    <x v="5"/>
    <n v="52"/>
    <n v="203"/>
    <n v="10556"/>
    <n v="5172.4399999999996"/>
  </r>
  <r>
    <x v="2"/>
    <n v="1185732"/>
    <x v="182"/>
    <x v="1"/>
    <s v="Nebraska"/>
    <s v="Omaha"/>
    <s v="Online"/>
    <x v="4"/>
    <n v="41"/>
    <n v="145"/>
    <n v="5945"/>
    <n v="2794.1499999999996"/>
  </r>
  <r>
    <x v="0"/>
    <n v="1185732"/>
    <x v="182"/>
    <x v="1"/>
    <s v="Wisconsin"/>
    <s v="Milwaukee"/>
    <s v="Online"/>
    <x v="2"/>
    <n v="52"/>
    <n v="94"/>
    <n v="4888"/>
    <n v="2248.48"/>
  </r>
  <r>
    <x v="3"/>
    <n v="1185732"/>
    <x v="182"/>
    <x v="3"/>
    <s v="North Carolina"/>
    <s v="Charlotte"/>
    <s v="Online"/>
    <x v="3"/>
    <n v="53"/>
    <n v="196"/>
    <n v="10388"/>
    <n v="4674.5999999999995"/>
  </r>
  <r>
    <x v="0"/>
    <n v="1185732"/>
    <x v="182"/>
    <x v="1"/>
    <s v="Wisconsin"/>
    <s v="Milwaukee"/>
    <s v="Online"/>
    <x v="1"/>
    <n v="48"/>
    <n v="50"/>
    <n v="2400"/>
    <n v="912"/>
  </r>
  <r>
    <x v="3"/>
    <n v="1185732"/>
    <x v="182"/>
    <x v="3"/>
    <s v="North Carolina"/>
    <s v="Charlotte"/>
    <s v="Online"/>
    <x v="2"/>
    <n v="64"/>
    <n v="263"/>
    <n v="16832"/>
    <n v="6227.84"/>
  </r>
  <r>
    <x v="3"/>
    <n v="1185732"/>
    <x v="183"/>
    <x v="4"/>
    <s v="Connecticut"/>
    <s v="Hartford"/>
    <s v="In-store"/>
    <x v="3"/>
    <n v="45"/>
    <n v="325"/>
    <n v="14625"/>
    <n v="10237.5"/>
  </r>
  <r>
    <x v="3"/>
    <n v="1185732"/>
    <x v="183"/>
    <x v="4"/>
    <s v="Connecticut"/>
    <s v="Hartford"/>
    <s v="In-store"/>
    <x v="5"/>
    <n v="45"/>
    <n v="275"/>
    <n v="12375"/>
    <n v="8662.5"/>
  </r>
  <r>
    <x v="3"/>
    <n v="1185732"/>
    <x v="183"/>
    <x v="4"/>
    <s v="Connecticut"/>
    <s v="Hartford"/>
    <s v="In-store"/>
    <x v="1"/>
    <n v="54.999999999999993"/>
    <n v="300"/>
    <n v="16499.999999999996"/>
    <n v="11549.999999999996"/>
  </r>
  <r>
    <x v="2"/>
    <n v="1185732"/>
    <x v="183"/>
    <x v="1"/>
    <s v="Nebraska"/>
    <s v="Omaha"/>
    <s v="Outlet"/>
    <x v="0"/>
    <n v="45.000000000000007"/>
    <n v="275"/>
    <n v="12375.000000000002"/>
    <n v="8043.7500000000018"/>
  </r>
  <r>
    <x v="3"/>
    <n v="1185732"/>
    <x v="183"/>
    <x v="4"/>
    <s v="Connecticut"/>
    <s v="Hartford"/>
    <s v="In-store"/>
    <x v="2"/>
    <n v="60"/>
    <n v="475"/>
    <n v="28500"/>
    <n v="18525"/>
  </r>
  <r>
    <x v="2"/>
    <n v="1185732"/>
    <x v="183"/>
    <x v="1"/>
    <s v="Illinois"/>
    <s v="Chicago"/>
    <s v="Outlet"/>
    <x v="5"/>
    <n v="40"/>
    <n v="175"/>
    <n v="7000"/>
    <n v="4200"/>
  </r>
  <r>
    <x v="3"/>
    <n v="1185732"/>
    <x v="183"/>
    <x v="4"/>
    <s v="Connecticut"/>
    <s v="Hartford"/>
    <s v="In-store"/>
    <x v="4"/>
    <n v="54.999999999999993"/>
    <n v="650"/>
    <n v="35749.999999999993"/>
    <n v="21449.999999999996"/>
  </r>
  <r>
    <x v="3"/>
    <n v="1185732"/>
    <x v="183"/>
    <x v="4"/>
    <s v="Connecticut"/>
    <s v="Hartford"/>
    <s v="In-store"/>
    <x v="0"/>
    <n v="50"/>
    <n v="400"/>
    <n v="20000"/>
    <n v="12000"/>
  </r>
  <r>
    <x v="3"/>
    <n v="1185732"/>
    <x v="183"/>
    <x v="4"/>
    <s v="Connecticut"/>
    <s v="Hartford"/>
    <s v="Outlet"/>
    <x v="1"/>
    <n v="43"/>
    <n v="93"/>
    <n v="3999"/>
    <n v="2679.33"/>
  </r>
  <r>
    <x v="3"/>
    <n v="1185732"/>
    <x v="183"/>
    <x v="4"/>
    <s v="Connecticut"/>
    <s v="Hartford"/>
    <s v="Outlet"/>
    <x v="3"/>
    <n v="29"/>
    <n v="111"/>
    <n v="3219"/>
    <n v="2124.54"/>
  </r>
  <r>
    <x v="3"/>
    <n v="1185732"/>
    <x v="183"/>
    <x v="4"/>
    <s v="Connecticut"/>
    <s v="Hartford"/>
    <s v="Outlet"/>
    <x v="5"/>
    <n v="34"/>
    <n v="94"/>
    <n v="3196"/>
    <n v="2045.44"/>
  </r>
  <r>
    <x v="3"/>
    <n v="1185732"/>
    <x v="183"/>
    <x v="4"/>
    <s v="Connecticut"/>
    <s v="Hartford"/>
    <s v="Outlet"/>
    <x v="2"/>
    <n v="40"/>
    <n v="152"/>
    <n v="6080"/>
    <n v="3769.6"/>
  </r>
  <r>
    <x v="3"/>
    <n v="1185732"/>
    <x v="183"/>
    <x v="4"/>
    <s v="Connecticut"/>
    <s v="Hartford"/>
    <s v="Outlet"/>
    <x v="0"/>
    <n v="38"/>
    <n v="120"/>
    <n v="4560"/>
    <n v="2644.7999999999997"/>
  </r>
  <r>
    <x v="3"/>
    <n v="1185732"/>
    <x v="183"/>
    <x v="4"/>
    <s v="Connecticut"/>
    <s v="Hartford"/>
    <s v="Online"/>
    <x v="3"/>
    <n v="44"/>
    <n v="81"/>
    <n v="3564"/>
    <n v="1995.84"/>
  </r>
  <r>
    <x v="3"/>
    <n v="1185732"/>
    <x v="183"/>
    <x v="4"/>
    <s v="Connecticut"/>
    <s v="Hartford"/>
    <s v="Online"/>
    <x v="5"/>
    <n v="42"/>
    <n v="80"/>
    <n v="3360"/>
    <n v="1881.6"/>
  </r>
  <r>
    <x v="3"/>
    <n v="1185732"/>
    <x v="183"/>
    <x v="4"/>
    <s v="Connecticut"/>
    <s v="Hartford"/>
    <s v="Online"/>
    <x v="1"/>
    <n v="53"/>
    <n v="81"/>
    <n v="4293"/>
    <n v="2404.08"/>
  </r>
  <r>
    <x v="3"/>
    <n v="1185732"/>
    <x v="183"/>
    <x v="4"/>
    <s v="Connecticut"/>
    <s v="Hartford"/>
    <s v="Outlet"/>
    <x v="4"/>
    <n v="42"/>
    <n v="195"/>
    <n v="8190"/>
    <n v="4504.5"/>
  </r>
  <r>
    <x v="3"/>
    <n v="1185732"/>
    <x v="183"/>
    <x v="4"/>
    <s v="Connecticut"/>
    <s v="Hartford"/>
    <s v="Online"/>
    <x v="2"/>
    <n v="56"/>
    <n v="143"/>
    <n v="8008"/>
    <n v="4164.16"/>
  </r>
  <r>
    <x v="2"/>
    <n v="1185732"/>
    <x v="183"/>
    <x v="1"/>
    <s v="Nebraska"/>
    <s v="Omaha"/>
    <s v="Online"/>
    <x v="0"/>
    <n v="42"/>
    <n v="80"/>
    <n v="3360"/>
    <n v="1713.6000000000001"/>
  </r>
  <r>
    <x v="2"/>
    <n v="1185732"/>
    <x v="183"/>
    <x v="1"/>
    <s v="Illinois"/>
    <s v="Chicago"/>
    <s v="Online"/>
    <x v="5"/>
    <n v="38"/>
    <n v="47"/>
    <n v="1786"/>
    <n v="839.42"/>
  </r>
  <r>
    <x v="3"/>
    <n v="1185732"/>
    <x v="183"/>
    <x v="4"/>
    <s v="Connecticut"/>
    <s v="Hartford"/>
    <s v="Online"/>
    <x v="0"/>
    <n v="48"/>
    <n v="112"/>
    <n v="5376"/>
    <n v="2526.7199999999998"/>
  </r>
  <r>
    <x v="3"/>
    <n v="1185732"/>
    <x v="183"/>
    <x v="4"/>
    <s v="Connecticut"/>
    <s v="Hartford"/>
    <s v="Online"/>
    <x v="4"/>
    <n v="54"/>
    <n v="189"/>
    <n v="10206"/>
    <n v="4694.7599999999993"/>
  </r>
  <r>
    <x v="2"/>
    <n v="1185732"/>
    <x v="184"/>
    <x v="1"/>
    <s v="Illinois"/>
    <s v="Chicago"/>
    <s v="Outlet"/>
    <x v="1"/>
    <n v="50"/>
    <n v="175"/>
    <n v="8750"/>
    <n v="5687.5"/>
  </r>
  <r>
    <x v="2"/>
    <n v="1185732"/>
    <x v="184"/>
    <x v="1"/>
    <s v="Nebraska"/>
    <s v="Omaha"/>
    <s v="Outlet"/>
    <x v="3"/>
    <n v="40"/>
    <n v="200"/>
    <n v="8000"/>
    <n v="5200"/>
  </r>
  <r>
    <x v="2"/>
    <n v="1185732"/>
    <x v="184"/>
    <x v="1"/>
    <s v="Nebraska"/>
    <s v="Omaha"/>
    <s v="Online"/>
    <x v="3"/>
    <n v="36"/>
    <n v="52"/>
    <n v="1872"/>
    <n v="973.44"/>
  </r>
  <r>
    <x v="2"/>
    <n v="1185732"/>
    <x v="184"/>
    <x v="1"/>
    <s v="Illinois"/>
    <s v="Chicago"/>
    <s v="Online"/>
    <x v="1"/>
    <n v="46"/>
    <n v="51"/>
    <n v="2346"/>
    <n v="1173"/>
  </r>
  <r>
    <x v="2"/>
    <n v="1185732"/>
    <x v="185"/>
    <x v="3"/>
    <s v="South Carolina"/>
    <s v="Charleston"/>
    <s v="Online"/>
    <x v="3"/>
    <n v="55.000000000000007"/>
    <n v="825"/>
    <n v="45375.000000000007"/>
    <n v="34031.250000000007"/>
  </r>
  <r>
    <x v="2"/>
    <n v="1185732"/>
    <x v="185"/>
    <x v="3"/>
    <s v="South Carolina"/>
    <s v="Charleston"/>
    <s v="Online"/>
    <x v="5"/>
    <n v="55.000000000000007"/>
    <n v="775"/>
    <n v="42625.000000000007"/>
    <n v="29837.500000000007"/>
  </r>
  <r>
    <x v="2"/>
    <n v="1185732"/>
    <x v="185"/>
    <x v="1"/>
    <s v="Iowa"/>
    <s v="Des Moines"/>
    <s v="In-store"/>
    <x v="4"/>
    <n v="50"/>
    <n v="550"/>
    <n v="27500"/>
    <n v="19250"/>
  </r>
  <r>
    <x v="2"/>
    <n v="1185732"/>
    <x v="185"/>
    <x v="1"/>
    <s v="Iowa"/>
    <s v="Des Moines"/>
    <s v="In-store"/>
    <x v="3"/>
    <n v="40"/>
    <n v="225"/>
    <n v="9000"/>
    <n v="6300"/>
  </r>
  <r>
    <x v="2"/>
    <n v="1185732"/>
    <x v="185"/>
    <x v="1"/>
    <s v="Iowa"/>
    <s v="Des Moines"/>
    <s v="In-store"/>
    <x v="5"/>
    <n v="40"/>
    <n v="175"/>
    <n v="7000"/>
    <n v="4900"/>
  </r>
  <r>
    <x v="2"/>
    <n v="1185732"/>
    <x v="185"/>
    <x v="3"/>
    <s v="South Carolina"/>
    <s v="Charleston"/>
    <s v="Online"/>
    <x v="0"/>
    <n v="60.000000000000007"/>
    <n v="900"/>
    <n v="54000.000000000007"/>
    <n v="35100.000000000015"/>
  </r>
  <r>
    <x v="2"/>
    <n v="1185732"/>
    <x v="185"/>
    <x v="1"/>
    <s v="Iowa"/>
    <s v="Des Moines"/>
    <s v="In-store"/>
    <x v="0"/>
    <n v="45.000000000000007"/>
    <n v="300"/>
    <n v="13500.000000000002"/>
    <n v="8775.0000000000036"/>
  </r>
  <r>
    <x v="2"/>
    <n v="1185732"/>
    <x v="185"/>
    <x v="3"/>
    <s v="South Carolina"/>
    <s v="Charleston"/>
    <s v="Online"/>
    <x v="1"/>
    <n v="65"/>
    <n v="800"/>
    <n v="52000"/>
    <n v="33800"/>
  </r>
  <r>
    <x v="2"/>
    <n v="1185732"/>
    <x v="185"/>
    <x v="1"/>
    <s v="Nebraska"/>
    <s v="Omaha"/>
    <s v="Outlet"/>
    <x v="5"/>
    <n v="30.000000000000004"/>
    <n v="125"/>
    <n v="3750.0000000000005"/>
    <n v="2250.0000000000005"/>
  </r>
  <r>
    <x v="2"/>
    <n v="1185732"/>
    <x v="185"/>
    <x v="1"/>
    <s v="Iowa"/>
    <s v="Des Moines"/>
    <s v="In-store"/>
    <x v="2"/>
    <n v="55.000000000000007"/>
    <n v="375"/>
    <n v="20625.000000000004"/>
    <n v="12375.000000000002"/>
  </r>
  <r>
    <x v="2"/>
    <n v="1185732"/>
    <x v="185"/>
    <x v="3"/>
    <s v="South Carolina"/>
    <s v="Charleston"/>
    <s v="Online"/>
    <x v="4"/>
    <n v="65"/>
    <n v="1150"/>
    <n v="74750"/>
    <n v="41112.5"/>
  </r>
  <r>
    <x v="2"/>
    <n v="1185732"/>
    <x v="185"/>
    <x v="1"/>
    <s v="Illinois"/>
    <s v="Chicago"/>
    <s v="Outlet"/>
    <x v="2"/>
    <n v="55.000000000000007"/>
    <n v="350"/>
    <n v="19250.000000000004"/>
    <n v="9625.0000000000018"/>
  </r>
  <r>
    <x v="2"/>
    <n v="1185732"/>
    <x v="185"/>
    <x v="3"/>
    <s v="South Carolina"/>
    <s v="Charleston"/>
    <s v="Online"/>
    <x v="2"/>
    <n v="70"/>
    <n v="975"/>
    <n v="68250"/>
    <n v="34125"/>
  </r>
  <r>
    <x v="2"/>
    <n v="1185732"/>
    <x v="185"/>
    <x v="1"/>
    <s v="Iowa"/>
    <s v="Des Moines"/>
    <s v="In-store"/>
    <x v="1"/>
    <n v="50"/>
    <n v="200"/>
    <n v="10000"/>
    <n v="5000"/>
  </r>
  <r>
    <x v="2"/>
    <n v="1185732"/>
    <x v="185"/>
    <x v="3"/>
    <s v="South Carolina"/>
    <s v="Charleston"/>
    <s v="Online"/>
    <x v="3"/>
    <n v="51"/>
    <n v="248"/>
    <n v="12648"/>
    <n v="8094.72"/>
  </r>
  <r>
    <x v="2"/>
    <n v="1185732"/>
    <x v="185"/>
    <x v="1"/>
    <s v="Iowa"/>
    <s v="Des Moines"/>
    <s v="Online"/>
    <x v="5"/>
    <n v="37"/>
    <n v="47"/>
    <n v="1739"/>
    <n v="1026.01"/>
  </r>
  <r>
    <x v="2"/>
    <n v="1185732"/>
    <x v="185"/>
    <x v="3"/>
    <s v="South Carolina"/>
    <s v="Charleston"/>
    <s v="Online"/>
    <x v="5"/>
    <n v="52"/>
    <n v="202"/>
    <n v="10504"/>
    <n v="6092.32"/>
  </r>
  <r>
    <x v="2"/>
    <n v="1185732"/>
    <x v="185"/>
    <x v="1"/>
    <s v="Iowa"/>
    <s v="Des Moines"/>
    <s v="Online"/>
    <x v="4"/>
    <n v="49"/>
    <n v="138"/>
    <n v="6762"/>
    <n v="3786.72"/>
  </r>
  <r>
    <x v="2"/>
    <n v="1185732"/>
    <x v="185"/>
    <x v="1"/>
    <s v="Iowa"/>
    <s v="Des Moines"/>
    <s v="Online"/>
    <x v="3"/>
    <n v="36"/>
    <n v="68"/>
    <n v="2448"/>
    <n v="1370.8799999999999"/>
  </r>
  <r>
    <x v="2"/>
    <n v="1185732"/>
    <x v="185"/>
    <x v="3"/>
    <s v="South Carolina"/>
    <s v="Charleston"/>
    <s v="Online"/>
    <x v="1"/>
    <n v="64"/>
    <n v="240"/>
    <n v="15360"/>
    <n v="8448"/>
  </r>
  <r>
    <x v="2"/>
    <n v="1185732"/>
    <x v="185"/>
    <x v="3"/>
    <s v="South Carolina"/>
    <s v="Charleston"/>
    <s v="Online"/>
    <x v="0"/>
    <n v="58"/>
    <n v="270"/>
    <n v="15660"/>
    <n v="7986.6"/>
  </r>
  <r>
    <x v="2"/>
    <n v="1185732"/>
    <x v="185"/>
    <x v="1"/>
    <s v="Iowa"/>
    <s v="Des Moines"/>
    <s v="Online"/>
    <x v="0"/>
    <n v="44"/>
    <n v="87"/>
    <n v="3828"/>
    <n v="1952.28"/>
  </r>
  <r>
    <x v="2"/>
    <n v="1185732"/>
    <x v="185"/>
    <x v="1"/>
    <s v="Iowa"/>
    <s v="Des Moines"/>
    <s v="Online"/>
    <x v="2"/>
    <n v="51"/>
    <n v="94"/>
    <n v="4794"/>
    <n v="2397"/>
  </r>
  <r>
    <x v="2"/>
    <n v="1185732"/>
    <x v="185"/>
    <x v="1"/>
    <s v="Nebraska"/>
    <s v="Omaha"/>
    <s v="Online"/>
    <x v="5"/>
    <n v="29"/>
    <n v="38"/>
    <n v="1102"/>
    <n v="539.98"/>
  </r>
  <r>
    <x v="2"/>
    <n v="1185732"/>
    <x v="185"/>
    <x v="3"/>
    <s v="South Carolina"/>
    <s v="Charleston"/>
    <s v="Online"/>
    <x v="4"/>
    <n v="63"/>
    <n v="311"/>
    <n v="19593"/>
    <n v="8033.1299999999992"/>
  </r>
  <r>
    <x v="2"/>
    <n v="1185732"/>
    <x v="185"/>
    <x v="1"/>
    <s v="Iowa"/>
    <s v="Des Moines"/>
    <s v="Online"/>
    <x v="1"/>
    <n v="46"/>
    <n v="60"/>
    <n v="2760"/>
    <n v="1104"/>
  </r>
  <r>
    <x v="2"/>
    <n v="1185732"/>
    <x v="185"/>
    <x v="1"/>
    <s v="Illinois"/>
    <s v="Chicago"/>
    <s v="Online"/>
    <x v="2"/>
    <n v="51"/>
    <n v="105"/>
    <n v="5355"/>
    <n v="1981.35"/>
  </r>
  <r>
    <x v="2"/>
    <n v="1185732"/>
    <x v="185"/>
    <x v="3"/>
    <s v="South Carolina"/>
    <s v="Charleston"/>
    <s v="Online"/>
    <x v="2"/>
    <n v="66"/>
    <n v="244"/>
    <n v="16104"/>
    <n v="5636.4"/>
  </r>
  <r>
    <x v="2"/>
    <n v="1185732"/>
    <x v="186"/>
    <x v="4"/>
    <s v="Rhode Island"/>
    <s v="Providence"/>
    <s v="In-store"/>
    <x v="1"/>
    <n v="49.999999999999993"/>
    <n v="225"/>
    <n v="11249.999999999998"/>
    <n v="7875"/>
  </r>
  <r>
    <x v="1"/>
    <n v="1185732"/>
    <x v="186"/>
    <x v="4"/>
    <s v="New Jersey"/>
    <s v="Newark"/>
    <s v="In-store"/>
    <x v="1"/>
    <n v="49.999999999999993"/>
    <n v="275"/>
    <n v="13749.999999999998"/>
    <n v="9624.9999999999964"/>
  </r>
  <r>
    <x v="0"/>
    <n v="1197831"/>
    <x v="186"/>
    <x v="0"/>
    <s v="Idaho"/>
    <s v="Boise"/>
    <s v="Online"/>
    <x v="1"/>
    <n v="55.000000000000007"/>
    <n v="525"/>
    <n v="28875.000000000004"/>
    <n v="18768.750000000007"/>
  </r>
  <r>
    <x v="2"/>
    <n v="1185732"/>
    <x v="186"/>
    <x v="1"/>
    <s v="Nebraska"/>
    <s v="Omaha"/>
    <s v="Outlet"/>
    <x v="1"/>
    <n v="40"/>
    <n v="100"/>
    <n v="4000"/>
    <n v="2600"/>
  </r>
  <r>
    <x v="1"/>
    <n v="1185732"/>
    <x v="186"/>
    <x v="4"/>
    <s v="New Jersey"/>
    <s v="Newark"/>
    <s v="In-store"/>
    <x v="4"/>
    <n v="49.999999999999993"/>
    <n v="625"/>
    <n v="31249.999999999996"/>
    <n v="20312.499999999996"/>
  </r>
  <r>
    <x v="1"/>
    <n v="1185732"/>
    <x v="186"/>
    <x v="4"/>
    <s v="New Jersey"/>
    <s v="Newark"/>
    <s v="In-store"/>
    <x v="0"/>
    <n v="45"/>
    <n v="375"/>
    <n v="16875"/>
    <n v="10968.75"/>
  </r>
  <r>
    <x v="2"/>
    <n v="1185732"/>
    <x v="186"/>
    <x v="4"/>
    <s v="Rhode Island"/>
    <s v="Providence"/>
    <s v="In-store"/>
    <x v="4"/>
    <n v="49.999999999999993"/>
    <n v="575"/>
    <n v="28749.999999999996"/>
    <n v="18687.499999999996"/>
  </r>
  <r>
    <x v="2"/>
    <n v="1185732"/>
    <x v="186"/>
    <x v="4"/>
    <s v="Rhode Island"/>
    <s v="Providence"/>
    <s v="In-store"/>
    <x v="0"/>
    <n v="45"/>
    <n v="325"/>
    <n v="14625"/>
    <n v="9506.25"/>
  </r>
  <r>
    <x v="0"/>
    <n v="1197831"/>
    <x v="186"/>
    <x v="0"/>
    <s v="Idaho"/>
    <s v="Boise"/>
    <s v="Online"/>
    <x v="0"/>
    <n v="55.000000000000007"/>
    <n v="775"/>
    <n v="42625.000000000007"/>
    <n v="25575.000000000007"/>
  </r>
  <r>
    <x v="2"/>
    <n v="1185732"/>
    <x v="186"/>
    <x v="1"/>
    <s v="Illinois"/>
    <s v="Chicago"/>
    <s v="Outlet"/>
    <x v="4"/>
    <n v="50"/>
    <n v="575"/>
    <n v="28750"/>
    <n v="17250"/>
  </r>
  <r>
    <x v="0"/>
    <n v="1197831"/>
    <x v="186"/>
    <x v="0"/>
    <s v="Idaho"/>
    <s v="Boise"/>
    <s v="Online"/>
    <x v="4"/>
    <n v="50"/>
    <n v="775"/>
    <n v="38750"/>
    <n v="23250"/>
  </r>
  <r>
    <x v="0"/>
    <n v="1197831"/>
    <x v="186"/>
    <x v="0"/>
    <s v="Idaho"/>
    <s v="Boise"/>
    <s v="Online"/>
    <x v="3"/>
    <n v="50"/>
    <n v="925"/>
    <n v="46250"/>
    <n v="27750"/>
  </r>
  <r>
    <x v="1"/>
    <n v="1185732"/>
    <x v="186"/>
    <x v="4"/>
    <s v="New Jersey"/>
    <s v="Newark"/>
    <s v="In-store"/>
    <x v="3"/>
    <n v="40"/>
    <n v="300"/>
    <n v="12000"/>
    <n v="7200"/>
  </r>
  <r>
    <x v="1"/>
    <n v="1185732"/>
    <x v="186"/>
    <x v="4"/>
    <s v="New Jersey"/>
    <s v="Newark"/>
    <s v="In-store"/>
    <x v="5"/>
    <n v="40"/>
    <n v="250"/>
    <n v="10000"/>
    <n v="6000"/>
  </r>
  <r>
    <x v="1"/>
    <n v="1185732"/>
    <x v="186"/>
    <x v="4"/>
    <s v="New Jersey"/>
    <s v="Newark"/>
    <s v="In-store"/>
    <x v="2"/>
    <n v="54.999999999999993"/>
    <n v="450"/>
    <n v="24749.999999999996"/>
    <n v="14849.999999999996"/>
  </r>
  <r>
    <x v="2"/>
    <n v="1185732"/>
    <x v="186"/>
    <x v="4"/>
    <s v="Rhode Island"/>
    <s v="Providence"/>
    <s v="In-store"/>
    <x v="3"/>
    <n v="40"/>
    <n v="250"/>
    <n v="10000"/>
    <n v="6000"/>
  </r>
  <r>
    <x v="2"/>
    <n v="1185732"/>
    <x v="186"/>
    <x v="4"/>
    <s v="Rhode Island"/>
    <s v="Providence"/>
    <s v="In-store"/>
    <x v="5"/>
    <n v="40"/>
    <n v="200"/>
    <n v="8000"/>
    <n v="4800"/>
  </r>
  <r>
    <x v="2"/>
    <n v="1185732"/>
    <x v="186"/>
    <x v="4"/>
    <s v="Rhode Island"/>
    <s v="Providence"/>
    <s v="In-store"/>
    <x v="2"/>
    <n v="54.999999999999993"/>
    <n v="400"/>
    <n v="21999.999999999996"/>
    <n v="13199.999999999996"/>
  </r>
  <r>
    <x v="0"/>
    <n v="1197831"/>
    <x v="186"/>
    <x v="0"/>
    <s v="Idaho"/>
    <s v="Boise"/>
    <s v="Online"/>
    <x v="5"/>
    <n v="50"/>
    <n v="525"/>
    <n v="26250"/>
    <n v="13125"/>
  </r>
  <r>
    <x v="2"/>
    <n v="1197831"/>
    <x v="186"/>
    <x v="0"/>
    <s v="Idaho"/>
    <s v="Boise"/>
    <s v="Online"/>
    <x v="2"/>
    <n v="65"/>
    <n v="800"/>
    <n v="52000"/>
    <n v="23400"/>
  </r>
  <r>
    <x v="2"/>
    <n v="1185732"/>
    <x v="186"/>
    <x v="4"/>
    <s v="Rhode Island"/>
    <s v="Providence"/>
    <s v="Outlet"/>
    <x v="1"/>
    <n v="33"/>
    <n v="68"/>
    <n v="2244"/>
    <n v="1481.04"/>
  </r>
  <r>
    <x v="2"/>
    <n v="1185732"/>
    <x v="186"/>
    <x v="4"/>
    <s v="Rhode Island"/>
    <s v="Providence"/>
    <s v="Outlet"/>
    <x v="0"/>
    <n v="32"/>
    <n v="114"/>
    <n v="3648"/>
    <n v="2298.2399999999998"/>
  </r>
  <r>
    <x v="2"/>
    <n v="1185732"/>
    <x v="186"/>
    <x v="4"/>
    <s v="Rhode Island"/>
    <s v="Providence"/>
    <s v="Outlet"/>
    <x v="4"/>
    <n v="38"/>
    <n v="173"/>
    <n v="6574"/>
    <n v="4075.88"/>
  </r>
  <r>
    <x v="2"/>
    <n v="1185732"/>
    <x v="186"/>
    <x v="4"/>
    <s v="Rhode Island"/>
    <s v="Providence"/>
    <s v="Online"/>
    <x v="1"/>
    <n v="47"/>
    <n v="63"/>
    <n v="2961"/>
    <n v="1776.6"/>
  </r>
  <r>
    <x v="0"/>
    <n v="1197831"/>
    <x v="186"/>
    <x v="0"/>
    <s v="Idaho"/>
    <s v="Boise"/>
    <s v="Outlet"/>
    <x v="1"/>
    <n v="43"/>
    <n v="173"/>
    <n v="7439"/>
    <n v="4463.3999999999996"/>
  </r>
  <r>
    <x v="0"/>
    <n v="1197831"/>
    <x v="186"/>
    <x v="0"/>
    <s v="Idaho"/>
    <s v="Boise"/>
    <s v="Outlet"/>
    <x v="3"/>
    <n v="34"/>
    <n v="278"/>
    <n v="9452"/>
    <n v="5482.16"/>
  </r>
  <r>
    <x v="2"/>
    <n v="1185732"/>
    <x v="186"/>
    <x v="4"/>
    <s v="Rhode Island"/>
    <s v="Providence"/>
    <s v="Outlet"/>
    <x v="2"/>
    <n v="38"/>
    <n v="136"/>
    <n v="5168"/>
    <n v="2997.4399999999996"/>
  </r>
  <r>
    <x v="0"/>
    <n v="1197831"/>
    <x v="186"/>
    <x v="0"/>
    <s v="Idaho"/>
    <s v="Boise"/>
    <s v="Outlet"/>
    <x v="0"/>
    <n v="40"/>
    <n v="271"/>
    <n v="10840"/>
    <n v="6178.8000000000011"/>
  </r>
  <r>
    <x v="1"/>
    <n v="1185732"/>
    <x v="186"/>
    <x v="4"/>
    <s v="New Jersey"/>
    <s v="Newark"/>
    <s v="Online"/>
    <x v="1"/>
    <n v="48"/>
    <n v="74"/>
    <n v="3552"/>
    <n v="2024.64"/>
  </r>
  <r>
    <x v="2"/>
    <n v="1185732"/>
    <x v="186"/>
    <x v="4"/>
    <s v="Rhode Island"/>
    <s v="Providence"/>
    <s v="Online"/>
    <x v="4"/>
    <n v="46"/>
    <n v="167"/>
    <n v="7682"/>
    <n v="4225.1000000000004"/>
  </r>
  <r>
    <x v="2"/>
    <n v="1185732"/>
    <x v="186"/>
    <x v="4"/>
    <s v="Rhode Island"/>
    <s v="Providence"/>
    <s v="Outlet"/>
    <x v="3"/>
    <n v="27"/>
    <n v="78"/>
    <n v="2106"/>
    <n v="1158.3"/>
  </r>
  <r>
    <x v="0"/>
    <n v="1197831"/>
    <x v="186"/>
    <x v="0"/>
    <s v="Idaho"/>
    <s v="Boise"/>
    <s v="Outlet"/>
    <x v="4"/>
    <n v="35"/>
    <n v="264"/>
    <n v="9240"/>
    <n v="4989.6000000000004"/>
  </r>
  <r>
    <x v="2"/>
    <n v="1185732"/>
    <x v="186"/>
    <x v="4"/>
    <s v="Rhode Island"/>
    <s v="Providence"/>
    <s v="Outlet"/>
    <x v="5"/>
    <n v="31"/>
    <n v="60"/>
    <n v="1860"/>
    <n v="1004.4"/>
  </r>
  <r>
    <x v="1"/>
    <n v="1185732"/>
    <x v="186"/>
    <x v="4"/>
    <s v="New Jersey"/>
    <s v="Newark"/>
    <s v="Online"/>
    <x v="4"/>
    <n v="47"/>
    <n v="188"/>
    <n v="8836"/>
    <n v="4683.08"/>
  </r>
  <r>
    <x v="2"/>
    <n v="1185732"/>
    <x v="186"/>
    <x v="1"/>
    <s v="Nebraska"/>
    <s v="Omaha"/>
    <s v="Online"/>
    <x v="1"/>
    <n v="37"/>
    <n v="27"/>
    <n v="999"/>
    <n v="519.48"/>
  </r>
  <r>
    <x v="0"/>
    <n v="1197831"/>
    <x v="186"/>
    <x v="0"/>
    <s v="Idaho"/>
    <s v="Boise"/>
    <s v="Online"/>
    <x v="1"/>
    <n v="53"/>
    <n v="131"/>
    <n v="6943"/>
    <n v="3610.36"/>
  </r>
  <r>
    <x v="0"/>
    <n v="1197831"/>
    <x v="186"/>
    <x v="0"/>
    <s v="Idaho"/>
    <s v="Boise"/>
    <s v="Online"/>
    <x v="4"/>
    <n v="48"/>
    <n v="217"/>
    <n v="10416"/>
    <n v="5208"/>
  </r>
  <r>
    <x v="1"/>
    <n v="1185732"/>
    <x v="186"/>
    <x v="4"/>
    <s v="New Jersey"/>
    <s v="Newark"/>
    <s v="Online"/>
    <x v="0"/>
    <n v="42"/>
    <n v="98"/>
    <n v="4116"/>
    <n v="2058"/>
  </r>
  <r>
    <x v="2"/>
    <n v="1185732"/>
    <x v="186"/>
    <x v="4"/>
    <s v="Rhode Island"/>
    <s v="Providence"/>
    <s v="Online"/>
    <x v="0"/>
    <n v="41"/>
    <n v="81"/>
    <n v="3321"/>
    <n v="1660.5"/>
  </r>
  <r>
    <x v="2"/>
    <n v="1185732"/>
    <x v="186"/>
    <x v="4"/>
    <s v="Rhode Island"/>
    <s v="Providence"/>
    <s v="Online"/>
    <x v="2"/>
    <n v="50"/>
    <n v="116"/>
    <n v="5800"/>
    <n v="2900"/>
  </r>
  <r>
    <x v="2"/>
    <n v="1185732"/>
    <x v="186"/>
    <x v="1"/>
    <s v="Illinois"/>
    <s v="Chicago"/>
    <s v="Online"/>
    <x v="4"/>
    <n v="47"/>
    <n v="161"/>
    <n v="7567"/>
    <n v="3632.16"/>
  </r>
  <r>
    <x v="0"/>
    <n v="1197831"/>
    <x v="186"/>
    <x v="0"/>
    <s v="Idaho"/>
    <s v="Boise"/>
    <s v="Online"/>
    <x v="0"/>
    <n v="52"/>
    <n v="202"/>
    <n v="10504"/>
    <n v="5041.92"/>
  </r>
  <r>
    <x v="1"/>
    <n v="1185732"/>
    <x v="186"/>
    <x v="4"/>
    <s v="New Jersey"/>
    <s v="Newark"/>
    <s v="Online"/>
    <x v="3"/>
    <n v="37"/>
    <n v="81"/>
    <n v="2997"/>
    <n v="1438.56"/>
  </r>
  <r>
    <x v="2"/>
    <n v="1185732"/>
    <x v="186"/>
    <x v="4"/>
    <s v="Rhode Island"/>
    <s v="Providence"/>
    <s v="Online"/>
    <x v="3"/>
    <n v="37"/>
    <n v="65"/>
    <n v="2405"/>
    <n v="1154.3999999999999"/>
  </r>
  <r>
    <x v="2"/>
    <n v="1185732"/>
    <x v="186"/>
    <x v="4"/>
    <s v="Rhode Island"/>
    <s v="Providence"/>
    <s v="Online"/>
    <x v="5"/>
    <n v="37"/>
    <n v="58"/>
    <n v="2146"/>
    <n v="1030.08"/>
  </r>
  <r>
    <x v="1"/>
    <n v="1185732"/>
    <x v="186"/>
    <x v="4"/>
    <s v="New Jersey"/>
    <s v="Newark"/>
    <s v="Online"/>
    <x v="2"/>
    <n v="54"/>
    <n v="131"/>
    <n v="7074"/>
    <n v="3324.7799999999997"/>
  </r>
  <r>
    <x v="0"/>
    <n v="1197831"/>
    <x v="186"/>
    <x v="0"/>
    <s v="Idaho"/>
    <s v="Boise"/>
    <s v="Outlet"/>
    <x v="5"/>
    <n v="38"/>
    <n v="158"/>
    <n v="6004"/>
    <n v="2821.8799999999997"/>
  </r>
  <r>
    <x v="1"/>
    <n v="1185732"/>
    <x v="186"/>
    <x v="4"/>
    <s v="New Jersey"/>
    <s v="Newark"/>
    <s v="Online"/>
    <x v="5"/>
    <n v="36"/>
    <n v="63"/>
    <n v="2268"/>
    <n v="1043.28"/>
  </r>
  <r>
    <x v="0"/>
    <n v="1197831"/>
    <x v="186"/>
    <x v="0"/>
    <s v="Idaho"/>
    <s v="Boise"/>
    <s v="Online"/>
    <x v="3"/>
    <n v="46"/>
    <n v="241"/>
    <n v="11086"/>
    <n v="4988.7000000000007"/>
  </r>
  <r>
    <x v="2"/>
    <n v="1197831"/>
    <x v="186"/>
    <x v="0"/>
    <s v="Idaho"/>
    <s v="Boise"/>
    <s v="Outlet"/>
    <x v="2"/>
    <n v="51"/>
    <n v="264"/>
    <n v="13464"/>
    <n v="5520.2399999999989"/>
  </r>
  <r>
    <x v="0"/>
    <n v="1197831"/>
    <x v="186"/>
    <x v="0"/>
    <s v="Idaho"/>
    <s v="Boise"/>
    <s v="Online"/>
    <x v="5"/>
    <n v="47"/>
    <n v="137"/>
    <n v="6439"/>
    <n v="2318.04"/>
  </r>
  <r>
    <x v="2"/>
    <n v="1197831"/>
    <x v="186"/>
    <x v="0"/>
    <s v="Idaho"/>
    <s v="Boise"/>
    <s v="Online"/>
    <x v="2"/>
    <n v="64"/>
    <n v="208"/>
    <n v="13312"/>
    <n v="4126.7199999999993"/>
  </r>
  <r>
    <x v="2"/>
    <n v="1185732"/>
    <x v="187"/>
    <x v="1"/>
    <s v="Illinois"/>
    <s v="Chicago"/>
    <s v="Outlet"/>
    <x v="0"/>
    <n v="45.000000000000007"/>
    <n v="325"/>
    <n v="14625.000000000002"/>
    <n v="9506.2500000000036"/>
  </r>
  <r>
    <x v="2"/>
    <n v="1185732"/>
    <x v="187"/>
    <x v="1"/>
    <s v="Nebraska"/>
    <s v="Omaha"/>
    <s v="Outlet"/>
    <x v="2"/>
    <n v="45"/>
    <n v="275"/>
    <n v="12375"/>
    <n v="6187.5"/>
  </r>
  <r>
    <x v="2"/>
    <n v="1185732"/>
    <x v="187"/>
    <x v="1"/>
    <s v="Illinois"/>
    <s v="Chicago"/>
    <s v="Online"/>
    <x v="0"/>
    <n v="43"/>
    <n v="81"/>
    <n v="3483"/>
    <n v="1915.65"/>
  </r>
  <r>
    <x v="2"/>
    <n v="1185732"/>
    <x v="187"/>
    <x v="1"/>
    <s v="Nebraska"/>
    <s v="Omaha"/>
    <s v="Online"/>
    <x v="2"/>
    <n v="44"/>
    <n v="69"/>
    <n v="3036"/>
    <n v="1214.4000000000001"/>
  </r>
  <r>
    <x v="0"/>
    <n v="1185732"/>
    <x v="188"/>
    <x v="4"/>
    <s v="New York"/>
    <s v="Albany"/>
    <s v="In-store"/>
    <x v="3"/>
    <n v="55.000000000000007"/>
    <n v="625"/>
    <n v="34375.000000000007"/>
    <n v="25781.250000000007"/>
  </r>
  <r>
    <x v="3"/>
    <n v="1185732"/>
    <x v="188"/>
    <x v="1"/>
    <s v="North Dakota"/>
    <s v="Fargo"/>
    <s v="In-store"/>
    <x v="0"/>
    <n v="45.000000000000007"/>
    <n v="300"/>
    <n v="13500.000000000002"/>
    <n v="9450.0000000000036"/>
  </r>
  <r>
    <x v="0"/>
    <n v="1185732"/>
    <x v="188"/>
    <x v="4"/>
    <s v="New York"/>
    <s v="Albany"/>
    <s v="In-store"/>
    <x v="5"/>
    <n v="55.000000000000007"/>
    <n v="575"/>
    <n v="31625.000000000004"/>
    <n v="22137.500000000007"/>
  </r>
  <r>
    <x v="3"/>
    <n v="1185732"/>
    <x v="188"/>
    <x v="1"/>
    <s v="North Dakota"/>
    <s v="Fargo"/>
    <s v="In-store"/>
    <x v="3"/>
    <n v="40"/>
    <n v="225"/>
    <n v="9000"/>
    <n v="6300"/>
  </r>
  <r>
    <x v="3"/>
    <n v="1185732"/>
    <x v="188"/>
    <x v="1"/>
    <s v="North Dakota"/>
    <s v="Fargo"/>
    <s v="In-store"/>
    <x v="5"/>
    <n v="40"/>
    <n v="175"/>
    <n v="7000"/>
    <n v="4900"/>
  </r>
  <r>
    <x v="2"/>
    <n v="1185732"/>
    <x v="188"/>
    <x v="1"/>
    <s v="Illinois"/>
    <s v="Chicago"/>
    <s v="Outlet"/>
    <x v="3"/>
    <n v="40"/>
    <n v="250"/>
    <n v="10000"/>
    <n v="6500"/>
  </r>
  <r>
    <x v="0"/>
    <n v="1185732"/>
    <x v="188"/>
    <x v="4"/>
    <s v="New York"/>
    <s v="Albany"/>
    <s v="In-store"/>
    <x v="0"/>
    <n v="60.000000000000007"/>
    <n v="700"/>
    <n v="42000.000000000007"/>
    <n v="27300.000000000007"/>
  </r>
  <r>
    <x v="0"/>
    <n v="1185732"/>
    <x v="188"/>
    <x v="4"/>
    <s v="New York"/>
    <s v="Albany"/>
    <s v="In-store"/>
    <x v="1"/>
    <n v="65"/>
    <n v="600"/>
    <n v="39000"/>
    <n v="25350"/>
  </r>
  <r>
    <x v="3"/>
    <n v="1185732"/>
    <x v="188"/>
    <x v="1"/>
    <s v="North Dakota"/>
    <s v="Fargo"/>
    <s v="In-store"/>
    <x v="4"/>
    <n v="50"/>
    <n v="550"/>
    <n v="27500"/>
    <n v="17875"/>
  </r>
  <r>
    <x v="3"/>
    <n v="1185732"/>
    <x v="188"/>
    <x v="1"/>
    <s v="North Dakota"/>
    <s v="Fargo"/>
    <s v="In-store"/>
    <x v="1"/>
    <n v="50"/>
    <n v="200"/>
    <n v="10000"/>
    <n v="6500"/>
  </r>
  <r>
    <x v="2"/>
    <n v="1185732"/>
    <x v="188"/>
    <x v="1"/>
    <s v="Nebraska"/>
    <s v="Omaha"/>
    <s v="Outlet"/>
    <x v="4"/>
    <n v="40"/>
    <n v="400"/>
    <n v="16000"/>
    <n v="9600"/>
  </r>
  <r>
    <x v="3"/>
    <n v="1185732"/>
    <x v="188"/>
    <x v="1"/>
    <s v="North Dakota"/>
    <s v="Fargo"/>
    <s v="In-store"/>
    <x v="2"/>
    <n v="55.000000000000007"/>
    <n v="375"/>
    <n v="20625.000000000004"/>
    <n v="12375.000000000002"/>
  </r>
  <r>
    <x v="0"/>
    <n v="1185732"/>
    <x v="188"/>
    <x v="4"/>
    <s v="New York"/>
    <s v="Albany"/>
    <s v="In-store"/>
    <x v="4"/>
    <n v="65"/>
    <n v="950"/>
    <n v="61750"/>
    <n v="33962.5"/>
  </r>
  <r>
    <x v="0"/>
    <n v="1185732"/>
    <x v="188"/>
    <x v="4"/>
    <s v="New York"/>
    <s v="Albany"/>
    <s v="In-store"/>
    <x v="2"/>
    <n v="70"/>
    <n v="775"/>
    <n v="54250"/>
    <n v="27125"/>
  </r>
  <r>
    <x v="0"/>
    <n v="1185732"/>
    <x v="188"/>
    <x v="4"/>
    <s v="New York"/>
    <s v="Albany"/>
    <s v="Online"/>
    <x v="3"/>
    <n v="51"/>
    <n v="169"/>
    <n v="8619"/>
    <n v="5602.35"/>
  </r>
  <r>
    <x v="3"/>
    <n v="1185732"/>
    <x v="188"/>
    <x v="1"/>
    <s v="North Dakota"/>
    <s v="Fargo"/>
    <s v="Online"/>
    <x v="3"/>
    <n v="37"/>
    <n v="59"/>
    <n v="2183"/>
    <n v="1309.8"/>
  </r>
  <r>
    <x v="3"/>
    <n v="1185732"/>
    <x v="188"/>
    <x v="1"/>
    <s v="North Dakota"/>
    <s v="Fargo"/>
    <s v="Online"/>
    <x v="0"/>
    <n v="44"/>
    <n v="84"/>
    <n v="3696"/>
    <n v="2106.7200000000003"/>
  </r>
  <r>
    <x v="0"/>
    <n v="1185732"/>
    <x v="188"/>
    <x v="4"/>
    <s v="New York"/>
    <s v="Albany"/>
    <s v="Online"/>
    <x v="5"/>
    <n v="53"/>
    <n v="150"/>
    <n v="7950"/>
    <n v="4531.5"/>
  </r>
  <r>
    <x v="3"/>
    <n v="1185732"/>
    <x v="188"/>
    <x v="1"/>
    <s v="North Dakota"/>
    <s v="Fargo"/>
    <s v="Online"/>
    <x v="5"/>
    <n v="38"/>
    <n v="53"/>
    <n v="2014"/>
    <n v="1147.98"/>
  </r>
  <r>
    <x v="2"/>
    <n v="1185732"/>
    <x v="188"/>
    <x v="1"/>
    <s v="Illinois"/>
    <s v="Chicago"/>
    <s v="Online"/>
    <x v="3"/>
    <n v="36"/>
    <n v="65"/>
    <n v="2340"/>
    <n v="1287"/>
  </r>
  <r>
    <x v="0"/>
    <n v="1185732"/>
    <x v="188"/>
    <x v="4"/>
    <s v="New York"/>
    <s v="Albany"/>
    <s v="Online"/>
    <x v="0"/>
    <n v="56"/>
    <n v="196"/>
    <n v="10976"/>
    <n v="6036.8"/>
  </r>
  <r>
    <x v="0"/>
    <n v="1185732"/>
    <x v="188"/>
    <x v="4"/>
    <s v="New York"/>
    <s v="Albany"/>
    <s v="Online"/>
    <x v="1"/>
    <n v="62"/>
    <n v="168"/>
    <n v="10416"/>
    <n v="5624.64"/>
  </r>
  <r>
    <x v="3"/>
    <n v="1185732"/>
    <x v="188"/>
    <x v="1"/>
    <s v="North Dakota"/>
    <s v="Fargo"/>
    <s v="Online"/>
    <x v="1"/>
    <n v="49"/>
    <n v="60"/>
    <n v="2940"/>
    <n v="1587.6000000000001"/>
  </r>
  <r>
    <x v="3"/>
    <n v="1185732"/>
    <x v="188"/>
    <x v="1"/>
    <s v="North Dakota"/>
    <s v="Fargo"/>
    <s v="Online"/>
    <x v="4"/>
    <n v="48"/>
    <n v="160"/>
    <n v="7680"/>
    <n v="3916.8"/>
  </r>
  <r>
    <x v="2"/>
    <n v="1185732"/>
    <x v="188"/>
    <x v="1"/>
    <s v="Nebraska"/>
    <s v="Omaha"/>
    <s v="Online"/>
    <x v="4"/>
    <n v="38"/>
    <n v="112"/>
    <n v="4256"/>
    <n v="1957.7599999999998"/>
  </r>
  <r>
    <x v="3"/>
    <n v="1185732"/>
    <x v="188"/>
    <x v="1"/>
    <s v="North Dakota"/>
    <s v="Fargo"/>
    <s v="Online"/>
    <x v="2"/>
    <n v="54"/>
    <n v="98"/>
    <n v="5292"/>
    <n v="2434.3199999999997"/>
  </r>
  <r>
    <x v="0"/>
    <n v="1185732"/>
    <x v="188"/>
    <x v="4"/>
    <s v="New York"/>
    <s v="Albany"/>
    <s v="Online"/>
    <x v="4"/>
    <n v="59"/>
    <n v="247"/>
    <n v="14573"/>
    <n v="6557.8499999999995"/>
  </r>
  <r>
    <x v="0"/>
    <n v="1185732"/>
    <x v="188"/>
    <x v="4"/>
    <s v="New York"/>
    <s v="Albany"/>
    <s v="Online"/>
    <x v="2"/>
    <n v="66"/>
    <n v="194"/>
    <n v="12804"/>
    <n v="4481.3999999999996"/>
  </r>
  <r>
    <x v="2"/>
    <n v="1128299"/>
    <x v="189"/>
    <x v="0"/>
    <s v="Hawaii"/>
    <s v="Honolulu"/>
    <s v="Outlet"/>
    <x v="1"/>
    <n v="85.000000000000014"/>
    <n v="550"/>
    <n v="46750.000000000007"/>
    <n v="39737.500000000007"/>
  </r>
  <r>
    <x v="2"/>
    <n v="1128299"/>
    <x v="189"/>
    <x v="0"/>
    <s v="Hawaii"/>
    <s v="Honolulu"/>
    <s v="Outlet"/>
    <x v="0"/>
    <n v="85.000000000000014"/>
    <n v="650"/>
    <n v="55250.000000000007"/>
    <n v="44200.000000000015"/>
  </r>
  <r>
    <x v="2"/>
    <n v="1128299"/>
    <x v="189"/>
    <x v="0"/>
    <s v="Hawaii"/>
    <s v="Honolulu"/>
    <s v="Outlet"/>
    <x v="4"/>
    <n v="80"/>
    <n v="800"/>
    <n v="64000"/>
    <n v="48000"/>
  </r>
  <r>
    <x v="2"/>
    <n v="1128299"/>
    <x v="189"/>
    <x v="0"/>
    <s v="Hawaii"/>
    <s v="Honolulu"/>
    <s v="Outlet"/>
    <x v="3"/>
    <n v="85.000000000000014"/>
    <n v="600"/>
    <n v="51000.000000000007"/>
    <n v="38250.000000000007"/>
  </r>
  <r>
    <x v="2"/>
    <n v="1128299"/>
    <x v="189"/>
    <x v="0"/>
    <s v="Hawaii"/>
    <s v="Honolulu"/>
    <s v="Outlet"/>
    <x v="5"/>
    <n v="80"/>
    <n v="500"/>
    <n v="40000"/>
    <n v="30000"/>
  </r>
  <r>
    <x v="0"/>
    <n v="1185732"/>
    <x v="189"/>
    <x v="1"/>
    <s v="Indiana"/>
    <s v="Indianapolis"/>
    <s v="In-store"/>
    <x v="1"/>
    <n v="55.000000000000007"/>
    <n v="200"/>
    <n v="11000.000000000002"/>
    <n v="7700.0000000000018"/>
  </r>
  <r>
    <x v="2"/>
    <n v="1185732"/>
    <x v="189"/>
    <x v="1"/>
    <s v="Nebraska"/>
    <s v="Omaha"/>
    <s v="Outlet"/>
    <x v="0"/>
    <n v="35.000000000000007"/>
    <n v="200"/>
    <n v="7000.0000000000018"/>
    <n v="4550.0000000000018"/>
  </r>
  <r>
    <x v="4"/>
    <n v="1185732"/>
    <x v="189"/>
    <x v="1"/>
    <s v="Ohio"/>
    <s v="Columbus"/>
    <s v="Online"/>
    <x v="0"/>
    <n v="60.000000000000007"/>
    <n v="650"/>
    <n v="39000.000000000007"/>
    <n v="25350.000000000007"/>
  </r>
  <r>
    <x v="4"/>
    <n v="1185732"/>
    <x v="189"/>
    <x v="1"/>
    <s v="Ohio"/>
    <s v="Columbus"/>
    <s v="Online"/>
    <x v="1"/>
    <n v="65"/>
    <n v="550"/>
    <n v="35750"/>
    <n v="23237.5"/>
  </r>
  <r>
    <x v="0"/>
    <n v="1185732"/>
    <x v="189"/>
    <x v="1"/>
    <s v="Indiana"/>
    <s v="Indianapolis"/>
    <s v="In-store"/>
    <x v="3"/>
    <n v="45"/>
    <n v="225"/>
    <n v="10125"/>
    <n v="6581.25"/>
  </r>
  <r>
    <x v="0"/>
    <n v="1185732"/>
    <x v="189"/>
    <x v="1"/>
    <s v="Indiana"/>
    <s v="Indianapolis"/>
    <s v="In-store"/>
    <x v="5"/>
    <n v="45"/>
    <n v="175"/>
    <n v="7875"/>
    <n v="5118.75"/>
  </r>
  <r>
    <x v="2"/>
    <n v="1185732"/>
    <x v="189"/>
    <x v="1"/>
    <s v="Illinois"/>
    <s v="Chicago"/>
    <s v="Outlet"/>
    <x v="5"/>
    <n v="40"/>
    <n v="200"/>
    <n v="8000"/>
    <n v="4800"/>
  </r>
  <r>
    <x v="2"/>
    <n v="1128299"/>
    <x v="189"/>
    <x v="0"/>
    <s v="Hawaii"/>
    <s v="Honolulu"/>
    <s v="Outlet"/>
    <x v="2"/>
    <n v="100"/>
    <n v="550"/>
    <n v="55000"/>
    <n v="33000"/>
  </r>
  <r>
    <x v="4"/>
    <n v="1185732"/>
    <x v="189"/>
    <x v="1"/>
    <s v="Ohio"/>
    <s v="Columbus"/>
    <s v="Online"/>
    <x v="4"/>
    <n v="65"/>
    <n v="900"/>
    <n v="58500"/>
    <n v="35100"/>
  </r>
  <r>
    <x v="4"/>
    <n v="1185732"/>
    <x v="189"/>
    <x v="1"/>
    <s v="Ohio"/>
    <s v="Columbus"/>
    <s v="Online"/>
    <x v="3"/>
    <n v="55.000000000000007"/>
    <n v="575"/>
    <n v="31625.000000000004"/>
    <n v="18975.000000000004"/>
  </r>
  <r>
    <x v="4"/>
    <n v="1185732"/>
    <x v="189"/>
    <x v="1"/>
    <s v="Ohio"/>
    <s v="Columbus"/>
    <s v="Online"/>
    <x v="5"/>
    <n v="55.000000000000007"/>
    <n v="525"/>
    <n v="28875.000000000004"/>
    <n v="17325.000000000004"/>
  </r>
  <r>
    <x v="0"/>
    <n v="1185732"/>
    <x v="189"/>
    <x v="1"/>
    <s v="Indiana"/>
    <s v="Indianapolis"/>
    <s v="In-store"/>
    <x v="4"/>
    <n v="55.000000000000007"/>
    <n v="550"/>
    <n v="30250.000000000004"/>
    <n v="18150.000000000004"/>
  </r>
  <r>
    <x v="0"/>
    <n v="1185732"/>
    <x v="189"/>
    <x v="1"/>
    <s v="Indiana"/>
    <s v="Indianapolis"/>
    <s v="In-store"/>
    <x v="0"/>
    <n v="50.000000000000014"/>
    <n v="300"/>
    <n v="15000.000000000004"/>
    <n v="9000.0000000000018"/>
  </r>
  <r>
    <x v="0"/>
    <n v="1185732"/>
    <x v="189"/>
    <x v="1"/>
    <s v="Indiana"/>
    <s v="Indianapolis"/>
    <s v="In-store"/>
    <x v="2"/>
    <n v="60.000000000000007"/>
    <n v="375"/>
    <n v="22500.000000000004"/>
    <n v="13500"/>
  </r>
  <r>
    <x v="4"/>
    <n v="1185732"/>
    <x v="189"/>
    <x v="1"/>
    <s v="Ohio"/>
    <s v="Columbus"/>
    <s v="Online"/>
    <x v="2"/>
    <n v="70"/>
    <n v="725"/>
    <n v="50750"/>
    <n v="25375"/>
  </r>
  <r>
    <x v="2"/>
    <n v="1128299"/>
    <x v="189"/>
    <x v="0"/>
    <s v="Hawaii"/>
    <s v="Honolulu"/>
    <s v="Online"/>
    <x v="1"/>
    <n v="80"/>
    <n v="149"/>
    <n v="11920"/>
    <n v="8344"/>
  </r>
  <r>
    <x v="2"/>
    <n v="1128299"/>
    <x v="189"/>
    <x v="0"/>
    <s v="Hawaii"/>
    <s v="Honolulu"/>
    <s v="Online"/>
    <x v="0"/>
    <n v="81"/>
    <n v="182"/>
    <n v="14742"/>
    <n v="9729.7199999999993"/>
  </r>
  <r>
    <x v="2"/>
    <n v="1128299"/>
    <x v="189"/>
    <x v="0"/>
    <s v="Hawaii"/>
    <s v="Honolulu"/>
    <s v="Online"/>
    <x v="3"/>
    <n v="79"/>
    <n v="150"/>
    <n v="11850"/>
    <n v="7584"/>
  </r>
  <r>
    <x v="2"/>
    <n v="1128299"/>
    <x v="189"/>
    <x v="0"/>
    <s v="Hawaii"/>
    <s v="Honolulu"/>
    <s v="Online"/>
    <x v="4"/>
    <n v="74"/>
    <n v="208"/>
    <n v="15392"/>
    <n v="9696.9599999999991"/>
  </r>
  <r>
    <x v="2"/>
    <n v="1128299"/>
    <x v="189"/>
    <x v="0"/>
    <s v="Hawaii"/>
    <s v="Honolulu"/>
    <s v="Online"/>
    <x v="5"/>
    <n v="73"/>
    <n v="130"/>
    <n v="9490"/>
    <n v="5694"/>
  </r>
  <r>
    <x v="0"/>
    <n v="1185732"/>
    <x v="189"/>
    <x v="1"/>
    <s v="Indiana"/>
    <s v="Indianapolis"/>
    <s v="Online"/>
    <x v="1"/>
    <n v="51"/>
    <n v="50"/>
    <n v="2550"/>
    <n v="1479"/>
  </r>
  <r>
    <x v="0"/>
    <n v="1185732"/>
    <x v="189"/>
    <x v="1"/>
    <s v="Indiana"/>
    <s v="Indianapolis"/>
    <s v="Online"/>
    <x v="3"/>
    <n v="42"/>
    <n v="68"/>
    <n v="2856"/>
    <n v="1570.8000000000002"/>
  </r>
  <r>
    <x v="2"/>
    <n v="1185732"/>
    <x v="189"/>
    <x v="1"/>
    <s v="Nebraska"/>
    <s v="Omaha"/>
    <s v="Online"/>
    <x v="0"/>
    <n v="33"/>
    <n v="56"/>
    <n v="1848"/>
    <n v="997.92000000000007"/>
  </r>
  <r>
    <x v="4"/>
    <n v="1185732"/>
    <x v="189"/>
    <x v="1"/>
    <s v="Ohio"/>
    <s v="Columbus"/>
    <s v="Online"/>
    <x v="1"/>
    <n v="59"/>
    <n v="154"/>
    <n v="9086"/>
    <n v="4906.4400000000005"/>
  </r>
  <r>
    <x v="4"/>
    <n v="1185732"/>
    <x v="189"/>
    <x v="1"/>
    <s v="Ohio"/>
    <s v="Columbus"/>
    <s v="Online"/>
    <x v="0"/>
    <n v="56"/>
    <n v="195"/>
    <n v="10920"/>
    <n v="5787.6"/>
  </r>
  <r>
    <x v="0"/>
    <n v="1185732"/>
    <x v="189"/>
    <x v="1"/>
    <s v="Indiana"/>
    <s v="Indianapolis"/>
    <s v="Online"/>
    <x v="5"/>
    <n v="42"/>
    <n v="49"/>
    <n v="2058"/>
    <n v="1090.74"/>
  </r>
  <r>
    <x v="0"/>
    <n v="1185732"/>
    <x v="189"/>
    <x v="1"/>
    <s v="Indiana"/>
    <s v="Indianapolis"/>
    <s v="Online"/>
    <x v="0"/>
    <n v="49"/>
    <n v="84"/>
    <n v="4116"/>
    <n v="2058"/>
  </r>
  <r>
    <x v="4"/>
    <n v="1185732"/>
    <x v="189"/>
    <x v="1"/>
    <s v="Ohio"/>
    <s v="Columbus"/>
    <s v="Online"/>
    <x v="3"/>
    <n v="51"/>
    <n v="173"/>
    <n v="8823"/>
    <n v="4323.2699999999995"/>
  </r>
  <r>
    <x v="0"/>
    <n v="1185732"/>
    <x v="189"/>
    <x v="1"/>
    <s v="Indiana"/>
    <s v="Indianapolis"/>
    <s v="Online"/>
    <x v="2"/>
    <n v="54"/>
    <n v="101"/>
    <n v="5454"/>
    <n v="2672.46"/>
  </r>
  <r>
    <x v="2"/>
    <n v="1128299"/>
    <x v="189"/>
    <x v="0"/>
    <s v="Hawaii"/>
    <s v="Honolulu"/>
    <s v="Online"/>
    <x v="2"/>
    <n v="96"/>
    <n v="154"/>
    <n v="14784"/>
    <n v="7096.32"/>
  </r>
  <r>
    <x v="4"/>
    <n v="1185732"/>
    <x v="189"/>
    <x v="1"/>
    <s v="Ohio"/>
    <s v="Columbus"/>
    <s v="Online"/>
    <x v="4"/>
    <n v="63"/>
    <n v="252"/>
    <n v="15876"/>
    <n v="7620.48"/>
  </r>
  <r>
    <x v="0"/>
    <n v="1185732"/>
    <x v="189"/>
    <x v="1"/>
    <s v="Indiana"/>
    <s v="Indianapolis"/>
    <s v="Online"/>
    <x v="4"/>
    <n v="51"/>
    <n v="149"/>
    <n v="7599"/>
    <n v="3571.5299999999997"/>
  </r>
  <r>
    <x v="2"/>
    <n v="1185732"/>
    <x v="189"/>
    <x v="1"/>
    <s v="Illinois"/>
    <s v="Chicago"/>
    <s v="Online"/>
    <x v="5"/>
    <n v="39"/>
    <n v="50"/>
    <n v="1950"/>
    <n v="897"/>
  </r>
  <r>
    <x v="4"/>
    <n v="1185732"/>
    <x v="189"/>
    <x v="1"/>
    <s v="Ohio"/>
    <s v="Columbus"/>
    <s v="Online"/>
    <x v="5"/>
    <n v="53"/>
    <n v="152"/>
    <n v="8056"/>
    <n v="3705.7599999999993"/>
  </r>
  <r>
    <x v="4"/>
    <n v="1185732"/>
    <x v="189"/>
    <x v="1"/>
    <s v="Ohio"/>
    <s v="Columbus"/>
    <s v="Online"/>
    <x v="2"/>
    <n v="69"/>
    <n v="181"/>
    <n v="12489"/>
    <n v="4620.93"/>
  </r>
  <r>
    <x v="1"/>
    <n v="1185732"/>
    <x v="190"/>
    <x v="0"/>
    <s v="Wyoming"/>
    <s v="Cheyenne"/>
    <s v="In-store"/>
    <x v="2"/>
    <n v="55.000000000000007"/>
    <n v="700"/>
    <n v="38500.000000000007"/>
    <n v="28875.000000000007"/>
  </r>
  <r>
    <x v="1"/>
    <n v="1185732"/>
    <x v="190"/>
    <x v="0"/>
    <s v="Wyoming"/>
    <s v="Cheyenne"/>
    <s v="In-store"/>
    <x v="0"/>
    <n v="45.000000000000007"/>
    <n v="625"/>
    <n v="28125.000000000004"/>
    <n v="19687.500000000007"/>
  </r>
  <r>
    <x v="1"/>
    <n v="1185732"/>
    <x v="190"/>
    <x v="0"/>
    <s v="Wyoming"/>
    <s v="Cheyenne"/>
    <s v="In-store"/>
    <x v="1"/>
    <n v="50"/>
    <n v="525"/>
    <n v="26250"/>
    <n v="18375"/>
  </r>
  <r>
    <x v="0"/>
    <n v="1185732"/>
    <x v="190"/>
    <x v="0"/>
    <s v="Utah"/>
    <s v="Salt Lake City"/>
    <s v="In-store"/>
    <x v="3"/>
    <n v="25.000000000000007"/>
    <n v="475"/>
    <n v="11875.000000000004"/>
    <n v="7718.7500000000027"/>
  </r>
  <r>
    <x v="2"/>
    <n v="1185732"/>
    <x v="190"/>
    <x v="1"/>
    <s v="Illinois"/>
    <s v="Chicago"/>
    <s v="Outlet"/>
    <x v="1"/>
    <n v="50"/>
    <n v="225"/>
    <n v="11250"/>
    <n v="7312.5"/>
  </r>
  <r>
    <x v="2"/>
    <n v="1185732"/>
    <x v="190"/>
    <x v="1"/>
    <s v="Nebraska"/>
    <s v="Omaha"/>
    <s v="Outlet"/>
    <x v="3"/>
    <n v="20"/>
    <n v="100"/>
    <n v="2000"/>
    <n v="1300"/>
  </r>
  <r>
    <x v="1"/>
    <n v="1185732"/>
    <x v="190"/>
    <x v="0"/>
    <s v="Wyoming"/>
    <s v="Cheyenne"/>
    <s v="In-store"/>
    <x v="3"/>
    <n v="40"/>
    <n v="550"/>
    <n v="22000"/>
    <n v="14300"/>
  </r>
  <r>
    <x v="1"/>
    <n v="1185732"/>
    <x v="190"/>
    <x v="0"/>
    <s v="Wyoming"/>
    <s v="Cheyenne"/>
    <s v="In-store"/>
    <x v="5"/>
    <n v="40"/>
    <n v="500"/>
    <n v="20000"/>
    <n v="13000"/>
  </r>
  <r>
    <x v="0"/>
    <n v="1185732"/>
    <x v="190"/>
    <x v="0"/>
    <s v="Utah"/>
    <s v="Salt Lake City"/>
    <s v="In-store"/>
    <x v="1"/>
    <n v="35"/>
    <n v="425"/>
    <n v="14875"/>
    <n v="9668.75"/>
  </r>
  <r>
    <x v="4"/>
    <n v="1185732"/>
    <x v="190"/>
    <x v="4"/>
    <s v="Vermont"/>
    <s v="Burlington"/>
    <s v="In-store"/>
    <x v="3"/>
    <n v="50"/>
    <n v="350"/>
    <n v="17500"/>
    <n v="11375"/>
  </r>
  <r>
    <x v="4"/>
    <n v="1185732"/>
    <x v="190"/>
    <x v="4"/>
    <s v="Vermont"/>
    <s v="Burlington"/>
    <s v="In-store"/>
    <x v="5"/>
    <n v="50"/>
    <n v="300"/>
    <n v="15000"/>
    <n v="9750"/>
  </r>
  <r>
    <x v="4"/>
    <n v="1185732"/>
    <x v="190"/>
    <x v="4"/>
    <s v="Vermont"/>
    <s v="Burlington"/>
    <s v="In-store"/>
    <x v="1"/>
    <n v="60"/>
    <n v="325"/>
    <n v="19500"/>
    <n v="12675"/>
  </r>
  <r>
    <x v="0"/>
    <n v="1185732"/>
    <x v="190"/>
    <x v="0"/>
    <s v="Utah"/>
    <s v="Salt Lake City"/>
    <s v="In-store"/>
    <x v="0"/>
    <n v="30.000000000000011"/>
    <n v="550"/>
    <n v="16500.000000000007"/>
    <n v="10725.000000000004"/>
  </r>
  <r>
    <x v="0"/>
    <n v="1185732"/>
    <x v="190"/>
    <x v="0"/>
    <s v="Utah"/>
    <s v="Salt Lake City"/>
    <s v="In-store"/>
    <x v="4"/>
    <n v="35"/>
    <n v="800"/>
    <n v="28000"/>
    <n v="16800"/>
  </r>
  <r>
    <x v="0"/>
    <n v="1185732"/>
    <x v="190"/>
    <x v="0"/>
    <s v="Utah"/>
    <s v="Salt Lake City"/>
    <s v="In-store"/>
    <x v="5"/>
    <n v="25.000000000000007"/>
    <n v="425"/>
    <n v="10625.000000000004"/>
    <n v="6375.0000000000018"/>
  </r>
  <r>
    <x v="4"/>
    <n v="1185732"/>
    <x v="190"/>
    <x v="4"/>
    <s v="Vermont"/>
    <s v="Burlington"/>
    <s v="In-store"/>
    <x v="2"/>
    <n v="65"/>
    <n v="500"/>
    <n v="32500"/>
    <n v="19500"/>
  </r>
  <r>
    <x v="4"/>
    <n v="1185732"/>
    <x v="190"/>
    <x v="4"/>
    <s v="Vermont"/>
    <s v="Burlington"/>
    <s v="In-store"/>
    <x v="4"/>
    <n v="60"/>
    <n v="675"/>
    <n v="40500"/>
    <n v="22275"/>
  </r>
  <r>
    <x v="4"/>
    <n v="1185732"/>
    <x v="190"/>
    <x v="4"/>
    <s v="Vermont"/>
    <s v="Burlington"/>
    <s v="In-store"/>
    <x v="0"/>
    <n v="55.000000000000007"/>
    <n v="425"/>
    <n v="23375.000000000004"/>
    <n v="12856.250000000002"/>
  </r>
  <r>
    <x v="1"/>
    <n v="1185732"/>
    <x v="190"/>
    <x v="0"/>
    <s v="Wyoming"/>
    <s v="Cheyenne"/>
    <s v="In-store"/>
    <x v="4"/>
    <n v="50"/>
    <n v="875"/>
    <n v="43750"/>
    <n v="21875"/>
  </r>
  <r>
    <x v="0"/>
    <n v="1185732"/>
    <x v="190"/>
    <x v="0"/>
    <s v="Utah"/>
    <s v="Salt Lake City"/>
    <s v="In-store"/>
    <x v="2"/>
    <n v="40"/>
    <n v="600"/>
    <n v="24000"/>
    <n v="12000"/>
  </r>
  <r>
    <x v="1"/>
    <n v="1185732"/>
    <x v="190"/>
    <x v="0"/>
    <s v="Wyoming"/>
    <s v="Cheyenne"/>
    <s v="Online"/>
    <x v="2"/>
    <n v="51"/>
    <n v="196"/>
    <n v="9996"/>
    <n v="6397.4400000000005"/>
  </r>
  <r>
    <x v="4"/>
    <n v="1185732"/>
    <x v="190"/>
    <x v="4"/>
    <s v="Vermont"/>
    <s v="Burlington"/>
    <s v="Outlet"/>
    <x v="3"/>
    <n v="33"/>
    <n v="109"/>
    <n v="3597"/>
    <n v="2266.11"/>
  </r>
  <r>
    <x v="0"/>
    <n v="1185732"/>
    <x v="190"/>
    <x v="0"/>
    <s v="Utah"/>
    <s v="Salt Lake City"/>
    <s v="Outlet"/>
    <x v="1"/>
    <n v="28"/>
    <n v="140"/>
    <n v="3920"/>
    <n v="2430.4"/>
  </r>
  <r>
    <x v="4"/>
    <n v="1185732"/>
    <x v="190"/>
    <x v="4"/>
    <s v="Vermont"/>
    <s v="Burlington"/>
    <s v="Outlet"/>
    <x v="1"/>
    <n v="39"/>
    <n v="114"/>
    <n v="4446"/>
    <n v="2756.52"/>
  </r>
  <r>
    <x v="0"/>
    <n v="1185732"/>
    <x v="190"/>
    <x v="0"/>
    <s v="Utah"/>
    <s v="Salt Lake City"/>
    <s v="Outlet"/>
    <x v="0"/>
    <n v="20"/>
    <n v="182"/>
    <n v="3640"/>
    <n v="2220.4"/>
  </r>
  <r>
    <x v="0"/>
    <n v="1185732"/>
    <x v="190"/>
    <x v="0"/>
    <s v="Utah"/>
    <s v="Salt Lake City"/>
    <s v="Outlet"/>
    <x v="3"/>
    <n v="19"/>
    <n v="157"/>
    <n v="2983"/>
    <n v="1819.63"/>
  </r>
  <r>
    <x v="1"/>
    <n v="1185732"/>
    <x v="190"/>
    <x v="0"/>
    <s v="Wyoming"/>
    <s v="Cheyenne"/>
    <s v="Online"/>
    <x v="1"/>
    <n v="48"/>
    <n v="137"/>
    <n v="6576"/>
    <n v="3814.08"/>
  </r>
  <r>
    <x v="4"/>
    <n v="1185732"/>
    <x v="190"/>
    <x v="4"/>
    <s v="Vermont"/>
    <s v="Burlington"/>
    <s v="Outlet"/>
    <x v="5"/>
    <n v="36"/>
    <n v="96"/>
    <n v="3456"/>
    <n v="2004.48"/>
  </r>
  <r>
    <x v="1"/>
    <n v="1185732"/>
    <x v="190"/>
    <x v="0"/>
    <s v="Wyoming"/>
    <s v="Cheyenne"/>
    <s v="Online"/>
    <x v="0"/>
    <n v="44"/>
    <n v="163"/>
    <n v="7172"/>
    <n v="4088.04"/>
  </r>
  <r>
    <x v="0"/>
    <n v="1185732"/>
    <x v="190"/>
    <x v="0"/>
    <s v="Utah"/>
    <s v="Salt Lake City"/>
    <s v="Outlet"/>
    <x v="4"/>
    <n v="28"/>
    <n v="248"/>
    <n v="6944"/>
    <n v="3958.0799999999995"/>
  </r>
  <r>
    <x v="2"/>
    <n v="1185732"/>
    <x v="190"/>
    <x v="1"/>
    <s v="Illinois"/>
    <s v="Chicago"/>
    <s v="Online"/>
    <x v="1"/>
    <n v="47"/>
    <n v="56"/>
    <n v="2632"/>
    <n v="1421.2800000000002"/>
  </r>
  <r>
    <x v="0"/>
    <n v="1185732"/>
    <x v="190"/>
    <x v="0"/>
    <s v="Utah"/>
    <s v="Salt Lake City"/>
    <s v="Online"/>
    <x v="1"/>
    <n v="32"/>
    <n v="128"/>
    <n v="4096"/>
    <n v="2211.84"/>
  </r>
  <r>
    <x v="1"/>
    <n v="1185732"/>
    <x v="190"/>
    <x v="0"/>
    <s v="Wyoming"/>
    <s v="Cheyenne"/>
    <s v="Online"/>
    <x v="5"/>
    <n v="39"/>
    <n v="150"/>
    <n v="5850"/>
    <n v="3100.5"/>
  </r>
  <r>
    <x v="4"/>
    <n v="1185732"/>
    <x v="190"/>
    <x v="4"/>
    <s v="Vermont"/>
    <s v="Burlington"/>
    <s v="Online"/>
    <x v="1"/>
    <n v="54"/>
    <n v="94"/>
    <n v="5076"/>
    <n v="2690.28"/>
  </r>
  <r>
    <x v="0"/>
    <n v="1185732"/>
    <x v="190"/>
    <x v="0"/>
    <s v="Utah"/>
    <s v="Salt Lake City"/>
    <s v="Outlet"/>
    <x v="5"/>
    <n v="16"/>
    <n v="128"/>
    <n v="2048"/>
    <n v="1085.44"/>
  </r>
  <r>
    <x v="4"/>
    <n v="1185732"/>
    <x v="190"/>
    <x v="4"/>
    <s v="Vermont"/>
    <s v="Burlington"/>
    <s v="Outlet"/>
    <x v="2"/>
    <n v="49"/>
    <n v="175"/>
    <n v="8575"/>
    <n v="4544.75"/>
  </r>
  <r>
    <x v="2"/>
    <n v="1185732"/>
    <x v="190"/>
    <x v="1"/>
    <s v="Nebraska"/>
    <s v="Omaha"/>
    <s v="Online"/>
    <x v="3"/>
    <n v="18"/>
    <n v="25"/>
    <n v="450"/>
    <n v="234"/>
  </r>
  <r>
    <x v="1"/>
    <n v="1185732"/>
    <x v="190"/>
    <x v="0"/>
    <s v="Wyoming"/>
    <s v="Cheyenne"/>
    <s v="Online"/>
    <x v="3"/>
    <n v="38"/>
    <n v="149"/>
    <n v="5662"/>
    <n v="2944.2400000000002"/>
  </r>
  <r>
    <x v="0"/>
    <n v="1185732"/>
    <x v="190"/>
    <x v="0"/>
    <s v="Utah"/>
    <s v="Salt Lake City"/>
    <s v="Online"/>
    <x v="0"/>
    <n v="29"/>
    <n v="160"/>
    <n v="4640"/>
    <n v="2412.8000000000002"/>
  </r>
  <r>
    <x v="0"/>
    <n v="1185732"/>
    <x v="190"/>
    <x v="0"/>
    <s v="Utah"/>
    <s v="Salt Lake City"/>
    <s v="Online"/>
    <x v="3"/>
    <n v="24"/>
    <n v="138"/>
    <n v="3312"/>
    <n v="1722.24"/>
  </r>
  <r>
    <x v="4"/>
    <n v="1185732"/>
    <x v="190"/>
    <x v="4"/>
    <s v="Vermont"/>
    <s v="Burlington"/>
    <s v="Online"/>
    <x v="3"/>
    <n v="46"/>
    <n v="98"/>
    <n v="4508"/>
    <n v="2344.16"/>
  </r>
  <r>
    <x v="4"/>
    <n v="1185732"/>
    <x v="190"/>
    <x v="4"/>
    <s v="Vermont"/>
    <s v="Burlington"/>
    <s v="Online"/>
    <x v="5"/>
    <n v="46"/>
    <n v="90"/>
    <n v="4140"/>
    <n v="2111.4"/>
  </r>
  <r>
    <x v="0"/>
    <n v="1185732"/>
    <x v="190"/>
    <x v="0"/>
    <s v="Utah"/>
    <s v="Salt Lake City"/>
    <s v="Online"/>
    <x v="5"/>
    <n v="23"/>
    <n v="115"/>
    <n v="2645"/>
    <n v="1322.5"/>
  </r>
  <r>
    <x v="4"/>
    <n v="1185732"/>
    <x v="190"/>
    <x v="4"/>
    <s v="Vermont"/>
    <s v="Burlington"/>
    <s v="Outlet"/>
    <x v="0"/>
    <n v="42"/>
    <n v="145"/>
    <n v="6090"/>
    <n v="3045"/>
  </r>
  <r>
    <x v="0"/>
    <n v="1185732"/>
    <x v="190"/>
    <x v="0"/>
    <s v="Utah"/>
    <s v="Salt Lake City"/>
    <s v="Online"/>
    <x v="4"/>
    <n v="34"/>
    <n v="224"/>
    <n v="7616"/>
    <n v="3655.68"/>
  </r>
  <r>
    <x v="4"/>
    <n v="1185732"/>
    <x v="190"/>
    <x v="4"/>
    <s v="Vermont"/>
    <s v="Burlington"/>
    <s v="Online"/>
    <x v="2"/>
    <n v="61"/>
    <n v="125"/>
    <n v="7625"/>
    <n v="3660"/>
  </r>
  <r>
    <x v="4"/>
    <n v="1185732"/>
    <x v="190"/>
    <x v="4"/>
    <s v="Vermont"/>
    <s v="Burlington"/>
    <s v="Outlet"/>
    <x v="4"/>
    <n v="45"/>
    <n v="209"/>
    <n v="9405"/>
    <n v="4514.3999999999996"/>
  </r>
  <r>
    <x v="0"/>
    <n v="1185732"/>
    <x v="190"/>
    <x v="0"/>
    <s v="Utah"/>
    <s v="Salt Lake City"/>
    <s v="Outlet"/>
    <x v="2"/>
    <n v="32"/>
    <n v="204"/>
    <n v="6528"/>
    <n v="2937.6"/>
  </r>
  <r>
    <x v="4"/>
    <n v="1185732"/>
    <x v="190"/>
    <x v="4"/>
    <s v="Vermont"/>
    <s v="Burlington"/>
    <s v="Online"/>
    <x v="0"/>
    <n v="51"/>
    <n v="115"/>
    <n v="5865"/>
    <n v="2580.6"/>
  </r>
  <r>
    <x v="4"/>
    <n v="1185732"/>
    <x v="190"/>
    <x v="4"/>
    <s v="Vermont"/>
    <s v="Burlington"/>
    <s v="Online"/>
    <x v="4"/>
    <n v="54"/>
    <n v="182"/>
    <n v="9828"/>
    <n v="4226.0399999999991"/>
  </r>
  <r>
    <x v="1"/>
    <n v="1185732"/>
    <x v="190"/>
    <x v="0"/>
    <s v="Wyoming"/>
    <s v="Cheyenne"/>
    <s v="Online"/>
    <x v="4"/>
    <n v="48"/>
    <n v="228"/>
    <n v="10944"/>
    <n v="3939.84"/>
  </r>
  <r>
    <x v="0"/>
    <n v="1185732"/>
    <x v="190"/>
    <x v="0"/>
    <s v="Utah"/>
    <s v="Salt Lake City"/>
    <s v="Online"/>
    <x v="2"/>
    <n v="38"/>
    <n v="150"/>
    <n v="5700"/>
    <n v="1995"/>
  </r>
  <r>
    <x v="2"/>
    <n v="1185732"/>
    <x v="191"/>
    <x v="1"/>
    <s v="South Dakota"/>
    <s v="Sioux Falls"/>
    <s v="Online"/>
    <x v="0"/>
    <n v="45.000000000000007"/>
    <n v="300"/>
    <n v="13500.000000000002"/>
    <n v="9450.0000000000036"/>
  </r>
  <r>
    <x v="2"/>
    <n v="1185732"/>
    <x v="191"/>
    <x v="1"/>
    <s v="South Dakota"/>
    <s v="Sioux Falls"/>
    <s v="Online"/>
    <x v="3"/>
    <n v="40"/>
    <n v="225"/>
    <n v="9000"/>
    <n v="6300"/>
  </r>
  <r>
    <x v="2"/>
    <n v="1185732"/>
    <x v="191"/>
    <x v="1"/>
    <s v="South Dakota"/>
    <s v="Sioux Falls"/>
    <s v="Online"/>
    <x v="5"/>
    <n v="40"/>
    <n v="175"/>
    <n v="7000"/>
    <n v="4900"/>
  </r>
  <r>
    <x v="2"/>
    <n v="1185732"/>
    <x v="191"/>
    <x v="1"/>
    <s v="South Dakota"/>
    <s v="Sioux Falls"/>
    <s v="Online"/>
    <x v="4"/>
    <n v="50"/>
    <n v="550"/>
    <n v="27500"/>
    <n v="17875"/>
  </r>
  <r>
    <x v="2"/>
    <n v="1185732"/>
    <x v="191"/>
    <x v="1"/>
    <s v="South Dakota"/>
    <s v="Sioux Falls"/>
    <s v="Online"/>
    <x v="1"/>
    <n v="50"/>
    <n v="200"/>
    <n v="10000"/>
    <n v="6500"/>
  </r>
  <r>
    <x v="2"/>
    <n v="1185732"/>
    <x v="191"/>
    <x v="1"/>
    <s v="Nebraska"/>
    <s v="Omaha"/>
    <s v="Outlet"/>
    <x v="5"/>
    <n v="20"/>
    <n v="75"/>
    <n v="1500"/>
    <n v="900"/>
  </r>
  <r>
    <x v="2"/>
    <n v="1185732"/>
    <x v="191"/>
    <x v="1"/>
    <s v="South Dakota"/>
    <s v="Sioux Falls"/>
    <s v="Online"/>
    <x v="2"/>
    <n v="55.000000000000007"/>
    <n v="375"/>
    <n v="20625.000000000004"/>
    <n v="12375.000000000002"/>
  </r>
  <r>
    <x v="2"/>
    <n v="1185732"/>
    <x v="191"/>
    <x v="1"/>
    <s v="Illinois"/>
    <s v="Chicago"/>
    <s v="Outlet"/>
    <x v="2"/>
    <n v="55.000000000000007"/>
    <n v="400"/>
    <n v="22000.000000000004"/>
    <n v="11000.000000000002"/>
  </r>
  <r>
    <x v="2"/>
    <n v="1185732"/>
    <x v="191"/>
    <x v="1"/>
    <s v="South Dakota"/>
    <s v="Sioux Falls"/>
    <s v="Online"/>
    <x v="3"/>
    <n v="37"/>
    <n v="61"/>
    <n v="2257"/>
    <n v="1309.06"/>
  </r>
  <r>
    <x v="2"/>
    <n v="1185732"/>
    <x v="191"/>
    <x v="1"/>
    <s v="South Dakota"/>
    <s v="Sioux Falls"/>
    <s v="Online"/>
    <x v="5"/>
    <n v="38"/>
    <n v="44"/>
    <n v="1672"/>
    <n v="953.04"/>
  </r>
  <r>
    <x v="2"/>
    <n v="1185732"/>
    <x v="191"/>
    <x v="1"/>
    <s v="South Dakota"/>
    <s v="Sioux Falls"/>
    <s v="Online"/>
    <x v="0"/>
    <n v="44"/>
    <n v="81"/>
    <n v="3564"/>
    <n v="1960.2"/>
  </r>
  <r>
    <x v="2"/>
    <n v="1185732"/>
    <x v="191"/>
    <x v="1"/>
    <s v="South Dakota"/>
    <s v="Sioux Falls"/>
    <s v="Online"/>
    <x v="4"/>
    <n v="47"/>
    <n v="154"/>
    <n v="7238"/>
    <n v="3908.5200000000004"/>
  </r>
  <r>
    <x v="2"/>
    <n v="1185732"/>
    <x v="191"/>
    <x v="1"/>
    <s v="South Dakota"/>
    <s v="Sioux Falls"/>
    <s v="Online"/>
    <x v="1"/>
    <n v="49"/>
    <n v="52"/>
    <n v="2548"/>
    <n v="1375.92"/>
  </r>
  <r>
    <x v="2"/>
    <n v="1185732"/>
    <x v="191"/>
    <x v="1"/>
    <s v="Nebraska"/>
    <s v="Omaha"/>
    <s v="Online"/>
    <x v="5"/>
    <n v="19"/>
    <n v="23"/>
    <n v="437"/>
    <n v="209.76"/>
  </r>
  <r>
    <x v="2"/>
    <n v="1185732"/>
    <x v="191"/>
    <x v="1"/>
    <s v="South Dakota"/>
    <s v="Sioux Falls"/>
    <s v="Online"/>
    <x v="2"/>
    <n v="53"/>
    <n v="94"/>
    <n v="4982"/>
    <n v="2341.54"/>
  </r>
  <r>
    <x v="2"/>
    <n v="1185732"/>
    <x v="191"/>
    <x v="1"/>
    <s v="Illinois"/>
    <s v="Chicago"/>
    <s v="Online"/>
    <x v="2"/>
    <n v="54"/>
    <n v="120"/>
    <n v="6480"/>
    <n v="2527.2000000000003"/>
  </r>
  <r>
    <x v="3"/>
    <n v="1128299"/>
    <x v="192"/>
    <x v="3"/>
    <s v="Georgia"/>
    <s v="Atlanta"/>
    <s v="Online"/>
    <x v="2"/>
    <n v="70"/>
    <n v="475"/>
    <n v="33250"/>
    <n v="24937.5"/>
  </r>
  <r>
    <x v="3"/>
    <n v="1128299"/>
    <x v="192"/>
    <x v="3"/>
    <s v="Georgia"/>
    <s v="Atlanta"/>
    <s v="Online"/>
    <x v="3"/>
    <n v="55.000000000000007"/>
    <n v="525"/>
    <n v="28875.000000000004"/>
    <n v="18768.750000000007"/>
  </r>
  <r>
    <x v="2"/>
    <n v="1185732"/>
    <x v="192"/>
    <x v="1"/>
    <s v="Nebraska"/>
    <s v="Omaha"/>
    <s v="Outlet"/>
    <x v="1"/>
    <n v="30"/>
    <n v="75"/>
    <n v="2250"/>
    <n v="1462.5"/>
  </r>
  <r>
    <x v="3"/>
    <n v="1128299"/>
    <x v="192"/>
    <x v="3"/>
    <s v="Georgia"/>
    <s v="Atlanta"/>
    <s v="Online"/>
    <x v="1"/>
    <n v="55.000000000000007"/>
    <n v="475"/>
    <n v="26125.000000000004"/>
    <n v="16981.250000000004"/>
  </r>
  <r>
    <x v="1"/>
    <n v="1197831"/>
    <x v="192"/>
    <x v="1"/>
    <s v="Kansas"/>
    <s v="Wichita"/>
    <s v="Online"/>
    <x v="4"/>
    <n v="54.999999999999993"/>
    <n v="675"/>
    <n v="37124.999999999993"/>
    <n v="24131.249999999996"/>
  </r>
  <r>
    <x v="1"/>
    <n v="1197831"/>
    <x v="192"/>
    <x v="1"/>
    <s v="Kansas"/>
    <s v="Wichita"/>
    <s v="Online"/>
    <x v="0"/>
    <n v="50"/>
    <n v="425"/>
    <n v="21250"/>
    <n v="13812.5"/>
  </r>
  <r>
    <x v="1"/>
    <n v="1197831"/>
    <x v="192"/>
    <x v="1"/>
    <s v="Kansas"/>
    <s v="Wichita"/>
    <s v="Online"/>
    <x v="3"/>
    <n v="45"/>
    <n v="350"/>
    <n v="15750"/>
    <n v="10237.5"/>
  </r>
  <r>
    <x v="1"/>
    <n v="1197831"/>
    <x v="192"/>
    <x v="1"/>
    <s v="Kansas"/>
    <s v="Wichita"/>
    <s v="Online"/>
    <x v="5"/>
    <n v="45"/>
    <n v="300"/>
    <n v="13500"/>
    <n v="8775"/>
  </r>
  <r>
    <x v="1"/>
    <n v="1197831"/>
    <x v="192"/>
    <x v="1"/>
    <s v="Kansas"/>
    <s v="Wichita"/>
    <s v="Online"/>
    <x v="1"/>
    <n v="60"/>
    <n v="325"/>
    <n v="19500"/>
    <n v="12675"/>
  </r>
  <r>
    <x v="1"/>
    <n v="1197831"/>
    <x v="192"/>
    <x v="1"/>
    <s v="Kansas"/>
    <s v="Wichita"/>
    <s v="Online"/>
    <x v="2"/>
    <n v="65"/>
    <n v="500"/>
    <n v="32500"/>
    <n v="21125"/>
  </r>
  <r>
    <x v="2"/>
    <n v="1185732"/>
    <x v="192"/>
    <x v="1"/>
    <s v="Illinois"/>
    <s v="Chicago"/>
    <s v="Outlet"/>
    <x v="4"/>
    <n v="50"/>
    <n v="550"/>
    <n v="27500"/>
    <n v="16500"/>
  </r>
  <r>
    <x v="3"/>
    <n v="1128299"/>
    <x v="192"/>
    <x v="3"/>
    <s v="Georgia"/>
    <s v="Atlanta"/>
    <s v="Online"/>
    <x v="4"/>
    <n v="50"/>
    <n v="725"/>
    <n v="36250"/>
    <n v="21750"/>
  </r>
  <r>
    <x v="3"/>
    <n v="1128299"/>
    <x v="192"/>
    <x v="3"/>
    <s v="Georgia"/>
    <s v="Atlanta"/>
    <s v="Online"/>
    <x v="0"/>
    <n v="55.000000000000007"/>
    <n v="575"/>
    <n v="31625.000000000004"/>
    <n v="18975.000000000004"/>
  </r>
  <r>
    <x v="3"/>
    <n v="1128299"/>
    <x v="192"/>
    <x v="3"/>
    <s v="Georgia"/>
    <s v="Atlanta"/>
    <s v="Online"/>
    <x v="5"/>
    <n v="50"/>
    <n v="425"/>
    <n v="21250"/>
    <n v="12750"/>
  </r>
  <r>
    <x v="3"/>
    <n v="1128299"/>
    <x v="192"/>
    <x v="3"/>
    <s v="Georgia"/>
    <s v="Atlanta"/>
    <s v="Outlet"/>
    <x v="2"/>
    <n v="51"/>
    <n v="157"/>
    <n v="8007"/>
    <n v="5684.97"/>
  </r>
  <r>
    <x v="3"/>
    <n v="1128299"/>
    <x v="192"/>
    <x v="3"/>
    <s v="Georgia"/>
    <s v="Atlanta"/>
    <s v="Outlet"/>
    <x v="1"/>
    <n v="39"/>
    <n v="162"/>
    <n v="6318"/>
    <n v="3917.16"/>
  </r>
  <r>
    <x v="3"/>
    <n v="1128299"/>
    <x v="192"/>
    <x v="3"/>
    <s v="Georgia"/>
    <s v="Atlanta"/>
    <s v="Online"/>
    <x v="2"/>
    <n v="67"/>
    <n v="143"/>
    <n v="9581"/>
    <n v="5940.2199999999993"/>
  </r>
  <r>
    <x v="3"/>
    <n v="1128299"/>
    <x v="192"/>
    <x v="3"/>
    <s v="Georgia"/>
    <s v="Atlanta"/>
    <s v="Outlet"/>
    <x v="3"/>
    <n v="41"/>
    <n v="184"/>
    <n v="7544"/>
    <n v="4450.96"/>
  </r>
  <r>
    <x v="3"/>
    <n v="1128299"/>
    <x v="192"/>
    <x v="3"/>
    <s v="Georgia"/>
    <s v="Atlanta"/>
    <s v="Outlet"/>
    <x v="5"/>
    <n v="39"/>
    <n v="128"/>
    <n v="4992"/>
    <n v="2745.6"/>
  </r>
  <r>
    <x v="1"/>
    <n v="1197831"/>
    <x v="192"/>
    <x v="1"/>
    <s v="Kansas"/>
    <s v="Wichita"/>
    <s v="Online"/>
    <x v="3"/>
    <n v="42"/>
    <n v="102"/>
    <n v="4284"/>
    <n v="2313.36"/>
  </r>
  <r>
    <x v="1"/>
    <n v="1197831"/>
    <x v="192"/>
    <x v="1"/>
    <s v="Kansas"/>
    <s v="Wichita"/>
    <s v="Online"/>
    <x v="1"/>
    <n v="56"/>
    <n v="91"/>
    <n v="5096"/>
    <n v="2751.84"/>
  </r>
  <r>
    <x v="3"/>
    <n v="1128299"/>
    <x v="192"/>
    <x v="3"/>
    <s v="Georgia"/>
    <s v="Atlanta"/>
    <s v="Outlet"/>
    <x v="0"/>
    <n v="37"/>
    <n v="173"/>
    <n v="6401"/>
    <n v="3456.54"/>
  </r>
  <r>
    <x v="3"/>
    <n v="1128299"/>
    <x v="192"/>
    <x v="3"/>
    <s v="Georgia"/>
    <s v="Atlanta"/>
    <s v="Outlet"/>
    <x v="4"/>
    <n v="37"/>
    <n v="218"/>
    <n v="8066"/>
    <n v="4355.6399999999994"/>
  </r>
  <r>
    <x v="2"/>
    <n v="1185732"/>
    <x v="192"/>
    <x v="1"/>
    <s v="Nebraska"/>
    <s v="Omaha"/>
    <s v="Online"/>
    <x v="1"/>
    <n v="29"/>
    <n v="21"/>
    <n v="609"/>
    <n v="316.68"/>
  </r>
  <r>
    <x v="3"/>
    <n v="1128299"/>
    <x v="192"/>
    <x v="3"/>
    <s v="Georgia"/>
    <s v="Atlanta"/>
    <s v="Online"/>
    <x v="1"/>
    <n v="54"/>
    <n v="138"/>
    <n v="7452"/>
    <n v="3875.04"/>
  </r>
  <r>
    <x v="1"/>
    <n v="1197831"/>
    <x v="192"/>
    <x v="1"/>
    <s v="Kansas"/>
    <s v="Wichita"/>
    <s v="Online"/>
    <x v="5"/>
    <n v="43"/>
    <n v="75"/>
    <n v="3225"/>
    <n v="1644.75"/>
  </r>
  <r>
    <x v="1"/>
    <n v="1197831"/>
    <x v="192"/>
    <x v="1"/>
    <s v="Kansas"/>
    <s v="Wichita"/>
    <s v="Online"/>
    <x v="2"/>
    <n v="60"/>
    <n v="140"/>
    <n v="8400"/>
    <n v="4284"/>
  </r>
  <r>
    <x v="3"/>
    <n v="1128299"/>
    <x v="192"/>
    <x v="3"/>
    <s v="Georgia"/>
    <s v="Atlanta"/>
    <s v="Online"/>
    <x v="4"/>
    <n v="47"/>
    <n v="196"/>
    <n v="9212"/>
    <n v="4606"/>
  </r>
  <r>
    <x v="3"/>
    <n v="1128299"/>
    <x v="192"/>
    <x v="3"/>
    <s v="Georgia"/>
    <s v="Atlanta"/>
    <s v="Online"/>
    <x v="3"/>
    <n v="50"/>
    <n v="137"/>
    <n v="6850"/>
    <n v="3425"/>
  </r>
  <r>
    <x v="1"/>
    <n v="1197831"/>
    <x v="192"/>
    <x v="1"/>
    <s v="Kansas"/>
    <s v="Wichita"/>
    <s v="Online"/>
    <x v="4"/>
    <n v="51"/>
    <n v="182"/>
    <n v="9282"/>
    <n v="4641"/>
  </r>
  <r>
    <x v="1"/>
    <n v="1197831"/>
    <x v="192"/>
    <x v="1"/>
    <s v="Kansas"/>
    <s v="Wichita"/>
    <s v="Online"/>
    <x v="0"/>
    <n v="49"/>
    <n v="119"/>
    <n v="5831"/>
    <n v="2915.5"/>
  </r>
  <r>
    <x v="2"/>
    <n v="1185732"/>
    <x v="192"/>
    <x v="1"/>
    <s v="Illinois"/>
    <s v="Chicago"/>
    <s v="Online"/>
    <x v="4"/>
    <n v="49"/>
    <n v="149"/>
    <n v="7301"/>
    <n v="3577.49"/>
  </r>
  <r>
    <x v="3"/>
    <n v="1128299"/>
    <x v="192"/>
    <x v="3"/>
    <s v="Georgia"/>
    <s v="Atlanta"/>
    <s v="Online"/>
    <x v="0"/>
    <n v="51"/>
    <n v="173"/>
    <n v="8823"/>
    <n v="4323.2699999999995"/>
  </r>
  <r>
    <x v="3"/>
    <n v="1128299"/>
    <x v="192"/>
    <x v="3"/>
    <s v="Georgia"/>
    <s v="Atlanta"/>
    <s v="Online"/>
    <x v="5"/>
    <n v="46"/>
    <n v="128"/>
    <n v="5888"/>
    <n v="2885.12"/>
  </r>
  <r>
    <x v="3"/>
    <n v="1185732"/>
    <x v="193"/>
    <x v="4"/>
    <s v="Massachusetts"/>
    <s v="Boston"/>
    <s v="In-store"/>
    <x v="3"/>
    <n v="45"/>
    <n v="275"/>
    <n v="12375"/>
    <n v="9281.25"/>
  </r>
  <r>
    <x v="3"/>
    <n v="1185732"/>
    <x v="193"/>
    <x v="4"/>
    <s v="Massachusetts"/>
    <s v="Boston"/>
    <s v="In-store"/>
    <x v="5"/>
    <n v="45"/>
    <n v="225"/>
    <n v="10125"/>
    <n v="7593.75"/>
  </r>
  <r>
    <x v="3"/>
    <n v="1185732"/>
    <x v="193"/>
    <x v="4"/>
    <s v="Massachusetts"/>
    <s v="Boston"/>
    <s v="In-store"/>
    <x v="1"/>
    <n v="54.999999999999993"/>
    <n v="250"/>
    <n v="13749.999999999998"/>
    <n v="10312.499999999996"/>
  </r>
  <r>
    <x v="2"/>
    <n v="1185732"/>
    <x v="193"/>
    <x v="4"/>
    <s v="Delaware"/>
    <s v="Wilmington"/>
    <s v="In-store"/>
    <x v="1"/>
    <n v="54.999999999999993"/>
    <n v="325"/>
    <n v="17874.999999999996"/>
    <n v="12512.499999999996"/>
  </r>
  <r>
    <x v="3"/>
    <n v="1185732"/>
    <x v="193"/>
    <x v="4"/>
    <s v="Massachusetts"/>
    <s v="Boston"/>
    <s v="In-store"/>
    <x v="4"/>
    <n v="54.999999999999993"/>
    <n v="600"/>
    <n v="32999.999999999993"/>
    <n v="23099.999999999993"/>
  </r>
  <r>
    <x v="3"/>
    <n v="1185732"/>
    <x v="193"/>
    <x v="4"/>
    <s v="Massachusetts"/>
    <s v="Boston"/>
    <s v="In-store"/>
    <x v="0"/>
    <n v="50"/>
    <n v="350"/>
    <n v="17500"/>
    <n v="12250"/>
  </r>
  <r>
    <x v="3"/>
    <n v="1185732"/>
    <x v="193"/>
    <x v="4"/>
    <s v="Massachusetts"/>
    <s v="Boston"/>
    <s v="In-store"/>
    <x v="2"/>
    <n v="60"/>
    <n v="425"/>
    <n v="25500"/>
    <n v="17850"/>
  </r>
  <r>
    <x v="2"/>
    <n v="1185732"/>
    <x v="193"/>
    <x v="1"/>
    <s v="Illinois"/>
    <s v="Chicago"/>
    <s v="Outlet"/>
    <x v="0"/>
    <n v="45.000000000000007"/>
    <n v="325"/>
    <n v="14625.000000000002"/>
    <n v="9506.2500000000036"/>
  </r>
  <r>
    <x v="2"/>
    <n v="1185732"/>
    <x v="193"/>
    <x v="4"/>
    <s v="Delaware"/>
    <s v="Wilmington"/>
    <s v="In-store"/>
    <x v="4"/>
    <n v="54.999999999999993"/>
    <n v="675"/>
    <n v="37124.999999999993"/>
    <n v="24131.249999999996"/>
  </r>
  <r>
    <x v="2"/>
    <n v="1185732"/>
    <x v="193"/>
    <x v="4"/>
    <s v="Delaware"/>
    <s v="Wilmington"/>
    <s v="In-store"/>
    <x v="0"/>
    <n v="50"/>
    <n v="425"/>
    <n v="21250"/>
    <n v="13812.5"/>
  </r>
  <r>
    <x v="2"/>
    <n v="1185732"/>
    <x v="193"/>
    <x v="4"/>
    <s v="Delaware"/>
    <s v="Wilmington"/>
    <s v="In-store"/>
    <x v="3"/>
    <n v="45"/>
    <n v="350"/>
    <n v="15750"/>
    <n v="9450"/>
  </r>
  <r>
    <x v="2"/>
    <n v="1185732"/>
    <x v="193"/>
    <x v="4"/>
    <s v="Delaware"/>
    <s v="Wilmington"/>
    <s v="In-store"/>
    <x v="5"/>
    <n v="45"/>
    <n v="300"/>
    <n v="13500"/>
    <n v="8100"/>
  </r>
  <r>
    <x v="2"/>
    <n v="1185732"/>
    <x v="193"/>
    <x v="4"/>
    <s v="Delaware"/>
    <s v="Wilmington"/>
    <s v="In-store"/>
    <x v="2"/>
    <n v="60"/>
    <n v="500"/>
    <n v="30000"/>
    <n v="18000"/>
  </r>
  <r>
    <x v="2"/>
    <n v="1185732"/>
    <x v="193"/>
    <x v="1"/>
    <s v="Nebraska"/>
    <s v="Omaha"/>
    <s v="Outlet"/>
    <x v="2"/>
    <n v="35"/>
    <n v="150"/>
    <n v="5250"/>
    <n v="2625"/>
  </r>
  <r>
    <x v="3"/>
    <n v="1185732"/>
    <x v="193"/>
    <x v="4"/>
    <s v="Massachusetts"/>
    <s v="Boston"/>
    <s v="Outlet"/>
    <x v="3"/>
    <n v="32"/>
    <n v="88"/>
    <n v="2816"/>
    <n v="1971.2"/>
  </r>
  <r>
    <x v="3"/>
    <n v="1185732"/>
    <x v="193"/>
    <x v="4"/>
    <s v="Massachusetts"/>
    <s v="Boston"/>
    <s v="Outlet"/>
    <x v="1"/>
    <n v="41"/>
    <n v="80"/>
    <n v="3280"/>
    <n v="2263.1999999999998"/>
  </r>
  <r>
    <x v="3"/>
    <n v="1185732"/>
    <x v="193"/>
    <x v="4"/>
    <s v="Massachusetts"/>
    <s v="Boston"/>
    <s v="Outlet"/>
    <x v="5"/>
    <n v="34"/>
    <n v="77"/>
    <n v="2618"/>
    <n v="1780.24"/>
  </r>
  <r>
    <x v="3"/>
    <n v="1185732"/>
    <x v="193"/>
    <x v="4"/>
    <s v="Massachusetts"/>
    <s v="Boston"/>
    <s v="Outlet"/>
    <x v="2"/>
    <n v="41"/>
    <n v="132"/>
    <n v="5412"/>
    <n v="3680.16"/>
  </r>
  <r>
    <x v="3"/>
    <n v="1185732"/>
    <x v="193"/>
    <x v="4"/>
    <s v="Massachusetts"/>
    <s v="Boston"/>
    <s v="Outlet"/>
    <x v="4"/>
    <n v="37"/>
    <n v="180"/>
    <n v="6660"/>
    <n v="4462.2000000000007"/>
  </r>
  <r>
    <x v="3"/>
    <n v="1185732"/>
    <x v="193"/>
    <x v="4"/>
    <s v="Massachusetts"/>
    <s v="Boston"/>
    <s v="Online"/>
    <x v="5"/>
    <n v="44"/>
    <n v="56"/>
    <n v="2464"/>
    <n v="1576.96"/>
  </r>
  <r>
    <x v="3"/>
    <n v="1185732"/>
    <x v="193"/>
    <x v="4"/>
    <s v="Massachusetts"/>
    <s v="Boston"/>
    <s v="Online"/>
    <x v="3"/>
    <n v="41"/>
    <n v="77"/>
    <n v="3157"/>
    <n v="1988.91"/>
  </r>
  <r>
    <x v="3"/>
    <n v="1185732"/>
    <x v="193"/>
    <x v="4"/>
    <s v="Massachusetts"/>
    <s v="Boston"/>
    <s v="Outlet"/>
    <x v="0"/>
    <n v="36"/>
    <n v="105"/>
    <n v="3780"/>
    <n v="2381.4"/>
  </r>
  <r>
    <x v="3"/>
    <n v="1185732"/>
    <x v="193"/>
    <x v="4"/>
    <s v="Massachusetts"/>
    <s v="Boston"/>
    <s v="Online"/>
    <x v="1"/>
    <n v="53"/>
    <n v="68"/>
    <n v="3604"/>
    <n v="2198.44"/>
  </r>
  <r>
    <x v="2"/>
    <n v="1185732"/>
    <x v="193"/>
    <x v="4"/>
    <s v="Delaware"/>
    <s v="Wilmington"/>
    <s v="Online"/>
    <x v="1"/>
    <n v="51"/>
    <n v="94"/>
    <n v="4794"/>
    <n v="2828.46"/>
  </r>
  <r>
    <x v="3"/>
    <n v="1185732"/>
    <x v="193"/>
    <x v="4"/>
    <s v="Massachusetts"/>
    <s v="Boston"/>
    <s v="Online"/>
    <x v="4"/>
    <n v="52"/>
    <n v="150"/>
    <n v="7800"/>
    <n v="4524"/>
  </r>
  <r>
    <x v="3"/>
    <n v="1185732"/>
    <x v="193"/>
    <x v="4"/>
    <s v="Massachusetts"/>
    <s v="Boston"/>
    <s v="Online"/>
    <x v="2"/>
    <n v="55"/>
    <n v="128"/>
    <n v="7040"/>
    <n v="4083.2000000000003"/>
  </r>
  <r>
    <x v="3"/>
    <n v="1185732"/>
    <x v="193"/>
    <x v="4"/>
    <s v="Massachusetts"/>
    <s v="Boston"/>
    <s v="Online"/>
    <x v="0"/>
    <n v="49"/>
    <n v="105"/>
    <n v="5145"/>
    <n v="2932.65"/>
  </r>
  <r>
    <x v="2"/>
    <n v="1185732"/>
    <x v="193"/>
    <x v="4"/>
    <s v="Delaware"/>
    <s v="Wilmington"/>
    <s v="Online"/>
    <x v="0"/>
    <n v="47"/>
    <n v="119"/>
    <n v="5593"/>
    <n v="3076.15"/>
  </r>
  <r>
    <x v="2"/>
    <n v="1185732"/>
    <x v="193"/>
    <x v="1"/>
    <s v="Illinois"/>
    <s v="Chicago"/>
    <s v="Online"/>
    <x v="0"/>
    <n v="41"/>
    <n v="94"/>
    <n v="3854"/>
    <n v="2081.16"/>
  </r>
  <r>
    <x v="2"/>
    <n v="1185732"/>
    <x v="193"/>
    <x v="4"/>
    <s v="Delaware"/>
    <s v="Wilmington"/>
    <s v="Online"/>
    <x v="4"/>
    <n v="53"/>
    <n v="182"/>
    <n v="9646"/>
    <n v="4823"/>
  </r>
  <r>
    <x v="2"/>
    <n v="1185732"/>
    <x v="193"/>
    <x v="4"/>
    <s v="Delaware"/>
    <s v="Wilmington"/>
    <s v="Online"/>
    <x v="2"/>
    <n v="55"/>
    <n v="145"/>
    <n v="7975"/>
    <n v="3987.5"/>
  </r>
  <r>
    <x v="2"/>
    <n v="1185732"/>
    <x v="193"/>
    <x v="4"/>
    <s v="Delaware"/>
    <s v="Wilmington"/>
    <s v="Online"/>
    <x v="5"/>
    <n v="43"/>
    <n v="90"/>
    <n v="3870"/>
    <n v="1818.9"/>
  </r>
  <r>
    <x v="2"/>
    <n v="1185732"/>
    <x v="193"/>
    <x v="4"/>
    <s v="Delaware"/>
    <s v="Wilmington"/>
    <s v="Online"/>
    <x v="3"/>
    <n v="41"/>
    <n v="102"/>
    <n v="4182"/>
    <n v="1923.7199999999998"/>
  </r>
  <r>
    <x v="2"/>
    <n v="1185732"/>
    <x v="193"/>
    <x v="1"/>
    <s v="Nebraska"/>
    <s v="Omaha"/>
    <s v="Online"/>
    <x v="2"/>
    <n v="34"/>
    <n v="39"/>
    <n v="1326"/>
    <n v="503.88"/>
  </r>
  <r>
    <x v="2"/>
    <n v="1185732"/>
    <x v="194"/>
    <x v="1"/>
    <s v="Illinois"/>
    <s v="Chicago"/>
    <s v="Outlet"/>
    <x v="3"/>
    <n v="40"/>
    <n v="250"/>
    <n v="10000"/>
    <n v="6500"/>
  </r>
  <r>
    <x v="2"/>
    <n v="1185732"/>
    <x v="194"/>
    <x v="1"/>
    <s v="Nebraska"/>
    <s v="Omaha"/>
    <s v="Outlet"/>
    <x v="4"/>
    <n v="40"/>
    <n v="325"/>
    <n v="13000"/>
    <n v="7800"/>
  </r>
  <r>
    <x v="2"/>
    <n v="1185732"/>
    <x v="194"/>
    <x v="1"/>
    <s v="Illinois"/>
    <s v="Chicago"/>
    <s v="Online"/>
    <x v="3"/>
    <n v="38"/>
    <n v="75"/>
    <n v="2850"/>
    <n v="1453.5"/>
  </r>
  <r>
    <x v="2"/>
    <n v="1185732"/>
    <x v="194"/>
    <x v="1"/>
    <s v="Nebraska"/>
    <s v="Omaha"/>
    <s v="Online"/>
    <x v="4"/>
    <n v="36"/>
    <n v="94"/>
    <n v="3384"/>
    <n v="1556.6399999999999"/>
  </r>
  <r>
    <x v="3"/>
    <n v="1185732"/>
    <x v="195"/>
    <x v="1"/>
    <s v="Michigan"/>
    <s v="Detroit"/>
    <s v="In-store"/>
    <x v="3"/>
    <n v="50"/>
    <n v="575"/>
    <n v="28750"/>
    <n v="20125"/>
  </r>
  <r>
    <x v="2"/>
    <n v="1185732"/>
    <x v="195"/>
    <x v="1"/>
    <s v="Nebraska"/>
    <s v="Omaha"/>
    <s v="Outlet"/>
    <x v="0"/>
    <n v="30"/>
    <n v="150"/>
    <n v="4500"/>
    <n v="2925"/>
  </r>
  <r>
    <x v="3"/>
    <n v="1185732"/>
    <x v="195"/>
    <x v="1"/>
    <s v="Michigan"/>
    <s v="Detroit"/>
    <s v="In-store"/>
    <x v="5"/>
    <n v="50"/>
    <n v="525"/>
    <n v="26250"/>
    <n v="17062.5"/>
  </r>
  <r>
    <x v="3"/>
    <n v="1185732"/>
    <x v="195"/>
    <x v="1"/>
    <s v="Michigan"/>
    <s v="Detroit"/>
    <s v="In-store"/>
    <x v="0"/>
    <n v="55.000000000000007"/>
    <n v="650"/>
    <n v="35750.000000000007"/>
    <n v="21450.000000000007"/>
  </r>
  <r>
    <x v="2"/>
    <n v="1185732"/>
    <x v="195"/>
    <x v="1"/>
    <s v="Illinois"/>
    <s v="Chicago"/>
    <s v="Outlet"/>
    <x v="5"/>
    <n v="40"/>
    <n v="225"/>
    <n v="9000"/>
    <n v="5400"/>
  </r>
  <r>
    <x v="3"/>
    <n v="1185732"/>
    <x v="195"/>
    <x v="1"/>
    <s v="Michigan"/>
    <s v="Detroit"/>
    <s v="In-store"/>
    <x v="1"/>
    <n v="60"/>
    <n v="550"/>
    <n v="33000"/>
    <n v="19800"/>
  </r>
  <r>
    <x v="3"/>
    <n v="1185732"/>
    <x v="195"/>
    <x v="1"/>
    <s v="Michigan"/>
    <s v="Detroit"/>
    <s v="In-store"/>
    <x v="4"/>
    <n v="60"/>
    <n v="900"/>
    <n v="54000"/>
    <n v="27000"/>
  </r>
  <r>
    <x v="3"/>
    <n v="1185732"/>
    <x v="195"/>
    <x v="1"/>
    <s v="Michigan"/>
    <s v="Detroit"/>
    <s v="In-store"/>
    <x v="2"/>
    <n v="65"/>
    <n v="725"/>
    <n v="47125"/>
    <n v="21206.249999999996"/>
  </r>
  <r>
    <x v="3"/>
    <n v="1185732"/>
    <x v="195"/>
    <x v="1"/>
    <s v="Michigan"/>
    <s v="Detroit"/>
    <s v="Online"/>
    <x v="3"/>
    <n v="46"/>
    <n v="173"/>
    <n v="7958"/>
    <n v="4376.9000000000005"/>
  </r>
  <r>
    <x v="3"/>
    <n v="1185732"/>
    <x v="195"/>
    <x v="1"/>
    <s v="Michigan"/>
    <s v="Detroit"/>
    <s v="Online"/>
    <x v="5"/>
    <n v="47"/>
    <n v="158"/>
    <n v="7426"/>
    <n v="4084.3"/>
  </r>
  <r>
    <x v="2"/>
    <n v="1185732"/>
    <x v="195"/>
    <x v="1"/>
    <s v="Nebraska"/>
    <s v="Omaha"/>
    <s v="Online"/>
    <x v="0"/>
    <n v="29"/>
    <n v="41"/>
    <n v="1189"/>
    <n v="642.06000000000006"/>
  </r>
  <r>
    <x v="2"/>
    <n v="1185732"/>
    <x v="195"/>
    <x v="1"/>
    <s v="Illinois"/>
    <s v="Chicago"/>
    <s v="Online"/>
    <x v="5"/>
    <n v="37"/>
    <n v="63"/>
    <n v="2331"/>
    <n v="1165.5"/>
  </r>
  <r>
    <x v="3"/>
    <n v="1185732"/>
    <x v="195"/>
    <x v="1"/>
    <s v="Michigan"/>
    <s v="Detroit"/>
    <s v="Online"/>
    <x v="0"/>
    <n v="53"/>
    <n v="189"/>
    <n v="10017"/>
    <n v="4908.33"/>
  </r>
  <r>
    <x v="3"/>
    <n v="1185732"/>
    <x v="195"/>
    <x v="1"/>
    <s v="Michigan"/>
    <s v="Detroit"/>
    <s v="Online"/>
    <x v="1"/>
    <n v="54"/>
    <n v="143"/>
    <n v="7722"/>
    <n v="3783.7799999999997"/>
  </r>
  <r>
    <x v="3"/>
    <n v="1185732"/>
    <x v="195"/>
    <x v="1"/>
    <s v="Michigan"/>
    <s v="Detroit"/>
    <s v="Online"/>
    <x v="4"/>
    <n v="57"/>
    <n v="225"/>
    <n v="12825"/>
    <n v="5130"/>
  </r>
  <r>
    <x v="3"/>
    <n v="1185732"/>
    <x v="195"/>
    <x v="1"/>
    <s v="Michigan"/>
    <s v="Detroit"/>
    <s v="Online"/>
    <x v="2"/>
    <n v="62"/>
    <n v="210"/>
    <n v="13020"/>
    <n v="4036.1999999999989"/>
  </r>
  <r>
    <x v="5"/>
    <n v="1128299"/>
    <x v="196"/>
    <x v="3"/>
    <s v="Florida"/>
    <s v="Orlando"/>
    <s v="In-store"/>
    <x v="1"/>
    <n v="95"/>
    <n v="650"/>
    <n v="61750"/>
    <n v="49400"/>
  </r>
  <r>
    <x v="5"/>
    <n v="1128299"/>
    <x v="196"/>
    <x v="3"/>
    <s v="Florida"/>
    <s v="Orlando"/>
    <s v="In-store"/>
    <x v="0"/>
    <n v="95"/>
    <n v="750"/>
    <n v="71250"/>
    <n v="53437.5"/>
  </r>
  <r>
    <x v="5"/>
    <n v="1128299"/>
    <x v="196"/>
    <x v="3"/>
    <s v="Florida"/>
    <s v="Orlando"/>
    <s v="In-store"/>
    <x v="4"/>
    <n v="90"/>
    <n v="900"/>
    <n v="81000"/>
    <n v="56700"/>
  </r>
  <r>
    <x v="5"/>
    <n v="1128299"/>
    <x v="196"/>
    <x v="3"/>
    <s v="Florida"/>
    <s v="Orlando"/>
    <s v="In-store"/>
    <x v="3"/>
    <n v="95"/>
    <n v="700"/>
    <n v="66500"/>
    <n v="46550"/>
  </r>
  <r>
    <x v="5"/>
    <n v="1128299"/>
    <x v="196"/>
    <x v="3"/>
    <s v="Florida"/>
    <s v="Orlando"/>
    <s v="In-store"/>
    <x v="5"/>
    <n v="90"/>
    <n v="600"/>
    <n v="54000"/>
    <n v="37800"/>
  </r>
  <r>
    <x v="0"/>
    <n v="1128299"/>
    <x v="196"/>
    <x v="2"/>
    <s v="Louisiana"/>
    <s v="New Orleans"/>
    <s v="Online"/>
    <x v="2"/>
    <n v="110.00000000000001"/>
    <n v="650"/>
    <n v="71500.000000000015"/>
    <n v="46475.000000000015"/>
  </r>
  <r>
    <x v="5"/>
    <n v="1185732"/>
    <x v="196"/>
    <x v="2"/>
    <s v="Mississippi"/>
    <s v="Jackson"/>
    <s v="Online"/>
    <x v="0"/>
    <n v="55.000000000000007"/>
    <n v="600"/>
    <n v="33000.000000000007"/>
    <n v="21450.000000000007"/>
  </r>
  <r>
    <x v="2"/>
    <n v="1185732"/>
    <x v="196"/>
    <x v="1"/>
    <s v="Illinois"/>
    <s v="Chicago"/>
    <s v="Outlet"/>
    <x v="1"/>
    <n v="50"/>
    <n v="200"/>
    <n v="10000"/>
    <n v="6500"/>
  </r>
  <r>
    <x v="2"/>
    <n v="1185732"/>
    <x v="196"/>
    <x v="1"/>
    <s v="Nebraska"/>
    <s v="Omaha"/>
    <s v="Outlet"/>
    <x v="3"/>
    <n v="30"/>
    <n v="50"/>
    <n v="1500"/>
    <n v="975"/>
  </r>
  <r>
    <x v="5"/>
    <n v="1185732"/>
    <x v="196"/>
    <x v="2"/>
    <s v="Mississippi"/>
    <s v="Jackson"/>
    <s v="Online"/>
    <x v="1"/>
    <n v="60"/>
    <n v="500"/>
    <n v="30000"/>
    <n v="19500"/>
  </r>
  <r>
    <x v="0"/>
    <n v="1128299"/>
    <x v="196"/>
    <x v="2"/>
    <s v="Louisiana"/>
    <s v="New Orleans"/>
    <s v="Online"/>
    <x v="4"/>
    <n v="90"/>
    <n v="900"/>
    <n v="81000"/>
    <n v="48600"/>
  </r>
  <r>
    <x v="0"/>
    <n v="1128299"/>
    <x v="196"/>
    <x v="2"/>
    <s v="Louisiana"/>
    <s v="New Orleans"/>
    <s v="Online"/>
    <x v="0"/>
    <n v="95"/>
    <n v="750"/>
    <n v="71250"/>
    <n v="42750"/>
  </r>
  <r>
    <x v="0"/>
    <n v="1128299"/>
    <x v="196"/>
    <x v="2"/>
    <s v="Louisiana"/>
    <s v="New Orleans"/>
    <s v="Online"/>
    <x v="3"/>
    <n v="95"/>
    <n v="700"/>
    <n v="66500"/>
    <n v="39900"/>
  </r>
  <r>
    <x v="0"/>
    <n v="1128299"/>
    <x v="196"/>
    <x v="2"/>
    <s v="Louisiana"/>
    <s v="New Orleans"/>
    <s v="Online"/>
    <x v="5"/>
    <n v="90"/>
    <n v="600"/>
    <n v="54000"/>
    <n v="32400"/>
  </r>
  <r>
    <x v="2"/>
    <n v="1185732"/>
    <x v="196"/>
    <x v="2"/>
    <s v="Mississippi"/>
    <s v="Jackson"/>
    <s v="Online"/>
    <x v="4"/>
    <n v="60"/>
    <n v="850"/>
    <n v="51000"/>
    <n v="30600"/>
  </r>
  <r>
    <x v="5"/>
    <n v="1185732"/>
    <x v="196"/>
    <x v="2"/>
    <s v="Mississippi"/>
    <s v="Jackson"/>
    <s v="Online"/>
    <x v="3"/>
    <n v="50"/>
    <n v="525"/>
    <n v="26250"/>
    <n v="15750"/>
  </r>
  <r>
    <x v="5"/>
    <n v="1185732"/>
    <x v="196"/>
    <x v="2"/>
    <s v="Mississippi"/>
    <s v="Jackson"/>
    <s v="Online"/>
    <x v="5"/>
    <n v="50"/>
    <n v="475"/>
    <n v="23750"/>
    <n v="14250"/>
  </r>
  <r>
    <x v="0"/>
    <n v="1185732"/>
    <x v="196"/>
    <x v="4"/>
    <s v="West Virginia"/>
    <s v="Charleston"/>
    <s v="In-store"/>
    <x v="4"/>
    <n v="60.000000000000007"/>
    <n v="650"/>
    <n v="39000.000000000007"/>
    <n v="23400.000000000004"/>
  </r>
  <r>
    <x v="0"/>
    <n v="1185732"/>
    <x v="196"/>
    <x v="4"/>
    <s v="West Virginia"/>
    <s v="Charleston"/>
    <s v="In-store"/>
    <x v="0"/>
    <n v="55.000000000000014"/>
    <n v="400"/>
    <n v="22000.000000000007"/>
    <n v="13200.000000000004"/>
  </r>
  <r>
    <x v="0"/>
    <n v="1185732"/>
    <x v="196"/>
    <x v="4"/>
    <s v="West Virginia"/>
    <s v="Charleston"/>
    <s v="In-store"/>
    <x v="3"/>
    <n v="50"/>
    <n v="325"/>
    <n v="16250"/>
    <n v="9750"/>
  </r>
  <r>
    <x v="0"/>
    <n v="1185732"/>
    <x v="196"/>
    <x v="4"/>
    <s v="West Virginia"/>
    <s v="Charleston"/>
    <s v="In-store"/>
    <x v="5"/>
    <n v="50"/>
    <n v="275"/>
    <n v="13750"/>
    <n v="8250"/>
  </r>
  <r>
    <x v="0"/>
    <n v="1185732"/>
    <x v="196"/>
    <x v="4"/>
    <s v="West Virginia"/>
    <s v="Charleston"/>
    <s v="In-store"/>
    <x v="1"/>
    <n v="60.000000000000007"/>
    <n v="300"/>
    <n v="18000.000000000004"/>
    <n v="10800.000000000002"/>
  </r>
  <r>
    <x v="0"/>
    <n v="1185732"/>
    <x v="196"/>
    <x v="4"/>
    <s v="West Virginia"/>
    <s v="Charleston"/>
    <s v="In-store"/>
    <x v="2"/>
    <n v="65.000000000000014"/>
    <n v="475"/>
    <n v="30875.000000000007"/>
    <n v="18525.000000000004"/>
  </r>
  <r>
    <x v="5"/>
    <n v="1128299"/>
    <x v="196"/>
    <x v="3"/>
    <s v="Florida"/>
    <s v="Orlando"/>
    <s v="In-store"/>
    <x v="2"/>
    <n v="110.00000000000001"/>
    <n v="650"/>
    <n v="71500.000000000015"/>
    <n v="39325.000000000007"/>
  </r>
  <r>
    <x v="0"/>
    <n v="1128299"/>
    <x v="196"/>
    <x v="2"/>
    <s v="Louisiana"/>
    <s v="New Orleans"/>
    <s v="Online"/>
    <x v="1"/>
    <n v="95"/>
    <n v="650"/>
    <n v="61750"/>
    <n v="33962.5"/>
  </r>
  <r>
    <x v="5"/>
    <n v="1185732"/>
    <x v="196"/>
    <x v="2"/>
    <s v="Mississippi"/>
    <s v="Jackson"/>
    <s v="Online"/>
    <x v="2"/>
    <n v="65"/>
    <n v="675"/>
    <n v="43875"/>
    <n v="21937.5"/>
  </r>
  <r>
    <x v="5"/>
    <n v="1128299"/>
    <x v="196"/>
    <x v="3"/>
    <s v="Florida"/>
    <s v="Orlando"/>
    <s v="Outlet"/>
    <x v="1"/>
    <n v="68"/>
    <n v="208"/>
    <n v="14144"/>
    <n v="11032.32"/>
  </r>
  <r>
    <x v="5"/>
    <n v="1128299"/>
    <x v="196"/>
    <x v="3"/>
    <s v="Florida"/>
    <s v="Orlando"/>
    <s v="Outlet"/>
    <x v="0"/>
    <n v="74"/>
    <n v="263"/>
    <n v="19462"/>
    <n v="14012.64"/>
  </r>
  <r>
    <x v="5"/>
    <n v="1128299"/>
    <x v="196"/>
    <x v="3"/>
    <s v="Florida"/>
    <s v="Orlando"/>
    <s v="Online"/>
    <x v="1"/>
    <n v="89"/>
    <n v="195"/>
    <n v="17355"/>
    <n v="11801.4"/>
  </r>
  <r>
    <x v="5"/>
    <n v="1128299"/>
    <x v="196"/>
    <x v="3"/>
    <s v="Florida"/>
    <s v="Orlando"/>
    <s v="Outlet"/>
    <x v="5"/>
    <n v="59"/>
    <n v="186"/>
    <n v="10974"/>
    <n v="7352.58"/>
  </r>
  <r>
    <x v="5"/>
    <n v="1128299"/>
    <x v="196"/>
    <x v="3"/>
    <s v="Florida"/>
    <s v="Orlando"/>
    <s v="Outlet"/>
    <x v="3"/>
    <n v="72"/>
    <n v="238"/>
    <n v="17136"/>
    <n v="11309.76"/>
  </r>
  <r>
    <x v="5"/>
    <n v="1128299"/>
    <x v="196"/>
    <x v="3"/>
    <s v="Florida"/>
    <s v="Orlando"/>
    <s v="Outlet"/>
    <x v="4"/>
    <n v="68"/>
    <n v="297"/>
    <n v="20196"/>
    <n v="12723.48"/>
  </r>
  <r>
    <x v="5"/>
    <n v="1185732"/>
    <x v="196"/>
    <x v="2"/>
    <s v="Mississippi"/>
    <s v="Jackson"/>
    <s v="Outlet"/>
    <x v="1"/>
    <n v="46"/>
    <n v="150"/>
    <n v="6900"/>
    <n v="4347"/>
  </r>
  <r>
    <x v="5"/>
    <n v="1185732"/>
    <x v="196"/>
    <x v="2"/>
    <s v="Mississippi"/>
    <s v="Jackson"/>
    <s v="Outlet"/>
    <x v="0"/>
    <n v="42"/>
    <n v="192"/>
    <n v="8064"/>
    <n v="4999.68"/>
  </r>
  <r>
    <x v="5"/>
    <n v="1128299"/>
    <x v="196"/>
    <x v="3"/>
    <s v="Florida"/>
    <s v="Orlando"/>
    <s v="Online"/>
    <x v="0"/>
    <n v="88"/>
    <n v="225"/>
    <n v="19800"/>
    <n v="11880"/>
  </r>
  <r>
    <x v="0"/>
    <n v="1128299"/>
    <x v="196"/>
    <x v="2"/>
    <s v="Louisiana"/>
    <s v="New Orleans"/>
    <s v="Outlet"/>
    <x v="2"/>
    <n v="81"/>
    <n v="208"/>
    <n v="16848"/>
    <n v="9940.32"/>
  </r>
  <r>
    <x v="5"/>
    <n v="1185732"/>
    <x v="196"/>
    <x v="2"/>
    <s v="Mississippi"/>
    <s v="Jackson"/>
    <s v="Outlet"/>
    <x v="3"/>
    <n v="37"/>
    <n v="168"/>
    <n v="6216"/>
    <n v="3605.2799999999997"/>
  </r>
  <r>
    <x v="5"/>
    <n v="1128299"/>
    <x v="196"/>
    <x v="3"/>
    <s v="Florida"/>
    <s v="Orlando"/>
    <s v="Online"/>
    <x v="5"/>
    <n v="82"/>
    <n v="180"/>
    <n v="14760"/>
    <n v="8413.2000000000007"/>
  </r>
  <r>
    <x v="0"/>
    <n v="1128299"/>
    <x v="196"/>
    <x v="2"/>
    <s v="Louisiana"/>
    <s v="New Orleans"/>
    <s v="Outlet"/>
    <x v="4"/>
    <n v="62"/>
    <n v="306"/>
    <n v="18972"/>
    <n v="10814.04"/>
  </r>
  <r>
    <x v="5"/>
    <n v="1185732"/>
    <x v="196"/>
    <x v="2"/>
    <s v="Mississippi"/>
    <s v="Jackson"/>
    <s v="Outlet"/>
    <x v="5"/>
    <n v="33"/>
    <n v="143"/>
    <n v="4719"/>
    <n v="2689.83"/>
  </r>
  <r>
    <x v="5"/>
    <n v="1128299"/>
    <x v="196"/>
    <x v="3"/>
    <s v="Florida"/>
    <s v="Orlando"/>
    <s v="Online"/>
    <x v="4"/>
    <n v="83"/>
    <n v="261"/>
    <n v="21663"/>
    <n v="12131.28"/>
  </r>
  <r>
    <x v="5"/>
    <n v="1128299"/>
    <x v="196"/>
    <x v="3"/>
    <s v="Florida"/>
    <s v="Orlando"/>
    <s v="Online"/>
    <x v="3"/>
    <n v="86"/>
    <n v="189"/>
    <n v="16254"/>
    <n v="9102.24"/>
  </r>
  <r>
    <x v="5"/>
    <n v="1185732"/>
    <x v="196"/>
    <x v="2"/>
    <s v="Mississippi"/>
    <s v="Jackson"/>
    <s v="Online"/>
    <x v="0"/>
    <n v="53"/>
    <n v="156"/>
    <n v="8268"/>
    <n v="4547.4000000000005"/>
  </r>
  <r>
    <x v="0"/>
    <n v="1128299"/>
    <x v="196"/>
    <x v="2"/>
    <s v="Louisiana"/>
    <s v="New Orleans"/>
    <s v="Outlet"/>
    <x v="5"/>
    <n v="62"/>
    <n v="198"/>
    <n v="12276"/>
    <n v="6751.8"/>
  </r>
  <r>
    <x v="0"/>
    <n v="1128299"/>
    <x v="196"/>
    <x v="2"/>
    <s v="Louisiana"/>
    <s v="New Orleans"/>
    <s v="Outlet"/>
    <x v="0"/>
    <n v="67"/>
    <n v="248"/>
    <n v="16616"/>
    <n v="8972.64"/>
  </r>
  <r>
    <x v="2"/>
    <n v="1185732"/>
    <x v="196"/>
    <x v="2"/>
    <s v="Mississippi"/>
    <s v="Jackson"/>
    <s v="Outlet"/>
    <x v="4"/>
    <n v="47"/>
    <n v="289"/>
    <n v="13583"/>
    <n v="7334.82"/>
  </r>
  <r>
    <x v="5"/>
    <n v="1128299"/>
    <x v="196"/>
    <x v="3"/>
    <s v="Florida"/>
    <s v="Orlando"/>
    <s v="Outlet"/>
    <x v="2"/>
    <n v="75"/>
    <n v="195"/>
    <n v="14625"/>
    <n v="7751.25"/>
  </r>
  <r>
    <x v="0"/>
    <n v="1128299"/>
    <x v="196"/>
    <x v="2"/>
    <s v="Louisiana"/>
    <s v="New Orleans"/>
    <s v="Outlet"/>
    <x v="3"/>
    <n v="69"/>
    <n v="210"/>
    <n v="14490"/>
    <n v="7679.7000000000007"/>
  </r>
  <r>
    <x v="0"/>
    <n v="1128299"/>
    <x v="196"/>
    <x v="2"/>
    <s v="Louisiana"/>
    <s v="New Orleans"/>
    <s v="Online"/>
    <x v="2"/>
    <n v="103"/>
    <n v="163"/>
    <n v="16789"/>
    <n v="8730.2800000000007"/>
  </r>
  <r>
    <x v="5"/>
    <n v="1185732"/>
    <x v="196"/>
    <x v="2"/>
    <s v="Mississippi"/>
    <s v="Jackson"/>
    <s v="Online"/>
    <x v="1"/>
    <n v="59"/>
    <n v="150"/>
    <n v="8850"/>
    <n v="4602"/>
  </r>
  <r>
    <x v="0"/>
    <n v="1128299"/>
    <x v="196"/>
    <x v="2"/>
    <s v="Louisiana"/>
    <s v="New Orleans"/>
    <s v="Outlet"/>
    <x v="1"/>
    <n v="73"/>
    <n v="221"/>
    <n v="16133"/>
    <n v="8227.83"/>
  </r>
  <r>
    <x v="2"/>
    <n v="1185732"/>
    <x v="196"/>
    <x v="1"/>
    <s v="Illinois"/>
    <s v="Chicago"/>
    <s v="Online"/>
    <x v="1"/>
    <n v="49"/>
    <n v="50"/>
    <n v="2450"/>
    <n v="1225"/>
  </r>
  <r>
    <x v="2"/>
    <n v="1185732"/>
    <x v="196"/>
    <x v="1"/>
    <s v="Nebraska"/>
    <s v="Omaha"/>
    <s v="Online"/>
    <x v="3"/>
    <n v="29"/>
    <n v="14"/>
    <n v="406"/>
    <n v="203"/>
  </r>
  <r>
    <x v="5"/>
    <n v="1185732"/>
    <x v="196"/>
    <x v="2"/>
    <s v="Mississippi"/>
    <s v="Jackson"/>
    <s v="Online"/>
    <x v="3"/>
    <n v="48"/>
    <n v="142"/>
    <n v="6816"/>
    <n v="3408"/>
  </r>
  <r>
    <x v="2"/>
    <n v="1185732"/>
    <x v="196"/>
    <x v="2"/>
    <s v="Mississippi"/>
    <s v="Jackson"/>
    <s v="Online"/>
    <x v="4"/>
    <n v="58"/>
    <n v="221"/>
    <n v="12818"/>
    <n v="6280.82"/>
  </r>
  <r>
    <x v="0"/>
    <n v="1185732"/>
    <x v="196"/>
    <x v="4"/>
    <s v="West Virginia"/>
    <s v="Charleston"/>
    <s v="Online"/>
    <x v="5"/>
    <n v="48"/>
    <n v="77"/>
    <n v="3696"/>
    <n v="1811.04"/>
  </r>
  <r>
    <x v="0"/>
    <n v="1185732"/>
    <x v="196"/>
    <x v="4"/>
    <s v="West Virginia"/>
    <s v="Charleston"/>
    <s v="Online"/>
    <x v="4"/>
    <n v="55"/>
    <n v="182"/>
    <n v="10010"/>
    <n v="4804.8"/>
  </r>
  <r>
    <x v="0"/>
    <n v="1128299"/>
    <x v="196"/>
    <x v="2"/>
    <s v="Louisiana"/>
    <s v="New Orleans"/>
    <s v="Online"/>
    <x v="4"/>
    <n v="86"/>
    <n v="270"/>
    <n v="23220"/>
    <n v="10913.4"/>
  </r>
  <r>
    <x v="5"/>
    <n v="1185732"/>
    <x v="196"/>
    <x v="2"/>
    <s v="Mississippi"/>
    <s v="Jackson"/>
    <s v="Online"/>
    <x v="5"/>
    <n v="48"/>
    <n v="124"/>
    <n v="5952"/>
    <n v="2797.44"/>
  </r>
  <r>
    <x v="0"/>
    <n v="1185732"/>
    <x v="196"/>
    <x v="4"/>
    <s v="West Virginia"/>
    <s v="Charleston"/>
    <s v="Online"/>
    <x v="0"/>
    <n v="50"/>
    <n v="116"/>
    <n v="5800"/>
    <n v="2726"/>
  </r>
  <r>
    <x v="0"/>
    <n v="1185732"/>
    <x v="196"/>
    <x v="4"/>
    <s v="West Virginia"/>
    <s v="Charleston"/>
    <s v="Online"/>
    <x v="3"/>
    <n v="49"/>
    <n v="98"/>
    <n v="4802"/>
    <n v="2256.94"/>
  </r>
  <r>
    <x v="5"/>
    <n v="1185732"/>
    <x v="196"/>
    <x v="2"/>
    <s v="Mississippi"/>
    <s v="Jackson"/>
    <s v="Outlet"/>
    <x v="2"/>
    <n v="49"/>
    <n v="209"/>
    <n v="10241"/>
    <n v="4813.2699999999995"/>
  </r>
  <r>
    <x v="0"/>
    <n v="1128299"/>
    <x v="196"/>
    <x v="2"/>
    <s v="Louisiana"/>
    <s v="New Orleans"/>
    <s v="Online"/>
    <x v="3"/>
    <n v="90"/>
    <n v="196"/>
    <n v="17640"/>
    <n v="8114.4"/>
  </r>
  <r>
    <x v="0"/>
    <n v="1128299"/>
    <x v="196"/>
    <x v="2"/>
    <s v="Louisiana"/>
    <s v="New Orleans"/>
    <s v="Online"/>
    <x v="5"/>
    <n v="86"/>
    <n v="168"/>
    <n v="14448"/>
    <n v="6646.08"/>
  </r>
  <r>
    <x v="0"/>
    <n v="1185732"/>
    <x v="196"/>
    <x v="4"/>
    <s v="West Virginia"/>
    <s v="Charleston"/>
    <s v="Online"/>
    <x v="1"/>
    <n v="54"/>
    <n v="87"/>
    <n v="4698"/>
    <n v="2161.08"/>
  </r>
  <r>
    <x v="0"/>
    <n v="1185732"/>
    <x v="196"/>
    <x v="4"/>
    <s v="West Virginia"/>
    <s v="Charleston"/>
    <s v="Online"/>
    <x v="2"/>
    <n v="63"/>
    <n v="133"/>
    <n v="8379"/>
    <n v="3854.34"/>
  </r>
  <r>
    <x v="0"/>
    <n v="1128299"/>
    <x v="196"/>
    <x v="2"/>
    <s v="Louisiana"/>
    <s v="New Orleans"/>
    <s v="Online"/>
    <x v="0"/>
    <n v="92"/>
    <n v="203"/>
    <n v="18676"/>
    <n v="8404.2000000000007"/>
  </r>
  <r>
    <x v="5"/>
    <n v="1128299"/>
    <x v="196"/>
    <x v="3"/>
    <s v="Florida"/>
    <s v="Orlando"/>
    <s v="Online"/>
    <x v="2"/>
    <n v="101"/>
    <n v="163"/>
    <n v="16463"/>
    <n v="7079.0899999999983"/>
  </r>
  <r>
    <x v="0"/>
    <n v="1128299"/>
    <x v="196"/>
    <x v="2"/>
    <s v="Louisiana"/>
    <s v="New Orleans"/>
    <s v="Online"/>
    <x v="1"/>
    <n v="86"/>
    <n v="189"/>
    <n v="16254"/>
    <n v="6826.6799999999985"/>
  </r>
  <r>
    <x v="5"/>
    <n v="1185732"/>
    <x v="196"/>
    <x v="2"/>
    <s v="Mississippi"/>
    <s v="Jackson"/>
    <s v="Online"/>
    <x v="2"/>
    <n v="61"/>
    <n v="176"/>
    <n v="10736"/>
    <n v="4187.04"/>
  </r>
  <r>
    <x v="4"/>
    <n v="1185732"/>
    <x v="197"/>
    <x v="4"/>
    <s v="New Hampshire"/>
    <s v="Manchester"/>
    <s v="Outlet"/>
    <x v="3"/>
    <n v="55.000000000000007"/>
    <n v="375"/>
    <n v="20625.000000000004"/>
    <n v="14437.500000000004"/>
  </r>
  <r>
    <x v="4"/>
    <n v="1185732"/>
    <x v="197"/>
    <x v="4"/>
    <s v="New Hampshire"/>
    <s v="Manchester"/>
    <s v="Outlet"/>
    <x v="5"/>
    <n v="55.000000000000007"/>
    <n v="325"/>
    <n v="17875.000000000004"/>
    <n v="12512.500000000004"/>
  </r>
  <r>
    <x v="4"/>
    <n v="1185732"/>
    <x v="197"/>
    <x v="4"/>
    <s v="New Hampshire"/>
    <s v="Manchester"/>
    <s v="Outlet"/>
    <x v="1"/>
    <n v="65"/>
    <n v="350"/>
    <n v="22750"/>
    <n v="15925"/>
  </r>
  <r>
    <x v="2"/>
    <n v="1185732"/>
    <x v="197"/>
    <x v="1"/>
    <s v="Missouri"/>
    <s v="St. Louis"/>
    <s v="In-store"/>
    <x v="0"/>
    <n v="35.000000000000007"/>
    <n v="500"/>
    <n v="17500.000000000004"/>
    <n v="11375.000000000004"/>
  </r>
  <r>
    <x v="2"/>
    <n v="1185732"/>
    <x v="197"/>
    <x v="1"/>
    <s v="Missouri"/>
    <s v="St. Louis"/>
    <s v="In-store"/>
    <x v="3"/>
    <n v="30.000000000000004"/>
    <n v="425"/>
    <n v="12750.000000000002"/>
    <n v="8287.5000000000018"/>
  </r>
  <r>
    <x v="2"/>
    <n v="1185732"/>
    <x v="197"/>
    <x v="1"/>
    <s v="Missouri"/>
    <s v="St. Louis"/>
    <s v="In-store"/>
    <x v="1"/>
    <n v="40"/>
    <n v="375"/>
    <n v="15000"/>
    <n v="9750"/>
  </r>
  <r>
    <x v="4"/>
    <n v="1185732"/>
    <x v="197"/>
    <x v="4"/>
    <s v="New Hampshire"/>
    <s v="Manchester"/>
    <s v="Outlet"/>
    <x v="2"/>
    <n v="70"/>
    <n v="525"/>
    <n v="36750"/>
    <n v="23887.5"/>
  </r>
  <r>
    <x v="2"/>
    <n v="1185732"/>
    <x v="197"/>
    <x v="1"/>
    <s v="Nebraska"/>
    <s v="Omaha"/>
    <s v="Outlet"/>
    <x v="5"/>
    <n v="30"/>
    <n v="25"/>
    <n v="750"/>
    <n v="450"/>
  </r>
  <r>
    <x v="2"/>
    <n v="1185732"/>
    <x v="197"/>
    <x v="1"/>
    <s v="Missouri"/>
    <s v="St. Louis"/>
    <s v="In-store"/>
    <x v="4"/>
    <n v="40"/>
    <n v="750"/>
    <n v="30000"/>
    <n v="18000"/>
  </r>
  <r>
    <x v="4"/>
    <n v="1185732"/>
    <x v="197"/>
    <x v="4"/>
    <s v="New Hampshire"/>
    <s v="Manchester"/>
    <s v="In-store"/>
    <x v="4"/>
    <n v="65"/>
    <n v="700"/>
    <n v="45500"/>
    <n v="27300"/>
  </r>
  <r>
    <x v="4"/>
    <n v="1185732"/>
    <x v="197"/>
    <x v="4"/>
    <s v="New Hampshire"/>
    <s v="Manchester"/>
    <s v="Outlet"/>
    <x v="0"/>
    <n v="60.000000000000007"/>
    <n v="450"/>
    <n v="27000.000000000004"/>
    <n v="16200.000000000004"/>
  </r>
  <r>
    <x v="2"/>
    <n v="1185732"/>
    <x v="197"/>
    <x v="1"/>
    <s v="Missouri"/>
    <s v="St. Louis"/>
    <s v="In-store"/>
    <x v="5"/>
    <n v="30.000000000000004"/>
    <n v="375"/>
    <n v="11250.000000000002"/>
    <n v="6750"/>
  </r>
  <r>
    <x v="2"/>
    <n v="1185732"/>
    <x v="197"/>
    <x v="1"/>
    <s v="Illinois"/>
    <s v="Chicago"/>
    <s v="Outlet"/>
    <x v="2"/>
    <n v="55.000000000000007"/>
    <n v="375"/>
    <n v="20625.000000000004"/>
    <n v="10312.500000000002"/>
  </r>
  <r>
    <x v="2"/>
    <n v="1185732"/>
    <x v="197"/>
    <x v="1"/>
    <s v="Missouri"/>
    <s v="St. Louis"/>
    <s v="In-store"/>
    <x v="2"/>
    <n v="45"/>
    <n v="550"/>
    <n v="24750"/>
    <n v="12375"/>
  </r>
  <r>
    <x v="4"/>
    <n v="1185732"/>
    <x v="197"/>
    <x v="4"/>
    <s v="New Hampshire"/>
    <s v="Manchester"/>
    <s v="Outlet"/>
    <x v="5"/>
    <n v="39"/>
    <n v="107"/>
    <n v="4173"/>
    <n v="2712.45"/>
  </r>
  <r>
    <x v="4"/>
    <n v="1185732"/>
    <x v="197"/>
    <x v="4"/>
    <s v="New Hampshire"/>
    <s v="Manchester"/>
    <s v="Outlet"/>
    <x v="3"/>
    <n v="37"/>
    <n v="128"/>
    <n v="4736"/>
    <n v="3031.04"/>
  </r>
  <r>
    <x v="4"/>
    <n v="1185732"/>
    <x v="197"/>
    <x v="4"/>
    <s v="New Hampshire"/>
    <s v="Manchester"/>
    <s v="Outlet"/>
    <x v="1"/>
    <n v="47"/>
    <n v="119"/>
    <n v="5593"/>
    <n v="3523.59"/>
  </r>
  <r>
    <x v="4"/>
    <n v="1185732"/>
    <x v="197"/>
    <x v="4"/>
    <s v="New Hampshire"/>
    <s v="Manchester"/>
    <s v="Outlet"/>
    <x v="2"/>
    <n v="47"/>
    <n v="163"/>
    <n v="7661"/>
    <n v="4596.6000000000004"/>
  </r>
  <r>
    <x v="4"/>
    <n v="1185732"/>
    <x v="197"/>
    <x v="4"/>
    <s v="New Hampshire"/>
    <s v="Manchester"/>
    <s v="Online"/>
    <x v="3"/>
    <n v="54"/>
    <n v="109"/>
    <n v="5886"/>
    <n v="3472.7400000000002"/>
  </r>
  <r>
    <x v="4"/>
    <n v="1185732"/>
    <x v="197"/>
    <x v="4"/>
    <s v="New Hampshire"/>
    <s v="Manchester"/>
    <s v="Online"/>
    <x v="1"/>
    <n v="60"/>
    <n v="102"/>
    <n v="6120"/>
    <n v="3610.8"/>
  </r>
  <r>
    <x v="4"/>
    <n v="1185732"/>
    <x v="197"/>
    <x v="4"/>
    <s v="New Hampshire"/>
    <s v="Manchester"/>
    <s v="Outlet"/>
    <x v="4"/>
    <n v="49"/>
    <n v="224"/>
    <n v="10976"/>
    <n v="6366.08"/>
  </r>
  <r>
    <x v="4"/>
    <n v="1185732"/>
    <x v="197"/>
    <x v="4"/>
    <s v="New Hampshire"/>
    <s v="Manchester"/>
    <s v="Online"/>
    <x v="5"/>
    <n v="53"/>
    <n v="85"/>
    <n v="4505"/>
    <n v="2522.8000000000002"/>
  </r>
  <r>
    <x v="4"/>
    <n v="1185732"/>
    <x v="197"/>
    <x v="4"/>
    <s v="New Hampshire"/>
    <s v="Manchester"/>
    <s v="Outlet"/>
    <x v="0"/>
    <n v="47"/>
    <n v="149"/>
    <n v="7003"/>
    <n v="3921.68"/>
  </r>
  <r>
    <x v="2"/>
    <n v="1185732"/>
    <x v="197"/>
    <x v="1"/>
    <s v="Missouri"/>
    <s v="St. Louis"/>
    <s v="Online"/>
    <x v="3"/>
    <n v="29"/>
    <n v="128"/>
    <n v="3712"/>
    <n v="2004.48"/>
  </r>
  <r>
    <x v="2"/>
    <n v="1185732"/>
    <x v="197"/>
    <x v="1"/>
    <s v="Missouri"/>
    <s v="St. Louis"/>
    <s v="Online"/>
    <x v="0"/>
    <n v="33"/>
    <n v="130"/>
    <n v="4290"/>
    <n v="2273.6999999999998"/>
  </r>
  <r>
    <x v="2"/>
    <n v="1185732"/>
    <x v="197"/>
    <x v="1"/>
    <s v="Missouri"/>
    <s v="St. Louis"/>
    <s v="Online"/>
    <x v="1"/>
    <n v="37"/>
    <n v="94"/>
    <n v="3478"/>
    <n v="1773.78"/>
  </r>
  <r>
    <x v="4"/>
    <n v="1185732"/>
    <x v="197"/>
    <x v="4"/>
    <s v="New Hampshire"/>
    <s v="Manchester"/>
    <s v="Online"/>
    <x v="2"/>
    <n v="64"/>
    <n v="137"/>
    <n v="8768"/>
    <n v="4471.68"/>
  </r>
  <r>
    <x v="4"/>
    <n v="1185732"/>
    <x v="197"/>
    <x v="4"/>
    <s v="New Hampshire"/>
    <s v="Manchester"/>
    <s v="Online"/>
    <x v="0"/>
    <n v="55"/>
    <n v="131"/>
    <n v="7205"/>
    <n v="3602.5"/>
  </r>
  <r>
    <x v="2"/>
    <n v="1185732"/>
    <x v="197"/>
    <x v="1"/>
    <s v="Nebraska"/>
    <s v="Omaha"/>
    <s v="Online"/>
    <x v="5"/>
    <n v="29"/>
    <n v="7"/>
    <n v="203"/>
    <n v="95.41"/>
  </r>
  <r>
    <x v="2"/>
    <n v="1185732"/>
    <x v="197"/>
    <x v="1"/>
    <s v="Missouri"/>
    <s v="St. Louis"/>
    <s v="Online"/>
    <x v="5"/>
    <n v="29"/>
    <n v="101"/>
    <n v="2929"/>
    <n v="1376.6299999999999"/>
  </r>
  <r>
    <x v="4"/>
    <n v="1185732"/>
    <x v="197"/>
    <x v="4"/>
    <s v="New Hampshire"/>
    <s v="Manchester"/>
    <s v="Online"/>
    <x v="4"/>
    <n v="64"/>
    <n v="196"/>
    <n v="12544"/>
    <n v="5895.6799999999994"/>
  </r>
  <r>
    <x v="2"/>
    <n v="1185732"/>
    <x v="197"/>
    <x v="1"/>
    <s v="Missouri"/>
    <s v="St. Louis"/>
    <s v="Online"/>
    <x v="4"/>
    <n v="36"/>
    <n v="203"/>
    <n v="7308"/>
    <n v="3288.5999999999995"/>
  </r>
  <r>
    <x v="2"/>
    <n v="1185732"/>
    <x v="197"/>
    <x v="1"/>
    <s v="Missouri"/>
    <s v="St. Louis"/>
    <s v="Online"/>
    <x v="2"/>
    <n v="41"/>
    <n v="160"/>
    <n v="6560"/>
    <n v="2558.4"/>
  </r>
  <r>
    <x v="2"/>
    <n v="1185732"/>
    <x v="197"/>
    <x v="1"/>
    <s v="Illinois"/>
    <s v="Chicago"/>
    <s v="Online"/>
    <x v="2"/>
    <n v="50"/>
    <n v="94"/>
    <n v="4700"/>
    <n v="1645"/>
  </r>
  <r>
    <x v="2"/>
    <n v="1185732"/>
    <x v="198"/>
    <x v="1"/>
    <s v="Nebraska"/>
    <s v="Omaha"/>
    <s v="Outlet"/>
    <x v="1"/>
    <n v="40"/>
    <n v="25"/>
    <n v="1000"/>
    <n v="650"/>
  </r>
  <r>
    <x v="2"/>
    <n v="1185732"/>
    <x v="198"/>
    <x v="1"/>
    <s v="Illinois"/>
    <s v="Chicago"/>
    <s v="Outlet"/>
    <x v="4"/>
    <n v="50"/>
    <n v="500"/>
    <n v="25000"/>
    <n v="15000"/>
  </r>
  <r>
    <x v="2"/>
    <n v="1185732"/>
    <x v="198"/>
    <x v="1"/>
    <s v="Nebraska"/>
    <s v="Omaha"/>
    <s v="Online"/>
    <x v="1"/>
    <n v="37"/>
    <n v="7"/>
    <n v="259"/>
    <n v="134.68"/>
  </r>
  <r>
    <x v="2"/>
    <n v="1185732"/>
    <x v="198"/>
    <x v="1"/>
    <s v="Illinois"/>
    <s v="Chicago"/>
    <s v="Online"/>
    <x v="4"/>
    <n v="47"/>
    <n v="135"/>
    <n v="6345"/>
    <n v="3172.5"/>
  </r>
  <r>
    <x v="2"/>
    <n v="1185732"/>
    <x v="199"/>
    <x v="1"/>
    <s v="Illinois"/>
    <s v="Chicago"/>
    <s v="Outlet"/>
    <x v="0"/>
    <n v="45.000000000000007"/>
    <n v="300"/>
    <n v="13500.000000000002"/>
    <n v="8775.0000000000036"/>
  </r>
  <r>
    <x v="5"/>
    <n v="1197831"/>
    <x v="199"/>
    <x v="2"/>
    <s v="Arkansas"/>
    <s v="Little Rock"/>
    <s v="Online"/>
    <x v="0"/>
    <n v="50"/>
    <n v="525"/>
    <n v="26250"/>
    <n v="17062.5"/>
  </r>
  <r>
    <x v="5"/>
    <n v="1197831"/>
    <x v="199"/>
    <x v="2"/>
    <s v="Arkansas"/>
    <s v="Little Rock"/>
    <s v="Online"/>
    <x v="1"/>
    <n v="60"/>
    <n v="425"/>
    <n v="25500"/>
    <n v="16575"/>
  </r>
  <r>
    <x v="0"/>
    <n v="1197831"/>
    <x v="199"/>
    <x v="2"/>
    <s v="Oklahoma"/>
    <s v="Oklahoma City"/>
    <s v="Online"/>
    <x v="0"/>
    <n v="50"/>
    <n v="450"/>
    <n v="22500"/>
    <n v="14625"/>
  </r>
  <r>
    <x v="0"/>
    <n v="1197831"/>
    <x v="199"/>
    <x v="2"/>
    <s v="Oklahoma"/>
    <s v="Oklahoma City"/>
    <s v="Online"/>
    <x v="1"/>
    <n v="60"/>
    <n v="350"/>
    <n v="21000"/>
    <n v="13650"/>
  </r>
  <r>
    <x v="5"/>
    <n v="1197831"/>
    <x v="199"/>
    <x v="2"/>
    <s v="Arkansas"/>
    <s v="Little Rock"/>
    <s v="Online"/>
    <x v="3"/>
    <n v="45"/>
    <n v="450"/>
    <n v="20250"/>
    <n v="12150"/>
  </r>
  <r>
    <x v="5"/>
    <n v="1197831"/>
    <x v="199"/>
    <x v="2"/>
    <s v="Arkansas"/>
    <s v="Little Rock"/>
    <s v="Online"/>
    <x v="5"/>
    <n v="45"/>
    <n v="400"/>
    <n v="18000"/>
    <n v="10800"/>
  </r>
  <r>
    <x v="5"/>
    <n v="1197831"/>
    <x v="199"/>
    <x v="2"/>
    <s v="Arkansas"/>
    <s v="Little Rock"/>
    <s v="Online"/>
    <x v="2"/>
    <n v="65"/>
    <n v="600"/>
    <n v="39000"/>
    <n v="23400"/>
  </r>
  <r>
    <x v="0"/>
    <n v="1197831"/>
    <x v="199"/>
    <x v="2"/>
    <s v="Oklahoma"/>
    <s v="Oklahoma City"/>
    <s v="Online"/>
    <x v="4"/>
    <n v="54.999999999999993"/>
    <n v="700"/>
    <n v="38499.999999999993"/>
    <n v="23099.999999999996"/>
  </r>
  <r>
    <x v="0"/>
    <n v="1197831"/>
    <x v="199"/>
    <x v="2"/>
    <s v="Oklahoma"/>
    <s v="Oklahoma City"/>
    <s v="Online"/>
    <x v="3"/>
    <n v="45"/>
    <n v="375"/>
    <n v="16875"/>
    <n v="10125"/>
  </r>
  <r>
    <x v="0"/>
    <n v="1197831"/>
    <x v="199"/>
    <x v="2"/>
    <s v="Oklahoma"/>
    <s v="Oklahoma City"/>
    <s v="Online"/>
    <x v="5"/>
    <n v="45"/>
    <n v="325"/>
    <n v="14625"/>
    <n v="8775"/>
  </r>
  <r>
    <x v="0"/>
    <n v="1197831"/>
    <x v="199"/>
    <x v="2"/>
    <s v="Oklahoma"/>
    <s v="Oklahoma City"/>
    <s v="Online"/>
    <x v="2"/>
    <n v="65"/>
    <n v="525"/>
    <n v="34125"/>
    <n v="20475"/>
  </r>
  <r>
    <x v="5"/>
    <n v="1197831"/>
    <x v="199"/>
    <x v="2"/>
    <s v="Arkansas"/>
    <s v="Little Rock"/>
    <s v="Online"/>
    <x v="4"/>
    <n v="54.999999999999993"/>
    <n v="775"/>
    <n v="42624.999999999993"/>
    <n v="25574.999999999993"/>
  </r>
  <r>
    <x v="2"/>
    <n v="1185732"/>
    <x v="199"/>
    <x v="1"/>
    <s v="Nebraska"/>
    <s v="Omaha"/>
    <s v="Outlet"/>
    <x v="2"/>
    <n v="44.999999999999993"/>
    <n v="150"/>
    <n v="6749.9999999999991"/>
    <n v="3374.9999999999991"/>
  </r>
  <r>
    <x v="5"/>
    <n v="1197831"/>
    <x v="199"/>
    <x v="2"/>
    <s v="Arkansas"/>
    <s v="Little Rock"/>
    <s v="Outlet"/>
    <x v="0"/>
    <n v="36"/>
    <n v="163"/>
    <n v="5868"/>
    <n v="3696.84"/>
  </r>
  <r>
    <x v="0"/>
    <n v="1197831"/>
    <x v="199"/>
    <x v="2"/>
    <s v="Oklahoma"/>
    <s v="Oklahoma City"/>
    <s v="Outlet"/>
    <x v="0"/>
    <n v="35"/>
    <n v="135"/>
    <n v="4725"/>
    <n v="2929.5"/>
  </r>
  <r>
    <x v="5"/>
    <n v="1197831"/>
    <x v="199"/>
    <x v="2"/>
    <s v="Arkansas"/>
    <s v="Little Rock"/>
    <s v="Outlet"/>
    <x v="1"/>
    <n v="40"/>
    <n v="149"/>
    <n v="5960"/>
    <n v="3576"/>
  </r>
  <r>
    <x v="0"/>
    <n v="1197831"/>
    <x v="199"/>
    <x v="2"/>
    <s v="Oklahoma"/>
    <s v="Oklahoma City"/>
    <s v="Outlet"/>
    <x v="1"/>
    <n v="43"/>
    <n v="116"/>
    <n v="4988"/>
    <n v="2942.92"/>
  </r>
  <r>
    <x v="5"/>
    <n v="1197831"/>
    <x v="199"/>
    <x v="2"/>
    <s v="Arkansas"/>
    <s v="Little Rock"/>
    <s v="Outlet"/>
    <x v="4"/>
    <n v="39"/>
    <n v="271"/>
    <n v="10569"/>
    <n v="6130.0199999999995"/>
  </r>
  <r>
    <x v="0"/>
    <n v="1197831"/>
    <x v="199"/>
    <x v="2"/>
    <s v="Oklahoma"/>
    <s v="Oklahoma City"/>
    <s v="Outlet"/>
    <x v="4"/>
    <n v="43"/>
    <n v="238"/>
    <n v="10234"/>
    <n v="5935.7199999999993"/>
  </r>
  <r>
    <x v="5"/>
    <n v="1197831"/>
    <x v="199"/>
    <x v="2"/>
    <s v="Arkansas"/>
    <s v="Little Rock"/>
    <s v="Outlet"/>
    <x v="5"/>
    <n v="35"/>
    <n v="120"/>
    <n v="4200"/>
    <n v="2394"/>
  </r>
  <r>
    <x v="0"/>
    <n v="1197831"/>
    <x v="199"/>
    <x v="2"/>
    <s v="Oklahoma"/>
    <s v="Oklahoma City"/>
    <s v="Outlet"/>
    <x v="3"/>
    <n v="33"/>
    <n v="131"/>
    <n v="4323"/>
    <n v="2464.1099999999997"/>
  </r>
  <r>
    <x v="5"/>
    <n v="1197831"/>
    <x v="199"/>
    <x v="2"/>
    <s v="Arkansas"/>
    <s v="Little Rock"/>
    <s v="Outlet"/>
    <x v="3"/>
    <n v="32"/>
    <n v="140"/>
    <n v="4480"/>
    <n v="2508.8000000000002"/>
  </r>
  <r>
    <x v="5"/>
    <n v="1197831"/>
    <x v="199"/>
    <x v="2"/>
    <s v="Arkansas"/>
    <s v="Little Rock"/>
    <s v="Online"/>
    <x v="0"/>
    <n v="47"/>
    <n v="147"/>
    <n v="6909"/>
    <n v="3799.9500000000003"/>
  </r>
  <r>
    <x v="0"/>
    <n v="1197831"/>
    <x v="199"/>
    <x v="2"/>
    <s v="Oklahoma"/>
    <s v="Oklahoma City"/>
    <s v="Online"/>
    <x v="1"/>
    <n v="59"/>
    <n v="98"/>
    <n v="5782"/>
    <n v="3122.28"/>
  </r>
  <r>
    <x v="5"/>
    <n v="1197831"/>
    <x v="199"/>
    <x v="2"/>
    <s v="Arkansas"/>
    <s v="Little Rock"/>
    <s v="Outlet"/>
    <x v="2"/>
    <n v="50"/>
    <n v="198"/>
    <n v="9900"/>
    <n v="5346"/>
  </r>
  <r>
    <x v="0"/>
    <n v="1197831"/>
    <x v="199"/>
    <x v="2"/>
    <s v="Oklahoma"/>
    <s v="Oklahoma City"/>
    <s v="Outlet"/>
    <x v="5"/>
    <n v="36"/>
    <n v="107"/>
    <n v="3852"/>
    <n v="2080.08"/>
  </r>
  <r>
    <x v="0"/>
    <n v="1197831"/>
    <x v="199"/>
    <x v="2"/>
    <s v="Oklahoma"/>
    <s v="Oklahoma City"/>
    <s v="Outlet"/>
    <x v="2"/>
    <n v="45"/>
    <n v="163"/>
    <n v="7335"/>
    <n v="3887.5499999999997"/>
  </r>
  <r>
    <x v="5"/>
    <n v="1197831"/>
    <x v="199"/>
    <x v="2"/>
    <s v="Arkansas"/>
    <s v="Little Rock"/>
    <s v="Online"/>
    <x v="1"/>
    <n v="55"/>
    <n v="119"/>
    <n v="6545"/>
    <n v="3337.9500000000003"/>
  </r>
  <r>
    <x v="2"/>
    <n v="1185732"/>
    <x v="199"/>
    <x v="1"/>
    <s v="Illinois"/>
    <s v="Chicago"/>
    <s v="Online"/>
    <x v="0"/>
    <n v="41"/>
    <n v="84"/>
    <n v="3444"/>
    <n v="1756.44"/>
  </r>
  <r>
    <x v="5"/>
    <n v="1197831"/>
    <x v="199"/>
    <x v="2"/>
    <s v="Arkansas"/>
    <s v="Little Rock"/>
    <s v="Online"/>
    <x v="4"/>
    <n v="50"/>
    <n v="233"/>
    <n v="11650"/>
    <n v="5825"/>
  </r>
  <r>
    <x v="0"/>
    <n v="1197831"/>
    <x v="199"/>
    <x v="2"/>
    <s v="Oklahoma"/>
    <s v="Oklahoma City"/>
    <s v="Online"/>
    <x v="0"/>
    <n v="45"/>
    <n v="117"/>
    <n v="5265"/>
    <n v="2632.5"/>
  </r>
  <r>
    <x v="5"/>
    <n v="1197831"/>
    <x v="199"/>
    <x v="2"/>
    <s v="Arkansas"/>
    <s v="Little Rock"/>
    <s v="Online"/>
    <x v="3"/>
    <n v="43"/>
    <n v="126"/>
    <n v="5418"/>
    <n v="2654.82"/>
  </r>
  <r>
    <x v="0"/>
    <n v="1197831"/>
    <x v="199"/>
    <x v="2"/>
    <s v="Oklahoma"/>
    <s v="Oklahoma City"/>
    <s v="Online"/>
    <x v="4"/>
    <n v="50"/>
    <n v="182"/>
    <n v="9100"/>
    <n v="4368"/>
  </r>
  <r>
    <x v="0"/>
    <n v="1197831"/>
    <x v="199"/>
    <x v="2"/>
    <s v="Oklahoma"/>
    <s v="Oklahoma City"/>
    <s v="Online"/>
    <x v="5"/>
    <n v="41"/>
    <n v="85"/>
    <n v="3485"/>
    <n v="1637.9499999999998"/>
  </r>
  <r>
    <x v="5"/>
    <n v="1197831"/>
    <x v="199"/>
    <x v="2"/>
    <s v="Arkansas"/>
    <s v="Little Rock"/>
    <s v="Online"/>
    <x v="5"/>
    <n v="41"/>
    <n v="116"/>
    <n v="4756"/>
    <n v="2187.7599999999998"/>
  </r>
  <r>
    <x v="5"/>
    <n v="1197831"/>
    <x v="199"/>
    <x v="2"/>
    <s v="Arkansas"/>
    <s v="Little Rock"/>
    <s v="Online"/>
    <x v="2"/>
    <n v="63"/>
    <n v="150"/>
    <n v="9450"/>
    <n v="4347"/>
  </r>
  <r>
    <x v="0"/>
    <n v="1197831"/>
    <x v="199"/>
    <x v="2"/>
    <s v="Oklahoma"/>
    <s v="Oklahoma City"/>
    <s v="Online"/>
    <x v="3"/>
    <n v="44"/>
    <n v="94"/>
    <n v="4136"/>
    <n v="1902.56"/>
  </r>
  <r>
    <x v="0"/>
    <n v="1197831"/>
    <x v="199"/>
    <x v="2"/>
    <s v="Oklahoma"/>
    <s v="Oklahoma City"/>
    <s v="Online"/>
    <x v="2"/>
    <n v="61"/>
    <n v="142"/>
    <n v="8662"/>
    <n v="3984.5199999999995"/>
  </r>
  <r>
    <x v="2"/>
    <n v="1185732"/>
    <x v="199"/>
    <x v="1"/>
    <s v="Nebraska"/>
    <s v="Omaha"/>
    <s v="Online"/>
    <x v="2"/>
    <n v="44"/>
    <n v="38"/>
    <n v="1672"/>
    <n v="618.6400000000001"/>
  </r>
  <r>
    <x v="4"/>
    <n v="1185732"/>
    <x v="200"/>
    <x v="0"/>
    <s v="Alaska"/>
    <s v="Anchorage"/>
    <s v="Outlet"/>
    <x v="3"/>
    <n v="55.000000000000007"/>
    <n v="350"/>
    <n v="19250.000000000004"/>
    <n v="14437.500000000004"/>
  </r>
  <r>
    <x v="4"/>
    <n v="1185732"/>
    <x v="200"/>
    <x v="0"/>
    <s v="Alaska"/>
    <s v="Anchorage"/>
    <s v="Outlet"/>
    <x v="5"/>
    <n v="55.000000000000007"/>
    <n v="300"/>
    <n v="16500.000000000004"/>
    <n v="12375.000000000004"/>
  </r>
  <r>
    <x v="4"/>
    <n v="1185732"/>
    <x v="200"/>
    <x v="0"/>
    <s v="Alaska"/>
    <s v="Anchorage"/>
    <s v="Outlet"/>
    <x v="1"/>
    <n v="65"/>
    <n v="325"/>
    <n v="21125"/>
    <n v="15843.75"/>
  </r>
  <r>
    <x v="4"/>
    <n v="1185732"/>
    <x v="200"/>
    <x v="0"/>
    <s v="Alaska"/>
    <s v="Anchorage"/>
    <s v="Outlet"/>
    <x v="2"/>
    <n v="70"/>
    <n v="500"/>
    <n v="35000"/>
    <n v="24500"/>
  </r>
  <r>
    <x v="3"/>
    <n v="1185732"/>
    <x v="200"/>
    <x v="4"/>
    <s v="Maryland"/>
    <s v="Baltimore"/>
    <s v="In-store"/>
    <x v="1"/>
    <n v="49.999999999999993"/>
    <n v="175"/>
    <n v="8749.9999999999982"/>
    <n v="6124.9999999999982"/>
  </r>
  <r>
    <x v="3"/>
    <n v="1185732"/>
    <x v="200"/>
    <x v="4"/>
    <s v="Maryland"/>
    <s v="Baltimore"/>
    <s v="In-store"/>
    <x v="2"/>
    <n v="54.999999999999993"/>
    <n v="350"/>
    <n v="19249.999999999996"/>
    <n v="13474.999999999996"/>
  </r>
  <r>
    <x v="2"/>
    <n v="1185732"/>
    <x v="200"/>
    <x v="1"/>
    <s v="Illinois"/>
    <s v="Chicago"/>
    <s v="Outlet"/>
    <x v="3"/>
    <n v="40"/>
    <n v="200"/>
    <n v="8000"/>
    <n v="5200"/>
  </r>
  <r>
    <x v="4"/>
    <n v="1185732"/>
    <x v="200"/>
    <x v="0"/>
    <s v="Alaska"/>
    <s v="Anchorage"/>
    <s v="Outlet"/>
    <x v="4"/>
    <n v="65"/>
    <n v="675"/>
    <n v="43875"/>
    <n v="28518.75"/>
  </r>
  <r>
    <x v="3"/>
    <n v="1185732"/>
    <x v="200"/>
    <x v="4"/>
    <s v="Maryland"/>
    <s v="Baltimore"/>
    <s v="In-store"/>
    <x v="0"/>
    <n v="45"/>
    <n v="275"/>
    <n v="12375"/>
    <n v="8043.75"/>
  </r>
  <r>
    <x v="3"/>
    <n v="1185732"/>
    <x v="200"/>
    <x v="4"/>
    <s v="Maryland"/>
    <s v="Baltimore"/>
    <s v="In-store"/>
    <x v="3"/>
    <n v="40"/>
    <n v="200"/>
    <n v="8000"/>
    <n v="5200"/>
  </r>
  <r>
    <x v="3"/>
    <n v="1185732"/>
    <x v="200"/>
    <x v="4"/>
    <s v="Maryland"/>
    <s v="Baltimore"/>
    <s v="In-store"/>
    <x v="5"/>
    <n v="40"/>
    <n v="150"/>
    <n v="6000"/>
    <n v="3900"/>
  </r>
  <r>
    <x v="4"/>
    <n v="1185732"/>
    <x v="200"/>
    <x v="0"/>
    <s v="Alaska"/>
    <s v="Anchorage"/>
    <s v="Outlet"/>
    <x v="0"/>
    <n v="60.000000000000007"/>
    <n v="425"/>
    <n v="25500.000000000004"/>
    <n v="16575"/>
  </r>
  <r>
    <x v="2"/>
    <n v="1185732"/>
    <x v="200"/>
    <x v="1"/>
    <s v="Nebraska"/>
    <s v="Omaha"/>
    <s v="Outlet"/>
    <x v="4"/>
    <n v="40"/>
    <n v="300"/>
    <n v="12000"/>
    <n v="7200"/>
  </r>
  <r>
    <x v="2"/>
    <n v="1185732"/>
    <x v="200"/>
    <x v="4"/>
    <s v="Maryland"/>
    <s v="Baltimore"/>
    <s v="In-store"/>
    <x v="4"/>
    <n v="49.999999999999993"/>
    <n v="525"/>
    <n v="26249.999999999996"/>
    <n v="15749.999999999995"/>
  </r>
  <r>
    <x v="4"/>
    <n v="1185732"/>
    <x v="200"/>
    <x v="0"/>
    <s v="Alaska"/>
    <s v="Anchorage"/>
    <s v="Online"/>
    <x v="3"/>
    <n v="53"/>
    <n v="102"/>
    <n v="5406"/>
    <n v="3459.84"/>
  </r>
  <r>
    <x v="4"/>
    <n v="1185732"/>
    <x v="200"/>
    <x v="0"/>
    <s v="Alaska"/>
    <s v="Anchorage"/>
    <s v="Online"/>
    <x v="5"/>
    <n v="51"/>
    <n v="75"/>
    <n v="3825"/>
    <n v="2371.5"/>
  </r>
  <r>
    <x v="4"/>
    <n v="1185732"/>
    <x v="200"/>
    <x v="0"/>
    <s v="Alaska"/>
    <s v="Anchorage"/>
    <s v="Online"/>
    <x v="1"/>
    <n v="61"/>
    <n v="91"/>
    <n v="5551"/>
    <n v="3386.11"/>
  </r>
  <r>
    <x v="3"/>
    <n v="1185732"/>
    <x v="200"/>
    <x v="4"/>
    <s v="Maryland"/>
    <s v="Baltimore"/>
    <s v="Online"/>
    <x v="2"/>
    <n v="54"/>
    <n v="102"/>
    <n v="5508"/>
    <n v="3194.64"/>
  </r>
  <r>
    <x v="3"/>
    <n v="1185732"/>
    <x v="200"/>
    <x v="4"/>
    <s v="Maryland"/>
    <s v="Baltimore"/>
    <s v="Online"/>
    <x v="1"/>
    <n v="46"/>
    <n v="51"/>
    <n v="2346"/>
    <n v="1290.3000000000002"/>
  </r>
  <r>
    <x v="4"/>
    <n v="1185732"/>
    <x v="200"/>
    <x v="0"/>
    <s v="Alaska"/>
    <s v="Anchorage"/>
    <s v="Online"/>
    <x v="2"/>
    <n v="67"/>
    <n v="130"/>
    <n v="8710"/>
    <n v="4790.5"/>
  </r>
  <r>
    <x v="4"/>
    <n v="1185732"/>
    <x v="200"/>
    <x v="0"/>
    <s v="Alaska"/>
    <s v="Anchorage"/>
    <s v="Online"/>
    <x v="4"/>
    <n v="63"/>
    <n v="182"/>
    <n v="11466"/>
    <n v="6191.6399999999994"/>
  </r>
  <r>
    <x v="2"/>
    <n v="1185732"/>
    <x v="200"/>
    <x v="1"/>
    <s v="Illinois"/>
    <s v="Chicago"/>
    <s v="Online"/>
    <x v="3"/>
    <n v="36"/>
    <n v="60"/>
    <n v="2160"/>
    <n v="1144.8000000000002"/>
  </r>
  <r>
    <x v="3"/>
    <n v="1185732"/>
    <x v="200"/>
    <x v="4"/>
    <s v="Maryland"/>
    <s v="Baltimore"/>
    <s v="Online"/>
    <x v="5"/>
    <n v="36"/>
    <n v="45"/>
    <n v="1620"/>
    <n v="858.6"/>
  </r>
  <r>
    <x v="4"/>
    <n v="1185732"/>
    <x v="200"/>
    <x v="0"/>
    <s v="Alaska"/>
    <s v="Anchorage"/>
    <s v="Online"/>
    <x v="0"/>
    <n v="59"/>
    <n v="111"/>
    <n v="6549"/>
    <n v="3470.97"/>
  </r>
  <r>
    <x v="3"/>
    <n v="1185732"/>
    <x v="200"/>
    <x v="4"/>
    <s v="Maryland"/>
    <s v="Baltimore"/>
    <s v="Online"/>
    <x v="0"/>
    <n v="42"/>
    <n v="72"/>
    <n v="3024"/>
    <n v="1572.48"/>
  </r>
  <r>
    <x v="3"/>
    <n v="1185732"/>
    <x v="200"/>
    <x v="4"/>
    <s v="Maryland"/>
    <s v="Baltimore"/>
    <s v="Online"/>
    <x v="3"/>
    <n v="37"/>
    <n v="60"/>
    <n v="2220"/>
    <n v="1132.2"/>
  </r>
  <r>
    <x v="2"/>
    <n v="1185732"/>
    <x v="200"/>
    <x v="4"/>
    <s v="Maryland"/>
    <s v="Baltimore"/>
    <s v="Online"/>
    <x v="4"/>
    <n v="49"/>
    <n v="131"/>
    <n v="6419"/>
    <n v="3081.12"/>
  </r>
  <r>
    <x v="2"/>
    <n v="1185732"/>
    <x v="200"/>
    <x v="1"/>
    <s v="Nebraska"/>
    <s v="Omaha"/>
    <s v="Online"/>
    <x v="4"/>
    <n v="37"/>
    <n v="84"/>
    <n v="3108"/>
    <n v="1429.6799999999998"/>
  </r>
  <r>
    <x v="2"/>
    <n v="1185732"/>
    <x v="201"/>
    <x v="1"/>
    <s v="Nebraska"/>
    <s v="Omaha"/>
    <s v="Outlet"/>
    <x v="0"/>
    <n v="30.000000000000004"/>
    <n v="150"/>
    <n v="4500.0000000000009"/>
    <n v="2925.0000000000009"/>
  </r>
  <r>
    <x v="4"/>
    <n v="1185732"/>
    <x v="201"/>
    <x v="3"/>
    <s v="Kentucky"/>
    <s v="Louisville"/>
    <s v="Online"/>
    <x v="0"/>
    <n v="45.000000000000007"/>
    <n v="350"/>
    <n v="15750.000000000002"/>
    <n v="10237.500000000004"/>
  </r>
  <r>
    <x v="4"/>
    <n v="1185732"/>
    <x v="201"/>
    <x v="3"/>
    <s v="Kentucky"/>
    <s v="Louisville"/>
    <s v="Online"/>
    <x v="1"/>
    <n v="50"/>
    <n v="250"/>
    <n v="12500"/>
    <n v="8125"/>
  </r>
  <r>
    <x v="2"/>
    <n v="1185732"/>
    <x v="201"/>
    <x v="1"/>
    <s v="Illinois"/>
    <s v="Chicago"/>
    <s v="Outlet"/>
    <x v="5"/>
    <n v="40"/>
    <n v="175"/>
    <n v="7000"/>
    <n v="4200"/>
  </r>
  <r>
    <x v="4"/>
    <n v="1185732"/>
    <x v="201"/>
    <x v="3"/>
    <s v="Kentucky"/>
    <s v="Louisville"/>
    <s v="Online"/>
    <x v="4"/>
    <n v="50"/>
    <n v="600"/>
    <n v="30000"/>
    <n v="18000"/>
  </r>
  <r>
    <x v="4"/>
    <n v="1185732"/>
    <x v="201"/>
    <x v="3"/>
    <s v="Kentucky"/>
    <s v="Louisville"/>
    <s v="Online"/>
    <x v="3"/>
    <n v="40"/>
    <n v="275"/>
    <n v="11000"/>
    <n v="6600"/>
  </r>
  <r>
    <x v="4"/>
    <n v="1185732"/>
    <x v="201"/>
    <x v="3"/>
    <s v="Kentucky"/>
    <s v="Louisville"/>
    <s v="Online"/>
    <x v="5"/>
    <n v="40"/>
    <n v="225"/>
    <n v="9000"/>
    <n v="5400"/>
  </r>
  <r>
    <x v="4"/>
    <n v="1185732"/>
    <x v="201"/>
    <x v="3"/>
    <s v="Kentucky"/>
    <s v="Louisville"/>
    <s v="Online"/>
    <x v="2"/>
    <n v="55.000000000000007"/>
    <n v="425"/>
    <n v="23375.000000000004"/>
    <n v="14025"/>
  </r>
  <r>
    <x v="4"/>
    <n v="1185732"/>
    <x v="201"/>
    <x v="3"/>
    <s v="Kentucky"/>
    <s v="Louisville"/>
    <s v="Online"/>
    <x v="1"/>
    <n v="46"/>
    <n v="75"/>
    <n v="3450"/>
    <n v="1863.0000000000002"/>
  </r>
  <r>
    <x v="2"/>
    <n v="1185732"/>
    <x v="201"/>
    <x v="1"/>
    <s v="Nebraska"/>
    <s v="Omaha"/>
    <s v="Online"/>
    <x v="0"/>
    <n v="29"/>
    <n v="41"/>
    <n v="1189"/>
    <n v="642.06000000000006"/>
  </r>
  <r>
    <x v="4"/>
    <n v="1185732"/>
    <x v="201"/>
    <x v="3"/>
    <s v="Kentucky"/>
    <s v="Louisville"/>
    <s v="Online"/>
    <x v="0"/>
    <n v="44"/>
    <n v="95"/>
    <n v="4180"/>
    <n v="2131.8000000000002"/>
  </r>
  <r>
    <x v="4"/>
    <n v="1185732"/>
    <x v="201"/>
    <x v="3"/>
    <s v="Kentucky"/>
    <s v="Louisville"/>
    <s v="Online"/>
    <x v="3"/>
    <n v="38"/>
    <n v="69"/>
    <n v="2622"/>
    <n v="1258.56"/>
  </r>
  <r>
    <x v="2"/>
    <n v="1185732"/>
    <x v="201"/>
    <x v="1"/>
    <s v="Illinois"/>
    <s v="Chicago"/>
    <s v="Online"/>
    <x v="5"/>
    <n v="36"/>
    <n v="44"/>
    <n v="1584"/>
    <n v="744.4799999999999"/>
  </r>
  <r>
    <x v="4"/>
    <n v="1185732"/>
    <x v="201"/>
    <x v="3"/>
    <s v="Kentucky"/>
    <s v="Louisville"/>
    <s v="Online"/>
    <x v="5"/>
    <n v="37"/>
    <n v="63"/>
    <n v="2331"/>
    <n v="1072.26"/>
  </r>
  <r>
    <x v="4"/>
    <n v="1185732"/>
    <x v="201"/>
    <x v="3"/>
    <s v="Kentucky"/>
    <s v="Louisville"/>
    <s v="Online"/>
    <x v="2"/>
    <n v="50"/>
    <n v="115"/>
    <n v="5750"/>
    <n v="2645"/>
  </r>
  <r>
    <x v="4"/>
    <n v="1185732"/>
    <x v="201"/>
    <x v="3"/>
    <s v="Kentucky"/>
    <s v="Louisville"/>
    <s v="Online"/>
    <x v="4"/>
    <n v="47"/>
    <n v="168"/>
    <n v="7896"/>
    <n v="3553.2"/>
  </r>
  <r>
    <x v="2"/>
    <n v="1128299"/>
    <x v="202"/>
    <x v="0"/>
    <s v="Arizona"/>
    <s v="Phoenix"/>
    <s v="Online"/>
    <x v="2"/>
    <n v="70"/>
    <n v="425"/>
    <n v="29750"/>
    <n v="22312.5"/>
  </r>
  <r>
    <x v="2"/>
    <n v="1128299"/>
    <x v="202"/>
    <x v="0"/>
    <s v="Arizona"/>
    <s v="Phoenix"/>
    <s v="Online"/>
    <x v="1"/>
    <n v="55.000000000000007"/>
    <n v="425"/>
    <n v="23375.000000000004"/>
    <n v="16362.500000000004"/>
  </r>
  <r>
    <x v="2"/>
    <n v="1185732"/>
    <x v="202"/>
    <x v="1"/>
    <s v="Illinois"/>
    <s v="Chicago"/>
    <s v="Outlet"/>
    <x v="1"/>
    <n v="50"/>
    <n v="175"/>
    <n v="8750"/>
    <n v="5687.5"/>
  </r>
  <r>
    <x v="2"/>
    <n v="1185732"/>
    <x v="202"/>
    <x v="1"/>
    <s v="Nebraska"/>
    <s v="Omaha"/>
    <s v="Outlet"/>
    <x v="3"/>
    <n v="30.000000000000004"/>
    <n v="95"/>
    <n v="2850.0000000000005"/>
    <n v="1852.5000000000005"/>
  </r>
  <r>
    <x v="2"/>
    <n v="1128299"/>
    <x v="202"/>
    <x v="0"/>
    <s v="Arizona"/>
    <s v="Phoenix"/>
    <s v="Online"/>
    <x v="4"/>
    <n v="50"/>
    <n v="675"/>
    <n v="33750"/>
    <n v="21937.5"/>
  </r>
  <r>
    <x v="2"/>
    <n v="1128299"/>
    <x v="202"/>
    <x v="0"/>
    <s v="Arizona"/>
    <s v="Phoenix"/>
    <s v="Online"/>
    <x v="3"/>
    <n v="55.000000000000007"/>
    <n v="475"/>
    <n v="26125.000000000004"/>
    <n v="16981.250000000004"/>
  </r>
  <r>
    <x v="2"/>
    <n v="1128299"/>
    <x v="202"/>
    <x v="0"/>
    <s v="Arizona"/>
    <s v="Phoenix"/>
    <s v="Online"/>
    <x v="5"/>
    <n v="50"/>
    <n v="375"/>
    <n v="18750"/>
    <n v="12187.5"/>
  </r>
  <r>
    <x v="2"/>
    <n v="1128299"/>
    <x v="202"/>
    <x v="0"/>
    <s v="Arizona"/>
    <s v="Phoenix"/>
    <s v="Online"/>
    <x v="0"/>
    <n v="55.000000000000007"/>
    <n v="525"/>
    <n v="28875.000000000004"/>
    <n v="17325.000000000004"/>
  </r>
  <r>
    <x v="2"/>
    <n v="1128299"/>
    <x v="202"/>
    <x v="0"/>
    <s v="Arizona"/>
    <s v="Phoenix"/>
    <s v="Outlet"/>
    <x v="2"/>
    <n v="46"/>
    <n v="145"/>
    <n v="6670"/>
    <n v="4669"/>
  </r>
  <r>
    <x v="2"/>
    <n v="1128299"/>
    <x v="202"/>
    <x v="0"/>
    <s v="Arizona"/>
    <s v="Phoenix"/>
    <s v="Outlet"/>
    <x v="4"/>
    <n v="40"/>
    <n v="216"/>
    <n v="8640"/>
    <n v="5443.2"/>
  </r>
  <r>
    <x v="2"/>
    <n v="1128299"/>
    <x v="202"/>
    <x v="0"/>
    <s v="Arizona"/>
    <s v="Phoenix"/>
    <s v="Outlet"/>
    <x v="1"/>
    <n v="40"/>
    <n v="145"/>
    <n v="5800"/>
    <n v="3654"/>
  </r>
  <r>
    <x v="2"/>
    <n v="1128299"/>
    <x v="202"/>
    <x v="0"/>
    <s v="Arizona"/>
    <s v="Phoenix"/>
    <s v="Online"/>
    <x v="2"/>
    <n v="67"/>
    <n v="123"/>
    <n v="8241"/>
    <n v="5109.42"/>
  </r>
  <r>
    <x v="2"/>
    <n v="1128299"/>
    <x v="202"/>
    <x v="0"/>
    <s v="Arizona"/>
    <s v="Phoenix"/>
    <s v="Outlet"/>
    <x v="5"/>
    <n v="36"/>
    <n v="113"/>
    <n v="4068"/>
    <n v="2522.16"/>
  </r>
  <r>
    <x v="2"/>
    <n v="1128299"/>
    <x v="202"/>
    <x v="0"/>
    <s v="Arizona"/>
    <s v="Phoenix"/>
    <s v="Outlet"/>
    <x v="3"/>
    <n v="39"/>
    <n v="157"/>
    <n v="6123"/>
    <n v="3735.03"/>
  </r>
  <r>
    <x v="2"/>
    <n v="1128299"/>
    <x v="202"/>
    <x v="0"/>
    <s v="Arizona"/>
    <s v="Phoenix"/>
    <s v="Online"/>
    <x v="1"/>
    <n v="52"/>
    <n v="128"/>
    <n v="6656"/>
    <n v="3793.92"/>
  </r>
  <r>
    <x v="2"/>
    <n v="1128299"/>
    <x v="202"/>
    <x v="0"/>
    <s v="Arizona"/>
    <s v="Phoenix"/>
    <s v="Online"/>
    <x v="5"/>
    <n v="48"/>
    <n v="101"/>
    <n v="4848"/>
    <n v="2666.4"/>
  </r>
  <r>
    <x v="2"/>
    <n v="1185732"/>
    <x v="202"/>
    <x v="1"/>
    <s v="Illinois"/>
    <s v="Chicago"/>
    <s v="Online"/>
    <x v="1"/>
    <n v="49"/>
    <n v="49"/>
    <n v="2401"/>
    <n v="1296.5400000000002"/>
  </r>
  <r>
    <x v="2"/>
    <n v="1128299"/>
    <x v="202"/>
    <x v="0"/>
    <s v="Arizona"/>
    <s v="Phoenix"/>
    <s v="Outlet"/>
    <x v="0"/>
    <n v="40"/>
    <n v="163"/>
    <n v="6520"/>
    <n v="3520.7999999999997"/>
  </r>
  <r>
    <x v="2"/>
    <n v="1185732"/>
    <x v="202"/>
    <x v="1"/>
    <s v="Nebraska"/>
    <s v="Omaha"/>
    <s v="Online"/>
    <x v="3"/>
    <n v="29"/>
    <n v="25"/>
    <n v="725"/>
    <n v="384.25"/>
  </r>
  <r>
    <x v="2"/>
    <n v="1128299"/>
    <x v="202"/>
    <x v="0"/>
    <s v="Arizona"/>
    <s v="Phoenix"/>
    <s v="Online"/>
    <x v="3"/>
    <n v="51"/>
    <n v="133"/>
    <n v="6783"/>
    <n v="3594.9900000000002"/>
  </r>
  <r>
    <x v="2"/>
    <n v="1128299"/>
    <x v="202"/>
    <x v="0"/>
    <s v="Arizona"/>
    <s v="Phoenix"/>
    <s v="Online"/>
    <x v="4"/>
    <n v="49"/>
    <n v="196"/>
    <n v="9604"/>
    <n v="4898.04"/>
  </r>
  <r>
    <x v="2"/>
    <n v="1128299"/>
    <x v="202"/>
    <x v="0"/>
    <s v="Arizona"/>
    <s v="Phoenix"/>
    <s v="Online"/>
    <x v="0"/>
    <n v="50"/>
    <n v="142"/>
    <n v="7100"/>
    <n v="3479"/>
  </r>
  <r>
    <x v="2"/>
    <n v="1128299"/>
    <x v="203"/>
    <x v="3"/>
    <s v="Virginia"/>
    <s v="Richmond"/>
    <s v="In-store"/>
    <x v="2"/>
    <n v="105"/>
    <n v="600"/>
    <n v="63000"/>
    <n v="44100"/>
  </r>
  <r>
    <x v="0"/>
    <n v="1128299"/>
    <x v="203"/>
    <x v="0"/>
    <s v="Oregon"/>
    <s v="Portland"/>
    <s v="In-store"/>
    <x v="2"/>
    <n v="105"/>
    <n v="600"/>
    <n v="63000"/>
    <n v="44100"/>
  </r>
  <r>
    <x v="2"/>
    <n v="1128299"/>
    <x v="203"/>
    <x v="3"/>
    <s v="Virginia"/>
    <s v="Richmond"/>
    <s v="In-store"/>
    <x v="4"/>
    <n v="85"/>
    <n v="850"/>
    <n v="72250"/>
    <n v="46962.5"/>
  </r>
  <r>
    <x v="2"/>
    <n v="1128299"/>
    <x v="203"/>
    <x v="3"/>
    <s v="Virginia"/>
    <s v="Richmond"/>
    <s v="In-store"/>
    <x v="0"/>
    <n v="90"/>
    <n v="700"/>
    <n v="63000"/>
    <n v="40950"/>
  </r>
  <r>
    <x v="2"/>
    <n v="1128299"/>
    <x v="203"/>
    <x v="3"/>
    <s v="Virginia"/>
    <s v="Richmond"/>
    <s v="In-store"/>
    <x v="3"/>
    <n v="90"/>
    <n v="650"/>
    <n v="58500"/>
    <n v="38025"/>
  </r>
  <r>
    <x v="2"/>
    <n v="1128299"/>
    <x v="203"/>
    <x v="3"/>
    <s v="Virginia"/>
    <s v="Richmond"/>
    <s v="In-store"/>
    <x v="5"/>
    <n v="85"/>
    <n v="550"/>
    <n v="46750"/>
    <n v="30387.5"/>
  </r>
  <r>
    <x v="0"/>
    <n v="1128299"/>
    <x v="203"/>
    <x v="0"/>
    <s v="Oregon"/>
    <s v="Portland"/>
    <s v="In-store"/>
    <x v="4"/>
    <n v="85"/>
    <n v="850"/>
    <n v="72250"/>
    <n v="46962.5"/>
  </r>
  <r>
    <x v="0"/>
    <n v="1128299"/>
    <x v="203"/>
    <x v="0"/>
    <s v="Oregon"/>
    <s v="Portland"/>
    <s v="In-store"/>
    <x v="0"/>
    <n v="90"/>
    <n v="700"/>
    <n v="63000"/>
    <n v="40950"/>
  </r>
  <r>
    <x v="0"/>
    <n v="1128299"/>
    <x v="203"/>
    <x v="0"/>
    <s v="Oregon"/>
    <s v="Portland"/>
    <s v="In-store"/>
    <x v="3"/>
    <n v="90"/>
    <n v="650"/>
    <n v="58500"/>
    <n v="38025"/>
  </r>
  <r>
    <x v="0"/>
    <n v="1128299"/>
    <x v="203"/>
    <x v="0"/>
    <s v="Oregon"/>
    <s v="Portland"/>
    <s v="In-store"/>
    <x v="5"/>
    <n v="85"/>
    <n v="550"/>
    <n v="46750"/>
    <n v="30387.5"/>
  </r>
  <r>
    <x v="2"/>
    <n v="1185732"/>
    <x v="203"/>
    <x v="1"/>
    <s v="Nebraska"/>
    <s v="Omaha"/>
    <s v="Outlet"/>
    <x v="5"/>
    <n v="30.000000000000004"/>
    <n v="125"/>
    <n v="3750.0000000000005"/>
    <n v="2250.0000000000005"/>
  </r>
  <r>
    <x v="2"/>
    <n v="1128299"/>
    <x v="203"/>
    <x v="3"/>
    <s v="Virginia"/>
    <s v="Richmond"/>
    <s v="In-store"/>
    <x v="1"/>
    <n v="90"/>
    <n v="600"/>
    <n v="54000"/>
    <n v="32400"/>
  </r>
  <r>
    <x v="0"/>
    <n v="1128299"/>
    <x v="203"/>
    <x v="0"/>
    <s v="Oregon"/>
    <s v="Portland"/>
    <s v="In-store"/>
    <x v="1"/>
    <n v="90"/>
    <n v="600"/>
    <n v="54000"/>
    <n v="32400"/>
  </r>
  <r>
    <x v="2"/>
    <n v="1185732"/>
    <x v="203"/>
    <x v="1"/>
    <s v="Illinois"/>
    <s v="Chicago"/>
    <s v="Outlet"/>
    <x v="2"/>
    <n v="55.000000000000007"/>
    <n v="250"/>
    <n v="13750.000000000002"/>
    <n v="6875.0000000000018"/>
  </r>
  <r>
    <x v="2"/>
    <n v="1128299"/>
    <x v="203"/>
    <x v="3"/>
    <s v="Virginia"/>
    <s v="Richmond"/>
    <s v="Outlet"/>
    <x v="2"/>
    <n v="82"/>
    <n v="186"/>
    <n v="15252"/>
    <n v="10218.84"/>
  </r>
  <r>
    <x v="0"/>
    <n v="1128299"/>
    <x v="203"/>
    <x v="0"/>
    <s v="Oregon"/>
    <s v="Portland"/>
    <s v="Outlet"/>
    <x v="2"/>
    <n v="78"/>
    <n v="204"/>
    <n v="15912"/>
    <n v="10342.799999999999"/>
  </r>
  <r>
    <x v="2"/>
    <n v="1128299"/>
    <x v="203"/>
    <x v="3"/>
    <s v="Virginia"/>
    <s v="Richmond"/>
    <s v="Outlet"/>
    <x v="4"/>
    <n v="60"/>
    <n v="272"/>
    <n v="16320"/>
    <n v="10281.6"/>
  </r>
  <r>
    <x v="2"/>
    <n v="1128299"/>
    <x v="203"/>
    <x v="3"/>
    <s v="Virginia"/>
    <s v="Richmond"/>
    <s v="Outlet"/>
    <x v="0"/>
    <n v="60"/>
    <n v="224"/>
    <n v="13440"/>
    <n v="8332.7999999999993"/>
  </r>
  <r>
    <x v="2"/>
    <n v="1128299"/>
    <x v="203"/>
    <x v="3"/>
    <s v="Virginia"/>
    <s v="Richmond"/>
    <s v="Outlet"/>
    <x v="3"/>
    <n v="62"/>
    <n v="208"/>
    <n v="12896"/>
    <n v="7995.5199999999995"/>
  </r>
  <r>
    <x v="2"/>
    <n v="1128299"/>
    <x v="203"/>
    <x v="3"/>
    <s v="Virginia"/>
    <s v="Richmond"/>
    <s v="Online"/>
    <x v="2"/>
    <n v="96"/>
    <n v="180"/>
    <n v="17280"/>
    <n v="10368"/>
  </r>
  <r>
    <x v="0"/>
    <n v="1128299"/>
    <x v="203"/>
    <x v="0"/>
    <s v="Oregon"/>
    <s v="Portland"/>
    <s v="Outlet"/>
    <x v="0"/>
    <n v="66"/>
    <n v="217"/>
    <n v="14322"/>
    <n v="8449.98"/>
  </r>
  <r>
    <x v="0"/>
    <n v="1128299"/>
    <x v="203"/>
    <x v="0"/>
    <s v="Oregon"/>
    <s v="Portland"/>
    <s v="Outlet"/>
    <x v="5"/>
    <n v="61"/>
    <n v="171"/>
    <n v="10431"/>
    <n v="6154.29"/>
  </r>
  <r>
    <x v="2"/>
    <n v="1128299"/>
    <x v="203"/>
    <x v="3"/>
    <s v="Virginia"/>
    <s v="Richmond"/>
    <s v="Outlet"/>
    <x v="5"/>
    <n v="65"/>
    <n v="187"/>
    <n v="12155"/>
    <n v="7049.9000000000005"/>
  </r>
  <r>
    <x v="0"/>
    <n v="1128299"/>
    <x v="203"/>
    <x v="0"/>
    <s v="Oregon"/>
    <s v="Portland"/>
    <s v="Outlet"/>
    <x v="4"/>
    <n v="60"/>
    <n v="298"/>
    <n v="17880"/>
    <n v="10370.400000000001"/>
  </r>
  <r>
    <x v="0"/>
    <n v="1128299"/>
    <x v="203"/>
    <x v="0"/>
    <s v="Oregon"/>
    <s v="Portland"/>
    <s v="Outlet"/>
    <x v="3"/>
    <n v="66"/>
    <n v="221"/>
    <n v="14586"/>
    <n v="8459.880000000001"/>
  </r>
  <r>
    <x v="0"/>
    <n v="1128299"/>
    <x v="203"/>
    <x v="0"/>
    <s v="Oregon"/>
    <s v="Portland"/>
    <s v="Online"/>
    <x v="2"/>
    <n v="97"/>
    <n v="150"/>
    <n v="14550"/>
    <n v="8439"/>
  </r>
  <r>
    <x v="2"/>
    <n v="1128299"/>
    <x v="203"/>
    <x v="3"/>
    <s v="Virginia"/>
    <s v="Richmond"/>
    <s v="Outlet"/>
    <x v="1"/>
    <n v="72"/>
    <n v="210"/>
    <n v="15120"/>
    <n v="8618.4"/>
  </r>
  <r>
    <x v="2"/>
    <n v="1128299"/>
    <x v="203"/>
    <x v="3"/>
    <s v="Virginia"/>
    <s v="Richmond"/>
    <s v="Online"/>
    <x v="3"/>
    <n v="86"/>
    <n v="182"/>
    <n v="15652"/>
    <n v="8608.6"/>
  </r>
  <r>
    <x v="2"/>
    <n v="1128299"/>
    <x v="203"/>
    <x v="3"/>
    <s v="Virginia"/>
    <s v="Richmond"/>
    <s v="Online"/>
    <x v="5"/>
    <n v="82"/>
    <n v="149"/>
    <n v="12218"/>
    <n v="6597.72"/>
  </r>
  <r>
    <x v="0"/>
    <n v="1128299"/>
    <x v="203"/>
    <x v="0"/>
    <s v="Oregon"/>
    <s v="Portland"/>
    <s v="Outlet"/>
    <x v="1"/>
    <n v="68"/>
    <n v="198"/>
    <n v="13464"/>
    <n v="7270.5599999999995"/>
  </r>
  <r>
    <x v="0"/>
    <n v="1128299"/>
    <x v="203"/>
    <x v="0"/>
    <s v="Oregon"/>
    <s v="Portland"/>
    <s v="Online"/>
    <x v="0"/>
    <n v="85"/>
    <n v="196"/>
    <n v="16660"/>
    <n v="8829.7999999999993"/>
  </r>
  <r>
    <x v="0"/>
    <n v="1128299"/>
    <x v="203"/>
    <x v="0"/>
    <s v="Oregon"/>
    <s v="Portland"/>
    <s v="Online"/>
    <x v="3"/>
    <n v="86"/>
    <n v="163"/>
    <n v="14018"/>
    <n v="7429.54"/>
  </r>
  <r>
    <x v="0"/>
    <n v="1128299"/>
    <x v="203"/>
    <x v="0"/>
    <s v="Oregon"/>
    <s v="Portland"/>
    <s v="Online"/>
    <x v="5"/>
    <n v="82"/>
    <n v="165"/>
    <n v="13530"/>
    <n v="7035.6"/>
  </r>
  <r>
    <x v="0"/>
    <n v="1128299"/>
    <x v="203"/>
    <x v="0"/>
    <s v="Oregon"/>
    <s v="Portland"/>
    <s v="Online"/>
    <x v="4"/>
    <n v="79"/>
    <n v="255"/>
    <n v="20145"/>
    <n v="10475.4"/>
  </r>
  <r>
    <x v="2"/>
    <n v="1128299"/>
    <x v="203"/>
    <x v="3"/>
    <s v="Virginia"/>
    <s v="Richmond"/>
    <s v="Online"/>
    <x v="4"/>
    <n v="79"/>
    <n v="255"/>
    <n v="20145"/>
    <n v="10072.5"/>
  </r>
  <r>
    <x v="2"/>
    <n v="1128299"/>
    <x v="203"/>
    <x v="3"/>
    <s v="Virginia"/>
    <s v="Richmond"/>
    <s v="Online"/>
    <x v="0"/>
    <n v="81"/>
    <n v="203"/>
    <n v="16443"/>
    <n v="8221.5"/>
  </r>
  <r>
    <x v="0"/>
    <n v="1128299"/>
    <x v="203"/>
    <x v="0"/>
    <s v="Oregon"/>
    <s v="Portland"/>
    <s v="Online"/>
    <x v="1"/>
    <n v="84"/>
    <n v="156"/>
    <n v="13104"/>
    <n v="6552"/>
  </r>
  <r>
    <x v="2"/>
    <n v="1185732"/>
    <x v="203"/>
    <x v="1"/>
    <s v="Nebraska"/>
    <s v="Omaha"/>
    <s v="Online"/>
    <x v="5"/>
    <n v="27"/>
    <n v="36"/>
    <n v="972"/>
    <n v="437.4"/>
  </r>
  <r>
    <x v="2"/>
    <n v="1128299"/>
    <x v="203"/>
    <x v="3"/>
    <s v="Virginia"/>
    <s v="Richmond"/>
    <s v="Online"/>
    <x v="1"/>
    <n v="85"/>
    <n v="162"/>
    <n v="13770"/>
    <n v="6196.4999999999991"/>
  </r>
  <r>
    <x v="2"/>
    <n v="1185732"/>
    <x v="203"/>
    <x v="1"/>
    <s v="Illinois"/>
    <s v="Chicago"/>
    <s v="Online"/>
    <x v="2"/>
    <n v="53"/>
    <n v="73"/>
    <n v="3869"/>
    <n v="1392.8400000000001"/>
  </r>
  <r>
    <x v="2"/>
    <n v="1185732"/>
    <x v="204"/>
    <x v="1"/>
    <s v="Nebraska"/>
    <s v="Omaha"/>
    <s v="Outlet"/>
    <x v="1"/>
    <n v="49.999999999999993"/>
    <n v="100"/>
    <n v="4999.9999999999991"/>
    <n v="3249.9999999999995"/>
  </r>
  <r>
    <x v="2"/>
    <n v="1185732"/>
    <x v="204"/>
    <x v="1"/>
    <s v="Illinois"/>
    <s v="Chicago"/>
    <s v="Outlet"/>
    <x v="4"/>
    <n v="60"/>
    <n v="425"/>
    <n v="25500"/>
    <n v="15300"/>
  </r>
  <r>
    <x v="2"/>
    <n v="1185732"/>
    <x v="204"/>
    <x v="1"/>
    <s v="Nebraska"/>
    <s v="Omaha"/>
    <s v="Online"/>
    <x v="1"/>
    <n v="48"/>
    <n v="27"/>
    <n v="1296"/>
    <n v="712.80000000000007"/>
  </r>
  <r>
    <x v="2"/>
    <n v="1185732"/>
    <x v="204"/>
    <x v="1"/>
    <s v="Illinois"/>
    <s v="Chicago"/>
    <s v="Online"/>
    <x v="4"/>
    <n v="56"/>
    <n v="115"/>
    <n v="6440"/>
    <n v="2897.9999999999995"/>
  </r>
  <r>
    <x v="1"/>
    <n v="1128299"/>
    <x v="205"/>
    <x v="0"/>
    <s v="New Mexico"/>
    <s v="Albuquerque"/>
    <s v="Online"/>
    <x v="2"/>
    <n v="75.000000000000014"/>
    <n v="500"/>
    <n v="37500.000000000007"/>
    <n v="28125.000000000007"/>
  </r>
  <r>
    <x v="1"/>
    <n v="1128299"/>
    <x v="205"/>
    <x v="0"/>
    <s v="New Mexico"/>
    <s v="Albuquerque"/>
    <s v="Online"/>
    <x v="1"/>
    <n v="60.000000000000007"/>
    <n v="500"/>
    <n v="30000.000000000004"/>
    <n v="21000.000000000007"/>
  </r>
  <r>
    <x v="1"/>
    <n v="1128299"/>
    <x v="205"/>
    <x v="0"/>
    <s v="New Mexico"/>
    <s v="Albuquerque"/>
    <s v="Online"/>
    <x v="3"/>
    <n v="60.000000000000007"/>
    <n v="550"/>
    <n v="33000.000000000007"/>
    <n v="21450.000000000007"/>
  </r>
  <r>
    <x v="2"/>
    <n v="1185732"/>
    <x v="205"/>
    <x v="1"/>
    <s v="Illinois"/>
    <s v="Chicago"/>
    <s v="Outlet"/>
    <x v="0"/>
    <n v="50"/>
    <n v="250"/>
    <n v="12500"/>
    <n v="8125"/>
  </r>
  <r>
    <x v="1"/>
    <n v="1128299"/>
    <x v="205"/>
    <x v="0"/>
    <s v="New Mexico"/>
    <s v="Albuquerque"/>
    <s v="Online"/>
    <x v="4"/>
    <n v="55.000000000000007"/>
    <n v="750"/>
    <n v="41250.000000000007"/>
    <n v="26812.500000000007"/>
  </r>
  <r>
    <x v="1"/>
    <n v="1128299"/>
    <x v="205"/>
    <x v="0"/>
    <s v="New Mexico"/>
    <s v="Albuquerque"/>
    <s v="Online"/>
    <x v="5"/>
    <n v="55.000000000000007"/>
    <n v="450"/>
    <n v="24750.000000000004"/>
    <n v="16087.500000000004"/>
  </r>
  <r>
    <x v="1"/>
    <n v="1128299"/>
    <x v="205"/>
    <x v="0"/>
    <s v="New Mexico"/>
    <s v="Albuquerque"/>
    <s v="Online"/>
    <x v="0"/>
    <n v="60.000000000000007"/>
    <n v="600"/>
    <n v="36000.000000000007"/>
    <n v="21600.000000000004"/>
  </r>
  <r>
    <x v="2"/>
    <n v="1185732"/>
    <x v="205"/>
    <x v="1"/>
    <s v="Nebraska"/>
    <s v="Omaha"/>
    <s v="Outlet"/>
    <x v="2"/>
    <n v="54.999999999999986"/>
    <n v="200"/>
    <n v="10999.999999999996"/>
    <n v="5499.9999999999982"/>
  </r>
  <r>
    <x v="1"/>
    <n v="1128299"/>
    <x v="205"/>
    <x v="0"/>
    <s v="New Mexico"/>
    <s v="Albuquerque"/>
    <s v="Outlet"/>
    <x v="1"/>
    <n v="40"/>
    <n v="160"/>
    <n v="6400"/>
    <n v="4352"/>
  </r>
  <r>
    <x v="1"/>
    <n v="1128299"/>
    <x v="205"/>
    <x v="0"/>
    <s v="New Mexico"/>
    <s v="Albuquerque"/>
    <s v="Outlet"/>
    <x v="2"/>
    <n v="49"/>
    <n v="160"/>
    <n v="7840"/>
    <n v="5331.2"/>
  </r>
  <r>
    <x v="1"/>
    <n v="1128299"/>
    <x v="205"/>
    <x v="0"/>
    <s v="New Mexico"/>
    <s v="Albuquerque"/>
    <s v="Outlet"/>
    <x v="3"/>
    <n v="39"/>
    <n v="171"/>
    <n v="6669"/>
    <n v="4201.47"/>
  </r>
  <r>
    <x v="1"/>
    <n v="1128299"/>
    <x v="205"/>
    <x v="0"/>
    <s v="New Mexico"/>
    <s v="Albuquerque"/>
    <s v="Online"/>
    <x v="2"/>
    <n v="69"/>
    <n v="140"/>
    <n v="9660"/>
    <n v="5989.2"/>
  </r>
  <r>
    <x v="1"/>
    <n v="1128299"/>
    <x v="205"/>
    <x v="0"/>
    <s v="New Mexico"/>
    <s v="Albuquerque"/>
    <s v="Outlet"/>
    <x v="4"/>
    <n v="41"/>
    <n v="248"/>
    <n v="10168"/>
    <n v="6202.4800000000005"/>
  </r>
  <r>
    <x v="1"/>
    <n v="1128299"/>
    <x v="205"/>
    <x v="0"/>
    <s v="New Mexico"/>
    <s v="Albuquerque"/>
    <s v="Outlet"/>
    <x v="5"/>
    <n v="39"/>
    <n v="149"/>
    <n v="5811"/>
    <n v="3370.38"/>
  </r>
  <r>
    <x v="1"/>
    <n v="1128299"/>
    <x v="205"/>
    <x v="0"/>
    <s v="New Mexico"/>
    <s v="Albuquerque"/>
    <s v="Online"/>
    <x v="1"/>
    <n v="57"/>
    <n v="145"/>
    <n v="8265"/>
    <n v="4711.05"/>
  </r>
  <r>
    <x v="1"/>
    <n v="1128299"/>
    <x v="205"/>
    <x v="0"/>
    <s v="New Mexico"/>
    <s v="Albuquerque"/>
    <s v="Outlet"/>
    <x v="0"/>
    <n v="45"/>
    <n v="210"/>
    <n v="9450"/>
    <n v="5386.5"/>
  </r>
  <r>
    <x v="1"/>
    <n v="1128299"/>
    <x v="205"/>
    <x v="0"/>
    <s v="New Mexico"/>
    <s v="Albuquerque"/>
    <s v="Online"/>
    <x v="5"/>
    <n v="54"/>
    <n v="135"/>
    <n v="7290"/>
    <n v="4009.5000000000005"/>
  </r>
  <r>
    <x v="1"/>
    <n v="1128299"/>
    <x v="205"/>
    <x v="0"/>
    <s v="New Mexico"/>
    <s v="Albuquerque"/>
    <s v="Online"/>
    <x v="4"/>
    <n v="54"/>
    <n v="203"/>
    <n v="10962"/>
    <n v="5809.8600000000006"/>
  </r>
  <r>
    <x v="1"/>
    <n v="1128299"/>
    <x v="205"/>
    <x v="0"/>
    <s v="New Mexico"/>
    <s v="Albuquerque"/>
    <s v="Online"/>
    <x v="3"/>
    <n v="58"/>
    <n v="160"/>
    <n v="9280"/>
    <n v="4825.6000000000004"/>
  </r>
  <r>
    <x v="2"/>
    <n v="1185732"/>
    <x v="205"/>
    <x v="1"/>
    <s v="Illinois"/>
    <s v="Chicago"/>
    <s v="Online"/>
    <x v="0"/>
    <n v="49"/>
    <n v="75"/>
    <n v="3675"/>
    <n v="1874.25"/>
  </r>
  <r>
    <x v="1"/>
    <n v="1128299"/>
    <x v="205"/>
    <x v="0"/>
    <s v="New Mexico"/>
    <s v="Albuquerque"/>
    <s v="Online"/>
    <x v="0"/>
    <n v="56"/>
    <n v="180"/>
    <n v="10080"/>
    <n v="4636.7999999999993"/>
  </r>
  <r>
    <x v="2"/>
    <n v="1185732"/>
    <x v="205"/>
    <x v="1"/>
    <s v="Nebraska"/>
    <s v="Omaha"/>
    <s v="Online"/>
    <x v="2"/>
    <n v="53"/>
    <n v="58"/>
    <n v="3074"/>
    <n v="1168.1200000000001"/>
  </r>
  <r>
    <x v="2"/>
    <n v="1185732"/>
    <x v="206"/>
    <x v="1"/>
    <s v="Illinois"/>
    <s v="Chicago"/>
    <s v="Outlet"/>
    <x v="3"/>
    <n v="50"/>
    <n v="150"/>
    <n v="7500"/>
    <n v="4875"/>
  </r>
  <r>
    <x v="2"/>
    <n v="1185732"/>
    <x v="206"/>
    <x v="1"/>
    <s v="Nebraska"/>
    <s v="Omaha"/>
    <s v="Outlet"/>
    <x v="4"/>
    <n v="49.999999999999993"/>
    <n v="450"/>
    <n v="22499.999999999996"/>
    <n v="13499.999999999996"/>
  </r>
  <r>
    <x v="2"/>
    <n v="1185732"/>
    <x v="206"/>
    <x v="1"/>
    <s v="Illinois"/>
    <s v="Chicago"/>
    <s v="Online"/>
    <x v="3"/>
    <n v="48"/>
    <n v="39"/>
    <n v="1872"/>
    <n v="1029.6000000000001"/>
  </r>
  <r>
    <x v="2"/>
    <n v="1185732"/>
    <x v="206"/>
    <x v="1"/>
    <s v="Nebraska"/>
    <s v="Omaha"/>
    <s v="Online"/>
    <x v="4"/>
    <n v="49"/>
    <n v="117"/>
    <n v="5733"/>
    <n v="2866.5"/>
  </r>
  <r>
    <x v="2"/>
    <n v="1185732"/>
    <x v="207"/>
    <x v="1"/>
    <s v="Nebraska"/>
    <s v="Omaha"/>
    <s v="Outlet"/>
    <x v="0"/>
    <n v="40"/>
    <n v="250"/>
    <n v="10000"/>
    <n v="6500"/>
  </r>
  <r>
    <x v="2"/>
    <n v="1185732"/>
    <x v="207"/>
    <x v="1"/>
    <s v="Illinois"/>
    <s v="Chicago"/>
    <s v="Outlet"/>
    <x v="5"/>
    <n v="50"/>
    <n v="125"/>
    <n v="6250"/>
    <n v="3750"/>
  </r>
  <r>
    <x v="2"/>
    <n v="1185732"/>
    <x v="207"/>
    <x v="1"/>
    <s v="Nebraska"/>
    <s v="Omaha"/>
    <s v="Online"/>
    <x v="0"/>
    <n v="36"/>
    <n v="63"/>
    <n v="2268"/>
    <n v="1134"/>
  </r>
  <r>
    <x v="2"/>
    <n v="1185732"/>
    <x v="207"/>
    <x v="1"/>
    <s v="Illinois"/>
    <s v="Chicago"/>
    <s v="Online"/>
    <x v="5"/>
    <n v="47"/>
    <n v="33"/>
    <n v="1551"/>
    <n v="759.99"/>
  </r>
  <r>
    <x v="2"/>
    <n v="1185732"/>
    <x v="208"/>
    <x v="1"/>
    <s v="Illinois"/>
    <s v="Chicago"/>
    <s v="Outlet"/>
    <x v="1"/>
    <n v="60"/>
    <n v="125"/>
    <n v="7500"/>
    <n v="4875"/>
  </r>
  <r>
    <x v="2"/>
    <n v="1185732"/>
    <x v="208"/>
    <x v="1"/>
    <s v="Nebraska"/>
    <s v="Omaha"/>
    <s v="Outlet"/>
    <x v="3"/>
    <n v="40"/>
    <n v="200"/>
    <n v="8000"/>
    <n v="5200"/>
  </r>
  <r>
    <x v="2"/>
    <n v="1185732"/>
    <x v="208"/>
    <x v="1"/>
    <s v="Illinois"/>
    <s v="Chicago"/>
    <s v="Online"/>
    <x v="1"/>
    <n v="56"/>
    <n v="33"/>
    <n v="1848"/>
    <n v="979.44"/>
  </r>
  <r>
    <x v="2"/>
    <n v="1185732"/>
    <x v="208"/>
    <x v="1"/>
    <s v="Nebraska"/>
    <s v="Omaha"/>
    <s v="Online"/>
    <x v="3"/>
    <n v="39"/>
    <n v="60"/>
    <n v="2340"/>
    <n v="1193.4000000000001"/>
  </r>
  <r>
    <x v="2"/>
    <n v="1185732"/>
    <x v="209"/>
    <x v="1"/>
    <s v="Nebraska"/>
    <s v="Omaha"/>
    <s v="Outlet"/>
    <x v="5"/>
    <n v="40"/>
    <n v="150"/>
    <n v="6000"/>
    <n v="3600"/>
  </r>
  <r>
    <x v="2"/>
    <n v="1185732"/>
    <x v="209"/>
    <x v="1"/>
    <s v="Illinois"/>
    <s v="Chicago"/>
    <s v="Outlet"/>
    <x v="2"/>
    <n v="64.999999999999986"/>
    <n v="250"/>
    <n v="16249.999999999996"/>
    <n v="8124.9999999999982"/>
  </r>
  <r>
    <x v="2"/>
    <n v="1185732"/>
    <x v="209"/>
    <x v="1"/>
    <s v="Nebraska"/>
    <s v="Omaha"/>
    <s v="Online"/>
    <x v="5"/>
    <n v="38"/>
    <n v="38"/>
    <n v="1444"/>
    <n v="649.79999999999995"/>
  </r>
  <r>
    <x v="2"/>
    <n v="1185732"/>
    <x v="209"/>
    <x v="1"/>
    <s v="Illinois"/>
    <s v="Chicago"/>
    <s v="Online"/>
    <x v="2"/>
    <n v="60"/>
    <n v="65"/>
    <n v="3900"/>
    <n v="1560"/>
  </r>
  <r>
    <x v="2"/>
    <n v="1185732"/>
    <x v="210"/>
    <x v="1"/>
    <s v="Nebraska"/>
    <s v="Omaha"/>
    <s v="Outlet"/>
    <x v="1"/>
    <n v="49.999999999999993"/>
    <n v="150"/>
    <n v="7499.9999999999991"/>
    <n v="4874.9999999999991"/>
  </r>
  <r>
    <x v="2"/>
    <n v="1185732"/>
    <x v="210"/>
    <x v="1"/>
    <s v="Illinois"/>
    <s v="Chicago"/>
    <s v="Outlet"/>
    <x v="4"/>
    <n v="60"/>
    <n v="400"/>
    <n v="24000"/>
    <n v="14400"/>
  </r>
  <r>
    <x v="2"/>
    <n v="1185732"/>
    <x v="210"/>
    <x v="1"/>
    <s v="Nebraska"/>
    <s v="Omaha"/>
    <s v="Online"/>
    <x v="1"/>
    <n v="45"/>
    <n v="39"/>
    <n v="1755"/>
    <n v="912.6"/>
  </r>
  <r>
    <x v="2"/>
    <n v="1185732"/>
    <x v="210"/>
    <x v="1"/>
    <s v="Illinois"/>
    <s v="Chicago"/>
    <s v="Online"/>
    <x v="4"/>
    <n v="55"/>
    <n v="112"/>
    <n v="6160"/>
    <n v="2833.6"/>
  </r>
  <r>
    <x v="2"/>
    <n v="1185732"/>
    <x v="211"/>
    <x v="1"/>
    <s v="Illinois"/>
    <s v="Chicago"/>
    <s v="Outlet"/>
    <x v="0"/>
    <n v="50"/>
    <n v="250"/>
    <n v="12500"/>
    <n v="8125"/>
  </r>
  <r>
    <x v="2"/>
    <n v="1185732"/>
    <x v="211"/>
    <x v="1"/>
    <s v="Nebraska"/>
    <s v="Omaha"/>
    <s v="Outlet"/>
    <x v="2"/>
    <n v="54.999999999999986"/>
    <n v="250"/>
    <n v="13749.999999999996"/>
    <n v="6874.9999999999982"/>
  </r>
  <r>
    <x v="2"/>
    <n v="1185732"/>
    <x v="211"/>
    <x v="1"/>
    <s v="Illinois"/>
    <s v="Chicago"/>
    <s v="Online"/>
    <x v="0"/>
    <n v="46"/>
    <n v="65"/>
    <n v="2990"/>
    <n v="1584.7"/>
  </r>
  <r>
    <x v="2"/>
    <n v="1185732"/>
    <x v="211"/>
    <x v="1"/>
    <s v="Nebraska"/>
    <s v="Omaha"/>
    <s v="Online"/>
    <x v="2"/>
    <n v="54"/>
    <n v="65"/>
    <n v="3510"/>
    <n v="1333.8000000000002"/>
  </r>
  <r>
    <x v="2"/>
    <n v="1185732"/>
    <x v="212"/>
    <x v="1"/>
    <s v="Illinois"/>
    <s v="Chicago"/>
    <s v="Outlet"/>
    <x v="3"/>
    <n v="50"/>
    <n v="195"/>
    <n v="9750"/>
    <n v="6337.5"/>
  </r>
  <r>
    <x v="3"/>
    <n v="1197831"/>
    <x v="212"/>
    <x v="1"/>
    <s v="Nebraska"/>
    <s v="Omaha"/>
    <s v="Outlet"/>
    <x v="4"/>
    <n v="20"/>
    <n v="675"/>
    <n v="13500"/>
    <n v="8100"/>
  </r>
  <r>
    <x v="2"/>
    <n v="1185732"/>
    <x v="212"/>
    <x v="1"/>
    <s v="Illinois"/>
    <s v="Chicago"/>
    <s v="Online"/>
    <x v="3"/>
    <n v="48"/>
    <n v="49"/>
    <n v="2352"/>
    <n v="1246.5600000000002"/>
  </r>
  <r>
    <x v="3"/>
    <n v="1197831"/>
    <x v="212"/>
    <x v="1"/>
    <s v="Nebraska"/>
    <s v="Omaha"/>
    <s v="Online"/>
    <x v="4"/>
    <n v="19"/>
    <n v="203"/>
    <n v="3857"/>
    <n v="1812.79"/>
  </r>
  <r>
    <x v="2"/>
    <n v="1185732"/>
    <x v="213"/>
    <x v="1"/>
    <s v="Illinois"/>
    <s v="Chicago"/>
    <s v="Outlet"/>
    <x v="5"/>
    <n v="50"/>
    <n v="175"/>
    <n v="8750"/>
    <n v="5250"/>
  </r>
  <r>
    <x v="3"/>
    <n v="1197831"/>
    <x v="213"/>
    <x v="1"/>
    <s v="Nebraska"/>
    <s v="Omaha"/>
    <s v="Outlet"/>
    <x v="0"/>
    <n v="30"/>
    <n v="675"/>
    <n v="20250"/>
    <n v="12150"/>
  </r>
  <r>
    <x v="2"/>
    <n v="1185732"/>
    <x v="213"/>
    <x v="1"/>
    <s v="Illinois"/>
    <s v="Chicago"/>
    <s v="Online"/>
    <x v="5"/>
    <n v="46"/>
    <n v="53"/>
    <n v="2438"/>
    <n v="1145.8599999999999"/>
  </r>
  <r>
    <x v="3"/>
    <n v="1197831"/>
    <x v="213"/>
    <x v="1"/>
    <s v="Nebraska"/>
    <s v="Omaha"/>
    <s v="Online"/>
    <x v="0"/>
    <n v="29"/>
    <n v="196"/>
    <n v="5684"/>
    <n v="2614.64"/>
  </r>
  <r>
    <x v="0"/>
    <n v="1185732"/>
    <x v="214"/>
    <x v="1"/>
    <s v="Wisconsin"/>
    <s v="Milwaukee"/>
    <s v="In-store"/>
    <x v="4"/>
    <n v="50"/>
    <n v="525"/>
    <n v="26250"/>
    <n v="18375"/>
  </r>
  <r>
    <x v="0"/>
    <n v="1185732"/>
    <x v="214"/>
    <x v="1"/>
    <s v="Wisconsin"/>
    <s v="Milwaukee"/>
    <s v="In-store"/>
    <x v="3"/>
    <n v="40"/>
    <n v="225"/>
    <n v="9000"/>
    <n v="6300"/>
  </r>
  <r>
    <x v="0"/>
    <n v="1185732"/>
    <x v="214"/>
    <x v="1"/>
    <s v="Wisconsin"/>
    <s v="Milwaukee"/>
    <s v="In-store"/>
    <x v="5"/>
    <n v="40"/>
    <n v="200"/>
    <n v="8000"/>
    <n v="5600"/>
  </r>
  <r>
    <x v="0"/>
    <n v="1185732"/>
    <x v="214"/>
    <x v="1"/>
    <s v="Wisconsin"/>
    <s v="Milwaukee"/>
    <s v="In-store"/>
    <x v="0"/>
    <n v="45.000000000000007"/>
    <n v="300"/>
    <n v="13500.000000000002"/>
    <n v="8775.0000000000036"/>
  </r>
  <r>
    <x v="3"/>
    <n v="1185732"/>
    <x v="214"/>
    <x v="3"/>
    <s v="North Carolina"/>
    <s v="Charlotte"/>
    <s v="Online"/>
    <x v="1"/>
    <n v="55.000000000000007"/>
    <n v="650"/>
    <n v="35750.000000000007"/>
    <n v="23237.500000000007"/>
  </r>
  <r>
    <x v="2"/>
    <n v="1185732"/>
    <x v="214"/>
    <x v="1"/>
    <s v="Illinois"/>
    <s v="Chicago"/>
    <s v="Outlet"/>
    <x v="1"/>
    <n v="60"/>
    <n v="150"/>
    <n v="9000"/>
    <n v="5850"/>
  </r>
  <r>
    <x v="3"/>
    <n v="1185732"/>
    <x v="214"/>
    <x v="3"/>
    <s v="North Carolina"/>
    <s v="Charlotte"/>
    <s v="Online"/>
    <x v="0"/>
    <n v="60.000000000000007"/>
    <n v="800"/>
    <n v="48000.000000000007"/>
    <n v="31200.000000000007"/>
  </r>
  <r>
    <x v="3"/>
    <n v="1197831"/>
    <x v="214"/>
    <x v="1"/>
    <s v="Nebraska"/>
    <s v="Omaha"/>
    <s v="Outlet"/>
    <x v="3"/>
    <n v="30"/>
    <n v="475"/>
    <n v="14250"/>
    <n v="8550"/>
  </r>
  <r>
    <x v="3"/>
    <n v="1185732"/>
    <x v="214"/>
    <x v="3"/>
    <s v="North Carolina"/>
    <s v="Charlotte"/>
    <s v="Online"/>
    <x v="4"/>
    <n v="65"/>
    <n v="1025"/>
    <n v="66625"/>
    <n v="39975"/>
  </r>
  <r>
    <x v="3"/>
    <n v="1185732"/>
    <x v="214"/>
    <x v="3"/>
    <s v="North Carolina"/>
    <s v="Charlotte"/>
    <s v="Online"/>
    <x v="3"/>
    <n v="55.000000000000007"/>
    <n v="725"/>
    <n v="39875.000000000007"/>
    <n v="23925.000000000004"/>
  </r>
  <r>
    <x v="3"/>
    <n v="1185732"/>
    <x v="214"/>
    <x v="3"/>
    <s v="North Carolina"/>
    <s v="Charlotte"/>
    <s v="Online"/>
    <x v="5"/>
    <n v="45"/>
    <n v="675"/>
    <n v="30375"/>
    <n v="18225"/>
  </r>
  <r>
    <x v="0"/>
    <n v="1185732"/>
    <x v="214"/>
    <x v="1"/>
    <s v="Wisconsin"/>
    <s v="Milwaukee"/>
    <s v="In-store"/>
    <x v="2"/>
    <n v="55.000000000000007"/>
    <n v="350"/>
    <n v="19250.000000000004"/>
    <n v="11550.000000000002"/>
  </r>
  <r>
    <x v="3"/>
    <n v="1185732"/>
    <x v="214"/>
    <x v="3"/>
    <s v="North Carolina"/>
    <s v="Charlotte"/>
    <s v="Online"/>
    <x v="2"/>
    <n v="60.000000000000007"/>
    <n v="825"/>
    <n v="49500.000000000007"/>
    <n v="24750.000000000004"/>
  </r>
  <r>
    <x v="0"/>
    <n v="1185732"/>
    <x v="214"/>
    <x v="1"/>
    <s v="Wisconsin"/>
    <s v="Milwaukee"/>
    <s v="In-store"/>
    <x v="1"/>
    <n v="50"/>
    <n v="175"/>
    <n v="8750"/>
    <n v="4375"/>
  </r>
  <r>
    <x v="0"/>
    <n v="1185732"/>
    <x v="214"/>
    <x v="1"/>
    <s v="Wisconsin"/>
    <s v="Milwaukee"/>
    <s v="Online"/>
    <x v="3"/>
    <n v="39"/>
    <n v="56"/>
    <n v="2184"/>
    <n v="1310.4000000000001"/>
  </r>
  <r>
    <x v="0"/>
    <n v="1185732"/>
    <x v="214"/>
    <x v="1"/>
    <s v="Wisconsin"/>
    <s v="Milwaukee"/>
    <s v="Online"/>
    <x v="4"/>
    <n v="46"/>
    <n v="158"/>
    <n v="7268"/>
    <n v="4215.4400000000005"/>
  </r>
  <r>
    <x v="3"/>
    <n v="1185732"/>
    <x v="214"/>
    <x v="3"/>
    <s v="North Carolina"/>
    <s v="Charlotte"/>
    <s v="Online"/>
    <x v="0"/>
    <n v="58"/>
    <n v="200"/>
    <n v="11600"/>
    <n v="6380.0000000000009"/>
  </r>
  <r>
    <x v="0"/>
    <n v="1185732"/>
    <x v="214"/>
    <x v="1"/>
    <s v="Wisconsin"/>
    <s v="Milwaukee"/>
    <s v="Online"/>
    <x v="5"/>
    <n v="39"/>
    <n v="50"/>
    <n v="1950"/>
    <n v="1072.5"/>
  </r>
  <r>
    <x v="0"/>
    <n v="1185732"/>
    <x v="214"/>
    <x v="1"/>
    <s v="Wisconsin"/>
    <s v="Milwaukee"/>
    <s v="Online"/>
    <x v="0"/>
    <n v="43"/>
    <n v="84"/>
    <n v="3612"/>
    <n v="1914.3600000000001"/>
  </r>
  <r>
    <x v="3"/>
    <n v="1185732"/>
    <x v="214"/>
    <x v="3"/>
    <s v="North Carolina"/>
    <s v="Charlotte"/>
    <s v="Online"/>
    <x v="1"/>
    <n v="53"/>
    <n v="176"/>
    <n v="9328"/>
    <n v="4850.5600000000004"/>
  </r>
  <r>
    <x v="2"/>
    <n v="1185732"/>
    <x v="214"/>
    <x v="1"/>
    <s v="Illinois"/>
    <s v="Chicago"/>
    <s v="Online"/>
    <x v="1"/>
    <n v="56"/>
    <n v="41"/>
    <n v="2296"/>
    <n v="1148"/>
  </r>
  <r>
    <x v="0"/>
    <n v="1185732"/>
    <x v="214"/>
    <x v="1"/>
    <s v="Wisconsin"/>
    <s v="Milwaukee"/>
    <s v="Online"/>
    <x v="2"/>
    <n v="52"/>
    <n v="102"/>
    <n v="5304"/>
    <n v="2598.96"/>
  </r>
  <r>
    <x v="3"/>
    <n v="1185732"/>
    <x v="214"/>
    <x v="3"/>
    <s v="North Carolina"/>
    <s v="Charlotte"/>
    <s v="Online"/>
    <x v="4"/>
    <n v="61"/>
    <n v="308"/>
    <n v="18788"/>
    <n v="8830.3599999999988"/>
  </r>
  <r>
    <x v="3"/>
    <n v="1185732"/>
    <x v="214"/>
    <x v="3"/>
    <s v="North Carolina"/>
    <s v="Charlotte"/>
    <s v="Online"/>
    <x v="3"/>
    <n v="54"/>
    <n v="210"/>
    <n v="11340"/>
    <n v="5329.7999999999993"/>
  </r>
  <r>
    <x v="3"/>
    <n v="1185732"/>
    <x v="214"/>
    <x v="3"/>
    <s v="North Carolina"/>
    <s v="Charlotte"/>
    <s v="Online"/>
    <x v="5"/>
    <n v="44"/>
    <n v="182"/>
    <n v="8008"/>
    <n v="3763.76"/>
  </r>
  <r>
    <x v="3"/>
    <n v="1197831"/>
    <x v="214"/>
    <x v="1"/>
    <s v="Nebraska"/>
    <s v="Omaha"/>
    <s v="Online"/>
    <x v="3"/>
    <n v="28"/>
    <n v="138"/>
    <n v="3864"/>
    <n v="1738.8000000000002"/>
  </r>
  <r>
    <x v="3"/>
    <n v="1185732"/>
    <x v="214"/>
    <x v="3"/>
    <s v="North Carolina"/>
    <s v="Charlotte"/>
    <s v="Online"/>
    <x v="2"/>
    <n v="54"/>
    <n v="231"/>
    <n v="12474"/>
    <n v="4490.6399999999994"/>
  </r>
  <r>
    <x v="0"/>
    <n v="1185732"/>
    <x v="214"/>
    <x v="1"/>
    <s v="Wisconsin"/>
    <s v="Milwaukee"/>
    <s v="Online"/>
    <x v="1"/>
    <n v="48"/>
    <n v="46"/>
    <n v="2208"/>
    <n v="772.8"/>
  </r>
  <r>
    <x v="3"/>
    <n v="1185732"/>
    <x v="215"/>
    <x v="4"/>
    <s v="Connecticut"/>
    <s v="Hartford"/>
    <s v="In-store"/>
    <x v="1"/>
    <n v="54.999999999999993"/>
    <n v="200"/>
    <n v="10999.999999999998"/>
    <n v="7700"/>
  </r>
  <r>
    <x v="3"/>
    <n v="1185732"/>
    <x v="215"/>
    <x v="4"/>
    <s v="Connecticut"/>
    <s v="Hartford"/>
    <s v="In-store"/>
    <x v="3"/>
    <n v="45"/>
    <n v="325"/>
    <n v="14625"/>
    <n v="10237.5"/>
  </r>
  <r>
    <x v="3"/>
    <n v="1185732"/>
    <x v="215"/>
    <x v="4"/>
    <s v="Connecticut"/>
    <s v="Hartford"/>
    <s v="In-store"/>
    <x v="5"/>
    <n v="45"/>
    <n v="225"/>
    <n v="10125"/>
    <n v="7087.5"/>
  </r>
  <r>
    <x v="3"/>
    <n v="1185732"/>
    <x v="215"/>
    <x v="4"/>
    <s v="Connecticut"/>
    <s v="Hartford"/>
    <s v="In-store"/>
    <x v="2"/>
    <n v="60"/>
    <n v="375"/>
    <n v="22500"/>
    <n v="14625"/>
  </r>
  <r>
    <x v="3"/>
    <n v="1185732"/>
    <x v="215"/>
    <x v="4"/>
    <s v="Connecticut"/>
    <s v="Hartford"/>
    <s v="In-store"/>
    <x v="4"/>
    <n v="54.999999999999993"/>
    <n v="625"/>
    <n v="34374.999999999993"/>
    <n v="20624.999999999996"/>
  </r>
  <r>
    <x v="3"/>
    <n v="1185732"/>
    <x v="215"/>
    <x v="4"/>
    <s v="Connecticut"/>
    <s v="Hartford"/>
    <s v="In-store"/>
    <x v="0"/>
    <n v="50"/>
    <n v="400"/>
    <n v="20000"/>
    <n v="12000"/>
  </r>
  <r>
    <x v="2"/>
    <n v="1185732"/>
    <x v="215"/>
    <x v="1"/>
    <s v="Illinois"/>
    <s v="Chicago"/>
    <s v="Outlet"/>
    <x v="2"/>
    <n v="64.999999999999986"/>
    <n v="250"/>
    <n v="16249.999999999996"/>
    <n v="8124.9999999999982"/>
  </r>
  <r>
    <x v="3"/>
    <n v="1197831"/>
    <x v="215"/>
    <x v="1"/>
    <s v="Nebraska"/>
    <s v="Omaha"/>
    <s v="Outlet"/>
    <x v="5"/>
    <n v="35"/>
    <n v="475"/>
    <n v="16625"/>
    <n v="8312.5"/>
  </r>
  <r>
    <x v="3"/>
    <n v="1185732"/>
    <x v="215"/>
    <x v="4"/>
    <s v="Connecticut"/>
    <s v="Hartford"/>
    <s v="Outlet"/>
    <x v="1"/>
    <n v="43"/>
    <n v="62"/>
    <n v="2666"/>
    <n v="1786.2200000000003"/>
  </r>
  <r>
    <x v="3"/>
    <n v="1185732"/>
    <x v="215"/>
    <x v="4"/>
    <s v="Connecticut"/>
    <s v="Hartford"/>
    <s v="Outlet"/>
    <x v="5"/>
    <n v="32"/>
    <n v="72"/>
    <n v="2304"/>
    <n v="1543.68"/>
  </r>
  <r>
    <x v="3"/>
    <n v="1185732"/>
    <x v="215"/>
    <x v="4"/>
    <s v="Connecticut"/>
    <s v="Hartford"/>
    <s v="Outlet"/>
    <x v="3"/>
    <n v="36"/>
    <n v="107"/>
    <n v="3852"/>
    <n v="2503.8000000000002"/>
  </r>
  <r>
    <x v="3"/>
    <n v="1185732"/>
    <x v="215"/>
    <x v="4"/>
    <s v="Connecticut"/>
    <s v="Hartford"/>
    <s v="Outlet"/>
    <x v="2"/>
    <n v="44"/>
    <n v="124"/>
    <n v="5456"/>
    <n v="3382.72"/>
  </r>
  <r>
    <x v="3"/>
    <n v="1185732"/>
    <x v="215"/>
    <x v="4"/>
    <s v="Connecticut"/>
    <s v="Hartford"/>
    <s v="Online"/>
    <x v="5"/>
    <n v="41"/>
    <n v="68"/>
    <n v="2788"/>
    <n v="1644.92"/>
  </r>
  <r>
    <x v="3"/>
    <n v="1185732"/>
    <x v="215"/>
    <x v="4"/>
    <s v="Connecticut"/>
    <s v="Hartford"/>
    <s v="Online"/>
    <x v="3"/>
    <n v="41"/>
    <n v="85"/>
    <n v="3485"/>
    <n v="2021.3"/>
  </r>
  <r>
    <x v="3"/>
    <n v="1185732"/>
    <x v="215"/>
    <x v="4"/>
    <s v="Connecticut"/>
    <s v="Hartford"/>
    <s v="Outlet"/>
    <x v="4"/>
    <n v="40"/>
    <n v="194"/>
    <n v="7760"/>
    <n v="4500.7999999999993"/>
  </r>
  <r>
    <x v="3"/>
    <n v="1185732"/>
    <x v="215"/>
    <x v="4"/>
    <s v="Connecticut"/>
    <s v="Hartford"/>
    <s v="Outlet"/>
    <x v="0"/>
    <n v="34"/>
    <n v="128"/>
    <n v="4352"/>
    <n v="2480.64"/>
  </r>
  <r>
    <x v="3"/>
    <n v="1185732"/>
    <x v="215"/>
    <x v="4"/>
    <s v="Connecticut"/>
    <s v="Hartford"/>
    <s v="Online"/>
    <x v="1"/>
    <n v="51"/>
    <n v="52"/>
    <n v="2652"/>
    <n v="1485.12"/>
  </r>
  <r>
    <x v="3"/>
    <n v="1185732"/>
    <x v="215"/>
    <x v="4"/>
    <s v="Connecticut"/>
    <s v="Hartford"/>
    <s v="Online"/>
    <x v="2"/>
    <n v="55"/>
    <n v="105"/>
    <n v="5775"/>
    <n v="2887.5"/>
  </r>
  <r>
    <x v="3"/>
    <n v="1185732"/>
    <x v="215"/>
    <x v="4"/>
    <s v="Connecticut"/>
    <s v="Hartford"/>
    <s v="Online"/>
    <x v="4"/>
    <n v="51"/>
    <n v="163"/>
    <n v="8313"/>
    <n v="3740.8499999999995"/>
  </r>
  <r>
    <x v="3"/>
    <n v="1185732"/>
    <x v="215"/>
    <x v="4"/>
    <s v="Connecticut"/>
    <s v="Hartford"/>
    <s v="Online"/>
    <x v="0"/>
    <n v="48"/>
    <n v="108"/>
    <n v="5184"/>
    <n v="2332.7999999999997"/>
  </r>
  <r>
    <x v="2"/>
    <n v="1185732"/>
    <x v="215"/>
    <x v="1"/>
    <s v="Illinois"/>
    <s v="Chicago"/>
    <s v="Online"/>
    <x v="2"/>
    <n v="61"/>
    <n v="65"/>
    <n v="3965"/>
    <n v="1586"/>
  </r>
  <r>
    <x v="3"/>
    <n v="1197831"/>
    <x v="215"/>
    <x v="1"/>
    <s v="Nebraska"/>
    <s v="Omaha"/>
    <s v="Online"/>
    <x v="5"/>
    <n v="33"/>
    <n v="138"/>
    <n v="4554"/>
    <n v="1639.44"/>
  </r>
  <r>
    <x v="3"/>
    <n v="1197831"/>
    <x v="216"/>
    <x v="2"/>
    <s v="Alabama"/>
    <s v="Birmingham"/>
    <s v="Outlet"/>
    <x v="1"/>
    <n v="40"/>
    <n v="325"/>
    <n v="13000"/>
    <n v="8450"/>
  </r>
  <r>
    <x v="2"/>
    <n v="1185732"/>
    <x v="216"/>
    <x v="1"/>
    <s v="Illinois"/>
    <s v="Chicago"/>
    <s v="Outlet"/>
    <x v="4"/>
    <n v="60"/>
    <n v="500"/>
    <n v="30000"/>
    <n v="18000"/>
  </r>
  <r>
    <x v="3"/>
    <n v="1197831"/>
    <x v="216"/>
    <x v="2"/>
    <s v="Alabama"/>
    <s v="Birmingham"/>
    <s v="Outlet"/>
    <x v="1"/>
    <n v="31"/>
    <n v="114"/>
    <n v="3534"/>
    <n v="2085.0600000000004"/>
  </r>
  <r>
    <x v="3"/>
    <n v="1197831"/>
    <x v="216"/>
    <x v="2"/>
    <s v="Alabama"/>
    <s v="Birmingham"/>
    <s v="Online"/>
    <x v="1"/>
    <n v="37"/>
    <n v="88"/>
    <n v="3256"/>
    <n v="1693.1200000000001"/>
  </r>
  <r>
    <x v="2"/>
    <n v="1185732"/>
    <x v="216"/>
    <x v="1"/>
    <s v="Illinois"/>
    <s v="Chicago"/>
    <s v="Online"/>
    <x v="4"/>
    <n v="57"/>
    <n v="150"/>
    <n v="8550"/>
    <n v="3847.5"/>
  </r>
  <r>
    <x v="2"/>
    <n v="1185732"/>
    <x v="217"/>
    <x v="3"/>
    <s v="South Carolina"/>
    <s v="Charleston"/>
    <s v="Online"/>
    <x v="3"/>
    <n v="55.000000000000007"/>
    <n v="825"/>
    <n v="45375.000000000007"/>
    <n v="34031.250000000007"/>
  </r>
  <r>
    <x v="2"/>
    <n v="1185732"/>
    <x v="217"/>
    <x v="3"/>
    <s v="South Carolina"/>
    <s v="Charleston"/>
    <s v="Online"/>
    <x v="5"/>
    <n v="45"/>
    <n v="775"/>
    <n v="34875"/>
    <n v="24412.5"/>
  </r>
  <r>
    <x v="2"/>
    <n v="1185732"/>
    <x v="217"/>
    <x v="1"/>
    <s v="Iowa"/>
    <s v="Des Moines"/>
    <s v="In-store"/>
    <x v="4"/>
    <n v="50"/>
    <n v="525"/>
    <n v="26250"/>
    <n v="18375"/>
  </r>
  <r>
    <x v="2"/>
    <n v="1185732"/>
    <x v="217"/>
    <x v="1"/>
    <s v="Iowa"/>
    <s v="Des Moines"/>
    <s v="In-store"/>
    <x v="3"/>
    <n v="40"/>
    <n v="225"/>
    <n v="9000"/>
    <n v="6300"/>
  </r>
  <r>
    <x v="2"/>
    <n v="1185732"/>
    <x v="217"/>
    <x v="1"/>
    <s v="Iowa"/>
    <s v="Des Moines"/>
    <s v="In-store"/>
    <x v="5"/>
    <n v="40"/>
    <n v="200"/>
    <n v="8000"/>
    <n v="5600"/>
  </r>
  <r>
    <x v="2"/>
    <n v="1185732"/>
    <x v="217"/>
    <x v="3"/>
    <s v="South Carolina"/>
    <s v="Charleston"/>
    <s v="Online"/>
    <x v="0"/>
    <n v="60.000000000000007"/>
    <n v="900"/>
    <n v="54000.000000000007"/>
    <n v="35100.000000000015"/>
  </r>
  <r>
    <x v="2"/>
    <n v="1185732"/>
    <x v="217"/>
    <x v="1"/>
    <s v="Iowa"/>
    <s v="Des Moines"/>
    <s v="In-store"/>
    <x v="0"/>
    <n v="45.000000000000007"/>
    <n v="300"/>
    <n v="13500.000000000002"/>
    <n v="8775.0000000000036"/>
  </r>
  <r>
    <x v="2"/>
    <n v="1185732"/>
    <x v="217"/>
    <x v="1"/>
    <s v="Illinois"/>
    <s v="Chicago"/>
    <s v="Outlet"/>
    <x v="0"/>
    <n v="50"/>
    <n v="300"/>
    <n v="15000"/>
    <n v="9750"/>
  </r>
  <r>
    <x v="2"/>
    <n v="1185732"/>
    <x v="217"/>
    <x v="3"/>
    <s v="South Carolina"/>
    <s v="Charleston"/>
    <s v="Online"/>
    <x v="1"/>
    <n v="55.000000000000007"/>
    <n v="750"/>
    <n v="41250.000000000007"/>
    <n v="26812.500000000007"/>
  </r>
  <r>
    <x v="2"/>
    <n v="1185732"/>
    <x v="217"/>
    <x v="1"/>
    <s v="Iowa"/>
    <s v="Des Moines"/>
    <s v="In-store"/>
    <x v="2"/>
    <n v="55.000000000000007"/>
    <n v="350"/>
    <n v="19250.000000000004"/>
    <n v="11550.000000000002"/>
  </r>
  <r>
    <x v="2"/>
    <n v="1185732"/>
    <x v="217"/>
    <x v="3"/>
    <s v="South Carolina"/>
    <s v="Charleston"/>
    <s v="Online"/>
    <x v="4"/>
    <n v="65"/>
    <n v="1125"/>
    <n v="73125"/>
    <n v="40218.75"/>
  </r>
  <r>
    <x v="2"/>
    <n v="1185732"/>
    <x v="217"/>
    <x v="3"/>
    <s v="South Carolina"/>
    <s v="Charleston"/>
    <s v="Online"/>
    <x v="2"/>
    <n v="60.000000000000007"/>
    <n v="925"/>
    <n v="55500.000000000007"/>
    <n v="27750.000000000007"/>
  </r>
  <r>
    <x v="2"/>
    <n v="1185732"/>
    <x v="217"/>
    <x v="1"/>
    <s v="Iowa"/>
    <s v="Des Moines"/>
    <s v="In-store"/>
    <x v="1"/>
    <n v="50"/>
    <n v="175"/>
    <n v="8750"/>
    <n v="4375"/>
  </r>
  <r>
    <x v="3"/>
    <n v="1197831"/>
    <x v="217"/>
    <x v="2"/>
    <s v="Alabama"/>
    <s v="Birmingham"/>
    <s v="Outlet"/>
    <x v="2"/>
    <n v="35"/>
    <n v="475"/>
    <n v="16625"/>
    <n v="7481.2499999999982"/>
  </r>
  <r>
    <x v="2"/>
    <n v="1185732"/>
    <x v="217"/>
    <x v="3"/>
    <s v="South Carolina"/>
    <s v="Charleston"/>
    <s v="Online"/>
    <x v="3"/>
    <n v="50"/>
    <n v="231"/>
    <n v="11550"/>
    <n v="6930"/>
  </r>
  <r>
    <x v="2"/>
    <n v="1185732"/>
    <x v="217"/>
    <x v="1"/>
    <s v="Iowa"/>
    <s v="Des Moines"/>
    <s v="Online"/>
    <x v="5"/>
    <n v="37"/>
    <n v="54"/>
    <n v="1998"/>
    <n v="1178.8200000000002"/>
  </r>
  <r>
    <x v="2"/>
    <n v="1185732"/>
    <x v="217"/>
    <x v="3"/>
    <s v="South Carolina"/>
    <s v="Charleston"/>
    <s v="Online"/>
    <x v="5"/>
    <n v="44"/>
    <n v="233"/>
    <n v="10252"/>
    <n v="6048.68"/>
  </r>
  <r>
    <x v="2"/>
    <n v="1185732"/>
    <x v="217"/>
    <x v="1"/>
    <s v="Iowa"/>
    <s v="Des Moines"/>
    <s v="Online"/>
    <x v="4"/>
    <n v="49"/>
    <n v="131"/>
    <n v="6419"/>
    <n v="3723.02"/>
  </r>
  <r>
    <x v="2"/>
    <n v="1185732"/>
    <x v="217"/>
    <x v="1"/>
    <s v="Iowa"/>
    <s v="Des Moines"/>
    <s v="Online"/>
    <x v="3"/>
    <n v="39"/>
    <n v="61"/>
    <n v="2379"/>
    <n v="1356.03"/>
  </r>
  <r>
    <x v="2"/>
    <n v="1185732"/>
    <x v="217"/>
    <x v="1"/>
    <s v="Iowa"/>
    <s v="Des Moines"/>
    <s v="Online"/>
    <x v="0"/>
    <n v="42"/>
    <n v="78"/>
    <n v="3276"/>
    <n v="1769.0400000000002"/>
  </r>
  <r>
    <x v="2"/>
    <n v="1185732"/>
    <x v="217"/>
    <x v="3"/>
    <s v="South Carolina"/>
    <s v="Charleston"/>
    <s v="Online"/>
    <x v="1"/>
    <n v="51"/>
    <n v="225"/>
    <n v="11475"/>
    <n v="6196.5"/>
  </r>
  <r>
    <x v="2"/>
    <n v="1185732"/>
    <x v="217"/>
    <x v="1"/>
    <s v="Illinois"/>
    <s v="Chicago"/>
    <s v="Online"/>
    <x v="0"/>
    <n v="46"/>
    <n v="75"/>
    <n v="3450"/>
    <n v="1794"/>
  </r>
  <r>
    <x v="2"/>
    <n v="1185732"/>
    <x v="217"/>
    <x v="3"/>
    <s v="South Carolina"/>
    <s v="Charleston"/>
    <s v="Online"/>
    <x v="0"/>
    <n v="54"/>
    <n v="243"/>
    <n v="13122"/>
    <n v="6692.22"/>
  </r>
  <r>
    <x v="2"/>
    <n v="1185732"/>
    <x v="217"/>
    <x v="1"/>
    <s v="Iowa"/>
    <s v="Des Moines"/>
    <s v="Online"/>
    <x v="2"/>
    <n v="53"/>
    <n v="98"/>
    <n v="5194"/>
    <n v="2337.2999999999997"/>
  </r>
  <r>
    <x v="2"/>
    <n v="1185732"/>
    <x v="217"/>
    <x v="3"/>
    <s v="South Carolina"/>
    <s v="Charleston"/>
    <s v="Online"/>
    <x v="4"/>
    <n v="62"/>
    <n v="326"/>
    <n v="20212"/>
    <n v="8691.159999999998"/>
  </r>
  <r>
    <x v="3"/>
    <n v="1197831"/>
    <x v="217"/>
    <x v="2"/>
    <s v="Alabama"/>
    <s v="Birmingham"/>
    <s v="Outlet"/>
    <x v="2"/>
    <n v="24"/>
    <n v="152"/>
    <n v="3648"/>
    <n v="1495.6799999999998"/>
  </r>
  <r>
    <x v="2"/>
    <n v="1185732"/>
    <x v="217"/>
    <x v="1"/>
    <s v="Iowa"/>
    <s v="Des Moines"/>
    <s v="Online"/>
    <x v="1"/>
    <n v="48"/>
    <n v="51"/>
    <n v="2448"/>
    <n v="979.2"/>
  </r>
  <r>
    <x v="2"/>
    <n v="1185732"/>
    <x v="217"/>
    <x v="3"/>
    <s v="South Carolina"/>
    <s v="Charleston"/>
    <s v="Online"/>
    <x v="2"/>
    <n v="58"/>
    <n v="278"/>
    <n v="16124"/>
    <n v="6288.3600000000006"/>
  </r>
  <r>
    <x v="3"/>
    <n v="1197831"/>
    <x v="217"/>
    <x v="2"/>
    <s v="Alabama"/>
    <s v="Birmingham"/>
    <s v="Online"/>
    <x v="2"/>
    <n v="32"/>
    <n v="138"/>
    <n v="4416"/>
    <n v="1324.7999999999997"/>
  </r>
  <r>
    <x v="2"/>
    <n v="1185732"/>
    <x v="218"/>
    <x v="4"/>
    <s v="Rhode Island"/>
    <s v="Providence"/>
    <s v="In-store"/>
    <x v="1"/>
    <n v="49.999999999999993"/>
    <n v="125"/>
    <n v="6249.9999999999991"/>
    <n v="4375"/>
  </r>
  <r>
    <x v="1"/>
    <n v="1185732"/>
    <x v="218"/>
    <x v="4"/>
    <s v="New Jersey"/>
    <s v="Newark"/>
    <s v="In-store"/>
    <x v="1"/>
    <n v="49.999999999999993"/>
    <n v="175"/>
    <n v="8749.9999999999982"/>
    <n v="6124.9999999999982"/>
  </r>
  <r>
    <x v="2"/>
    <n v="1185732"/>
    <x v="218"/>
    <x v="1"/>
    <s v="Illinois"/>
    <s v="Chicago"/>
    <s v="Outlet"/>
    <x v="3"/>
    <n v="50"/>
    <n v="250"/>
    <n v="12500"/>
    <n v="8125"/>
  </r>
  <r>
    <x v="1"/>
    <n v="1185732"/>
    <x v="218"/>
    <x v="4"/>
    <s v="New Jersey"/>
    <s v="Newark"/>
    <s v="In-store"/>
    <x v="4"/>
    <n v="49.999999999999993"/>
    <n v="600"/>
    <n v="29999.999999999996"/>
    <n v="19499.999999999996"/>
  </r>
  <r>
    <x v="1"/>
    <n v="1185732"/>
    <x v="218"/>
    <x v="4"/>
    <s v="New Jersey"/>
    <s v="Newark"/>
    <s v="In-store"/>
    <x v="0"/>
    <n v="45"/>
    <n v="375"/>
    <n v="16875"/>
    <n v="10968.75"/>
  </r>
  <r>
    <x v="2"/>
    <n v="1185732"/>
    <x v="218"/>
    <x v="4"/>
    <s v="Rhode Island"/>
    <s v="Providence"/>
    <s v="In-store"/>
    <x v="4"/>
    <n v="49.999999999999993"/>
    <n v="550"/>
    <n v="27499.999999999996"/>
    <n v="17874.999999999996"/>
  </r>
  <r>
    <x v="2"/>
    <n v="1185732"/>
    <x v="218"/>
    <x v="4"/>
    <s v="Rhode Island"/>
    <s v="Providence"/>
    <s v="In-store"/>
    <x v="0"/>
    <n v="45"/>
    <n v="325"/>
    <n v="14625"/>
    <n v="9506.25"/>
  </r>
  <r>
    <x v="3"/>
    <n v="1197831"/>
    <x v="218"/>
    <x v="2"/>
    <s v="Alabama"/>
    <s v="Birmingham"/>
    <s v="Outlet"/>
    <x v="4"/>
    <n v="25"/>
    <n v="625"/>
    <n v="15625"/>
    <n v="9375"/>
  </r>
  <r>
    <x v="1"/>
    <n v="1185732"/>
    <x v="218"/>
    <x v="4"/>
    <s v="New Jersey"/>
    <s v="Newark"/>
    <s v="In-store"/>
    <x v="3"/>
    <n v="40"/>
    <n v="300"/>
    <n v="12000"/>
    <n v="7200"/>
  </r>
  <r>
    <x v="1"/>
    <n v="1185732"/>
    <x v="218"/>
    <x v="4"/>
    <s v="New Jersey"/>
    <s v="Newark"/>
    <s v="In-store"/>
    <x v="5"/>
    <n v="40"/>
    <n v="200"/>
    <n v="8000"/>
    <n v="4800"/>
  </r>
  <r>
    <x v="1"/>
    <n v="1185732"/>
    <x v="218"/>
    <x v="4"/>
    <s v="New Jersey"/>
    <s v="Newark"/>
    <s v="In-store"/>
    <x v="2"/>
    <n v="54.999999999999993"/>
    <n v="350"/>
    <n v="19249.999999999996"/>
    <n v="11549.999999999998"/>
  </r>
  <r>
    <x v="2"/>
    <n v="1185732"/>
    <x v="218"/>
    <x v="4"/>
    <s v="Rhode Island"/>
    <s v="Providence"/>
    <s v="In-store"/>
    <x v="3"/>
    <n v="40"/>
    <n v="250"/>
    <n v="10000"/>
    <n v="6000"/>
  </r>
  <r>
    <x v="2"/>
    <n v="1185732"/>
    <x v="218"/>
    <x v="4"/>
    <s v="Rhode Island"/>
    <s v="Providence"/>
    <s v="In-store"/>
    <x v="5"/>
    <n v="40"/>
    <n v="150"/>
    <n v="6000"/>
    <n v="3600"/>
  </r>
  <r>
    <x v="2"/>
    <n v="1185732"/>
    <x v="218"/>
    <x v="4"/>
    <s v="Rhode Island"/>
    <s v="Providence"/>
    <s v="In-store"/>
    <x v="2"/>
    <n v="54.999999999999993"/>
    <n v="300"/>
    <n v="16499.999999999996"/>
    <n v="9899.9999999999982"/>
  </r>
  <r>
    <x v="2"/>
    <n v="1185732"/>
    <x v="218"/>
    <x v="4"/>
    <s v="Rhode Island"/>
    <s v="Providence"/>
    <s v="Outlet"/>
    <x v="1"/>
    <n v="37"/>
    <n v="40"/>
    <n v="1480"/>
    <n v="947.2"/>
  </r>
  <r>
    <x v="2"/>
    <n v="1185732"/>
    <x v="218"/>
    <x v="4"/>
    <s v="Rhode Island"/>
    <s v="Providence"/>
    <s v="Outlet"/>
    <x v="0"/>
    <n v="31"/>
    <n v="111"/>
    <n v="3441"/>
    <n v="2133.42"/>
  </r>
  <r>
    <x v="2"/>
    <n v="1185732"/>
    <x v="218"/>
    <x v="4"/>
    <s v="Rhode Island"/>
    <s v="Providence"/>
    <s v="Online"/>
    <x v="1"/>
    <n v="45"/>
    <n v="31"/>
    <n v="1395"/>
    <n v="837"/>
  </r>
  <r>
    <x v="2"/>
    <n v="1185732"/>
    <x v="218"/>
    <x v="4"/>
    <s v="Rhode Island"/>
    <s v="Providence"/>
    <s v="Outlet"/>
    <x v="4"/>
    <n v="38"/>
    <n v="182"/>
    <n v="6916"/>
    <n v="4080.44"/>
  </r>
  <r>
    <x v="1"/>
    <n v="1185732"/>
    <x v="218"/>
    <x v="4"/>
    <s v="New Jersey"/>
    <s v="Newark"/>
    <s v="Online"/>
    <x v="1"/>
    <n v="46"/>
    <n v="46"/>
    <n v="2116"/>
    <n v="1206.1199999999999"/>
  </r>
  <r>
    <x v="2"/>
    <n v="1185732"/>
    <x v="218"/>
    <x v="4"/>
    <s v="Rhode Island"/>
    <s v="Providence"/>
    <s v="Outlet"/>
    <x v="5"/>
    <n v="29"/>
    <n v="47"/>
    <n v="1363"/>
    <n v="776.91"/>
  </r>
  <r>
    <x v="2"/>
    <n v="1185732"/>
    <x v="218"/>
    <x v="4"/>
    <s v="Rhode Island"/>
    <s v="Providence"/>
    <s v="Outlet"/>
    <x v="3"/>
    <n v="30"/>
    <n v="85"/>
    <n v="2550"/>
    <n v="1453.4999999999998"/>
  </r>
  <r>
    <x v="1"/>
    <n v="1185732"/>
    <x v="218"/>
    <x v="4"/>
    <s v="New Jersey"/>
    <s v="Newark"/>
    <s v="Online"/>
    <x v="0"/>
    <n v="42"/>
    <n v="101"/>
    <n v="4242"/>
    <n v="2248.2600000000002"/>
  </r>
  <r>
    <x v="2"/>
    <n v="1185732"/>
    <x v="218"/>
    <x v="4"/>
    <s v="Rhode Island"/>
    <s v="Providence"/>
    <s v="Online"/>
    <x v="0"/>
    <n v="42"/>
    <n v="91"/>
    <n v="3822"/>
    <n v="2025.66"/>
  </r>
  <r>
    <x v="3"/>
    <n v="1197831"/>
    <x v="218"/>
    <x v="2"/>
    <s v="Alabama"/>
    <s v="Birmingham"/>
    <s v="Outlet"/>
    <x v="4"/>
    <n v="16"/>
    <n v="206"/>
    <n v="3296"/>
    <n v="1746.88"/>
  </r>
  <r>
    <x v="2"/>
    <n v="1185732"/>
    <x v="218"/>
    <x v="4"/>
    <s v="Rhode Island"/>
    <s v="Providence"/>
    <s v="Outlet"/>
    <x v="2"/>
    <n v="38"/>
    <n v="96"/>
    <n v="3648"/>
    <n v="1933.4399999999998"/>
  </r>
  <r>
    <x v="1"/>
    <n v="1185732"/>
    <x v="218"/>
    <x v="4"/>
    <s v="New Jersey"/>
    <s v="Newark"/>
    <s v="Online"/>
    <x v="4"/>
    <n v="47"/>
    <n v="180"/>
    <n v="8460"/>
    <n v="4399.2000000000007"/>
  </r>
  <r>
    <x v="2"/>
    <n v="1185732"/>
    <x v="218"/>
    <x v="4"/>
    <s v="Rhode Island"/>
    <s v="Providence"/>
    <s v="Online"/>
    <x v="4"/>
    <n v="46"/>
    <n v="143"/>
    <n v="6578"/>
    <n v="3420.56"/>
  </r>
  <r>
    <x v="2"/>
    <n v="1185732"/>
    <x v="218"/>
    <x v="1"/>
    <s v="Illinois"/>
    <s v="Chicago"/>
    <s v="Online"/>
    <x v="3"/>
    <n v="46"/>
    <n v="75"/>
    <n v="3450"/>
    <n v="1759.5"/>
  </r>
  <r>
    <x v="1"/>
    <n v="1185732"/>
    <x v="218"/>
    <x v="4"/>
    <s v="New Jersey"/>
    <s v="Newark"/>
    <s v="Online"/>
    <x v="5"/>
    <n v="36"/>
    <n v="52"/>
    <n v="1872"/>
    <n v="917.28"/>
  </r>
  <r>
    <x v="1"/>
    <n v="1185732"/>
    <x v="218"/>
    <x v="4"/>
    <s v="New Jersey"/>
    <s v="Newark"/>
    <s v="Online"/>
    <x v="2"/>
    <n v="52"/>
    <n v="105"/>
    <n v="5460"/>
    <n v="2566.1999999999998"/>
  </r>
  <r>
    <x v="2"/>
    <n v="1185732"/>
    <x v="218"/>
    <x v="4"/>
    <s v="Rhode Island"/>
    <s v="Providence"/>
    <s v="Online"/>
    <x v="5"/>
    <n v="37"/>
    <n v="39"/>
    <n v="1443"/>
    <n v="678.20999999999992"/>
  </r>
  <r>
    <x v="3"/>
    <n v="1197831"/>
    <x v="218"/>
    <x v="2"/>
    <s v="Alabama"/>
    <s v="Birmingham"/>
    <s v="Online"/>
    <x v="4"/>
    <n v="24"/>
    <n v="156"/>
    <n v="3744"/>
    <n v="1722.2399999999998"/>
  </r>
  <r>
    <x v="1"/>
    <n v="1185732"/>
    <x v="218"/>
    <x v="4"/>
    <s v="New Jersey"/>
    <s v="Newark"/>
    <s v="Online"/>
    <x v="3"/>
    <n v="37"/>
    <n v="75"/>
    <n v="2775"/>
    <n v="1276.5"/>
  </r>
  <r>
    <x v="2"/>
    <n v="1185732"/>
    <x v="218"/>
    <x v="4"/>
    <s v="Rhode Island"/>
    <s v="Providence"/>
    <s v="Online"/>
    <x v="2"/>
    <n v="52"/>
    <n v="87"/>
    <n v="4524"/>
    <n v="2081.04"/>
  </r>
  <r>
    <x v="2"/>
    <n v="1185732"/>
    <x v="218"/>
    <x v="4"/>
    <s v="Rhode Island"/>
    <s v="Providence"/>
    <s v="Online"/>
    <x v="3"/>
    <n v="38"/>
    <n v="75"/>
    <n v="2850"/>
    <n v="1282.4999999999998"/>
  </r>
  <r>
    <x v="3"/>
    <n v="1197831"/>
    <x v="219"/>
    <x v="0"/>
    <s v="Idaho"/>
    <s v="Boise"/>
    <s v="Online"/>
    <x v="1"/>
    <n v="55.000000000000007"/>
    <n v="475"/>
    <n v="26125.000000000004"/>
    <n v="16981.250000000004"/>
  </r>
  <r>
    <x v="2"/>
    <n v="1197831"/>
    <x v="219"/>
    <x v="0"/>
    <s v="Idaho"/>
    <s v="Boise"/>
    <s v="Online"/>
    <x v="0"/>
    <n v="55.000000000000007"/>
    <n v="750"/>
    <n v="41250.000000000007"/>
    <n v="24750.000000000007"/>
  </r>
  <r>
    <x v="2"/>
    <n v="1185732"/>
    <x v="219"/>
    <x v="1"/>
    <s v="Illinois"/>
    <s v="Chicago"/>
    <s v="Outlet"/>
    <x v="5"/>
    <n v="50"/>
    <n v="200"/>
    <n v="10000"/>
    <n v="6000"/>
  </r>
  <r>
    <x v="3"/>
    <n v="1197831"/>
    <x v="219"/>
    <x v="2"/>
    <s v="Alabama"/>
    <s v="Birmingham"/>
    <s v="Outlet"/>
    <x v="0"/>
    <n v="35"/>
    <n v="600"/>
    <n v="21000"/>
    <n v="12600"/>
  </r>
  <r>
    <x v="2"/>
    <n v="1197831"/>
    <x v="219"/>
    <x v="0"/>
    <s v="Idaho"/>
    <s v="Boise"/>
    <s v="Online"/>
    <x v="4"/>
    <n v="50"/>
    <n v="750"/>
    <n v="37500"/>
    <n v="22500"/>
  </r>
  <r>
    <x v="2"/>
    <n v="1197831"/>
    <x v="219"/>
    <x v="0"/>
    <s v="Idaho"/>
    <s v="Boise"/>
    <s v="Online"/>
    <x v="3"/>
    <n v="50"/>
    <n v="925"/>
    <n v="46250"/>
    <n v="27750"/>
  </r>
  <r>
    <x v="2"/>
    <n v="1197831"/>
    <x v="219"/>
    <x v="0"/>
    <s v="Idaho"/>
    <s v="Boise"/>
    <s v="Online"/>
    <x v="5"/>
    <n v="50"/>
    <n v="475"/>
    <n v="23750"/>
    <n v="11875"/>
  </r>
  <r>
    <x v="3"/>
    <n v="1197831"/>
    <x v="219"/>
    <x v="0"/>
    <s v="Idaho"/>
    <s v="Boise"/>
    <s v="Online"/>
    <x v="2"/>
    <n v="60"/>
    <n v="725"/>
    <n v="43500"/>
    <n v="19574.999999999996"/>
  </r>
  <r>
    <x v="3"/>
    <n v="1197831"/>
    <x v="219"/>
    <x v="2"/>
    <s v="Alabama"/>
    <s v="Birmingham"/>
    <s v="Outlet"/>
    <x v="0"/>
    <n v="26"/>
    <n v="192"/>
    <n v="4992"/>
    <n v="2895.36"/>
  </r>
  <r>
    <x v="3"/>
    <n v="1197831"/>
    <x v="219"/>
    <x v="0"/>
    <s v="Idaho"/>
    <s v="Boise"/>
    <s v="Outlet"/>
    <x v="1"/>
    <n v="39"/>
    <n v="166"/>
    <n v="6474"/>
    <n v="3754.92"/>
  </r>
  <r>
    <x v="2"/>
    <n v="1197831"/>
    <x v="219"/>
    <x v="0"/>
    <s v="Idaho"/>
    <s v="Boise"/>
    <s v="Outlet"/>
    <x v="4"/>
    <n v="38"/>
    <n v="233"/>
    <n v="8854"/>
    <n v="5135.32"/>
  </r>
  <r>
    <x v="2"/>
    <n v="1197831"/>
    <x v="219"/>
    <x v="0"/>
    <s v="Idaho"/>
    <s v="Boise"/>
    <s v="Outlet"/>
    <x v="0"/>
    <n v="37"/>
    <n v="255"/>
    <n v="9435"/>
    <n v="5377.9500000000007"/>
  </r>
  <r>
    <x v="2"/>
    <n v="1197831"/>
    <x v="219"/>
    <x v="0"/>
    <s v="Idaho"/>
    <s v="Boise"/>
    <s v="Outlet"/>
    <x v="3"/>
    <n v="39"/>
    <n v="305"/>
    <n v="11895"/>
    <n v="6780.1500000000005"/>
  </r>
  <r>
    <x v="3"/>
    <n v="1197831"/>
    <x v="219"/>
    <x v="0"/>
    <s v="Idaho"/>
    <s v="Boise"/>
    <s v="Online"/>
    <x v="1"/>
    <n v="52"/>
    <n v="133"/>
    <n v="6916"/>
    <n v="3734.6400000000003"/>
  </r>
  <r>
    <x v="2"/>
    <n v="1185732"/>
    <x v="219"/>
    <x v="1"/>
    <s v="Illinois"/>
    <s v="Chicago"/>
    <s v="Online"/>
    <x v="5"/>
    <n v="49"/>
    <n v="54"/>
    <n v="2646"/>
    <n v="1243.6199999999999"/>
  </r>
  <r>
    <x v="2"/>
    <n v="1197831"/>
    <x v="219"/>
    <x v="0"/>
    <s v="Idaho"/>
    <s v="Boise"/>
    <s v="Online"/>
    <x v="0"/>
    <n v="53"/>
    <n v="195"/>
    <n v="10335"/>
    <n v="4857.45"/>
  </r>
  <r>
    <x v="2"/>
    <n v="1197831"/>
    <x v="219"/>
    <x v="0"/>
    <s v="Idaho"/>
    <s v="Boise"/>
    <s v="Online"/>
    <x v="3"/>
    <n v="46"/>
    <n v="250"/>
    <n v="11500"/>
    <n v="5405"/>
  </r>
  <r>
    <x v="3"/>
    <n v="1197831"/>
    <x v="219"/>
    <x v="2"/>
    <s v="Alabama"/>
    <s v="Birmingham"/>
    <s v="Online"/>
    <x v="0"/>
    <n v="33"/>
    <n v="174"/>
    <n v="5742"/>
    <n v="2641.3199999999997"/>
  </r>
  <r>
    <x v="2"/>
    <n v="1197831"/>
    <x v="219"/>
    <x v="0"/>
    <s v="Idaho"/>
    <s v="Boise"/>
    <s v="Online"/>
    <x v="4"/>
    <n v="46"/>
    <n v="210"/>
    <n v="9660"/>
    <n v="4347.0000000000009"/>
  </r>
  <r>
    <x v="2"/>
    <n v="1197831"/>
    <x v="219"/>
    <x v="0"/>
    <s v="Idaho"/>
    <s v="Boise"/>
    <s v="Outlet"/>
    <x v="5"/>
    <n v="33"/>
    <n v="162"/>
    <n v="5346"/>
    <n v="2405.6999999999998"/>
  </r>
  <r>
    <x v="3"/>
    <n v="1197831"/>
    <x v="219"/>
    <x v="0"/>
    <s v="Idaho"/>
    <s v="Boise"/>
    <s v="Outlet"/>
    <x v="2"/>
    <n v="44"/>
    <n v="239"/>
    <n v="10516"/>
    <n v="4101.2399999999989"/>
  </r>
  <r>
    <x v="2"/>
    <n v="1197831"/>
    <x v="219"/>
    <x v="0"/>
    <s v="Idaho"/>
    <s v="Boise"/>
    <s v="Online"/>
    <x v="5"/>
    <n v="48"/>
    <n v="124"/>
    <n v="5952"/>
    <n v="2083.1999999999998"/>
  </r>
  <r>
    <x v="3"/>
    <n v="1197831"/>
    <x v="219"/>
    <x v="0"/>
    <s v="Idaho"/>
    <s v="Boise"/>
    <s v="Online"/>
    <x v="2"/>
    <n v="54"/>
    <n v="196"/>
    <n v="10584"/>
    <n v="3386.8799999999992"/>
  </r>
  <r>
    <x v="0"/>
    <n v="1185732"/>
    <x v="220"/>
    <x v="4"/>
    <s v="New York"/>
    <s v="Albany"/>
    <s v="In-store"/>
    <x v="3"/>
    <n v="55.000000000000007"/>
    <n v="625"/>
    <n v="34375.000000000007"/>
    <n v="25781.250000000007"/>
  </r>
  <r>
    <x v="3"/>
    <n v="1185732"/>
    <x v="220"/>
    <x v="1"/>
    <s v="North Dakota"/>
    <s v="Fargo"/>
    <s v="In-store"/>
    <x v="0"/>
    <n v="45.000000000000007"/>
    <n v="300"/>
    <n v="13500.000000000002"/>
    <n v="9450.0000000000036"/>
  </r>
  <r>
    <x v="0"/>
    <n v="1185732"/>
    <x v="220"/>
    <x v="4"/>
    <s v="New York"/>
    <s v="Albany"/>
    <s v="In-store"/>
    <x v="5"/>
    <n v="45"/>
    <n v="575"/>
    <n v="25875"/>
    <n v="18112.5"/>
  </r>
  <r>
    <x v="3"/>
    <n v="1185732"/>
    <x v="220"/>
    <x v="1"/>
    <s v="North Dakota"/>
    <s v="Fargo"/>
    <s v="In-store"/>
    <x v="3"/>
    <n v="40"/>
    <n v="225"/>
    <n v="9000"/>
    <n v="6300"/>
  </r>
  <r>
    <x v="3"/>
    <n v="1185732"/>
    <x v="220"/>
    <x v="1"/>
    <s v="North Dakota"/>
    <s v="Fargo"/>
    <s v="In-store"/>
    <x v="5"/>
    <n v="40"/>
    <n v="200"/>
    <n v="8000"/>
    <n v="5600"/>
  </r>
  <r>
    <x v="0"/>
    <n v="1185732"/>
    <x v="220"/>
    <x v="4"/>
    <s v="New York"/>
    <s v="Albany"/>
    <s v="In-store"/>
    <x v="1"/>
    <n v="55.000000000000007"/>
    <n v="550"/>
    <n v="30250.000000000004"/>
    <n v="19662.500000000007"/>
  </r>
  <r>
    <x v="2"/>
    <n v="1185732"/>
    <x v="220"/>
    <x v="1"/>
    <s v="Illinois"/>
    <s v="Chicago"/>
    <s v="Outlet"/>
    <x v="1"/>
    <n v="60"/>
    <n v="200"/>
    <n v="12000"/>
    <n v="7800"/>
  </r>
  <r>
    <x v="0"/>
    <n v="1185732"/>
    <x v="220"/>
    <x v="4"/>
    <s v="New York"/>
    <s v="Albany"/>
    <s v="In-store"/>
    <x v="0"/>
    <n v="60.000000000000007"/>
    <n v="700"/>
    <n v="42000.000000000007"/>
    <n v="27300.000000000007"/>
  </r>
  <r>
    <x v="3"/>
    <n v="1185732"/>
    <x v="220"/>
    <x v="1"/>
    <s v="North Dakota"/>
    <s v="Fargo"/>
    <s v="In-store"/>
    <x v="4"/>
    <n v="50"/>
    <n v="525"/>
    <n v="26250"/>
    <n v="17062.5"/>
  </r>
  <r>
    <x v="3"/>
    <n v="1185732"/>
    <x v="220"/>
    <x v="1"/>
    <s v="North Dakota"/>
    <s v="Fargo"/>
    <s v="In-store"/>
    <x v="1"/>
    <n v="50"/>
    <n v="175"/>
    <n v="8750"/>
    <n v="5687.5"/>
  </r>
  <r>
    <x v="3"/>
    <n v="1197831"/>
    <x v="220"/>
    <x v="2"/>
    <s v="Alabama"/>
    <s v="Birmingham"/>
    <s v="Outlet"/>
    <x v="3"/>
    <n v="35"/>
    <n v="425"/>
    <n v="14875"/>
    <n v="8925"/>
  </r>
  <r>
    <x v="3"/>
    <n v="1185732"/>
    <x v="220"/>
    <x v="1"/>
    <s v="North Dakota"/>
    <s v="Fargo"/>
    <s v="In-store"/>
    <x v="2"/>
    <n v="55.000000000000007"/>
    <n v="350"/>
    <n v="19250.000000000004"/>
    <n v="11550.000000000002"/>
  </r>
  <r>
    <x v="0"/>
    <n v="1185732"/>
    <x v="220"/>
    <x v="4"/>
    <s v="New York"/>
    <s v="Albany"/>
    <s v="In-store"/>
    <x v="4"/>
    <n v="65"/>
    <n v="925"/>
    <n v="60125"/>
    <n v="33068.75"/>
  </r>
  <r>
    <x v="0"/>
    <n v="1185732"/>
    <x v="220"/>
    <x v="4"/>
    <s v="New York"/>
    <s v="Albany"/>
    <s v="In-store"/>
    <x v="2"/>
    <n v="60.000000000000007"/>
    <n v="725"/>
    <n v="43500.000000000007"/>
    <n v="21750.000000000004"/>
  </r>
  <r>
    <x v="0"/>
    <n v="1185732"/>
    <x v="220"/>
    <x v="4"/>
    <s v="New York"/>
    <s v="Albany"/>
    <s v="Online"/>
    <x v="3"/>
    <n v="51"/>
    <n v="188"/>
    <n v="9588"/>
    <n v="6136.32"/>
  </r>
  <r>
    <x v="0"/>
    <n v="1185732"/>
    <x v="220"/>
    <x v="4"/>
    <s v="New York"/>
    <s v="Albany"/>
    <s v="Online"/>
    <x v="5"/>
    <n v="41"/>
    <n v="150"/>
    <n v="6150"/>
    <n v="3690"/>
  </r>
  <r>
    <x v="3"/>
    <n v="1185732"/>
    <x v="220"/>
    <x v="1"/>
    <s v="North Dakota"/>
    <s v="Fargo"/>
    <s v="Online"/>
    <x v="0"/>
    <n v="42"/>
    <n v="90"/>
    <n v="3780"/>
    <n v="2268"/>
  </r>
  <r>
    <x v="3"/>
    <n v="1185732"/>
    <x v="220"/>
    <x v="1"/>
    <s v="North Dakota"/>
    <s v="Fargo"/>
    <s v="Online"/>
    <x v="5"/>
    <n v="38"/>
    <n v="52"/>
    <n v="1976"/>
    <n v="1165.8400000000001"/>
  </r>
  <r>
    <x v="3"/>
    <n v="1185732"/>
    <x v="220"/>
    <x v="1"/>
    <s v="North Dakota"/>
    <s v="Fargo"/>
    <s v="Online"/>
    <x v="3"/>
    <n v="37"/>
    <n v="63"/>
    <n v="2331"/>
    <n v="1375.29"/>
  </r>
  <r>
    <x v="3"/>
    <n v="1197831"/>
    <x v="220"/>
    <x v="2"/>
    <s v="Alabama"/>
    <s v="Birmingham"/>
    <s v="Outlet"/>
    <x v="3"/>
    <n v="26"/>
    <n v="136"/>
    <n v="3536"/>
    <n v="1980.16"/>
  </r>
  <r>
    <x v="0"/>
    <n v="1185732"/>
    <x v="220"/>
    <x v="4"/>
    <s v="New York"/>
    <s v="Albany"/>
    <s v="Online"/>
    <x v="0"/>
    <n v="55"/>
    <n v="210"/>
    <n v="11550"/>
    <n v="6352.5000000000009"/>
  </r>
  <r>
    <x v="2"/>
    <n v="1185732"/>
    <x v="220"/>
    <x v="1"/>
    <s v="Illinois"/>
    <s v="Chicago"/>
    <s v="Online"/>
    <x v="1"/>
    <n v="59"/>
    <n v="58"/>
    <n v="3422"/>
    <n v="1882.1000000000001"/>
  </r>
  <r>
    <x v="3"/>
    <n v="1185732"/>
    <x v="220"/>
    <x v="1"/>
    <s v="North Dakota"/>
    <s v="Fargo"/>
    <s v="Online"/>
    <x v="1"/>
    <n v="46"/>
    <n v="44"/>
    <n v="2024"/>
    <n v="1092.96"/>
  </r>
  <r>
    <x v="0"/>
    <n v="1185732"/>
    <x v="220"/>
    <x v="4"/>
    <s v="New York"/>
    <s v="Albany"/>
    <s v="Online"/>
    <x v="1"/>
    <n v="52"/>
    <n v="149"/>
    <n v="7748"/>
    <n v="4028.96"/>
  </r>
  <r>
    <x v="3"/>
    <n v="1185732"/>
    <x v="220"/>
    <x v="1"/>
    <s v="North Dakota"/>
    <s v="Fargo"/>
    <s v="Online"/>
    <x v="4"/>
    <n v="46"/>
    <n v="147"/>
    <n v="6762"/>
    <n v="3448.62"/>
  </r>
  <r>
    <x v="3"/>
    <n v="1197831"/>
    <x v="220"/>
    <x v="2"/>
    <s v="Alabama"/>
    <s v="Birmingham"/>
    <s v="Online"/>
    <x v="3"/>
    <n v="32"/>
    <n v="128"/>
    <n v="4096"/>
    <n v="1966.08"/>
  </r>
  <r>
    <x v="3"/>
    <n v="1185732"/>
    <x v="220"/>
    <x v="1"/>
    <s v="North Dakota"/>
    <s v="Fargo"/>
    <s v="Online"/>
    <x v="2"/>
    <n v="54"/>
    <n v="95"/>
    <n v="5130"/>
    <n v="2411.1"/>
  </r>
  <r>
    <x v="0"/>
    <n v="1185732"/>
    <x v="220"/>
    <x v="4"/>
    <s v="New York"/>
    <s v="Albany"/>
    <s v="Online"/>
    <x v="4"/>
    <n v="62"/>
    <n v="250"/>
    <n v="15500"/>
    <n v="6820"/>
  </r>
  <r>
    <x v="0"/>
    <n v="1185732"/>
    <x v="220"/>
    <x v="4"/>
    <s v="New York"/>
    <s v="Albany"/>
    <s v="Online"/>
    <x v="2"/>
    <n v="55"/>
    <n v="218"/>
    <n v="11990"/>
    <n v="4796"/>
  </r>
  <r>
    <x v="5"/>
    <n v="1128299"/>
    <x v="221"/>
    <x v="0"/>
    <s v="Hawaii"/>
    <s v="Honolulu"/>
    <s v="Outlet"/>
    <x v="1"/>
    <n v="70"/>
    <n v="525"/>
    <n v="36750"/>
    <n v="31237.5"/>
  </r>
  <r>
    <x v="2"/>
    <n v="1128299"/>
    <x v="221"/>
    <x v="0"/>
    <s v="Hawaii"/>
    <s v="Honolulu"/>
    <s v="Outlet"/>
    <x v="0"/>
    <n v="75.000000000000014"/>
    <n v="725"/>
    <n v="54375.000000000007"/>
    <n v="43500.000000000015"/>
  </r>
  <r>
    <x v="2"/>
    <n v="1128299"/>
    <x v="221"/>
    <x v="0"/>
    <s v="Hawaii"/>
    <s v="Honolulu"/>
    <s v="Outlet"/>
    <x v="4"/>
    <n v="85.000000000000014"/>
    <n v="750"/>
    <n v="63750.000000000007"/>
    <n v="47812.500000000015"/>
  </r>
  <r>
    <x v="2"/>
    <n v="1128299"/>
    <x v="221"/>
    <x v="0"/>
    <s v="Hawaii"/>
    <s v="Honolulu"/>
    <s v="Outlet"/>
    <x v="3"/>
    <n v="70"/>
    <n v="600"/>
    <n v="42000"/>
    <n v="31500"/>
  </r>
  <r>
    <x v="2"/>
    <n v="1128299"/>
    <x v="221"/>
    <x v="0"/>
    <s v="Hawaii"/>
    <s v="Honolulu"/>
    <s v="Outlet"/>
    <x v="5"/>
    <n v="70"/>
    <n v="525"/>
    <n v="36750"/>
    <n v="27562.5"/>
  </r>
  <r>
    <x v="0"/>
    <n v="1185732"/>
    <x v="221"/>
    <x v="1"/>
    <s v="Indiana"/>
    <s v="Indianapolis"/>
    <s v="In-store"/>
    <x v="1"/>
    <n v="50"/>
    <n v="175"/>
    <n v="8750"/>
    <n v="6125"/>
  </r>
  <r>
    <x v="4"/>
    <n v="1185732"/>
    <x v="221"/>
    <x v="1"/>
    <s v="Ohio"/>
    <s v="Columbus"/>
    <s v="Online"/>
    <x v="1"/>
    <n v="55.000000000000007"/>
    <n v="500"/>
    <n v="27500.000000000004"/>
    <n v="17875.000000000007"/>
  </r>
  <r>
    <x v="4"/>
    <n v="1185732"/>
    <x v="221"/>
    <x v="1"/>
    <s v="Ohio"/>
    <s v="Columbus"/>
    <s v="Online"/>
    <x v="0"/>
    <n v="60.000000000000007"/>
    <n v="650"/>
    <n v="39000.000000000007"/>
    <n v="25350.000000000007"/>
  </r>
  <r>
    <x v="0"/>
    <n v="1185732"/>
    <x v="221"/>
    <x v="1"/>
    <s v="Indiana"/>
    <s v="Indianapolis"/>
    <s v="In-store"/>
    <x v="3"/>
    <n v="40"/>
    <n v="225"/>
    <n v="9000"/>
    <n v="5850"/>
  </r>
  <r>
    <x v="0"/>
    <n v="1185732"/>
    <x v="221"/>
    <x v="1"/>
    <s v="Indiana"/>
    <s v="Indianapolis"/>
    <s v="In-store"/>
    <x v="5"/>
    <n v="40"/>
    <n v="200"/>
    <n v="8000"/>
    <n v="5200"/>
  </r>
  <r>
    <x v="5"/>
    <n v="1128299"/>
    <x v="221"/>
    <x v="0"/>
    <s v="Hawaii"/>
    <s v="Honolulu"/>
    <s v="Outlet"/>
    <x v="2"/>
    <n v="75"/>
    <n v="350"/>
    <n v="26250"/>
    <n v="15750"/>
  </r>
  <r>
    <x v="4"/>
    <n v="1185732"/>
    <x v="221"/>
    <x v="1"/>
    <s v="Ohio"/>
    <s v="Columbus"/>
    <s v="Online"/>
    <x v="4"/>
    <n v="65"/>
    <n v="875"/>
    <n v="56875"/>
    <n v="34125"/>
  </r>
  <r>
    <x v="4"/>
    <n v="1185732"/>
    <x v="221"/>
    <x v="1"/>
    <s v="Ohio"/>
    <s v="Columbus"/>
    <s v="Online"/>
    <x v="3"/>
    <n v="55.000000000000007"/>
    <n v="575"/>
    <n v="31625.000000000004"/>
    <n v="18975.000000000004"/>
  </r>
  <r>
    <x v="4"/>
    <n v="1185732"/>
    <x v="221"/>
    <x v="1"/>
    <s v="Ohio"/>
    <s v="Columbus"/>
    <s v="Online"/>
    <x v="5"/>
    <n v="45"/>
    <n v="525"/>
    <n v="23625"/>
    <n v="14175"/>
  </r>
  <r>
    <x v="0"/>
    <n v="1185732"/>
    <x v="221"/>
    <x v="1"/>
    <s v="Indiana"/>
    <s v="Indianapolis"/>
    <s v="In-store"/>
    <x v="4"/>
    <n v="50"/>
    <n v="525"/>
    <n v="26250"/>
    <n v="15750"/>
  </r>
  <r>
    <x v="0"/>
    <n v="1185732"/>
    <x v="221"/>
    <x v="1"/>
    <s v="Indiana"/>
    <s v="Indianapolis"/>
    <s v="In-store"/>
    <x v="0"/>
    <n v="45.000000000000007"/>
    <n v="300"/>
    <n v="13500.000000000002"/>
    <n v="8100.0000000000018"/>
  </r>
  <r>
    <x v="0"/>
    <n v="1185732"/>
    <x v="221"/>
    <x v="1"/>
    <s v="Indiana"/>
    <s v="Indianapolis"/>
    <s v="In-store"/>
    <x v="2"/>
    <n v="55.000000000000007"/>
    <n v="350"/>
    <n v="19250.000000000004"/>
    <n v="11550.000000000002"/>
  </r>
  <r>
    <x v="2"/>
    <n v="1185732"/>
    <x v="221"/>
    <x v="1"/>
    <s v="Illinois"/>
    <s v="Chicago"/>
    <s v="Outlet"/>
    <x v="2"/>
    <n v="64.999999999999986"/>
    <n v="300"/>
    <n v="19499.999999999996"/>
    <n v="9749.9999999999982"/>
  </r>
  <r>
    <x v="3"/>
    <n v="1197831"/>
    <x v="221"/>
    <x v="2"/>
    <s v="Alabama"/>
    <s v="Birmingham"/>
    <s v="Outlet"/>
    <x v="5"/>
    <n v="35"/>
    <n v="375"/>
    <n v="13125"/>
    <n v="6562.5"/>
  </r>
  <r>
    <x v="4"/>
    <n v="1185732"/>
    <x v="221"/>
    <x v="1"/>
    <s v="Ohio"/>
    <s v="Columbus"/>
    <s v="Online"/>
    <x v="2"/>
    <n v="60.000000000000007"/>
    <n v="675"/>
    <n v="40500.000000000007"/>
    <n v="20250.000000000004"/>
  </r>
  <r>
    <x v="5"/>
    <n v="1128299"/>
    <x v="221"/>
    <x v="0"/>
    <s v="Hawaii"/>
    <s v="Honolulu"/>
    <s v="Online"/>
    <x v="1"/>
    <n v="69"/>
    <n v="147"/>
    <n v="10143"/>
    <n v="7404.3899999999994"/>
  </r>
  <r>
    <x v="2"/>
    <n v="1128299"/>
    <x v="221"/>
    <x v="0"/>
    <s v="Hawaii"/>
    <s v="Honolulu"/>
    <s v="Online"/>
    <x v="0"/>
    <n v="71"/>
    <n v="218"/>
    <n v="15478"/>
    <n v="10215.48"/>
  </r>
  <r>
    <x v="2"/>
    <n v="1128299"/>
    <x v="221"/>
    <x v="0"/>
    <s v="Hawaii"/>
    <s v="Honolulu"/>
    <s v="Online"/>
    <x v="4"/>
    <n v="79"/>
    <n v="210"/>
    <n v="16590"/>
    <n v="10451.700000000001"/>
  </r>
  <r>
    <x v="2"/>
    <n v="1128299"/>
    <x v="221"/>
    <x v="0"/>
    <s v="Hawaii"/>
    <s v="Honolulu"/>
    <s v="Online"/>
    <x v="5"/>
    <n v="67"/>
    <n v="142"/>
    <n v="9514"/>
    <n v="5898.68"/>
  </r>
  <r>
    <x v="2"/>
    <n v="1128299"/>
    <x v="221"/>
    <x v="0"/>
    <s v="Hawaii"/>
    <s v="Honolulu"/>
    <s v="Online"/>
    <x v="3"/>
    <n v="64"/>
    <n v="162"/>
    <n v="10368"/>
    <n v="6324.48"/>
  </r>
  <r>
    <x v="0"/>
    <n v="1185732"/>
    <x v="221"/>
    <x v="1"/>
    <s v="Indiana"/>
    <s v="Indianapolis"/>
    <s v="Online"/>
    <x v="1"/>
    <n v="47"/>
    <n v="53"/>
    <n v="2491"/>
    <n v="1370.0500000000002"/>
  </r>
  <r>
    <x v="4"/>
    <n v="1185732"/>
    <x v="221"/>
    <x v="1"/>
    <s v="Ohio"/>
    <s v="Columbus"/>
    <s v="Online"/>
    <x v="0"/>
    <n v="58"/>
    <n v="195"/>
    <n v="11310"/>
    <n v="6107.4000000000005"/>
  </r>
  <r>
    <x v="0"/>
    <n v="1185732"/>
    <x v="221"/>
    <x v="1"/>
    <s v="Indiana"/>
    <s v="Indianapolis"/>
    <s v="Online"/>
    <x v="3"/>
    <n v="37"/>
    <n v="56"/>
    <n v="2072"/>
    <n v="1098.1600000000001"/>
  </r>
  <r>
    <x v="0"/>
    <n v="1185732"/>
    <x v="221"/>
    <x v="1"/>
    <s v="Indiana"/>
    <s v="Indianapolis"/>
    <s v="Online"/>
    <x v="5"/>
    <n v="38"/>
    <n v="60"/>
    <n v="2280"/>
    <n v="1208.4000000000001"/>
  </r>
  <r>
    <x v="4"/>
    <n v="1185732"/>
    <x v="221"/>
    <x v="1"/>
    <s v="Ohio"/>
    <s v="Columbus"/>
    <s v="Online"/>
    <x v="1"/>
    <n v="50"/>
    <n v="135"/>
    <n v="6750"/>
    <n v="3442.5"/>
  </r>
  <r>
    <x v="4"/>
    <n v="1185732"/>
    <x v="221"/>
    <x v="1"/>
    <s v="Ohio"/>
    <s v="Columbus"/>
    <s v="Online"/>
    <x v="4"/>
    <n v="61"/>
    <n v="228"/>
    <n v="13908"/>
    <n v="6954"/>
  </r>
  <r>
    <x v="4"/>
    <n v="1185732"/>
    <x v="221"/>
    <x v="1"/>
    <s v="Ohio"/>
    <s v="Columbus"/>
    <s v="Online"/>
    <x v="3"/>
    <n v="53"/>
    <n v="150"/>
    <n v="7950"/>
    <n v="3895.5"/>
  </r>
  <r>
    <x v="4"/>
    <n v="1185732"/>
    <x v="221"/>
    <x v="1"/>
    <s v="Ohio"/>
    <s v="Columbus"/>
    <s v="Online"/>
    <x v="5"/>
    <n v="41"/>
    <n v="158"/>
    <n v="6478"/>
    <n v="3174.22"/>
  </r>
  <r>
    <x v="5"/>
    <n v="1128299"/>
    <x v="221"/>
    <x v="0"/>
    <s v="Hawaii"/>
    <s v="Honolulu"/>
    <s v="Online"/>
    <x v="2"/>
    <n v="72"/>
    <n v="88"/>
    <n v="6336"/>
    <n v="2977.9199999999996"/>
  </r>
  <r>
    <x v="0"/>
    <n v="1185732"/>
    <x v="221"/>
    <x v="1"/>
    <s v="Indiana"/>
    <s v="Indianapolis"/>
    <s v="Online"/>
    <x v="2"/>
    <n v="54"/>
    <n v="91"/>
    <n v="4914"/>
    <n v="2309.58"/>
  </r>
  <r>
    <x v="0"/>
    <n v="1185732"/>
    <x v="221"/>
    <x v="1"/>
    <s v="Indiana"/>
    <s v="Indianapolis"/>
    <s v="Online"/>
    <x v="0"/>
    <n v="41"/>
    <n v="87"/>
    <n v="3567"/>
    <n v="1640.82"/>
  </r>
  <r>
    <x v="3"/>
    <n v="1197831"/>
    <x v="221"/>
    <x v="2"/>
    <s v="Alabama"/>
    <s v="Birmingham"/>
    <s v="Outlet"/>
    <x v="5"/>
    <n v="24"/>
    <n v="113"/>
    <n v="2712"/>
    <n v="1247.52"/>
  </r>
  <r>
    <x v="0"/>
    <n v="1185732"/>
    <x v="221"/>
    <x v="1"/>
    <s v="Indiana"/>
    <s v="Indianapolis"/>
    <s v="Online"/>
    <x v="4"/>
    <n v="47"/>
    <n v="152"/>
    <n v="7144"/>
    <n v="3214.7999999999997"/>
  </r>
  <r>
    <x v="4"/>
    <n v="1185732"/>
    <x v="221"/>
    <x v="1"/>
    <s v="Ohio"/>
    <s v="Columbus"/>
    <s v="Online"/>
    <x v="2"/>
    <n v="54"/>
    <n v="169"/>
    <n v="9126"/>
    <n v="3559.1400000000003"/>
  </r>
  <r>
    <x v="3"/>
    <n v="1197831"/>
    <x v="221"/>
    <x v="2"/>
    <s v="Alabama"/>
    <s v="Birmingham"/>
    <s v="Online"/>
    <x v="5"/>
    <n v="32"/>
    <n v="98"/>
    <n v="3136"/>
    <n v="1191.68"/>
  </r>
  <r>
    <x v="2"/>
    <n v="1185732"/>
    <x v="221"/>
    <x v="1"/>
    <s v="Illinois"/>
    <s v="Chicago"/>
    <s v="Online"/>
    <x v="2"/>
    <n v="64"/>
    <n v="81"/>
    <n v="5184"/>
    <n v="1918.08"/>
  </r>
  <r>
    <x v="1"/>
    <n v="1185732"/>
    <x v="222"/>
    <x v="0"/>
    <s v="Wyoming"/>
    <s v="Cheyenne"/>
    <s v="In-store"/>
    <x v="2"/>
    <n v="55.000000000000007"/>
    <n v="675"/>
    <n v="37125.000000000007"/>
    <n v="27843.750000000007"/>
  </r>
  <r>
    <x v="1"/>
    <n v="1185732"/>
    <x v="222"/>
    <x v="0"/>
    <s v="Wyoming"/>
    <s v="Cheyenne"/>
    <s v="In-store"/>
    <x v="0"/>
    <n v="45.000000000000007"/>
    <n v="625"/>
    <n v="28125.000000000004"/>
    <n v="19687.500000000007"/>
  </r>
  <r>
    <x v="3"/>
    <n v="1197831"/>
    <x v="222"/>
    <x v="1"/>
    <s v="Illinois"/>
    <s v="Chicago"/>
    <s v="Outlet"/>
    <x v="4"/>
    <n v="20"/>
    <n v="725"/>
    <n v="14500"/>
    <n v="10150"/>
  </r>
  <r>
    <x v="1"/>
    <n v="1185732"/>
    <x v="222"/>
    <x v="0"/>
    <s v="Wyoming"/>
    <s v="Cheyenne"/>
    <s v="In-store"/>
    <x v="1"/>
    <n v="50"/>
    <n v="500"/>
    <n v="25000"/>
    <n v="17500"/>
  </r>
  <r>
    <x v="0"/>
    <n v="1185732"/>
    <x v="222"/>
    <x v="0"/>
    <s v="Utah"/>
    <s v="Salt Lake City"/>
    <s v="In-store"/>
    <x v="3"/>
    <n v="30.000000000000004"/>
    <n v="450"/>
    <n v="13500.000000000002"/>
    <n v="8775.0000000000036"/>
  </r>
  <r>
    <x v="0"/>
    <n v="1185732"/>
    <x v="222"/>
    <x v="0"/>
    <s v="Utah"/>
    <s v="Salt Lake City"/>
    <s v="In-store"/>
    <x v="0"/>
    <n v="35.000000000000007"/>
    <n v="525"/>
    <n v="18375.000000000004"/>
    <n v="11943.750000000004"/>
  </r>
  <r>
    <x v="3"/>
    <n v="1197831"/>
    <x v="222"/>
    <x v="2"/>
    <s v="Alabama"/>
    <s v="Birmingham"/>
    <s v="Outlet"/>
    <x v="1"/>
    <n v="40"/>
    <n v="250"/>
    <n v="10000"/>
    <n v="6500"/>
  </r>
  <r>
    <x v="1"/>
    <n v="1185732"/>
    <x v="222"/>
    <x v="0"/>
    <s v="Wyoming"/>
    <s v="Cheyenne"/>
    <s v="In-store"/>
    <x v="3"/>
    <n v="40"/>
    <n v="550"/>
    <n v="22000"/>
    <n v="14300"/>
  </r>
  <r>
    <x v="1"/>
    <n v="1185732"/>
    <x v="222"/>
    <x v="0"/>
    <s v="Wyoming"/>
    <s v="Cheyenne"/>
    <s v="In-store"/>
    <x v="5"/>
    <n v="40"/>
    <n v="525"/>
    <n v="21000"/>
    <n v="13650"/>
  </r>
  <r>
    <x v="0"/>
    <n v="1185732"/>
    <x v="222"/>
    <x v="0"/>
    <s v="Utah"/>
    <s v="Salt Lake City"/>
    <s v="In-store"/>
    <x v="1"/>
    <n v="30.000000000000004"/>
    <n v="350"/>
    <n v="10500.000000000002"/>
    <n v="6825.0000000000018"/>
  </r>
  <r>
    <x v="4"/>
    <n v="1185732"/>
    <x v="222"/>
    <x v="4"/>
    <s v="Vermont"/>
    <s v="Burlington"/>
    <s v="In-store"/>
    <x v="3"/>
    <n v="50"/>
    <n v="350"/>
    <n v="17500"/>
    <n v="11375"/>
  </r>
  <r>
    <x v="4"/>
    <n v="1185732"/>
    <x v="222"/>
    <x v="4"/>
    <s v="Vermont"/>
    <s v="Burlington"/>
    <s v="In-store"/>
    <x v="5"/>
    <n v="50"/>
    <n v="250"/>
    <n v="12500"/>
    <n v="8125"/>
  </r>
  <r>
    <x v="4"/>
    <n v="1185732"/>
    <x v="222"/>
    <x v="4"/>
    <s v="Vermont"/>
    <s v="Burlington"/>
    <s v="In-store"/>
    <x v="1"/>
    <n v="60"/>
    <n v="225"/>
    <n v="13500"/>
    <n v="8775"/>
  </r>
  <r>
    <x v="0"/>
    <n v="1185732"/>
    <x v="222"/>
    <x v="0"/>
    <s v="Utah"/>
    <s v="Salt Lake City"/>
    <s v="In-store"/>
    <x v="4"/>
    <n v="35"/>
    <n v="750"/>
    <n v="26250"/>
    <n v="15750"/>
  </r>
  <r>
    <x v="0"/>
    <n v="1185732"/>
    <x v="222"/>
    <x v="0"/>
    <s v="Utah"/>
    <s v="Salt Lake City"/>
    <s v="In-store"/>
    <x v="5"/>
    <n v="20.000000000000007"/>
    <n v="375"/>
    <n v="7500.0000000000027"/>
    <n v="4500.0000000000018"/>
  </r>
  <r>
    <x v="4"/>
    <n v="1185732"/>
    <x v="222"/>
    <x v="4"/>
    <s v="Vermont"/>
    <s v="Burlington"/>
    <s v="In-store"/>
    <x v="2"/>
    <n v="65"/>
    <n v="400"/>
    <n v="26000"/>
    <n v="15600"/>
  </r>
  <r>
    <x v="4"/>
    <n v="1185732"/>
    <x v="222"/>
    <x v="4"/>
    <s v="Vermont"/>
    <s v="Burlington"/>
    <s v="In-store"/>
    <x v="4"/>
    <n v="60"/>
    <n v="650"/>
    <n v="39000"/>
    <n v="21450"/>
  </r>
  <r>
    <x v="4"/>
    <n v="1185732"/>
    <x v="222"/>
    <x v="4"/>
    <s v="Vermont"/>
    <s v="Burlington"/>
    <s v="In-store"/>
    <x v="0"/>
    <n v="55.000000000000007"/>
    <n v="425"/>
    <n v="23375.000000000004"/>
    <n v="12856.250000000002"/>
  </r>
  <r>
    <x v="1"/>
    <n v="1185732"/>
    <x v="222"/>
    <x v="0"/>
    <s v="Wyoming"/>
    <s v="Cheyenne"/>
    <s v="In-store"/>
    <x v="4"/>
    <n v="50"/>
    <n v="850"/>
    <n v="42500"/>
    <n v="21250"/>
  </r>
  <r>
    <x v="0"/>
    <n v="1185732"/>
    <x v="222"/>
    <x v="0"/>
    <s v="Utah"/>
    <s v="Salt Lake City"/>
    <s v="In-store"/>
    <x v="2"/>
    <n v="35"/>
    <n v="525"/>
    <n v="18375"/>
    <n v="9187.5"/>
  </r>
  <r>
    <x v="3"/>
    <n v="1197831"/>
    <x v="222"/>
    <x v="2"/>
    <s v="Alabama"/>
    <s v="Birmingham"/>
    <s v="Outlet"/>
    <x v="1"/>
    <n v="29"/>
    <n v="85"/>
    <n v="2465"/>
    <n v="1503.65"/>
  </r>
  <r>
    <x v="4"/>
    <n v="1185732"/>
    <x v="222"/>
    <x v="4"/>
    <s v="Vermont"/>
    <s v="Burlington"/>
    <s v="Outlet"/>
    <x v="3"/>
    <n v="34"/>
    <n v="116"/>
    <n v="3944"/>
    <n v="2405.84"/>
  </r>
  <r>
    <x v="4"/>
    <n v="1185732"/>
    <x v="222"/>
    <x v="4"/>
    <s v="Vermont"/>
    <s v="Burlington"/>
    <s v="Outlet"/>
    <x v="1"/>
    <n v="43"/>
    <n v="72"/>
    <n v="3096"/>
    <n v="1888.5600000000002"/>
  </r>
  <r>
    <x v="0"/>
    <n v="1185732"/>
    <x v="222"/>
    <x v="0"/>
    <s v="Utah"/>
    <s v="Salt Lake City"/>
    <s v="Outlet"/>
    <x v="1"/>
    <n v="23"/>
    <n v="109"/>
    <n v="2507"/>
    <n v="1529.27"/>
  </r>
  <r>
    <x v="3"/>
    <n v="1197831"/>
    <x v="222"/>
    <x v="1"/>
    <s v="Illinois"/>
    <s v="Chicago"/>
    <s v="Online"/>
    <x v="4"/>
    <n v="20"/>
    <n v="189"/>
    <n v="3780"/>
    <n v="2268"/>
  </r>
  <r>
    <x v="1"/>
    <n v="1185732"/>
    <x v="222"/>
    <x v="0"/>
    <s v="Wyoming"/>
    <s v="Cheyenne"/>
    <s v="Online"/>
    <x v="2"/>
    <n v="52"/>
    <n v="196"/>
    <n v="10192"/>
    <n v="6115.2"/>
  </r>
  <r>
    <x v="0"/>
    <n v="1185732"/>
    <x v="222"/>
    <x v="0"/>
    <s v="Utah"/>
    <s v="Salt Lake City"/>
    <s v="Outlet"/>
    <x v="3"/>
    <n v="23"/>
    <n v="158"/>
    <n v="3634"/>
    <n v="2144.0600000000004"/>
  </r>
  <r>
    <x v="1"/>
    <n v="1185732"/>
    <x v="222"/>
    <x v="0"/>
    <s v="Wyoming"/>
    <s v="Cheyenne"/>
    <s v="Online"/>
    <x v="1"/>
    <n v="47"/>
    <n v="140"/>
    <n v="6580"/>
    <n v="3882.2000000000003"/>
  </r>
  <r>
    <x v="1"/>
    <n v="1185732"/>
    <x v="222"/>
    <x v="0"/>
    <s v="Wyoming"/>
    <s v="Cheyenne"/>
    <s v="Online"/>
    <x v="0"/>
    <n v="43"/>
    <n v="163"/>
    <n v="7009"/>
    <n v="4135.3099999999995"/>
  </r>
  <r>
    <x v="0"/>
    <n v="1185732"/>
    <x v="222"/>
    <x v="0"/>
    <s v="Utah"/>
    <s v="Salt Lake City"/>
    <s v="Outlet"/>
    <x v="0"/>
    <n v="28"/>
    <n v="179"/>
    <n v="5012"/>
    <n v="2906.96"/>
  </r>
  <r>
    <x v="4"/>
    <n v="1185732"/>
    <x v="222"/>
    <x v="4"/>
    <s v="Vermont"/>
    <s v="Burlington"/>
    <s v="Outlet"/>
    <x v="5"/>
    <n v="40"/>
    <n v="85"/>
    <n v="3400"/>
    <n v="1972"/>
  </r>
  <r>
    <x v="4"/>
    <n v="1185732"/>
    <x v="222"/>
    <x v="4"/>
    <s v="Vermont"/>
    <s v="Burlington"/>
    <s v="Outlet"/>
    <x v="2"/>
    <n v="44"/>
    <n v="136"/>
    <n v="5984"/>
    <n v="3410.8800000000006"/>
  </r>
  <r>
    <x v="1"/>
    <n v="1185732"/>
    <x v="222"/>
    <x v="0"/>
    <s v="Wyoming"/>
    <s v="Cheyenne"/>
    <s v="Online"/>
    <x v="3"/>
    <n v="38"/>
    <n v="143"/>
    <n v="5434"/>
    <n v="2988.7000000000003"/>
  </r>
  <r>
    <x v="4"/>
    <n v="1185732"/>
    <x v="222"/>
    <x v="4"/>
    <s v="Vermont"/>
    <s v="Burlington"/>
    <s v="Online"/>
    <x v="3"/>
    <n v="48"/>
    <n v="105"/>
    <n v="5040"/>
    <n v="2721.6000000000004"/>
  </r>
  <r>
    <x v="0"/>
    <n v="1185732"/>
    <x v="222"/>
    <x v="0"/>
    <s v="Utah"/>
    <s v="Salt Lake City"/>
    <s v="Online"/>
    <x v="1"/>
    <n v="29"/>
    <n v="105"/>
    <n v="3045"/>
    <n v="1644.3000000000002"/>
  </r>
  <r>
    <x v="0"/>
    <n v="1185732"/>
    <x v="222"/>
    <x v="0"/>
    <s v="Utah"/>
    <s v="Salt Lake City"/>
    <s v="Online"/>
    <x v="0"/>
    <n v="34"/>
    <n v="131"/>
    <n v="4454"/>
    <n v="2360.6200000000003"/>
  </r>
  <r>
    <x v="4"/>
    <n v="1185732"/>
    <x v="222"/>
    <x v="4"/>
    <s v="Vermont"/>
    <s v="Burlington"/>
    <s v="Online"/>
    <x v="5"/>
    <n v="49"/>
    <n v="68"/>
    <n v="3332"/>
    <n v="1765.96"/>
  </r>
  <r>
    <x v="0"/>
    <n v="1185732"/>
    <x v="222"/>
    <x v="0"/>
    <s v="Utah"/>
    <s v="Salt Lake City"/>
    <s v="Outlet"/>
    <x v="4"/>
    <n v="27"/>
    <n v="248"/>
    <n v="6696"/>
    <n v="3548.8799999999997"/>
  </r>
  <r>
    <x v="0"/>
    <n v="1185732"/>
    <x v="222"/>
    <x v="0"/>
    <s v="Utah"/>
    <s v="Salt Lake City"/>
    <s v="Outlet"/>
    <x v="5"/>
    <n v="14"/>
    <n v="124"/>
    <n v="1736"/>
    <n v="920.07999999999993"/>
  </r>
  <r>
    <x v="3"/>
    <n v="1197831"/>
    <x v="222"/>
    <x v="2"/>
    <s v="Alabama"/>
    <s v="Birmingham"/>
    <s v="Online"/>
    <x v="1"/>
    <n v="38"/>
    <n v="68"/>
    <n v="2584"/>
    <n v="1343.68"/>
  </r>
  <r>
    <x v="1"/>
    <n v="1185732"/>
    <x v="222"/>
    <x v="0"/>
    <s v="Wyoming"/>
    <s v="Cheyenne"/>
    <s v="Online"/>
    <x v="5"/>
    <n v="38"/>
    <n v="147"/>
    <n v="5586"/>
    <n v="2848.86"/>
  </r>
  <r>
    <x v="0"/>
    <n v="1185732"/>
    <x v="222"/>
    <x v="0"/>
    <s v="Utah"/>
    <s v="Salt Lake City"/>
    <s v="Online"/>
    <x v="3"/>
    <n v="29"/>
    <n v="113"/>
    <n v="3277"/>
    <n v="1671.27"/>
  </r>
  <r>
    <x v="4"/>
    <n v="1185732"/>
    <x v="222"/>
    <x v="4"/>
    <s v="Vermont"/>
    <s v="Burlington"/>
    <s v="Online"/>
    <x v="1"/>
    <n v="57"/>
    <n v="65"/>
    <n v="3705"/>
    <n v="1889.55"/>
  </r>
  <r>
    <x v="0"/>
    <n v="1185732"/>
    <x v="222"/>
    <x v="0"/>
    <s v="Utah"/>
    <s v="Salt Lake City"/>
    <s v="Online"/>
    <x v="4"/>
    <n v="33"/>
    <n v="203"/>
    <n v="6699"/>
    <n v="3349.5"/>
  </r>
  <r>
    <x v="4"/>
    <n v="1185732"/>
    <x v="222"/>
    <x v="4"/>
    <s v="Vermont"/>
    <s v="Burlington"/>
    <s v="Online"/>
    <x v="2"/>
    <n v="61"/>
    <n v="104"/>
    <n v="6344"/>
    <n v="3108.56"/>
  </r>
  <r>
    <x v="4"/>
    <n v="1185732"/>
    <x v="222"/>
    <x v="4"/>
    <s v="Vermont"/>
    <s v="Burlington"/>
    <s v="Outlet"/>
    <x v="4"/>
    <n v="42"/>
    <n v="215"/>
    <n v="9030"/>
    <n v="4424.7"/>
  </r>
  <r>
    <x v="4"/>
    <n v="1185732"/>
    <x v="222"/>
    <x v="4"/>
    <s v="Vermont"/>
    <s v="Burlington"/>
    <s v="Outlet"/>
    <x v="0"/>
    <n v="43"/>
    <n v="149"/>
    <n v="6407"/>
    <n v="3075.3599999999997"/>
  </r>
  <r>
    <x v="0"/>
    <n v="1185732"/>
    <x v="222"/>
    <x v="0"/>
    <s v="Utah"/>
    <s v="Salt Lake City"/>
    <s v="Online"/>
    <x v="5"/>
    <n v="19"/>
    <n v="101"/>
    <n v="1919"/>
    <n v="901.93"/>
  </r>
  <r>
    <x v="0"/>
    <n v="1185732"/>
    <x v="222"/>
    <x v="0"/>
    <s v="Utah"/>
    <s v="Salt Lake City"/>
    <s v="Outlet"/>
    <x v="2"/>
    <n v="27"/>
    <n v="184"/>
    <n v="4968"/>
    <n v="2136.2399999999998"/>
  </r>
  <r>
    <x v="4"/>
    <n v="1185732"/>
    <x v="222"/>
    <x v="4"/>
    <s v="Vermont"/>
    <s v="Burlington"/>
    <s v="Online"/>
    <x v="0"/>
    <n v="53"/>
    <n v="106"/>
    <n v="5618"/>
    <n v="2303.3799999999997"/>
  </r>
  <r>
    <x v="0"/>
    <n v="1185732"/>
    <x v="222"/>
    <x v="0"/>
    <s v="Utah"/>
    <s v="Salt Lake City"/>
    <s v="Online"/>
    <x v="2"/>
    <n v="32"/>
    <n v="152"/>
    <n v="4864"/>
    <n v="1945.6"/>
  </r>
  <r>
    <x v="4"/>
    <n v="1185732"/>
    <x v="222"/>
    <x v="4"/>
    <s v="Vermont"/>
    <s v="Burlington"/>
    <s v="Online"/>
    <x v="4"/>
    <n v="58"/>
    <n v="176"/>
    <n v="10208"/>
    <n v="4083.2"/>
  </r>
  <r>
    <x v="1"/>
    <n v="1185732"/>
    <x v="222"/>
    <x v="0"/>
    <s v="Wyoming"/>
    <s v="Cheyenne"/>
    <s v="Online"/>
    <x v="4"/>
    <n v="47"/>
    <n v="255"/>
    <n v="11985"/>
    <n v="4314.5999999999995"/>
  </r>
  <r>
    <x v="2"/>
    <n v="1185732"/>
    <x v="223"/>
    <x v="1"/>
    <s v="South Dakota"/>
    <s v="Sioux Falls"/>
    <s v="Online"/>
    <x v="0"/>
    <n v="45.000000000000007"/>
    <n v="300"/>
    <n v="13500.000000000002"/>
    <n v="9450.0000000000036"/>
  </r>
  <r>
    <x v="3"/>
    <n v="1197831"/>
    <x v="223"/>
    <x v="1"/>
    <s v="Illinois"/>
    <s v="Chicago"/>
    <s v="Outlet"/>
    <x v="0"/>
    <n v="30"/>
    <n v="725"/>
    <n v="21750"/>
    <n v="15225"/>
  </r>
  <r>
    <x v="2"/>
    <n v="1185732"/>
    <x v="223"/>
    <x v="1"/>
    <s v="South Dakota"/>
    <s v="Sioux Falls"/>
    <s v="Online"/>
    <x v="3"/>
    <n v="40"/>
    <n v="225"/>
    <n v="9000"/>
    <n v="6300"/>
  </r>
  <r>
    <x v="2"/>
    <n v="1185732"/>
    <x v="223"/>
    <x v="1"/>
    <s v="South Dakota"/>
    <s v="Sioux Falls"/>
    <s v="Online"/>
    <x v="5"/>
    <n v="40"/>
    <n v="200"/>
    <n v="8000"/>
    <n v="5600"/>
  </r>
  <r>
    <x v="2"/>
    <n v="1185732"/>
    <x v="223"/>
    <x v="1"/>
    <s v="South Dakota"/>
    <s v="Sioux Falls"/>
    <s v="Online"/>
    <x v="4"/>
    <n v="50"/>
    <n v="525"/>
    <n v="26250"/>
    <n v="17062.5"/>
  </r>
  <r>
    <x v="2"/>
    <n v="1185732"/>
    <x v="223"/>
    <x v="1"/>
    <s v="South Dakota"/>
    <s v="Sioux Falls"/>
    <s v="Online"/>
    <x v="1"/>
    <n v="50"/>
    <n v="175"/>
    <n v="8750"/>
    <n v="5687.5"/>
  </r>
  <r>
    <x v="2"/>
    <n v="1185732"/>
    <x v="223"/>
    <x v="1"/>
    <s v="South Dakota"/>
    <s v="Sioux Falls"/>
    <s v="Online"/>
    <x v="2"/>
    <n v="55.000000000000007"/>
    <n v="350"/>
    <n v="19250.000000000004"/>
    <n v="11550.000000000002"/>
  </r>
  <r>
    <x v="3"/>
    <n v="1197831"/>
    <x v="223"/>
    <x v="2"/>
    <s v="Alabama"/>
    <s v="Birmingham"/>
    <s v="Outlet"/>
    <x v="2"/>
    <n v="35"/>
    <n v="450"/>
    <n v="15750"/>
    <n v="7087.5"/>
  </r>
  <r>
    <x v="3"/>
    <n v="1197831"/>
    <x v="223"/>
    <x v="1"/>
    <s v="Illinois"/>
    <s v="Chicago"/>
    <s v="Online"/>
    <x v="0"/>
    <n v="28"/>
    <n v="196"/>
    <n v="5488"/>
    <n v="3292.7999999999997"/>
  </r>
  <r>
    <x v="2"/>
    <n v="1185732"/>
    <x v="223"/>
    <x v="1"/>
    <s v="South Dakota"/>
    <s v="Sioux Falls"/>
    <s v="Online"/>
    <x v="3"/>
    <n v="36"/>
    <n v="65"/>
    <n v="2340"/>
    <n v="1404"/>
  </r>
  <r>
    <x v="2"/>
    <n v="1185732"/>
    <x v="223"/>
    <x v="1"/>
    <s v="South Dakota"/>
    <s v="Sioux Falls"/>
    <s v="Online"/>
    <x v="5"/>
    <n v="38"/>
    <n v="58"/>
    <n v="2204"/>
    <n v="1256.28"/>
  </r>
  <r>
    <x v="2"/>
    <n v="1185732"/>
    <x v="223"/>
    <x v="1"/>
    <s v="South Dakota"/>
    <s v="Sioux Falls"/>
    <s v="Online"/>
    <x v="0"/>
    <n v="42"/>
    <n v="78"/>
    <n v="3276"/>
    <n v="1801.8000000000002"/>
  </r>
  <r>
    <x v="2"/>
    <n v="1185732"/>
    <x v="223"/>
    <x v="1"/>
    <s v="South Dakota"/>
    <s v="Sioux Falls"/>
    <s v="Online"/>
    <x v="1"/>
    <n v="47"/>
    <n v="46"/>
    <n v="2162"/>
    <n v="1167.48"/>
  </r>
  <r>
    <x v="2"/>
    <n v="1185732"/>
    <x v="223"/>
    <x v="1"/>
    <s v="South Dakota"/>
    <s v="Sioux Falls"/>
    <s v="Online"/>
    <x v="4"/>
    <n v="49"/>
    <n v="131"/>
    <n v="6419"/>
    <n v="3337.88"/>
  </r>
  <r>
    <x v="2"/>
    <n v="1185732"/>
    <x v="223"/>
    <x v="1"/>
    <s v="South Dakota"/>
    <s v="Sioux Falls"/>
    <s v="Online"/>
    <x v="2"/>
    <n v="53"/>
    <n v="88"/>
    <n v="4664"/>
    <n v="2332"/>
  </r>
  <r>
    <x v="3"/>
    <n v="1197831"/>
    <x v="223"/>
    <x v="2"/>
    <s v="Alabama"/>
    <s v="Birmingham"/>
    <s v="Outlet"/>
    <x v="2"/>
    <n v="27"/>
    <n v="144"/>
    <n v="3888"/>
    <n v="1671.8399999999997"/>
  </r>
  <r>
    <x v="3"/>
    <n v="1197831"/>
    <x v="223"/>
    <x v="2"/>
    <s v="Alabama"/>
    <s v="Birmingham"/>
    <s v="Online"/>
    <x v="2"/>
    <n v="33"/>
    <n v="126"/>
    <n v="4158"/>
    <n v="1372.1399999999999"/>
  </r>
  <r>
    <x v="3"/>
    <n v="1128299"/>
    <x v="224"/>
    <x v="3"/>
    <s v="Georgia"/>
    <s v="Atlanta"/>
    <s v="Online"/>
    <x v="2"/>
    <n v="70"/>
    <n v="425"/>
    <n v="29750"/>
    <n v="22312.5"/>
  </r>
  <r>
    <x v="3"/>
    <n v="1197831"/>
    <x v="224"/>
    <x v="1"/>
    <s v="Illinois"/>
    <s v="Chicago"/>
    <s v="Outlet"/>
    <x v="3"/>
    <n v="30"/>
    <n v="525"/>
    <n v="15750"/>
    <n v="11025"/>
  </r>
  <r>
    <x v="3"/>
    <n v="1128299"/>
    <x v="224"/>
    <x v="3"/>
    <s v="Georgia"/>
    <s v="Atlanta"/>
    <s v="Online"/>
    <x v="3"/>
    <n v="55.000000000000007"/>
    <n v="500"/>
    <n v="27500.000000000004"/>
    <n v="17875.000000000007"/>
  </r>
  <r>
    <x v="3"/>
    <n v="1128299"/>
    <x v="224"/>
    <x v="3"/>
    <s v="Georgia"/>
    <s v="Atlanta"/>
    <s v="Online"/>
    <x v="1"/>
    <n v="65"/>
    <n v="450"/>
    <n v="29250"/>
    <n v="19012.5"/>
  </r>
  <r>
    <x v="1"/>
    <n v="1197831"/>
    <x v="224"/>
    <x v="1"/>
    <s v="Kansas"/>
    <s v="Wichita"/>
    <s v="Online"/>
    <x v="4"/>
    <n v="60"/>
    <n v="650"/>
    <n v="39000"/>
    <n v="25350"/>
  </r>
  <r>
    <x v="1"/>
    <n v="1197831"/>
    <x v="224"/>
    <x v="1"/>
    <s v="Kansas"/>
    <s v="Wichita"/>
    <s v="Online"/>
    <x v="0"/>
    <n v="55.000000000000007"/>
    <n v="425"/>
    <n v="23375.000000000004"/>
    <n v="15193.750000000004"/>
  </r>
  <r>
    <x v="1"/>
    <n v="1197831"/>
    <x v="224"/>
    <x v="1"/>
    <s v="Kansas"/>
    <s v="Wichita"/>
    <s v="Online"/>
    <x v="3"/>
    <n v="50"/>
    <n v="350"/>
    <n v="17500"/>
    <n v="11375"/>
  </r>
  <r>
    <x v="1"/>
    <n v="1197831"/>
    <x v="224"/>
    <x v="1"/>
    <s v="Kansas"/>
    <s v="Wichita"/>
    <s v="Online"/>
    <x v="5"/>
    <n v="40"/>
    <n v="300"/>
    <n v="12000"/>
    <n v="7800"/>
  </r>
  <r>
    <x v="1"/>
    <n v="1197831"/>
    <x v="224"/>
    <x v="1"/>
    <s v="Kansas"/>
    <s v="Wichita"/>
    <s v="Online"/>
    <x v="1"/>
    <n v="50"/>
    <n v="275"/>
    <n v="13750"/>
    <n v="8937.5"/>
  </r>
  <r>
    <x v="1"/>
    <n v="1197831"/>
    <x v="224"/>
    <x v="1"/>
    <s v="Kansas"/>
    <s v="Wichita"/>
    <s v="Online"/>
    <x v="2"/>
    <n v="55.000000000000007"/>
    <n v="450"/>
    <n v="24750.000000000004"/>
    <n v="16087.500000000004"/>
  </r>
  <r>
    <x v="3"/>
    <n v="1128299"/>
    <x v="224"/>
    <x v="3"/>
    <s v="Georgia"/>
    <s v="Atlanta"/>
    <s v="Online"/>
    <x v="4"/>
    <n v="55.000000000000007"/>
    <n v="675"/>
    <n v="37125.000000000007"/>
    <n v="22275.000000000004"/>
  </r>
  <r>
    <x v="3"/>
    <n v="1128299"/>
    <x v="224"/>
    <x v="3"/>
    <s v="Georgia"/>
    <s v="Atlanta"/>
    <s v="Online"/>
    <x v="0"/>
    <n v="60.000000000000007"/>
    <n v="625"/>
    <n v="37500.000000000007"/>
    <n v="22500.000000000004"/>
  </r>
  <r>
    <x v="3"/>
    <n v="1128299"/>
    <x v="224"/>
    <x v="3"/>
    <s v="Georgia"/>
    <s v="Atlanta"/>
    <s v="Online"/>
    <x v="5"/>
    <n v="55.000000000000007"/>
    <n v="450"/>
    <n v="24750.000000000004"/>
    <n v="14850"/>
  </r>
  <r>
    <x v="3"/>
    <n v="1197831"/>
    <x v="224"/>
    <x v="2"/>
    <s v="Alabama"/>
    <s v="Birmingham"/>
    <s v="Outlet"/>
    <x v="4"/>
    <n v="30"/>
    <n v="625"/>
    <n v="18750"/>
    <n v="10312.500000000002"/>
  </r>
  <r>
    <x v="3"/>
    <n v="1128299"/>
    <x v="224"/>
    <x v="3"/>
    <s v="Georgia"/>
    <s v="Atlanta"/>
    <s v="Outlet"/>
    <x v="2"/>
    <n v="50"/>
    <n v="128"/>
    <n v="6400"/>
    <n v="4544"/>
  </r>
  <r>
    <x v="3"/>
    <n v="1128299"/>
    <x v="224"/>
    <x v="3"/>
    <s v="Georgia"/>
    <s v="Atlanta"/>
    <s v="Online"/>
    <x v="2"/>
    <n v="68"/>
    <n v="119"/>
    <n v="8092"/>
    <n v="5259.8"/>
  </r>
  <r>
    <x v="3"/>
    <n v="1128299"/>
    <x v="224"/>
    <x v="3"/>
    <s v="Georgia"/>
    <s v="Atlanta"/>
    <s v="Outlet"/>
    <x v="1"/>
    <n v="51"/>
    <n v="140"/>
    <n v="7140"/>
    <n v="4355.3999999999996"/>
  </r>
  <r>
    <x v="3"/>
    <n v="1197831"/>
    <x v="224"/>
    <x v="1"/>
    <s v="Illinois"/>
    <s v="Chicago"/>
    <s v="Online"/>
    <x v="3"/>
    <n v="27"/>
    <n v="158"/>
    <n v="4266"/>
    <n v="2516.94"/>
  </r>
  <r>
    <x v="3"/>
    <n v="1128299"/>
    <x v="224"/>
    <x v="3"/>
    <s v="Georgia"/>
    <s v="Atlanta"/>
    <s v="Outlet"/>
    <x v="0"/>
    <n v="44"/>
    <n v="200"/>
    <n v="8800"/>
    <n v="5104"/>
  </r>
  <r>
    <x v="3"/>
    <n v="1128299"/>
    <x v="224"/>
    <x v="3"/>
    <s v="Georgia"/>
    <s v="Atlanta"/>
    <s v="Outlet"/>
    <x v="3"/>
    <n v="42"/>
    <n v="150"/>
    <n v="6300"/>
    <n v="3654"/>
  </r>
  <r>
    <x v="1"/>
    <n v="1197831"/>
    <x v="224"/>
    <x v="1"/>
    <s v="Kansas"/>
    <s v="Wichita"/>
    <s v="Online"/>
    <x v="0"/>
    <n v="51"/>
    <n v="111"/>
    <n v="5661"/>
    <n v="3113.55"/>
  </r>
  <r>
    <x v="3"/>
    <n v="1128299"/>
    <x v="224"/>
    <x v="3"/>
    <s v="Georgia"/>
    <s v="Atlanta"/>
    <s v="Outlet"/>
    <x v="5"/>
    <n v="42"/>
    <n v="149"/>
    <n v="6258"/>
    <n v="3441.9"/>
  </r>
  <r>
    <x v="3"/>
    <n v="1128299"/>
    <x v="224"/>
    <x v="3"/>
    <s v="Georgia"/>
    <s v="Atlanta"/>
    <s v="Online"/>
    <x v="3"/>
    <n v="54"/>
    <n v="150"/>
    <n v="8100"/>
    <n v="4374"/>
  </r>
  <r>
    <x v="3"/>
    <n v="1128299"/>
    <x v="224"/>
    <x v="3"/>
    <s v="Georgia"/>
    <s v="Atlanta"/>
    <s v="Outlet"/>
    <x v="4"/>
    <n v="39"/>
    <n v="209"/>
    <n v="8151"/>
    <n v="4401.54"/>
  </r>
  <r>
    <x v="3"/>
    <n v="1128299"/>
    <x v="224"/>
    <x v="3"/>
    <s v="Georgia"/>
    <s v="Atlanta"/>
    <s v="Online"/>
    <x v="1"/>
    <n v="60"/>
    <n v="126"/>
    <n v="7560"/>
    <n v="3931.2000000000003"/>
  </r>
  <r>
    <x v="3"/>
    <n v="1197831"/>
    <x v="224"/>
    <x v="2"/>
    <s v="Alabama"/>
    <s v="Birmingham"/>
    <s v="Outlet"/>
    <x v="4"/>
    <n v="23"/>
    <n v="194"/>
    <n v="4462"/>
    <n v="2275.6200000000003"/>
  </r>
  <r>
    <x v="1"/>
    <n v="1197831"/>
    <x v="224"/>
    <x v="1"/>
    <s v="Kansas"/>
    <s v="Wichita"/>
    <s v="Online"/>
    <x v="5"/>
    <n v="37"/>
    <n v="90"/>
    <n v="3330"/>
    <n v="1698.3"/>
  </r>
  <r>
    <x v="1"/>
    <n v="1197831"/>
    <x v="224"/>
    <x v="1"/>
    <s v="Kansas"/>
    <s v="Wichita"/>
    <s v="Online"/>
    <x v="4"/>
    <n v="56"/>
    <n v="189"/>
    <n v="10584"/>
    <n v="5292"/>
  </r>
  <r>
    <x v="1"/>
    <n v="1197831"/>
    <x v="224"/>
    <x v="1"/>
    <s v="Kansas"/>
    <s v="Wichita"/>
    <s v="Online"/>
    <x v="3"/>
    <n v="47"/>
    <n v="102"/>
    <n v="4794"/>
    <n v="2397"/>
  </r>
  <r>
    <x v="1"/>
    <n v="1197831"/>
    <x v="224"/>
    <x v="1"/>
    <s v="Kansas"/>
    <s v="Wichita"/>
    <s v="Online"/>
    <x v="1"/>
    <n v="47"/>
    <n v="69"/>
    <n v="3243"/>
    <n v="1621.5"/>
  </r>
  <r>
    <x v="1"/>
    <n v="1197831"/>
    <x v="224"/>
    <x v="1"/>
    <s v="Kansas"/>
    <s v="Wichita"/>
    <s v="Online"/>
    <x v="2"/>
    <n v="52"/>
    <n v="113"/>
    <n v="5876"/>
    <n v="2938"/>
  </r>
  <r>
    <x v="3"/>
    <n v="1128299"/>
    <x v="224"/>
    <x v="3"/>
    <s v="Georgia"/>
    <s v="Atlanta"/>
    <s v="Online"/>
    <x v="4"/>
    <n v="53"/>
    <n v="182"/>
    <n v="9646"/>
    <n v="4726.54"/>
  </r>
  <r>
    <x v="3"/>
    <n v="1128299"/>
    <x v="224"/>
    <x v="3"/>
    <s v="Georgia"/>
    <s v="Atlanta"/>
    <s v="Online"/>
    <x v="0"/>
    <n v="58"/>
    <n v="175"/>
    <n v="10150"/>
    <n v="4872"/>
  </r>
  <r>
    <x v="3"/>
    <n v="1128299"/>
    <x v="224"/>
    <x v="3"/>
    <s v="Georgia"/>
    <s v="Atlanta"/>
    <s v="Online"/>
    <x v="5"/>
    <n v="53"/>
    <n v="113"/>
    <n v="5989"/>
    <n v="2874.72"/>
  </r>
  <r>
    <x v="3"/>
    <n v="1197831"/>
    <x v="224"/>
    <x v="2"/>
    <s v="Alabama"/>
    <s v="Birmingham"/>
    <s v="Online"/>
    <x v="4"/>
    <n v="28"/>
    <n v="163"/>
    <n v="4564"/>
    <n v="2053.8000000000002"/>
  </r>
  <r>
    <x v="3"/>
    <n v="1185732"/>
    <x v="225"/>
    <x v="4"/>
    <s v="Massachusetts"/>
    <s v="Boston"/>
    <s v="In-store"/>
    <x v="3"/>
    <n v="45"/>
    <n v="275"/>
    <n v="12375"/>
    <n v="9281.25"/>
  </r>
  <r>
    <x v="3"/>
    <n v="1185732"/>
    <x v="225"/>
    <x v="4"/>
    <s v="Massachusetts"/>
    <s v="Boston"/>
    <s v="In-store"/>
    <x v="5"/>
    <n v="45"/>
    <n v="175"/>
    <n v="7875"/>
    <n v="5906.25"/>
  </r>
  <r>
    <x v="3"/>
    <n v="1185732"/>
    <x v="225"/>
    <x v="4"/>
    <s v="Massachusetts"/>
    <s v="Boston"/>
    <s v="In-store"/>
    <x v="1"/>
    <n v="54.999999999999993"/>
    <n v="150"/>
    <n v="8249.9999999999982"/>
    <n v="6187.4999999999982"/>
  </r>
  <r>
    <x v="2"/>
    <n v="1185732"/>
    <x v="225"/>
    <x v="4"/>
    <s v="Delaware"/>
    <s v="Wilmington"/>
    <s v="In-store"/>
    <x v="1"/>
    <n v="54.999999999999993"/>
    <n v="225"/>
    <n v="12374.999999999998"/>
    <n v="8662.5"/>
  </r>
  <r>
    <x v="3"/>
    <n v="1185732"/>
    <x v="225"/>
    <x v="4"/>
    <s v="Massachusetts"/>
    <s v="Boston"/>
    <s v="In-store"/>
    <x v="0"/>
    <n v="50"/>
    <n v="350"/>
    <n v="17500"/>
    <n v="12250"/>
  </r>
  <r>
    <x v="3"/>
    <n v="1185732"/>
    <x v="225"/>
    <x v="4"/>
    <s v="Massachusetts"/>
    <s v="Boston"/>
    <s v="In-store"/>
    <x v="2"/>
    <n v="60"/>
    <n v="325"/>
    <n v="19500"/>
    <n v="13650"/>
  </r>
  <r>
    <x v="3"/>
    <n v="1185732"/>
    <x v="225"/>
    <x v="4"/>
    <s v="Massachusetts"/>
    <s v="Boston"/>
    <s v="In-store"/>
    <x v="4"/>
    <n v="54.999999999999993"/>
    <n v="575"/>
    <n v="31624.999999999996"/>
    <n v="22137.499999999993"/>
  </r>
  <r>
    <x v="2"/>
    <n v="1185732"/>
    <x v="225"/>
    <x v="4"/>
    <s v="Delaware"/>
    <s v="Wilmington"/>
    <s v="In-store"/>
    <x v="4"/>
    <n v="54.999999999999993"/>
    <n v="650"/>
    <n v="35749.999999999993"/>
    <n v="23237.499999999996"/>
  </r>
  <r>
    <x v="2"/>
    <n v="1185732"/>
    <x v="225"/>
    <x v="4"/>
    <s v="Delaware"/>
    <s v="Wilmington"/>
    <s v="In-store"/>
    <x v="0"/>
    <n v="50"/>
    <n v="425"/>
    <n v="21250"/>
    <n v="13812.5"/>
  </r>
  <r>
    <x v="3"/>
    <n v="1197831"/>
    <x v="225"/>
    <x v="1"/>
    <s v="Illinois"/>
    <s v="Chicago"/>
    <s v="Outlet"/>
    <x v="5"/>
    <n v="35"/>
    <n v="525"/>
    <n v="18375"/>
    <n v="11025"/>
  </r>
  <r>
    <x v="2"/>
    <n v="1185732"/>
    <x v="225"/>
    <x v="4"/>
    <s v="Delaware"/>
    <s v="Wilmington"/>
    <s v="In-store"/>
    <x v="3"/>
    <n v="45"/>
    <n v="350"/>
    <n v="15750"/>
    <n v="9450"/>
  </r>
  <r>
    <x v="2"/>
    <n v="1185732"/>
    <x v="225"/>
    <x v="4"/>
    <s v="Delaware"/>
    <s v="Wilmington"/>
    <s v="In-store"/>
    <x v="5"/>
    <n v="45"/>
    <n v="250"/>
    <n v="11250"/>
    <n v="6750"/>
  </r>
  <r>
    <x v="2"/>
    <n v="1185732"/>
    <x v="225"/>
    <x v="4"/>
    <s v="Delaware"/>
    <s v="Wilmington"/>
    <s v="In-store"/>
    <x v="2"/>
    <n v="60"/>
    <n v="400"/>
    <n v="24000"/>
    <n v="14400"/>
  </r>
  <r>
    <x v="3"/>
    <n v="1197831"/>
    <x v="225"/>
    <x v="2"/>
    <s v="Alabama"/>
    <s v="Birmingham"/>
    <s v="Outlet"/>
    <x v="0"/>
    <n v="40"/>
    <n v="625"/>
    <n v="25000"/>
    <n v="13750"/>
  </r>
  <r>
    <x v="3"/>
    <n v="1185732"/>
    <x v="225"/>
    <x v="4"/>
    <s v="Massachusetts"/>
    <s v="Boston"/>
    <s v="Outlet"/>
    <x v="1"/>
    <n v="40"/>
    <n v="51"/>
    <n v="2040"/>
    <n v="1489.1999999999998"/>
  </r>
  <r>
    <x v="3"/>
    <n v="1185732"/>
    <x v="225"/>
    <x v="4"/>
    <s v="Massachusetts"/>
    <s v="Boston"/>
    <s v="Outlet"/>
    <x v="5"/>
    <n v="31"/>
    <n v="58"/>
    <n v="1798"/>
    <n v="1294.56"/>
  </r>
  <r>
    <x v="3"/>
    <n v="1185732"/>
    <x v="225"/>
    <x v="4"/>
    <s v="Massachusetts"/>
    <s v="Boston"/>
    <s v="Outlet"/>
    <x v="3"/>
    <n v="29"/>
    <n v="85"/>
    <n v="2465"/>
    <n v="1700.85"/>
  </r>
  <r>
    <x v="3"/>
    <n v="1185732"/>
    <x v="225"/>
    <x v="4"/>
    <s v="Massachusetts"/>
    <s v="Boston"/>
    <s v="Outlet"/>
    <x v="0"/>
    <n v="33"/>
    <n v="112"/>
    <n v="3696"/>
    <n v="2513.2799999999997"/>
  </r>
  <r>
    <x v="3"/>
    <n v="1185732"/>
    <x v="225"/>
    <x v="4"/>
    <s v="Massachusetts"/>
    <s v="Boston"/>
    <s v="Outlet"/>
    <x v="4"/>
    <n v="40"/>
    <n v="196"/>
    <n v="7840"/>
    <n v="5252.8"/>
  </r>
  <r>
    <x v="3"/>
    <n v="1185732"/>
    <x v="225"/>
    <x v="4"/>
    <s v="Massachusetts"/>
    <s v="Boston"/>
    <s v="Online"/>
    <x v="3"/>
    <n v="42"/>
    <n v="69"/>
    <n v="2898"/>
    <n v="1883.7"/>
  </r>
  <r>
    <x v="3"/>
    <n v="1185732"/>
    <x v="225"/>
    <x v="4"/>
    <s v="Massachusetts"/>
    <s v="Boston"/>
    <s v="Outlet"/>
    <x v="2"/>
    <n v="46"/>
    <n v="98"/>
    <n v="4508"/>
    <n v="2930.2"/>
  </r>
  <r>
    <x v="3"/>
    <n v="1185732"/>
    <x v="225"/>
    <x v="4"/>
    <s v="Massachusetts"/>
    <s v="Boston"/>
    <s v="Online"/>
    <x v="5"/>
    <n v="42"/>
    <n v="51"/>
    <n v="2142"/>
    <n v="1370.88"/>
  </r>
  <r>
    <x v="3"/>
    <n v="1185732"/>
    <x v="225"/>
    <x v="4"/>
    <s v="Massachusetts"/>
    <s v="Boston"/>
    <s v="Online"/>
    <x v="1"/>
    <n v="50"/>
    <n v="44"/>
    <n v="2200"/>
    <n v="1386"/>
  </r>
  <r>
    <x v="3"/>
    <n v="1185732"/>
    <x v="225"/>
    <x v="4"/>
    <s v="Massachusetts"/>
    <s v="Boston"/>
    <s v="Online"/>
    <x v="0"/>
    <n v="47"/>
    <n v="88"/>
    <n v="4136"/>
    <n v="2440.2399999999998"/>
  </r>
  <r>
    <x v="3"/>
    <n v="1185732"/>
    <x v="225"/>
    <x v="4"/>
    <s v="Massachusetts"/>
    <s v="Boston"/>
    <s v="Online"/>
    <x v="4"/>
    <n v="50"/>
    <n v="161"/>
    <n v="8050"/>
    <n v="4508"/>
  </r>
  <r>
    <x v="2"/>
    <n v="1185732"/>
    <x v="225"/>
    <x v="4"/>
    <s v="Delaware"/>
    <s v="Wilmington"/>
    <s v="Online"/>
    <x v="1"/>
    <n v="50"/>
    <n v="63"/>
    <n v="3150"/>
    <n v="1732.5000000000002"/>
  </r>
  <r>
    <x v="3"/>
    <n v="1185732"/>
    <x v="225"/>
    <x v="4"/>
    <s v="Massachusetts"/>
    <s v="Boston"/>
    <s v="Online"/>
    <x v="2"/>
    <n v="58"/>
    <n v="91"/>
    <n v="5278"/>
    <n v="2902.9"/>
  </r>
  <r>
    <x v="2"/>
    <n v="1185732"/>
    <x v="225"/>
    <x v="4"/>
    <s v="Delaware"/>
    <s v="Wilmington"/>
    <s v="Online"/>
    <x v="0"/>
    <n v="47"/>
    <n v="128"/>
    <n v="6016"/>
    <n v="3248.6400000000003"/>
  </r>
  <r>
    <x v="3"/>
    <n v="1197831"/>
    <x v="225"/>
    <x v="2"/>
    <s v="Alabama"/>
    <s v="Birmingham"/>
    <s v="Outlet"/>
    <x v="0"/>
    <n v="32"/>
    <n v="194"/>
    <n v="6208"/>
    <n v="3290.2400000000002"/>
  </r>
  <r>
    <x v="2"/>
    <n v="1185732"/>
    <x v="225"/>
    <x v="4"/>
    <s v="Delaware"/>
    <s v="Wilmington"/>
    <s v="Online"/>
    <x v="4"/>
    <n v="50"/>
    <n v="163"/>
    <n v="8150"/>
    <n v="4156.5"/>
  </r>
  <r>
    <x v="2"/>
    <n v="1185732"/>
    <x v="225"/>
    <x v="4"/>
    <s v="Delaware"/>
    <s v="Wilmington"/>
    <s v="Online"/>
    <x v="3"/>
    <n v="42"/>
    <n v="105"/>
    <n v="4410"/>
    <n v="2205"/>
  </r>
  <r>
    <x v="2"/>
    <n v="1185732"/>
    <x v="225"/>
    <x v="4"/>
    <s v="Delaware"/>
    <s v="Wilmington"/>
    <s v="Online"/>
    <x v="5"/>
    <n v="41"/>
    <n v="63"/>
    <n v="2583"/>
    <n v="1291.5"/>
  </r>
  <r>
    <x v="3"/>
    <n v="1197831"/>
    <x v="225"/>
    <x v="1"/>
    <s v="Illinois"/>
    <s v="Chicago"/>
    <s v="Online"/>
    <x v="5"/>
    <n v="34"/>
    <n v="152"/>
    <n v="5168"/>
    <n v="2532.3200000000002"/>
  </r>
  <r>
    <x v="2"/>
    <n v="1185732"/>
    <x v="225"/>
    <x v="4"/>
    <s v="Delaware"/>
    <s v="Wilmington"/>
    <s v="Online"/>
    <x v="2"/>
    <n v="59"/>
    <n v="120"/>
    <n v="7080"/>
    <n v="3398.4"/>
  </r>
  <r>
    <x v="3"/>
    <n v="1197831"/>
    <x v="225"/>
    <x v="2"/>
    <s v="Alabama"/>
    <s v="Birmingham"/>
    <s v="Online"/>
    <x v="0"/>
    <n v="36"/>
    <n v="188"/>
    <n v="6768"/>
    <n v="3045.6000000000004"/>
  </r>
  <r>
    <x v="3"/>
    <n v="1197831"/>
    <x v="226"/>
    <x v="2"/>
    <s v="Texas"/>
    <s v="Dallas"/>
    <s v="Outlet"/>
    <x v="1"/>
    <n v="40"/>
    <n v="375"/>
    <n v="15000"/>
    <n v="11250"/>
  </r>
  <r>
    <x v="3"/>
    <n v="1197831"/>
    <x v="226"/>
    <x v="2"/>
    <s v="Alabama"/>
    <s v="Birmingham"/>
    <s v="Outlet"/>
    <x v="3"/>
    <n v="30"/>
    <n v="450"/>
    <n v="13500"/>
    <n v="7425"/>
  </r>
  <r>
    <x v="3"/>
    <n v="1197831"/>
    <x v="226"/>
    <x v="2"/>
    <s v="Texas"/>
    <s v="Dallas"/>
    <s v="Outlet"/>
    <x v="1"/>
    <n v="26"/>
    <n v="113"/>
    <n v="2938"/>
    <n v="2144.7399999999998"/>
  </r>
  <r>
    <x v="3"/>
    <n v="1197831"/>
    <x v="226"/>
    <x v="2"/>
    <s v="Texas"/>
    <s v="Dallas"/>
    <s v="Online"/>
    <x v="1"/>
    <n v="37"/>
    <n v="94"/>
    <n v="3478"/>
    <n v="2260.6999999999998"/>
  </r>
  <r>
    <x v="3"/>
    <n v="1197831"/>
    <x v="226"/>
    <x v="2"/>
    <s v="Alabama"/>
    <s v="Birmingham"/>
    <s v="Outlet"/>
    <x v="3"/>
    <n v="20"/>
    <n v="144"/>
    <n v="2880"/>
    <n v="1411.2"/>
  </r>
  <r>
    <x v="3"/>
    <n v="1197831"/>
    <x v="226"/>
    <x v="2"/>
    <s v="Alabama"/>
    <s v="Birmingham"/>
    <s v="Online"/>
    <x v="3"/>
    <n v="27"/>
    <n v="117"/>
    <n v="3159"/>
    <n v="1326.7800000000002"/>
  </r>
  <r>
    <x v="3"/>
    <n v="1185732"/>
    <x v="227"/>
    <x v="1"/>
    <s v="Michigan"/>
    <s v="Detroit"/>
    <s v="In-store"/>
    <x v="3"/>
    <n v="45.000000000000007"/>
    <n v="575"/>
    <n v="25875.000000000004"/>
    <n v="18112.500000000004"/>
  </r>
  <r>
    <x v="3"/>
    <n v="1185732"/>
    <x v="227"/>
    <x v="1"/>
    <s v="Michigan"/>
    <s v="Detroit"/>
    <s v="In-store"/>
    <x v="5"/>
    <n v="35"/>
    <n v="525"/>
    <n v="18375"/>
    <n v="11943.75"/>
  </r>
  <r>
    <x v="3"/>
    <n v="1185732"/>
    <x v="227"/>
    <x v="1"/>
    <s v="Michigan"/>
    <s v="Detroit"/>
    <s v="In-store"/>
    <x v="0"/>
    <n v="55.000000000000007"/>
    <n v="650"/>
    <n v="35750.000000000007"/>
    <n v="21450.000000000007"/>
  </r>
  <r>
    <x v="3"/>
    <n v="1185732"/>
    <x v="227"/>
    <x v="1"/>
    <s v="Michigan"/>
    <s v="Detroit"/>
    <s v="In-store"/>
    <x v="1"/>
    <n v="45.000000000000007"/>
    <n v="500"/>
    <n v="22500.000000000004"/>
    <n v="13500.000000000004"/>
  </r>
  <r>
    <x v="3"/>
    <n v="1197831"/>
    <x v="227"/>
    <x v="2"/>
    <s v="Texas"/>
    <s v="Dallas"/>
    <s v="Outlet"/>
    <x v="2"/>
    <n v="35"/>
    <n v="525"/>
    <n v="18375"/>
    <n v="10106.25"/>
  </r>
  <r>
    <x v="3"/>
    <n v="1185732"/>
    <x v="227"/>
    <x v="1"/>
    <s v="Michigan"/>
    <s v="Detroit"/>
    <s v="In-store"/>
    <x v="4"/>
    <n v="60"/>
    <n v="875"/>
    <n v="52500"/>
    <n v="26250"/>
  </r>
  <r>
    <x v="3"/>
    <n v="1197831"/>
    <x v="227"/>
    <x v="2"/>
    <s v="Alabama"/>
    <s v="Birmingham"/>
    <s v="Outlet"/>
    <x v="5"/>
    <n v="35"/>
    <n v="350"/>
    <n v="12250"/>
    <n v="5512.5"/>
  </r>
  <r>
    <x v="3"/>
    <n v="1185732"/>
    <x v="227"/>
    <x v="1"/>
    <s v="Michigan"/>
    <s v="Detroit"/>
    <s v="In-store"/>
    <x v="2"/>
    <n v="50.000000000000014"/>
    <n v="675"/>
    <n v="33750.000000000007"/>
    <n v="15187.500000000004"/>
  </r>
  <r>
    <x v="3"/>
    <n v="1185732"/>
    <x v="227"/>
    <x v="1"/>
    <s v="Michigan"/>
    <s v="Detroit"/>
    <s v="Online"/>
    <x v="3"/>
    <n v="42"/>
    <n v="144"/>
    <n v="6048"/>
    <n v="3507.84"/>
  </r>
  <r>
    <x v="3"/>
    <n v="1185732"/>
    <x v="227"/>
    <x v="1"/>
    <s v="Michigan"/>
    <s v="Detroit"/>
    <s v="Online"/>
    <x v="5"/>
    <n v="34"/>
    <n v="142"/>
    <n v="4828"/>
    <n v="2655.4"/>
  </r>
  <r>
    <x v="3"/>
    <n v="1197831"/>
    <x v="227"/>
    <x v="2"/>
    <s v="Texas"/>
    <s v="Dallas"/>
    <s v="Outlet"/>
    <x v="2"/>
    <n v="24"/>
    <n v="163"/>
    <n v="3912"/>
    <n v="2034.24"/>
  </r>
  <r>
    <x v="3"/>
    <n v="1185732"/>
    <x v="227"/>
    <x v="1"/>
    <s v="Michigan"/>
    <s v="Detroit"/>
    <s v="Online"/>
    <x v="0"/>
    <n v="50"/>
    <n v="195"/>
    <n v="9750"/>
    <n v="4875"/>
  </r>
  <r>
    <x v="3"/>
    <n v="1185732"/>
    <x v="227"/>
    <x v="1"/>
    <s v="Michigan"/>
    <s v="Detroit"/>
    <s v="Online"/>
    <x v="1"/>
    <n v="42"/>
    <n v="135"/>
    <n v="5670"/>
    <n v="2664.8999999999996"/>
  </r>
  <r>
    <x v="3"/>
    <n v="1197831"/>
    <x v="227"/>
    <x v="2"/>
    <s v="Texas"/>
    <s v="Dallas"/>
    <s v="Online"/>
    <x v="2"/>
    <n v="33"/>
    <n v="147"/>
    <n v="4851"/>
    <n v="2182.9499999999998"/>
  </r>
  <r>
    <x v="3"/>
    <n v="1197831"/>
    <x v="227"/>
    <x v="2"/>
    <s v="Alabama"/>
    <s v="Birmingham"/>
    <s v="Outlet"/>
    <x v="5"/>
    <n v="23"/>
    <n v="116"/>
    <n v="2668"/>
    <n v="1040.5199999999998"/>
  </r>
  <r>
    <x v="3"/>
    <n v="1185732"/>
    <x v="227"/>
    <x v="1"/>
    <s v="Michigan"/>
    <s v="Detroit"/>
    <s v="Online"/>
    <x v="4"/>
    <n v="55"/>
    <n v="263"/>
    <n v="14465"/>
    <n v="5207.3999999999996"/>
  </r>
  <r>
    <x v="3"/>
    <n v="1197831"/>
    <x v="227"/>
    <x v="2"/>
    <s v="Alabama"/>
    <s v="Birmingham"/>
    <s v="Online"/>
    <x v="5"/>
    <n v="33"/>
    <n v="105"/>
    <n v="3465"/>
    <n v="1108.7999999999997"/>
  </r>
  <r>
    <x v="3"/>
    <n v="1185732"/>
    <x v="227"/>
    <x v="1"/>
    <s v="Michigan"/>
    <s v="Detroit"/>
    <s v="Online"/>
    <x v="2"/>
    <n v="45"/>
    <n v="176"/>
    <n v="7920"/>
    <n v="2534.3999999999996"/>
  </r>
  <r>
    <x v="5"/>
    <n v="1128299"/>
    <x v="228"/>
    <x v="3"/>
    <s v="Florida"/>
    <s v="Orlando"/>
    <s v="In-store"/>
    <x v="1"/>
    <n v="80"/>
    <n v="475"/>
    <n v="38000"/>
    <n v="30400"/>
  </r>
  <r>
    <x v="5"/>
    <n v="1128299"/>
    <x v="228"/>
    <x v="3"/>
    <s v="Florida"/>
    <s v="Orlando"/>
    <s v="In-store"/>
    <x v="0"/>
    <n v="85.000000000000014"/>
    <n v="825"/>
    <n v="70125.000000000015"/>
    <n v="52593.750000000015"/>
  </r>
  <r>
    <x v="3"/>
    <n v="1197831"/>
    <x v="228"/>
    <x v="2"/>
    <s v="Texas"/>
    <s v="Dallas"/>
    <s v="Outlet"/>
    <x v="4"/>
    <n v="25"/>
    <n v="675"/>
    <n v="16875"/>
    <n v="11812.5"/>
  </r>
  <r>
    <x v="5"/>
    <n v="1128299"/>
    <x v="228"/>
    <x v="3"/>
    <s v="Florida"/>
    <s v="Orlando"/>
    <s v="In-store"/>
    <x v="4"/>
    <n v="95"/>
    <n v="850"/>
    <n v="80750"/>
    <n v="56525"/>
  </r>
  <r>
    <x v="5"/>
    <n v="1128299"/>
    <x v="228"/>
    <x v="3"/>
    <s v="Florida"/>
    <s v="Orlando"/>
    <s v="In-store"/>
    <x v="3"/>
    <n v="80"/>
    <n v="700"/>
    <n v="56000"/>
    <n v="39200"/>
  </r>
  <r>
    <x v="5"/>
    <n v="1128299"/>
    <x v="228"/>
    <x v="3"/>
    <s v="Florida"/>
    <s v="Orlando"/>
    <s v="In-store"/>
    <x v="5"/>
    <n v="80"/>
    <n v="475"/>
    <n v="38000"/>
    <n v="26600"/>
  </r>
  <r>
    <x v="5"/>
    <n v="1185732"/>
    <x v="228"/>
    <x v="2"/>
    <s v="Mississippi"/>
    <s v="Jackson"/>
    <s v="Online"/>
    <x v="0"/>
    <n v="55.000000000000007"/>
    <n v="600"/>
    <n v="33000.000000000007"/>
    <n v="21450.000000000007"/>
  </r>
  <r>
    <x v="0"/>
    <n v="1128299"/>
    <x v="228"/>
    <x v="2"/>
    <s v="Louisiana"/>
    <s v="New Orleans"/>
    <s v="Online"/>
    <x v="2"/>
    <n v="70"/>
    <n v="300"/>
    <n v="21000"/>
    <n v="13650"/>
  </r>
  <r>
    <x v="5"/>
    <n v="1185732"/>
    <x v="228"/>
    <x v="2"/>
    <s v="Mississippi"/>
    <s v="Jackson"/>
    <s v="Online"/>
    <x v="1"/>
    <n v="50"/>
    <n v="450"/>
    <n v="22500"/>
    <n v="14625"/>
  </r>
  <r>
    <x v="0"/>
    <n v="1128299"/>
    <x v="228"/>
    <x v="2"/>
    <s v="Louisiana"/>
    <s v="New Orleans"/>
    <s v="Online"/>
    <x v="3"/>
    <n v="75.000000000000014"/>
    <n v="700"/>
    <n v="52500.000000000007"/>
    <n v="31500.000000000011"/>
  </r>
  <r>
    <x v="0"/>
    <n v="1128299"/>
    <x v="228"/>
    <x v="2"/>
    <s v="Louisiana"/>
    <s v="New Orleans"/>
    <s v="Online"/>
    <x v="0"/>
    <n v="85.000000000000014"/>
    <n v="825"/>
    <n v="70125.000000000015"/>
    <n v="42075.000000000015"/>
  </r>
  <r>
    <x v="0"/>
    <n v="1128299"/>
    <x v="228"/>
    <x v="2"/>
    <s v="Louisiana"/>
    <s v="New Orleans"/>
    <s v="Online"/>
    <x v="5"/>
    <n v="75.000000000000014"/>
    <n v="475"/>
    <n v="35625.000000000007"/>
    <n v="21375.000000000007"/>
  </r>
  <r>
    <x v="3"/>
    <n v="1197831"/>
    <x v="228"/>
    <x v="2"/>
    <s v="Alabama"/>
    <s v="Birmingham"/>
    <s v="Outlet"/>
    <x v="1"/>
    <n v="40"/>
    <n v="250"/>
    <n v="10000"/>
    <n v="6000"/>
  </r>
  <r>
    <x v="0"/>
    <n v="1128299"/>
    <x v="228"/>
    <x v="2"/>
    <s v="Louisiana"/>
    <s v="New Orleans"/>
    <s v="Online"/>
    <x v="4"/>
    <n v="95"/>
    <n v="850"/>
    <n v="80750"/>
    <n v="48450"/>
  </r>
  <r>
    <x v="5"/>
    <n v="1185732"/>
    <x v="228"/>
    <x v="2"/>
    <s v="Mississippi"/>
    <s v="Jackson"/>
    <s v="Online"/>
    <x v="4"/>
    <n v="60"/>
    <n v="825"/>
    <n v="49500"/>
    <n v="29700"/>
  </r>
  <r>
    <x v="5"/>
    <n v="1185732"/>
    <x v="228"/>
    <x v="2"/>
    <s v="Mississippi"/>
    <s v="Jackson"/>
    <s v="Online"/>
    <x v="3"/>
    <n v="50"/>
    <n v="525"/>
    <n v="26250"/>
    <n v="15750"/>
  </r>
  <r>
    <x v="5"/>
    <n v="1185732"/>
    <x v="228"/>
    <x v="2"/>
    <s v="Mississippi"/>
    <s v="Jackson"/>
    <s v="Online"/>
    <x v="5"/>
    <n v="40"/>
    <n v="475"/>
    <n v="19000"/>
    <n v="11400"/>
  </r>
  <r>
    <x v="0"/>
    <n v="1185732"/>
    <x v="228"/>
    <x v="4"/>
    <s v="West Virginia"/>
    <s v="Charleston"/>
    <s v="In-store"/>
    <x v="4"/>
    <n v="50"/>
    <n v="525"/>
    <n v="26250"/>
    <n v="15750"/>
  </r>
  <r>
    <x v="0"/>
    <n v="1185732"/>
    <x v="228"/>
    <x v="4"/>
    <s v="West Virginia"/>
    <s v="Charleston"/>
    <s v="In-store"/>
    <x v="0"/>
    <n v="45.000000000000007"/>
    <n v="300"/>
    <n v="13500.000000000002"/>
    <n v="8100.0000000000018"/>
  </r>
  <r>
    <x v="0"/>
    <n v="1185732"/>
    <x v="228"/>
    <x v="4"/>
    <s v="West Virginia"/>
    <s v="Charleston"/>
    <s v="In-store"/>
    <x v="3"/>
    <n v="40"/>
    <n v="300"/>
    <n v="12000"/>
    <n v="7200"/>
  </r>
  <r>
    <x v="0"/>
    <n v="1185732"/>
    <x v="228"/>
    <x v="4"/>
    <s v="West Virginia"/>
    <s v="Charleston"/>
    <s v="In-store"/>
    <x v="5"/>
    <n v="40"/>
    <n v="275"/>
    <n v="11000"/>
    <n v="6600"/>
  </r>
  <r>
    <x v="0"/>
    <n v="1185732"/>
    <x v="228"/>
    <x v="4"/>
    <s v="West Virginia"/>
    <s v="Charleston"/>
    <s v="In-store"/>
    <x v="1"/>
    <n v="50"/>
    <n v="250"/>
    <n v="12500"/>
    <n v="7500"/>
  </r>
  <r>
    <x v="0"/>
    <n v="1185732"/>
    <x v="228"/>
    <x v="4"/>
    <s v="West Virginia"/>
    <s v="Charleston"/>
    <s v="In-store"/>
    <x v="2"/>
    <n v="55.000000000000007"/>
    <n v="425"/>
    <n v="23375.000000000004"/>
    <n v="14025"/>
  </r>
  <r>
    <x v="5"/>
    <n v="1128299"/>
    <x v="228"/>
    <x v="3"/>
    <s v="Florida"/>
    <s v="Orlando"/>
    <s v="In-store"/>
    <x v="2"/>
    <n v="85"/>
    <n v="300"/>
    <n v="25500"/>
    <n v="14025"/>
  </r>
  <r>
    <x v="0"/>
    <n v="1128299"/>
    <x v="228"/>
    <x v="2"/>
    <s v="Louisiana"/>
    <s v="New Orleans"/>
    <s v="Online"/>
    <x v="1"/>
    <n v="64.999999999999986"/>
    <n v="475"/>
    <n v="30874.999999999993"/>
    <n v="16981.249999999996"/>
  </r>
  <r>
    <x v="5"/>
    <n v="1185732"/>
    <x v="228"/>
    <x v="2"/>
    <s v="Mississippi"/>
    <s v="Jackson"/>
    <s v="Online"/>
    <x v="2"/>
    <n v="55.000000000000007"/>
    <n v="625"/>
    <n v="34375.000000000007"/>
    <n v="17187.500000000004"/>
  </r>
  <r>
    <x v="5"/>
    <n v="1128299"/>
    <x v="228"/>
    <x v="3"/>
    <s v="Florida"/>
    <s v="Orlando"/>
    <s v="Outlet"/>
    <x v="1"/>
    <n v="63"/>
    <n v="166"/>
    <n v="10458"/>
    <n v="7948.08"/>
  </r>
  <r>
    <x v="5"/>
    <n v="1128299"/>
    <x v="228"/>
    <x v="3"/>
    <s v="Florida"/>
    <s v="Orlando"/>
    <s v="Outlet"/>
    <x v="0"/>
    <n v="60"/>
    <n v="272"/>
    <n v="16320"/>
    <n v="11913.599999999999"/>
  </r>
  <r>
    <x v="5"/>
    <n v="1128299"/>
    <x v="228"/>
    <x v="3"/>
    <s v="Florida"/>
    <s v="Orlando"/>
    <s v="Online"/>
    <x v="1"/>
    <n v="74"/>
    <n v="143"/>
    <n v="10582"/>
    <n v="7301.58"/>
  </r>
  <r>
    <x v="3"/>
    <n v="1197831"/>
    <x v="228"/>
    <x v="2"/>
    <s v="Texas"/>
    <s v="Dallas"/>
    <s v="Outlet"/>
    <x v="4"/>
    <n v="19"/>
    <n v="230"/>
    <n v="4370"/>
    <n v="2971.6"/>
  </r>
  <r>
    <x v="5"/>
    <n v="1128299"/>
    <x v="228"/>
    <x v="3"/>
    <s v="Florida"/>
    <s v="Orlando"/>
    <s v="Outlet"/>
    <x v="3"/>
    <n v="62"/>
    <n v="231"/>
    <n v="14322"/>
    <n v="9595.7400000000016"/>
  </r>
  <r>
    <x v="5"/>
    <n v="1128299"/>
    <x v="228"/>
    <x v="3"/>
    <s v="Florida"/>
    <s v="Orlando"/>
    <s v="Outlet"/>
    <x v="5"/>
    <n v="64"/>
    <n v="147"/>
    <n v="9408"/>
    <n v="6303.3600000000006"/>
  </r>
  <r>
    <x v="5"/>
    <n v="1128299"/>
    <x v="228"/>
    <x v="3"/>
    <s v="Florida"/>
    <s v="Orlando"/>
    <s v="Online"/>
    <x v="0"/>
    <n v="77"/>
    <n v="206"/>
    <n v="15862"/>
    <n v="10310.299999999999"/>
  </r>
  <r>
    <x v="5"/>
    <n v="1128299"/>
    <x v="228"/>
    <x v="3"/>
    <s v="Florida"/>
    <s v="Orlando"/>
    <s v="Outlet"/>
    <x v="4"/>
    <n v="68"/>
    <n v="255"/>
    <n v="17340"/>
    <n v="11097.6"/>
  </r>
  <r>
    <x v="0"/>
    <n v="1128299"/>
    <x v="228"/>
    <x v="2"/>
    <s v="Louisiana"/>
    <s v="New Orleans"/>
    <s v="Outlet"/>
    <x v="2"/>
    <n v="46"/>
    <n v="102"/>
    <n v="4692"/>
    <n v="2909.04"/>
  </r>
  <r>
    <x v="5"/>
    <n v="1128299"/>
    <x v="228"/>
    <x v="3"/>
    <s v="Florida"/>
    <s v="Orlando"/>
    <s v="Online"/>
    <x v="4"/>
    <n v="87"/>
    <n v="213"/>
    <n v="18531"/>
    <n v="10933.29"/>
  </r>
  <r>
    <x v="5"/>
    <n v="1185732"/>
    <x v="228"/>
    <x v="2"/>
    <s v="Mississippi"/>
    <s v="Jackson"/>
    <s v="Outlet"/>
    <x v="0"/>
    <n v="44"/>
    <n v="198"/>
    <n v="8712"/>
    <n v="5140.08"/>
  </r>
  <r>
    <x v="5"/>
    <n v="1128299"/>
    <x v="228"/>
    <x v="3"/>
    <s v="Florida"/>
    <s v="Orlando"/>
    <s v="Online"/>
    <x v="5"/>
    <n v="77"/>
    <n v="143"/>
    <n v="11011"/>
    <n v="6386.38"/>
  </r>
  <r>
    <x v="0"/>
    <n v="1128299"/>
    <x v="228"/>
    <x v="2"/>
    <s v="Louisiana"/>
    <s v="New Orleans"/>
    <s v="Outlet"/>
    <x v="3"/>
    <n v="50"/>
    <n v="217"/>
    <n v="10850"/>
    <n v="6293"/>
  </r>
  <r>
    <x v="5"/>
    <n v="1185732"/>
    <x v="228"/>
    <x v="2"/>
    <s v="Mississippi"/>
    <s v="Jackson"/>
    <s v="Outlet"/>
    <x v="1"/>
    <n v="35"/>
    <n v="158"/>
    <n v="5530"/>
    <n v="3207.4"/>
  </r>
  <r>
    <x v="5"/>
    <n v="1185732"/>
    <x v="228"/>
    <x v="2"/>
    <s v="Mississippi"/>
    <s v="Jackson"/>
    <s v="Outlet"/>
    <x v="5"/>
    <n v="32"/>
    <n v="147"/>
    <n v="4704"/>
    <n v="2728.3199999999997"/>
  </r>
  <r>
    <x v="5"/>
    <n v="1128299"/>
    <x v="228"/>
    <x v="3"/>
    <s v="Florida"/>
    <s v="Orlando"/>
    <s v="Online"/>
    <x v="3"/>
    <n v="78"/>
    <n v="189"/>
    <n v="14742"/>
    <n v="8402.94"/>
  </r>
  <r>
    <x v="3"/>
    <n v="1197831"/>
    <x v="228"/>
    <x v="2"/>
    <s v="Texas"/>
    <s v="Dallas"/>
    <s v="Online"/>
    <x v="4"/>
    <n v="23"/>
    <n v="176"/>
    <n v="4048"/>
    <n v="2307.36"/>
  </r>
  <r>
    <x v="0"/>
    <n v="1128299"/>
    <x v="228"/>
    <x v="2"/>
    <s v="Louisiana"/>
    <s v="New Orleans"/>
    <s v="Outlet"/>
    <x v="0"/>
    <n v="57"/>
    <n v="256"/>
    <n v="14592"/>
    <n v="8171.52"/>
  </r>
  <r>
    <x v="5"/>
    <n v="1185732"/>
    <x v="228"/>
    <x v="2"/>
    <s v="Mississippi"/>
    <s v="Jackson"/>
    <s v="Outlet"/>
    <x v="3"/>
    <n v="37"/>
    <n v="179"/>
    <n v="6623"/>
    <n v="3708.88"/>
  </r>
  <r>
    <x v="5"/>
    <n v="1185732"/>
    <x v="228"/>
    <x v="2"/>
    <s v="Mississippi"/>
    <s v="Jackson"/>
    <s v="Online"/>
    <x v="1"/>
    <n v="46"/>
    <n v="122"/>
    <n v="5612"/>
    <n v="3086.6000000000004"/>
  </r>
  <r>
    <x v="5"/>
    <n v="1185732"/>
    <x v="228"/>
    <x v="2"/>
    <s v="Mississippi"/>
    <s v="Jackson"/>
    <s v="Outlet"/>
    <x v="4"/>
    <n v="41"/>
    <n v="256"/>
    <n v="10496"/>
    <n v="5772.8"/>
  </r>
  <r>
    <x v="3"/>
    <n v="1197831"/>
    <x v="228"/>
    <x v="2"/>
    <s v="Alabama"/>
    <s v="Birmingham"/>
    <s v="Outlet"/>
    <x v="1"/>
    <n v="28"/>
    <n v="88"/>
    <n v="2464"/>
    <n v="1330.5600000000002"/>
  </r>
  <r>
    <x v="0"/>
    <n v="1128299"/>
    <x v="228"/>
    <x v="2"/>
    <s v="Louisiana"/>
    <s v="New Orleans"/>
    <s v="Outlet"/>
    <x v="5"/>
    <n v="55"/>
    <n v="143"/>
    <n v="7865"/>
    <n v="4168.4500000000007"/>
  </r>
  <r>
    <x v="0"/>
    <n v="1128299"/>
    <x v="228"/>
    <x v="2"/>
    <s v="Louisiana"/>
    <s v="New Orleans"/>
    <s v="Outlet"/>
    <x v="4"/>
    <n v="73"/>
    <n v="255"/>
    <n v="18615"/>
    <n v="9865.9500000000007"/>
  </r>
  <r>
    <x v="5"/>
    <n v="1185732"/>
    <x v="228"/>
    <x v="2"/>
    <s v="Mississippi"/>
    <s v="Jackson"/>
    <s v="Online"/>
    <x v="0"/>
    <n v="50"/>
    <n v="168"/>
    <n v="8400"/>
    <n v="4368"/>
  </r>
  <r>
    <x v="0"/>
    <n v="1128299"/>
    <x v="228"/>
    <x v="2"/>
    <s v="Louisiana"/>
    <s v="New Orleans"/>
    <s v="Online"/>
    <x v="2"/>
    <n v="63"/>
    <n v="90"/>
    <n v="5670"/>
    <n v="2891.7000000000003"/>
  </r>
  <r>
    <x v="5"/>
    <n v="1128299"/>
    <x v="228"/>
    <x v="3"/>
    <s v="Florida"/>
    <s v="Orlando"/>
    <s v="Outlet"/>
    <x v="2"/>
    <n v="60"/>
    <n v="96"/>
    <n v="5760"/>
    <n v="2937.6"/>
  </r>
  <r>
    <x v="0"/>
    <n v="1128299"/>
    <x v="228"/>
    <x v="2"/>
    <s v="Louisiana"/>
    <s v="New Orleans"/>
    <s v="Outlet"/>
    <x v="1"/>
    <n v="47"/>
    <n v="152"/>
    <n v="7144"/>
    <n v="3643.44"/>
  </r>
  <r>
    <x v="3"/>
    <n v="1197831"/>
    <x v="228"/>
    <x v="2"/>
    <s v="Alabama"/>
    <s v="Birmingham"/>
    <s v="Online"/>
    <x v="1"/>
    <n v="37"/>
    <n v="73"/>
    <n v="2701"/>
    <n v="1350.5"/>
  </r>
  <r>
    <x v="0"/>
    <n v="1128299"/>
    <x v="228"/>
    <x v="2"/>
    <s v="Louisiana"/>
    <s v="New Orleans"/>
    <s v="Online"/>
    <x v="4"/>
    <n v="86"/>
    <n v="255"/>
    <n v="21930"/>
    <n v="10745.699999999999"/>
  </r>
  <r>
    <x v="0"/>
    <n v="1128299"/>
    <x v="228"/>
    <x v="2"/>
    <s v="Louisiana"/>
    <s v="New Orleans"/>
    <s v="Online"/>
    <x v="0"/>
    <n v="77"/>
    <n v="239"/>
    <n v="18403"/>
    <n v="9017.4699999999993"/>
  </r>
  <r>
    <x v="0"/>
    <n v="1185732"/>
    <x v="228"/>
    <x v="4"/>
    <s v="West Virginia"/>
    <s v="Charleston"/>
    <s v="Online"/>
    <x v="5"/>
    <n v="36"/>
    <n v="72"/>
    <n v="2592"/>
    <n v="1270.08"/>
  </r>
  <r>
    <x v="5"/>
    <n v="1185732"/>
    <x v="228"/>
    <x v="2"/>
    <s v="Mississippi"/>
    <s v="Jackson"/>
    <s v="Online"/>
    <x v="3"/>
    <n v="48"/>
    <n v="147"/>
    <n v="7056"/>
    <n v="3386.8799999999997"/>
  </r>
  <r>
    <x v="5"/>
    <n v="1185732"/>
    <x v="228"/>
    <x v="2"/>
    <s v="Mississippi"/>
    <s v="Jackson"/>
    <s v="Online"/>
    <x v="5"/>
    <n v="39"/>
    <n v="128"/>
    <n v="4992"/>
    <n v="2396.16"/>
  </r>
  <r>
    <x v="0"/>
    <n v="1185732"/>
    <x v="228"/>
    <x v="4"/>
    <s v="West Virginia"/>
    <s v="Charleston"/>
    <s v="Online"/>
    <x v="4"/>
    <n v="46"/>
    <n v="131"/>
    <n v="6026"/>
    <n v="2892.48"/>
  </r>
  <r>
    <x v="0"/>
    <n v="1185732"/>
    <x v="228"/>
    <x v="4"/>
    <s v="West Virginia"/>
    <s v="Charleston"/>
    <s v="Online"/>
    <x v="3"/>
    <n v="38"/>
    <n v="87"/>
    <n v="3306"/>
    <n v="1586.8799999999999"/>
  </r>
  <r>
    <x v="0"/>
    <n v="1128299"/>
    <x v="228"/>
    <x v="2"/>
    <s v="Louisiana"/>
    <s v="New Orleans"/>
    <s v="Online"/>
    <x v="5"/>
    <n v="74"/>
    <n v="128"/>
    <n v="9472"/>
    <n v="4451.84"/>
  </r>
  <r>
    <x v="5"/>
    <n v="1185732"/>
    <x v="228"/>
    <x v="2"/>
    <s v="Mississippi"/>
    <s v="Jackson"/>
    <s v="Online"/>
    <x v="4"/>
    <n v="56"/>
    <n v="215"/>
    <n v="12040"/>
    <n v="5538.4"/>
  </r>
  <r>
    <x v="0"/>
    <n v="1185732"/>
    <x v="228"/>
    <x v="4"/>
    <s v="West Virginia"/>
    <s v="Charleston"/>
    <s v="Online"/>
    <x v="1"/>
    <n v="49"/>
    <n v="68"/>
    <n v="3332"/>
    <n v="1532.7199999999998"/>
  </r>
  <r>
    <x v="0"/>
    <n v="1185732"/>
    <x v="228"/>
    <x v="4"/>
    <s v="West Virginia"/>
    <s v="Charleston"/>
    <s v="Online"/>
    <x v="2"/>
    <n v="54"/>
    <n v="115"/>
    <n v="6210"/>
    <n v="2856.6"/>
  </r>
  <r>
    <x v="0"/>
    <n v="1128299"/>
    <x v="228"/>
    <x v="2"/>
    <s v="Louisiana"/>
    <s v="New Orleans"/>
    <s v="Online"/>
    <x v="3"/>
    <n v="70"/>
    <n v="189"/>
    <n v="13230"/>
    <n v="5953.5000000000009"/>
  </r>
  <r>
    <x v="0"/>
    <n v="1185732"/>
    <x v="228"/>
    <x v="4"/>
    <s v="West Virginia"/>
    <s v="Charleston"/>
    <s v="Online"/>
    <x v="0"/>
    <n v="42"/>
    <n v="90"/>
    <n v="3780"/>
    <n v="1701"/>
  </r>
  <r>
    <x v="5"/>
    <n v="1185732"/>
    <x v="228"/>
    <x v="2"/>
    <s v="Mississippi"/>
    <s v="Jackson"/>
    <s v="Outlet"/>
    <x v="2"/>
    <n v="42"/>
    <n v="206"/>
    <n v="8652"/>
    <n v="3893.3999999999996"/>
  </r>
  <r>
    <x v="5"/>
    <n v="1128299"/>
    <x v="228"/>
    <x v="3"/>
    <s v="Florida"/>
    <s v="Orlando"/>
    <s v="Online"/>
    <x v="2"/>
    <n v="81"/>
    <n v="87"/>
    <n v="7047"/>
    <n v="2959.7399999999993"/>
  </r>
  <r>
    <x v="0"/>
    <n v="1128299"/>
    <x v="228"/>
    <x v="2"/>
    <s v="Louisiana"/>
    <s v="New Orleans"/>
    <s v="Online"/>
    <x v="1"/>
    <n v="64"/>
    <n v="138"/>
    <n v="8832"/>
    <n v="3621.119999999999"/>
  </r>
  <r>
    <x v="5"/>
    <n v="1185732"/>
    <x v="228"/>
    <x v="2"/>
    <s v="Mississippi"/>
    <s v="Jackson"/>
    <s v="Online"/>
    <x v="2"/>
    <n v="53"/>
    <n v="169"/>
    <n v="8957"/>
    <n v="3134.95"/>
  </r>
  <r>
    <x v="4"/>
    <n v="1185732"/>
    <x v="229"/>
    <x v="4"/>
    <s v="New Hampshire"/>
    <s v="Manchester"/>
    <s v="Outlet"/>
    <x v="5"/>
    <n v="55.000000000000007"/>
    <n v="275"/>
    <n v="15125.000000000002"/>
    <n v="10587.500000000004"/>
  </r>
  <r>
    <x v="3"/>
    <n v="1197831"/>
    <x v="229"/>
    <x v="2"/>
    <s v="Texas"/>
    <s v="Dallas"/>
    <s v="Outlet"/>
    <x v="0"/>
    <n v="35"/>
    <n v="650"/>
    <n v="22750"/>
    <n v="15925"/>
  </r>
  <r>
    <x v="4"/>
    <n v="1185732"/>
    <x v="229"/>
    <x v="4"/>
    <s v="New Hampshire"/>
    <s v="Manchester"/>
    <s v="Outlet"/>
    <x v="3"/>
    <n v="55.000000000000007"/>
    <n v="375"/>
    <n v="20625.000000000004"/>
    <n v="14437.500000000004"/>
  </r>
  <r>
    <x v="4"/>
    <n v="1185732"/>
    <x v="229"/>
    <x v="4"/>
    <s v="New Hampshire"/>
    <s v="Manchester"/>
    <s v="Outlet"/>
    <x v="1"/>
    <n v="65"/>
    <n v="250"/>
    <n v="16250"/>
    <n v="11375"/>
  </r>
  <r>
    <x v="2"/>
    <n v="1185732"/>
    <x v="229"/>
    <x v="1"/>
    <s v="Missouri"/>
    <s v="St. Louis"/>
    <s v="In-store"/>
    <x v="0"/>
    <n v="40.000000000000007"/>
    <n v="475"/>
    <n v="19000.000000000004"/>
    <n v="12350.000000000004"/>
  </r>
  <r>
    <x v="2"/>
    <n v="1185732"/>
    <x v="229"/>
    <x v="1"/>
    <s v="Missouri"/>
    <s v="St. Louis"/>
    <s v="In-store"/>
    <x v="3"/>
    <n v="35"/>
    <n v="400"/>
    <n v="14000"/>
    <n v="9100"/>
  </r>
  <r>
    <x v="2"/>
    <n v="1185732"/>
    <x v="229"/>
    <x v="1"/>
    <s v="Missouri"/>
    <s v="St. Louis"/>
    <s v="In-store"/>
    <x v="1"/>
    <n v="35"/>
    <n v="300"/>
    <n v="10500"/>
    <n v="6825"/>
  </r>
  <r>
    <x v="4"/>
    <n v="1185732"/>
    <x v="229"/>
    <x v="4"/>
    <s v="New Hampshire"/>
    <s v="Manchester"/>
    <s v="Outlet"/>
    <x v="2"/>
    <n v="70"/>
    <n v="425"/>
    <n v="29750"/>
    <n v="19337.5"/>
  </r>
  <r>
    <x v="2"/>
    <n v="1185732"/>
    <x v="229"/>
    <x v="1"/>
    <s v="Missouri"/>
    <s v="St. Louis"/>
    <s v="In-store"/>
    <x v="4"/>
    <n v="40"/>
    <n v="700"/>
    <n v="28000"/>
    <n v="16800"/>
  </r>
  <r>
    <x v="2"/>
    <n v="1185732"/>
    <x v="229"/>
    <x v="1"/>
    <s v="Missouri"/>
    <s v="St. Louis"/>
    <s v="In-store"/>
    <x v="5"/>
    <n v="25.000000000000007"/>
    <n v="325"/>
    <n v="8125.0000000000027"/>
    <n v="4875.0000000000018"/>
  </r>
  <r>
    <x v="4"/>
    <n v="1185732"/>
    <x v="229"/>
    <x v="4"/>
    <s v="New Hampshire"/>
    <s v="Manchester"/>
    <s v="Outlet"/>
    <x v="4"/>
    <n v="65"/>
    <n v="675"/>
    <n v="43875"/>
    <n v="26325"/>
  </r>
  <r>
    <x v="4"/>
    <n v="1185732"/>
    <x v="229"/>
    <x v="4"/>
    <s v="New Hampshire"/>
    <s v="Manchester"/>
    <s v="Outlet"/>
    <x v="0"/>
    <n v="60.000000000000007"/>
    <n v="450"/>
    <n v="27000.000000000004"/>
    <n v="16200.000000000004"/>
  </r>
  <r>
    <x v="2"/>
    <n v="1185732"/>
    <x v="229"/>
    <x v="1"/>
    <s v="Missouri"/>
    <s v="St. Louis"/>
    <s v="In-store"/>
    <x v="2"/>
    <n v="40"/>
    <n v="475"/>
    <n v="19000"/>
    <n v="9500"/>
  </r>
  <r>
    <x v="3"/>
    <n v="1197831"/>
    <x v="229"/>
    <x v="2"/>
    <s v="Alabama"/>
    <s v="Birmingham"/>
    <s v="Outlet"/>
    <x v="2"/>
    <n v="35"/>
    <n v="400"/>
    <n v="14000"/>
    <n v="5599.9999999999982"/>
  </r>
  <r>
    <x v="4"/>
    <n v="1185732"/>
    <x v="229"/>
    <x v="4"/>
    <s v="New Hampshire"/>
    <s v="Manchester"/>
    <s v="Outlet"/>
    <x v="5"/>
    <n v="42"/>
    <n v="88"/>
    <n v="3696"/>
    <n v="2513.2799999999997"/>
  </r>
  <r>
    <x v="4"/>
    <n v="1185732"/>
    <x v="229"/>
    <x v="4"/>
    <s v="New Hampshire"/>
    <s v="Manchester"/>
    <s v="Outlet"/>
    <x v="1"/>
    <n v="45"/>
    <n v="80"/>
    <n v="3600"/>
    <n v="2412"/>
  </r>
  <r>
    <x v="4"/>
    <n v="1185732"/>
    <x v="229"/>
    <x v="4"/>
    <s v="New Hampshire"/>
    <s v="Manchester"/>
    <s v="Outlet"/>
    <x v="3"/>
    <n v="39"/>
    <n v="113"/>
    <n v="4407"/>
    <n v="2864.55"/>
  </r>
  <r>
    <x v="3"/>
    <n v="1197831"/>
    <x v="229"/>
    <x v="2"/>
    <s v="Texas"/>
    <s v="Dallas"/>
    <s v="Outlet"/>
    <x v="0"/>
    <n v="23"/>
    <n v="215"/>
    <n v="4945"/>
    <n v="3164.8"/>
  </r>
  <r>
    <x v="4"/>
    <n v="1185732"/>
    <x v="229"/>
    <x v="4"/>
    <s v="New Hampshire"/>
    <s v="Manchester"/>
    <s v="Outlet"/>
    <x v="2"/>
    <n v="46"/>
    <n v="145"/>
    <n v="6670"/>
    <n v="4202.1000000000004"/>
  </r>
  <r>
    <x v="3"/>
    <n v="1197831"/>
    <x v="229"/>
    <x v="2"/>
    <s v="Texas"/>
    <s v="Dallas"/>
    <s v="Online"/>
    <x v="0"/>
    <n v="32"/>
    <n v="163"/>
    <n v="5216"/>
    <n v="3129.6"/>
  </r>
  <r>
    <x v="4"/>
    <n v="1185732"/>
    <x v="229"/>
    <x v="4"/>
    <s v="New Hampshire"/>
    <s v="Manchester"/>
    <s v="Online"/>
    <x v="5"/>
    <n v="51"/>
    <n v="72"/>
    <n v="3672"/>
    <n v="2129.7600000000002"/>
  </r>
  <r>
    <x v="4"/>
    <n v="1185732"/>
    <x v="229"/>
    <x v="4"/>
    <s v="New Hampshire"/>
    <s v="Manchester"/>
    <s v="Online"/>
    <x v="3"/>
    <n v="52"/>
    <n v="105"/>
    <n v="5460"/>
    <n v="3003.0000000000005"/>
  </r>
  <r>
    <x v="4"/>
    <n v="1185732"/>
    <x v="229"/>
    <x v="4"/>
    <s v="New Hampshire"/>
    <s v="Manchester"/>
    <s v="Online"/>
    <x v="1"/>
    <n v="59"/>
    <n v="73"/>
    <n v="4307"/>
    <n v="2368.8500000000004"/>
  </r>
  <r>
    <x v="2"/>
    <n v="1185732"/>
    <x v="229"/>
    <x v="1"/>
    <s v="Missouri"/>
    <s v="St. Louis"/>
    <s v="Online"/>
    <x v="3"/>
    <n v="32"/>
    <n v="120"/>
    <n v="3840"/>
    <n v="2073.6000000000004"/>
  </r>
  <r>
    <x v="2"/>
    <n v="1185732"/>
    <x v="229"/>
    <x v="1"/>
    <s v="Missouri"/>
    <s v="St. Louis"/>
    <s v="Online"/>
    <x v="0"/>
    <n v="38"/>
    <n v="143"/>
    <n v="5434"/>
    <n v="2934.36"/>
  </r>
  <r>
    <x v="4"/>
    <n v="1185732"/>
    <x v="229"/>
    <x v="4"/>
    <s v="New Hampshire"/>
    <s v="Manchester"/>
    <s v="Outlet"/>
    <x v="4"/>
    <n v="48"/>
    <n v="203"/>
    <n v="9744"/>
    <n v="5261.76"/>
  </r>
  <r>
    <x v="2"/>
    <n v="1185732"/>
    <x v="229"/>
    <x v="1"/>
    <s v="Missouri"/>
    <s v="St. Louis"/>
    <s v="Online"/>
    <x v="1"/>
    <n v="34"/>
    <n v="81"/>
    <n v="2754"/>
    <n v="1459.6200000000001"/>
  </r>
  <r>
    <x v="4"/>
    <n v="1185732"/>
    <x v="229"/>
    <x v="4"/>
    <s v="New Hampshire"/>
    <s v="Manchester"/>
    <s v="Online"/>
    <x v="2"/>
    <n v="64"/>
    <n v="106"/>
    <n v="6784"/>
    <n v="3595.52"/>
  </r>
  <r>
    <x v="4"/>
    <n v="1185732"/>
    <x v="229"/>
    <x v="4"/>
    <s v="New Hampshire"/>
    <s v="Manchester"/>
    <s v="Outlet"/>
    <x v="0"/>
    <n v="39"/>
    <n v="135"/>
    <n v="5265"/>
    <n v="2790.45"/>
  </r>
  <r>
    <x v="2"/>
    <n v="1185732"/>
    <x v="229"/>
    <x v="1"/>
    <s v="Missouri"/>
    <s v="St. Louis"/>
    <s v="Online"/>
    <x v="4"/>
    <n v="38"/>
    <n v="203"/>
    <n v="7714"/>
    <n v="3857"/>
  </r>
  <r>
    <x v="4"/>
    <n v="1185732"/>
    <x v="229"/>
    <x v="4"/>
    <s v="New Hampshire"/>
    <s v="Manchester"/>
    <s v="Online"/>
    <x v="4"/>
    <n v="60"/>
    <n v="196"/>
    <n v="11760"/>
    <n v="5762.4"/>
  </r>
  <r>
    <x v="4"/>
    <n v="1185732"/>
    <x v="229"/>
    <x v="4"/>
    <s v="New Hampshire"/>
    <s v="Manchester"/>
    <s v="Online"/>
    <x v="0"/>
    <n v="58"/>
    <n v="135"/>
    <n v="7830"/>
    <n v="3601.7999999999993"/>
  </r>
  <r>
    <x v="2"/>
    <n v="1185732"/>
    <x v="229"/>
    <x v="1"/>
    <s v="Missouri"/>
    <s v="St. Louis"/>
    <s v="Online"/>
    <x v="5"/>
    <n v="24"/>
    <n v="91"/>
    <n v="2184"/>
    <n v="982.8"/>
  </r>
  <r>
    <x v="2"/>
    <n v="1185732"/>
    <x v="229"/>
    <x v="1"/>
    <s v="Missouri"/>
    <s v="St. Louis"/>
    <s v="Online"/>
    <x v="2"/>
    <n v="36"/>
    <n v="128"/>
    <n v="4608"/>
    <n v="1612.7999999999997"/>
  </r>
  <r>
    <x v="3"/>
    <n v="1197831"/>
    <x v="229"/>
    <x v="2"/>
    <s v="Alabama"/>
    <s v="Birmingham"/>
    <s v="Outlet"/>
    <x v="2"/>
    <n v="26"/>
    <n v="120"/>
    <n v="3120"/>
    <n v="1060.7999999999997"/>
  </r>
  <r>
    <x v="3"/>
    <n v="1197831"/>
    <x v="229"/>
    <x v="2"/>
    <s v="Alabama"/>
    <s v="Birmingham"/>
    <s v="Online"/>
    <x v="2"/>
    <n v="34"/>
    <n v="104"/>
    <n v="3536"/>
    <n v="883.99999999999955"/>
  </r>
  <r>
    <x v="3"/>
    <n v="1197831"/>
    <x v="230"/>
    <x v="2"/>
    <s v="Texas"/>
    <s v="Dallas"/>
    <s v="Outlet"/>
    <x v="3"/>
    <n v="35"/>
    <n v="475"/>
    <n v="16625"/>
    <n v="11637.5"/>
  </r>
  <r>
    <x v="3"/>
    <n v="1197831"/>
    <x v="230"/>
    <x v="2"/>
    <s v="Alabama"/>
    <s v="Birmingham"/>
    <s v="Outlet"/>
    <x v="4"/>
    <n v="20"/>
    <n v="650"/>
    <n v="13000"/>
    <n v="7150"/>
  </r>
  <r>
    <x v="3"/>
    <n v="1197831"/>
    <x v="230"/>
    <x v="2"/>
    <s v="Texas"/>
    <s v="Dallas"/>
    <s v="Outlet"/>
    <x v="3"/>
    <n v="27"/>
    <n v="143"/>
    <n v="3861"/>
    <n v="2509.65"/>
  </r>
  <r>
    <x v="3"/>
    <n v="1197831"/>
    <x v="230"/>
    <x v="2"/>
    <s v="Texas"/>
    <s v="Dallas"/>
    <s v="Online"/>
    <x v="3"/>
    <n v="34"/>
    <n v="119"/>
    <n v="4046"/>
    <n v="2306.2200000000003"/>
  </r>
  <r>
    <x v="3"/>
    <n v="1197831"/>
    <x v="230"/>
    <x v="2"/>
    <s v="Alabama"/>
    <s v="Birmingham"/>
    <s v="Outlet"/>
    <x v="4"/>
    <n v="15"/>
    <n v="215"/>
    <n v="3225"/>
    <n v="1548"/>
  </r>
  <r>
    <x v="3"/>
    <n v="1197831"/>
    <x v="230"/>
    <x v="2"/>
    <s v="Alabama"/>
    <s v="Birmingham"/>
    <s v="Online"/>
    <x v="4"/>
    <n v="19"/>
    <n v="195"/>
    <n v="3705"/>
    <n v="1556.1000000000004"/>
  </r>
  <r>
    <x v="5"/>
    <n v="1197831"/>
    <x v="231"/>
    <x v="2"/>
    <s v="Arkansas"/>
    <s v="Little Rock"/>
    <s v="Online"/>
    <x v="0"/>
    <n v="55.000000000000007"/>
    <n v="525"/>
    <n v="28875.000000000004"/>
    <n v="18768.750000000007"/>
  </r>
  <r>
    <x v="5"/>
    <n v="1197831"/>
    <x v="231"/>
    <x v="2"/>
    <s v="Arkansas"/>
    <s v="Little Rock"/>
    <s v="Online"/>
    <x v="1"/>
    <n v="50"/>
    <n v="375"/>
    <n v="18750"/>
    <n v="12187.5"/>
  </r>
  <r>
    <x v="0"/>
    <n v="1197831"/>
    <x v="231"/>
    <x v="2"/>
    <s v="Oklahoma"/>
    <s v="Oklahoma City"/>
    <s v="Online"/>
    <x v="0"/>
    <n v="55.000000000000007"/>
    <n v="450"/>
    <n v="24750.000000000004"/>
    <n v="16087.500000000004"/>
  </r>
  <r>
    <x v="0"/>
    <n v="1197831"/>
    <x v="231"/>
    <x v="2"/>
    <s v="Oklahoma"/>
    <s v="Oklahoma City"/>
    <s v="Online"/>
    <x v="1"/>
    <n v="50"/>
    <n v="300"/>
    <n v="15000"/>
    <n v="9750"/>
  </r>
  <r>
    <x v="3"/>
    <n v="1197831"/>
    <x v="231"/>
    <x v="2"/>
    <s v="Texas"/>
    <s v="Dallas"/>
    <s v="Outlet"/>
    <x v="5"/>
    <n v="35"/>
    <n v="425"/>
    <n v="14875"/>
    <n v="8925"/>
  </r>
  <r>
    <x v="5"/>
    <n v="1197831"/>
    <x v="231"/>
    <x v="2"/>
    <s v="Arkansas"/>
    <s v="Little Rock"/>
    <s v="Online"/>
    <x v="4"/>
    <n v="60"/>
    <n v="750"/>
    <n v="45000"/>
    <n v="27000"/>
  </r>
  <r>
    <x v="5"/>
    <n v="1197831"/>
    <x v="231"/>
    <x v="2"/>
    <s v="Arkansas"/>
    <s v="Little Rock"/>
    <s v="Online"/>
    <x v="3"/>
    <n v="50"/>
    <n v="450"/>
    <n v="22500"/>
    <n v="13500"/>
  </r>
  <r>
    <x v="5"/>
    <n v="1197831"/>
    <x v="231"/>
    <x v="2"/>
    <s v="Arkansas"/>
    <s v="Little Rock"/>
    <s v="Online"/>
    <x v="5"/>
    <n v="40"/>
    <n v="400"/>
    <n v="16000"/>
    <n v="9600"/>
  </r>
  <r>
    <x v="5"/>
    <n v="1197831"/>
    <x v="231"/>
    <x v="2"/>
    <s v="Arkansas"/>
    <s v="Little Rock"/>
    <s v="Online"/>
    <x v="2"/>
    <n v="55.000000000000007"/>
    <n v="550"/>
    <n v="30250.000000000004"/>
    <n v="18150.000000000004"/>
  </r>
  <r>
    <x v="0"/>
    <n v="1197831"/>
    <x v="231"/>
    <x v="2"/>
    <s v="Oklahoma"/>
    <s v="Oklahoma City"/>
    <s v="Online"/>
    <x v="4"/>
    <n v="60"/>
    <n v="675"/>
    <n v="40500"/>
    <n v="24300"/>
  </r>
  <r>
    <x v="0"/>
    <n v="1197831"/>
    <x v="231"/>
    <x v="2"/>
    <s v="Oklahoma"/>
    <s v="Oklahoma City"/>
    <s v="Online"/>
    <x v="3"/>
    <n v="50"/>
    <n v="375"/>
    <n v="18750"/>
    <n v="11250"/>
  </r>
  <r>
    <x v="0"/>
    <n v="1197831"/>
    <x v="231"/>
    <x v="2"/>
    <s v="Oklahoma"/>
    <s v="Oklahoma City"/>
    <s v="Online"/>
    <x v="5"/>
    <n v="40"/>
    <n v="325"/>
    <n v="13000"/>
    <n v="7800"/>
  </r>
  <r>
    <x v="0"/>
    <n v="1197831"/>
    <x v="231"/>
    <x v="2"/>
    <s v="Oklahoma"/>
    <s v="Oklahoma City"/>
    <s v="Online"/>
    <x v="2"/>
    <n v="55.000000000000007"/>
    <n v="475"/>
    <n v="26125.000000000004"/>
    <n v="15675"/>
  </r>
  <r>
    <x v="3"/>
    <n v="1197831"/>
    <x v="231"/>
    <x v="2"/>
    <s v="Alabama"/>
    <s v="Birmingham"/>
    <s v="Outlet"/>
    <x v="0"/>
    <n v="20.000000000000007"/>
    <n v="650"/>
    <n v="13000.000000000005"/>
    <n v="7150.0000000000027"/>
  </r>
  <r>
    <x v="5"/>
    <n v="1197831"/>
    <x v="231"/>
    <x v="2"/>
    <s v="Arkansas"/>
    <s v="Little Rock"/>
    <s v="Outlet"/>
    <x v="1"/>
    <n v="40"/>
    <n v="113"/>
    <n v="4520"/>
    <n v="2847.6"/>
  </r>
  <r>
    <x v="0"/>
    <n v="1197831"/>
    <x v="231"/>
    <x v="2"/>
    <s v="Oklahoma"/>
    <s v="Oklahoma City"/>
    <s v="Outlet"/>
    <x v="1"/>
    <n v="40"/>
    <n v="105"/>
    <n v="4200"/>
    <n v="2646"/>
  </r>
  <r>
    <x v="5"/>
    <n v="1197831"/>
    <x v="231"/>
    <x v="2"/>
    <s v="Arkansas"/>
    <s v="Little Rock"/>
    <s v="Outlet"/>
    <x v="0"/>
    <n v="42"/>
    <n v="163"/>
    <n v="6846"/>
    <n v="4176.0600000000004"/>
  </r>
  <r>
    <x v="0"/>
    <n v="1197831"/>
    <x v="231"/>
    <x v="2"/>
    <s v="Oklahoma"/>
    <s v="Oklahoma City"/>
    <s v="Outlet"/>
    <x v="0"/>
    <n v="37"/>
    <n v="140"/>
    <n v="5180"/>
    <n v="3004.4"/>
  </r>
  <r>
    <x v="0"/>
    <n v="1197831"/>
    <x v="231"/>
    <x v="2"/>
    <s v="Oklahoma"/>
    <s v="Oklahoma City"/>
    <s v="Outlet"/>
    <x v="4"/>
    <n v="41"/>
    <n v="230"/>
    <n v="9430"/>
    <n v="5469.4"/>
  </r>
  <r>
    <x v="0"/>
    <n v="1197831"/>
    <x v="231"/>
    <x v="2"/>
    <s v="Oklahoma"/>
    <s v="Oklahoma City"/>
    <s v="Outlet"/>
    <x v="5"/>
    <n v="32"/>
    <n v="111"/>
    <n v="3552"/>
    <n v="2060.16"/>
  </r>
  <r>
    <x v="5"/>
    <n v="1197831"/>
    <x v="231"/>
    <x v="2"/>
    <s v="Arkansas"/>
    <s v="Little Rock"/>
    <s v="Outlet"/>
    <x v="3"/>
    <n v="40"/>
    <n v="135"/>
    <n v="5400"/>
    <n v="3024"/>
  </r>
  <r>
    <x v="0"/>
    <n v="1197831"/>
    <x v="231"/>
    <x v="2"/>
    <s v="Oklahoma"/>
    <s v="Oklahoma City"/>
    <s v="Online"/>
    <x v="1"/>
    <n v="47"/>
    <n v="81"/>
    <n v="3807"/>
    <n v="2093.8500000000004"/>
  </r>
  <r>
    <x v="5"/>
    <n v="1197831"/>
    <x v="231"/>
    <x v="2"/>
    <s v="Arkansas"/>
    <s v="Little Rock"/>
    <s v="Outlet"/>
    <x v="4"/>
    <n v="43"/>
    <n v="233"/>
    <n v="10019"/>
    <n v="5510.45"/>
  </r>
  <r>
    <x v="3"/>
    <n v="1197831"/>
    <x v="231"/>
    <x v="2"/>
    <s v="Texas"/>
    <s v="Dallas"/>
    <s v="Outlet"/>
    <x v="5"/>
    <n v="28"/>
    <n v="136"/>
    <n v="3808"/>
    <n v="2094.3999999999996"/>
  </r>
  <r>
    <x v="5"/>
    <n v="1197831"/>
    <x v="231"/>
    <x v="2"/>
    <s v="Arkansas"/>
    <s v="Little Rock"/>
    <s v="Outlet"/>
    <x v="5"/>
    <n v="29"/>
    <n v="132"/>
    <n v="3828"/>
    <n v="2105.3999999999996"/>
  </r>
  <r>
    <x v="0"/>
    <n v="1197831"/>
    <x v="231"/>
    <x v="2"/>
    <s v="Oklahoma"/>
    <s v="Oklahoma City"/>
    <s v="Online"/>
    <x v="0"/>
    <n v="51"/>
    <n v="113"/>
    <n v="5763"/>
    <n v="3054.3900000000003"/>
  </r>
  <r>
    <x v="3"/>
    <n v="1197831"/>
    <x v="231"/>
    <x v="2"/>
    <s v="Alabama"/>
    <s v="Birmingham"/>
    <s v="Outlet"/>
    <x v="0"/>
    <n v="16"/>
    <n v="202"/>
    <n v="3232"/>
    <n v="1712.96"/>
  </r>
  <r>
    <x v="5"/>
    <n v="1197831"/>
    <x v="231"/>
    <x v="2"/>
    <s v="Arkansas"/>
    <s v="Little Rock"/>
    <s v="Outlet"/>
    <x v="2"/>
    <n v="40"/>
    <n v="193"/>
    <n v="7720"/>
    <n v="4091.6"/>
  </r>
  <r>
    <x v="0"/>
    <n v="1197831"/>
    <x v="231"/>
    <x v="2"/>
    <s v="Oklahoma"/>
    <s v="Oklahoma City"/>
    <s v="Outlet"/>
    <x v="2"/>
    <n v="40"/>
    <n v="166"/>
    <n v="6640"/>
    <n v="3519.2"/>
  </r>
  <r>
    <x v="0"/>
    <n v="1197831"/>
    <x v="231"/>
    <x v="2"/>
    <s v="Oklahoma"/>
    <s v="Oklahoma City"/>
    <s v="Outlet"/>
    <x v="3"/>
    <n v="38"/>
    <n v="113"/>
    <n v="4294"/>
    <n v="2275.8199999999997"/>
  </r>
  <r>
    <x v="5"/>
    <n v="1197831"/>
    <x v="231"/>
    <x v="2"/>
    <s v="Arkansas"/>
    <s v="Little Rock"/>
    <s v="Online"/>
    <x v="0"/>
    <n v="50"/>
    <n v="152"/>
    <n v="7600"/>
    <n v="3952"/>
  </r>
  <r>
    <x v="5"/>
    <n v="1197831"/>
    <x v="231"/>
    <x v="2"/>
    <s v="Arkansas"/>
    <s v="Little Rock"/>
    <s v="Online"/>
    <x v="1"/>
    <n v="48"/>
    <n v="113"/>
    <n v="5424"/>
    <n v="2766.2400000000002"/>
  </r>
  <r>
    <x v="5"/>
    <n v="1197831"/>
    <x v="231"/>
    <x v="2"/>
    <s v="Arkansas"/>
    <s v="Little Rock"/>
    <s v="Online"/>
    <x v="5"/>
    <n v="39"/>
    <n v="104"/>
    <n v="4056"/>
    <n v="2028"/>
  </r>
  <r>
    <x v="0"/>
    <n v="1197831"/>
    <x v="231"/>
    <x v="2"/>
    <s v="Oklahoma"/>
    <s v="Oklahoma City"/>
    <s v="Online"/>
    <x v="4"/>
    <n v="56"/>
    <n v="189"/>
    <n v="10584"/>
    <n v="5186.16"/>
  </r>
  <r>
    <x v="5"/>
    <n v="1197831"/>
    <x v="231"/>
    <x v="2"/>
    <s v="Arkansas"/>
    <s v="Little Rock"/>
    <s v="Online"/>
    <x v="3"/>
    <n v="47"/>
    <n v="126"/>
    <n v="5922"/>
    <n v="2842.56"/>
  </r>
  <r>
    <x v="5"/>
    <n v="1197831"/>
    <x v="231"/>
    <x v="2"/>
    <s v="Arkansas"/>
    <s v="Little Rock"/>
    <s v="Online"/>
    <x v="2"/>
    <n v="50"/>
    <n v="143"/>
    <n v="7150"/>
    <n v="3432"/>
  </r>
  <r>
    <x v="0"/>
    <n v="1197831"/>
    <x v="231"/>
    <x v="2"/>
    <s v="Oklahoma"/>
    <s v="Oklahoma City"/>
    <s v="Online"/>
    <x v="5"/>
    <n v="37"/>
    <n v="88"/>
    <n v="3256"/>
    <n v="1562.8799999999999"/>
  </r>
  <r>
    <x v="0"/>
    <n v="1197831"/>
    <x v="231"/>
    <x v="2"/>
    <s v="Oklahoma"/>
    <s v="Oklahoma City"/>
    <s v="Online"/>
    <x v="2"/>
    <n v="50"/>
    <n v="124"/>
    <n v="6200"/>
    <n v="2976"/>
  </r>
  <r>
    <x v="3"/>
    <n v="1197831"/>
    <x v="231"/>
    <x v="2"/>
    <s v="Texas"/>
    <s v="Dallas"/>
    <s v="Online"/>
    <x v="5"/>
    <n v="32"/>
    <n v="128"/>
    <n v="4096"/>
    <n v="1925.12"/>
  </r>
  <r>
    <x v="0"/>
    <n v="1197831"/>
    <x v="231"/>
    <x v="2"/>
    <s v="Oklahoma"/>
    <s v="Oklahoma City"/>
    <s v="Online"/>
    <x v="3"/>
    <n v="47"/>
    <n v="113"/>
    <n v="5311"/>
    <n v="2496.17"/>
  </r>
  <r>
    <x v="5"/>
    <n v="1197831"/>
    <x v="231"/>
    <x v="2"/>
    <s v="Arkansas"/>
    <s v="Little Rock"/>
    <s v="Online"/>
    <x v="4"/>
    <n v="55"/>
    <n v="210"/>
    <n v="11550"/>
    <n v="5313"/>
  </r>
  <r>
    <x v="3"/>
    <n v="1197831"/>
    <x v="231"/>
    <x v="2"/>
    <s v="Alabama"/>
    <s v="Birmingham"/>
    <s v="Online"/>
    <x v="0"/>
    <n v="19"/>
    <n v="189"/>
    <n v="3591"/>
    <n v="1508.2200000000003"/>
  </r>
  <r>
    <x v="4"/>
    <n v="1185732"/>
    <x v="232"/>
    <x v="0"/>
    <s v="Alaska"/>
    <s v="Anchorage"/>
    <s v="Outlet"/>
    <x v="5"/>
    <n v="55.000000000000007"/>
    <n v="250"/>
    <n v="13750.000000000002"/>
    <n v="10312.500000000004"/>
  </r>
  <r>
    <x v="3"/>
    <n v="1197831"/>
    <x v="232"/>
    <x v="2"/>
    <s v="Texas"/>
    <s v="Dallas"/>
    <s v="Outlet"/>
    <x v="1"/>
    <n v="40"/>
    <n v="300"/>
    <n v="12000"/>
    <n v="9000"/>
  </r>
  <r>
    <x v="4"/>
    <n v="1185732"/>
    <x v="232"/>
    <x v="0"/>
    <s v="Alaska"/>
    <s v="Anchorage"/>
    <s v="Outlet"/>
    <x v="3"/>
    <n v="55.000000000000007"/>
    <n v="350"/>
    <n v="19250.000000000004"/>
    <n v="14437.500000000004"/>
  </r>
  <r>
    <x v="4"/>
    <n v="1185732"/>
    <x v="232"/>
    <x v="0"/>
    <s v="Alaska"/>
    <s v="Anchorage"/>
    <s v="Outlet"/>
    <x v="1"/>
    <n v="65"/>
    <n v="225"/>
    <n v="14625"/>
    <n v="10968.75"/>
  </r>
  <r>
    <x v="3"/>
    <n v="1185732"/>
    <x v="232"/>
    <x v="4"/>
    <s v="Maryland"/>
    <s v="Baltimore"/>
    <s v="In-store"/>
    <x v="1"/>
    <n v="49.999999999999993"/>
    <n v="125"/>
    <n v="6249.9999999999991"/>
    <n v="4375"/>
  </r>
  <r>
    <x v="4"/>
    <n v="1185732"/>
    <x v="232"/>
    <x v="0"/>
    <s v="Alaska"/>
    <s v="Anchorage"/>
    <s v="Outlet"/>
    <x v="2"/>
    <n v="70"/>
    <n v="400"/>
    <n v="28000"/>
    <n v="19600"/>
  </r>
  <r>
    <x v="3"/>
    <n v="1185732"/>
    <x v="232"/>
    <x v="4"/>
    <s v="Maryland"/>
    <s v="Baltimore"/>
    <s v="In-store"/>
    <x v="2"/>
    <n v="54.999999999999993"/>
    <n v="300"/>
    <n v="16499.999999999996"/>
    <n v="11549.999999999996"/>
  </r>
  <r>
    <x v="4"/>
    <n v="1185732"/>
    <x v="232"/>
    <x v="0"/>
    <s v="Alaska"/>
    <s v="Anchorage"/>
    <s v="Outlet"/>
    <x v="4"/>
    <n v="65"/>
    <n v="650"/>
    <n v="42250"/>
    <n v="27462.5"/>
  </r>
  <r>
    <x v="3"/>
    <n v="1185732"/>
    <x v="232"/>
    <x v="4"/>
    <s v="Maryland"/>
    <s v="Baltimore"/>
    <s v="In-store"/>
    <x v="0"/>
    <n v="45"/>
    <n v="275"/>
    <n v="12375"/>
    <n v="8043.75"/>
  </r>
  <r>
    <x v="3"/>
    <n v="1185732"/>
    <x v="232"/>
    <x v="4"/>
    <s v="Maryland"/>
    <s v="Baltimore"/>
    <s v="In-store"/>
    <x v="3"/>
    <n v="40"/>
    <n v="200"/>
    <n v="8000"/>
    <n v="5200"/>
  </r>
  <r>
    <x v="3"/>
    <n v="1185732"/>
    <x v="232"/>
    <x v="4"/>
    <s v="Maryland"/>
    <s v="Baltimore"/>
    <s v="In-store"/>
    <x v="5"/>
    <n v="40"/>
    <n v="150"/>
    <n v="6000"/>
    <n v="3900"/>
  </r>
  <r>
    <x v="4"/>
    <n v="1185732"/>
    <x v="232"/>
    <x v="0"/>
    <s v="Alaska"/>
    <s v="Anchorage"/>
    <s v="Outlet"/>
    <x v="0"/>
    <n v="60.000000000000007"/>
    <n v="425"/>
    <n v="25500.000000000004"/>
    <n v="16575"/>
  </r>
  <r>
    <x v="3"/>
    <n v="1185732"/>
    <x v="232"/>
    <x v="4"/>
    <s v="Maryland"/>
    <s v="Baltimore"/>
    <s v="In-store"/>
    <x v="4"/>
    <n v="49.999999999999993"/>
    <n v="500"/>
    <n v="24999.999999999996"/>
    <n v="14999.999999999996"/>
  </r>
  <r>
    <x v="3"/>
    <n v="1197831"/>
    <x v="232"/>
    <x v="2"/>
    <s v="Alabama"/>
    <s v="Birmingham"/>
    <s v="Outlet"/>
    <x v="3"/>
    <n v="14.999999999999996"/>
    <n v="475"/>
    <n v="7124.9999999999982"/>
    <n v="3918.75"/>
  </r>
  <r>
    <x v="3"/>
    <n v="1197831"/>
    <x v="232"/>
    <x v="2"/>
    <s v="Texas"/>
    <s v="Dallas"/>
    <s v="Outlet"/>
    <x v="1"/>
    <n v="26"/>
    <n v="93"/>
    <n v="2418"/>
    <n v="1644.24"/>
  </r>
  <r>
    <x v="3"/>
    <n v="1197831"/>
    <x v="232"/>
    <x v="2"/>
    <s v="Texas"/>
    <s v="Dallas"/>
    <s v="Online"/>
    <x v="1"/>
    <n v="38"/>
    <n v="75"/>
    <n v="2850"/>
    <n v="1852.5"/>
  </r>
  <r>
    <x v="4"/>
    <n v="1185732"/>
    <x v="232"/>
    <x v="0"/>
    <s v="Alaska"/>
    <s v="Anchorage"/>
    <s v="Online"/>
    <x v="3"/>
    <n v="54"/>
    <n v="102"/>
    <n v="5508"/>
    <n v="3525.12"/>
  </r>
  <r>
    <x v="4"/>
    <n v="1185732"/>
    <x v="232"/>
    <x v="0"/>
    <s v="Alaska"/>
    <s v="Anchorage"/>
    <s v="Online"/>
    <x v="1"/>
    <n v="62"/>
    <n v="65"/>
    <n v="4030"/>
    <n v="2498.6"/>
  </r>
  <r>
    <x v="4"/>
    <n v="1185732"/>
    <x v="232"/>
    <x v="0"/>
    <s v="Alaska"/>
    <s v="Anchorage"/>
    <s v="Online"/>
    <x v="5"/>
    <n v="53"/>
    <n v="68"/>
    <n v="3604"/>
    <n v="2162.3999999999996"/>
  </r>
  <r>
    <x v="4"/>
    <n v="1185732"/>
    <x v="232"/>
    <x v="0"/>
    <s v="Alaska"/>
    <s v="Anchorage"/>
    <s v="Online"/>
    <x v="2"/>
    <n v="67"/>
    <n v="104"/>
    <n v="6968"/>
    <n v="4041.44"/>
  </r>
  <r>
    <x v="3"/>
    <n v="1185732"/>
    <x v="232"/>
    <x v="4"/>
    <s v="Maryland"/>
    <s v="Baltimore"/>
    <s v="Online"/>
    <x v="2"/>
    <n v="53"/>
    <n v="81"/>
    <n v="4293"/>
    <n v="2447.0100000000002"/>
  </r>
  <r>
    <x v="3"/>
    <n v="1185732"/>
    <x v="232"/>
    <x v="4"/>
    <s v="Maryland"/>
    <s v="Baltimore"/>
    <s v="Online"/>
    <x v="1"/>
    <n v="47"/>
    <n v="38"/>
    <n v="1786"/>
    <n v="982.30000000000007"/>
  </r>
  <r>
    <x v="4"/>
    <n v="1185732"/>
    <x v="232"/>
    <x v="0"/>
    <s v="Alaska"/>
    <s v="Anchorage"/>
    <s v="Online"/>
    <x v="4"/>
    <n v="59"/>
    <n v="163"/>
    <n v="9617"/>
    <n v="5289.3499999999995"/>
  </r>
  <r>
    <x v="4"/>
    <n v="1185732"/>
    <x v="232"/>
    <x v="0"/>
    <s v="Alaska"/>
    <s v="Anchorage"/>
    <s v="Online"/>
    <x v="0"/>
    <n v="56"/>
    <n v="106"/>
    <n v="5936"/>
    <n v="3264.7999999999997"/>
  </r>
  <r>
    <x v="3"/>
    <n v="1185732"/>
    <x v="232"/>
    <x v="4"/>
    <s v="Maryland"/>
    <s v="Baltimore"/>
    <s v="Online"/>
    <x v="5"/>
    <n v="37"/>
    <n v="44"/>
    <n v="1628"/>
    <n v="879.12"/>
  </r>
  <r>
    <x v="3"/>
    <n v="1197831"/>
    <x v="232"/>
    <x v="2"/>
    <s v="Alabama"/>
    <s v="Birmingham"/>
    <s v="Outlet"/>
    <x v="3"/>
    <n v="11"/>
    <n v="152"/>
    <n v="1672"/>
    <n v="886.16000000000008"/>
  </r>
  <r>
    <x v="3"/>
    <n v="1185732"/>
    <x v="232"/>
    <x v="4"/>
    <s v="Maryland"/>
    <s v="Baltimore"/>
    <s v="Online"/>
    <x v="0"/>
    <n v="41"/>
    <n v="83"/>
    <n v="3403"/>
    <n v="1701.5"/>
  </r>
  <r>
    <x v="3"/>
    <n v="1185732"/>
    <x v="232"/>
    <x v="4"/>
    <s v="Maryland"/>
    <s v="Baltimore"/>
    <s v="Online"/>
    <x v="3"/>
    <n v="39"/>
    <n v="60"/>
    <n v="2340"/>
    <n v="1170"/>
  </r>
  <r>
    <x v="3"/>
    <n v="1185732"/>
    <x v="232"/>
    <x v="4"/>
    <s v="Maryland"/>
    <s v="Baltimore"/>
    <s v="Online"/>
    <x v="4"/>
    <n v="48"/>
    <n v="135"/>
    <n v="6480"/>
    <n v="3045.6"/>
  </r>
  <r>
    <x v="3"/>
    <n v="1197831"/>
    <x v="232"/>
    <x v="2"/>
    <s v="Alabama"/>
    <s v="Birmingham"/>
    <s v="Online"/>
    <x v="3"/>
    <n v="14"/>
    <n v="119"/>
    <n v="1666"/>
    <n v="683.06000000000006"/>
  </r>
  <r>
    <x v="4"/>
    <n v="1185732"/>
    <x v="233"/>
    <x v="3"/>
    <s v="Kentucky"/>
    <s v="Louisville"/>
    <s v="Online"/>
    <x v="0"/>
    <n v="45.000000000000007"/>
    <n v="350"/>
    <n v="15750.000000000002"/>
    <n v="10237.500000000004"/>
  </r>
  <r>
    <x v="4"/>
    <n v="1185732"/>
    <x v="233"/>
    <x v="3"/>
    <s v="Kentucky"/>
    <s v="Louisville"/>
    <s v="Online"/>
    <x v="1"/>
    <n v="50"/>
    <n v="225"/>
    <n v="11250"/>
    <n v="7312.5"/>
  </r>
  <r>
    <x v="4"/>
    <n v="1185732"/>
    <x v="233"/>
    <x v="3"/>
    <s v="Kentucky"/>
    <s v="Louisville"/>
    <s v="Online"/>
    <x v="4"/>
    <n v="50"/>
    <n v="575"/>
    <n v="28750"/>
    <n v="17250"/>
  </r>
  <r>
    <x v="4"/>
    <n v="1185732"/>
    <x v="233"/>
    <x v="3"/>
    <s v="Kentucky"/>
    <s v="Louisville"/>
    <s v="Online"/>
    <x v="3"/>
    <n v="40"/>
    <n v="275"/>
    <n v="11000"/>
    <n v="6600"/>
  </r>
  <r>
    <x v="4"/>
    <n v="1185732"/>
    <x v="233"/>
    <x v="3"/>
    <s v="Kentucky"/>
    <s v="Louisville"/>
    <s v="Online"/>
    <x v="5"/>
    <n v="40"/>
    <n v="250"/>
    <n v="10000"/>
    <n v="6000"/>
  </r>
  <r>
    <x v="4"/>
    <n v="1185732"/>
    <x v="233"/>
    <x v="3"/>
    <s v="Kentucky"/>
    <s v="Louisville"/>
    <s v="Online"/>
    <x v="2"/>
    <n v="55.000000000000007"/>
    <n v="400"/>
    <n v="22000.000000000004"/>
    <n v="13200"/>
  </r>
  <r>
    <x v="3"/>
    <n v="1197831"/>
    <x v="233"/>
    <x v="2"/>
    <s v="Texas"/>
    <s v="Dallas"/>
    <s v="Outlet"/>
    <x v="2"/>
    <n v="35"/>
    <n v="500"/>
    <n v="17500"/>
    <n v="9625"/>
  </r>
  <r>
    <x v="3"/>
    <n v="1197831"/>
    <x v="233"/>
    <x v="2"/>
    <s v="Alabama"/>
    <s v="Birmingham"/>
    <s v="Outlet"/>
    <x v="5"/>
    <n v="20.000000000000007"/>
    <n v="375"/>
    <n v="7500.0000000000027"/>
    <n v="3375.0000000000009"/>
  </r>
  <r>
    <x v="4"/>
    <n v="1185732"/>
    <x v="233"/>
    <x v="3"/>
    <s v="Kentucky"/>
    <s v="Louisville"/>
    <s v="Online"/>
    <x v="0"/>
    <n v="41"/>
    <n v="91"/>
    <n v="3731"/>
    <n v="1977.43"/>
  </r>
  <r>
    <x v="4"/>
    <n v="1185732"/>
    <x v="233"/>
    <x v="3"/>
    <s v="Kentucky"/>
    <s v="Louisville"/>
    <s v="Online"/>
    <x v="1"/>
    <n v="49"/>
    <n v="65"/>
    <n v="3185"/>
    <n v="1624.3500000000001"/>
  </r>
  <r>
    <x v="4"/>
    <n v="1185732"/>
    <x v="233"/>
    <x v="3"/>
    <s v="Kentucky"/>
    <s v="Louisville"/>
    <s v="Online"/>
    <x v="5"/>
    <n v="38"/>
    <n v="75"/>
    <n v="2850"/>
    <n v="1425"/>
  </r>
  <r>
    <x v="3"/>
    <n v="1197831"/>
    <x v="233"/>
    <x v="2"/>
    <s v="Texas"/>
    <s v="Dallas"/>
    <s v="Outlet"/>
    <x v="2"/>
    <n v="26"/>
    <n v="155"/>
    <n v="4030"/>
    <n v="1974.6999999999998"/>
  </r>
  <r>
    <x v="4"/>
    <n v="1185732"/>
    <x v="233"/>
    <x v="3"/>
    <s v="Kentucky"/>
    <s v="Louisville"/>
    <s v="Online"/>
    <x v="4"/>
    <n v="46"/>
    <n v="167"/>
    <n v="7682"/>
    <n v="3533.7199999999993"/>
  </r>
  <r>
    <x v="4"/>
    <n v="1185732"/>
    <x v="233"/>
    <x v="3"/>
    <s v="Kentucky"/>
    <s v="Louisville"/>
    <s v="Online"/>
    <x v="3"/>
    <n v="36"/>
    <n v="80"/>
    <n v="2880"/>
    <n v="1324.8"/>
  </r>
  <r>
    <x v="4"/>
    <n v="1185732"/>
    <x v="233"/>
    <x v="3"/>
    <s v="Kentucky"/>
    <s v="Louisville"/>
    <s v="Online"/>
    <x v="2"/>
    <n v="51"/>
    <n v="120"/>
    <n v="6120"/>
    <n v="2815.2"/>
  </r>
  <r>
    <x v="3"/>
    <n v="1197831"/>
    <x v="233"/>
    <x v="2"/>
    <s v="Texas"/>
    <s v="Dallas"/>
    <s v="Online"/>
    <x v="2"/>
    <n v="32"/>
    <n v="140"/>
    <n v="4480"/>
    <n v="1971.1999999999998"/>
  </r>
  <r>
    <x v="3"/>
    <n v="1197831"/>
    <x v="233"/>
    <x v="2"/>
    <s v="Alabama"/>
    <s v="Birmingham"/>
    <s v="Outlet"/>
    <x v="5"/>
    <n v="15"/>
    <n v="116"/>
    <n v="1740"/>
    <n v="695.99999999999977"/>
  </r>
  <r>
    <x v="3"/>
    <n v="1197831"/>
    <x v="233"/>
    <x v="2"/>
    <s v="Alabama"/>
    <s v="Birmingham"/>
    <s v="Online"/>
    <x v="5"/>
    <n v="18"/>
    <n v="113"/>
    <n v="2034"/>
    <n v="691.56"/>
  </r>
  <r>
    <x v="2"/>
    <n v="1128299"/>
    <x v="234"/>
    <x v="0"/>
    <s v="Arizona"/>
    <s v="Phoenix"/>
    <s v="Online"/>
    <x v="2"/>
    <n v="70"/>
    <n v="375"/>
    <n v="26250"/>
    <n v="19687.5"/>
  </r>
  <r>
    <x v="2"/>
    <n v="1128299"/>
    <x v="234"/>
    <x v="0"/>
    <s v="Arizona"/>
    <s v="Phoenix"/>
    <s v="Online"/>
    <x v="1"/>
    <n v="65"/>
    <n v="400"/>
    <n v="26000"/>
    <n v="18200"/>
  </r>
  <r>
    <x v="2"/>
    <n v="1128299"/>
    <x v="234"/>
    <x v="0"/>
    <s v="Arizona"/>
    <s v="Phoenix"/>
    <s v="Online"/>
    <x v="4"/>
    <n v="55.000000000000007"/>
    <n v="625"/>
    <n v="34375.000000000007"/>
    <n v="22343.750000000007"/>
  </r>
  <r>
    <x v="3"/>
    <n v="1197831"/>
    <x v="234"/>
    <x v="2"/>
    <s v="Texas"/>
    <s v="Dallas"/>
    <s v="Outlet"/>
    <x v="4"/>
    <n v="30"/>
    <n v="675"/>
    <n v="20250"/>
    <n v="13162.5"/>
  </r>
  <r>
    <x v="2"/>
    <n v="1128299"/>
    <x v="234"/>
    <x v="0"/>
    <s v="Arizona"/>
    <s v="Phoenix"/>
    <s v="Online"/>
    <x v="3"/>
    <n v="55.000000000000007"/>
    <n v="450"/>
    <n v="24750.000000000004"/>
    <n v="16087.500000000004"/>
  </r>
  <r>
    <x v="2"/>
    <n v="1128299"/>
    <x v="234"/>
    <x v="0"/>
    <s v="Arizona"/>
    <s v="Phoenix"/>
    <s v="Online"/>
    <x v="5"/>
    <n v="55.000000000000007"/>
    <n v="400"/>
    <n v="22000.000000000004"/>
    <n v="14300.000000000004"/>
  </r>
  <r>
    <x v="3"/>
    <n v="1197831"/>
    <x v="234"/>
    <x v="2"/>
    <s v="Alabama"/>
    <s v="Birmingham"/>
    <s v="Outlet"/>
    <x v="1"/>
    <n v="25"/>
    <n v="275"/>
    <n v="6875"/>
    <n v="4125"/>
  </r>
  <r>
    <x v="2"/>
    <n v="1128299"/>
    <x v="234"/>
    <x v="0"/>
    <s v="Arizona"/>
    <s v="Phoenix"/>
    <s v="Online"/>
    <x v="0"/>
    <n v="60.000000000000007"/>
    <n v="575"/>
    <n v="34500.000000000007"/>
    <n v="20700.000000000004"/>
  </r>
  <r>
    <x v="2"/>
    <n v="1128299"/>
    <x v="234"/>
    <x v="0"/>
    <s v="Arizona"/>
    <s v="Phoenix"/>
    <s v="Outlet"/>
    <x v="2"/>
    <n v="48"/>
    <n v="131"/>
    <n v="6288"/>
    <n v="4527.3599999999997"/>
  </r>
  <r>
    <x v="2"/>
    <n v="1128299"/>
    <x v="234"/>
    <x v="0"/>
    <s v="Arizona"/>
    <s v="Phoenix"/>
    <s v="Outlet"/>
    <x v="1"/>
    <n v="45"/>
    <n v="136"/>
    <n v="6120"/>
    <n v="3855.6"/>
  </r>
  <r>
    <x v="3"/>
    <n v="1197831"/>
    <x v="234"/>
    <x v="2"/>
    <s v="Texas"/>
    <s v="Dallas"/>
    <s v="Outlet"/>
    <x v="4"/>
    <n v="21"/>
    <n v="203"/>
    <n v="4263"/>
    <n v="2600.4300000000003"/>
  </r>
  <r>
    <x v="2"/>
    <n v="1128299"/>
    <x v="234"/>
    <x v="0"/>
    <s v="Arizona"/>
    <s v="Phoenix"/>
    <s v="Online"/>
    <x v="2"/>
    <n v="65"/>
    <n v="94"/>
    <n v="6110"/>
    <n v="3666"/>
  </r>
  <r>
    <x v="2"/>
    <n v="1128299"/>
    <x v="234"/>
    <x v="0"/>
    <s v="Arizona"/>
    <s v="Phoenix"/>
    <s v="Outlet"/>
    <x v="4"/>
    <n v="41"/>
    <n v="194"/>
    <n v="7954"/>
    <n v="4772.3999999999996"/>
  </r>
  <r>
    <x v="2"/>
    <n v="1128299"/>
    <x v="234"/>
    <x v="0"/>
    <s v="Arizona"/>
    <s v="Phoenix"/>
    <s v="Online"/>
    <x v="1"/>
    <n v="59"/>
    <n v="116"/>
    <n v="6844"/>
    <n v="4037.96"/>
  </r>
  <r>
    <x v="2"/>
    <n v="1128299"/>
    <x v="234"/>
    <x v="0"/>
    <s v="Arizona"/>
    <s v="Phoenix"/>
    <s v="Outlet"/>
    <x v="3"/>
    <n v="37"/>
    <n v="153"/>
    <n v="5661"/>
    <n v="3339.9900000000002"/>
  </r>
  <r>
    <x v="3"/>
    <n v="1197831"/>
    <x v="234"/>
    <x v="2"/>
    <s v="Alabama"/>
    <s v="Birmingham"/>
    <s v="Outlet"/>
    <x v="1"/>
    <n v="19"/>
    <n v="88"/>
    <n v="1672"/>
    <n v="969.76"/>
  </r>
  <r>
    <x v="2"/>
    <n v="1128299"/>
    <x v="234"/>
    <x v="0"/>
    <s v="Arizona"/>
    <s v="Phoenix"/>
    <s v="Outlet"/>
    <x v="5"/>
    <n v="43"/>
    <n v="120"/>
    <n v="5160"/>
    <n v="2992.8"/>
  </r>
  <r>
    <x v="2"/>
    <n v="1128299"/>
    <x v="234"/>
    <x v="0"/>
    <s v="Arizona"/>
    <s v="Phoenix"/>
    <s v="Outlet"/>
    <x v="0"/>
    <n v="46"/>
    <n v="190"/>
    <n v="8740"/>
    <n v="5069.2"/>
  </r>
  <r>
    <x v="2"/>
    <n v="1128299"/>
    <x v="234"/>
    <x v="0"/>
    <s v="Arizona"/>
    <s v="Phoenix"/>
    <s v="Online"/>
    <x v="5"/>
    <n v="52"/>
    <n v="112"/>
    <n v="5824"/>
    <n v="2970.2400000000002"/>
  </r>
  <r>
    <x v="2"/>
    <n v="1128299"/>
    <x v="234"/>
    <x v="0"/>
    <s v="Arizona"/>
    <s v="Phoenix"/>
    <s v="Online"/>
    <x v="3"/>
    <n v="54"/>
    <n v="113"/>
    <n v="6102"/>
    <n v="3112.02"/>
  </r>
  <r>
    <x v="3"/>
    <n v="1197831"/>
    <x v="234"/>
    <x v="2"/>
    <s v="Texas"/>
    <s v="Dallas"/>
    <s v="Online"/>
    <x v="4"/>
    <n v="29"/>
    <n v="182"/>
    <n v="5278"/>
    <n v="2639"/>
  </r>
  <r>
    <x v="2"/>
    <n v="1128299"/>
    <x v="234"/>
    <x v="0"/>
    <s v="Arizona"/>
    <s v="Phoenix"/>
    <s v="Online"/>
    <x v="4"/>
    <n v="50"/>
    <n v="163"/>
    <n v="8150"/>
    <n v="4075"/>
  </r>
  <r>
    <x v="2"/>
    <n v="1128299"/>
    <x v="234"/>
    <x v="0"/>
    <s v="Arizona"/>
    <s v="Phoenix"/>
    <s v="Online"/>
    <x v="0"/>
    <n v="57"/>
    <n v="161"/>
    <n v="9177"/>
    <n v="4588.5"/>
  </r>
  <r>
    <x v="3"/>
    <n v="1197831"/>
    <x v="234"/>
    <x v="2"/>
    <s v="Alabama"/>
    <s v="Birmingham"/>
    <s v="Online"/>
    <x v="1"/>
    <n v="23"/>
    <n v="74"/>
    <n v="1702"/>
    <n v="799.93999999999994"/>
  </r>
  <r>
    <x v="2"/>
    <n v="1128299"/>
    <x v="235"/>
    <x v="3"/>
    <s v="Virginia"/>
    <s v="Richmond"/>
    <s v="In-store"/>
    <x v="2"/>
    <n v="75"/>
    <n v="250"/>
    <n v="18750"/>
    <n v="13125"/>
  </r>
  <r>
    <x v="0"/>
    <n v="1128299"/>
    <x v="235"/>
    <x v="0"/>
    <s v="Oregon"/>
    <s v="Portland"/>
    <s v="In-store"/>
    <x v="2"/>
    <n v="75"/>
    <n v="250"/>
    <n v="18750"/>
    <n v="13125"/>
  </r>
  <r>
    <x v="3"/>
    <n v="1197831"/>
    <x v="235"/>
    <x v="2"/>
    <s v="Texas"/>
    <s v="Dallas"/>
    <s v="Outlet"/>
    <x v="0"/>
    <n v="40"/>
    <n v="675"/>
    <n v="27000"/>
    <n v="17550"/>
  </r>
  <r>
    <x v="2"/>
    <n v="1128299"/>
    <x v="235"/>
    <x v="3"/>
    <s v="Virginia"/>
    <s v="Richmond"/>
    <s v="In-store"/>
    <x v="4"/>
    <n v="90"/>
    <n v="800"/>
    <n v="72000"/>
    <n v="46800"/>
  </r>
  <r>
    <x v="2"/>
    <n v="1128299"/>
    <x v="235"/>
    <x v="3"/>
    <s v="Virginia"/>
    <s v="Richmond"/>
    <s v="In-store"/>
    <x v="0"/>
    <n v="80"/>
    <n v="775"/>
    <n v="62000"/>
    <n v="40300"/>
  </r>
  <r>
    <x v="2"/>
    <n v="1128299"/>
    <x v="235"/>
    <x v="3"/>
    <s v="Virginia"/>
    <s v="Richmond"/>
    <s v="In-store"/>
    <x v="3"/>
    <n v="70"/>
    <n v="650"/>
    <n v="45500"/>
    <n v="29575"/>
  </r>
  <r>
    <x v="2"/>
    <n v="1128299"/>
    <x v="235"/>
    <x v="3"/>
    <s v="Virginia"/>
    <s v="Richmond"/>
    <s v="In-store"/>
    <x v="5"/>
    <n v="70"/>
    <n v="425"/>
    <n v="29750"/>
    <n v="19337.5"/>
  </r>
  <r>
    <x v="0"/>
    <n v="1128299"/>
    <x v="235"/>
    <x v="0"/>
    <s v="Oregon"/>
    <s v="Portland"/>
    <s v="In-store"/>
    <x v="4"/>
    <n v="90"/>
    <n v="800"/>
    <n v="72000"/>
    <n v="46800"/>
  </r>
  <r>
    <x v="0"/>
    <n v="1128299"/>
    <x v="235"/>
    <x v="0"/>
    <s v="Oregon"/>
    <s v="Portland"/>
    <s v="In-store"/>
    <x v="0"/>
    <n v="80"/>
    <n v="775"/>
    <n v="62000"/>
    <n v="40300"/>
  </r>
  <r>
    <x v="0"/>
    <n v="1128299"/>
    <x v="235"/>
    <x v="0"/>
    <s v="Oregon"/>
    <s v="Portland"/>
    <s v="In-store"/>
    <x v="3"/>
    <n v="70"/>
    <n v="650"/>
    <n v="45500"/>
    <n v="29575"/>
  </r>
  <r>
    <x v="0"/>
    <n v="1128299"/>
    <x v="235"/>
    <x v="0"/>
    <s v="Oregon"/>
    <s v="Portland"/>
    <s v="In-store"/>
    <x v="5"/>
    <n v="70"/>
    <n v="425"/>
    <n v="29750"/>
    <n v="19337.5"/>
  </r>
  <r>
    <x v="2"/>
    <n v="1128299"/>
    <x v="235"/>
    <x v="3"/>
    <s v="Virginia"/>
    <s v="Richmond"/>
    <s v="In-store"/>
    <x v="1"/>
    <n v="70"/>
    <n v="425"/>
    <n v="29750"/>
    <n v="17850"/>
  </r>
  <r>
    <x v="0"/>
    <n v="1128299"/>
    <x v="235"/>
    <x v="0"/>
    <s v="Oregon"/>
    <s v="Portland"/>
    <s v="In-store"/>
    <x v="1"/>
    <n v="70"/>
    <n v="425"/>
    <n v="29750"/>
    <n v="17850"/>
  </r>
  <r>
    <x v="3"/>
    <n v="1197831"/>
    <x v="235"/>
    <x v="2"/>
    <s v="Alabama"/>
    <s v="Birmingham"/>
    <s v="Outlet"/>
    <x v="2"/>
    <n v="20.000000000000007"/>
    <n v="550"/>
    <n v="11000.000000000004"/>
    <n v="4400.0000000000018"/>
  </r>
  <r>
    <x v="2"/>
    <n v="1128299"/>
    <x v="235"/>
    <x v="3"/>
    <s v="Virginia"/>
    <s v="Richmond"/>
    <s v="Outlet"/>
    <x v="2"/>
    <n v="55"/>
    <n v="80"/>
    <n v="4400"/>
    <n v="2904"/>
  </r>
  <r>
    <x v="2"/>
    <n v="1128299"/>
    <x v="235"/>
    <x v="3"/>
    <s v="Virginia"/>
    <s v="Richmond"/>
    <s v="Outlet"/>
    <x v="3"/>
    <n v="53"/>
    <n v="215"/>
    <n v="11395"/>
    <n v="7178.85"/>
  </r>
  <r>
    <x v="0"/>
    <n v="1128299"/>
    <x v="235"/>
    <x v="0"/>
    <s v="Oregon"/>
    <s v="Portland"/>
    <s v="Outlet"/>
    <x v="4"/>
    <n v="69"/>
    <n v="256"/>
    <n v="17664"/>
    <n v="11128.32"/>
  </r>
  <r>
    <x v="0"/>
    <n v="1128299"/>
    <x v="235"/>
    <x v="0"/>
    <s v="Oregon"/>
    <s v="Portland"/>
    <s v="Outlet"/>
    <x v="2"/>
    <n v="53"/>
    <n v="88"/>
    <n v="4664"/>
    <n v="2938.3199999999997"/>
  </r>
  <r>
    <x v="0"/>
    <n v="1128299"/>
    <x v="235"/>
    <x v="0"/>
    <s v="Oregon"/>
    <s v="Portland"/>
    <s v="Outlet"/>
    <x v="5"/>
    <n v="50"/>
    <n v="128"/>
    <n v="6400"/>
    <n v="3968"/>
  </r>
  <r>
    <x v="2"/>
    <n v="1128299"/>
    <x v="235"/>
    <x v="3"/>
    <s v="Virginia"/>
    <s v="Richmond"/>
    <s v="Outlet"/>
    <x v="5"/>
    <n v="52"/>
    <n v="136"/>
    <n v="7072"/>
    <n v="4313.92"/>
  </r>
  <r>
    <x v="2"/>
    <n v="1128299"/>
    <x v="235"/>
    <x v="3"/>
    <s v="Virginia"/>
    <s v="Richmond"/>
    <s v="Outlet"/>
    <x v="4"/>
    <n v="67"/>
    <n v="272"/>
    <n v="18224"/>
    <n v="10934.400000000001"/>
  </r>
  <r>
    <x v="3"/>
    <n v="1197831"/>
    <x v="235"/>
    <x v="2"/>
    <s v="Texas"/>
    <s v="Dallas"/>
    <s v="Outlet"/>
    <x v="0"/>
    <n v="31"/>
    <n v="236"/>
    <n v="7316"/>
    <n v="4389.6000000000004"/>
  </r>
  <r>
    <x v="0"/>
    <n v="1128299"/>
    <x v="235"/>
    <x v="0"/>
    <s v="Oregon"/>
    <s v="Portland"/>
    <s v="Outlet"/>
    <x v="3"/>
    <n v="50"/>
    <n v="215"/>
    <n v="10750"/>
    <n v="6450"/>
  </r>
  <r>
    <x v="2"/>
    <n v="1128299"/>
    <x v="235"/>
    <x v="3"/>
    <s v="Virginia"/>
    <s v="Richmond"/>
    <s v="Online"/>
    <x v="2"/>
    <n v="73"/>
    <n v="75"/>
    <n v="5475"/>
    <n v="3175.5"/>
  </r>
  <r>
    <x v="2"/>
    <n v="1128299"/>
    <x v="235"/>
    <x v="3"/>
    <s v="Virginia"/>
    <s v="Richmond"/>
    <s v="Outlet"/>
    <x v="0"/>
    <n v="53"/>
    <n v="240"/>
    <n v="12720"/>
    <n v="7377.6"/>
  </r>
  <r>
    <x v="0"/>
    <n v="1128299"/>
    <x v="235"/>
    <x v="0"/>
    <s v="Oregon"/>
    <s v="Portland"/>
    <s v="Outlet"/>
    <x v="0"/>
    <n v="62"/>
    <n v="256"/>
    <n v="15872"/>
    <n v="9205.76"/>
  </r>
  <r>
    <x v="0"/>
    <n v="1128299"/>
    <x v="235"/>
    <x v="0"/>
    <s v="Oregon"/>
    <s v="Portland"/>
    <s v="Outlet"/>
    <x v="1"/>
    <n v="53"/>
    <n v="136"/>
    <n v="7208"/>
    <n v="4180.6399999999994"/>
  </r>
  <r>
    <x v="0"/>
    <n v="1128299"/>
    <x v="235"/>
    <x v="0"/>
    <s v="Oregon"/>
    <s v="Portland"/>
    <s v="Online"/>
    <x v="2"/>
    <n v="69"/>
    <n v="73"/>
    <n v="5037"/>
    <n v="2820.72"/>
  </r>
  <r>
    <x v="2"/>
    <n v="1128299"/>
    <x v="235"/>
    <x v="3"/>
    <s v="Virginia"/>
    <s v="Richmond"/>
    <s v="Online"/>
    <x v="4"/>
    <n v="83"/>
    <n v="240"/>
    <n v="19920"/>
    <n v="10956"/>
  </r>
  <r>
    <x v="2"/>
    <n v="1128299"/>
    <x v="235"/>
    <x v="3"/>
    <s v="Virginia"/>
    <s v="Richmond"/>
    <s v="Outlet"/>
    <x v="1"/>
    <n v="51"/>
    <n v="132"/>
    <n v="6732"/>
    <n v="3702.6"/>
  </r>
  <r>
    <x v="0"/>
    <n v="1128299"/>
    <x v="235"/>
    <x v="0"/>
    <s v="Oregon"/>
    <s v="Portland"/>
    <s v="Online"/>
    <x v="5"/>
    <n v="68"/>
    <n v="119"/>
    <n v="8092"/>
    <n v="4369.68"/>
  </r>
  <r>
    <x v="2"/>
    <n v="1128299"/>
    <x v="235"/>
    <x v="3"/>
    <s v="Virginia"/>
    <s v="Richmond"/>
    <s v="Online"/>
    <x v="3"/>
    <n v="69"/>
    <n v="189"/>
    <n v="13041"/>
    <n v="6781.3200000000006"/>
  </r>
  <r>
    <x v="2"/>
    <n v="1128299"/>
    <x v="235"/>
    <x v="3"/>
    <s v="Virginia"/>
    <s v="Richmond"/>
    <s v="Online"/>
    <x v="0"/>
    <n v="76"/>
    <n v="202"/>
    <n v="15352"/>
    <n v="7983.04"/>
  </r>
  <r>
    <x v="0"/>
    <n v="1128299"/>
    <x v="235"/>
    <x v="0"/>
    <s v="Oregon"/>
    <s v="Portland"/>
    <s v="Online"/>
    <x v="4"/>
    <n v="81"/>
    <n v="200"/>
    <n v="16200"/>
    <n v="8424"/>
  </r>
  <r>
    <x v="2"/>
    <n v="1128299"/>
    <x v="235"/>
    <x v="3"/>
    <s v="Virginia"/>
    <s v="Richmond"/>
    <s v="Online"/>
    <x v="5"/>
    <n v="66"/>
    <n v="111"/>
    <n v="7326"/>
    <n v="3736.26"/>
  </r>
  <r>
    <x v="0"/>
    <n v="1128299"/>
    <x v="235"/>
    <x v="0"/>
    <s v="Oregon"/>
    <s v="Portland"/>
    <s v="Online"/>
    <x v="0"/>
    <n v="76"/>
    <n v="233"/>
    <n v="17708"/>
    <n v="9031.08"/>
  </r>
  <r>
    <x v="0"/>
    <n v="1128299"/>
    <x v="235"/>
    <x v="0"/>
    <s v="Oregon"/>
    <s v="Portland"/>
    <s v="Online"/>
    <x v="3"/>
    <n v="68"/>
    <n v="195"/>
    <n v="13260"/>
    <n v="6762.6"/>
  </r>
  <r>
    <x v="3"/>
    <n v="1197831"/>
    <x v="235"/>
    <x v="2"/>
    <s v="Texas"/>
    <s v="Dallas"/>
    <s v="Online"/>
    <x v="0"/>
    <n v="39"/>
    <n v="169"/>
    <n v="6591"/>
    <n v="3295.5"/>
  </r>
  <r>
    <x v="2"/>
    <n v="1128299"/>
    <x v="235"/>
    <x v="3"/>
    <s v="Virginia"/>
    <s v="Richmond"/>
    <s v="Online"/>
    <x v="1"/>
    <n v="64"/>
    <n v="106"/>
    <n v="6784"/>
    <n v="3324.16"/>
  </r>
  <r>
    <x v="0"/>
    <n v="1128299"/>
    <x v="235"/>
    <x v="0"/>
    <s v="Oregon"/>
    <s v="Portland"/>
    <s v="Online"/>
    <x v="1"/>
    <n v="65"/>
    <n v="128"/>
    <n v="8320"/>
    <n v="3910.3999999999996"/>
  </r>
  <r>
    <x v="3"/>
    <n v="1197831"/>
    <x v="235"/>
    <x v="2"/>
    <s v="Alabama"/>
    <s v="Birmingham"/>
    <s v="Outlet"/>
    <x v="2"/>
    <n v="14"/>
    <n v="165"/>
    <n v="2310"/>
    <n v="762.29999999999973"/>
  </r>
  <r>
    <x v="3"/>
    <n v="1197831"/>
    <x v="235"/>
    <x v="2"/>
    <s v="Alabama"/>
    <s v="Birmingham"/>
    <s v="Online"/>
    <x v="2"/>
    <n v="20"/>
    <n v="149"/>
    <n v="2980"/>
    <n v="744.99999999999955"/>
  </r>
  <r>
    <x v="3"/>
    <n v="1197831"/>
    <x v="236"/>
    <x v="2"/>
    <s v="Texas"/>
    <s v="Dallas"/>
    <s v="Outlet"/>
    <x v="3"/>
    <n v="30"/>
    <n v="500"/>
    <n v="15000"/>
    <n v="9750"/>
  </r>
  <r>
    <x v="3"/>
    <n v="1197831"/>
    <x v="236"/>
    <x v="2"/>
    <s v="Alabama"/>
    <s v="Birmingham"/>
    <s v="Outlet"/>
    <x v="4"/>
    <n v="9.9999999999999964"/>
    <n v="700"/>
    <n v="6999.9999999999973"/>
    <n v="3849.9999999999986"/>
  </r>
  <r>
    <x v="3"/>
    <n v="1197831"/>
    <x v="236"/>
    <x v="2"/>
    <s v="Texas"/>
    <s v="Dallas"/>
    <s v="Outlet"/>
    <x v="3"/>
    <n v="20"/>
    <n v="155"/>
    <n v="3100"/>
    <n v="1922"/>
  </r>
  <r>
    <x v="3"/>
    <n v="1197831"/>
    <x v="236"/>
    <x v="2"/>
    <s v="Texas"/>
    <s v="Dallas"/>
    <s v="Online"/>
    <x v="3"/>
    <n v="28"/>
    <n v="145"/>
    <n v="4060"/>
    <n v="2151.8000000000002"/>
  </r>
  <r>
    <x v="3"/>
    <n v="1197831"/>
    <x v="236"/>
    <x v="2"/>
    <s v="Alabama"/>
    <s v="Birmingham"/>
    <s v="Outlet"/>
    <x v="4"/>
    <n v="7"/>
    <n v="224"/>
    <n v="1568"/>
    <n v="831.04000000000008"/>
  </r>
  <r>
    <x v="3"/>
    <n v="1197831"/>
    <x v="236"/>
    <x v="2"/>
    <s v="Alabama"/>
    <s v="Birmingham"/>
    <s v="Online"/>
    <x v="4"/>
    <n v="9"/>
    <n v="203"/>
    <n v="1827"/>
    <n v="749.07000000000016"/>
  </r>
  <r>
    <x v="1"/>
    <n v="1128299"/>
    <x v="237"/>
    <x v="0"/>
    <s v="New Mexico"/>
    <s v="Albuquerque"/>
    <s v="Online"/>
    <x v="2"/>
    <n v="75.000000000000014"/>
    <n v="450"/>
    <n v="33750.000000000007"/>
    <n v="25312.500000000007"/>
  </r>
  <r>
    <x v="1"/>
    <n v="1128299"/>
    <x v="237"/>
    <x v="0"/>
    <s v="New Mexico"/>
    <s v="Albuquerque"/>
    <s v="Online"/>
    <x v="1"/>
    <n v="70"/>
    <n v="475"/>
    <n v="33250"/>
    <n v="23275"/>
  </r>
  <r>
    <x v="1"/>
    <n v="1128299"/>
    <x v="237"/>
    <x v="0"/>
    <s v="New Mexico"/>
    <s v="Albuquerque"/>
    <s v="Online"/>
    <x v="5"/>
    <n v="60.000000000000007"/>
    <n v="475"/>
    <n v="28500.000000000004"/>
    <n v="18525.000000000007"/>
  </r>
  <r>
    <x v="1"/>
    <n v="1128299"/>
    <x v="237"/>
    <x v="0"/>
    <s v="New Mexico"/>
    <s v="Albuquerque"/>
    <s v="Online"/>
    <x v="3"/>
    <n v="60.000000000000007"/>
    <n v="525"/>
    <n v="31500.000000000004"/>
    <n v="20475.000000000007"/>
  </r>
  <r>
    <x v="1"/>
    <n v="1128299"/>
    <x v="237"/>
    <x v="0"/>
    <s v="New Mexico"/>
    <s v="Albuquerque"/>
    <s v="Online"/>
    <x v="4"/>
    <n v="60.000000000000007"/>
    <n v="700"/>
    <n v="42000.000000000007"/>
    <n v="27300.000000000007"/>
  </r>
  <r>
    <x v="1"/>
    <n v="1128299"/>
    <x v="237"/>
    <x v="0"/>
    <s v="New Mexico"/>
    <s v="Albuquerque"/>
    <s v="Online"/>
    <x v="0"/>
    <n v="65.000000000000014"/>
    <n v="650"/>
    <n v="42250.000000000007"/>
    <n v="25350.000000000007"/>
  </r>
  <r>
    <x v="3"/>
    <n v="1197831"/>
    <x v="237"/>
    <x v="2"/>
    <s v="Texas"/>
    <s v="Dallas"/>
    <s v="Outlet"/>
    <x v="5"/>
    <n v="35"/>
    <n v="400"/>
    <n v="14000"/>
    <n v="7700"/>
  </r>
  <r>
    <x v="3"/>
    <n v="1197831"/>
    <x v="237"/>
    <x v="2"/>
    <s v="Alabama"/>
    <s v="Birmingham"/>
    <s v="Outlet"/>
    <x v="0"/>
    <n v="20.000000000000007"/>
    <n v="725"/>
    <n v="14500.000000000005"/>
    <n v="7975.0000000000027"/>
  </r>
  <r>
    <x v="1"/>
    <n v="1128299"/>
    <x v="237"/>
    <x v="0"/>
    <s v="New Mexico"/>
    <s v="Albuquerque"/>
    <s v="Outlet"/>
    <x v="2"/>
    <n v="50"/>
    <n v="153"/>
    <n v="7650"/>
    <n v="5202"/>
  </r>
  <r>
    <x v="1"/>
    <n v="1128299"/>
    <x v="237"/>
    <x v="0"/>
    <s v="New Mexico"/>
    <s v="Albuquerque"/>
    <s v="Outlet"/>
    <x v="1"/>
    <n v="48"/>
    <n v="162"/>
    <n v="7776"/>
    <n v="5132.16"/>
  </r>
  <r>
    <x v="1"/>
    <n v="1128299"/>
    <x v="237"/>
    <x v="0"/>
    <s v="New Mexico"/>
    <s v="Albuquerque"/>
    <s v="Outlet"/>
    <x v="4"/>
    <n v="40"/>
    <n v="224"/>
    <n v="8960"/>
    <n v="5644.8"/>
  </r>
  <r>
    <x v="1"/>
    <n v="1128299"/>
    <x v="237"/>
    <x v="0"/>
    <s v="New Mexico"/>
    <s v="Albuquerque"/>
    <s v="Outlet"/>
    <x v="5"/>
    <n v="46"/>
    <n v="152"/>
    <n v="6992"/>
    <n v="4404.96"/>
  </r>
  <r>
    <x v="1"/>
    <n v="1128299"/>
    <x v="237"/>
    <x v="0"/>
    <s v="New Mexico"/>
    <s v="Albuquerque"/>
    <s v="Online"/>
    <x v="2"/>
    <n v="70"/>
    <n v="126"/>
    <n v="8820"/>
    <n v="5468.4"/>
  </r>
  <r>
    <x v="1"/>
    <n v="1128299"/>
    <x v="237"/>
    <x v="0"/>
    <s v="New Mexico"/>
    <s v="Albuquerque"/>
    <s v="Outlet"/>
    <x v="3"/>
    <n v="46"/>
    <n v="163"/>
    <n v="7498"/>
    <n v="4498.8"/>
  </r>
  <r>
    <x v="1"/>
    <n v="1128299"/>
    <x v="237"/>
    <x v="0"/>
    <s v="New Mexico"/>
    <s v="Albuquerque"/>
    <s v="Online"/>
    <x v="1"/>
    <n v="67"/>
    <n v="124"/>
    <n v="8308"/>
    <n v="4984.7999999999993"/>
  </r>
  <r>
    <x v="1"/>
    <n v="1128299"/>
    <x v="237"/>
    <x v="0"/>
    <s v="New Mexico"/>
    <s v="Albuquerque"/>
    <s v="Outlet"/>
    <x v="0"/>
    <n v="44"/>
    <n v="208"/>
    <n v="9152"/>
    <n v="5125.12"/>
  </r>
  <r>
    <x v="1"/>
    <n v="1128299"/>
    <x v="237"/>
    <x v="0"/>
    <s v="New Mexico"/>
    <s v="Albuquerque"/>
    <s v="Online"/>
    <x v="3"/>
    <n v="58"/>
    <n v="142"/>
    <n v="8236"/>
    <n v="4447.4400000000005"/>
  </r>
  <r>
    <x v="1"/>
    <n v="1128299"/>
    <x v="237"/>
    <x v="0"/>
    <s v="New Mexico"/>
    <s v="Albuquerque"/>
    <s v="Online"/>
    <x v="5"/>
    <n v="55"/>
    <n v="143"/>
    <n v="7865"/>
    <n v="4168.4500000000007"/>
  </r>
  <r>
    <x v="3"/>
    <n v="1197831"/>
    <x v="237"/>
    <x v="2"/>
    <s v="Texas"/>
    <s v="Dallas"/>
    <s v="Outlet"/>
    <x v="5"/>
    <n v="26"/>
    <n v="140"/>
    <n v="3640"/>
    <n v="1929.1999999999998"/>
  </r>
  <r>
    <x v="3"/>
    <n v="1197831"/>
    <x v="237"/>
    <x v="2"/>
    <s v="Alabama"/>
    <s v="Birmingham"/>
    <s v="Outlet"/>
    <x v="0"/>
    <n v="16"/>
    <n v="218"/>
    <n v="3488"/>
    <n v="1778.8800000000003"/>
  </r>
  <r>
    <x v="1"/>
    <n v="1128299"/>
    <x v="237"/>
    <x v="0"/>
    <s v="New Mexico"/>
    <s v="Albuquerque"/>
    <s v="Online"/>
    <x v="4"/>
    <n v="56"/>
    <n v="175"/>
    <n v="9800"/>
    <n v="4900"/>
  </r>
  <r>
    <x v="1"/>
    <n v="1128299"/>
    <x v="237"/>
    <x v="0"/>
    <s v="New Mexico"/>
    <s v="Albuquerque"/>
    <s v="Online"/>
    <x v="0"/>
    <n v="60"/>
    <n v="176"/>
    <n v="10560"/>
    <n v="5068.8"/>
  </r>
  <r>
    <x v="3"/>
    <n v="1197831"/>
    <x v="237"/>
    <x v="2"/>
    <s v="Texas"/>
    <s v="Dallas"/>
    <s v="Online"/>
    <x v="5"/>
    <n v="32"/>
    <n v="116"/>
    <n v="3712"/>
    <n v="1596.1599999999999"/>
  </r>
  <r>
    <x v="3"/>
    <n v="1197831"/>
    <x v="237"/>
    <x v="2"/>
    <s v="Alabama"/>
    <s v="Birmingham"/>
    <s v="Online"/>
    <x v="0"/>
    <n v="19"/>
    <n v="189"/>
    <n v="3591"/>
    <n v="1472.31"/>
  </r>
  <r>
    <x v="3"/>
    <n v="1197831"/>
    <x v="238"/>
    <x v="2"/>
    <s v="Texas"/>
    <s v="Dallas"/>
    <s v="Outlet"/>
    <x v="1"/>
    <n v="40"/>
    <n v="300"/>
    <n v="12000"/>
    <n v="8400"/>
  </r>
  <r>
    <x v="3"/>
    <n v="1197831"/>
    <x v="238"/>
    <x v="2"/>
    <s v="Alabama"/>
    <s v="Birmingham"/>
    <s v="Outlet"/>
    <x v="3"/>
    <n v="14.999999999999996"/>
    <n v="575"/>
    <n v="8624.9999999999982"/>
    <n v="4743.7499999999991"/>
  </r>
  <r>
    <x v="3"/>
    <n v="1197831"/>
    <x v="238"/>
    <x v="2"/>
    <s v="Texas"/>
    <s v="Dallas"/>
    <s v="Outlet"/>
    <x v="1"/>
    <n v="29"/>
    <n v="96"/>
    <n v="2784"/>
    <n v="1753.92"/>
  </r>
  <r>
    <x v="3"/>
    <n v="1197831"/>
    <x v="238"/>
    <x v="2"/>
    <s v="Texas"/>
    <s v="Dallas"/>
    <s v="Online"/>
    <x v="1"/>
    <n v="38"/>
    <n v="81"/>
    <n v="3078"/>
    <n v="1692.9"/>
  </r>
  <r>
    <x v="3"/>
    <n v="1197831"/>
    <x v="238"/>
    <x v="2"/>
    <s v="Alabama"/>
    <s v="Birmingham"/>
    <s v="Outlet"/>
    <x v="3"/>
    <n v="11"/>
    <n v="190"/>
    <n v="2090"/>
    <n v="1003.2"/>
  </r>
  <r>
    <x v="3"/>
    <n v="1197831"/>
    <x v="238"/>
    <x v="2"/>
    <s v="Alabama"/>
    <s v="Birmingham"/>
    <s v="Online"/>
    <x v="3"/>
    <n v="15"/>
    <n v="173"/>
    <n v="2595"/>
    <n v="1141.8000000000002"/>
  </r>
  <r>
    <x v="3"/>
    <n v="1197831"/>
    <x v="239"/>
    <x v="2"/>
    <s v="Texas"/>
    <s v="Dallas"/>
    <s v="Outlet"/>
    <x v="2"/>
    <n v="35"/>
    <n v="450"/>
    <n v="15750"/>
    <n v="7875"/>
  </r>
  <r>
    <x v="3"/>
    <n v="1197831"/>
    <x v="239"/>
    <x v="2"/>
    <s v="Alabama"/>
    <s v="Birmingham"/>
    <s v="Outlet"/>
    <x v="5"/>
    <n v="35"/>
    <n v="500"/>
    <n v="17500"/>
    <n v="7874.9999999999982"/>
  </r>
  <r>
    <x v="3"/>
    <n v="1197831"/>
    <x v="239"/>
    <x v="2"/>
    <s v="Texas"/>
    <s v="Dallas"/>
    <s v="Outlet"/>
    <x v="2"/>
    <n v="27"/>
    <n v="153"/>
    <n v="4131"/>
    <n v="1900.2599999999998"/>
  </r>
  <r>
    <x v="3"/>
    <n v="1197831"/>
    <x v="239"/>
    <x v="2"/>
    <s v="Alabama"/>
    <s v="Birmingham"/>
    <s v="Outlet"/>
    <x v="5"/>
    <n v="26"/>
    <n v="165"/>
    <n v="4290"/>
    <n v="1673.0999999999995"/>
  </r>
  <r>
    <x v="3"/>
    <n v="1197831"/>
    <x v="239"/>
    <x v="2"/>
    <s v="Texas"/>
    <s v="Dallas"/>
    <s v="Online"/>
    <x v="2"/>
    <n v="32"/>
    <n v="135"/>
    <n v="4320"/>
    <n v="1598.4"/>
  </r>
  <r>
    <x v="3"/>
    <n v="1197831"/>
    <x v="239"/>
    <x v="2"/>
    <s v="Alabama"/>
    <s v="Birmingham"/>
    <s v="Online"/>
    <x v="5"/>
    <n v="34"/>
    <n v="135"/>
    <n v="4590"/>
    <n v="1468.7999999999997"/>
  </r>
  <r>
    <x v="3"/>
    <n v="1197831"/>
    <x v="240"/>
    <x v="2"/>
    <s v="Texas"/>
    <s v="Dallas"/>
    <s v="Outlet"/>
    <x v="4"/>
    <n v="20"/>
    <n v="700"/>
    <n v="14000"/>
    <n v="9100"/>
  </r>
  <r>
    <x v="3"/>
    <n v="1197831"/>
    <x v="240"/>
    <x v="2"/>
    <s v="Alabama"/>
    <s v="Birmingham"/>
    <s v="Outlet"/>
    <x v="1"/>
    <n v="50"/>
    <n v="400"/>
    <n v="20000"/>
    <n v="12000"/>
  </r>
  <r>
    <x v="3"/>
    <n v="1197831"/>
    <x v="240"/>
    <x v="2"/>
    <s v="Texas"/>
    <s v="Dallas"/>
    <s v="Outlet"/>
    <x v="4"/>
    <n v="13"/>
    <n v="231"/>
    <n v="3003"/>
    <n v="1801.8000000000002"/>
  </r>
  <r>
    <x v="3"/>
    <n v="1197831"/>
    <x v="240"/>
    <x v="2"/>
    <s v="Alabama"/>
    <s v="Birmingham"/>
    <s v="Outlet"/>
    <x v="1"/>
    <n v="39"/>
    <n v="132"/>
    <n v="5148"/>
    <n v="2985.84"/>
  </r>
  <r>
    <x v="3"/>
    <n v="1197831"/>
    <x v="240"/>
    <x v="2"/>
    <s v="Texas"/>
    <s v="Dallas"/>
    <s v="Online"/>
    <x v="4"/>
    <n v="18"/>
    <n v="182"/>
    <n v="3276"/>
    <n v="1801.8000000000002"/>
  </r>
  <r>
    <x v="3"/>
    <n v="1197831"/>
    <x v="240"/>
    <x v="2"/>
    <s v="Alabama"/>
    <s v="Birmingham"/>
    <s v="Online"/>
    <x v="1"/>
    <n v="49"/>
    <n v="120"/>
    <n v="5880"/>
    <n v="2704.7999999999997"/>
  </r>
  <r>
    <x v="3"/>
    <n v="1197831"/>
    <x v="241"/>
    <x v="2"/>
    <s v="Texas"/>
    <s v="Dallas"/>
    <s v="Outlet"/>
    <x v="0"/>
    <n v="30.000000000000004"/>
    <n v="700"/>
    <n v="21000.000000000004"/>
    <n v="13650.000000000004"/>
  </r>
  <r>
    <x v="3"/>
    <n v="1197831"/>
    <x v="241"/>
    <x v="2"/>
    <s v="Alabama"/>
    <s v="Birmingham"/>
    <s v="Outlet"/>
    <x v="2"/>
    <n v="45"/>
    <n v="750"/>
    <n v="33750"/>
    <n v="13499.999999999996"/>
  </r>
  <r>
    <x v="3"/>
    <n v="1197831"/>
    <x v="241"/>
    <x v="2"/>
    <s v="Texas"/>
    <s v="Dallas"/>
    <s v="Outlet"/>
    <x v="0"/>
    <n v="21"/>
    <n v="210"/>
    <n v="4410"/>
    <n v="2646"/>
  </r>
  <r>
    <x v="3"/>
    <n v="1197831"/>
    <x v="241"/>
    <x v="2"/>
    <s v="Texas"/>
    <s v="Dallas"/>
    <s v="Online"/>
    <x v="0"/>
    <n v="28"/>
    <n v="175"/>
    <n v="4900"/>
    <n v="2548"/>
  </r>
  <r>
    <x v="3"/>
    <n v="1197831"/>
    <x v="241"/>
    <x v="2"/>
    <s v="Alabama"/>
    <s v="Birmingham"/>
    <s v="Outlet"/>
    <x v="2"/>
    <n v="36"/>
    <n v="263"/>
    <n v="9468"/>
    <n v="3219.119999999999"/>
  </r>
  <r>
    <x v="3"/>
    <n v="1197831"/>
    <x v="241"/>
    <x v="2"/>
    <s v="Alabama"/>
    <s v="Birmingham"/>
    <s v="Online"/>
    <x v="2"/>
    <n v="43"/>
    <n v="203"/>
    <n v="8729"/>
    <n v="2444.119999999999"/>
  </r>
  <r>
    <x v="3"/>
    <n v="1197831"/>
    <x v="242"/>
    <x v="2"/>
    <s v="Texas"/>
    <s v="Dallas"/>
    <s v="Outlet"/>
    <x v="3"/>
    <n v="24.999999999999996"/>
    <n v="525"/>
    <n v="13124.999999999998"/>
    <n v="8531.2499999999982"/>
  </r>
  <r>
    <x v="3"/>
    <n v="1197831"/>
    <x v="242"/>
    <x v="2"/>
    <s v="Alabama"/>
    <s v="Birmingham"/>
    <s v="Outlet"/>
    <x v="4"/>
    <n v="45"/>
    <n v="750"/>
    <n v="33750"/>
    <n v="18562.500000000004"/>
  </r>
  <r>
    <x v="3"/>
    <n v="1197831"/>
    <x v="242"/>
    <x v="2"/>
    <s v="Texas"/>
    <s v="Dallas"/>
    <s v="Outlet"/>
    <x v="3"/>
    <n v="20"/>
    <n v="179"/>
    <n v="3580"/>
    <n v="2183.8000000000002"/>
  </r>
  <r>
    <x v="3"/>
    <n v="1197831"/>
    <x v="242"/>
    <x v="2"/>
    <s v="Alabama"/>
    <s v="Birmingham"/>
    <s v="Outlet"/>
    <x v="4"/>
    <n v="30"/>
    <n v="225"/>
    <n v="6750"/>
    <n v="3510"/>
  </r>
  <r>
    <x v="3"/>
    <n v="1197831"/>
    <x v="242"/>
    <x v="2"/>
    <s v="Texas"/>
    <s v="Dallas"/>
    <s v="Online"/>
    <x v="3"/>
    <n v="25"/>
    <n v="152"/>
    <n v="3800"/>
    <n v="1938"/>
  </r>
  <r>
    <x v="3"/>
    <n v="1197831"/>
    <x v="242"/>
    <x v="2"/>
    <s v="Alabama"/>
    <s v="Birmingham"/>
    <s v="Online"/>
    <x v="4"/>
    <n v="43"/>
    <n v="203"/>
    <n v="8729"/>
    <n v="3928.05"/>
  </r>
  <r>
    <x v="3"/>
    <n v="1197831"/>
    <x v="243"/>
    <x v="2"/>
    <s v="Alabama"/>
    <s v="Birmingham"/>
    <s v="Outlet"/>
    <x v="0"/>
    <n v="50"/>
    <n v="750"/>
    <n v="37500"/>
    <n v="20625.000000000004"/>
  </r>
  <r>
    <x v="3"/>
    <n v="1197831"/>
    <x v="243"/>
    <x v="2"/>
    <s v="Texas"/>
    <s v="Dallas"/>
    <s v="Outlet"/>
    <x v="5"/>
    <n v="30.000000000000004"/>
    <n v="425"/>
    <n v="12750.000000000002"/>
    <n v="7012.5"/>
  </r>
  <r>
    <x v="3"/>
    <n v="1197831"/>
    <x v="243"/>
    <x v="2"/>
    <s v="Alabama"/>
    <s v="Birmingham"/>
    <s v="Outlet"/>
    <x v="0"/>
    <n v="35"/>
    <n v="233"/>
    <n v="8155"/>
    <n v="4322.1499999999996"/>
  </r>
  <r>
    <x v="3"/>
    <n v="1197831"/>
    <x v="243"/>
    <x v="2"/>
    <s v="Texas"/>
    <s v="Dallas"/>
    <s v="Outlet"/>
    <x v="5"/>
    <n v="20"/>
    <n v="149"/>
    <n v="2980"/>
    <n v="1519.8"/>
  </r>
  <r>
    <x v="3"/>
    <n v="1197831"/>
    <x v="243"/>
    <x v="2"/>
    <s v="Alabama"/>
    <s v="Birmingham"/>
    <s v="Online"/>
    <x v="0"/>
    <n v="49"/>
    <n v="203"/>
    <n v="9947"/>
    <n v="4376.68"/>
  </r>
  <r>
    <x v="3"/>
    <n v="1197831"/>
    <x v="243"/>
    <x v="2"/>
    <s v="Texas"/>
    <s v="Dallas"/>
    <s v="Online"/>
    <x v="5"/>
    <n v="29"/>
    <n v="128"/>
    <n v="3712"/>
    <n v="1521.9199999999996"/>
  </r>
  <r>
    <x v="3"/>
    <n v="1197831"/>
    <x v="244"/>
    <x v="2"/>
    <s v="Texas"/>
    <s v="Dallas"/>
    <s v="Outlet"/>
    <x v="1"/>
    <n v="35"/>
    <n v="325"/>
    <n v="11375"/>
    <n v="7962.5"/>
  </r>
  <r>
    <x v="3"/>
    <n v="1185732"/>
    <x v="244"/>
    <x v="3"/>
    <s v="North Carolina"/>
    <s v="Charlotte"/>
    <s v="Online"/>
    <x v="0"/>
    <n v="50.000000000000014"/>
    <n v="725"/>
    <n v="36250.000000000007"/>
    <n v="23562.500000000007"/>
  </r>
  <r>
    <x v="3"/>
    <n v="1185732"/>
    <x v="244"/>
    <x v="3"/>
    <s v="North Carolina"/>
    <s v="Charlotte"/>
    <s v="Online"/>
    <x v="1"/>
    <n v="40"/>
    <n v="600"/>
    <n v="24000"/>
    <n v="15600"/>
  </r>
  <r>
    <x v="3"/>
    <n v="1185732"/>
    <x v="244"/>
    <x v="3"/>
    <s v="North Carolina"/>
    <s v="Charlotte"/>
    <s v="Online"/>
    <x v="3"/>
    <n v="30.000000000000004"/>
    <n v="625"/>
    <n v="18750.000000000004"/>
    <n v="11250.000000000002"/>
  </r>
  <r>
    <x v="3"/>
    <n v="1185732"/>
    <x v="244"/>
    <x v="3"/>
    <s v="North Carolina"/>
    <s v="Charlotte"/>
    <s v="Online"/>
    <x v="5"/>
    <n v="30.000000000000004"/>
    <n v="600"/>
    <n v="18000.000000000004"/>
    <n v="10800.000000000002"/>
  </r>
  <r>
    <x v="3"/>
    <n v="1185732"/>
    <x v="244"/>
    <x v="3"/>
    <s v="North Carolina"/>
    <s v="Charlotte"/>
    <s v="Online"/>
    <x v="4"/>
    <n v="55.000000000000007"/>
    <n v="925"/>
    <n v="50875.000000000007"/>
    <n v="30525"/>
  </r>
  <r>
    <x v="3"/>
    <n v="1197831"/>
    <x v="244"/>
    <x v="2"/>
    <s v="Alabama"/>
    <s v="Birmingham"/>
    <s v="Outlet"/>
    <x v="3"/>
    <n v="45"/>
    <n v="650"/>
    <n v="29250"/>
    <n v="16087.5"/>
  </r>
  <r>
    <x v="3"/>
    <n v="1185732"/>
    <x v="244"/>
    <x v="3"/>
    <s v="North Carolina"/>
    <s v="Charlotte"/>
    <s v="Online"/>
    <x v="2"/>
    <n v="45.000000000000007"/>
    <n v="700"/>
    <n v="31500.000000000004"/>
    <n v="15750.000000000004"/>
  </r>
  <r>
    <x v="3"/>
    <n v="1197831"/>
    <x v="244"/>
    <x v="2"/>
    <s v="Texas"/>
    <s v="Dallas"/>
    <s v="Outlet"/>
    <x v="1"/>
    <n v="26"/>
    <n v="107"/>
    <n v="2782"/>
    <n v="1780.48"/>
  </r>
  <r>
    <x v="3"/>
    <n v="1197831"/>
    <x v="244"/>
    <x v="2"/>
    <s v="Texas"/>
    <s v="Dallas"/>
    <s v="Online"/>
    <x v="1"/>
    <n v="34"/>
    <n v="85"/>
    <n v="2890"/>
    <n v="1734"/>
  </r>
  <r>
    <x v="3"/>
    <n v="1185732"/>
    <x v="244"/>
    <x v="3"/>
    <s v="North Carolina"/>
    <s v="Charlotte"/>
    <s v="Online"/>
    <x v="1"/>
    <n v="38"/>
    <n v="156"/>
    <n v="5928"/>
    <n v="3201.1200000000003"/>
  </r>
  <r>
    <x v="3"/>
    <n v="1185732"/>
    <x v="244"/>
    <x v="3"/>
    <s v="North Carolina"/>
    <s v="Charlotte"/>
    <s v="Online"/>
    <x v="0"/>
    <n v="49"/>
    <n v="181"/>
    <n v="8869"/>
    <n v="4434.5"/>
  </r>
  <r>
    <x v="3"/>
    <n v="1185732"/>
    <x v="244"/>
    <x v="3"/>
    <s v="North Carolina"/>
    <s v="Charlotte"/>
    <s v="Online"/>
    <x v="5"/>
    <n v="28"/>
    <n v="150"/>
    <n v="4200"/>
    <n v="2100"/>
  </r>
  <r>
    <x v="3"/>
    <n v="1185732"/>
    <x v="244"/>
    <x v="3"/>
    <s v="North Carolina"/>
    <s v="Charlotte"/>
    <s v="Online"/>
    <x v="3"/>
    <n v="28"/>
    <n v="175"/>
    <n v="4900"/>
    <n v="2401"/>
  </r>
  <r>
    <x v="3"/>
    <n v="1197831"/>
    <x v="244"/>
    <x v="2"/>
    <s v="Alabama"/>
    <s v="Birmingham"/>
    <s v="Outlet"/>
    <x v="3"/>
    <n v="35"/>
    <n v="228"/>
    <n v="7980"/>
    <n v="3910.2"/>
  </r>
  <r>
    <x v="3"/>
    <n v="1185732"/>
    <x v="244"/>
    <x v="3"/>
    <s v="North Carolina"/>
    <s v="Charlotte"/>
    <s v="Online"/>
    <x v="4"/>
    <n v="53"/>
    <n v="250"/>
    <n v="13250"/>
    <n v="6360"/>
  </r>
  <r>
    <x v="3"/>
    <n v="1197831"/>
    <x v="244"/>
    <x v="2"/>
    <s v="Alabama"/>
    <s v="Birmingham"/>
    <s v="Online"/>
    <x v="3"/>
    <n v="44"/>
    <n v="189"/>
    <n v="8316"/>
    <n v="3409.5600000000004"/>
  </r>
  <r>
    <x v="3"/>
    <n v="1185732"/>
    <x v="244"/>
    <x v="3"/>
    <s v="North Carolina"/>
    <s v="Charlotte"/>
    <s v="Online"/>
    <x v="2"/>
    <n v="41"/>
    <n v="203"/>
    <n v="8323"/>
    <n v="3245.9700000000003"/>
  </r>
  <r>
    <x v="3"/>
    <n v="1185732"/>
    <x v="245"/>
    <x v="4"/>
    <s v="Connecticut"/>
    <s v="Hartford"/>
    <s v="In-store"/>
    <x v="3"/>
    <n v="45"/>
    <n v="200"/>
    <n v="9000"/>
    <n v="6300"/>
  </r>
  <r>
    <x v="3"/>
    <n v="1185732"/>
    <x v="245"/>
    <x v="4"/>
    <s v="Connecticut"/>
    <s v="Hartford"/>
    <s v="In-store"/>
    <x v="5"/>
    <n v="45"/>
    <n v="175"/>
    <n v="7875"/>
    <n v="5512.5"/>
  </r>
  <r>
    <x v="3"/>
    <n v="1185732"/>
    <x v="245"/>
    <x v="4"/>
    <s v="Connecticut"/>
    <s v="Hartford"/>
    <s v="In-store"/>
    <x v="1"/>
    <n v="54.999999999999993"/>
    <n v="175"/>
    <n v="9624.9999999999982"/>
    <n v="6737.4999999999982"/>
  </r>
  <r>
    <x v="3"/>
    <n v="1185732"/>
    <x v="245"/>
    <x v="4"/>
    <s v="Connecticut"/>
    <s v="Hartford"/>
    <s v="In-store"/>
    <x v="2"/>
    <n v="60"/>
    <n v="275"/>
    <n v="16500"/>
    <n v="10725"/>
  </r>
  <r>
    <x v="3"/>
    <n v="1185732"/>
    <x v="245"/>
    <x v="4"/>
    <s v="Connecticut"/>
    <s v="Hartford"/>
    <s v="In-store"/>
    <x v="0"/>
    <n v="50"/>
    <n v="300"/>
    <n v="15000"/>
    <n v="9000"/>
  </r>
  <r>
    <x v="3"/>
    <n v="1185732"/>
    <x v="245"/>
    <x v="4"/>
    <s v="Connecticut"/>
    <s v="Hartford"/>
    <s v="In-store"/>
    <x v="4"/>
    <n v="54.999999999999993"/>
    <n v="500"/>
    <n v="27499.999999999996"/>
    <n v="16499.999999999993"/>
  </r>
  <r>
    <x v="3"/>
    <n v="1197831"/>
    <x v="245"/>
    <x v="2"/>
    <s v="Texas"/>
    <s v="Dallas"/>
    <s v="Outlet"/>
    <x v="2"/>
    <n v="30.000000000000004"/>
    <n v="600"/>
    <n v="18000.000000000004"/>
    <n v="9000.0000000000018"/>
  </r>
  <r>
    <x v="3"/>
    <n v="1197831"/>
    <x v="245"/>
    <x v="2"/>
    <s v="Alabama"/>
    <s v="Birmingham"/>
    <s v="Outlet"/>
    <x v="5"/>
    <n v="45"/>
    <n v="600"/>
    <n v="27000"/>
    <n v="12150"/>
  </r>
  <r>
    <x v="3"/>
    <n v="1185732"/>
    <x v="245"/>
    <x v="4"/>
    <s v="Connecticut"/>
    <s v="Hartford"/>
    <s v="Outlet"/>
    <x v="3"/>
    <n v="33"/>
    <n v="64"/>
    <n v="2112"/>
    <n v="1436.1599999999999"/>
  </r>
  <r>
    <x v="3"/>
    <n v="1185732"/>
    <x v="245"/>
    <x v="4"/>
    <s v="Connecticut"/>
    <s v="Hartford"/>
    <s v="Outlet"/>
    <x v="5"/>
    <n v="30"/>
    <n v="58"/>
    <n v="1740"/>
    <n v="1148.4000000000001"/>
  </r>
  <r>
    <x v="3"/>
    <n v="1185732"/>
    <x v="245"/>
    <x v="4"/>
    <s v="Connecticut"/>
    <s v="Hartford"/>
    <s v="Outlet"/>
    <x v="1"/>
    <n v="41"/>
    <n v="58"/>
    <n v="2378"/>
    <n v="1521.92"/>
  </r>
  <r>
    <x v="3"/>
    <n v="1185732"/>
    <x v="245"/>
    <x v="4"/>
    <s v="Connecticut"/>
    <s v="Hartford"/>
    <s v="Outlet"/>
    <x v="2"/>
    <n v="45"/>
    <n v="83"/>
    <n v="3735"/>
    <n v="2166.3000000000002"/>
  </r>
  <r>
    <x v="3"/>
    <n v="1185732"/>
    <x v="245"/>
    <x v="4"/>
    <s v="Connecticut"/>
    <s v="Hartford"/>
    <s v="Online"/>
    <x v="1"/>
    <n v="50"/>
    <n v="51"/>
    <n v="2550"/>
    <n v="1479"/>
  </r>
  <r>
    <x v="3"/>
    <n v="1185732"/>
    <x v="245"/>
    <x v="4"/>
    <s v="Connecticut"/>
    <s v="Hartford"/>
    <s v="Online"/>
    <x v="3"/>
    <n v="41"/>
    <n v="60"/>
    <n v="2460"/>
    <n v="1377.6"/>
  </r>
  <r>
    <x v="3"/>
    <n v="1185732"/>
    <x v="245"/>
    <x v="4"/>
    <s v="Connecticut"/>
    <s v="Hartford"/>
    <s v="Online"/>
    <x v="5"/>
    <n v="41"/>
    <n v="46"/>
    <n v="1886"/>
    <n v="1037.3000000000002"/>
  </r>
  <r>
    <x v="3"/>
    <n v="1185732"/>
    <x v="245"/>
    <x v="4"/>
    <s v="Connecticut"/>
    <s v="Hartford"/>
    <s v="Outlet"/>
    <x v="4"/>
    <n v="43"/>
    <n v="170"/>
    <n v="7310"/>
    <n v="3874.2999999999997"/>
  </r>
  <r>
    <x v="3"/>
    <n v="1185732"/>
    <x v="245"/>
    <x v="4"/>
    <s v="Connecticut"/>
    <s v="Hartford"/>
    <s v="Outlet"/>
    <x v="0"/>
    <n v="40"/>
    <n v="93"/>
    <n v="3720"/>
    <n v="1971.6"/>
  </r>
  <r>
    <x v="3"/>
    <n v="1185732"/>
    <x v="245"/>
    <x v="4"/>
    <s v="Connecticut"/>
    <s v="Hartford"/>
    <s v="Online"/>
    <x v="2"/>
    <n v="54"/>
    <n v="83"/>
    <n v="4482"/>
    <n v="2285.8200000000002"/>
  </r>
  <r>
    <x v="3"/>
    <n v="1185732"/>
    <x v="245"/>
    <x v="4"/>
    <s v="Connecticut"/>
    <s v="Hartford"/>
    <s v="Online"/>
    <x v="0"/>
    <n v="47"/>
    <n v="75"/>
    <n v="3525"/>
    <n v="1692"/>
  </r>
  <r>
    <x v="3"/>
    <n v="1185732"/>
    <x v="245"/>
    <x v="4"/>
    <s v="Connecticut"/>
    <s v="Hartford"/>
    <s v="Online"/>
    <x v="4"/>
    <n v="52"/>
    <n v="125"/>
    <n v="6500"/>
    <n v="2989.9999999999995"/>
  </r>
  <r>
    <x v="3"/>
    <n v="1197831"/>
    <x v="245"/>
    <x v="2"/>
    <s v="Texas"/>
    <s v="Dallas"/>
    <s v="Outlet"/>
    <x v="2"/>
    <n v="22"/>
    <n v="210"/>
    <n v="4620"/>
    <n v="1986.6"/>
  </r>
  <r>
    <x v="3"/>
    <n v="1197831"/>
    <x v="245"/>
    <x v="2"/>
    <s v="Alabama"/>
    <s v="Birmingham"/>
    <s v="Outlet"/>
    <x v="5"/>
    <n v="31"/>
    <n v="210"/>
    <n v="6510"/>
    <n v="2603.9999999999995"/>
  </r>
  <r>
    <x v="3"/>
    <n v="1197831"/>
    <x v="245"/>
    <x v="2"/>
    <s v="Texas"/>
    <s v="Dallas"/>
    <s v="Online"/>
    <x v="2"/>
    <n v="29"/>
    <n v="156"/>
    <n v="4524"/>
    <n v="1719.12"/>
  </r>
  <r>
    <x v="3"/>
    <n v="1197831"/>
    <x v="245"/>
    <x v="2"/>
    <s v="Alabama"/>
    <s v="Birmingham"/>
    <s v="Online"/>
    <x v="5"/>
    <n v="41"/>
    <n v="180"/>
    <n v="7380"/>
    <n v="2287.7999999999993"/>
  </r>
  <r>
    <x v="0"/>
    <n v="1185732"/>
    <x v="246"/>
    <x v="1"/>
    <s v="Wisconsin"/>
    <s v="Milwaukee"/>
    <s v="In-store"/>
    <x v="3"/>
    <n v="25.000000000000007"/>
    <n v="150"/>
    <n v="3750.0000000000009"/>
    <n v="2625.0000000000009"/>
  </r>
  <r>
    <x v="0"/>
    <n v="1185732"/>
    <x v="246"/>
    <x v="1"/>
    <s v="Wisconsin"/>
    <s v="Milwaukee"/>
    <s v="In-store"/>
    <x v="5"/>
    <n v="25.000000000000007"/>
    <n v="125"/>
    <n v="3125.0000000000009"/>
    <n v="2187.5000000000009"/>
  </r>
  <r>
    <x v="0"/>
    <n v="1185732"/>
    <x v="246"/>
    <x v="1"/>
    <s v="Wisconsin"/>
    <s v="Milwaukee"/>
    <s v="In-store"/>
    <x v="4"/>
    <n v="35"/>
    <n v="475"/>
    <n v="16625"/>
    <n v="11637.5"/>
  </r>
  <r>
    <x v="0"/>
    <n v="1185732"/>
    <x v="246"/>
    <x v="1"/>
    <s v="Wisconsin"/>
    <s v="Milwaukee"/>
    <s v="In-store"/>
    <x v="0"/>
    <n v="30.000000000000011"/>
    <n v="250"/>
    <n v="7500.0000000000027"/>
    <n v="4875.0000000000018"/>
  </r>
  <r>
    <x v="3"/>
    <n v="1197831"/>
    <x v="246"/>
    <x v="2"/>
    <s v="Texas"/>
    <s v="Dallas"/>
    <s v="Outlet"/>
    <x v="4"/>
    <n v="20"/>
    <n v="750"/>
    <n v="15000"/>
    <n v="9750"/>
  </r>
  <r>
    <x v="3"/>
    <n v="1197831"/>
    <x v="246"/>
    <x v="2"/>
    <s v="Alabama"/>
    <s v="Birmingham"/>
    <s v="Outlet"/>
    <x v="1"/>
    <n v="50"/>
    <n v="500"/>
    <n v="25000"/>
    <n v="15000"/>
  </r>
  <r>
    <x v="0"/>
    <n v="1185732"/>
    <x v="246"/>
    <x v="1"/>
    <s v="Wisconsin"/>
    <s v="Milwaukee"/>
    <s v="In-store"/>
    <x v="2"/>
    <n v="40"/>
    <n v="200"/>
    <n v="8000"/>
    <n v="4800"/>
  </r>
  <r>
    <x v="0"/>
    <n v="1185732"/>
    <x v="246"/>
    <x v="1"/>
    <s v="Wisconsin"/>
    <s v="Milwaukee"/>
    <s v="In-store"/>
    <x v="1"/>
    <n v="35"/>
    <n v="125"/>
    <n v="4375"/>
    <n v="2187.5"/>
  </r>
  <r>
    <x v="3"/>
    <n v="1197831"/>
    <x v="246"/>
    <x v="2"/>
    <s v="Texas"/>
    <s v="Dallas"/>
    <s v="Outlet"/>
    <x v="4"/>
    <n v="13"/>
    <n v="233"/>
    <n v="3029"/>
    <n v="1877.98"/>
  </r>
  <r>
    <x v="0"/>
    <n v="1185732"/>
    <x v="246"/>
    <x v="1"/>
    <s v="Wisconsin"/>
    <s v="Milwaukee"/>
    <s v="Online"/>
    <x v="4"/>
    <n v="33"/>
    <n v="143"/>
    <n v="4719"/>
    <n v="2784.21"/>
  </r>
  <r>
    <x v="0"/>
    <n v="1185732"/>
    <x v="246"/>
    <x v="1"/>
    <s v="Wisconsin"/>
    <s v="Milwaukee"/>
    <s v="Online"/>
    <x v="3"/>
    <n v="24"/>
    <n v="44"/>
    <n v="1056"/>
    <n v="580.80000000000007"/>
  </r>
  <r>
    <x v="0"/>
    <n v="1185732"/>
    <x v="246"/>
    <x v="1"/>
    <s v="Wisconsin"/>
    <s v="Milwaukee"/>
    <s v="Online"/>
    <x v="5"/>
    <n v="23"/>
    <n v="34"/>
    <n v="782"/>
    <n v="430.1"/>
  </r>
  <r>
    <x v="0"/>
    <n v="1185732"/>
    <x v="246"/>
    <x v="1"/>
    <s v="Wisconsin"/>
    <s v="Milwaukee"/>
    <s v="Online"/>
    <x v="0"/>
    <n v="29"/>
    <n v="65"/>
    <n v="1885"/>
    <n v="1036.75"/>
  </r>
  <r>
    <x v="3"/>
    <n v="1197831"/>
    <x v="246"/>
    <x v="2"/>
    <s v="Alabama"/>
    <s v="Birmingham"/>
    <s v="Outlet"/>
    <x v="1"/>
    <n v="38"/>
    <n v="165"/>
    <n v="6270"/>
    <n v="3323.1000000000004"/>
  </r>
  <r>
    <x v="3"/>
    <n v="1197831"/>
    <x v="246"/>
    <x v="2"/>
    <s v="Texas"/>
    <s v="Dallas"/>
    <s v="Online"/>
    <x v="4"/>
    <n v="19"/>
    <n v="195"/>
    <n v="3705"/>
    <n v="1852.5"/>
  </r>
  <r>
    <x v="0"/>
    <n v="1185732"/>
    <x v="246"/>
    <x v="1"/>
    <s v="Wisconsin"/>
    <s v="Milwaukee"/>
    <s v="Online"/>
    <x v="2"/>
    <n v="38"/>
    <n v="52"/>
    <n v="1976"/>
    <n v="988"/>
  </r>
  <r>
    <x v="3"/>
    <n v="1197831"/>
    <x v="246"/>
    <x v="2"/>
    <s v="Alabama"/>
    <s v="Birmingham"/>
    <s v="Online"/>
    <x v="1"/>
    <n v="49"/>
    <n v="145"/>
    <n v="7105"/>
    <n v="3197.2500000000005"/>
  </r>
  <r>
    <x v="0"/>
    <n v="1185732"/>
    <x v="246"/>
    <x v="1"/>
    <s v="Wisconsin"/>
    <s v="Milwaukee"/>
    <s v="Online"/>
    <x v="1"/>
    <n v="33"/>
    <n v="33"/>
    <n v="1089"/>
    <n v="381.15"/>
  </r>
  <r>
    <x v="2"/>
    <n v="1185732"/>
    <x v="247"/>
    <x v="3"/>
    <s v="South Carolina"/>
    <s v="Charleston"/>
    <s v="Online"/>
    <x v="3"/>
    <n v="40"/>
    <n v="725"/>
    <n v="29000"/>
    <n v="21750"/>
  </r>
  <r>
    <x v="2"/>
    <n v="1185732"/>
    <x v="247"/>
    <x v="3"/>
    <s v="South Carolina"/>
    <s v="Charleston"/>
    <s v="Online"/>
    <x v="5"/>
    <n v="40"/>
    <n v="700"/>
    <n v="28000"/>
    <n v="19600"/>
  </r>
  <r>
    <x v="2"/>
    <n v="1185732"/>
    <x v="247"/>
    <x v="3"/>
    <s v="South Carolina"/>
    <s v="Charleston"/>
    <s v="Online"/>
    <x v="0"/>
    <n v="50.000000000000014"/>
    <n v="825"/>
    <n v="41250.000000000015"/>
    <n v="26812.500000000011"/>
  </r>
  <r>
    <x v="3"/>
    <n v="1197831"/>
    <x v="247"/>
    <x v="2"/>
    <s v="Texas"/>
    <s v="Dallas"/>
    <s v="Outlet"/>
    <x v="0"/>
    <n v="30.000000000000004"/>
    <n v="775"/>
    <n v="23250.000000000004"/>
    <n v="15112.500000000004"/>
  </r>
  <r>
    <x v="3"/>
    <n v="1197831"/>
    <x v="247"/>
    <x v="0"/>
    <s v="Idaho"/>
    <s v="Boise"/>
    <s v="Online"/>
    <x v="1"/>
    <n v="55.000000000000007"/>
    <n v="400"/>
    <n v="22000.000000000004"/>
    <n v="14300.000000000004"/>
  </r>
  <r>
    <x v="2"/>
    <n v="1185732"/>
    <x v="247"/>
    <x v="3"/>
    <s v="South Carolina"/>
    <s v="Charleston"/>
    <s v="Online"/>
    <x v="1"/>
    <n v="50"/>
    <n v="700"/>
    <n v="35000"/>
    <n v="22750"/>
  </r>
  <r>
    <x v="3"/>
    <n v="1197831"/>
    <x v="247"/>
    <x v="0"/>
    <s v="Idaho"/>
    <s v="Boise"/>
    <s v="Online"/>
    <x v="4"/>
    <n v="55.000000000000007"/>
    <n v="675"/>
    <n v="37125.000000000007"/>
    <n v="22275.000000000007"/>
  </r>
  <r>
    <x v="3"/>
    <n v="1197831"/>
    <x v="247"/>
    <x v="0"/>
    <s v="Idaho"/>
    <s v="Boise"/>
    <s v="Online"/>
    <x v="0"/>
    <n v="55.000000000000007"/>
    <n v="625"/>
    <n v="34375.000000000007"/>
    <n v="20625.000000000007"/>
  </r>
  <r>
    <x v="3"/>
    <n v="1197831"/>
    <x v="247"/>
    <x v="0"/>
    <s v="Idaho"/>
    <s v="Boise"/>
    <s v="Online"/>
    <x v="3"/>
    <n v="60"/>
    <n v="675"/>
    <n v="40500"/>
    <n v="24300"/>
  </r>
  <r>
    <x v="2"/>
    <n v="1185732"/>
    <x v="247"/>
    <x v="3"/>
    <s v="South Carolina"/>
    <s v="Charleston"/>
    <s v="Online"/>
    <x v="4"/>
    <n v="55.000000000000007"/>
    <n v="1025"/>
    <n v="56375.000000000007"/>
    <n v="31006.250000000007"/>
  </r>
  <r>
    <x v="3"/>
    <n v="1197831"/>
    <x v="247"/>
    <x v="0"/>
    <s v="Idaho"/>
    <s v="Boise"/>
    <s v="Online"/>
    <x v="5"/>
    <n v="60"/>
    <n v="400"/>
    <n v="24000"/>
    <n v="12000"/>
  </r>
  <r>
    <x v="2"/>
    <n v="1185732"/>
    <x v="247"/>
    <x v="3"/>
    <s v="South Carolina"/>
    <s v="Charleston"/>
    <s v="Online"/>
    <x v="2"/>
    <n v="55.000000000000007"/>
    <n v="800"/>
    <n v="44000.000000000007"/>
    <n v="22000.000000000004"/>
  </r>
  <r>
    <x v="3"/>
    <n v="1197831"/>
    <x v="247"/>
    <x v="0"/>
    <s v="Idaho"/>
    <s v="Boise"/>
    <s v="Online"/>
    <x v="2"/>
    <n v="50"/>
    <n v="625"/>
    <n v="31250"/>
    <n v="14062.5"/>
  </r>
  <r>
    <x v="3"/>
    <n v="1197831"/>
    <x v="247"/>
    <x v="2"/>
    <s v="Alabama"/>
    <s v="Birmingham"/>
    <s v="Outlet"/>
    <x v="2"/>
    <n v="55.000000000000007"/>
    <n v="875"/>
    <n v="48125.000000000007"/>
    <n v="19250"/>
  </r>
  <r>
    <x v="2"/>
    <n v="1185732"/>
    <x v="247"/>
    <x v="3"/>
    <s v="South Carolina"/>
    <s v="Charleston"/>
    <s v="Online"/>
    <x v="3"/>
    <n v="38"/>
    <n v="196"/>
    <n v="7448"/>
    <n v="4543.28"/>
  </r>
  <r>
    <x v="2"/>
    <n v="1185732"/>
    <x v="247"/>
    <x v="3"/>
    <s v="South Carolina"/>
    <s v="Charleston"/>
    <s v="Online"/>
    <x v="5"/>
    <n v="39"/>
    <n v="210"/>
    <n v="8190"/>
    <n v="4914"/>
  </r>
  <r>
    <x v="3"/>
    <n v="1197831"/>
    <x v="247"/>
    <x v="0"/>
    <s v="Idaho"/>
    <s v="Boise"/>
    <s v="Outlet"/>
    <x v="1"/>
    <n v="42"/>
    <n v="140"/>
    <n v="5880"/>
    <n v="3469.2000000000003"/>
  </r>
  <r>
    <x v="3"/>
    <n v="1197831"/>
    <x v="247"/>
    <x v="2"/>
    <s v="Texas"/>
    <s v="Dallas"/>
    <s v="Outlet"/>
    <x v="0"/>
    <n v="22"/>
    <n v="248"/>
    <n v="5456"/>
    <n v="3164.48"/>
  </r>
  <r>
    <x v="3"/>
    <n v="1197831"/>
    <x v="247"/>
    <x v="0"/>
    <s v="Idaho"/>
    <s v="Boise"/>
    <s v="Outlet"/>
    <x v="0"/>
    <n v="38"/>
    <n v="219"/>
    <n v="8322"/>
    <n v="4743.5400000000009"/>
  </r>
  <r>
    <x v="3"/>
    <n v="1197831"/>
    <x v="247"/>
    <x v="0"/>
    <s v="Idaho"/>
    <s v="Boise"/>
    <s v="Outlet"/>
    <x v="3"/>
    <n v="43"/>
    <n v="203"/>
    <n v="8729"/>
    <n v="4800.9500000000007"/>
  </r>
  <r>
    <x v="3"/>
    <n v="1197831"/>
    <x v="247"/>
    <x v="0"/>
    <s v="Idaho"/>
    <s v="Boise"/>
    <s v="Outlet"/>
    <x v="4"/>
    <n v="41"/>
    <n v="230"/>
    <n v="9430"/>
    <n v="5092.2000000000007"/>
  </r>
  <r>
    <x v="3"/>
    <n v="1197831"/>
    <x v="247"/>
    <x v="0"/>
    <s v="Idaho"/>
    <s v="Boise"/>
    <s v="Online"/>
    <x v="1"/>
    <n v="50"/>
    <n v="104"/>
    <n v="5200"/>
    <n v="2808"/>
  </r>
  <r>
    <x v="2"/>
    <n v="1185732"/>
    <x v="247"/>
    <x v="3"/>
    <s v="South Carolina"/>
    <s v="Charleston"/>
    <s v="Online"/>
    <x v="1"/>
    <n v="48"/>
    <n v="175"/>
    <n v="8400"/>
    <n v="4536"/>
  </r>
  <r>
    <x v="2"/>
    <n v="1185732"/>
    <x v="247"/>
    <x v="3"/>
    <s v="South Carolina"/>
    <s v="Charleston"/>
    <s v="Online"/>
    <x v="0"/>
    <n v="48"/>
    <n v="223"/>
    <n v="10704"/>
    <n v="5566.08"/>
  </r>
  <r>
    <x v="3"/>
    <n v="1197831"/>
    <x v="247"/>
    <x v="2"/>
    <s v="Texas"/>
    <s v="Dallas"/>
    <s v="Online"/>
    <x v="0"/>
    <n v="29"/>
    <n v="194"/>
    <n v="5626"/>
    <n v="2869.26"/>
  </r>
  <r>
    <x v="3"/>
    <n v="1197831"/>
    <x v="247"/>
    <x v="0"/>
    <s v="Idaho"/>
    <s v="Boise"/>
    <s v="Online"/>
    <x v="4"/>
    <n v="50"/>
    <n v="176"/>
    <n v="8800"/>
    <n v="4400"/>
  </r>
  <r>
    <x v="3"/>
    <n v="1197831"/>
    <x v="247"/>
    <x v="0"/>
    <s v="Idaho"/>
    <s v="Boise"/>
    <s v="Online"/>
    <x v="0"/>
    <n v="50"/>
    <n v="188"/>
    <n v="9400"/>
    <n v="4512"/>
  </r>
  <r>
    <x v="3"/>
    <n v="1197831"/>
    <x v="247"/>
    <x v="0"/>
    <s v="Idaho"/>
    <s v="Boise"/>
    <s v="Online"/>
    <x v="3"/>
    <n v="56"/>
    <n v="182"/>
    <n v="10192"/>
    <n v="4892.16"/>
  </r>
  <r>
    <x v="3"/>
    <n v="1197831"/>
    <x v="247"/>
    <x v="0"/>
    <s v="Idaho"/>
    <s v="Boise"/>
    <s v="Outlet"/>
    <x v="5"/>
    <n v="40"/>
    <n v="136"/>
    <n v="5440"/>
    <n v="2447.9999999999995"/>
  </r>
  <r>
    <x v="2"/>
    <n v="1185732"/>
    <x v="247"/>
    <x v="3"/>
    <s v="South Carolina"/>
    <s v="Charleston"/>
    <s v="Online"/>
    <x v="4"/>
    <n v="51"/>
    <n v="287"/>
    <n v="14637"/>
    <n v="6147.5399999999991"/>
  </r>
  <r>
    <x v="3"/>
    <n v="1197831"/>
    <x v="247"/>
    <x v="0"/>
    <s v="Idaho"/>
    <s v="Boise"/>
    <s v="Outlet"/>
    <x v="2"/>
    <n v="36"/>
    <n v="200"/>
    <n v="7200"/>
    <n v="3023.9999999999991"/>
  </r>
  <r>
    <x v="2"/>
    <n v="1185732"/>
    <x v="247"/>
    <x v="3"/>
    <s v="South Carolina"/>
    <s v="Charleston"/>
    <s v="Online"/>
    <x v="2"/>
    <n v="52"/>
    <n v="232"/>
    <n v="12064"/>
    <n v="4825.6000000000004"/>
  </r>
  <r>
    <x v="3"/>
    <n v="1197831"/>
    <x v="247"/>
    <x v="0"/>
    <s v="Idaho"/>
    <s v="Boise"/>
    <s v="Online"/>
    <x v="5"/>
    <n v="55"/>
    <n v="116"/>
    <n v="6380"/>
    <n v="2360.6"/>
  </r>
  <r>
    <x v="3"/>
    <n v="1197831"/>
    <x v="247"/>
    <x v="2"/>
    <s v="Alabama"/>
    <s v="Birmingham"/>
    <s v="Outlet"/>
    <x v="2"/>
    <n v="36"/>
    <n v="280"/>
    <n v="10080"/>
    <n v="3628.7999999999984"/>
  </r>
  <r>
    <x v="3"/>
    <n v="1197831"/>
    <x v="247"/>
    <x v="0"/>
    <s v="Idaho"/>
    <s v="Boise"/>
    <s v="Online"/>
    <x v="2"/>
    <n v="49"/>
    <n v="181"/>
    <n v="8869"/>
    <n v="2926.7699999999995"/>
  </r>
  <r>
    <x v="3"/>
    <n v="1197831"/>
    <x v="247"/>
    <x v="2"/>
    <s v="Alabama"/>
    <s v="Birmingham"/>
    <s v="Online"/>
    <x v="2"/>
    <n v="50"/>
    <n v="245"/>
    <n v="12250"/>
    <n v="3429.9999999999982"/>
  </r>
  <r>
    <x v="2"/>
    <n v="1185732"/>
    <x v="248"/>
    <x v="4"/>
    <s v="Rhode Island"/>
    <s v="Providence"/>
    <s v="In-store"/>
    <x v="1"/>
    <n v="49.999999999999993"/>
    <n v="100"/>
    <n v="4999.9999999999991"/>
    <n v="3500"/>
  </r>
  <r>
    <x v="1"/>
    <n v="1185732"/>
    <x v="248"/>
    <x v="4"/>
    <s v="New Jersey"/>
    <s v="Newark"/>
    <s v="In-store"/>
    <x v="1"/>
    <n v="49.999999999999993"/>
    <n v="150"/>
    <n v="7499.9999999999991"/>
    <n v="5249.9999999999982"/>
  </r>
  <r>
    <x v="1"/>
    <n v="1185732"/>
    <x v="248"/>
    <x v="4"/>
    <s v="New Jersey"/>
    <s v="Newark"/>
    <s v="In-store"/>
    <x v="4"/>
    <n v="49.999999999999993"/>
    <n v="475"/>
    <n v="23749.999999999996"/>
    <n v="15437.5"/>
  </r>
  <r>
    <x v="2"/>
    <n v="1185732"/>
    <x v="248"/>
    <x v="4"/>
    <s v="Rhode Island"/>
    <s v="Providence"/>
    <s v="In-store"/>
    <x v="4"/>
    <n v="49.999999999999993"/>
    <n v="425"/>
    <n v="21249.999999999996"/>
    <n v="13812.5"/>
  </r>
  <r>
    <x v="3"/>
    <n v="1197831"/>
    <x v="248"/>
    <x v="2"/>
    <s v="Texas"/>
    <s v="Dallas"/>
    <s v="Outlet"/>
    <x v="3"/>
    <n v="24.999999999999996"/>
    <n v="625"/>
    <n v="15624.999999999998"/>
    <n v="10156.249999999998"/>
  </r>
  <r>
    <x v="1"/>
    <n v="1185732"/>
    <x v="248"/>
    <x v="4"/>
    <s v="New Jersey"/>
    <s v="Newark"/>
    <s v="In-store"/>
    <x v="0"/>
    <n v="45"/>
    <n v="275"/>
    <n v="12375"/>
    <n v="8043.75"/>
  </r>
  <r>
    <x v="2"/>
    <n v="1185732"/>
    <x v="248"/>
    <x v="4"/>
    <s v="Rhode Island"/>
    <s v="Providence"/>
    <s v="In-store"/>
    <x v="0"/>
    <n v="45"/>
    <n v="225"/>
    <n v="10125"/>
    <n v="6581.25"/>
  </r>
  <r>
    <x v="1"/>
    <n v="1185732"/>
    <x v="248"/>
    <x v="4"/>
    <s v="New Jersey"/>
    <s v="Newark"/>
    <s v="In-store"/>
    <x v="3"/>
    <n v="40"/>
    <n v="175"/>
    <n v="7000"/>
    <n v="4200"/>
  </r>
  <r>
    <x v="1"/>
    <n v="1185732"/>
    <x v="248"/>
    <x v="4"/>
    <s v="New Jersey"/>
    <s v="Newark"/>
    <s v="In-store"/>
    <x v="5"/>
    <n v="40"/>
    <n v="150"/>
    <n v="6000"/>
    <n v="3600"/>
  </r>
  <r>
    <x v="2"/>
    <n v="1185732"/>
    <x v="248"/>
    <x v="4"/>
    <s v="Rhode Island"/>
    <s v="Providence"/>
    <s v="In-store"/>
    <x v="3"/>
    <n v="40"/>
    <n v="125"/>
    <n v="5000"/>
    <n v="3000"/>
  </r>
  <r>
    <x v="2"/>
    <n v="1185732"/>
    <x v="248"/>
    <x v="4"/>
    <s v="Rhode Island"/>
    <s v="Providence"/>
    <s v="In-store"/>
    <x v="5"/>
    <n v="40"/>
    <n v="100"/>
    <n v="4000"/>
    <n v="2400"/>
  </r>
  <r>
    <x v="2"/>
    <n v="1185732"/>
    <x v="248"/>
    <x v="4"/>
    <s v="Rhode Island"/>
    <s v="Providence"/>
    <s v="In-store"/>
    <x v="2"/>
    <n v="54.999999999999993"/>
    <n v="200"/>
    <n v="10999.999999999998"/>
    <n v="6599.9999999999982"/>
  </r>
  <r>
    <x v="1"/>
    <n v="1185732"/>
    <x v="248"/>
    <x v="4"/>
    <s v="New Jersey"/>
    <s v="Newark"/>
    <s v="In-store"/>
    <x v="2"/>
    <n v="54.999999999999993"/>
    <n v="250"/>
    <n v="13749.999999999998"/>
    <n v="8249.9999999999964"/>
  </r>
  <r>
    <x v="3"/>
    <n v="1197831"/>
    <x v="248"/>
    <x v="2"/>
    <s v="Alabama"/>
    <s v="Birmingham"/>
    <s v="Outlet"/>
    <x v="4"/>
    <n v="45"/>
    <n v="825"/>
    <n v="37125"/>
    <n v="18562.500000000004"/>
  </r>
  <r>
    <x v="2"/>
    <n v="1185732"/>
    <x v="248"/>
    <x v="4"/>
    <s v="Rhode Island"/>
    <s v="Providence"/>
    <s v="Outlet"/>
    <x v="1"/>
    <n v="34"/>
    <n v="33"/>
    <n v="1122"/>
    <n v="718.08"/>
  </r>
  <r>
    <x v="2"/>
    <n v="1185732"/>
    <x v="248"/>
    <x v="4"/>
    <s v="Rhode Island"/>
    <s v="Providence"/>
    <s v="Outlet"/>
    <x v="0"/>
    <n v="30"/>
    <n v="79"/>
    <n v="2370"/>
    <n v="1493.1"/>
  </r>
  <r>
    <x v="3"/>
    <n v="1197831"/>
    <x v="248"/>
    <x v="2"/>
    <s v="Texas"/>
    <s v="Dallas"/>
    <s v="Outlet"/>
    <x v="3"/>
    <n v="19"/>
    <n v="200"/>
    <n v="3800"/>
    <n v="2280"/>
  </r>
  <r>
    <x v="1"/>
    <n v="1185732"/>
    <x v="248"/>
    <x v="4"/>
    <s v="New Jersey"/>
    <s v="Newark"/>
    <s v="Online"/>
    <x v="1"/>
    <n v="47"/>
    <n v="41"/>
    <n v="1927"/>
    <n v="1136.93"/>
  </r>
  <r>
    <x v="2"/>
    <n v="1185732"/>
    <x v="248"/>
    <x v="4"/>
    <s v="Rhode Island"/>
    <s v="Providence"/>
    <s v="Online"/>
    <x v="1"/>
    <n v="47"/>
    <n v="27"/>
    <n v="1269"/>
    <n v="748.71"/>
  </r>
  <r>
    <x v="2"/>
    <n v="1185732"/>
    <x v="248"/>
    <x v="4"/>
    <s v="Rhode Island"/>
    <s v="Providence"/>
    <s v="Outlet"/>
    <x v="4"/>
    <n v="39"/>
    <n v="128"/>
    <n v="4992"/>
    <n v="2895.36"/>
  </r>
  <r>
    <x v="2"/>
    <n v="1185732"/>
    <x v="248"/>
    <x v="4"/>
    <s v="Rhode Island"/>
    <s v="Providence"/>
    <s v="Outlet"/>
    <x v="3"/>
    <n v="29"/>
    <n v="39"/>
    <n v="1131"/>
    <n v="644.66999999999996"/>
  </r>
  <r>
    <x v="2"/>
    <n v="1185732"/>
    <x v="248"/>
    <x v="4"/>
    <s v="Rhode Island"/>
    <s v="Providence"/>
    <s v="Outlet"/>
    <x v="2"/>
    <n v="41"/>
    <n v="64"/>
    <n v="2624"/>
    <n v="1443.2"/>
  </r>
  <r>
    <x v="2"/>
    <n v="1185732"/>
    <x v="248"/>
    <x v="4"/>
    <s v="Rhode Island"/>
    <s v="Providence"/>
    <s v="Online"/>
    <x v="4"/>
    <n v="45"/>
    <n v="111"/>
    <n v="4995"/>
    <n v="2747.25"/>
  </r>
  <r>
    <x v="2"/>
    <n v="1185732"/>
    <x v="248"/>
    <x v="4"/>
    <s v="Rhode Island"/>
    <s v="Providence"/>
    <s v="Outlet"/>
    <x v="5"/>
    <n v="30"/>
    <n v="32"/>
    <n v="960"/>
    <n v="518.4"/>
  </r>
  <r>
    <x v="3"/>
    <n v="1197831"/>
    <x v="248"/>
    <x v="2"/>
    <s v="Texas"/>
    <s v="Dallas"/>
    <s v="Online"/>
    <x v="3"/>
    <n v="24"/>
    <n v="175"/>
    <n v="4200"/>
    <n v="2226"/>
  </r>
  <r>
    <x v="2"/>
    <n v="1185732"/>
    <x v="248"/>
    <x v="4"/>
    <s v="Rhode Island"/>
    <s v="Providence"/>
    <s v="Online"/>
    <x v="0"/>
    <n v="43"/>
    <n v="56"/>
    <n v="2408"/>
    <n v="1252.1600000000001"/>
  </r>
  <r>
    <x v="1"/>
    <n v="1185732"/>
    <x v="248"/>
    <x v="4"/>
    <s v="New Jersey"/>
    <s v="Newark"/>
    <s v="Online"/>
    <x v="4"/>
    <n v="46"/>
    <n v="124"/>
    <n v="5704"/>
    <n v="2909.04"/>
  </r>
  <r>
    <x v="1"/>
    <n v="1185732"/>
    <x v="248"/>
    <x v="4"/>
    <s v="New Jersey"/>
    <s v="Newark"/>
    <s v="Online"/>
    <x v="0"/>
    <n v="41"/>
    <n v="72"/>
    <n v="2952"/>
    <n v="1476"/>
  </r>
  <r>
    <x v="2"/>
    <n v="1185732"/>
    <x v="248"/>
    <x v="4"/>
    <s v="Rhode Island"/>
    <s v="Providence"/>
    <s v="Online"/>
    <x v="3"/>
    <n v="36"/>
    <n v="38"/>
    <n v="1368"/>
    <n v="670.31999999999994"/>
  </r>
  <r>
    <x v="2"/>
    <n v="1185732"/>
    <x v="248"/>
    <x v="4"/>
    <s v="Rhode Island"/>
    <s v="Providence"/>
    <s v="Online"/>
    <x v="2"/>
    <n v="52"/>
    <n v="58"/>
    <n v="3016"/>
    <n v="1477.84"/>
  </r>
  <r>
    <x v="3"/>
    <n v="1197831"/>
    <x v="248"/>
    <x v="2"/>
    <s v="Alabama"/>
    <s v="Birmingham"/>
    <s v="Outlet"/>
    <x v="4"/>
    <n v="31"/>
    <n v="256"/>
    <n v="7936"/>
    <n v="3729.920000000001"/>
  </r>
  <r>
    <x v="1"/>
    <n v="1185732"/>
    <x v="248"/>
    <x v="4"/>
    <s v="New Jersey"/>
    <s v="Newark"/>
    <s v="Online"/>
    <x v="3"/>
    <n v="39"/>
    <n v="51"/>
    <n v="1989"/>
    <n v="934.82999999999993"/>
  </r>
  <r>
    <x v="1"/>
    <n v="1185732"/>
    <x v="248"/>
    <x v="4"/>
    <s v="New Jersey"/>
    <s v="Newark"/>
    <s v="Online"/>
    <x v="5"/>
    <n v="37"/>
    <n v="38"/>
    <n v="1406"/>
    <n v="660.81999999999994"/>
  </r>
  <r>
    <x v="1"/>
    <n v="1185732"/>
    <x v="248"/>
    <x v="4"/>
    <s v="New Jersey"/>
    <s v="Newark"/>
    <s v="Online"/>
    <x v="2"/>
    <n v="50"/>
    <n v="73"/>
    <n v="3650"/>
    <n v="1715.5"/>
  </r>
  <r>
    <x v="2"/>
    <n v="1185732"/>
    <x v="248"/>
    <x v="4"/>
    <s v="Rhode Island"/>
    <s v="Providence"/>
    <s v="Online"/>
    <x v="5"/>
    <n v="39"/>
    <n v="27"/>
    <n v="1053"/>
    <n v="484.38"/>
  </r>
  <r>
    <x v="3"/>
    <n v="1197831"/>
    <x v="248"/>
    <x v="2"/>
    <s v="Alabama"/>
    <s v="Birmingham"/>
    <s v="Online"/>
    <x v="4"/>
    <n v="44"/>
    <n v="206"/>
    <n v="9064"/>
    <n v="3263.0400000000009"/>
  </r>
  <r>
    <x v="2"/>
    <n v="1185732"/>
    <x v="249"/>
    <x v="1"/>
    <s v="Iowa"/>
    <s v="Des Moines"/>
    <s v="In-store"/>
    <x v="3"/>
    <n v="25.000000000000007"/>
    <n v="175"/>
    <n v="4375.0000000000009"/>
    <n v="3062.5000000000009"/>
  </r>
  <r>
    <x v="2"/>
    <n v="1185732"/>
    <x v="249"/>
    <x v="1"/>
    <s v="Iowa"/>
    <s v="Des Moines"/>
    <s v="In-store"/>
    <x v="5"/>
    <n v="25.000000000000007"/>
    <n v="150"/>
    <n v="3750.0000000000009"/>
    <n v="2625.0000000000009"/>
  </r>
  <r>
    <x v="2"/>
    <n v="1185732"/>
    <x v="249"/>
    <x v="1"/>
    <s v="Iowa"/>
    <s v="Des Moines"/>
    <s v="In-store"/>
    <x v="4"/>
    <n v="35"/>
    <n v="475"/>
    <n v="16625"/>
    <n v="11637.5"/>
  </r>
  <r>
    <x v="2"/>
    <n v="1185732"/>
    <x v="249"/>
    <x v="1"/>
    <s v="Iowa"/>
    <s v="Des Moines"/>
    <s v="In-store"/>
    <x v="0"/>
    <n v="30.000000000000011"/>
    <n v="275"/>
    <n v="8250.0000000000036"/>
    <n v="5362.5000000000018"/>
  </r>
  <r>
    <x v="2"/>
    <n v="1185732"/>
    <x v="249"/>
    <x v="1"/>
    <s v="Iowa"/>
    <s v="Des Moines"/>
    <s v="In-store"/>
    <x v="2"/>
    <n v="40"/>
    <n v="225"/>
    <n v="9000"/>
    <n v="5400"/>
  </r>
  <r>
    <x v="3"/>
    <n v="1197831"/>
    <x v="249"/>
    <x v="2"/>
    <s v="Texas"/>
    <s v="Dallas"/>
    <s v="Outlet"/>
    <x v="5"/>
    <n v="35"/>
    <n v="550"/>
    <n v="19250"/>
    <n v="10587.5"/>
  </r>
  <r>
    <x v="3"/>
    <n v="1197831"/>
    <x v="249"/>
    <x v="2"/>
    <s v="Alabama"/>
    <s v="Birmingham"/>
    <s v="Outlet"/>
    <x v="0"/>
    <n v="50"/>
    <n v="825"/>
    <n v="41250"/>
    <n v="20625.000000000004"/>
  </r>
  <r>
    <x v="2"/>
    <n v="1185732"/>
    <x v="249"/>
    <x v="1"/>
    <s v="Iowa"/>
    <s v="Des Moines"/>
    <s v="In-store"/>
    <x v="1"/>
    <n v="35"/>
    <n v="150"/>
    <n v="5250"/>
    <n v="2625"/>
  </r>
  <r>
    <x v="2"/>
    <n v="1185732"/>
    <x v="249"/>
    <x v="1"/>
    <s v="Iowa"/>
    <s v="Des Moines"/>
    <s v="Online"/>
    <x v="4"/>
    <n v="34"/>
    <n v="133"/>
    <n v="4522"/>
    <n v="2713.2"/>
  </r>
  <r>
    <x v="2"/>
    <n v="1185732"/>
    <x v="249"/>
    <x v="1"/>
    <s v="Iowa"/>
    <s v="Des Moines"/>
    <s v="Online"/>
    <x v="3"/>
    <n v="24"/>
    <n v="49"/>
    <n v="1176"/>
    <n v="705.59999999999991"/>
  </r>
  <r>
    <x v="2"/>
    <n v="1185732"/>
    <x v="249"/>
    <x v="1"/>
    <s v="Iowa"/>
    <s v="Des Moines"/>
    <s v="Online"/>
    <x v="5"/>
    <n v="23"/>
    <n v="38"/>
    <n v="874"/>
    <n v="480.70000000000005"/>
  </r>
  <r>
    <x v="2"/>
    <n v="1185732"/>
    <x v="249"/>
    <x v="1"/>
    <s v="Iowa"/>
    <s v="Des Moines"/>
    <s v="Online"/>
    <x v="0"/>
    <n v="27"/>
    <n v="77"/>
    <n v="2079"/>
    <n v="1101.8699999999999"/>
  </r>
  <r>
    <x v="3"/>
    <n v="1197831"/>
    <x v="249"/>
    <x v="2"/>
    <s v="Texas"/>
    <s v="Dallas"/>
    <s v="Outlet"/>
    <x v="5"/>
    <n v="27"/>
    <n v="182"/>
    <n v="4914"/>
    <n v="2506.14"/>
  </r>
  <r>
    <x v="2"/>
    <n v="1185732"/>
    <x v="249"/>
    <x v="1"/>
    <s v="Iowa"/>
    <s v="Des Moines"/>
    <s v="Online"/>
    <x v="2"/>
    <n v="36"/>
    <n v="61"/>
    <n v="2196"/>
    <n v="1098"/>
  </r>
  <r>
    <x v="3"/>
    <n v="1197831"/>
    <x v="249"/>
    <x v="2"/>
    <s v="Alabama"/>
    <s v="Birmingham"/>
    <s v="Outlet"/>
    <x v="0"/>
    <n v="37"/>
    <n v="264"/>
    <n v="9768"/>
    <n v="4395.6000000000004"/>
  </r>
  <r>
    <x v="3"/>
    <n v="1197831"/>
    <x v="249"/>
    <x v="2"/>
    <s v="Texas"/>
    <s v="Dallas"/>
    <s v="Online"/>
    <x v="5"/>
    <n v="34"/>
    <n v="154"/>
    <n v="5236"/>
    <n v="2094.4"/>
  </r>
  <r>
    <x v="2"/>
    <n v="1185732"/>
    <x v="249"/>
    <x v="1"/>
    <s v="Iowa"/>
    <s v="Des Moines"/>
    <s v="Online"/>
    <x v="1"/>
    <n v="34"/>
    <n v="45"/>
    <n v="1530"/>
    <n v="596.70000000000005"/>
  </r>
  <r>
    <x v="3"/>
    <n v="1197831"/>
    <x v="249"/>
    <x v="2"/>
    <s v="Alabama"/>
    <s v="Birmingham"/>
    <s v="Online"/>
    <x v="0"/>
    <n v="49"/>
    <n v="215"/>
    <n v="10535"/>
    <n v="3792.6000000000013"/>
  </r>
  <r>
    <x v="0"/>
    <n v="1185732"/>
    <x v="250"/>
    <x v="4"/>
    <s v="New York"/>
    <s v="Albany"/>
    <s v="In-store"/>
    <x v="3"/>
    <n v="45"/>
    <n v="550"/>
    <n v="24750"/>
    <n v="18562.5"/>
  </r>
  <r>
    <x v="3"/>
    <n v="1197831"/>
    <x v="250"/>
    <x v="2"/>
    <s v="Texas"/>
    <s v="Dallas"/>
    <s v="Outlet"/>
    <x v="1"/>
    <n v="50"/>
    <n v="450"/>
    <n v="22500"/>
    <n v="15750"/>
  </r>
  <r>
    <x v="0"/>
    <n v="1185732"/>
    <x v="250"/>
    <x v="4"/>
    <s v="New York"/>
    <s v="Albany"/>
    <s v="In-store"/>
    <x v="5"/>
    <n v="45"/>
    <n v="525"/>
    <n v="23625"/>
    <n v="16537.5"/>
  </r>
  <r>
    <x v="0"/>
    <n v="1185732"/>
    <x v="250"/>
    <x v="4"/>
    <s v="New York"/>
    <s v="Albany"/>
    <s v="In-store"/>
    <x v="0"/>
    <n v="50.000000000000014"/>
    <n v="650"/>
    <n v="32500.000000000011"/>
    <n v="21125.000000000007"/>
  </r>
  <r>
    <x v="0"/>
    <n v="1185732"/>
    <x v="250"/>
    <x v="4"/>
    <s v="New York"/>
    <s v="Albany"/>
    <s v="In-store"/>
    <x v="1"/>
    <n v="55.000000000000007"/>
    <n v="525"/>
    <n v="28875.000000000004"/>
    <n v="18768.750000000007"/>
  </r>
  <r>
    <x v="0"/>
    <n v="1185732"/>
    <x v="250"/>
    <x v="4"/>
    <s v="New York"/>
    <s v="Albany"/>
    <s v="In-store"/>
    <x v="4"/>
    <n v="55.000000000000007"/>
    <n v="850"/>
    <n v="46750.000000000007"/>
    <n v="25712.500000000004"/>
  </r>
  <r>
    <x v="3"/>
    <n v="1197831"/>
    <x v="250"/>
    <x v="2"/>
    <s v="Alabama"/>
    <s v="Birmingham"/>
    <s v="Outlet"/>
    <x v="3"/>
    <n v="45"/>
    <n v="975"/>
    <n v="43875"/>
    <n v="21937.500000000004"/>
  </r>
  <r>
    <x v="0"/>
    <n v="1185732"/>
    <x v="250"/>
    <x v="4"/>
    <s v="New York"/>
    <s v="Albany"/>
    <s v="In-store"/>
    <x v="2"/>
    <n v="60.000000000000007"/>
    <n v="625"/>
    <n v="37500.000000000007"/>
    <n v="18750.000000000004"/>
  </r>
  <r>
    <x v="0"/>
    <n v="1185732"/>
    <x v="250"/>
    <x v="4"/>
    <s v="New York"/>
    <s v="Albany"/>
    <s v="Online"/>
    <x v="3"/>
    <n v="41"/>
    <n v="138"/>
    <n v="5658"/>
    <n v="3677.7"/>
  </r>
  <r>
    <x v="3"/>
    <n v="1197831"/>
    <x v="250"/>
    <x v="2"/>
    <s v="Texas"/>
    <s v="Dallas"/>
    <s v="Outlet"/>
    <x v="1"/>
    <n v="38"/>
    <n v="153"/>
    <n v="5814"/>
    <n v="3720.96"/>
  </r>
  <r>
    <x v="0"/>
    <n v="1185732"/>
    <x v="250"/>
    <x v="4"/>
    <s v="New York"/>
    <s v="Albany"/>
    <s v="Online"/>
    <x v="5"/>
    <n v="44"/>
    <n v="137"/>
    <n v="6028"/>
    <n v="3556.52"/>
  </r>
  <r>
    <x v="0"/>
    <n v="1185732"/>
    <x v="250"/>
    <x v="4"/>
    <s v="New York"/>
    <s v="Albany"/>
    <s v="Online"/>
    <x v="0"/>
    <n v="48"/>
    <n v="163"/>
    <n v="7824"/>
    <n v="4303.2000000000007"/>
  </r>
  <r>
    <x v="3"/>
    <n v="1197831"/>
    <x v="250"/>
    <x v="2"/>
    <s v="Texas"/>
    <s v="Dallas"/>
    <s v="Online"/>
    <x v="1"/>
    <n v="49"/>
    <n v="131"/>
    <n v="6419"/>
    <n v="3530.4500000000003"/>
  </r>
  <r>
    <x v="0"/>
    <n v="1185732"/>
    <x v="250"/>
    <x v="4"/>
    <s v="New York"/>
    <s v="Albany"/>
    <s v="Online"/>
    <x v="1"/>
    <n v="51"/>
    <n v="131"/>
    <n v="6681"/>
    <n v="3474.1200000000003"/>
  </r>
  <r>
    <x v="3"/>
    <n v="1197831"/>
    <x v="250"/>
    <x v="2"/>
    <s v="Alabama"/>
    <s v="Birmingham"/>
    <s v="Outlet"/>
    <x v="3"/>
    <n v="31"/>
    <n v="322"/>
    <n v="9982"/>
    <n v="4392.0800000000008"/>
  </r>
  <r>
    <x v="0"/>
    <n v="1185732"/>
    <x v="250"/>
    <x v="4"/>
    <s v="New York"/>
    <s v="Albany"/>
    <s v="Online"/>
    <x v="4"/>
    <n v="50"/>
    <n v="238"/>
    <n v="11900"/>
    <n v="4878.9999999999991"/>
  </r>
  <r>
    <x v="0"/>
    <n v="1185732"/>
    <x v="250"/>
    <x v="4"/>
    <s v="New York"/>
    <s v="Albany"/>
    <s v="Online"/>
    <x v="2"/>
    <n v="59"/>
    <n v="156"/>
    <n v="9204"/>
    <n v="3681.6000000000004"/>
  </r>
  <r>
    <x v="3"/>
    <n v="1197831"/>
    <x v="250"/>
    <x v="2"/>
    <s v="Alabama"/>
    <s v="Birmingham"/>
    <s v="Online"/>
    <x v="3"/>
    <n v="41"/>
    <n v="254"/>
    <n v="10414"/>
    <n v="3853.1800000000012"/>
  </r>
  <r>
    <x v="4"/>
    <n v="1185732"/>
    <x v="251"/>
    <x v="1"/>
    <s v="Ohio"/>
    <s v="Columbus"/>
    <s v="Online"/>
    <x v="0"/>
    <n v="50.000000000000014"/>
    <n v="575"/>
    <n v="28750.000000000007"/>
    <n v="18687.500000000007"/>
  </r>
  <r>
    <x v="4"/>
    <n v="1185732"/>
    <x v="251"/>
    <x v="1"/>
    <s v="Ohio"/>
    <s v="Columbus"/>
    <s v="Online"/>
    <x v="1"/>
    <n v="35"/>
    <n v="450"/>
    <n v="15750"/>
    <n v="10237.5"/>
  </r>
  <r>
    <x v="4"/>
    <n v="1185732"/>
    <x v="251"/>
    <x v="1"/>
    <s v="Ohio"/>
    <s v="Columbus"/>
    <s v="Online"/>
    <x v="4"/>
    <n v="55.000000000000007"/>
    <n v="775"/>
    <n v="42625.000000000007"/>
    <n v="25575.000000000004"/>
  </r>
  <r>
    <x v="4"/>
    <n v="1185732"/>
    <x v="251"/>
    <x v="1"/>
    <s v="Ohio"/>
    <s v="Columbus"/>
    <s v="Online"/>
    <x v="3"/>
    <n v="25.000000000000007"/>
    <n v="475"/>
    <n v="11875.000000000004"/>
    <n v="7125.0000000000018"/>
  </r>
  <r>
    <x v="4"/>
    <n v="1185732"/>
    <x v="251"/>
    <x v="1"/>
    <s v="Ohio"/>
    <s v="Columbus"/>
    <s v="Online"/>
    <x v="5"/>
    <n v="25.000000000000007"/>
    <n v="450"/>
    <n v="11250.000000000004"/>
    <n v="6750.0000000000018"/>
  </r>
  <r>
    <x v="3"/>
    <n v="1197831"/>
    <x v="251"/>
    <x v="2"/>
    <s v="Texas"/>
    <s v="Dallas"/>
    <s v="Outlet"/>
    <x v="2"/>
    <n v="45"/>
    <n v="800"/>
    <n v="36000"/>
    <n v="18000"/>
  </r>
  <r>
    <x v="4"/>
    <n v="1185732"/>
    <x v="251"/>
    <x v="1"/>
    <s v="Ohio"/>
    <s v="Columbus"/>
    <s v="Online"/>
    <x v="2"/>
    <n v="40.000000000000007"/>
    <n v="550"/>
    <n v="22000.000000000004"/>
    <n v="11000.000000000002"/>
  </r>
  <r>
    <x v="3"/>
    <n v="1197831"/>
    <x v="251"/>
    <x v="2"/>
    <s v="Alabama"/>
    <s v="Birmingham"/>
    <s v="Outlet"/>
    <x v="5"/>
    <n v="45"/>
    <n v="575"/>
    <n v="25875"/>
    <n v="10349.999999999996"/>
  </r>
  <r>
    <x v="4"/>
    <n v="1185732"/>
    <x v="251"/>
    <x v="1"/>
    <s v="Ohio"/>
    <s v="Columbus"/>
    <s v="Online"/>
    <x v="0"/>
    <n v="47"/>
    <n v="173"/>
    <n v="8131"/>
    <n v="4309.43"/>
  </r>
  <r>
    <x v="4"/>
    <n v="1185732"/>
    <x v="251"/>
    <x v="1"/>
    <s v="Ohio"/>
    <s v="Columbus"/>
    <s v="Online"/>
    <x v="1"/>
    <n v="32"/>
    <n v="122"/>
    <n v="3904"/>
    <n v="2030.0800000000002"/>
  </r>
  <r>
    <x v="4"/>
    <n v="1185732"/>
    <x v="251"/>
    <x v="1"/>
    <s v="Ohio"/>
    <s v="Columbus"/>
    <s v="Online"/>
    <x v="5"/>
    <n v="24"/>
    <n v="113"/>
    <n v="2712"/>
    <n v="1328.8799999999999"/>
  </r>
  <r>
    <x v="3"/>
    <n v="1197831"/>
    <x v="251"/>
    <x v="2"/>
    <s v="Texas"/>
    <s v="Dallas"/>
    <s v="Outlet"/>
    <x v="2"/>
    <n v="34"/>
    <n v="264"/>
    <n v="8976"/>
    <n v="4308.4799999999996"/>
  </r>
  <r>
    <x v="4"/>
    <n v="1185732"/>
    <x v="251"/>
    <x v="1"/>
    <s v="Ohio"/>
    <s v="Columbus"/>
    <s v="Online"/>
    <x v="4"/>
    <n v="50"/>
    <n v="225"/>
    <n v="11250"/>
    <n v="5175"/>
  </r>
  <r>
    <x v="4"/>
    <n v="1185732"/>
    <x v="251"/>
    <x v="1"/>
    <s v="Ohio"/>
    <s v="Columbus"/>
    <s v="Online"/>
    <x v="3"/>
    <n v="23"/>
    <n v="138"/>
    <n v="3174"/>
    <n v="1428.3"/>
  </r>
  <r>
    <x v="4"/>
    <n v="1185732"/>
    <x v="251"/>
    <x v="1"/>
    <s v="Ohio"/>
    <s v="Columbus"/>
    <s v="Online"/>
    <x v="2"/>
    <n v="37"/>
    <n v="138"/>
    <n v="5106"/>
    <n v="1940.2800000000002"/>
  </r>
  <r>
    <x v="3"/>
    <n v="1197831"/>
    <x v="251"/>
    <x v="2"/>
    <s v="Texas"/>
    <s v="Dallas"/>
    <s v="Online"/>
    <x v="2"/>
    <n v="43"/>
    <n v="224"/>
    <n v="9632"/>
    <n v="3371.2"/>
  </r>
  <r>
    <x v="3"/>
    <n v="1197831"/>
    <x v="251"/>
    <x v="2"/>
    <s v="Alabama"/>
    <s v="Birmingham"/>
    <s v="Outlet"/>
    <x v="5"/>
    <n v="36"/>
    <n v="196"/>
    <n v="7056"/>
    <n v="2328.4799999999987"/>
  </r>
  <r>
    <x v="3"/>
    <n v="1197831"/>
    <x v="251"/>
    <x v="2"/>
    <s v="Alabama"/>
    <s v="Birmingham"/>
    <s v="Online"/>
    <x v="5"/>
    <n v="44"/>
    <n v="173"/>
    <n v="7612"/>
    <n v="1979.119999999999"/>
  </r>
  <r>
    <x v="1"/>
    <n v="1185732"/>
    <x v="252"/>
    <x v="0"/>
    <s v="Wyoming"/>
    <s v="Cheyenne"/>
    <s v="In-store"/>
    <x v="2"/>
    <n v="55.000000000000007"/>
    <n v="600"/>
    <n v="33000.000000000007"/>
    <n v="24750.000000000007"/>
  </r>
  <r>
    <x v="1"/>
    <n v="1185732"/>
    <x v="252"/>
    <x v="0"/>
    <s v="Wyoming"/>
    <s v="Cheyenne"/>
    <s v="In-store"/>
    <x v="0"/>
    <n v="45.000000000000007"/>
    <n v="600"/>
    <n v="27000.000000000004"/>
    <n v="18900.000000000007"/>
  </r>
  <r>
    <x v="1"/>
    <n v="1185732"/>
    <x v="252"/>
    <x v="0"/>
    <s v="Wyoming"/>
    <s v="Cheyenne"/>
    <s v="In-store"/>
    <x v="1"/>
    <n v="50"/>
    <n v="500"/>
    <n v="25000"/>
    <n v="17500"/>
  </r>
  <r>
    <x v="3"/>
    <n v="1185732"/>
    <x v="252"/>
    <x v="1"/>
    <s v="North Dakota"/>
    <s v="Fargo"/>
    <s v="In-store"/>
    <x v="0"/>
    <n v="35.000000000000007"/>
    <n v="275"/>
    <n v="9625.0000000000018"/>
    <n v="6737.5000000000018"/>
  </r>
  <r>
    <x v="3"/>
    <n v="1185732"/>
    <x v="252"/>
    <x v="1"/>
    <s v="North Dakota"/>
    <s v="Fargo"/>
    <s v="In-store"/>
    <x v="3"/>
    <n v="30.000000000000004"/>
    <n v="175"/>
    <n v="5250.0000000000009"/>
    <n v="3675.0000000000009"/>
  </r>
  <r>
    <x v="3"/>
    <n v="1185732"/>
    <x v="252"/>
    <x v="1"/>
    <s v="North Dakota"/>
    <s v="Fargo"/>
    <s v="In-store"/>
    <x v="5"/>
    <n v="30.000000000000004"/>
    <n v="150"/>
    <n v="4500.0000000000009"/>
    <n v="3150.0000000000009"/>
  </r>
  <r>
    <x v="3"/>
    <n v="1197831"/>
    <x v="252"/>
    <x v="2"/>
    <s v="Texas"/>
    <s v="Dallas"/>
    <s v="Outlet"/>
    <x v="4"/>
    <n v="45"/>
    <n v="800"/>
    <n v="36000"/>
    <n v="23400"/>
  </r>
  <r>
    <x v="1"/>
    <n v="1185732"/>
    <x v="252"/>
    <x v="0"/>
    <s v="Wyoming"/>
    <s v="Cheyenne"/>
    <s v="In-store"/>
    <x v="3"/>
    <n v="40"/>
    <n v="525"/>
    <n v="21000"/>
    <n v="13650"/>
  </r>
  <r>
    <x v="1"/>
    <n v="1185732"/>
    <x v="252"/>
    <x v="0"/>
    <s v="Wyoming"/>
    <s v="Cheyenne"/>
    <s v="In-store"/>
    <x v="5"/>
    <n v="40"/>
    <n v="500"/>
    <n v="20000"/>
    <n v="13000"/>
  </r>
  <r>
    <x v="3"/>
    <n v="1185732"/>
    <x v="252"/>
    <x v="1"/>
    <s v="North Dakota"/>
    <s v="Fargo"/>
    <s v="In-store"/>
    <x v="4"/>
    <n v="40"/>
    <n v="475"/>
    <n v="19000"/>
    <n v="12350"/>
  </r>
  <r>
    <x v="3"/>
    <n v="1185732"/>
    <x v="252"/>
    <x v="1"/>
    <s v="North Dakota"/>
    <s v="Fargo"/>
    <s v="In-store"/>
    <x v="1"/>
    <n v="40"/>
    <n v="150"/>
    <n v="6000"/>
    <n v="3900"/>
  </r>
  <r>
    <x v="4"/>
    <n v="1185732"/>
    <x v="252"/>
    <x v="4"/>
    <s v="Vermont"/>
    <s v="Burlington"/>
    <s v="In-store"/>
    <x v="3"/>
    <n v="50"/>
    <n v="225"/>
    <n v="11250"/>
    <n v="7312.5"/>
  </r>
  <r>
    <x v="4"/>
    <n v="1185732"/>
    <x v="252"/>
    <x v="4"/>
    <s v="Vermont"/>
    <s v="Burlington"/>
    <s v="In-store"/>
    <x v="5"/>
    <n v="50"/>
    <n v="200"/>
    <n v="10000"/>
    <n v="6500"/>
  </r>
  <r>
    <x v="4"/>
    <n v="1185732"/>
    <x v="252"/>
    <x v="4"/>
    <s v="Vermont"/>
    <s v="Burlington"/>
    <s v="In-store"/>
    <x v="1"/>
    <n v="60"/>
    <n v="200"/>
    <n v="12000"/>
    <n v="7800"/>
  </r>
  <r>
    <x v="3"/>
    <n v="1185732"/>
    <x v="252"/>
    <x v="1"/>
    <s v="North Dakota"/>
    <s v="Fargo"/>
    <s v="In-store"/>
    <x v="2"/>
    <n v="45"/>
    <n v="225"/>
    <n v="10125"/>
    <n v="6075"/>
  </r>
  <r>
    <x v="4"/>
    <n v="1185732"/>
    <x v="252"/>
    <x v="4"/>
    <s v="Vermont"/>
    <s v="Burlington"/>
    <s v="In-store"/>
    <x v="2"/>
    <n v="65"/>
    <n v="300"/>
    <n v="19500"/>
    <n v="11700"/>
  </r>
  <r>
    <x v="3"/>
    <n v="1197831"/>
    <x v="252"/>
    <x v="2"/>
    <s v="Alabama"/>
    <s v="Birmingham"/>
    <s v="Outlet"/>
    <x v="1"/>
    <n v="50"/>
    <n v="525"/>
    <n v="26250"/>
    <n v="14437.5"/>
  </r>
  <r>
    <x v="4"/>
    <n v="1185732"/>
    <x v="252"/>
    <x v="4"/>
    <s v="Vermont"/>
    <s v="Burlington"/>
    <s v="In-store"/>
    <x v="4"/>
    <n v="60"/>
    <n v="525"/>
    <n v="31500"/>
    <n v="17325"/>
  </r>
  <r>
    <x v="4"/>
    <n v="1185732"/>
    <x v="252"/>
    <x v="4"/>
    <s v="Vermont"/>
    <s v="Burlington"/>
    <s v="In-store"/>
    <x v="0"/>
    <n v="55.000000000000007"/>
    <n v="325"/>
    <n v="17875.000000000004"/>
    <n v="9831.2500000000018"/>
  </r>
  <r>
    <x v="1"/>
    <n v="1185732"/>
    <x v="252"/>
    <x v="0"/>
    <s v="Wyoming"/>
    <s v="Cheyenne"/>
    <s v="In-store"/>
    <x v="4"/>
    <n v="50"/>
    <n v="800"/>
    <n v="40000"/>
    <n v="20000"/>
  </r>
  <r>
    <x v="3"/>
    <n v="1197831"/>
    <x v="252"/>
    <x v="2"/>
    <s v="Texas"/>
    <s v="Dallas"/>
    <s v="Outlet"/>
    <x v="4"/>
    <n v="30"/>
    <n v="256"/>
    <n v="7680"/>
    <n v="4838.3999999999996"/>
  </r>
  <r>
    <x v="4"/>
    <n v="1185732"/>
    <x v="252"/>
    <x v="4"/>
    <s v="Vermont"/>
    <s v="Burlington"/>
    <s v="Outlet"/>
    <x v="1"/>
    <n v="48"/>
    <n v="68"/>
    <n v="3264"/>
    <n v="2056.3199999999997"/>
  </r>
  <r>
    <x v="4"/>
    <n v="1185732"/>
    <x v="252"/>
    <x v="4"/>
    <s v="Vermont"/>
    <s v="Burlington"/>
    <s v="Outlet"/>
    <x v="5"/>
    <n v="35"/>
    <n v="66"/>
    <n v="2310"/>
    <n v="1386"/>
  </r>
  <r>
    <x v="1"/>
    <n v="1185732"/>
    <x v="252"/>
    <x v="0"/>
    <s v="Wyoming"/>
    <s v="Cheyenne"/>
    <s v="Online"/>
    <x v="2"/>
    <n v="52"/>
    <n v="174"/>
    <n v="9048"/>
    <n v="5428.7999999999993"/>
  </r>
  <r>
    <x v="3"/>
    <n v="1185732"/>
    <x v="252"/>
    <x v="1"/>
    <s v="North Dakota"/>
    <s v="Fargo"/>
    <s v="Online"/>
    <x v="5"/>
    <n v="28"/>
    <n v="44"/>
    <n v="1232"/>
    <n v="726.88000000000011"/>
  </r>
  <r>
    <x v="4"/>
    <n v="1185732"/>
    <x v="252"/>
    <x v="4"/>
    <s v="Vermont"/>
    <s v="Burlington"/>
    <s v="Outlet"/>
    <x v="3"/>
    <n v="40"/>
    <n v="72"/>
    <n v="2880"/>
    <n v="1670.4"/>
  </r>
  <r>
    <x v="3"/>
    <n v="1185732"/>
    <x v="252"/>
    <x v="1"/>
    <s v="North Dakota"/>
    <s v="Fargo"/>
    <s v="Online"/>
    <x v="0"/>
    <n v="34"/>
    <n v="72"/>
    <n v="2448"/>
    <n v="1395.3600000000001"/>
  </r>
  <r>
    <x v="1"/>
    <n v="1185732"/>
    <x v="252"/>
    <x v="0"/>
    <s v="Wyoming"/>
    <s v="Cheyenne"/>
    <s v="Online"/>
    <x v="0"/>
    <n v="44"/>
    <n v="150"/>
    <n v="6600"/>
    <n v="3762"/>
  </r>
  <r>
    <x v="1"/>
    <n v="1185732"/>
    <x v="252"/>
    <x v="0"/>
    <s v="Wyoming"/>
    <s v="Cheyenne"/>
    <s v="Online"/>
    <x v="1"/>
    <n v="48"/>
    <n v="125"/>
    <n v="6000"/>
    <n v="3420"/>
  </r>
  <r>
    <x v="3"/>
    <n v="1185732"/>
    <x v="252"/>
    <x v="1"/>
    <s v="North Dakota"/>
    <s v="Fargo"/>
    <s v="Online"/>
    <x v="3"/>
    <n v="27"/>
    <n v="51"/>
    <n v="1377"/>
    <n v="771.12"/>
  </r>
  <r>
    <x v="3"/>
    <n v="1197831"/>
    <x v="252"/>
    <x v="2"/>
    <s v="Texas"/>
    <s v="Dallas"/>
    <s v="Online"/>
    <x v="4"/>
    <n v="41"/>
    <n v="224"/>
    <n v="9184"/>
    <n v="5051.2000000000007"/>
  </r>
  <r>
    <x v="1"/>
    <n v="1185732"/>
    <x v="252"/>
    <x v="0"/>
    <s v="Wyoming"/>
    <s v="Cheyenne"/>
    <s v="Online"/>
    <x v="3"/>
    <n v="38"/>
    <n v="137"/>
    <n v="5206"/>
    <n v="2811.2400000000002"/>
  </r>
  <r>
    <x v="4"/>
    <n v="1185732"/>
    <x v="252"/>
    <x v="4"/>
    <s v="Vermont"/>
    <s v="Burlington"/>
    <s v="Outlet"/>
    <x v="2"/>
    <n v="45"/>
    <n v="93"/>
    <n v="4185"/>
    <n v="2259.9"/>
  </r>
  <r>
    <x v="4"/>
    <n v="1185732"/>
    <x v="252"/>
    <x v="4"/>
    <s v="Vermont"/>
    <s v="Burlington"/>
    <s v="Online"/>
    <x v="1"/>
    <n v="58"/>
    <n v="50"/>
    <n v="2900"/>
    <n v="1537"/>
  </r>
  <r>
    <x v="4"/>
    <n v="1185732"/>
    <x v="252"/>
    <x v="4"/>
    <s v="Vermont"/>
    <s v="Burlington"/>
    <s v="Online"/>
    <x v="5"/>
    <n v="45"/>
    <n v="52"/>
    <n v="2340"/>
    <n v="1193.4000000000001"/>
  </r>
  <r>
    <x v="1"/>
    <n v="1185732"/>
    <x v="252"/>
    <x v="0"/>
    <s v="Wyoming"/>
    <s v="Cheyenne"/>
    <s v="Online"/>
    <x v="5"/>
    <n v="38"/>
    <n v="135"/>
    <n v="5130"/>
    <n v="2616.3000000000002"/>
  </r>
  <r>
    <x v="3"/>
    <n v="1185732"/>
    <x v="252"/>
    <x v="1"/>
    <s v="North Dakota"/>
    <s v="Fargo"/>
    <s v="Online"/>
    <x v="1"/>
    <n v="36"/>
    <n v="42"/>
    <n v="1512"/>
    <n v="771.12"/>
  </r>
  <r>
    <x v="4"/>
    <n v="1185732"/>
    <x v="252"/>
    <x v="4"/>
    <s v="Vermont"/>
    <s v="Burlington"/>
    <s v="Outlet"/>
    <x v="4"/>
    <n v="44"/>
    <n v="179"/>
    <n v="7876"/>
    <n v="4016.76"/>
  </r>
  <r>
    <x v="3"/>
    <n v="1185732"/>
    <x v="252"/>
    <x v="1"/>
    <s v="North Dakota"/>
    <s v="Fargo"/>
    <s v="Online"/>
    <x v="4"/>
    <n v="36"/>
    <n v="133"/>
    <n v="4788"/>
    <n v="2394"/>
  </r>
  <r>
    <x v="4"/>
    <n v="1185732"/>
    <x v="252"/>
    <x v="4"/>
    <s v="Vermont"/>
    <s v="Burlington"/>
    <s v="Online"/>
    <x v="3"/>
    <n v="46"/>
    <n v="56"/>
    <n v="2576"/>
    <n v="1288"/>
  </r>
  <r>
    <x v="4"/>
    <n v="1185732"/>
    <x v="252"/>
    <x v="4"/>
    <s v="Vermont"/>
    <s v="Burlington"/>
    <s v="Outlet"/>
    <x v="0"/>
    <n v="42"/>
    <n v="111"/>
    <n v="4662"/>
    <n v="2284.38"/>
  </r>
  <r>
    <x v="3"/>
    <n v="1197831"/>
    <x v="252"/>
    <x v="2"/>
    <s v="Alabama"/>
    <s v="Birmingham"/>
    <s v="Outlet"/>
    <x v="1"/>
    <n v="35"/>
    <n v="179"/>
    <n v="6265"/>
    <n v="3007.2"/>
  </r>
  <r>
    <x v="4"/>
    <n v="1185732"/>
    <x v="252"/>
    <x v="4"/>
    <s v="Vermont"/>
    <s v="Burlington"/>
    <s v="Online"/>
    <x v="2"/>
    <n v="59"/>
    <n v="78"/>
    <n v="4602"/>
    <n v="2070.9"/>
  </r>
  <r>
    <x v="3"/>
    <n v="1185732"/>
    <x v="252"/>
    <x v="1"/>
    <s v="North Dakota"/>
    <s v="Fargo"/>
    <s v="Online"/>
    <x v="2"/>
    <n v="44"/>
    <n v="63"/>
    <n v="2772"/>
    <n v="1247.3999999999999"/>
  </r>
  <r>
    <x v="4"/>
    <n v="1185732"/>
    <x v="252"/>
    <x v="4"/>
    <s v="Vermont"/>
    <s v="Burlington"/>
    <s v="Online"/>
    <x v="4"/>
    <n v="56"/>
    <n v="137"/>
    <n v="7672"/>
    <n v="3298.9599999999991"/>
  </r>
  <r>
    <x v="3"/>
    <n v="1197831"/>
    <x v="252"/>
    <x v="2"/>
    <s v="Alabama"/>
    <s v="Birmingham"/>
    <s v="Online"/>
    <x v="1"/>
    <n v="45"/>
    <n v="131"/>
    <n v="5895"/>
    <n v="2475.9"/>
  </r>
  <r>
    <x v="4"/>
    <n v="1185732"/>
    <x v="252"/>
    <x v="4"/>
    <s v="Vermont"/>
    <s v="Burlington"/>
    <s v="Online"/>
    <x v="0"/>
    <n v="50"/>
    <n v="85"/>
    <n v="4250"/>
    <n v="1700"/>
  </r>
  <r>
    <x v="1"/>
    <n v="1185732"/>
    <x v="252"/>
    <x v="0"/>
    <s v="Wyoming"/>
    <s v="Cheyenne"/>
    <s v="Online"/>
    <x v="4"/>
    <n v="48"/>
    <n v="208"/>
    <n v="9984"/>
    <n v="3594.24"/>
  </r>
  <r>
    <x v="5"/>
    <n v="1128299"/>
    <x v="253"/>
    <x v="0"/>
    <s v="Hawaii"/>
    <s v="Honolulu"/>
    <s v="Outlet"/>
    <x v="1"/>
    <n v="75.000000000000014"/>
    <n v="350"/>
    <n v="26250.000000000004"/>
    <n v="22312.500000000007"/>
  </r>
  <r>
    <x v="5"/>
    <n v="1128299"/>
    <x v="253"/>
    <x v="0"/>
    <s v="Hawaii"/>
    <s v="Honolulu"/>
    <s v="Outlet"/>
    <x v="0"/>
    <n v="70.000000000000014"/>
    <n v="550"/>
    <n v="38500.000000000007"/>
    <n v="30800.000000000007"/>
  </r>
  <r>
    <x v="5"/>
    <n v="1128299"/>
    <x v="253"/>
    <x v="0"/>
    <s v="Hawaii"/>
    <s v="Honolulu"/>
    <s v="Outlet"/>
    <x v="3"/>
    <n v="65.000000000000014"/>
    <n v="375"/>
    <n v="24375.000000000004"/>
    <n v="18281.250000000007"/>
  </r>
  <r>
    <x v="5"/>
    <n v="1128299"/>
    <x v="253"/>
    <x v="0"/>
    <s v="Hawaii"/>
    <s v="Honolulu"/>
    <s v="Outlet"/>
    <x v="5"/>
    <n v="65.000000000000014"/>
    <n v="325"/>
    <n v="21125.000000000004"/>
    <n v="15843.750000000005"/>
  </r>
  <r>
    <x v="5"/>
    <n v="1128299"/>
    <x v="253"/>
    <x v="0"/>
    <s v="Hawaii"/>
    <s v="Honolulu"/>
    <s v="Outlet"/>
    <x v="4"/>
    <n v="65.000000000000014"/>
    <n v="550"/>
    <n v="35750.000000000007"/>
    <n v="26812.500000000007"/>
  </r>
  <r>
    <x v="0"/>
    <n v="1185732"/>
    <x v="253"/>
    <x v="1"/>
    <s v="Indiana"/>
    <s v="Indianapolis"/>
    <s v="In-store"/>
    <x v="1"/>
    <n v="35"/>
    <n v="150"/>
    <n v="5250"/>
    <n v="3675"/>
  </r>
  <r>
    <x v="0"/>
    <n v="1185732"/>
    <x v="253"/>
    <x v="1"/>
    <s v="Indiana"/>
    <s v="Indianapolis"/>
    <s v="In-store"/>
    <x v="3"/>
    <n v="25.000000000000007"/>
    <n v="175"/>
    <n v="4375.0000000000009"/>
    <n v="2843.7500000000009"/>
  </r>
  <r>
    <x v="0"/>
    <n v="1185732"/>
    <x v="253"/>
    <x v="1"/>
    <s v="Indiana"/>
    <s v="Indianapolis"/>
    <s v="In-store"/>
    <x v="5"/>
    <n v="25.000000000000007"/>
    <n v="150"/>
    <n v="3750.0000000000009"/>
    <n v="2437.5000000000009"/>
  </r>
  <r>
    <x v="3"/>
    <n v="1197831"/>
    <x v="253"/>
    <x v="2"/>
    <s v="Texas"/>
    <s v="Dallas"/>
    <s v="Outlet"/>
    <x v="0"/>
    <n v="50"/>
    <n v="800"/>
    <n v="40000"/>
    <n v="26000"/>
  </r>
  <r>
    <x v="5"/>
    <n v="1128299"/>
    <x v="253"/>
    <x v="0"/>
    <s v="Hawaii"/>
    <s v="Honolulu"/>
    <s v="Outlet"/>
    <x v="2"/>
    <n v="60"/>
    <n v="375"/>
    <n v="22500"/>
    <n v="13500"/>
  </r>
  <r>
    <x v="0"/>
    <n v="1185732"/>
    <x v="253"/>
    <x v="1"/>
    <s v="Indiana"/>
    <s v="Indianapolis"/>
    <s v="In-store"/>
    <x v="4"/>
    <n v="35"/>
    <n v="475"/>
    <n v="16625"/>
    <n v="9975"/>
  </r>
  <r>
    <x v="0"/>
    <n v="1185732"/>
    <x v="253"/>
    <x v="1"/>
    <s v="Indiana"/>
    <s v="Indianapolis"/>
    <s v="In-store"/>
    <x v="0"/>
    <n v="30.000000000000011"/>
    <n v="275"/>
    <n v="8250.0000000000036"/>
    <n v="4950.0000000000018"/>
  </r>
  <r>
    <x v="0"/>
    <n v="1185732"/>
    <x v="253"/>
    <x v="1"/>
    <s v="Indiana"/>
    <s v="Indianapolis"/>
    <s v="In-store"/>
    <x v="2"/>
    <n v="40"/>
    <n v="225"/>
    <n v="9000"/>
    <n v="5400"/>
  </r>
  <r>
    <x v="3"/>
    <n v="1197831"/>
    <x v="253"/>
    <x v="2"/>
    <s v="Alabama"/>
    <s v="Birmingham"/>
    <s v="Outlet"/>
    <x v="2"/>
    <n v="60"/>
    <n v="800"/>
    <n v="48000"/>
    <n v="16799.999999999993"/>
  </r>
  <r>
    <x v="5"/>
    <n v="1128299"/>
    <x v="253"/>
    <x v="0"/>
    <s v="Hawaii"/>
    <s v="Honolulu"/>
    <s v="Online"/>
    <x v="1"/>
    <n v="71"/>
    <n v="91"/>
    <n v="6461"/>
    <n v="4522.7"/>
  </r>
  <r>
    <x v="5"/>
    <n v="1128299"/>
    <x v="253"/>
    <x v="0"/>
    <s v="Hawaii"/>
    <s v="Honolulu"/>
    <s v="Online"/>
    <x v="0"/>
    <n v="69"/>
    <n v="149"/>
    <n v="10281"/>
    <n v="6888.27"/>
  </r>
  <r>
    <x v="5"/>
    <n v="1128299"/>
    <x v="253"/>
    <x v="0"/>
    <s v="Hawaii"/>
    <s v="Honolulu"/>
    <s v="Online"/>
    <x v="4"/>
    <n v="62"/>
    <n v="149"/>
    <n v="9238"/>
    <n v="5912.32"/>
  </r>
  <r>
    <x v="5"/>
    <n v="1128299"/>
    <x v="253"/>
    <x v="0"/>
    <s v="Hawaii"/>
    <s v="Honolulu"/>
    <s v="Online"/>
    <x v="3"/>
    <n v="64"/>
    <n v="105"/>
    <n v="6720"/>
    <n v="4099.2"/>
  </r>
  <r>
    <x v="0"/>
    <n v="1185732"/>
    <x v="253"/>
    <x v="1"/>
    <s v="Indiana"/>
    <s v="Indianapolis"/>
    <s v="Online"/>
    <x v="1"/>
    <n v="33"/>
    <n v="42"/>
    <n v="1386"/>
    <n v="831.6"/>
  </r>
  <r>
    <x v="5"/>
    <n v="1128299"/>
    <x v="253"/>
    <x v="0"/>
    <s v="Hawaii"/>
    <s v="Honolulu"/>
    <s v="Online"/>
    <x v="5"/>
    <n v="62"/>
    <n v="85"/>
    <n v="5270"/>
    <n v="3162"/>
  </r>
  <r>
    <x v="3"/>
    <n v="1197831"/>
    <x v="253"/>
    <x v="2"/>
    <s v="Texas"/>
    <s v="Dallas"/>
    <s v="Outlet"/>
    <x v="0"/>
    <n v="40"/>
    <n v="280"/>
    <n v="11200"/>
    <n v="6608"/>
  </r>
  <r>
    <x v="0"/>
    <n v="1185732"/>
    <x v="253"/>
    <x v="1"/>
    <s v="Indiana"/>
    <s v="Indianapolis"/>
    <s v="Online"/>
    <x v="3"/>
    <n v="23"/>
    <n v="49"/>
    <n v="1127"/>
    <n v="597.31000000000006"/>
  </r>
  <r>
    <x v="0"/>
    <n v="1185732"/>
    <x v="253"/>
    <x v="1"/>
    <s v="Indiana"/>
    <s v="Indianapolis"/>
    <s v="Online"/>
    <x v="5"/>
    <n v="24"/>
    <n v="41"/>
    <n v="984"/>
    <n v="521.52"/>
  </r>
  <r>
    <x v="3"/>
    <n v="1197831"/>
    <x v="253"/>
    <x v="2"/>
    <s v="Texas"/>
    <s v="Dallas"/>
    <s v="Online"/>
    <x v="0"/>
    <n v="49"/>
    <n v="200"/>
    <n v="9800"/>
    <n v="5096"/>
  </r>
  <r>
    <x v="0"/>
    <n v="1185732"/>
    <x v="253"/>
    <x v="1"/>
    <s v="Indiana"/>
    <s v="Indianapolis"/>
    <s v="Online"/>
    <x v="0"/>
    <n v="29"/>
    <n v="74"/>
    <n v="2146"/>
    <n v="1073"/>
  </r>
  <r>
    <x v="0"/>
    <n v="1185732"/>
    <x v="253"/>
    <x v="1"/>
    <s v="Indiana"/>
    <s v="Indianapolis"/>
    <s v="Online"/>
    <x v="2"/>
    <n v="36"/>
    <n v="68"/>
    <n v="2448"/>
    <n v="1175.04"/>
  </r>
  <r>
    <x v="5"/>
    <n v="1128299"/>
    <x v="253"/>
    <x v="0"/>
    <s v="Hawaii"/>
    <s v="Honolulu"/>
    <s v="Online"/>
    <x v="2"/>
    <n v="56"/>
    <n v="105"/>
    <n v="5880"/>
    <n v="2763.6"/>
  </r>
  <r>
    <x v="0"/>
    <n v="1185732"/>
    <x v="253"/>
    <x v="1"/>
    <s v="Indiana"/>
    <s v="Indianapolis"/>
    <s v="Online"/>
    <x v="4"/>
    <n v="33"/>
    <n v="133"/>
    <n v="4389"/>
    <n v="2018.94"/>
  </r>
  <r>
    <x v="3"/>
    <n v="1197831"/>
    <x v="253"/>
    <x v="2"/>
    <s v="Alabama"/>
    <s v="Birmingham"/>
    <s v="Outlet"/>
    <x v="2"/>
    <n v="47"/>
    <n v="280"/>
    <n v="13160"/>
    <n v="3947.9999999999982"/>
  </r>
  <r>
    <x v="3"/>
    <n v="1197831"/>
    <x v="253"/>
    <x v="2"/>
    <s v="Alabama"/>
    <s v="Birmingham"/>
    <s v="Online"/>
    <x v="2"/>
    <n v="56"/>
    <n v="240"/>
    <n v="13440"/>
    <n v="2687.9999999999982"/>
  </r>
  <r>
    <x v="0"/>
    <n v="1185732"/>
    <x v="254"/>
    <x v="0"/>
    <s v="Utah"/>
    <s v="Salt Lake City"/>
    <s v="In-store"/>
    <x v="3"/>
    <n v="10.000000000000002"/>
    <n v="350"/>
    <n v="3500.0000000000005"/>
    <n v="2275.0000000000009"/>
  </r>
  <r>
    <x v="1"/>
    <n v="1197831"/>
    <x v="254"/>
    <x v="1"/>
    <s v="Kansas"/>
    <s v="Wichita"/>
    <s v="Online"/>
    <x v="0"/>
    <n v="40.000000000000014"/>
    <n v="350"/>
    <n v="14000.000000000005"/>
    <n v="9100.0000000000036"/>
  </r>
  <r>
    <x v="1"/>
    <n v="1197831"/>
    <x v="254"/>
    <x v="1"/>
    <s v="Kansas"/>
    <s v="Wichita"/>
    <s v="Online"/>
    <x v="1"/>
    <n v="25.000000000000007"/>
    <n v="225"/>
    <n v="5625.0000000000018"/>
    <n v="3656.2500000000014"/>
  </r>
  <r>
    <x v="3"/>
    <n v="1197831"/>
    <x v="254"/>
    <x v="2"/>
    <s v="Texas"/>
    <s v="Dallas"/>
    <s v="Outlet"/>
    <x v="3"/>
    <n v="45"/>
    <n v="650"/>
    <n v="29250"/>
    <n v="19012.5"/>
  </r>
  <r>
    <x v="0"/>
    <n v="1185732"/>
    <x v="254"/>
    <x v="0"/>
    <s v="Utah"/>
    <s v="Salt Lake City"/>
    <s v="In-store"/>
    <x v="1"/>
    <n v="20"/>
    <n v="325"/>
    <n v="6500"/>
    <n v="4225"/>
  </r>
  <r>
    <x v="1"/>
    <n v="1197831"/>
    <x v="254"/>
    <x v="1"/>
    <s v="Kansas"/>
    <s v="Wichita"/>
    <s v="Online"/>
    <x v="4"/>
    <n v="50"/>
    <n v="550"/>
    <n v="27500"/>
    <n v="17875"/>
  </r>
  <r>
    <x v="0"/>
    <n v="1185732"/>
    <x v="254"/>
    <x v="0"/>
    <s v="Utah"/>
    <s v="Salt Lake City"/>
    <s v="In-store"/>
    <x v="0"/>
    <n v="25.000000000000011"/>
    <n v="450"/>
    <n v="11250.000000000005"/>
    <n v="7312.5000000000027"/>
  </r>
  <r>
    <x v="1"/>
    <n v="1197831"/>
    <x v="254"/>
    <x v="1"/>
    <s v="Kansas"/>
    <s v="Wichita"/>
    <s v="Online"/>
    <x v="3"/>
    <n v="15.000000000000007"/>
    <n v="250"/>
    <n v="3750.0000000000018"/>
    <n v="2437.5000000000009"/>
  </r>
  <r>
    <x v="1"/>
    <n v="1197831"/>
    <x v="254"/>
    <x v="1"/>
    <s v="Kansas"/>
    <s v="Wichita"/>
    <s v="Online"/>
    <x v="5"/>
    <n v="15.000000000000007"/>
    <n v="225"/>
    <n v="3375.0000000000018"/>
    <n v="2193.7500000000009"/>
  </r>
  <r>
    <x v="1"/>
    <n v="1197831"/>
    <x v="254"/>
    <x v="1"/>
    <s v="Kansas"/>
    <s v="Wichita"/>
    <s v="Online"/>
    <x v="2"/>
    <n v="30.000000000000011"/>
    <n v="325"/>
    <n v="9750.0000000000036"/>
    <n v="6337.5000000000018"/>
  </r>
  <r>
    <x v="0"/>
    <n v="1185732"/>
    <x v="254"/>
    <x v="0"/>
    <s v="Utah"/>
    <s v="Salt Lake City"/>
    <s v="In-store"/>
    <x v="4"/>
    <n v="30.000000000000004"/>
    <n v="650"/>
    <n v="19500.000000000004"/>
    <n v="11700.000000000002"/>
  </r>
  <r>
    <x v="0"/>
    <n v="1185732"/>
    <x v="254"/>
    <x v="0"/>
    <s v="Utah"/>
    <s v="Salt Lake City"/>
    <s v="In-store"/>
    <x v="5"/>
    <n v="10.000000000000002"/>
    <n v="325"/>
    <n v="3250.0000000000005"/>
    <n v="1950.0000000000005"/>
  </r>
  <r>
    <x v="3"/>
    <n v="1197831"/>
    <x v="254"/>
    <x v="2"/>
    <s v="Alabama"/>
    <s v="Birmingham"/>
    <s v="Outlet"/>
    <x v="4"/>
    <n v="40"/>
    <n v="750"/>
    <n v="30000"/>
    <n v="15000.000000000004"/>
  </r>
  <r>
    <x v="0"/>
    <n v="1185732"/>
    <x v="254"/>
    <x v="0"/>
    <s v="Utah"/>
    <s v="Salt Lake City"/>
    <s v="In-store"/>
    <x v="2"/>
    <n v="25.000000000000007"/>
    <n v="400"/>
    <n v="10000.000000000004"/>
    <n v="5000.0000000000018"/>
  </r>
  <r>
    <x v="0"/>
    <n v="1185732"/>
    <x v="254"/>
    <x v="0"/>
    <s v="Utah"/>
    <s v="Salt Lake City"/>
    <s v="Outlet"/>
    <x v="0"/>
    <n v="19"/>
    <n v="158"/>
    <n v="3002"/>
    <n v="1861.24"/>
  </r>
  <r>
    <x v="3"/>
    <n v="1197831"/>
    <x v="254"/>
    <x v="2"/>
    <s v="Texas"/>
    <s v="Dallas"/>
    <s v="Outlet"/>
    <x v="3"/>
    <n v="30"/>
    <n v="215"/>
    <n v="6450"/>
    <n v="3934.5000000000005"/>
  </r>
  <r>
    <x v="0"/>
    <n v="1185732"/>
    <x v="254"/>
    <x v="0"/>
    <s v="Utah"/>
    <s v="Salt Lake City"/>
    <s v="Outlet"/>
    <x v="1"/>
    <n v="16"/>
    <n v="114"/>
    <n v="1824"/>
    <n v="1076.1600000000001"/>
  </r>
  <r>
    <x v="0"/>
    <n v="1185732"/>
    <x v="254"/>
    <x v="0"/>
    <s v="Utah"/>
    <s v="Salt Lake City"/>
    <s v="Outlet"/>
    <x v="3"/>
    <n v="7"/>
    <n v="105"/>
    <n v="735"/>
    <n v="426.3"/>
  </r>
  <r>
    <x v="0"/>
    <n v="1185732"/>
    <x v="254"/>
    <x v="0"/>
    <s v="Utah"/>
    <s v="Salt Lake City"/>
    <s v="Online"/>
    <x v="0"/>
    <n v="23"/>
    <n v="122"/>
    <n v="2806"/>
    <n v="1543.3000000000002"/>
  </r>
  <r>
    <x v="1"/>
    <n v="1197831"/>
    <x v="254"/>
    <x v="1"/>
    <s v="Kansas"/>
    <s v="Wichita"/>
    <s v="Online"/>
    <x v="0"/>
    <n v="38"/>
    <n v="91"/>
    <n v="3458"/>
    <n v="1901.9"/>
  </r>
  <r>
    <x v="0"/>
    <n v="1185732"/>
    <x v="254"/>
    <x v="0"/>
    <s v="Utah"/>
    <s v="Salt Lake City"/>
    <s v="Outlet"/>
    <x v="4"/>
    <n v="23"/>
    <n v="228"/>
    <n v="5244"/>
    <n v="2884.2"/>
  </r>
  <r>
    <x v="0"/>
    <n v="1185732"/>
    <x v="254"/>
    <x v="0"/>
    <s v="Utah"/>
    <s v="Salt Lake City"/>
    <s v="Outlet"/>
    <x v="5"/>
    <n v="7"/>
    <n v="111"/>
    <n v="777"/>
    <n v="419.58"/>
  </r>
  <r>
    <x v="1"/>
    <n v="1197831"/>
    <x v="254"/>
    <x v="1"/>
    <s v="Kansas"/>
    <s v="Wichita"/>
    <s v="Online"/>
    <x v="3"/>
    <n v="15"/>
    <n v="75"/>
    <n v="1125"/>
    <n v="596.25"/>
  </r>
  <r>
    <x v="1"/>
    <n v="1197831"/>
    <x v="254"/>
    <x v="1"/>
    <s v="Kansas"/>
    <s v="Wichita"/>
    <s v="Online"/>
    <x v="5"/>
    <n v="14"/>
    <n v="65"/>
    <n v="910"/>
    <n v="482.3"/>
  </r>
  <r>
    <x v="3"/>
    <n v="1197831"/>
    <x v="254"/>
    <x v="2"/>
    <s v="Texas"/>
    <s v="Dallas"/>
    <s v="Online"/>
    <x v="3"/>
    <n v="44"/>
    <n v="176"/>
    <n v="7744"/>
    <n v="4104.32"/>
  </r>
  <r>
    <x v="1"/>
    <n v="1197831"/>
    <x v="254"/>
    <x v="1"/>
    <s v="Kansas"/>
    <s v="Wichita"/>
    <s v="Online"/>
    <x v="1"/>
    <n v="24"/>
    <n v="61"/>
    <n v="1464"/>
    <n v="746.64"/>
  </r>
  <r>
    <x v="1"/>
    <n v="1197831"/>
    <x v="254"/>
    <x v="1"/>
    <s v="Kansas"/>
    <s v="Wichita"/>
    <s v="Online"/>
    <x v="2"/>
    <n v="29"/>
    <n v="94"/>
    <n v="2726"/>
    <n v="1390.26"/>
  </r>
  <r>
    <x v="0"/>
    <n v="1185732"/>
    <x v="254"/>
    <x v="0"/>
    <s v="Utah"/>
    <s v="Salt Lake City"/>
    <s v="Online"/>
    <x v="3"/>
    <n v="9"/>
    <n v="91"/>
    <n v="819"/>
    <n v="409.5"/>
  </r>
  <r>
    <x v="0"/>
    <n v="1185732"/>
    <x v="254"/>
    <x v="0"/>
    <s v="Utah"/>
    <s v="Salt Lake City"/>
    <s v="Online"/>
    <x v="1"/>
    <n v="19"/>
    <n v="88"/>
    <n v="1672"/>
    <n v="836"/>
  </r>
  <r>
    <x v="1"/>
    <n v="1197831"/>
    <x v="254"/>
    <x v="1"/>
    <s v="Kansas"/>
    <s v="Wichita"/>
    <s v="Online"/>
    <x v="4"/>
    <n v="47"/>
    <n v="165"/>
    <n v="7755"/>
    <n v="3877.5"/>
  </r>
  <r>
    <x v="0"/>
    <n v="1185732"/>
    <x v="254"/>
    <x v="0"/>
    <s v="Utah"/>
    <s v="Salt Lake City"/>
    <s v="Online"/>
    <x v="5"/>
    <n v="10"/>
    <n v="88"/>
    <n v="880"/>
    <n v="431.2"/>
  </r>
  <r>
    <x v="0"/>
    <n v="1185732"/>
    <x v="254"/>
    <x v="0"/>
    <s v="Utah"/>
    <s v="Salt Lake City"/>
    <s v="Online"/>
    <x v="4"/>
    <n v="29"/>
    <n v="169"/>
    <n v="4901"/>
    <n v="2352.48"/>
  </r>
  <r>
    <x v="3"/>
    <n v="1197831"/>
    <x v="254"/>
    <x v="2"/>
    <s v="Alabama"/>
    <s v="Birmingham"/>
    <s v="Outlet"/>
    <x v="4"/>
    <n v="27"/>
    <n v="233"/>
    <n v="6291"/>
    <n v="2830.9500000000003"/>
  </r>
  <r>
    <x v="0"/>
    <n v="1185732"/>
    <x v="254"/>
    <x v="0"/>
    <s v="Utah"/>
    <s v="Salt Lake City"/>
    <s v="Outlet"/>
    <x v="2"/>
    <n v="18"/>
    <n v="132"/>
    <n v="2376"/>
    <n v="1021.6799999999998"/>
  </r>
  <r>
    <x v="3"/>
    <n v="1197831"/>
    <x v="254"/>
    <x v="2"/>
    <s v="Alabama"/>
    <s v="Birmingham"/>
    <s v="Online"/>
    <x v="4"/>
    <n v="38"/>
    <n v="225"/>
    <n v="8550"/>
    <n v="3334.5"/>
  </r>
  <r>
    <x v="0"/>
    <n v="1185732"/>
    <x v="254"/>
    <x v="0"/>
    <s v="Utah"/>
    <s v="Salt Lake City"/>
    <s v="Online"/>
    <x v="2"/>
    <n v="24"/>
    <n v="120"/>
    <n v="2880"/>
    <n v="1036.8"/>
  </r>
  <r>
    <x v="3"/>
    <n v="1185732"/>
    <x v="255"/>
    <x v="4"/>
    <s v="Massachusetts"/>
    <s v="Boston"/>
    <s v="In-store"/>
    <x v="3"/>
    <n v="45"/>
    <n v="150"/>
    <n v="6750"/>
    <n v="5062.5"/>
  </r>
  <r>
    <x v="3"/>
    <n v="1185732"/>
    <x v="255"/>
    <x v="4"/>
    <s v="Massachusetts"/>
    <s v="Boston"/>
    <s v="In-store"/>
    <x v="5"/>
    <n v="45"/>
    <n v="125"/>
    <n v="5625"/>
    <n v="4218.75"/>
  </r>
  <r>
    <x v="3"/>
    <n v="1185732"/>
    <x v="255"/>
    <x v="4"/>
    <s v="Massachusetts"/>
    <s v="Boston"/>
    <s v="In-store"/>
    <x v="1"/>
    <n v="54.999999999999993"/>
    <n v="125"/>
    <n v="6874.9999999999991"/>
    <n v="5156.2499999999982"/>
  </r>
  <r>
    <x v="2"/>
    <n v="1185732"/>
    <x v="255"/>
    <x v="4"/>
    <s v="Delaware"/>
    <s v="Wilmington"/>
    <s v="In-store"/>
    <x v="1"/>
    <n v="54.999999999999993"/>
    <n v="200"/>
    <n v="10999.999999999998"/>
    <n v="7700"/>
  </r>
  <r>
    <x v="3"/>
    <n v="1185732"/>
    <x v="255"/>
    <x v="4"/>
    <s v="Massachusetts"/>
    <s v="Boston"/>
    <s v="In-store"/>
    <x v="4"/>
    <n v="54.999999999999993"/>
    <n v="450"/>
    <n v="24749.999999999996"/>
    <n v="17325"/>
  </r>
  <r>
    <x v="2"/>
    <n v="1185732"/>
    <x v="255"/>
    <x v="1"/>
    <s v="South Dakota"/>
    <s v="Sioux Falls"/>
    <s v="Online"/>
    <x v="0"/>
    <n v="40.000000000000007"/>
    <n v="275"/>
    <n v="11000.000000000002"/>
    <n v="7700.0000000000018"/>
  </r>
  <r>
    <x v="2"/>
    <n v="1185732"/>
    <x v="255"/>
    <x v="1"/>
    <s v="South Dakota"/>
    <s v="Sioux Falls"/>
    <s v="Online"/>
    <x v="3"/>
    <n v="35"/>
    <n v="175"/>
    <n v="6125"/>
    <n v="4287.5"/>
  </r>
  <r>
    <x v="2"/>
    <n v="1185732"/>
    <x v="255"/>
    <x v="1"/>
    <s v="South Dakota"/>
    <s v="Sioux Falls"/>
    <s v="Online"/>
    <x v="5"/>
    <n v="35"/>
    <n v="150"/>
    <n v="5250"/>
    <n v="3675"/>
  </r>
  <r>
    <x v="3"/>
    <n v="1185732"/>
    <x v="255"/>
    <x v="4"/>
    <s v="Massachusetts"/>
    <s v="Boston"/>
    <s v="In-store"/>
    <x v="0"/>
    <n v="50"/>
    <n v="250"/>
    <n v="12500"/>
    <n v="8750"/>
  </r>
  <r>
    <x v="3"/>
    <n v="1185732"/>
    <x v="255"/>
    <x v="4"/>
    <s v="Massachusetts"/>
    <s v="Boston"/>
    <s v="In-store"/>
    <x v="2"/>
    <n v="60"/>
    <n v="225"/>
    <n v="13500"/>
    <n v="9450"/>
  </r>
  <r>
    <x v="2"/>
    <n v="1185732"/>
    <x v="255"/>
    <x v="1"/>
    <s v="South Dakota"/>
    <s v="Sioux Falls"/>
    <s v="Online"/>
    <x v="4"/>
    <n v="45"/>
    <n v="475"/>
    <n v="21375"/>
    <n v="13893.75"/>
  </r>
  <r>
    <x v="2"/>
    <n v="1185732"/>
    <x v="255"/>
    <x v="1"/>
    <s v="South Dakota"/>
    <s v="Sioux Falls"/>
    <s v="Online"/>
    <x v="1"/>
    <n v="45"/>
    <n v="150"/>
    <n v="6750"/>
    <n v="4387.5"/>
  </r>
  <r>
    <x v="2"/>
    <n v="1185732"/>
    <x v="255"/>
    <x v="4"/>
    <s v="Delaware"/>
    <s v="Wilmington"/>
    <s v="In-store"/>
    <x v="4"/>
    <n v="54.999999999999993"/>
    <n v="525"/>
    <n v="28874.999999999996"/>
    <n v="18768.749999999996"/>
  </r>
  <r>
    <x v="2"/>
    <n v="1185732"/>
    <x v="255"/>
    <x v="4"/>
    <s v="Delaware"/>
    <s v="Wilmington"/>
    <s v="In-store"/>
    <x v="0"/>
    <n v="50"/>
    <n v="325"/>
    <n v="16250"/>
    <n v="10562.5"/>
  </r>
  <r>
    <x v="2"/>
    <n v="1185732"/>
    <x v="255"/>
    <x v="1"/>
    <s v="South Dakota"/>
    <s v="Sioux Falls"/>
    <s v="Online"/>
    <x v="2"/>
    <n v="50"/>
    <n v="225"/>
    <n v="11250"/>
    <n v="6750"/>
  </r>
  <r>
    <x v="2"/>
    <n v="1185732"/>
    <x v="255"/>
    <x v="4"/>
    <s v="Delaware"/>
    <s v="Wilmington"/>
    <s v="In-store"/>
    <x v="3"/>
    <n v="45"/>
    <n v="225"/>
    <n v="10125"/>
    <n v="6075"/>
  </r>
  <r>
    <x v="2"/>
    <n v="1185732"/>
    <x v="255"/>
    <x v="4"/>
    <s v="Delaware"/>
    <s v="Wilmington"/>
    <s v="In-store"/>
    <x v="5"/>
    <n v="45"/>
    <n v="200"/>
    <n v="9000"/>
    <n v="5400"/>
  </r>
  <r>
    <x v="2"/>
    <n v="1185732"/>
    <x v="255"/>
    <x v="4"/>
    <s v="Delaware"/>
    <s v="Wilmington"/>
    <s v="In-store"/>
    <x v="2"/>
    <n v="60"/>
    <n v="300"/>
    <n v="18000"/>
    <n v="10800"/>
  </r>
  <r>
    <x v="3"/>
    <n v="1197831"/>
    <x v="255"/>
    <x v="2"/>
    <s v="Texas"/>
    <s v="Dallas"/>
    <s v="Outlet"/>
    <x v="5"/>
    <n v="45"/>
    <n v="600"/>
    <n v="27000"/>
    <n v="14850"/>
  </r>
  <r>
    <x v="3"/>
    <n v="1197831"/>
    <x v="255"/>
    <x v="2"/>
    <s v="Alabama"/>
    <s v="Birmingham"/>
    <s v="Outlet"/>
    <x v="0"/>
    <n v="55.000000000000007"/>
    <n v="750"/>
    <n v="41250.000000000007"/>
    <n v="20625.000000000007"/>
  </r>
  <r>
    <x v="3"/>
    <n v="1185732"/>
    <x v="255"/>
    <x v="4"/>
    <s v="Massachusetts"/>
    <s v="Boston"/>
    <s v="Outlet"/>
    <x v="5"/>
    <n v="34"/>
    <n v="39"/>
    <n v="1326"/>
    <n v="967.98"/>
  </r>
  <r>
    <x v="3"/>
    <n v="1185732"/>
    <x v="255"/>
    <x v="4"/>
    <s v="Massachusetts"/>
    <s v="Boston"/>
    <s v="Outlet"/>
    <x v="3"/>
    <n v="30"/>
    <n v="47"/>
    <n v="1410"/>
    <n v="987"/>
  </r>
  <r>
    <x v="3"/>
    <n v="1185732"/>
    <x v="255"/>
    <x v="4"/>
    <s v="Massachusetts"/>
    <s v="Boston"/>
    <s v="Outlet"/>
    <x v="1"/>
    <n v="39"/>
    <n v="41"/>
    <n v="1599"/>
    <n v="1103.31"/>
  </r>
  <r>
    <x v="3"/>
    <n v="1185732"/>
    <x v="255"/>
    <x v="4"/>
    <s v="Massachusetts"/>
    <s v="Boston"/>
    <s v="Outlet"/>
    <x v="2"/>
    <n v="41"/>
    <n v="77"/>
    <n v="3157"/>
    <n v="2115.19"/>
  </r>
  <r>
    <x v="3"/>
    <n v="1185732"/>
    <x v="255"/>
    <x v="4"/>
    <s v="Massachusetts"/>
    <s v="Boston"/>
    <s v="Outlet"/>
    <x v="4"/>
    <n v="36"/>
    <n v="153"/>
    <n v="5508"/>
    <n v="3635.28"/>
  </r>
  <r>
    <x v="3"/>
    <n v="1185732"/>
    <x v="255"/>
    <x v="4"/>
    <s v="Massachusetts"/>
    <s v="Boston"/>
    <s v="Online"/>
    <x v="1"/>
    <n v="52"/>
    <n v="34"/>
    <n v="1768"/>
    <n v="1131.52"/>
  </r>
  <r>
    <x v="3"/>
    <n v="1185732"/>
    <x v="255"/>
    <x v="4"/>
    <s v="Massachusetts"/>
    <s v="Boston"/>
    <s v="Online"/>
    <x v="3"/>
    <n v="41"/>
    <n v="39"/>
    <n v="1599"/>
    <n v="1007.37"/>
  </r>
  <r>
    <x v="3"/>
    <n v="1185732"/>
    <x v="255"/>
    <x v="4"/>
    <s v="Massachusetts"/>
    <s v="Boston"/>
    <s v="Outlet"/>
    <x v="0"/>
    <n v="35"/>
    <n v="88"/>
    <n v="3080"/>
    <n v="1940.4"/>
  </r>
  <r>
    <x v="2"/>
    <n v="1185732"/>
    <x v="255"/>
    <x v="1"/>
    <s v="South Dakota"/>
    <s v="Sioux Falls"/>
    <s v="Online"/>
    <x v="5"/>
    <n v="34"/>
    <n v="39"/>
    <n v="1326"/>
    <n v="795.6"/>
  </r>
  <r>
    <x v="2"/>
    <n v="1185732"/>
    <x v="255"/>
    <x v="1"/>
    <s v="South Dakota"/>
    <s v="Sioux Falls"/>
    <s v="Online"/>
    <x v="0"/>
    <n v="39"/>
    <n v="80"/>
    <n v="3120"/>
    <n v="1872"/>
  </r>
  <r>
    <x v="3"/>
    <n v="1185732"/>
    <x v="255"/>
    <x v="4"/>
    <s v="Massachusetts"/>
    <s v="Boston"/>
    <s v="Online"/>
    <x v="5"/>
    <n v="42"/>
    <n v="36"/>
    <n v="1512"/>
    <n v="907.19999999999993"/>
  </r>
  <r>
    <x v="2"/>
    <n v="1185732"/>
    <x v="255"/>
    <x v="1"/>
    <s v="South Dakota"/>
    <s v="Sioux Falls"/>
    <s v="Online"/>
    <x v="3"/>
    <n v="32"/>
    <n v="53"/>
    <n v="1696"/>
    <n v="1017.5999999999999"/>
  </r>
  <r>
    <x v="3"/>
    <n v="1185732"/>
    <x v="255"/>
    <x v="4"/>
    <s v="Massachusetts"/>
    <s v="Boston"/>
    <s v="Online"/>
    <x v="0"/>
    <n v="49"/>
    <n v="63"/>
    <n v="3087"/>
    <n v="1852.1999999999998"/>
  </r>
  <r>
    <x v="3"/>
    <n v="1185732"/>
    <x v="255"/>
    <x v="4"/>
    <s v="Massachusetts"/>
    <s v="Boston"/>
    <s v="Online"/>
    <x v="4"/>
    <n v="53"/>
    <n v="135"/>
    <n v="7155"/>
    <n v="4149.8999999999996"/>
  </r>
  <r>
    <x v="2"/>
    <n v="1185732"/>
    <x v="255"/>
    <x v="4"/>
    <s v="Delaware"/>
    <s v="Wilmington"/>
    <s v="Online"/>
    <x v="1"/>
    <n v="50"/>
    <n v="60"/>
    <n v="3000"/>
    <n v="1680"/>
  </r>
  <r>
    <x v="2"/>
    <n v="1185732"/>
    <x v="255"/>
    <x v="1"/>
    <s v="South Dakota"/>
    <s v="Sioux Falls"/>
    <s v="Online"/>
    <x v="4"/>
    <n v="42"/>
    <n v="138"/>
    <n v="5796"/>
    <n v="3187.8"/>
  </r>
  <r>
    <x v="3"/>
    <n v="1185732"/>
    <x v="255"/>
    <x v="4"/>
    <s v="Massachusetts"/>
    <s v="Boston"/>
    <s v="Online"/>
    <x v="2"/>
    <n v="57"/>
    <n v="63"/>
    <n v="3591"/>
    <n v="1975.0500000000002"/>
  </r>
  <r>
    <x v="2"/>
    <n v="1185732"/>
    <x v="255"/>
    <x v="4"/>
    <s v="Delaware"/>
    <s v="Wilmington"/>
    <s v="Online"/>
    <x v="0"/>
    <n v="47"/>
    <n v="85"/>
    <n v="3995"/>
    <n v="2197.25"/>
  </r>
  <r>
    <x v="2"/>
    <n v="1185732"/>
    <x v="255"/>
    <x v="4"/>
    <s v="Delaware"/>
    <s v="Wilmington"/>
    <s v="Online"/>
    <x v="4"/>
    <n v="50"/>
    <n v="142"/>
    <n v="7100"/>
    <n v="3621"/>
  </r>
  <r>
    <x v="3"/>
    <n v="1197831"/>
    <x v="255"/>
    <x v="2"/>
    <s v="Texas"/>
    <s v="Dallas"/>
    <s v="Outlet"/>
    <x v="5"/>
    <n v="29"/>
    <n v="192"/>
    <n v="5568"/>
    <n v="2839.68"/>
  </r>
  <r>
    <x v="2"/>
    <n v="1185732"/>
    <x v="255"/>
    <x v="1"/>
    <s v="South Dakota"/>
    <s v="Sioux Falls"/>
    <s v="Online"/>
    <x v="1"/>
    <n v="41"/>
    <n v="42"/>
    <n v="1722"/>
    <n v="861"/>
  </r>
  <r>
    <x v="2"/>
    <n v="1185732"/>
    <x v="255"/>
    <x v="1"/>
    <s v="South Dakota"/>
    <s v="Sioux Falls"/>
    <s v="Online"/>
    <x v="2"/>
    <n v="46"/>
    <n v="65"/>
    <n v="2990"/>
    <n v="1495"/>
  </r>
  <r>
    <x v="2"/>
    <n v="1185732"/>
    <x v="255"/>
    <x v="4"/>
    <s v="Delaware"/>
    <s v="Wilmington"/>
    <s v="Online"/>
    <x v="3"/>
    <n v="43"/>
    <n v="61"/>
    <n v="2623"/>
    <n v="1285.27"/>
  </r>
  <r>
    <x v="2"/>
    <n v="1185732"/>
    <x v="255"/>
    <x v="4"/>
    <s v="Delaware"/>
    <s v="Wilmington"/>
    <s v="Online"/>
    <x v="5"/>
    <n v="41"/>
    <n v="60"/>
    <n v="2460"/>
    <n v="1205.4000000000001"/>
  </r>
  <r>
    <x v="3"/>
    <n v="1197831"/>
    <x v="255"/>
    <x v="2"/>
    <s v="Alabama"/>
    <s v="Birmingham"/>
    <s v="Outlet"/>
    <x v="0"/>
    <n v="39"/>
    <n v="233"/>
    <n v="9087"/>
    <n v="4180.0200000000004"/>
  </r>
  <r>
    <x v="2"/>
    <n v="1185732"/>
    <x v="255"/>
    <x v="4"/>
    <s v="Delaware"/>
    <s v="Wilmington"/>
    <s v="Online"/>
    <x v="2"/>
    <n v="58"/>
    <n v="84"/>
    <n v="4872"/>
    <n v="2241.12"/>
  </r>
  <r>
    <x v="3"/>
    <n v="1197831"/>
    <x v="255"/>
    <x v="2"/>
    <s v="Texas"/>
    <s v="Dallas"/>
    <s v="Online"/>
    <x v="5"/>
    <n v="43"/>
    <n v="174"/>
    <n v="7482"/>
    <n v="3366.8999999999996"/>
  </r>
  <r>
    <x v="3"/>
    <n v="1197831"/>
    <x v="255"/>
    <x v="2"/>
    <s v="Alabama"/>
    <s v="Birmingham"/>
    <s v="Online"/>
    <x v="0"/>
    <n v="52"/>
    <n v="210"/>
    <n v="10920"/>
    <n v="3822.0000000000009"/>
  </r>
  <r>
    <x v="3"/>
    <n v="1128299"/>
    <x v="256"/>
    <x v="3"/>
    <s v="Georgia"/>
    <s v="Atlanta"/>
    <s v="Online"/>
    <x v="2"/>
    <n v="60.000000000000007"/>
    <n v="450"/>
    <n v="27000.000000000004"/>
    <n v="20250.000000000007"/>
  </r>
  <r>
    <x v="3"/>
    <n v="1197831"/>
    <x v="256"/>
    <x v="2"/>
    <s v="Texas"/>
    <s v="Dallas"/>
    <s v="Outlet"/>
    <x v="1"/>
    <n v="50"/>
    <n v="500"/>
    <n v="25000"/>
    <n v="17500"/>
  </r>
  <r>
    <x v="3"/>
    <n v="1128299"/>
    <x v="256"/>
    <x v="3"/>
    <s v="Georgia"/>
    <s v="Atlanta"/>
    <s v="Online"/>
    <x v="3"/>
    <n v="45.000000000000014"/>
    <n v="450"/>
    <n v="20250.000000000007"/>
    <n v="13162.500000000005"/>
  </r>
  <r>
    <x v="3"/>
    <n v="1128299"/>
    <x v="256"/>
    <x v="3"/>
    <s v="Georgia"/>
    <s v="Atlanta"/>
    <s v="Online"/>
    <x v="1"/>
    <n v="55.000000000000007"/>
    <n v="400"/>
    <n v="22000.000000000004"/>
    <n v="14300.000000000004"/>
  </r>
  <r>
    <x v="3"/>
    <n v="1128299"/>
    <x v="256"/>
    <x v="3"/>
    <s v="Georgia"/>
    <s v="Atlanta"/>
    <s v="Online"/>
    <x v="4"/>
    <n v="45.000000000000014"/>
    <n v="600"/>
    <n v="27000.000000000007"/>
    <n v="16200.000000000004"/>
  </r>
  <r>
    <x v="3"/>
    <n v="1128299"/>
    <x v="256"/>
    <x v="3"/>
    <s v="Georgia"/>
    <s v="Atlanta"/>
    <s v="Online"/>
    <x v="0"/>
    <n v="50.000000000000014"/>
    <n v="600"/>
    <n v="30000.000000000007"/>
    <n v="18000.000000000004"/>
  </r>
  <r>
    <x v="3"/>
    <n v="1128299"/>
    <x v="256"/>
    <x v="3"/>
    <s v="Georgia"/>
    <s v="Atlanta"/>
    <s v="Online"/>
    <x v="5"/>
    <n v="45.000000000000014"/>
    <n v="400"/>
    <n v="18000.000000000007"/>
    <n v="10800.000000000004"/>
  </r>
  <r>
    <x v="3"/>
    <n v="1197831"/>
    <x v="256"/>
    <x v="2"/>
    <s v="Alabama"/>
    <s v="Birmingham"/>
    <s v="Outlet"/>
    <x v="3"/>
    <n v="55.000000000000007"/>
    <n v="925"/>
    <n v="50875.000000000007"/>
    <n v="25437.500000000007"/>
  </r>
  <r>
    <x v="3"/>
    <n v="1128299"/>
    <x v="256"/>
    <x v="3"/>
    <s v="Georgia"/>
    <s v="Atlanta"/>
    <s v="Outlet"/>
    <x v="2"/>
    <n v="46"/>
    <n v="135"/>
    <n v="6210"/>
    <n v="4347"/>
  </r>
  <r>
    <x v="3"/>
    <n v="1128299"/>
    <x v="256"/>
    <x v="3"/>
    <s v="Georgia"/>
    <s v="Atlanta"/>
    <s v="Outlet"/>
    <x v="1"/>
    <n v="36"/>
    <n v="132"/>
    <n v="4752"/>
    <n v="2993.76"/>
  </r>
  <r>
    <x v="3"/>
    <n v="1197831"/>
    <x v="256"/>
    <x v="2"/>
    <s v="Texas"/>
    <s v="Dallas"/>
    <s v="Outlet"/>
    <x v="1"/>
    <n v="40"/>
    <n v="150"/>
    <n v="6000"/>
    <n v="3780"/>
  </r>
  <r>
    <x v="3"/>
    <n v="1128299"/>
    <x v="256"/>
    <x v="3"/>
    <s v="Georgia"/>
    <s v="Atlanta"/>
    <s v="Outlet"/>
    <x v="3"/>
    <n v="32"/>
    <n v="135"/>
    <n v="4320"/>
    <n v="2721.6"/>
  </r>
  <r>
    <x v="3"/>
    <n v="1128299"/>
    <x v="256"/>
    <x v="3"/>
    <s v="Georgia"/>
    <s v="Atlanta"/>
    <s v="Online"/>
    <x v="2"/>
    <n v="59"/>
    <n v="131"/>
    <n v="7729"/>
    <n v="4637.3999999999996"/>
  </r>
  <r>
    <x v="3"/>
    <n v="1197831"/>
    <x v="256"/>
    <x v="2"/>
    <s v="Texas"/>
    <s v="Dallas"/>
    <s v="Online"/>
    <x v="1"/>
    <n v="45"/>
    <n v="145"/>
    <n v="6525"/>
    <n v="3719.25"/>
  </r>
  <r>
    <x v="3"/>
    <n v="1128299"/>
    <x v="256"/>
    <x v="3"/>
    <s v="Georgia"/>
    <s v="Atlanta"/>
    <s v="Outlet"/>
    <x v="0"/>
    <n v="38"/>
    <n v="198"/>
    <n v="7524"/>
    <n v="4213.4400000000005"/>
  </r>
  <r>
    <x v="3"/>
    <n v="1128299"/>
    <x v="256"/>
    <x v="3"/>
    <s v="Georgia"/>
    <s v="Atlanta"/>
    <s v="Outlet"/>
    <x v="4"/>
    <n v="31"/>
    <n v="204"/>
    <n v="6324"/>
    <n v="3414.96"/>
  </r>
  <r>
    <x v="3"/>
    <n v="1128299"/>
    <x v="256"/>
    <x v="3"/>
    <s v="Georgia"/>
    <s v="Atlanta"/>
    <s v="Outlet"/>
    <x v="5"/>
    <n v="35"/>
    <n v="120"/>
    <n v="4200"/>
    <n v="2268"/>
  </r>
  <r>
    <x v="3"/>
    <n v="1128299"/>
    <x v="256"/>
    <x v="3"/>
    <s v="Georgia"/>
    <s v="Atlanta"/>
    <s v="Online"/>
    <x v="3"/>
    <n v="42"/>
    <n v="135"/>
    <n v="5670"/>
    <n v="3005.1000000000004"/>
  </r>
  <r>
    <x v="3"/>
    <n v="1128299"/>
    <x v="256"/>
    <x v="3"/>
    <s v="Georgia"/>
    <s v="Atlanta"/>
    <s v="Online"/>
    <x v="1"/>
    <n v="54"/>
    <n v="100"/>
    <n v="5400"/>
    <n v="2808"/>
  </r>
  <r>
    <x v="3"/>
    <n v="1197831"/>
    <x v="256"/>
    <x v="2"/>
    <s v="Alabama"/>
    <s v="Birmingham"/>
    <s v="Outlet"/>
    <x v="3"/>
    <n v="36"/>
    <n v="278"/>
    <n v="10008"/>
    <n v="4703.7600000000011"/>
  </r>
  <r>
    <x v="3"/>
    <n v="1128299"/>
    <x v="256"/>
    <x v="3"/>
    <s v="Georgia"/>
    <s v="Atlanta"/>
    <s v="Online"/>
    <x v="4"/>
    <n v="43"/>
    <n v="180"/>
    <n v="7740"/>
    <n v="3560.3999999999996"/>
  </r>
  <r>
    <x v="3"/>
    <n v="1128299"/>
    <x v="256"/>
    <x v="3"/>
    <s v="Georgia"/>
    <s v="Atlanta"/>
    <s v="Online"/>
    <x v="5"/>
    <n v="43"/>
    <n v="120"/>
    <n v="5160"/>
    <n v="2373.6"/>
  </r>
  <r>
    <x v="3"/>
    <n v="1128299"/>
    <x v="256"/>
    <x v="3"/>
    <s v="Georgia"/>
    <s v="Atlanta"/>
    <s v="Online"/>
    <x v="0"/>
    <n v="47"/>
    <n v="156"/>
    <n v="7332"/>
    <n v="3299.3999999999996"/>
  </r>
  <r>
    <x v="3"/>
    <n v="1197831"/>
    <x v="256"/>
    <x v="2"/>
    <s v="Alabama"/>
    <s v="Birmingham"/>
    <s v="Online"/>
    <x v="3"/>
    <n v="51"/>
    <n v="268"/>
    <n v="13668"/>
    <n v="5467.2000000000007"/>
  </r>
  <r>
    <x v="3"/>
    <n v="1185732"/>
    <x v="257"/>
    <x v="1"/>
    <s v="Michigan"/>
    <s v="Detroit"/>
    <s v="In-store"/>
    <x v="3"/>
    <n v="35"/>
    <n v="500"/>
    <n v="17500"/>
    <n v="12250"/>
  </r>
  <r>
    <x v="3"/>
    <n v="1185732"/>
    <x v="257"/>
    <x v="1"/>
    <s v="Michigan"/>
    <s v="Detroit"/>
    <s v="In-store"/>
    <x v="5"/>
    <n v="35"/>
    <n v="475"/>
    <n v="16625"/>
    <n v="10806.25"/>
  </r>
  <r>
    <x v="3"/>
    <n v="1185732"/>
    <x v="257"/>
    <x v="1"/>
    <s v="Michigan"/>
    <s v="Detroit"/>
    <s v="In-store"/>
    <x v="0"/>
    <n v="40.000000000000014"/>
    <n v="600"/>
    <n v="24000.000000000007"/>
    <n v="14400.000000000005"/>
  </r>
  <r>
    <x v="3"/>
    <n v="1185732"/>
    <x v="257"/>
    <x v="1"/>
    <s v="Michigan"/>
    <s v="Detroit"/>
    <s v="In-store"/>
    <x v="1"/>
    <n v="45.000000000000007"/>
    <n v="475"/>
    <n v="21375.000000000004"/>
    <n v="12825.000000000004"/>
  </r>
  <r>
    <x v="3"/>
    <n v="1197831"/>
    <x v="257"/>
    <x v="2"/>
    <s v="Texas"/>
    <s v="Dallas"/>
    <s v="Outlet"/>
    <x v="2"/>
    <n v="55.000000000000007"/>
    <n v="875"/>
    <n v="48125.000000000007"/>
    <n v="24062.500000000004"/>
  </r>
  <r>
    <x v="3"/>
    <n v="1185732"/>
    <x v="257"/>
    <x v="1"/>
    <s v="Michigan"/>
    <s v="Detroit"/>
    <s v="In-store"/>
    <x v="4"/>
    <n v="45.000000000000007"/>
    <n v="800"/>
    <n v="36000.000000000007"/>
    <n v="18000.000000000004"/>
  </r>
  <r>
    <x v="3"/>
    <n v="1185732"/>
    <x v="257"/>
    <x v="1"/>
    <s v="Michigan"/>
    <s v="Detroit"/>
    <s v="In-store"/>
    <x v="2"/>
    <n v="50.000000000000014"/>
    <n v="575"/>
    <n v="28750.000000000007"/>
    <n v="12937.5"/>
  </r>
  <r>
    <x v="3"/>
    <n v="1197831"/>
    <x v="257"/>
    <x v="2"/>
    <s v="Alabama"/>
    <s v="Birmingham"/>
    <s v="Outlet"/>
    <x v="5"/>
    <n v="50"/>
    <n v="425"/>
    <n v="21250"/>
    <n v="8499.9999999999982"/>
  </r>
  <r>
    <x v="3"/>
    <n v="1185732"/>
    <x v="257"/>
    <x v="1"/>
    <s v="Michigan"/>
    <s v="Detroit"/>
    <s v="Online"/>
    <x v="3"/>
    <n v="34"/>
    <n v="145"/>
    <n v="4930"/>
    <n v="2859.4"/>
  </r>
  <r>
    <x v="3"/>
    <n v="1185732"/>
    <x v="257"/>
    <x v="1"/>
    <s v="Michigan"/>
    <s v="Detroit"/>
    <s v="Online"/>
    <x v="5"/>
    <n v="34"/>
    <n v="119"/>
    <n v="4046"/>
    <n v="2225.3000000000002"/>
  </r>
  <r>
    <x v="3"/>
    <n v="1185732"/>
    <x v="257"/>
    <x v="1"/>
    <s v="Michigan"/>
    <s v="Detroit"/>
    <s v="Online"/>
    <x v="1"/>
    <n v="41"/>
    <n v="128"/>
    <n v="5248"/>
    <n v="2624"/>
  </r>
  <r>
    <x v="3"/>
    <n v="1185732"/>
    <x v="257"/>
    <x v="1"/>
    <s v="Michigan"/>
    <s v="Detroit"/>
    <s v="Online"/>
    <x v="0"/>
    <n v="37"/>
    <n v="174"/>
    <n v="6438"/>
    <n v="3154.62"/>
  </r>
  <r>
    <x v="3"/>
    <n v="1197831"/>
    <x v="257"/>
    <x v="2"/>
    <s v="Texas"/>
    <s v="Dallas"/>
    <s v="Outlet"/>
    <x v="2"/>
    <n v="42"/>
    <n v="280"/>
    <n v="11760"/>
    <n v="5291.9999999999991"/>
  </r>
  <r>
    <x v="3"/>
    <n v="1197831"/>
    <x v="257"/>
    <x v="2"/>
    <s v="Texas"/>
    <s v="Dallas"/>
    <s v="Online"/>
    <x v="2"/>
    <n v="53"/>
    <n v="263"/>
    <n v="13939"/>
    <n v="5157.43"/>
  </r>
  <r>
    <x v="3"/>
    <n v="1185732"/>
    <x v="257"/>
    <x v="1"/>
    <s v="Michigan"/>
    <s v="Detroit"/>
    <s v="Online"/>
    <x v="4"/>
    <n v="42"/>
    <n v="232"/>
    <n v="9744"/>
    <n v="3605.2799999999997"/>
  </r>
  <r>
    <x v="3"/>
    <n v="1197831"/>
    <x v="257"/>
    <x v="2"/>
    <s v="Alabama"/>
    <s v="Birmingham"/>
    <s v="Outlet"/>
    <x v="5"/>
    <n v="37"/>
    <n v="140"/>
    <n v="5180"/>
    <n v="1864.7999999999993"/>
  </r>
  <r>
    <x v="3"/>
    <n v="1185732"/>
    <x v="257"/>
    <x v="1"/>
    <s v="Michigan"/>
    <s v="Detroit"/>
    <s v="Online"/>
    <x v="2"/>
    <n v="48"/>
    <n v="173"/>
    <n v="8304"/>
    <n v="2906.3999999999996"/>
  </r>
  <r>
    <x v="3"/>
    <n v="1197831"/>
    <x v="257"/>
    <x v="2"/>
    <s v="Alabama"/>
    <s v="Birmingham"/>
    <s v="Online"/>
    <x v="5"/>
    <n v="46"/>
    <n v="119"/>
    <n v="5474"/>
    <n v="1587.4599999999996"/>
  </r>
  <r>
    <x v="5"/>
    <n v="1185732"/>
    <x v="258"/>
    <x v="2"/>
    <s v="Mississippi"/>
    <s v="Jackson"/>
    <s v="Online"/>
    <x v="0"/>
    <n v="45.000000000000014"/>
    <n v="525"/>
    <n v="23625.000000000007"/>
    <n v="15356.250000000005"/>
  </r>
  <r>
    <x v="5"/>
    <n v="1185732"/>
    <x v="258"/>
    <x v="2"/>
    <s v="Mississippi"/>
    <s v="Jackson"/>
    <s v="Online"/>
    <x v="1"/>
    <n v="30.000000000000004"/>
    <n v="400"/>
    <n v="12000.000000000002"/>
    <n v="7800.0000000000018"/>
  </r>
  <r>
    <x v="3"/>
    <n v="1197831"/>
    <x v="258"/>
    <x v="2"/>
    <s v="Texas"/>
    <s v="Dallas"/>
    <s v="Outlet"/>
    <x v="4"/>
    <n v="45"/>
    <n v="825"/>
    <n v="37125"/>
    <n v="22275"/>
  </r>
  <r>
    <x v="5"/>
    <n v="1185732"/>
    <x v="258"/>
    <x v="2"/>
    <s v="Mississippi"/>
    <s v="Jackson"/>
    <s v="Online"/>
    <x v="4"/>
    <n v="50"/>
    <n v="725"/>
    <n v="36250"/>
    <n v="21750"/>
  </r>
  <r>
    <x v="5"/>
    <n v="1185732"/>
    <x v="258"/>
    <x v="2"/>
    <s v="Mississippi"/>
    <s v="Jackson"/>
    <s v="Online"/>
    <x v="3"/>
    <n v="20.000000000000007"/>
    <n v="425"/>
    <n v="8500.0000000000036"/>
    <n v="5100.0000000000018"/>
  </r>
  <r>
    <x v="5"/>
    <n v="1185732"/>
    <x v="258"/>
    <x v="2"/>
    <s v="Mississippi"/>
    <s v="Jackson"/>
    <s v="Online"/>
    <x v="5"/>
    <n v="20.000000000000007"/>
    <n v="400"/>
    <n v="8000.0000000000027"/>
    <n v="4800.0000000000018"/>
  </r>
  <r>
    <x v="3"/>
    <n v="1197831"/>
    <x v="258"/>
    <x v="2"/>
    <s v="Alabama"/>
    <s v="Birmingham"/>
    <s v="Outlet"/>
    <x v="1"/>
    <n v="55.000000000000007"/>
    <n v="425"/>
    <n v="23375.000000000004"/>
    <n v="12856.250000000004"/>
  </r>
  <r>
    <x v="5"/>
    <n v="1185732"/>
    <x v="258"/>
    <x v="2"/>
    <s v="Mississippi"/>
    <s v="Jackson"/>
    <s v="Online"/>
    <x v="2"/>
    <n v="35.000000000000007"/>
    <n v="500"/>
    <n v="17500.000000000004"/>
    <n v="8750.0000000000018"/>
  </r>
  <r>
    <x v="5"/>
    <n v="1185732"/>
    <x v="258"/>
    <x v="2"/>
    <s v="Mississippi"/>
    <s v="Jackson"/>
    <s v="Outlet"/>
    <x v="1"/>
    <n v="22"/>
    <n v="132"/>
    <n v="2904"/>
    <n v="1800.48"/>
  </r>
  <r>
    <x v="5"/>
    <n v="1185732"/>
    <x v="258"/>
    <x v="2"/>
    <s v="Mississippi"/>
    <s v="Jackson"/>
    <s v="Outlet"/>
    <x v="0"/>
    <n v="33"/>
    <n v="158"/>
    <n v="5214"/>
    <n v="3076.26"/>
  </r>
  <r>
    <x v="3"/>
    <n v="1197831"/>
    <x v="258"/>
    <x v="2"/>
    <s v="Texas"/>
    <s v="Dallas"/>
    <s v="Outlet"/>
    <x v="4"/>
    <n v="34"/>
    <n v="256"/>
    <n v="8704"/>
    <n v="5048.32"/>
  </r>
  <r>
    <x v="5"/>
    <n v="1185732"/>
    <x v="258"/>
    <x v="2"/>
    <s v="Mississippi"/>
    <s v="Jackson"/>
    <s v="Outlet"/>
    <x v="4"/>
    <n v="40"/>
    <n v="232"/>
    <n v="9280"/>
    <n v="5196.8"/>
  </r>
  <r>
    <x v="5"/>
    <n v="1185732"/>
    <x v="258"/>
    <x v="2"/>
    <s v="Mississippi"/>
    <s v="Jackson"/>
    <s v="Online"/>
    <x v="0"/>
    <n v="42"/>
    <n v="147"/>
    <n v="6174"/>
    <n v="3395.7000000000003"/>
  </r>
  <r>
    <x v="5"/>
    <n v="1185732"/>
    <x v="258"/>
    <x v="2"/>
    <s v="Mississippi"/>
    <s v="Jackson"/>
    <s v="Outlet"/>
    <x v="5"/>
    <n v="16"/>
    <n v="120"/>
    <n v="1920"/>
    <n v="1056"/>
  </r>
  <r>
    <x v="5"/>
    <n v="1185732"/>
    <x v="258"/>
    <x v="2"/>
    <s v="Mississippi"/>
    <s v="Jackson"/>
    <s v="Outlet"/>
    <x v="3"/>
    <n v="15"/>
    <n v="145"/>
    <n v="2175"/>
    <n v="1152.75"/>
  </r>
  <r>
    <x v="5"/>
    <n v="1185732"/>
    <x v="258"/>
    <x v="2"/>
    <s v="Mississippi"/>
    <s v="Jackson"/>
    <s v="Online"/>
    <x v="1"/>
    <n v="29"/>
    <n v="108"/>
    <n v="3132"/>
    <n v="1628.64"/>
  </r>
  <r>
    <x v="3"/>
    <n v="1197831"/>
    <x v="258"/>
    <x v="2"/>
    <s v="Alabama"/>
    <s v="Birmingham"/>
    <s v="Outlet"/>
    <x v="1"/>
    <n v="42"/>
    <n v="140"/>
    <n v="5880"/>
    <n v="2940.0000000000005"/>
  </r>
  <r>
    <x v="5"/>
    <n v="1185732"/>
    <x v="258"/>
    <x v="2"/>
    <s v="Mississippi"/>
    <s v="Jackson"/>
    <s v="Online"/>
    <x v="3"/>
    <n v="19"/>
    <n v="123"/>
    <n v="2337"/>
    <n v="1168.5"/>
  </r>
  <r>
    <x v="3"/>
    <n v="1197831"/>
    <x v="258"/>
    <x v="2"/>
    <s v="Texas"/>
    <s v="Dallas"/>
    <s v="Online"/>
    <x v="4"/>
    <n v="41"/>
    <n v="231"/>
    <n v="9471"/>
    <n v="4546.08"/>
  </r>
  <r>
    <x v="5"/>
    <n v="1185732"/>
    <x v="258"/>
    <x v="2"/>
    <s v="Mississippi"/>
    <s v="Jackson"/>
    <s v="Online"/>
    <x v="4"/>
    <n v="47"/>
    <n v="203"/>
    <n v="9541"/>
    <n v="4388.8599999999997"/>
  </r>
  <r>
    <x v="5"/>
    <n v="1185732"/>
    <x v="258"/>
    <x v="2"/>
    <s v="Mississippi"/>
    <s v="Jackson"/>
    <s v="Online"/>
    <x v="5"/>
    <n v="19"/>
    <n v="100"/>
    <n v="1900"/>
    <n v="855"/>
  </r>
  <r>
    <x v="5"/>
    <n v="1185732"/>
    <x v="258"/>
    <x v="2"/>
    <s v="Mississippi"/>
    <s v="Jackson"/>
    <s v="Outlet"/>
    <x v="2"/>
    <n v="26"/>
    <n v="160"/>
    <n v="4160"/>
    <n v="1830.3999999999996"/>
  </r>
  <r>
    <x v="3"/>
    <n v="1197831"/>
    <x v="258"/>
    <x v="2"/>
    <s v="Alabama"/>
    <s v="Birmingham"/>
    <s v="Online"/>
    <x v="1"/>
    <n v="50"/>
    <n v="123"/>
    <n v="6150"/>
    <n v="2521.5"/>
  </r>
  <r>
    <x v="5"/>
    <n v="1185732"/>
    <x v="258"/>
    <x v="2"/>
    <s v="Mississippi"/>
    <s v="Jackson"/>
    <s v="Online"/>
    <x v="2"/>
    <n v="32"/>
    <n v="130"/>
    <n v="4160"/>
    <n v="1580.8000000000002"/>
  </r>
  <r>
    <x v="4"/>
    <n v="1185732"/>
    <x v="259"/>
    <x v="4"/>
    <s v="New Hampshire"/>
    <s v="Manchester"/>
    <s v="Outlet"/>
    <x v="3"/>
    <n v="55.000000000000007"/>
    <n v="250"/>
    <n v="13750.000000000002"/>
    <n v="9625.0000000000036"/>
  </r>
  <r>
    <x v="4"/>
    <n v="1185732"/>
    <x v="259"/>
    <x v="4"/>
    <s v="New Hampshire"/>
    <s v="Manchester"/>
    <s v="Outlet"/>
    <x v="5"/>
    <n v="55.000000000000007"/>
    <n v="225"/>
    <n v="12375.000000000002"/>
    <n v="8662.5000000000018"/>
  </r>
  <r>
    <x v="4"/>
    <n v="1185732"/>
    <x v="259"/>
    <x v="4"/>
    <s v="New Hampshire"/>
    <s v="Manchester"/>
    <s v="Outlet"/>
    <x v="1"/>
    <n v="65"/>
    <n v="225"/>
    <n v="14625"/>
    <n v="10237.5"/>
  </r>
  <r>
    <x v="4"/>
    <n v="1185732"/>
    <x v="259"/>
    <x v="4"/>
    <s v="New Hampshire"/>
    <s v="Manchester"/>
    <s v="Outlet"/>
    <x v="2"/>
    <n v="70"/>
    <n v="325"/>
    <n v="22750"/>
    <n v="14787.5"/>
  </r>
  <r>
    <x v="3"/>
    <n v="1197831"/>
    <x v="259"/>
    <x v="2"/>
    <s v="Texas"/>
    <s v="Dallas"/>
    <s v="Outlet"/>
    <x v="0"/>
    <n v="50"/>
    <n v="825"/>
    <n v="41250"/>
    <n v="24750"/>
  </r>
  <r>
    <x v="4"/>
    <n v="1185732"/>
    <x v="259"/>
    <x v="4"/>
    <s v="Maine"/>
    <s v="Portland"/>
    <s v="Outlet"/>
    <x v="2"/>
    <n v="60"/>
    <n v="225"/>
    <n v="13500"/>
    <n v="8100"/>
  </r>
  <r>
    <x v="4"/>
    <n v="1185732"/>
    <x v="259"/>
    <x v="4"/>
    <s v="New Hampshire"/>
    <s v="Manchester"/>
    <s v="Outlet"/>
    <x v="4"/>
    <n v="65"/>
    <n v="550"/>
    <n v="35750"/>
    <n v="21450"/>
  </r>
  <r>
    <x v="4"/>
    <n v="1185732"/>
    <x v="259"/>
    <x v="4"/>
    <s v="New Hampshire"/>
    <s v="Manchester"/>
    <s v="Outlet"/>
    <x v="0"/>
    <n v="60.000000000000007"/>
    <n v="350"/>
    <n v="21000.000000000004"/>
    <n v="12600.000000000002"/>
  </r>
  <r>
    <x v="3"/>
    <n v="1197831"/>
    <x v="259"/>
    <x v="2"/>
    <s v="Alabama"/>
    <s v="Birmingham"/>
    <s v="Outlet"/>
    <x v="2"/>
    <n v="60"/>
    <n v="675"/>
    <n v="40500"/>
    <n v="14174.999999999995"/>
  </r>
  <r>
    <x v="4"/>
    <n v="1185732"/>
    <x v="259"/>
    <x v="4"/>
    <s v="New Hampshire"/>
    <s v="Manchester"/>
    <s v="Outlet"/>
    <x v="3"/>
    <n v="43"/>
    <n v="78"/>
    <n v="3354"/>
    <n v="2247.1800000000003"/>
  </r>
  <r>
    <x v="4"/>
    <n v="1185732"/>
    <x v="259"/>
    <x v="4"/>
    <s v="New Hampshire"/>
    <s v="Manchester"/>
    <s v="Outlet"/>
    <x v="1"/>
    <n v="48"/>
    <n v="70"/>
    <n v="3360"/>
    <n v="2150.4"/>
  </r>
  <r>
    <x v="4"/>
    <n v="1185732"/>
    <x v="259"/>
    <x v="4"/>
    <s v="New Hampshire"/>
    <s v="Manchester"/>
    <s v="Outlet"/>
    <x v="5"/>
    <n v="41"/>
    <n v="74"/>
    <n v="3034"/>
    <n v="1911.42"/>
  </r>
  <r>
    <x v="4"/>
    <n v="1185732"/>
    <x v="259"/>
    <x v="4"/>
    <s v="New Hampshire"/>
    <s v="Manchester"/>
    <s v="Outlet"/>
    <x v="2"/>
    <n v="53"/>
    <n v="104"/>
    <n v="5512"/>
    <n v="3472.56"/>
  </r>
  <r>
    <x v="4"/>
    <n v="1185732"/>
    <x v="259"/>
    <x v="4"/>
    <s v="New Hampshire"/>
    <s v="Manchester"/>
    <s v="Online"/>
    <x v="5"/>
    <n v="53"/>
    <n v="56"/>
    <n v="2968"/>
    <n v="1721.44"/>
  </r>
  <r>
    <x v="3"/>
    <n v="1197831"/>
    <x v="259"/>
    <x v="2"/>
    <s v="Texas"/>
    <s v="Dallas"/>
    <s v="Outlet"/>
    <x v="0"/>
    <n v="34"/>
    <n v="264"/>
    <n v="8976"/>
    <n v="5206.08"/>
  </r>
  <r>
    <x v="4"/>
    <n v="1185732"/>
    <x v="259"/>
    <x v="4"/>
    <s v="New Hampshire"/>
    <s v="Manchester"/>
    <s v="Outlet"/>
    <x v="0"/>
    <n v="43"/>
    <n v="116"/>
    <n v="4988"/>
    <n v="2893.04"/>
  </r>
  <r>
    <x v="4"/>
    <n v="1185732"/>
    <x v="259"/>
    <x v="4"/>
    <s v="New Hampshire"/>
    <s v="Manchester"/>
    <s v="Online"/>
    <x v="3"/>
    <n v="52"/>
    <n v="75"/>
    <n v="3900"/>
    <n v="2223"/>
  </r>
  <r>
    <x v="4"/>
    <n v="1185732"/>
    <x v="259"/>
    <x v="4"/>
    <s v="New Hampshire"/>
    <s v="Manchester"/>
    <s v="Online"/>
    <x v="1"/>
    <n v="64"/>
    <n v="63"/>
    <n v="4032"/>
    <n v="2298.2399999999998"/>
  </r>
  <r>
    <x v="4"/>
    <n v="1185732"/>
    <x v="259"/>
    <x v="4"/>
    <s v="New Hampshire"/>
    <s v="Manchester"/>
    <s v="Outlet"/>
    <x v="4"/>
    <n v="51"/>
    <n v="193"/>
    <n v="9843"/>
    <n v="5512.08"/>
  </r>
  <r>
    <x v="4"/>
    <n v="1185732"/>
    <x v="259"/>
    <x v="4"/>
    <s v="New Hampshire"/>
    <s v="Manchester"/>
    <s v="Online"/>
    <x v="2"/>
    <n v="68"/>
    <n v="98"/>
    <n v="6664"/>
    <n v="3598.5600000000004"/>
  </r>
  <r>
    <x v="4"/>
    <n v="1185732"/>
    <x v="259"/>
    <x v="4"/>
    <s v="Maine"/>
    <s v="Portland"/>
    <s v="Online"/>
    <x v="2"/>
    <n v="57"/>
    <n v="59"/>
    <n v="3363"/>
    <n v="1614.24"/>
  </r>
  <r>
    <x v="4"/>
    <n v="1185732"/>
    <x v="259"/>
    <x v="4"/>
    <s v="New Hampshire"/>
    <s v="Manchester"/>
    <s v="Online"/>
    <x v="4"/>
    <n v="59"/>
    <n v="154"/>
    <n v="9086"/>
    <n v="4361.28"/>
  </r>
  <r>
    <x v="4"/>
    <n v="1185732"/>
    <x v="259"/>
    <x v="4"/>
    <s v="New Hampshire"/>
    <s v="Manchester"/>
    <s v="Online"/>
    <x v="0"/>
    <n v="54"/>
    <n v="95"/>
    <n v="5130"/>
    <n v="2462.4"/>
  </r>
  <r>
    <x v="3"/>
    <n v="1197831"/>
    <x v="259"/>
    <x v="2"/>
    <s v="Texas"/>
    <s v="Dallas"/>
    <s v="Online"/>
    <x v="0"/>
    <n v="48"/>
    <n v="215"/>
    <n v="10320"/>
    <n v="4747.2"/>
  </r>
  <r>
    <x v="3"/>
    <n v="1197831"/>
    <x v="259"/>
    <x v="2"/>
    <s v="Alabama"/>
    <s v="Birmingham"/>
    <s v="Outlet"/>
    <x v="2"/>
    <n v="39"/>
    <n v="203"/>
    <n v="7917"/>
    <n v="2295.9299999999985"/>
  </r>
  <r>
    <x v="3"/>
    <n v="1197831"/>
    <x v="259"/>
    <x v="2"/>
    <s v="Alabama"/>
    <s v="Birmingham"/>
    <s v="Online"/>
    <x v="2"/>
    <n v="59"/>
    <n v="182"/>
    <n v="10738"/>
    <n v="2469.739999999998"/>
  </r>
  <r>
    <x v="5"/>
    <n v="1128299"/>
    <x v="260"/>
    <x v="3"/>
    <s v="Florida"/>
    <s v="Orlando"/>
    <s v="In-store"/>
    <x v="1"/>
    <n v="70"/>
    <n v="275"/>
    <n v="19250"/>
    <n v="15400"/>
  </r>
  <r>
    <x v="5"/>
    <n v="1128299"/>
    <x v="260"/>
    <x v="3"/>
    <s v="Florida"/>
    <s v="Orlando"/>
    <s v="In-store"/>
    <x v="0"/>
    <n v="65.000000000000014"/>
    <n v="500"/>
    <n v="32500.000000000007"/>
    <n v="24375.000000000007"/>
  </r>
  <r>
    <x v="5"/>
    <n v="1128299"/>
    <x v="260"/>
    <x v="3"/>
    <s v="Florida"/>
    <s v="Orlando"/>
    <s v="In-store"/>
    <x v="4"/>
    <n v="60.000000000000007"/>
    <n v="500"/>
    <n v="30000.000000000004"/>
    <n v="21000.000000000007"/>
  </r>
  <r>
    <x v="5"/>
    <n v="1128299"/>
    <x v="260"/>
    <x v="3"/>
    <s v="Florida"/>
    <s v="Orlando"/>
    <s v="In-store"/>
    <x v="5"/>
    <n v="60.000000000000007"/>
    <n v="250"/>
    <n v="15000.000000000002"/>
    <n v="10500.000000000004"/>
  </r>
  <r>
    <x v="5"/>
    <n v="1128299"/>
    <x v="260"/>
    <x v="3"/>
    <s v="Florida"/>
    <s v="Orlando"/>
    <s v="In-store"/>
    <x v="3"/>
    <n v="60.000000000000007"/>
    <n v="300"/>
    <n v="18000.000000000004"/>
    <n v="12600.000000000004"/>
  </r>
  <r>
    <x v="0"/>
    <n v="1128299"/>
    <x v="260"/>
    <x v="2"/>
    <s v="Louisiana"/>
    <s v="New Orleans"/>
    <s v="Online"/>
    <x v="2"/>
    <n v="40"/>
    <n v="300"/>
    <n v="12000"/>
    <n v="7800"/>
  </r>
  <r>
    <x v="0"/>
    <n v="1128299"/>
    <x v="260"/>
    <x v="2"/>
    <s v="Louisiana"/>
    <s v="New Orleans"/>
    <s v="Online"/>
    <x v="4"/>
    <n v="45.000000000000014"/>
    <n v="500"/>
    <n v="22500.000000000007"/>
    <n v="13500.000000000005"/>
  </r>
  <r>
    <x v="0"/>
    <n v="1128299"/>
    <x v="260"/>
    <x v="2"/>
    <s v="Louisiana"/>
    <s v="New Orleans"/>
    <s v="Online"/>
    <x v="0"/>
    <n v="50.000000000000014"/>
    <n v="500"/>
    <n v="25000.000000000007"/>
    <n v="15000.000000000005"/>
  </r>
  <r>
    <x v="0"/>
    <n v="1128299"/>
    <x v="260"/>
    <x v="2"/>
    <s v="Louisiana"/>
    <s v="New Orleans"/>
    <s v="Online"/>
    <x v="3"/>
    <n v="45.000000000000014"/>
    <n v="300"/>
    <n v="13500.000000000004"/>
    <n v="8100.0000000000027"/>
  </r>
  <r>
    <x v="0"/>
    <n v="1128299"/>
    <x v="260"/>
    <x v="2"/>
    <s v="Louisiana"/>
    <s v="New Orleans"/>
    <s v="Online"/>
    <x v="5"/>
    <n v="45.000000000000014"/>
    <n v="250"/>
    <n v="11250.000000000004"/>
    <n v="6750.0000000000027"/>
  </r>
  <r>
    <x v="3"/>
    <n v="1197831"/>
    <x v="260"/>
    <x v="2"/>
    <s v="Texas"/>
    <s v="Dallas"/>
    <s v="Outlet"/>
    <x v="3"/>
    <n v="45"/>
    <n v="975"/>
    <n v="43875"/>
    <n v="26325"/>
  </r>
  <r>
    <x v="0"/>
    <n v="1185732"/>
    <x v="260"/>
    <x v="4"/>
    <s v="West Virginia"/>
    <s v="Charleston"/>
    <s v="In-store"/>
    <x v="4"/>
    <n v="35"/>
    <n v="550"/>
    <n v="19250"/>
    <n v="11550"/>
  </r>
  <r>
    <x v="0"/>
    <n v="1185732"/>
    <x v="260"/>
    <x v="4"/>
    <s v="West Virginia"/>
    <s v="Charleston"/>
    <s v="In-store"/>
    <x v="0"/>
    <n v="30.000000000000011"/>
    <n v="350"/>
    <n v="10500.000000000004"/>
    <n v="6300.0000000000018"/>
  </r>
  <r>
    <x v="0"/>
    <n v="1185732"/>
    <x v="260"/>
    <x v="4"/>
    <s v="West Virginia"/>
    <s v="Charleston"/>
    <s v="In-store"/>
    <x v="3"/>
    <n v="25.000000000000007"/>
    <n v="250"/>
    <n v="6250.0000000000018"/>
    <n v="3750.0000000000009"/>
  </r>
  <r>
    <x v="0"/>
    <n v="1185732"/>
    <x v="260"/>
    <x v="4"/>
    <s v="West Virginia"/>
    <s v="Charleston"/>
    <s v="In-store"/>
    <x v="5"/>
    <n v="25.000000000000007"/>
    <n v="225"/>
    <n v="5625.0000000000018"/>
    <n v="3375.0000000000009"/>
  </r>
  <r>
    <x v="0"/>
    <n v="1185732"/>
    <x v="260"/>
    <x v="4"/>
    <s v="West Virginia"/>
    <s v="Charleston"/>
    <s v="In-store"/>
    <x v="1"/>
    <n v="35"/>
    <n v="225"/>
    <n v="7875"/>
    <n v="4725"/>
  </r>
  <r>
    <x v="0"/>
    <n v="1185732"/>
    <x v="260"/>
    <x v="4"/>
    <s v="West Virginia"/>
    <s v="Charleston"/>
    <s v="In-store"/>
    <x v="2"/>
    <n v="40"/>
    <n v="300"/>
    <n v="12000"/>
    <n v="7200"/>
  </r>
  <r>
    <x v="5"/>
    <n v="1128299"/>
    <x v="260"/>
    <x v="3"/>
    <s v="Florida"/>
    <s v="Orlando"/>
    <s v="In-store"/>
    <x v="2"/>
    <n v="54.999999999999993"/>
    <n v="300"/>
    <n v="16499.999999999996"/>
    <n v="9074.9999999999982"/>
  </r>
  <r>
    <x v="0"/>
    <n v="1128299"/>
    <x v="260"/>
    <x v="2"/>
    <s v="Louisiana"/>
    <s v="New Orleans"/>
    <s v="Online"/>
    <x v="1"/>
    <n v="55.000000000000007"/>
    <n v="275"/>
    <n v="15125.000000000002"/>
    <n v="8318.7500000000018"/>
  </r>
  <r>
    <x v="3"/>
    <n v="1197831"/>
    <x v="260"/>
    <x v="2"/>
    <s v="Alabama"/>
    <s v="Birmingham"/>
    <s v="Outlet"/>
    <x v="4"/>
    <n v="55.000000000000007"/>
    <n v="625"/>
    <n v="34375.000000000007"/>
    <n v="17187.500000000007"/>
  </r>
  <r>
    <x v="5"/>
    <n v="1128299"/>
    <x v="260"/>
    <x v="3"/>
    <s v="Florida"/>
    <s v="Orlando"/>
    <s v="Outlet"/>
    <x v="1"/>
    <n v="54"/>
    <n v="94"/>
    <n v="5076"/>
    <n v="3908.52"/>
  </r>
  <r>
    <x v="5"/>
    <n v="1128299"/>
    <x v="260"/>
    <x v="3"/>
    <s v="Florida"/>
    <s v="Orlando"/>
    <s v="Online"/>
    <x v="1"/>
    <n v="64"/>
    <n v="74"/>
    <n v="4736"/>
    <n v="3267.84"/>
  </r>
  <r>
    <x v="5"/>
    <n v="1128299"/>
    <x v="260"/>
    <x v="3"/>
    <s v="Florida"/>
    <s v="Orlando"/>
    <s v="Outlet"/>
    <x v="0"/>
    <n v="45"/>
    <n v="150"/>
    <n v="6750"/>
    <n v="4657.5"/>
  </r>
  <r>
    <x v="5"/>
    <n v="1128299"/>
    <x v="260"/>
    <x v="3"/>
    <s v="Florida"/>
    <s v="Orlando"/>
    <s v="Outlet"/>
    <x v="3"/>
    <n v="39"/>
    <n v="96"/>
    <n v="3744"/>
    <n v="2508.4800000000005"/>
  </r>
  <r>
    <x v="5"/>
    <n v="1128299"/>
    <x v="260"/>
    <x v="3"/>
    <s v="Florida"/>
    <s v="Orlando"/>
    <s v="Outlet"/>
    <x v="4"/>
    <n v="44"/>
    <n v="155"/>
    <n v="6820"/>
    <n v="4296.6000000000004"/>
  </r>
  <r>
    <x v="5"/>
    <n v="1128299"/>
    <x v="260"/>
    <x v="3"/>
    <s v="Florida"/>
    <s v="Orlando"/>
    <s v="Online"/>
    <x v="0"/>
    <n v="60"/>
    <n v="135"/>
    <n v="8100"/>
    <n v="5103"/>
  </r>
  <r>
    <x v="5"/>
    <n v="1128299"/>
    <x v="260"/>
    <x v="3"/>
    <s v="Florida"/>
    <s v="Orlando"/>
    <s v="Outlet"/>
    <x v="5"/>
    <n v="44"/>
    <n v="78"/>
    <n v="3432"/>
    <n v="2162.16"/>
  </r>
  <r>
    <x v="5"/>
    <n v="1128299"/>
    <x v="260"/>
    <x v="3"/>
    <s v="Florida"/>
    <s v="Orlando"/>
    <s v="Online"/>
    <x v="4"/>
    <n v="58"/>
    <n v="140"/>
    <n v="8120"/>
    <n v="4872"/>
  </r>
  <r>
    <x v="0"/>
    <n v="1128299"/>
    <x v="260"/>
    <x v="2"/>
    <s v="Louisiana"/>
    <s v="New Orleans"/>
    <s v="Outlet"/>
    <x v="2"/>
    <n v="30"/>
    <n v="90"/>
    <n v="2700"/>
    <n v="1620"/>
  </r>
  <r>
    <x v="0"/>
    <n v="1128299"/>
    <x v="260"/>
    <x v="2"/>
    <s v="Louisiana"/>
    <s v="New Orleans"/>
    <s v="Outlet"/>
    <x v="5"/>
    <n v="34"/>
    <n v="80"/>
    <n v="2720"/>
    <n v="1577.6000000000001"/>
  </r>
  <r>
    <x v="3"/>
    <n v="1197831"/>
    <x v="260"/>
    <x v="2"/>
    <s v="Texas"/>
    <s v="Dallas"/>
    <s v="Outlet"/>
    <x v="3"/>
    <n v="33"/>
    <n v="322"/>
    <n v="10626"/>
    <n v="6163.08"/>
  </r>
  <r>
    <x v="0"/>
    <n v="1128299"/>
    <x v="260"/>
    <x v="2"/>
    <s v="Louisiana"/>
    <s v="New Orleans"/>
    <s v="Outlet"/>
    <x v="4"/>
    <n v="33"/>
    <n v="175"/>
    <n v="5775"/>
    <n v="3349.5"/>
  </r>
  <r>
    <x v="0"/>
    <n v="1128299"/>
    <x v="260"/>
    <x v="2"/>
    <s v="Louisiana"/>
    <s v="New Orleans"/>
    <s v="Outlet"/>
    <x v="0"/>
    <n v="40"/>
    <n v="175"/>
    <n v="7000"/>
    <n v="3990.0000000000005"/>
  </r>
  <r>
    <x v="5"/>
    <n v="1128299"/>
    <x v="260"/>
    <x v="3"/>
    <s v="Florida"/>
    <s v="Orlando"/>
    <s v="Online"/>
    <x v="5"/>
    <n v="54"/>
    <n v="65"/>
    <n v="3510"/>
    <n v="1965.6"/>
  </r>
  <r>
    <x v="5"/>
    <n v="1128299"/>
    <x v="260"/>
    <x v="3"/>
    <s v="Florida"/>
    <s v="Orlando"/>
    <s v="Online"/>
    <x v="3"/>
    <n v="54"/>
    <n v="75"/>
    <n v="4050"/>
    <n v="2227.5"/>
  </r>
  <r>
    <x v="0"/>
    <n v="1128299"/>
    <x v="260"/>
    <x v="2"/>
    <s v="Louisiana"/>
    <s v="New Orleans"/>
    <s v="Outlet"/>
    <x v="3"/>
    <n v="30"/>
    <n v="96"/>
    <n v="2880"/>
    <n v="1555.2"/>
  </r>
  <r>
    <x v="0"/>
    <n v="1128299"/>
    <x v="260"/>
    <x v="2"/>
    <s v="Louisiana"/>
    <s v="New Orleans"/>
    <s v="Outlet"/>
    <x v="1"/>
    <n v="41"/>
    <n v="83"/>
    <n v="3403"/>
    <n v="1769.5600000000002"/>
  </r>
  <r>
    <x v="5"/>
    <n v="1128299"/>
    <x v="260"/>
    <x v="3"/>
    <s v="Florida"/>
    <s v="Orlando"/>
    <s v="Outlet"/>
    <x v="2"/>
    <n v="42"/>
    <n v="99"/>
    <n v="4158"/>
    <n v="2120.58"/>
  </r>
  <r>
    <x v="0"/>
    <n v="1128299"/>
    <x v="260"/>
    <x v="2"/>
    <s v="Louisiana"/>
    <s v="New Orleans"/>
    <s v="Online"/>
    <x v="2"/>
    <n v="39"/>
    <n v="75"/>
    <n v="2925"/>
    <n v="1462.5"/>
  </r>
  <r>
    <x v="0"/>
    <n v="1185732"/>
    <x v="260"/>
    <x v="4"/>
    <s v="West Virginia"/>
    <s v="Charleston"/>
    <s v="Online"/>
    <x v="5"/>
    <n v="23"/>
    <n v="59"/>
    <n v="1357"/>
    <n v="678.5"/>
  </r>
  <r>
    <x v="0"/>
    <n v="1128299"/>
    <x v="260"/>
    <x v="2"/>
    <s v="Louisiana"/>
    <s v="New Orleans"/>
    <s v="Online"/>
    <x v="0"/>
    <n v="46"/>
    <n v="125"/>
    <n v="5750"/>
    <n v="2817.5"/>
  </r>
  <r>
    <x v="0"/>
    <n v="1128299"/>
    <x v="260"/>
    <x v="2"/>
    <s v="Louisiana"/>
    <s v="New Orleans"/>
    <s v="Online"/>
    <x v="5"/>
    <n v="41"/>
    <n v="63"/>
    <n v="2583"/>
    <n v="1265.67"/>
  </r>
  <r>
    <x v="0"/>
    <n v="1185732"/>
    <x v="260"/>
    <x v="4"/>
    <s v="West Virginia"/>
    <s v="Charleston"/>
    <s v="Online"/>
    <x v="4"/>
    <n v="34"/>
    <n v="154"/>
    <n v="5236"/>
    <n v="2565.64"/>
  </r>
  <r>
    <x v="0"/>
    <n v="1185732"/>
    <x v="260"/>
    <x v="4"/>
    <s v="West Virginia"/>
    <s v="Charleston"/>
    <s v="Online"/>
    <x v="2"/>
    <n v="36"/>
    <n v="75"/>
    <n v="2700"/>
    <n v="1323"/>
  </r>
  <r>
    <x v="0"/>
    <n v="1128299"/>
    <x v="260"/>
    <x v="2"/>
    <s v="Louisiana"/>
    <s v="New Orleans"/>
    <s v="Online"/>
    <x v="3"/>
    <n v="43"/>
    <n v="78"/>
    <n v="3354"/>
    <n v="1609.9199999999998"/>
  </r>
  <r>
    <x v="0"/>
    <n v="1185732"/>
    <x v="260"/>
    <x v="4"/>
    <s v="West Virginia"/>
    <s v="Charleston"/>
    <s v="Online"/>
    <x v="1"/>
    <n v="32"/>
    <n v="61"/>
    <n v="1952"/>
    <n v="936.95999999999992"/>
  </r>
  <r>
    <x v="0"/>
    <n v="1185732"/>
    <x v="260"/>
    <x v="4"/>
    <s v="West Virginia"/>
    <s v="Charleston"/>
    <s v="Online"/>
    <x v="0"/>
    <n v="29"/>
    <n v="91"/>
    <n v="2639"/>
    <n v="1240.33"/>
  </r>
  <r>
    <x v="0"/>
    <n v="1185732"/>
    <x v="260"/>
    <x v="4"/>
    <s v="West Virginia"/>
    <s v="Charleston"/>
    <s v="Online"/>
    <x v="3"/>
    <n v="24"/>
    <n v="68"/>
    <n v="1632"/>
    <n v="750.71999999999991"/>
  </r>
  <r>
    <x v="3"/>
    <n v="1197831"/>
    <x v="260"/>
    <x v="2"/>
    <s v="Texas"/>
    <s v="Dallas"/>
    <s v="Online"/>
    <x v="3"/>
    <n v="44"/>
    <n v="254"/>
    <n v="11176"/>
    <n v="5029.2000000000007"/>
  </r>
  <r>
    <x v="0"/>
    <n v="1128299"/>
    <x v="260"/>
    <x v="2"/>
    <s v="Louisiana"/>
    <s v="New Orleans"/>
    <s v="Online"/>
    <x v="4"/>
    <n v="43"/>
    <n v="145"/>
    <n v="6235"/>
    <n v="2805.7500000000005"/>
  </r>
  <r>
    <x v="3"/>
    <n v="1197831"/>
    <x v="260"/>
    <x v="2"/>
    <s v="Alabama"/>
    <s v="Birmingham"/>
    <s v="Outlet"/>
    <x v="4"/>
    <n v="38"/>
    <n v="206"/>
    <n v="7828"/>
    <n v="3522.6000000000004"/>
  </r>
  <r>
    <x v="5"/>
    <n v="1128299"/>
    <x v="260"/>
    <x v="3"/>
    <s v="Florida"/>
    <s v="Orlando"/>
    <s v="Online"/>
    <x v="2"/>
    <n v="51"/>
    <n v="75"/>
    <n v="3825"/>
    <n v="1721.25"/>
  </r>
  <r>
    <x v="0"/>
    <n v="1128299"/>
    <x v="260"/>
    <x v="2"/>
    <s v="Louisiana"/>
    <s v="New Orleans"/>
    <s v="Online"/>
    <x v="1"/>
    <n v="51"/>
    <n v="77"/>
    <n v="3927"/>
    <n v="1767.1499999999996"/>
  </r>
  <r>
    <x v="3"/>
    <n v="1197831"/>
    <x v="260"/>
    <x v="2"/>
    <s v="Alabama"/>
    <s v="Birmingham"/>
    <s v="Online"/>
    <x v="4"/>
    <n v="51"/>
    <n v="175"/>
    <n v="8925"/>
    <n v="3570"/>
  </r>
  <r>
    <x v="2"/>
    <n v="1185732"/>
    <x v="261"/>
    <x v="1"/>
    <s v="Missouri"/>
    <s v="St. Louis"/>
    <s v="In-store"/>
    <x v="0"/>
    <n v="30.000000000000011"/>
    <n v="400"/>
    <n v="12000.000000000004"/>
    <n v="7800.0000000000027"/>
  </r>
  <r>
    <x v="2"/>
    <n v="1185732"/>
    <x v="261"/>
    <x v="1"/>
    <s v="Missouri"/>
    <s v="St. Louis"/>
    <s v="In-store"/>
    <x v="3"/>
    <n v="15.000000000000002"/>
    <n v="300"/>
    <n v="4500.0000000000009"/>
    <n v="2925.0000000000009"/>
  </r>
  <r>
    <x v="5"/>
    <n v="1197831"/>
    <x v="261"/>
    <x v="2"/>
    <s v="Arkansas"/>
    <s v="Little Rock"/>
    <s v="Online"/>
    <x v="1"/>
    <n v="25.000000000000007"/>
    <n v="325"/>
    <n v="8125.0000000000027"/>
    <n v="5281.2500000000018"/>
  </r>
  <r>
    <x v="0"/>
    <n v="1197831"/>
    <x v="261"/>
    <x v="2"/>
    <s v="Oklahoma"/>
    <s v="Oklahoma City"/>
    <s v="Online"/>
    <x v="0"/>
    <n v="40.000000000000014"/>
    <n v="375"/>
    <n v="15000.000000000005"/>
    <n v="9750.0000000000036"/>
  </r>
  <r>
    <x v="0"/>
    <n v="1197831"/>
    <x v="261"/>
    <x v="2"/>
    <s v="Oklahoma"/>
    <s v="Oklahoma City"/>
    <s v="Online"/>
    <x v="1"/>
    <n v="25.000000000000007"/>
    <n v="250"/>
    <n v="6250.0000000000018"/>
    <n v="4062.5000000000014"/>
  </r>
  <r>
    <x v="2"/>
    <n v="1185732"/>
    <x v="261"/>
    <x v="1"/>
    <s v="Missouri"/>
    <s v="St. Louis"/>
    <s v="In-store"/>
    <x v="1"/>
    <n v="25"/>
    <n v="275"/>
    <n v="6875"/>
    <n v="4468.75"/>
  </r>
  <r>
    <x v="5"/>
    <n v="1197831"/>
    <x v="261"/>
    <x v="2"/>
    <s v="Arkansas"/>
    <s v="Little Rock"/>
    <s v="Online"/>
    <x v="0"/>
    <n v="40.000000000000014"/>
    <n v="450"/>
    <n v="18000.000000000007"/>
    <n v="11700.000000000004"/>
  </r>
  <r>
    <x v="5"/>
    <n v="1197831"/>
    <x v="261"/>
    <x v="2"/>
    <s v="Arkansas"/>
    <s v="Little Rock"/>
    <s v="Online"/>
    <x v="2"/>
    <n v="30.000000000000011"/>
    <n v="425"/>
    <n v="12750.000000000004"/>
    <n v="7650.0000000000027"/>
  </r>
  <r>
    <x v="2"/>
    <n v="1185732"/>
    <x v="261"/>
    <x v="1"/>
    <s v="Missouri"/>
    <s v="St. Louis"/>
    <s v="In-store"/>
    <x v="4"/>
    <n v="35"/>
    <n v="600"/>
    <n v="21000"/>
    <n v="12600"/>
  </r>
  <r>
    <x v="2"/>
    <n v="1185732"/>
    <x v="261"/>
    <x v="1"/>
    <s v="Missouri"/>
    <s v="St. Louis"/>
    <s v="In-store"/>
    <x v="5"/>
    <n v="15.000000000000002"/>
    <n v="275"/>
    <n v="4125.0000000000009"/>
    <n v="2475.0000000000005"/>
  </r>
  <r>
    <x v="5"/>
    <n v="1197831"/>
    <x v="261"/>
    <x v="2"/>
    <s v="Arkansas"/>
    <s v="Little Rock"/>
    <s v="Online"/>
    <x v="4"/>
    <n v="50"/>
    <n v="650"/>
    <n v="32500"/>
    <n v="19500"/>
  </r>
  <r>
    <x v="0"/>
    <n v="1197831"/>
    <x v="261"/>
    <x v="2"/>
    <s v="Oklahoma"/>
    <s v="Oklahoma City"/>
    <s v="Online"/>
    <x v="4"/>
    <n v="50"/>
    <n v="575"/>
    <n v="28750"/>
    <n v="17250"/>
  </r>
  <r>
    <x v="0"/>
    <n v="1197831"/>
    <x v="261"/>
    <x v="2"/>
    <s v="Oklahoma"/>
    <s v="Oklahoma City"/>
    <s v="Online"/>
    <x v="3"/>
    <n v="15.000000000000007"/>
    <n v="275"/>
    <n v="4125.0000000000018"/>
    <n v="2475.0000000000009"/>
  </r>
  <r>
    <x v="0"/>
    <n v="1197831"/>
    <x v="261"/>
    <x v="2"/>
    <s v="Oklahoma"/>
    <s v="Oklahoma City"/>
    <s v="Online"/>
    <x v="2"/>
    <n v="30.000000000000011"/>
    <n v="350"/>
    <n v="10500.000000000004"/>
    <n v="6300.0000000000018"/>
  </r>
  <r>
    <x v="5"/>
    <n v="1197831"/>
    <x v="261"/>
    <x v="2"/>
    <s v="Arkansas"/>
    <s v="Little Rock"/>
    <s v="Online"/>
    <x v="3"/>
    <n v="15.000000000000007"/>
    <n v="350"/>
    <n v="5250.0000000000027"/>
    <n v="3150.0000000000009"/>
  </r>
  <r>
    <x v="5"/>
    <n v="1197831"/>
    <x v="261"/>
    <x v="2"/>
    <s v="Arkansas"/>
    <s v="Little Rock"/>
    <s v="Online"/>
    <x v="5"/>
    <n v="15.000000000000007"/>
    <n v="325"/>
    <n v="4875.0000000000027"/>
    <n v="2925.0000000000009"/>
  </r>
  <r>
    <x v="0"/>
    <n v="1197831"/>
    <x v="261"/>
    <x v="2"/>
    <s v="Oklahoma"/>
    <s v="Oklahoma City"/>
    <s v="Online"/>
    <x v="5"/>
    <n v="15.000000000000007"/>
    <n v="250"/>
    <n v="3750.0000000000018"/>
    <n v="2250.0000000000009"/>
  </r>
  <r>
    <x v="3"/>
    <n v="1197831"/>
    <x v="261"/>
    <x v="2"/>
    <s v="Alabama"/>
    <s v="Birmingham"/>
    <s v="Outlet"/>
    <x v="0"/>
    <n v="55.000000000000007"/>
    <n v="575"/>
    <n v="31625.000000000004"/>
    <n v="15812.500000000005"/>
  </r>
  <r>
    <x v="3"/>
    <n v="1197831"/>
    <x v="261"/>
    <x v="2"/>
    <s v="Texas"/>
    <s v="Dallas"/>
    <s v="Outlet"/>
    <x v="5"/>
    <n v="45"/>
    <n v="575"/>
    <n v="25875"/>
    <n v="12937.5"/>
  </r>
  <r>
    <x v="2"/>
    <n v="1185732"/>
    <x v="261"/>
    <x v="1"/>
    <s v="Missouri"/>
    <s v="St. Louis"/>
    <s v="In-store"/>
    <x v="2"/>
    <n v="30.000000000000004"/>
    <n v="350"/>
    <n v="10500.000000000002"/>
    <n v="5250.0000000000009"/>
  </r>
  <r>
    <x v="0"/>
    <n v="1197831"/>
    <x v="261"/>
    <x v="2"/>
    <s v="Oklahoma"/>
    <s v="Oklahoma City"/>
    <s v="Outlet"/>
    <x v="1"/>
    <n v="20"/>
    <n v="78"/>
    <n v="1560"/>
    <n v="967.2"/>
  </r>
  <r>
    <x v="5"/>
    <n v="1197831"/>
    <x v="261"/>
    <x v="2"/>
    <s v="Arkansas"/>
    <s v="Little Rock"/>
    <s v="Outlet"/>
    <x v="1"/>
    <n v="18"/>
    <n v="111"/>
    <n v="1998"/>
    <n v="1218.7800000000002"/>
  </r>
  <r>
    <x v="0"/>
    <n v="1197831"/>
    <x v="261"/>
    <x v="2"/>
    <s v="Oklahoma"/>
    <s v="Oklahoma City"/>
    <s v="Outlet"/>
    <x v="0"/>
    <n v="28"/>
    <n v="128"/>
    <n v="3584"/>
    <n v="2114.5600000000004"/>
  </r>
  <r>
    <x v="5"/>
    <n v="1197831"/>
    <x v="261"/>
    <x v="2"/>
    <s v="Arkansas"/>
    <s v="Little Rock"/>
    <s v="Outlet"/>
    <x v="0"/>
    <n v="26"/>
    <n v="135"/>
    <n v="3510"/>
    <n v="2070.9"/>
  </r>
  <r>
    <x v="5"/>
    <n v="1197831"/>
    <x v="261"/>
    <x v="2"/>
    <s v="Arkansas"/>
    <s v="Little Rock"/>
    <s v="Outlet"/>
    <x v="5"/>
    <n v="12"/>
    <n v="104"/>
    <n v="1248"/>
    <n v="723.83999999999992"/>
  </r>
  <r>
    <x v="5"/>
    <n v="1197831"/>
    <x v="261"/>
    <x v="2"/>
    <s v="Arkansas"/>
    <s v="Little Rock"/>
    <s v="Outlet"/>
    <x v="2"/>
    <n v="22"/>
    <n v="140"/>
    <n v="3080"/>
    <n v="1786.3999999999999"/>
  </r>
  <r>
    <x v="0"/>
    <n v="1197831"/>
    <x v="261"/>
    <x v="2"/>
    <s v="Oklahoma"/>
    <s v="Oklahoma City"/>
    <s v="Outlet"/>
    <x v="5"/>
    <n v="12"/>
    <n v="83"/>
    <n v="996"/>
    <n v="577.67999999999995"/>
  </r>
  <r>
    <x v="0"/>
    <n v="1197831"/>
    <x v="261"/>
    <x v="2"/>
    <s v="Oklahoma"/>
    <s v="Oklahoma City"/>
    <s v="Outlet"/>
    <x v="3"/>
    <n v="12"/>
    <n v="91"/>
    <n v="1092"/>
    <n v="633.3599999999999"/>
  </r>
  <r>
    <x v="5"/>
    <n v="1197831"/>
    <x v="261"/>
    <x v="2"/>
    <s v="Arkansas"/>
    <s v="Little Rock"/>
    <s v="Outlet"/>
    <x v="4"/>
    <n v="35"/>
    <n v="221"/>
    <n v="7735"/>
    <n v="4408.95"/>
  </r>
  <r>
    <x v="0"/>
    <n v="1197831"/>
    <x v="261"/>
    <x v="2"/>
    <s v="Oklahoma"/>
    <s v="Oklahoma City"/>
    <s v="Online"/>
    <x v="0"/>
    <n v="38"/>
    <n v="98"/>
    <n v="3724"/>
    <n v="2048.2000000000003"/>
  </r>
  <r>
    <x v="0"/>
    <n v="1197831"/>
    <x v="261"/>
    <x v="2"/>
    <s v="Oklahoma"/>
    <s v="Oklahoma City"/>
    <s v="Online"/>
    <x v="1"/>
    <n v="23"/>
    <n v="68"/>
    <n v="1564"/>
    <n v="860.2"/>
  </r>
  <r>
    <x v="0"/>
    <n v="1197831"/>
    <x v="261"/>
    <x v="2"/>
    <s v="Oklahoma"/>
    <s v="Oklahoma City"/>
    <s v="Outlet"/>
    <x v="4"/>
    <n v="35"/>
    <n v="196"/>
    <n v="6860"/>
    <n v="3704.3999999999996"/>
  </r>
  <r>
    <x v="2"/>
    <n v="1185732"/>
    <x v="261"/>
    <x v="1"/>
    <s v="Missouri"/>
    <s v="St. Louis"/>
    <s v="Online"/>
    <x v="0"/>
    <n v="28"/>
    <n v="100"/>
    <n v="2800"/>
    <n v="1484"/>
  </r>
  <r>
    <x v="2"/>
    <n v="1185732"/>
    <x v="261"/>
    <x v="1"/>
    <s v="Missouri"/>
    <s v="St. Louis"/>
    <s v="Online"/>
    <x v="1"/>
    <n v="23"/>
    <n v="77"/>
    <n v="1771"/>
    <n v="938.63"/>
  </r>
  <r>
    <x v="0"/>
    <n v="1197831"/>
    <x v="261"/>
    <x v="2"/>
    <s v="Oklahoma"/>
    <s v="Oklahoma City"/>
    <s v="Outlet"/>
    <x v="2"/>
    <n v="23"/>
    <n v="119"/>
    <n v="2737"/>
    <n v="1450.61"/>
  </r>
  <r>
    <x v="5"/>
    <n v="1197831"/>
    <x v="261"/>
    <x v="2"/>
    <s v="Arkansas"/>
    <s v="Little Rock"/>
    <s v="Outlet"/>
    <x v="3"/>
    <n v="11"/>
    <n v="123"/>
    <n v="1353"/>
    <n v="717.08999999999992"/>
  </r>
  <r>
    <x v="5"/>
    <n v="1197831"/>
    <x v="261"/>
    <x v="2"/>
    <s v="Arkansas"/>
    <s v="Little Rock"/>
    <s v="Online"/>
    <x v="0"/>
    <n v="39"/>
    <n v="126"/>
    <n v="4914"/>
    <n v="2555.2800000000002"/>
  </r>
  <r>
    <x v="2"/>
    <n v="1185732"/>
    <x v="261"/>
    <x v="1"/>
    <s v="Missouri"/>
    <s v="St. Louis"/>
    <s v="Online"/>
    <x v="3"/>
    <n v="14"/>
    <n v="75"/>
    <n v="1050"/>
    <n v="535.5"/>
  </r>
  <r>
    <x v="2"/>
    <n v="1185732"/>
    <x v="261"/>
    <x v="1"/>
    <s v="Missouri"/>
    <s v="St. Louis"/>
    <s v="Online"/>
    <x v="4"/>
    <n v="32"/>
    <n v="174"/>
    <n v="5568"/>
    <n v="2784"/>
  </r>
  <r>
    <x v="5"/>
    <n v="1197831"/>
    <x v="261"/>
    <x v="2"/>
    <s v="Arkansas"/>
    <s v="Little Rock"/>
    <s v="Online"/>
    <x v="1"/>
    <n v="23"/>
    <n v="94"/>
    <n v="2162"/>
    <n v="1081"/>
  </r>
  <r>
    <x v="0"/>
    <n v="1197831"/>
    <x v="261"/>
    <x v="2"/>
    <s v="Oklahoma"/>
    <s v="Oklahoma City"/>
    <s v="Online"/>
    <x v="3"/>
    <n v="14"/>
    <n v="69"/>
    <n v="966"/>
    <n v="473.34"/>
  </r>
  <r>
    <x v="0"/>
    <n v="1197831"/>
    <x v="261"/>
    <x v="2"/>
    <s v="Oklahoma"/>
    <s v="Oklahoma City"/>
    <s v="Online"/>
    <x v="5"/>
    <n v="14"/>
    <n v="63"/>
    <n v="882"/>
    <n v="432.18"/>
  </r>
  <r>
    <x v="5"/>
    <n v="1197831"/>
    <x v="261"/>
    <x v="2"/>
    <s v="Arkansas"/>
    <s v="Little Rock"/>
    <s v="Online"/>
    <x v="4"/>
    <n v="48"/>
    <n v="182"/>
    <n v="8736"/>
    <n v="4193.28"/>
  </r>
  <r>
    <x v="5"/>
    <n v="1197831"/>
    <x v="261"/>
    <x v="2"/>
    <s v="Arkansas"/>
    <s v="Little Rock"/>
    <s v="Online"/>
    <x v="3"/>
    <n v="14"/>
    <n v="88"/>
    <n v="1232"/>
    <n v="591.36"/>
  </r>
  <r>
    <x v="5"/>
    <n v="1197831"/>
    <x v="261"/>
    <x v="2"/>
    <s v="Arkansas"/>
    <s v="Little Rock"/>
    <s v="Online"/>
    <x v="5"/>
    <n v="14"/>
    <n v="88"/>
    <n v="1232"/>
    <n v="591.36"/>
  </r>
  <r>
    <x v="0"/>
    <n v="1197831"/>
    <x v="261"/>
    <x v="2"/>
    <s v="Oklahoma"/>
    <s v="Oklahoma City"/>
    <s v="Online"/>
    <x v="2"/>
    <n v="28"/>
    <n v="91"/>
    <n v="2548"/>
    <n v="1223.04"/>
  </r>
  <r>
    <x v="2"/>
    <n v="1185732"/>
    <x v="261"/>
    <x v="1"/>
    <s v="Missouri"/>
    <s v="St. Louis"/>
    <s v="Online"/>
    <x v="5"/>
    <n v="14"/>
    <n v="83"/>
    <n v="1162"/>
    <n v="546.14"/>
  </r>
  <r>
    <x v="5"/>
    <n v="1197831"/>
    <x v="261"/>
    <x v="2"/>
    <s v="Arkansas"/>
    <s v="Little Rock"/>
    <s v="Online"/>
    <x v="2"/>
    <n v="29"/>
    <n v="119"/>
    <n v="3451"/>
    <n v="1587.4599999999998"/>
  </r>
  <r>
    <x v="0"/>
    <n v="1197831"/>
    <x v="261"/>
    <x v="2"/>
    <s v="Oklahoma"/>
    <s v="Oklahoma City"/>
    <s v="Online"/>
    <x v="4"/>
    <n v="49"/>
    <n v="150"/>
    <n v="7350"/>
    <n v="3380.9999999999995"/>
  </r>
  <r>
    <x v="3"/>
    <n v="1197831"/>
    <x v="261"/>
    <x v="2"/>
    <s v="Alabama"/>
    <s v="Birmingham"/>
    <s v="Outlet"/>
    <x v="0"/>
    <n v="36"/>
    <n v="173"/>
    <n v="6228"/>
    <n v="2802.6000000000004"/>
  </r>
  <r>
    <x v="3"/>
    <n v="1197831"/>
    <x v="261"/>
    <x v="2"/>
    <s v="Texas"/>
    <s v="Dallas"/>
    <s v="Outlet"/>
    <x v="5"/>
    <n v="32"/>
    <n v="201"/>
    <n v="6432"/>
    <n v="2894.3999999999996"/>
  </r>
  <r>
    <x v="3"/>
    <n v="1197831"/>
    <x v="261"/>
    <x v="2"/>
    <s v="Texas"/>
    <s v="Dallas"/>
    <s v="Online"/>
    <x v="5"/>
    <n v="43"/>
    <n v="150"/>
    <n v="6450"/>
    <n v="2515.5"/>
  </r>
  <r>
    <x v="3"/>
    <n v="1197831"/>
    <x v="261"/>
    <x v="2"/>
    <s v="Alabama"/>
    <s v="Birmingham"/>
    <s v="Online"/>
    <x v="0"/>
    <n v="50"/>
    <n v="144"/>
    <n v="7200"/>
    <n v="2664.0000000000009"/>
  </r>
  <r>
    <x v="2"/>
    <n v="1185732"/>
    <x v="261"/>
    <x v="1"/>
    <s v="Missouri"/>
    <s v="St. Louis"/>
    <s v="Online"/>
    <x v="2"/>
    <n v="28"/>
    <n v="95"/>
    <n v="2660"/>
    <n v="957.59999999999991"/>
  </r>
  <r>
    <x v="4"/>
    <n v="1185732"/>
    <x v="262"/>
    <x v="0"/>
    <s v="Alaska"/>
    <s v="Anchorage"/>
    <s v="Outlet"/>
    <x v="3"/>
    <n v="55.000000000000007"/>
    <n v="225"/>
    <n v="12375.000000000002"/>
    <n v="9281.2500000000018"/>
  </r>
  <r>
    <x v="4"/>
    <n v="1185732"/>
    <x v="262"/>
    <x v="0"/>
    <s v="Alaska"/>
    <s v="Anchorage"/>
    <s v="Outlet"/>
    <x v="5"/>
    <n v="55.000000000000007"/>
    <n v="200"/>
    <n v="11000.000000000002"/>
    <n v="8250.0000000000018"/>
  </r>
  <r>
    <x v="4"/>
    <n v="1185732"/>
    <x v="262"/>
    <x v="0"/>
    <s v="Alaska"/>
    <s v="Anchorage"/>
    <s v="Outlet"/>
    <x v="1"/>
    <n v="65"/>
    <n v="200"/>
    <n v="13000"/>
    <n v="9750"/>
  </r>
  <r>
    <x v="3"/>
    <n v="1185732"/>
    <x v="262"/>
    <x v="4"/>
    <s v="Maryland"/>
    <s v="Baltimore"/>
    <s v="In-store"/>
    <x v="1"/>
    <n v="49.999999999999993"/>
    <n v="100"/>
    <n v="4999.9999999999991"/>
    <n v="3500"/>
  </r>
  <r>
    <x v="3"/>
    <n v="1185732"/>
    <x v="262"/>
    <x v="4"/>
    <s v="Maryland"/>
    <s v="Baltimore"/>
    <s v="In-store"/>
    <x v="2"/>
    <n v="54.999999999999993"/>
    <n v="200"/>
    <n v="10999.999999999998"/>
    <n v="7700"/>
  </r>
  <r>
    <x v="4"/>
    <n v="1185732"/>
    <x v="262"/>
    <x v="0"/>
    <s v="Alaska"/>
    <s v="Anchorage"/>
    <s v="Outlet"/>
    <x v="2"/>
    <n v="70"/>
    <n v="300"/>
    <n v="21000"/>
    <n v="14700"/>
  </r>
  <r>
    <x v="3"/>
    <n v="1197831"/>
    <x v="262"/>
    <x v="2"/>
    <s v="Texas"/>
    <s v="Dallas"/>
    <s v="Outlet"/>
    <x v="1"/>
    <n v="50"/>
    <n v="575"/>
    <n v="28750"/>
    <n v="18687.5"/>
  </r>
  <r>
    <x v="4"/>
    <n v="1185732"/>
    <x v="262"/>
    <x v="0"/>
    <s v="Alaska"/>
    <s v="Anchorage"/>
    <s v="Outlet"/>
    <x v="4"/>
    <n v="65"/>
    <n v="525"/>
    <n v="34125"/>
    <n v="22181.25"/>
  </r>
  <r>
    <x v="4"/>
    <n v="1185732"/>
    <x v="262"/>
    <x v="0"/>
    <s v="Alaska"/>
    <s v="Anchorage"/>
    <s v="Outlet"/>
    <x v="0"/>
    <n v="60.000000000000007"/>
    <n v="325"/>
    <n v="19500.000000000004"/>
    <n v="12675.000000000002"/>
  </r>
  <r>
    <x v="3"/>
    <n v="1185732"/>
    <x v="262"/>
    <x v="4"/>
    <s v="Maryland"/>
    <s v="Baltimore"/>
    <s v="In-store"/>
    <x v="0"/>
    <n v="45"/>
    <n v="225"/>
    <n v="10125"/>
    <n v="6581.25"/>
  </r>
  <r>
    <x v="3"/>
    <n v="1185732"/>
    <x v="262"/>
    <x v="4"/>
    <s v="Maryland"/>
    <s v="Baltimore"/>
    <s v="In-store"/>
    <x v="3"/>
    <n v="40"/>
    <n v="125"/>
    <n v="5000"/>
    <n v="3250"/>
  </r>
  <r>
    <x v="3"/>
    <n v="1185732"/>
    <x v="262"/>
    <x v="4"/>
    <s v="Maryland"/>
    <s v="Baltimore"/>
    <s v="In-store"/>
    <x v="5"/>
    <n v="40"/>
    <n v="100"/>
    <n v="4000"/>
    <n v="2600"/>
  </r>
  <r>
    <x v="3"/>
    <n v="1185732"/>
    <x v="262"/>
    <x v="4"/>
    <s v="Maryland"/>
    <s v="Baltimore"/>
    <s v="In-store"/>
    <x v="4"/>
    <n v="49.999999999999993"/>
    <n v="425"/>
    <n v="21249.999999999996"/>
    <n v="12749.999999999996"/>
  </r>
  <r>
    <x v="3"/>
    <n v="1197831"/>
    <x v="262"/>
    <x v="2"/>
    <s v="Alabama"/>
    <s v="Birmingham"/>
    <s v="Outlet"/>
    <x v="3"/>
    <n v="60"/>
    <n v="625"/>
    <n v="37500"/>
    <n v="18750.000000000004"/>
  </r>
  <r>
    <x v="4"/>
    <n v="1185732"/>
    <x v="262"/>
    <x v="0"/>
    <s v="Alaska"/>
    <s v="Anchorage"/>
    <s v="Online"/>
    <x v="3"/>
    <n v="50"/>
    <n v="59"/>
    <n v="2950"/>
    <n v="1829"/>
  </r>
  <r>
    <x v="3"/>
    <n v="1197831"/>
    <x v="262"/>
    <x v="2"/>
    <s v="Texas"/>
    <s v="Dallas"/>
    <s v="Outlet"/>
    <x v="1"/>
    <n v="39"/>
    <n v="184"/>
    <n v="7176"/>
    <n v="4449.12"/>
  </r>
  <r>
    <x v="4"/>
    <n v="1185732"/>
    <x v="262"/>
    <x v="0"/>
    <s v="Alaska"/>
    <s v="Anchorage"/>
    <s v="Online"/>
    <x v="5"/>
    <n v="50"/>
    <n v="56"/>
    <n v="2800"/>
    <n v="1708"/>
  </r>
  <r>
    <x v="4"/>
    <n v="1185732"/>
    <x v="262"/>
    <x v="0"/>
    <s v="Alaska"/>
    <s v="Anchorage"/>
    <s v="Online"/>
    <x v="1"/>
    <n v="62"/>
    <n v="60"/>
    <n v="3720"/>
    <n v="2232"/>
  </r>
  <r>
    <x v="3"/>
    <n v="1185732"/>
    <x v="262"/>
    <x v="4"/>
    <s v="Maryland"/>
    <s v="Baltimore"/>
    <s v="Online"/>
    <x v="2"/>
    <n v="54"/>
    <n v="50"/>
    <n v="2700"/>
    <n v="1620"/>
  </r>
  <r>
    <x v="4"/>
    <n v="1185732"/>
    <x v="262"/>
    <x v="0"/>
    <s v="Alaska"/>
    <s v="Anchorage"/>
    <s v="Online"/>
    <x v="2"/>
    <n v="64"/>
    <n v="84"/>
    <n v="5376"/>
    <n v="3171.84"/>
  </r>
  <r>
    <x v="3"/>
    <n v="1185732"/>
    <x v="262"/>
    <x v="4"/>
    <s v="Maryland"/>
    <s v="Baltimore"/>
    <s v="Online"/>
    <x v="1"/>
    <n v="48"/>
    <n v="30"/>
    <n v="1440"/>
    <n v="820.8"/>
  </r>
  <r>
    <x v="3"/>
    <n v="1185732"/>
    <x v="262"/>
    <x v="4"/>
    <s v="Maryland"/>
    <s v="Baltimore"/>
    <s v="Online"/>
    <x v="0"/>
    <n v="44"/>
    <n v="63"/>
    <n v="2772"/>
    <n v="1524.6000000000001"/>
  </r>
  <r>
    <x v="3"/>
    <n v="1185732"/>
    <x v="262"/>
    <x v="4"/>
    <s v="Maryland"/>
    <s v="Baltimore"/>
    <s v="Online"/>
    <x v="5"/>
    <n v="36"/>
    <n v="25"/>
    <n v="900"/>
    <n v="495.00000000000006"/>
  </r>
  <r>
    <x v="3"/>
    <n v="1197831"/>
    <x v="262"/>
    <x v="2"/>
    <s v="Texas"/>
    <s v="Dallas"/>
    <s v="Online"/>
    <x v="1"/>
    <n v="47"/>
    <n v="167"/>
    <n v="7849"/>
    <n v="4238.4600000000009"/>
  </r>
  <r>
    <x v="4"/>
    <n v="1185732"/>
    <x v="262"/>
    <x v="0"/>
    <s v="Alaska"/>
    <s v="Anchorage"/>
    <s v="Online"/>
    <x v="4"/>
    <n v="64"/>
    <n v="131"/>
    <n v="8384"/>
    <n v="4359.68"/>
  </r>
  <r>
    <x v="4"/>
    <n v="1185732"/>
    <x v="262"/>
    <x v="0"/>
    <s v="Alaska"/>
    <s v="Anchorage"/>
    <s v="Online"/>
    <x v="0"/>
    <n v="55"/>
    <n v="91"/>
    <n v="5005"/>
    <n v="2602.6"/>
  </r>
  <r>
    <x v="3"/>
    <n v="1185732"/>
    <x v="262"/>
    <x v="4"/>
    <s v="Maryland"/>
    <s v="Baltimore"/>
    <s v="Online"/>
    <x v="3"/>
    <n v="38"/>
    <n v="36"/>
    <n v="1368"/>
    <n v="684"/>
  </r>
  <r>
    <x v="3"/>
    <n v="1185732"/>
    <x v="262"/>
    <x v="4"/>
    <s v="Maryland"/>
    <s v="Baltimore"/>
    <s v="Online"/>
    <x v="4"/>
    <n v="49"/>
    <n v="128"/>
    <n v="6272"/>
    <n v="3073.2799999999997"/>
  </r>
  <r>
    <x v="3"/>
    <n v="1197831"/>
    <x v="262"/>
    <x v="2"/>
    <s v="Alabama"/>
    <s v="Birmingham"/>
    <s v="Outlet"/>
    <x v="3"/>
    <n v="47"/>
    <n v="213"/>
    <n v="10011"/>
    <n v="4404.84"/>
  </r>
  <r>
    <x v="3"/>
    <n v="1197831"/>
    <x v="262"/>
    <x v="2"/>
    <s v="Alabama"/>
    <s v="Birmingham"/>
    <s v="Online"/>
    <x v="3"/>
    <n v="59"/>
    <n v="188"/>
    <n v="11092"/>
    <n v="4104.0400000000009"/>
  </r>
  <r>
    <x v="3"/>
    <n v="1197831"/>
    <x v="263"/>
    <x v="2"/>
    <s v="Texas"/>
    <s v="Dallas"/>
    <s v="Outlet"/>
    <x v="2"/>
    <n v="60"/>
    <n v="850"/>
    <n v="51000"/>
    <n v="22950"/>
  </r>
  <r>
    <x v="3"/>
    <n v="1197831"/>
    <x v="263"/>
    <x v="2"/>
    <s v="Alabama"/>
    <s v="Birmingham"/>
    <s v="Outlet"/>
    <x v="5"/>
    <n v="60"/>
    <n v="350"/>
    <n v="21000"/>
    <n v="8399.9999999999982"/>
  </r>
  <r>
    <x v="3"/>
    <n v="1197831"/>
    <x v="263"/>
    <x v="2"/>
    <s v="Texas"/>
    <s v="Dallas"/>
    <s v="Outlet"/>
    <x v="2"/>
    <n v="47"/>
    <n v="272"/>
    <n v="12784"/>
    <n v="5497.119999999999"/>
  </r>
  <r>
    <x v="3"/>
    <n v="1197831"/>
    <x v="263"/>
    <x v="2"/>
    <s v="Alabama"/>
    <s v="Birmingham"/>
    <s v="Outlet"/>
    <x v="5"/>
    <n v="44"/>
    <n v="105"/>
    <n v="4620"/>
    <n v="1570.7999999999993"/>
  </r>
  <r>
    <x v="3"/>
    <n v="1197831"/>
    <x v="263"/>
    <x v="2"/>
    <s v="Texas"/>
    <s v="Dallas"/>
    <s v="Online"/>
    <x v="2"/>
    <n v="54"/>
    <n v="255"/>
    <n v="13770"/>
    <n v="4544.0999999999985"/>
  </r>
  <r>
    <x v="3"/>
    <n v="1197831"/>
    <x v="263"/>
    <x v="2"/>
    <s v="Alabama"/>
    <s v="Birmingham"/>
    <s v="Online"/>
    <x v="5"/>
    <n v="58"/>
    <n v="95"/>
    <n v="5510"/>
    <n v="1597.8999999999996"/>
  </r>
  <r>
    <x v="3"/>
    <n v="1197831"/>
    <x v="264"/>
    <x v="2"/>
    <s v="Texas"/>
    <s v="Dallas"/>
    <s v="Outlet"/>
    <x v="4"/>
    <n v="50"/>
    <n v="800"/>
    <n v="40000"/>
    <n v="24000"/>
  </r>
  <r>
    <x v="3"/>
    <n v="1197831"/>
    <x v="264"/>
    <x v="2"/>
    <s v="Alabama"/>
    <s v="Birmingham"/>
    <s v="Outlet"/>
    <x v="1"/>
    <n v="45"/>
    <n v="350"/>
    <n v="15750"/>
    <n v="8662.5"/>
  </r>
  <r>
    <x v="3"/>
    <n v="1197831"/>
    <x v="264"/>
    <x v="2"/>
    <s v="Texas"/>
    <s v="Dallas"/>
    <s v="Outlet"/>
    <x v="4"/>
    <n v="34"/>
    <n v="248"/>
    <n v="8432"/>
    <n v="4806.2400000000007"/>
  </r>
  <r>
    <x v="3"/>
    <n v="1197831"/>
    <x v="264"/>
    <x v="2"/>
    <s v="Alabama"/>
    <s v="Birmingham"/>
    <s v="Outlet"/>
    <x v="1"/>
    <n v="35"/>
    <n v="116"/>
    <n v="4060"/>
    <n v="2111.1999999999998"/>
  </r>
  <r>
    <x v="3"/>
    <n v="1197831"/>
    <x v="264"/>
    <x v="2"/>
    <s v="Texas"/>
    <s v="Dallas"/>
    <s v="Online"/>
    <x v="4"/>
    <n v="49"/>
    <n v="208"/>
    <n v="10192"/>
    <n v="4994.08"/>
  </r>
  <r>
    <x v="3"/>
    <n v="1197831"/>
    <x v="264"/>
    <x v="2"/>
    <s v="Alabama"/>
    <s v="Birmingham"/>
    <s v="Online"/>
    <x v="1"/>
    <n v="41"/>
    <n v="88"/>
    <n v="3608"/>
    <n v="1551.44"/>
  </r>
  <r>
    <x v="4"/>
    <n v="1185732"/>
    <x v="265"/>
    <x v="3"/>
    <s v="Kentucky"/>
    <s v="Louisville"/>
    <s v="Online"/>
    <x v="0"/>
    <n v="45.000000000000007"/>
    <n v="325"/>
    <n v="14625.000000000002"/>
    <n v="9506.2500000000036"/>
  </r>
  <r>
    <x v="4"/>
    <n v="1185732"/>
    <x v="265"/>
    <x v="3"/>
    <s v="Kentucky"/>
    <s v="Louisville"/>
    <s v="Online"/>
    <x v="1"/>
    <n v="45"/>
    <n v="200"/>
    <n v="9000"/>
    <n v="5850"/>
  </r>
  <r>
    <x v="3"/>
    <n v="1197831"/>
    <x v="265"/>
    <x v="2"/>
    <s v="Texas"/>
    <s v="Dallas"/>
    <s v="Outlet"/>
    <x v="0"/>
    <n v="55.000000000000007"/>
    <n v="800"/>
    <n v="44000.000000000007"/>
    <n v="26400.000000000007"/>
  </r>
  <r>
    <x v="4"/>
    <n v="1185732"/>
    <x v="265"/>
    <x v="3"/>
    <s v="Kentucky"/>
    <s v="Louisville"/>
    <s v="Online"/>
    <x v="4"/>
    <n v="50"/>
    <n v="525"/>
    <n v="26250"/>
    <n v="15750"/>
  </r>
  <r>
    <x v="4"/>
    <n v="1185732"/>
    <x v="265"/>
    <x v="3"/>
    <s v="Kentucky"/>
    <s v="Louisville"/>
    <s v="Online"/>
    <x v="3"/>
    <n v="35"/>
    <n v="225"/>
    <n v="7875"/>
    <n v="4725"/>
  </r>
  <r>
    <x v="4"/>
    <n v="1185732"/>
    <x v="265"/>
    <x v="3"/>
    <s v="Kentucky"/>
    <s v="Louisville"/>
    <s v="Online"/>
    <x v="5"/>
    <n v="35"/>
    <n v="200"/>
    <n v="7000"/>
    <n v="4200"/>
  </r>
  <r>
    <x v="4"/>
    <n v="1185732"/>
    <x v="265"/>
    <x v="3"/>
    <s v="Kentucky"/>
    <s v="Louisville"/>
    <s v="Online"/>
    <x v="2"/>
    <n v="50"/>
    <n v="275"/>
    <n v="13750"/>
    <n v="8250"/>
  </r>
  <r>
    <x v="3"/>
    <n v="1197831"/>
    <x v="265"/>
    <x v="2"/>
    <s v="Alabama"/>
    <s v="Birmingham"/>
    <s v="Outlet"/>
    <x v="2"/>
    <n v="40"/>
    <n v="575"/>
    <n v="23000"/>
    <n v="8049.9999999999973"/>
  </r>
  <r>
    <x v="3"/>
    <n v="1197831"/>
    <x v="265"/>
    <x v="2"/>
    <s v="Texas"/>
    <s v="Dallas"/>
    <s v="Outlet"/>
    <x v="0"/>
    <n v="43"/>
    <n v="256"/>
    <n v="11008"/>
    <n v="5944.3200000000006"/>
  </r>
  <r>
    <x v="4"/>
    <n v="1185732"/>
    <x v="265"/>
    <x v="3"/>
    <s v="Kentucky"/>
    <s v="Louisville"/>
    <s v="Online"/>
    <x v="1"/>
    <n v="43"/>
    <n v="58"/>
    <n v="2494"/>
    <n v="1321.8200000000002"/>
  </r>
  <r>
    <x v="4"/>
    <n v="1185732"/>
    <x v="265"/>
    <x v="3"/>
    <s v="Kentucky"/>
    <s v="Louisville"/>
    <s v="Online"/>
    <x v="0"/>
    <n v="44"/>
    <n v="94"/>
    <n v="4136"/>
    <n v="2109.36"/>
  </r>
  <r>
    <x v="3"/>
    <n v="1197831"/>
    <x v="265"/>
    <x v="2"/>
    <s v="Texas"/>
    <s v="Dallas"/>
    <s v="Online"/>
    <x v="0"/>
    <n v="53"/>
    <n v="208"/>
    <n v="11024"/>
    <n v="5512"/>
  </r>
  <r>
    <x v="4"/>
    <n v="1185732"/>
    <x v="265"/>
    <x v="3"/>
    <s v="Kentucky"/>
    <s v="Louisville"/>
    <s v="Online"/>
    <x v="5"/>
    <n v="32"/>
    <n v="54"/>
    <n v="1728"/>
    <n v="846.72"/>
  </r>
  <r>
    <x v="4"/>
    <n v="1185732"/>
    <x v="265"/>
    <x v="3"/>
    <s v="Kentucky"/>
    <s v="Louisville"/>
    <s v="Online"/>
    <x v="2"/>
    <n v="49"/>
    <n v="74"/>
    <n v="3626"/>
    <n v="1740.48"/>
  </r>
  <r>
    <x v="4"/>
    <n v="1185732"/>
    <x v="265"/>
    <x v="3"/>
    <s v="Kentucky"/>
    <s v="Louisville"/>
    <s v="Online"/>
    <x v="4"/>
    <n v="48"/>
    <n v="137"/>
    <n v="6576"/>
    <n v="3090.72"/>
  </r>
  <r>
    <x v="4"/>
    <n v="1185732"/>
    <x v="265"/>
    <x v="3"/>
    <s v="Kentucky"/>
    <s v="Louisville"/>
    <s v="Online"/>
    <x v="3"/>
    <n v="33"/>
    <n v="65"/>
    <n v="2145"/>
    <n v="1008.1499999999999"/>
  </r>
  <r>
    <x v="3"/>
    <n v="1197831"/>
    <x v="265"/>
    <x v="2"/>
    <s v="Alabama"/>
    <s v="Birmingham"/>
    <s v="Outlet"/>
    <x v="2"/>
    <n v="26"/>
    <n v="190"/>
    <n v="4940"/>
    <n v="1383.1999999999989"/>
  </r>
  <r>
    <x v="3"/>
    <n v="1197831"/>
    <x v="265"/>
    <x v="2"/>
    <s v="Alabama"/>
    <s v="Birmingham"/>
    <s v="Online"/>
    <x v="2"/>
    <n v="37"/>
    <n v="150"/>
    <n v="5550"/>
    <n v="1276.4999999999991"/>
  </r>
  <r>
    <x v="2"/>
    <n v="1128299"/>
    <x v="266"/>
    <x v="0"/>
    <s v="Arizona"/>
    <s v="Phoenix"/>
    <s v="Online"/>
    <x v="2"/>
    <n v="60.000000000000007"/>
    <n v="425"/>
    <n v="25500.000000000004"/>
    <n v="19125.000000000004"/>
  </r>
  <r>
    <x v="2"/>
    <n v="1128299"/>
    <x v="266"/>
    <x v="0"/>
    <s v="Arizona"/>
    <s v="Phoenix"/>
    <s v="Online"/>
    <x v="1"/>
    <n v="55.000000000000007"/>
    <n v="375"/>
    <n v="20625.000000000004"/>
    <n v="14437.500000000004"/>
  </r>
  <r>
    <x v="2"/>
    <n v="1128299"/>
    <x v="266"/>
    <x v="0"/>
    <s v="Arizona"/>
    <s v="Phoenix"/>
    <s v="Online"/>
    <x v="3"/>
    <n v="45.000000000000007"/>
    <n v="425"/>
    <n v="19125.000000000004"/>
    <n v="12431.250000000004"/>
  </r>
  <r>
    <x v="2"/>
    <n v="1128299"/>
    <x v="266"/>
    <x v="0"/>
    <s v="Arizona"/>
    <s v="Phoenix"/>
    <s v="Online"/>
    <x v="5"/>
    <n v="45.000000000000007"/>
    <n v="375"/>
    <n v="16875.000000000004"/>
    <n v="10968.750000000004"/>
  </r>
  <r>
    <x v="2"/>
    <n v="1128299"/>
    <x v="266"/>
    <x v="0"/>
    <s v="Arizona"/>
    <s v="Phoenix"/>
    <s v="Online"/>
    <x v="4"/>
    <n v="45.000000000000007"/>
    <n v="575"/>
    <n v="25875.000000000004"/>
    <n v="16818.750000000004"/>
  </r>
  <r>
    <x v="3"/>
    <n v="1197831"/>
    <x v="266"/>
    <x v="2"/>
    <s v="Texas"/>
    <s v="Dallas"/>
    <s v="Outlet"/>
    <x v="3"/>
    <n v="50"/>
    <n v="975"/>
    <n v="48750"/>
    <n v="29250"/>
  </r>
  <r>
    <x v="2"/>
    <n v="1128299"/>
    <x v="266"/>
    <x v="0"/>
    <s v="Arizona"/>
    <s v="Phoenix"/>
    <s v="Online"/>
    <x v="0"/>
    <n v="50.000000000000014"/>
    <n v="575"/>
    <n v="28750.000000000007"/>
    <n v="17250.000000000004"/>
  </r>
  <r>
    <x v="3"/>
    <n v="1197831"/>
    <x v="266"/>
    <x v="2"/>
    <s v="Alabama"/>
    <s v="Birmingham"/>
    <s v="Outlet"/>
    <x v="4"/>
    <n v="30.000000000000004"/>
    <n v="525"/>
    <n v="15750.000000000002"/>
    <n v="7875.0000000000027"/>
  </r>
  <r>
    <x v="2"/>
    <n v="1128299"/>
    <x v="266"/>
    <x v="0"/>
    <s v="Arizona"/>
    <s v="Phoenix"/>
    <s v="Outlet"/>
    <x v="2"/>
    <n v="43"/>
    <n v="132"/>
    <n v="5676"/>
    <n v="3859.6800000000003"/>
  </r>
  <r>
    <x v="2"/>
    <n v="1128299"/>
    <x v="266"/>
    <x v="0"/>
    <s v="Arizona"/>
    <s v="Phoenix"/>
    <s v="Outlet"/>
    <x v="1"/>
    <n v="41"/>
    <n v="128"/>
    <n v="5248"/>
    <n v="3516.1600000000003"/>
  </r>
  <r>
    <x v="2"/>
    <n v="1128299"/>
    <x v="266"/>
    <x v="0"/>
    <s v="Arizona"/>
    <s v="Phoenix"/>
    <s v="Outlet"/>
    <x v="3"/>
    <n v="34"/>
    <n v="145"/>
    <n v="4930"/>
    <n v="3105.9"/>
  </r>
  <r>
    <x v="2"/>
    <n v="1128299"/>
    <x v="266"/>
    <x v="0"/>
    <s v="Arizona"/>
    <s v="Phoenix"/>
    <s v="Outlet"/>
    <x v="5"/>
    <n v="33"/>
    <n v="124"/>
    <n v="4092"/>
    <n v="2577.96"/>
  </r>
  <r>
    <x v="2"/>
    <n v="1128299"/>
    <x v="266"/>
    <x v="0"/>
    <s v="Arizona"/>
    <s v="Phoenix"/>
    <s v="Online"/>
    <x v="2"/>
    <n v="56"/>
    <n v="119"/>
    <n v="6664"/>
    <n v="4198.32"/>
  </r>
  <r>
    <x v="2"/>
    <n v="1128299"/>
    <x v="266"/>
    <x v="0"/>
    <s v="Arizona"/>
    <s v="Phoenix"/>
    <s v="Outlet"/>
    <x v="4"/>
    <n v="35"/>
    <n v="184"/>
    <n v="6440"/>
    <n v="3735.2000000000003"/>
  </r>
  <r>
    <x v="2"/>
    <n v="1128299"/>
    <x v="266"/>
    <x v="0"/>
    <s v="Arizona"/>
    <s v="Phoenix"/>
    <s v="Online"/>
    <x v="1"/>
    <n v="54"/>
    <n v="105"/>
    <n v="5670"/>
    <n v="3175.2"/>
  </r>
  <r>
    <x v="2"/>
    <n v="1128299"/>
    <x v="266"/>
    <x v="0"/>
    <s v="Arizona"/>
    <s v="Phoenix"/>
    <s v="Online"/>
    <x v="3"/>
    <n v="43"/>
    <n v="128"/>
    <n v="5504"/>
    <n v="3027.2000000000003"/>
  </r>
  <r>
    <x v="2"/>
    <n v="1128299"/>
    <x v="266"/>
    <x v="0"/>
    <s v="Arizona"/>
    <s v="Phoenix"/>
    <s v="Online"/>
    <x v="5"/>
    <n v="41"/>
    <n v="113"/>
    <n v="4633"/>
    <n v="2455.4900000000002"/>
  </r>
  <r>
    <x v="3"/>
    <n v="1197831"/>
    <x v="266"/>
    <x v="2"/>
    <s v="Texas"/>
    <s v="Dallas"/>
    <s v="Outlet"/>
    <x v="3"/>
    <n v="35"/>
    <n v="332"/>
    <n v="11620"/>
    <n v="6158.6"/>
  </r>
  <r>
    <x v="2"/>
    <n v="1128299"/>
    <x v="266"/>
    <x v="0"/>
    <s v="Arizona"/>
    <s v="Phoenix"/>
    <s v="Outlet"/>
    <x v="0"/>
    <n v="34"/>
    <n v="201"/>
    <n v="6834"/>
    <n v="3622.02"/>
  </r>
  <r>
    <x v="2"/>
    <n v="1128299"/>
    <x v="266"/>
    <x v="0"/>
    <s v="Arizona"/>
    <s v="Phoenix"/>
    <s v="Online"/>
    <x v="4"/>
    <n v="41"/>
    <n v="167"/>
    <n v="6847"/>
    <n v="3491.9700000000003"/>
  </r>
  <r>
    <x v="3"/>
    <n v="1197831"/>
    <x v="266"/>
    <x v="2"/>
    <s v="Alabama"/>
    <s v="Birmingham"/>
    <s v="Outlet"/>
    <x v="4"/>
    <n v="20"/>
    <n v="184"/>
    <n v="3680"/>
    <n v="1766.4000000000003"/>
  </r>
  <r>
    <x v="2"/>
    <n v="1128299"/>
    <x v="266"/>
    <x v="0"/>
    <s v="Arizona"/>
    <s v="Phoenix"/>
    <s v="Online"/>
    <x v="0"/>
    <n v="45"/>
    <n v="161"/>
    <n v="7245"/>
    <n v="3405.1499999999996"/>
  </r>
  <r>
    <x v="3"/>
    <n v="1197831"/>
    <x v="266"/>
    <x v="2"/>
    <s v="Texas"/>
    <s v="Dallas"/>
    <s v="Online"/>
    <x v="3"/>
    <n v="46"/>
    <n v="273"/>
    <n v="12558"/>
    <n v="5651.1000000000013"/>
  </r>
  <r>
    <x v="3"/>
    <n v="1197831"/>
    <x v="266"/>
    <x v="2"/>
    <s v="Alabama"/>
    <s v="Birmingham"/>
    <s v="Online"/>
    <x v="4"/>
    <n v="29"/>
    <n v="131"/>
    <n v="3799"/>
    <n v="1519.6"/>
  </r>
  <r>
    <x v="2"/>
    <n v="1128299"/>
    <x v="267"/>
    <x v="3"/>
    <s v="Virginia"/>
    <s v="Richmond"/>
    <s v="In-store"/>
    <x v="2"/>
    <n v="44.999999999999993"/>
    <n v="250"/>
    <n v="11249.999999999998"/>
    <n v="7875"/>
  </r>
  <r>
    <x v="0"/>
    <n v="1128299"/>
    <x v="267"/>
    <x v="0"/>
    <s v="Oregon"/>
    <s v="Portland"/>
    <s v="In-store"/>
    <x v="2"/>
    <n v="44.999999999999993"/>
    <n v="250"/>
    <n v="11249.999999999998"/>
    <n v="7875"/>
  </r>
  <r>
    <x v="2"/>
    <n v="1128299"/>
    <x v="267"/>
    <x v="3"/>
    <s v="Virginia"/>
    <s v="Richmond"/>
    <s v="In-store"/>
    <x v="4"/>
    <n v="50.000000000000014"/>
    <n v="450"/>
    <n v="22500.000000000007"/>
    <n v="14625.000000000005"/>
  </r>
  <r>
    <x v="2"/>
    <n v="1128299"/>
    <x v="267"/>
    <x v="3"/>
    <s v="Virginia"/>
    <s v="Richmond"/>
    <s v="In-store"/>
    <x v="0"/>
    <n v="55.000000000000014"/>
    <n v="450"/>
    <n v="24750.000000000007"/>
    <n v="16087.500000000005"/>
  </r>
  <r>
    <x v="2"/>
    <n v="1128299"/>
    <x v="267"/>
    <x v="3"/>
    <s v="Virginia"/>
    <s v="Richmond"/>
    <s v="In-store"/>
    <x v="3"/>
    <n v="50.000000000000014"/>
    <n v="250"/>
    <n v="12500.000000000004"/>
    <n v="8125.0000000000027"/>
  </r>
  <r>
    <x v="0"/>
    <n v="1128299"/>
    <x v="267"/>
    <x v="0"/>
    <s v="Oregon"/>
    <s v="Portland"/>
    <s v="In-store"/>
    <x v="4"/>
    <n v="50.000000000000014"/>
    <n v="450"/>
    <n v="22500.000000000007"/>
    <n v="14625.000000000005"/>
  </r>
  <r>
    <x v="0"/>
    <n v="1128299"/>
    <x v="267"/>
    <x v="0"/>
    <s v="Oregon"/>
    <s v="Portland"/>
    <s v="In-store"/>
    <x v="0"/>
    <n v="55.000000000000014"/>
    <n v="450"/>
    <n v="24750.000000000007"/>
    <n v="16087.500000000005"/>
  </r>
  <r>
    <x v="0"/>
    <n v="1128299"/>
    <x v="267"/>
    <x v="0"/>
    <s v="Oregon"/>
    <s v="Portland"/>
    <s v="In-store"/>
    <x v="3"/>
    <n v="50.000000000000014"/>
    <n v="250"/>
    <n v="12500.000000000004"/>
    <n v="8125.0000000000027"/>
  </r>
  <r>
    <x v="2"/>
    <n v="1128299"/>
    <x v="267"/>
    <x v="3"/>
    <s v="Virginia"/>
    <s v="Richmond"/>
    <s v="In-store"/>
    <x v="5"/>
    <n v="50.000000000000014"/>
    <n v="200"/>
    <n v="10000.000000000004"/>
    <n v="6500.0000000000018"/>
  </r>
  <r>
    <x v="0"/>
    <n v="1128299"/>
    <x v="267"/>
    <x v="0"/>
    <s v="Oregon"/>
    <s v="Portland"/>
    <s v="In-store"/>
    <x v="5"/>
    <n v="50.000000000000014"/>
    <n v="200"/>
    <n v="10000.000000000004"/>
    <n v="6500.0000000000018"/>
  </r>
  <r>
    <x v="2"/>
    <n v="1128299"/>
    <x v="267"/>
    <x v="3"/>
    <s v="Virginia"/>
    <s v="Richmond"/>
    <s v="In-store"/>
    <x v="1"/>
    <n v="60.000000000000007"/>
    <n v="225"/>
    <n v="13500.000000000002"/>
    <n v="8100.0000000000018"/>
  </r>
  <r>
    <x v="0"/>
    <n v="1128299"/>
    <x v="267"/>
    <x v="0"/>
    <s v="Oregon"/>
    <s v="Portland"/>
    <s v="In-store"/>
    <x v="1"/>
    <n v="60.000000000000007"/>
    <n v="225"/>
    <n v="13500.000000000002"/>
    <n v="8100.0000000000018"/>
  </r>
  <r>
    <x v="3"/>
    <n v="1197831"/>
    <x v="267"/>
    <x v="2"/>
    <s v="Alabama"/>
    <s v="Birmingham"/>
    <s v="Outlet"/>
    <x v="0"/>
    <n v="30.000000000000004"/>
    <n v="525"/>
    <n v="15750.000000000002"/>
    <n v="7875.0000000000027"/>
  </r>
  <r>
    <x v="3"/>
    <n v="1197831"/>
    <x v="267"/>
    <x v="2"/>
    <s v="Texas"/>
    <s v="Dallas"/>
    <s v="Outlet"/>
    <x v="5"/>
    <n v="50"/>
    <n v="525"/>
    <n v="26250"/>
    <n v="13125"/>
  </r>
  <r>
    <x v="0"/>
    <n v="1128299"/>
    <x v="267"/>
    <x v="0"/>
    <s v="Oregon"/>
    <s v="Portland"/>
    <s v="Outlet"/>
    <x v="2"/>
    <n v="36"/>
    <n v="85"/>
    <n v="3060"/>
    <n v="2080.8000000000002"/>
  </r>
  <r>
    <x v="2"/>
    <n v="1128299"/>
    <x v="267"/>
    <x v="3"/>
    <s v="Virginia"/>
    <s v="Richmond"/>
    <s v="Outlet"/>
    <x v="2"/>
    <n v="33"/>
    <n v="83"/>
    <n v="2739"/>
    <n v="1752.96"/>
  </r>
  <r>
    <x v="0"/>
    <n v="1128299"/>
    <x v="267"/>
    <x v="0"/>
    <s v="Oregon"/>
    <s v="Portland"/>
    <s v="Outlet"/>
    <x v="4"/>
    <n v="34"/>
    <n v="149"/>
    <n v="5066"/>
    <n v="3191.58"/>
  </r>
  <r>
    <x v="0"/>
    <n v="1128299"/>
    <x v="267"/>
    <x v="0"/>
    <s v="Oregon"/>
    <s v="Portland"/>
    <s v="Outlet"/>
    <x v="0"/>
    <n v="43"/>
    <n v="158"/>
    <n v="6794"/>
    <n v="4212.28"/>
  </r>
  <r>
    <x v="2"/>
    <n v="1128299"/>
    <x v="267"/>
    <x v="3"/>
    <s v="Virginia"/>
    <s v="Richmond"/>
    <s v="Outlet"/>
    <x v="0"/>
    <n v="43"/>
    <n v="153"/>
    <n v="6579"/>
    <n v="4013.19"/>
  </r>
  <r>
    <x v="2"/>
    <n v="1128299"/>
    <x v="267"/>
    <x v="3"/>
    <s v="Virginia"/>
    <s v="Richmond"/>
    <s v="Outlet"/>
    <x v="3"/>
    <n v="34"/>
    <n v="78"/>
    <n v="2652"/>
    <n v="1591.2"/>
  </r>
  <r>
    <x v="2"/>
    <n v="1128299"/>
    <x v="267"/>
    <x v="3"/>
    <s v="Virginia"/>
    <s v="Richmond"/>
    <s v="Outlet"/>
    <x v="5"/>
    <n v="37"/>
    <n v="70"/>
    <n v="2590"/>
    <n v="1554"/>
  </r>
  <r>
    <x v="2"/>
    <n v="1128299"/>
    <x v="267"/>
    <x v="3"/>
    <s v="Virginia"/>
    <s v="Richmond"/>
    <s v="Outlet"/>
    <x v="4"/>
    <n v="35"/>
    <n v="149"/>
    <n v="5215"/>
    <n v="3024.7000000000003"/>
  </r>
  <r>
    <x v="0"/>
    <n v="1128299"/>
    <x v="267"/>
    <x v="0"/>
    <s v="Oregon"/>
    <s v="Portland"/>
    <s v="Online"/>
    <x v="2"/>
    <n v="41"/>
    <n v="73"/>
    <n v="2993"/>
    <n v="1735.94"/>
  </r>
  <r>
    <x v="0"/>
    <n v="1128299"/>
    <x v="267"/>
    <x v="0"/>
    <s v="Oregon"/>
    <s v="Portland"/>
    <s v="Outlet"/>
    <x v="3"/>
    <n v="39"/>
    <n v="83"/>
    <n v="3237"/>
    <n v="1877.46"/>
  </r>
  <r>
    <x v="0"/>
    <n v="1128299"/>
    <x v="267"/>
    <x v="0"/>
    <s v="Oregon"/>
    <s v="Portland"/>
    <s v="Outlet"/>
    <x v="5"/>
    <n v="38"/>
    <n v="62"/>
    <n v="2356"/>
    <n v="1366.48"/>
  </r>
  <r>
    <x v="0"/>
    <n v="1128299"/>
    <x v="267"/>
    <x v="0"/>
    <s v="Oregon"/>
    <s v="Portland"/>
    <s v="Outlet"/>
    <x v="1"/>
    <n v="48"/>
    <n v="77"/>
    <n v="3696"/>
    <n v="2143.6799999999998"/>
  </r>
  <r>
    <x v="2"/>
    <n v="1128299"/>
    <x v="267"/>
    <x v="3"/>
    <s v="Virginia"/>
    <s v="Richmond"/>
    <s v="Online"/>
    <x v="2"/>
    <n v="42"/>
    <n v="70"/>
    <n v="2940"/>
    <n v="1675.8"/>
  </r>
  <r>
    <x v="0"/>
    <n v="1128299"/>
    <x v="267"/>
    <x v="0"/>
    <s v="Oregon"/>
    <s v="Portland"/>
    <s v="Online"/>
    <x v="4"/>
    <n v="46"/>
    <n v="122"/>
    <n v="5612"/>
    <n v="3086.6000000000004"/>
  </r>
  <r>
    <x v="0"/>
    <n v="1128299"/>
    <x v="267"/>
    <x v="0"/>
    <s v="Oregon"/>
    <s v="Portland"/>
    <s v="Online"/>
    <x v="3"/>
    <n v="49"/>
    <n v="75"/>
    <n v="3675"/>
    <n v="2021.2500000000002"/>
  </r>
  <r>
    <x v="2"/>
    <n v="1128299"/>
    <x v="267"/>
    <x v="3"/>
    <s v="Virginia"/>
    <s v="Richmond"/>
    <s v="Online"/>
    <x v="0"/>
    <n v="52"/>
    <n v="113"/>
    <n v="5876"/>
    <n v="3173.0400000000004"/>
  </r>
  <r>
    <x v="0"/>
    <n v="1128299"/>
    <x v="267"/>
    <x v="0"/>
    <s v="Oregon"/>
    <s v="Portland"/>
    <s v="Online"/>
    <x v="0"/>
    <n v="51"/>
    <n v="122"/>
    <n v="6222"/>
    <n v="3359.88"/>
  </r>
  <r>
    <x v="0"/>
    <n v="1128299"/>
    <x v="267"/>
    <x v="0"/>
    <s v="Oregon"/>
    <s v="Portland"/>
    <s v="Online"/>
    <x v="5"/>
    <n v="49"/>
    <n v="52"/>
    <n v="2548"/>
    <n v="1375.92"/>
  </r>
  <r>
    <x v="2"/>
    <n v="1128299"/>
    <x v="267"/>
    <x v="3"/>
    <s v="Virginia"/>
    <s v="Richmond"/>
    <s v="Online"/>
    <x v="3"/>
    <n v="47"/>
    <n v="65"/>
    <n v="3055"/>
    <n v="1619.15"/>
  </r>
  <r>
    <x v="2"/>
    <n v="1128299"/>
    <x v="267"/>
    <x v="3"/>
    <s v="Virginia"/>
    <s v="Richmond"/>
    <s v="Outlet"/>
    <x v="1"/>
    <n v="39"/>
    <n v="74"/>
    <n v="2886"/>
    <n v="1529.58"/>
  </r>
  <r>
    <x v="2"/>
    <n v="1128299"/>
    <x v="267"/>
    <x v="3"/>
    <s v="Virginia"/>
    <s v="Richmond"/>
    <s v="Online"/>
    <x v="5"/>
    <n v="45"/>
    <n v="54"/>
    <n v="2430"/>
    <n v="1239.3"/>
  </r>
  <r>
    <x v="2"/>
    <n v="1128299"/>
    <x v="267"/>
    <x v="3"/>
    <s v="Virginia"/>
    <s v="Richmond"/>
    <s v="Online"/>
    <x v="4"/>
    <n v="46"/>
    <n v="113"/>
    <n v="5198"/>
    <n v="2599"/>
  </r>
  <r>
    <x v="2"/>
    <n v="1128299"/>
    <x v="267"/>
    <x v="3"/>
    <s v="Virginia"/>
    <s v="Richmond"/>
    <s v="Online"/>
    <x v="1"/>
    <n v="58"/>
    <n v="56"/>
    <n v="3248"/>
    <n v="1624"/>
  </r>
  <r>
    <x v="0"/>
    <n v="1128299"/>
    <x v="267"/>
    <x v="0"/>
    <s v="Oregon"/>
    <s v="Portland"/>
    <s v="Online"/>
    <x v="1"/>
    <n v="58"/>
    <n v="59"/>
    <n v="3422"/>
    <n v="1608.34"/>
  </r>
  <r>
    <x v="3"/>
    <n v="1197831"/>
    <x v="267"/>
    <x v="2"/>
    <s v="Texas"/>
    <s v="Dallas"/>
    <s v="Outlet"/>
    <x v="5"/>
    <n v="38"/>
    <n v="158"/>
    <n v="6004"/>
    <n v="2761.8399999999997"/>
  </r>
  <r>
    <x v="3"/>
    <n v="1197831"/>
    <x v="267"/>
    <x v="2"/>
    <s v="Alabama"/>
    <s v="Birmingham"/>
    <s v="Outlet"/>
    <x v="0"/>
    <n v="23"/>
    <n v="173"/>
    <n v="3979"/>
    <n v="1790.5500000000002"/>
  </r>
  <r>
    <x v="3"/>
    <n v="1197831"/>
    <x v="267"/>
    <x v="2"/>
    <s v="Alabama"/>
    <s v="Birmingham"/>
    <s v="Online"/>
    <x v="0"/>
    <n v="29"/>
    <n v="158"/>
    <n v="4582"/>
    <n v="1695.3400000000006"/>
  </r>
  <r>
    <x v="3"/>
    <n v="1197831"/>
    <x v="267"/>
    <x v="2"/>
    <s v="Texas"/>
    <s v="Dallas"/>
    <s v="Online"/>
    <x v="5"/>
    <n v="47"/>
    <n v="147"/>
    <n v="6909"/>
    <n v="2418.1499999999996"/>
  </r>
  <r>
    <x v="3"/>
    <n v="1197831"/>
    <x v="268"/>
    <x v="2"/>
    <s v="Texas"/>
    <s v="Dallas"/>
    <s v="Outlet"/>
    <x v="1"/>
    <n v="55.000000000000007"/>
    <n v="525"/>
    <n v="28875.000000000004"/>
    <n v="18768.750000000007"/>
  </r>
  <r>
    <x v="3"/>
    <n v="1197831"/>
    <x v="268"/>
    <x v="2"/>
    <s v="Alabama"/>
    <s v="Birmingham"/>
    <s v="Outlet"/>
    <x v="3"/>
    <n v="35"/>
    <n v="475"/>
    <n v="16625"/>
    <n v="8312.5000000000018"/>
  </r>
  <r>
    <x v="3"/>
    <n v="1197831"/>
    <x v="268"/>
    <x v="2"/>
    <s v="Texas"/>
    <s v="Dallas"/>
    <s v="Outlet"/>
    <x v="1"/>
    <n v="43"/>
    <n v="158"/>
    <n v="6794"/>
    <n v="4008.46"/>
  </r>
  <r>
    <x v="3"/>
    <n v="1197831"/>
    <x v="268"/>
    <x v="2"/>
    <s v="Texas"/>
    <s v="Dallas"/>
    <s v="Online"/>
    <x v="1"/>
    <n v="53"/>
    <n v="142"/>
    <n v="7526"/>
    <n v="3913.52"/>
  </r>
  <r>
    <x v="3"/>
    <n v="1197831"/>
    <x v="268"/>
    <x v="2"/>
    <s v="Alabama"/>
    <s v="Birmingham"/>
    <s v="Outlet"/>
    <x v="3"/>
    <n v="24"/>
    <n v="166"/>
    <n v="3984"/>
    <n v="1832.6400000000003"/>
  </r>
  <r>
    <x v="3"/>
    <n v="1197831"/>
    <x v="268"/>
    <x v="2"/>
    <s v="Alabama"/>
    <s v="Birmingham"/>
    <s v="Online"/>
    <x v="3"/>
    <n v="32"/>
    <n v="124"/>
    <n v="3968"/>
    <n v="1587.2000000000003"/>
  </r>
  <r>
    <x v="1"/>
    <n v="1128299"/>
    <x v="269"/>
    <x v="0"/>
    <s v="New Mexico"/>
    <s v="Albuquerque"/>
    <s v="Online"/>
    <x v="2"/>
    <n v="65.000000000000014"/>
    <n v="475"/>
    <n v="30875.000000000007"/>
    <n v="23156.250000000007"/>
  </r>
  <r>
    <x v="1"/>
    <n v="1128299"/>
    <x v="269"/>
    <x v="0"/>
    <s v="New Mexico"/>
    <s v="Albuquerque"/>
    <s v="Online"/>
    <x v="1"/>
    <n v="60.000000000000007"/>
    <n v="425"/>
    <n v="25500.000000000004"/>
    <n v="17850.000000000004"/>
  </r>
  <r>
    <x v="1"/>
    <n v="1128299"/>
    <x v="269"/>
    <x v="0"/>
    <s v="New Mexico"/>
    <s v="Albuquerque"/>
    <s v="Online"/>
    <x v="4"/>
    <n v="50.000000000000014"/>
    <n v="625"/>
    <n v="31250.000000000007"/>
    <n v="20312.500000000007"/>
  </r>
  <r>
    <x v="1"/>
    <n v="1128299"/>
    <x v="269"/>
    <x v="0"/>
    <s v="New Mexico"/>
    <s v="Albuquerque"/>
    <s v="Online"/>
    <x v="3"/>
    <n v="50.000000000000014"/>
    <n v="475"/>
    <n v="23750.000000000007"/>
    <n v="15437.500000000005"/>
  </r>
  <r>
    <x v="1"/>
    <n v="1128299"/>
    <x v="269"/>
    <x v="0"/>
    <s v="New Mexico"/>
    <s v="Albuquerque"/>
    <s v="Online"/>
    <x v="5"/>
    <n v="50.000000000000014"/>
    <n v="425"/>
    <n v="21250.000000000007"/>
    <n v="13812.500000000005"/>
  </r>
  <r>
    <x v="1"/>
    <n v="1128299"/>
    <x v="269"/>
    <x v="0"/>
    <s v="New Mexico"/>
    <s v="Albuquerque"/>
    <s v="Online"/>
    <x v="0"/>
    <n v="55.000000000000014"/>
    <n v="625"/>
    <n v="34375.000000000007"/>
    <n v="20625.000000000007"/>
  </r>
  <r>
    <x v="3"/>
    <n v="1197831"/>
    <x v="269"/>
    <x v="2"/>
    <s v="Texas"/>
    <s v="Dallas"/>
    <s v="Outlet"/>
    <x v="2"/>
    <n v="60"/>
    <n v="775"/>
    <n v="46500"/>
    <n v="20924.999999999996"/>
  </r>
  <r>
    <x v="3"/>
    <n v="1197831"/>
    <x v="269"/>
    <x v="2"/>
    <s v="Alabama"/>
    <s v="Birmingham"/>
    <s v="Outlet"/>
    <x v="5"/>
    <n v="35"/>
    <n v="325"/>
    <n v="11375"/>
    <n v="4549.9999999999982"/>
  </r>
  <r>
    <x v="1"/>
    <n v="1128299"/>
    <x v="269"/>
    <x v="0"/>
    <s v="New Mexico"/>
    <s v="Albuquerque"/>
    <s v="Outlet"/>
    <x v="2"/>
    <n v="48"/>
    <n v="157"/>
    <n v="7536"/>
    <n v="5275.2000000000007"/>
  </r>
  <r>
    <x v="1"/>
    <n v="1128299"/>
    <x v="269"/>
    <x v="0"/>
    <s v="New Mexico"/>
    <s v="Albuquerque"/>
    <s v="Outlet"/>
    <x v="1"/>
    <n v="40"/>
    <n v="145"/>
    <n v="5800"/>
    <n v="3770"/>
  </r>
  <r>
    <x v="1"/>
    <n v="1128299"/>
    <x v="269"/>
    <x v="0"/>
    <s v="New Mexico"/>
    <s v="Albuquerque"/>
    <s v="Online"/>
    <x v="2"/>
    <n v="59"/>
    <n v="133"/>
    <n v="7847"/>
    <n v="5022.08"/>
  </r>
  <r>
    <x v="1"/>
    <n v="1128299"/>
    <x v="269"/>
    <x v="0"/>
    <s v="New Mexico"/>
    <s v="Albuquerque"/>
    <s v="Online"/>
    <x v="1"/>
    <n v="54"/>
    <n v="111"/>
    <n v="5994"/>
    <n v="3596.4"/>
  </r>
  <r>
    <x v="1"/>
    <n v="1128299"/>
    <x v="269"/>
    <x v="0"/>
    <s v="New Mexico"/>
    <s v="Albuquerque"/>
    <s v="Outlet"/>
    <x v="5"/>
    <n v="37"/>
    <n v="145"/>
    <n v="5365"/>
    <n v="3165.35"/>
  </r>
  <r>
    <x v="1"/>
    <n v="1128299"/>
    <x v="269"/>
    <x v="0"/>
    <s v="New Mexico"/>
    <s v="Albuquerque"/>
    <s v="Outlet"/>
    <x v="4"/>
    <n v="37"/>
    <n v="206"/>
    <n v="7622"/>
    <n v="4420.76"/>
  </r>
  <r>
    <x v="1"/>
    <n v="1128299"/>
    <x v="269"/>
    <x v="0"/>
    <s v="New Mexico"/>
    <s v="Albuquerque"/>
    <s v="Outlet"/>
    <x v="3"/>
    <n v="39"/>
    <n v="147"/>
    <n v="5733"/>
    <n v="3325.14"/>
  </r>
  <r>
    <x v="1"/>
    <n v="1128299"/>
    <x v="269"/>
    <x v="0"/>
    <s v="New Mexico"/>
    <s v="Albuquerque"/>
    <s v="Online"/>
    <x v="4"/>
    <n v="49"/>
    <n v="163"/>
    <n v="7987"/>
    <n v="4392.8500000000004"/>
  </r>
  <r>
    <x v="1"/>
    <n v="1128299"/>
    <x v="269"/>
    <x v="0"/>
    <s v="New Mexico"/>
    <s v="Albuquerque"/>
    <s v="Outlet"/>
    <x v="0"/>
    <n v="39"/>
    <n v="188"/>
    <n v="7332"/>
    <n v="3959.2799999999997"/>
  </r>
  <r>
    <x v="1"/>
    <n v="1128299"/>
    <x v="269"/>
    <x v="0"/>
    <s v="New Mexico"/>
    <s v="Albuquerque"/>
    <s v="Online"/>
    <x v="3"/>
    <n v="46"/>
    <n v="143"/>
    <n v="6578"/>
    <n v="3486.34"/>
  </r>
  <r>
    <x v="1"/>
    <n v="1128299"/>
    <x v="269"/>
    <x v="0"/>
    <s v="New Mexico"/>
    <s v="Albuquerque"/>
    <s v="Online"/>
    <x v="5"/>
    <n v="49"/>
    <n v="123"/>
    <n v="6027"/>
    <n v="3194.31"/>
  </r>
  <r>
    <x v="1"/>
    <n v="1128299"/>
    <x v="269"/>
    <x v="0"/>
    <s v="New Mexico"/>
    <s v="Albuquerque"/>
    <s v="Online"/>
    <x v="0"/>
    <n v="51"/>
    <n v="156"/>
    <n v="7956"/>
    <n v="3898.44"/>
  </r>
  <r>
    <x v="3"/>
    <n v="1197831"/>
    <x v="269"/>
    <x v="2"/>
    <s v="Texas"/>
    <s v="Dallas"/>
    <s v="Outlet"/>
    <x v="2"/>
    <n v="43"/>
    <n v="240"/>
    <n v="10320"/>
    <n v="4127.9999999999991"/>
  </r>
  <r>
    <x v="3"/>
    <n v="1197831"/>
    <x v="269"/>
    <x v="2"/>
    <s v="Alabama"/>
    <s v="Birmingham"/>
    <s v="Outlet"/>
    <x v="5"/>
    <n v="26"/>
    <n v="98"/>
    <n v="2548"/>
    <n v="840.83999999999969"/>
  </r>
  <r>
    <x v="3"/>
    <n v="1197831"/>
    <x v="269"/>
    <x v="2"/>
    <s v="Texas"/>
    <s v="Dallas"/>
    <s v="Online"/>
    <x v="2"/>
    <n v="56"/>
    <n v="233"/>
    <n v="13048"/>
    <n v="3914.3999999999996"/>
  </r>
  <r>
    <x v="3"/>
    <n v="1197831"/>
    <x v="269"/>
    <x v="2"/>
    <s v="Alabama"/>
    <s v="Birmingham"/>
    <s v="Online"/>
    <x v="5"/>
    <n v="32"/>
    <n v="91"/>
    <n v="2912"/>
    <n v="786.23999999999978"/>
  </r>
  <r>
    <x v="3"/>
    <n v="1197831"/>
    <x v="270"/>
    <x v="2"/>
    <s v="Texas"/>
    <s v="Dallas"/>
    <s v="Outlet"/>
    <x v="4"/>
    <n v="55.000000000000007"/>
    <n v="725"/>
    <n v="39875.000000000007"/>
    <n v="23925.000000000007"/>
  </r>
  <r>
    <x v="3"/>
    <n v="1197831"/>
    <x v="270"/>
    <x v="2"/>
    <s v="Alabama"/>
    <s v="Birmingham"/>
    <s v="Outlet"/>
    <x v="1"/>
    <n v="30.000000000000004"/>
    <n v="300"/>
    <n v="9000.0000000000018"/>
    <n v="4950.0000000000018"/>
  </r>
  <r>
    <x v="3"/>
    <n v="1197831"/>
    <x v="270"/>
    <x v="2"/>
    <s v="Texas"/>
    <s v="Dallas"/>
    <s v="Outlet"/>
    <x v="4"/>
    <n v="38"/>
    <n v="232"/>
    <n v="8816"/>
    <n v="4760.6400000000003"/>
  </r>
  <r>
    <x v="3"/>
    <n v="1197831"/>
    <x v="270"/>
    <x v="2"/>
    <s v="Alabama"/>
    <s v="Birmingham"/>
    <s v="Outlet"/>
    <x v="1"/>
    <n v="22"/>
    <n v="105"/>
    <n v="2310"/>
    <n v="1178.1000000000001"/>
  </r>
  <r>
    <x v="3"/>
    <n v="1197831"/>
    <x v="270"/>
    <x v="2"/>
    <s v="Texas"/>
    <s v="Dallas"/>
    <s v="Online"/>
    <x v="4"/>
    <n v="53"/>
    <n v="181"/>
    <n v="9593"/>
    <n v="4316.8500000000004"/>
  </r>
  <r>
    <x v="3"/>
    <n v="1197831"/>
    <x v="270"/>
    <x v="2"/>
    <s v="Alabama"/>
    <s v="Birmingham"/>
    <s v="Online"/>
    <x v="1"/>
    <n v="29"/>
    <n v="78"/>
    <n v="2262"/>
    <n v="904.8"/>
  </r>
  <r>
    <x v="3"/>
    <n v="1197831"/>
    <x v="271"/>
    <x v="2"/>
    <s v="Texas"/>
    <s v="Dallas"/>
    <s v="Outlet"/>
    <x v="0"/>
    <n v="55.000000000000007"/>
    <n v="675"/>
    <n v="37125.000000000007"/>
    <n v="22275.000000000007"/>
  </r>
  <r>
    <x v="3"/>
    <n v="1197831"/>
    <x v="271"/>
    <x v="2"/>
    <s v="Alabama"/>
    <s v="Birmingham"/>
    <s v="Outlet"/>
    <x v="2"/>
    <n v="40"/>
    <n v="475"/>
    <n v="19000"/>
    <n v="6649.9999999999973"/>
  </r>
  <r>
    <x v="3"/>
    <n v="1197831"/>
    <x v="271"/>
    <x v="2"/>
    <s v="Texas"/>
    <s v="Dallas"/>
    <s v="Outlet"/>
    <x v="0"/>
    <n v="38"/>
    <n v="203"/>
    <n v="7714"/>
    <n v="4088.42"/>
  </r>
  <r>
    <x v="3"/>
    <n v="1197831"/>
    <x v="271"/>
    <x v="2"/>
    <s v="Texas"/>
    <s v="Dallas"/>
    <s v="Online"/>
    <x v="0"/>
    <n v="54"/>
    <n v="176"/>
    <n v="9504"/>
    <n v="4656.96"/>
  </r>
  <r>
    <x v="3"/>
    <n v="1197831"/>
    <x v="271"/>
    <x v="2"/>
    <s v="Alabama"/>
    <s v="Birmingham"/>
    <s v="Outlet"/>
    <x v="2"/>
    <n v="26"/>
    <n v="147"/>
    <n v="3822"/>
    <n v="1070.1599999999994"/>
  </r>
  <r>
    <x v="3"/>
    <n v="1197831"/>
    <x v="271"/>
    <x v="2"/>
    <s v="Alabama"/>
    <s v="Birmingham"/>
    <s v="Online"/>
    <x v="2"/>
    <n v="36"/>
    <n v="143"/>
    <n v="5148"/>
    <n v="1286.9999999999995"/>
  </r>
  <r>
    <x v="3"/>
    <n v="1197831"/>
    <x v="272"/>
    <x v="2"/>
    <s v="Texas"/>
    <s v="Dallas"/>
    <s v="Outlet"/>
    <x v="3"/>
    <n v="60"/>
    <n v="725"/>
    <n v="43500"/>
    <n v="26100"/>
  </r>
  <r>
    <x v="3"/>
    <n v="1197831"/>
    <x v="272"/>
    <x v="2"/>
    <s v="Alabama"/>
    <s v="Birmingham"/>
    <s v="Outlet"/>
    <x v="4"/>
    <n v="20.000000000000004"/>
    <n v="625"/>
    <n v="12500.000000000002"/>
    <n v="6250.0000000000018"/>
  </r>
  <r>
    <x v="3"/>
    <n v="1197831"/>
    <x v="272"/>
    <x v="2"/>
    <s v="Texas"/>
    <s v="Dallas"/>
    <s v="Outlet"/>
    <x v="3"/>
    <n v="47"/>
    <n v="254"/>
    <n v="11938"/>
    <n v="6565.9000000000005"/>
  </r>
  <r>
    <x v="3"/>
    <n v="1197831"/>
    <x v="272"/>
    <x v="2"/>
    <s v="Texas"/>
    <s v="Dallas"/>
    <s v="Online"/>
    <x v="3"/>
    <n v="59"/>
    <n v="203"/>
    <n v="11977"/>
    <n v="5629.19"/>
  </r>
  <r>
    <x v="3"/>
    <n v="1197831"/>
    <x v="272"/>
    <x v="2"/>
    <s v="Alabama"/>
    <s v="Birmingham"/>
    <s v="Outlet"/>
    <x v="4"/>
    <n v="14"/>
    <n v="188"/>
    <n v="2632"/>
    <n v="1131.7600000000002"/>
  </r>
  <r>
    <x v="3"/>
    <n v="1197831"/>
    <x v="272"/>
    <x v="2"/>
    <s v="Alabama"/>
    <s v="Birmingham"/>
    <s v="Online"/>
    <x v="4"/>
    <n v="18"/>
    <n v="169"/>
    <n v="3042"/>
    <n v="1095.1200000000003"/>
  </r>
  <r>
    <x v="3"/>
    <n v="1197831"/>
    <x v="273"/>
    <x v="2"/>
    <s v="Alabama"/>
    <s v="Birmingham"/>
    <s v="Outlet"/>
    <x v="0"/>
    <n v="20.000000000000004"/>
    <n v="625"/>
    <n v="12500.000000000002"/>
    <n v="6250.0000000000018"/>
  </r>
  <r>
    <x v="3"/>
    <n v="1197831"/>
    <x v="273"/>
    <x v="2"/>
    <s v="Texas"/>
    <s v="Dallas"/>
    <s v="Outlet"/>
    <x v="5"/>
    <n v="60"/>
    <n v="450"/>
    <n v="27000"/>
    <n v="13500"/>
  </r>
  <r>
    <x v="3"/>
    <n v="1197831"/>
    <x v="273"/>
    <x v="2"/>
    <s v="Alabama"/>
    <s v="Birmingham"/>
    <s v="Outlet"/>
    <x v="0"/>
    <n v="14"/>
    <n v="200"/>
    <n v="2800"/>
    <n v="1344.0000000000002"/>
  </r>
  <r>
    <x v="3"/>
    <n v="1197831"/>
    <x v="273"/>
    <x v="2"/>
    <s v="Texas"/>
    <s v="Dallas"/>
    <s v="Outlet"/>
    <x v="5"/>
    <n v="41"/>
    <n v="135"/>
    <n v="5535"/>
    <n v="2490.7499999999995"/>
  </r>
  <r>
    <x v="3"/>
    <n v="1197831"/>
    <x v="273"/>
    <x v="2"/>
    <s v="Alabama"/>
    <s v="Birmingham"/>
    <s v="Online"/>
    <x v="0"/>
    <n v="19"/>
    <n v="169"/>
    <n v="3211"/>
    <n v="1252.29"/>
  </r>
  <r>
    <x v="3"/>
    <n v="1197831"/>
    <x v="273"/>
    <x v="2"/>
    <s v="Texas"/>
    <s v="Dallas"/>
    <s v="Online"/>
    <x v="5"/>
    <n v="56"/>
    <n v="126"/>
    <n v="7056"/>
    <n v="2469.5999999999995"/>
  </r>
  <r>
    <x v="3"/>
    <n v="1197831"/>
    <x v="274"/>
    <x v="2"/>
    <s v="Texas"/>
    <s v="Dallas"/>
    <s v="Outlet"/>
    <x v="1"/>
    <n v="55.000000000000007"/>
    <n v="450"/>
    <n v="24750.000000000004"/>
    <n v="16087.500000000004"/>
  </r>
  <r>
    <x v="3"/>
    <n v="1197831"/>
    <x v="274"/>
    <x v="2"/>
    <s v="Alabama"/>
    <s v="Birmingham"/>
    <s v="Outlet"/>
    <x v="3"/>
    <n v="45.000000000000007"/>
    <n v="575"/>
    <n v="25875.000000000004"/>
    <n v="12937.500000000004"/>
  </r>
  <r>
    <x v="3"/>
    <n v="1197831"/>
    <x v="274"/>
    <x v="2"/>
    <s v="Texas"/>
    <s v="Dallas"/>
    <s v="Outlet"/>
    <x v="1"/>
    <n v="37"/>
    <n v="149"/>
    <n v="5513"/>
    <n v="3307.8"/>
  </r>
  <r>
    <x v="3"/>
    <n v="1197831"/>
    <x v="274"/>
    <x v="2"/>
    <s v="Texas"/>
    <s v="Dallas"/>
    <s v="Online"/>
    <x v="1"/>
    <n v="53"/>
    <n v="135"/>
    <n v="7155"/>
    <n v="3649.05"/>
  </r>
  <r>
    <x v="3"/>
    <n v="1197831"/>
    <x v="274"/>
    <x v="2"/>
    <s v="Alabama"/>
    <s v="Birmingham"/>
    <s v="Outlet"/>
    <x v="3"/>
    <n v="33"/>
    <n v="196"/>
    <n v="6468"/>
    <n v="2910.6000000000004"/>
  </r>
  <r>
    <x v="3"/>
    <n v="1197831"/>
    <x v="274"/>
    <x v="2"/>
    <s v="Alabama"/>
    <s v="Birmingham"/>
    <s v="Online"/>
    <x v="3"/>
    <n v="43"/>
    <n v="144"/>
    <n v="6192"/>
    <n v="2229.1200000000008"/>
  </r>
  <r>
    <x v="0"/>
    <n v="1185732"/>
    <x v="275"/>
    <x v="1"/>
    <s v="Wisconsin"/>
    <s v="Milwaukee"/>
    <s v="In-store"/>
    <x v="4"/>
    <n v="44.999999999999993"/>
    <n v="375"/>
    <n v="16874.999999999996"/>
    <n v="11812.499999999996"/>
  </r>
  <r>
    <x v="0"/>
    <n v="1185732"/>
    <x v="275"/>
    <x v="1"/>
    <s v="Wisconsin"/>
    <s v="Milwaukee"/>
    <s v="In-store"/>
    <x v="3"/>
    <n v="35"/>
    <n v="125"/>
    <n v="4375"/>
    <n v="3062.5"/>
  </r>
  <r>
    <x v="0"/>
    <n v="1185732"/>
    <x v="275"/>
    <x v="1"/>
    <s v="Wisconsin"/>
    <s v="Milwaukee"/>
    <s v="In-store"/>
    <x v="5"/>
    <n v="35"/>
    <n v="125"/>
    <n v="4375"/>
    <n v="3062.5"/>
  </r>
  <r>
    <x v="0"/>
    <n v="1185732"/>
    <x v="275"/>
    <x v="1"/>
    <s v="Wisconsin"/>
    <s v="Milwaukee"/>
    <s v="In-store"/>
    <x v="0"/>
    <n v="35"/>
    <n v="225"/>
    <n v="7875"/>
    <n v="5118.75"/>
  </r>
  <r>
    <x v="0"/>
    <n v="1185732"/>
    <x v="275"/>
    <x v="1"/>
    <s v="Wisconsin"/>
    <s v="Milwaukee"/>
    <s v="In-store"/>
    <x v="2"/>
    <n v="49.999999999999986"/>
    <n v="250"/>
    <n v="12499.999999999996"/>
    <n v="7499.9999999999973"/>
  </r>
  <r>
    <x v="0"/>
    <n v="1185732"/>
    <x v="275"/>
    <x v="1"/>
    <s v="Wisconsin"/>
    <s v="Milwaukee"/>
    <s v="In-store"/>
    <x v="1"/>
    <n v="44.999999999999993"/>
    <n v="125"/>
    <n v="5624.9999999999991"/>
    <n v="2812.4999999999995"/>
  </r>
  <r>
    <x v="3"/>
    <n v="1197831"/>
    <x v="275"/>
    <x v="2"/>
    <s v="Texas"/>
    <s v="Dallas"/>
    <s v="Outlet"/>
    <x v="2"/>
    <n v="50"/>
    <n v="675"/>
    <n v="33750"/>
    <n v="15187.499999999996"/>
  </r>
  <r>
    <x v="3"/>
    <n v="1197831"/>
    <x v="275"/>
    <x v="2"/>
    <s v="Alabama"/>
    <s v="Birmingham"/>
    <s v="Outlet"/>
    <x v="5"/>
    <n v="45.000000000000007"/>
    <n v="450"/>
    <n v="20250.000000000004"/>
    <n v="8100"/>
  </r>
  <r>
    <x v="0"/>
    <n v="1185732"/>
    <x v="275"/>
    <x v="1"/>
    <s v="Wisconsin"/>
    <s v="Milwaukee"/>
    <s v="Online"/>
    <x v="5"/>
    <n v="32"/>
    <n v="33"/>
    <n v="1056"/>
    <n v="623.04"/>
  </r>
  <r>
    <x v="0"/>
    <n v="1185732"/>
    <x v="275"/>
    <x v="1"/>
    <s v="Wisconsin"/>
    <s v="Milwaukee"/>
    <s v="Online"/>
    <x v="4"/>
    <n v="43"/>
    <n v="113"/>
    <n v="4859"/>
    <n v="2818.2200000000003"/>
  </r>
  <r>
    <x v="0"/>
    <n v="1185732"/>
    <x v="275"/>
    <x v="1"/>
    <s v="Wisconsin"/>
    <s v="Milwaukee"/>
    <s v="Online"/>
    <x v="3"/>
    <n v="34"/>
    <n v="33"/>
    <n v="1122"/>
    <n v="639.54"/>
  </r>
  <r>
    <x v="0"/>
    <n v="1185732"/>
    <x v="275"/>
    <x v="1"/>
    <s v="Wisconsin"/>
    <s v="Milwaukee"/>
    <s v="Online"/>
    <x v="0"/>
    <n v="33"/>
    <n v="68"/>
    <n v="2244"/>
    <n v="1166.8800000000001"/>
  </r>
  <r>
    <x v="0"/>
    <n v="1185732"/>
    <x v="275"/>
    <x v="1"/>
    <s v="Wisconsin"/>
    <s v="Milwaukee"/>
    <s v="Online"/>
    <x v="2"/>
    <n v="46"/>
    <n v="65"/>
    <n v="2990"/>
    <n v="1465.1"/>
  </r>
  <r>
    <x v="3"/>
    <n v="1197831"/>
    <x v="275"/>
    <x v="2"/>
    <s v="Texas"/>
    <s v="Dallas"/>
    <s v="Outlet"/>
    <x v="2"/>
    <n v="33"/>
    <n v="236"/>
    <n v="7788"/>
    <n v="3193.079999999999"/>
  </r>
  <r>
    <x v="0"/>
    <n v="1185732"/>
    <x v="275"/>
    <x v="1"/>
    <s v="Wisconsin"/>
    <s v="Milwaukee"/>
    <s v="Online"/>
    <x v="1"/>
    <n v="44"/>
    <n v="33"/>
    <n v="1452"/>
    <n v="537.24"/>
  </r>
  <r>
    <x v="3"/>
    <n v="1197831"/>
    <x v="275"/>
    <x v="2"/>
    <s v="Alabama"/>
    <s v="Birmingham"/>
    <s v="Outlet"/>
    <x v="5"/>
    <n v="36"/>
    <n v="135"/>
    <n v="4860"/>
    <n v="1603.7999999999993"/>
  </r>
  <r>
    <x v="3"/>
    <n v="1197831"/>
    <x v="275"/>
    <x v="2"/>
    <s v="Texas"/>
    <s v="Dallas"/>
    <s v="Online"/>
    <x v="2"/>
    <n v="48"/>
    <n v="203"/>
    <n v="9744"/>
    <n v="2923.1999999999989"/>
  </r>
  <r>
    <x v="3"/>
    <n v="1197831"/>
    <x v="275"/>
    <x v="2"/>
    <s v="Alabama"/>
    <s v="Birmingham"/>
    <s v="Online"/>
    <x v="5"/>
    <n v="44"/>
    <n v="131"/>
    <n v="5764"/>
    <n v="1556.2799999999997"/>
  </r>
  <r>
    <x v="3"/>
    <n v="1185732"/>
    <x v="276"/>
    <x v="3"/>
    <s v="North Carolina"/>
    <s v="Charlotte"/>
    <s v="Online"/>
    <x v="0"/>
    <n v="35.000000000000007"/>
    <n v="700"/>
    <n v="24500.000000000004"/>
    <n v="15925.000000000005"/>
  </r>
  <r>
    <x v="3"/>
    <n v="1197831"/>
    <x v="276"/>
    <x v="0"/>
    <s v="Idaho"/>
    <s v="Boise"/>
    <s v="Online"/>
    <x v="1"/>
    <n v="35"/>
    <n v="350"/>
    <n v="12250"/>
    <n v="7962.5"/>
  </r>
  <r>
    <x v="3"/>
    <n v="1185732"/>
    <x v="276"/>
    <x v="3"/>
    <s v="North Carolina"/>
    <s v="Charlotte"/>
    <s v="Online"/>
    <x v="1"/>
    <n v="45.000000000000007"/>
    <n v="550"/>
    <n v="24750.000000000004"/>
    <n v="16087.500000000004"/>
  </r>
  <r>
    <x v="3"/>
    <n v="1197831"/>
    <x v="276"/>
    <x v="2"/>
    <s v="Texas"/>
    <s v="Dallas"/>
    <s v="Outlet"/>
    <x v="4"/>
    <n v="40"/>
    <n v="625"/>
    <n v="25000"/>
    <n v="15000"/>
  </r>
  <r>
    <x v="3"/>
    <n v="1197831"/>
    <x v="276"/>
    <x v="0"/>
    <s v="Idaho"/>
    <s v="Boise"/>
    <s v="Online"/>
    <x v="4"/>
    <n v="40"/>
    <n v="575"/>
    <n v="23000"/>
    <n v="13800"/>
  </r>
  <r>
    <x v="3"/>
    <n v="1197831"/>
    <x v="276"/>
    <x v="0"/>
    <s v="Idaho"/>
    <s v="Boise"/>
    <s v="Online"/>
    <x v="0"/>
    <n v="40"/>
    <n v="575"/>
    <n v="23000"/>
    <n v="13800"/>
  </r>
  <r>
    <x v="3"/>
    <n v="1197831"/>
    <x v="276"/>
    <x v="0"/>
    <s v="Idaho"/>
    <s v="Boise"/>
    <s v="Online"/>
    <x v="3"/>
    <n v="45"/>
    <n v="525"/>
    <n v="23625"/>
    <n v="14175"/>
  </r>
  <r>
    <x v="3"/>
    <n v="1185732"/>
    <x v="276"/>
    <x v="3"/>
    <s v="North Carolina"/>
    <s v="Charlotte"/>
    <s v="Online"/>
    <x v="4"/>
    <n v="45.000000000000007"/>
    <n v="875"/>
    <n v="39375.000000000007"/>
    <n v="23625.000000000004"/>
  </r>
  <r>
    <x v="3"/>
    <n v="1185732"/>
    <x v="276"/>
    <x v="3"/>
    <s v="North Carolina"/>
    <s v="Charlotte"/>
    <s v="Online"/>
    <x v="3"/>
    <n v="35.000000000000007"/>
    <n v="575"/>
    <n v="20125.000000000004"/>
    <n v="12075.000000000002"/>
  </r>
  <r>
    <x v="3"/>
    <n v="1185732"/>
    <x v="276"/>
    <x v="3"/>
    <s v="North Carolina"/>
    <s v="Charlotte"/>
    <s v="Online"/>
    <x v="5"/>
    <n v="35.000000000000007"/>
    <n v="550"/>
    <n v="19250.000000000004"/>
    <n v="11550.000000000002"/>
  </r>
  <r>
    <x v="3"/>
    <n v="1197831"/>
    <x v="276"/>
    <x v="2"/>
    <s v="Alabama"/>
    <s v="Birmingham"/>
    <s v="Outlet"/>
    <x v="1"/>
    <n v="49.999999999999993"/>
    <n v="425"/>
    <n v="21249.999999999996"/>
    <n v="11687.5"/>
  </r>
  <r>
    <x v="3"/>
    <n v="1197831"/>
    <x v="276"/>
    <x v="0"/>
    <s v="Idaho"/>
    <s v="Boise"/>
    <s v="Online"/>
    <x v="5"/>
    <n v="45"/>
    <n v="375"/>
    <n v="16875"/>
    <n v="8437.5"/>
  </r>
  <r>
    <x v="3"/>
    <n v="1185732"/>
    <x v="276"/>
    <x v="3"/>
    <s v="North Carolina"/>
    <s v="Charlotte"/>
    <s v="Online"/>
    <x v="2"/>
    <n v="50"/>
    <n v="675"/>
    <n v="33750"/>
    <n v="16875"/>
  </r>
  <r>
    <x v="3"/>
    <n v="1197831"/>
    <x v="276"/>
    <x v="0"/>
    <s v="Idaho"/>
    <s v="Boise"/>
    <s v="Online"/>
    <x v="2"/>
    <n v="45"/>
    <n v="525"/>
    <n v="23625"/>
    <n v="10631.249999999998"/>
  </r>
  <r>
    <x v="3"/>
    <n v="1197831"/>
    <x v="276"/>
    <x v="0"/>
    <s v="Idaho"/>
    <s v="Boise"/>
    <s v="Outlet"/>
    <x v="1"/>
    <n v="25"/>
    <n v="123"/>
    <n v="3075"/>
    <n v="1875.7500000000002"/>
  </r>
  <r>
    <x v="3"/>
    <n v="1197831"/>
    <x v="276"/>
    <x v="0"/>
    <s v="Idaho"/>
    <s v="Boise"/>
    <s v="Outlet"/>
    <x v="3"/>
    <n v="31"/>
    <n v="179"/>
    <n v="5549"/>
    <n v="3218.42"/>
  </r>
  <r>
    <x v="3"/>
    <n v="1197831"/>
    <x v="276"/>
    <x v="0"/>
    <s v="Idaho"/>
    <s v="Boise"/>
    <s v="Outlet"/>
    <x v="0"/>
    <n v="27"/>
    <n v="190"/>
    <n v="5130"/>
    <n v="2924.1000000000004"/>
  </r>
  <r>
    <x v="3"/>
    <n v="1197831"/>
    <x v="276"/>
    <x v="2"/>
    <s v="Texas"/>
    <s v="Dallas"/>
    <s v="Outlet"/>
    <x v="4"/>
    <n v="30"/>
    <n v="213"/>
    <n v="6390"/>
    <n v="3578.4000000000005"/>
  </r>
  <r>
    <x v="3"/>
    <n v="1185732"/>
    <x v="276"/>
    <x v="3"/>
    <s v="North Carolina"/>
    <s v="Charlotte"/>
    <s v="Online"/>
    <x v="0"/>
    <n v="33"/>
    <n v="196"/>
    <n v="6468"/>
    <n v="3492.7200000000003"/>
  </r>
  <r>
    <x v="3"/>
    <n v="1197831"/>
    <x v="276"/>
    <x v="0"/>
    <s v="Idaho"/>
    <s v="Boise"/>
    <s v="Outlet"/>
    <x v="4"/>
    <n v="30"/>
    <n v="201"/>
    <n v="6030"/>
    <n v="3256.2000000000003"/>
  </r>
  <r>
    <x v="3"/>
    <n v="1185732"/>
    <x v="276"/>
    <x v="3"/>
    <s v="North Carolina"/>
    <s v="Charlotte"/>
    <s v="Online"/>
    <x v="1"/>
    <n v="42"/>
    <n v="149"/>
    <n v="6258"/>
    <n v="3316.7400000000002"/>
  </r>
  <r>
    <x v="3"/>
    <n v="1197831"/>
    <x v="276"/>
    <x v="0"/>
    <s v="Idaho"/>
    <s v="Boise"/>
    <s v="Online"/>
    <x v="1"/>
    <n v="32"/>
    <n v="91"/>
    <n v="2912"/>
    <n v="1514.24"/>
  </r>
  <r>
    <x v="3"/>
    <n v="1197831"/>
    <x v="276"/>
    <x v="2"/>
    <s v="Alabama"/>
    <s v="Birmingham"/>
    <s v="Outlet"/>
    <x v="1"/>
    <n v="37"/>
    <n v="149"/>
    <n v="5513"/>
    <n v="2866.76"/>
  </r>
  <r>
    <x v="3"/>
    <n v="1197831"/>
    <x v="276"/>
    <x v="2"/>
    <s v="Texas"/>
    <s v="Dallas"/>
    <s v="Online"/>
    <x v="4"/>
    <n v="39"/>
    <n v="156"/>
    <n v="6084"/>
    <n v="3042"/>
  </r>
  <r>
    <x v="3"/>
    <n v="1197831"/>
    <x v="276"/>
    <x v="0"/>
    <s v="Idaho"/>
    <s v="Boise"/>
    <s v="Online"/>
    <x v="4"/>
    <n v="36"/>
    <n v="167"/>
    <n v="6012"/>
    <n v="2945.88"/>
  </r>
  <r>
    <x v="3"/>
    <n v="1197831"/>
    <x v="276"/>
    <x v="0"/>
    <s v="Idaho"/>
    <s v="Boise"/>
    <s v="Online"/>
    <x v="3"/>
    <n v="41"/>
    <n v="131"/>
    <n v="5371"/>
    <n v="2631.79"/>
  </r>
  <r>
    <x v="3"/>
    <n v="1185732"/>
    <x v="276"/>
    <x v="3"/>
    <s v="North Carolina"/>
    <s v="Charlotte"/>
    <s v="Online"/>
    <x v="3"/>
    <n v="34"/>
    <n v="150"/>
    <n v="5100"/>
    <n v="2499"/>
  </r>
  <r>
    <x v="3"/>
    <n v="1197831"/>
    <x v="276"/>
    <x v="0"/>
    <s v="Idaho"/>
    <s v="Boise"/>
    <s v="Outlet"/>
    <x v="5"/>
    <n v="35"/>
    <n v="116"/>
    <n v="4060"/>
    <n v="1908.1999999999998"/>
  </r>
  <r>
    <x v="3"/>
    <n v="1197831"/>
    <x v="276"/>
    <x v="0"/>
    <s v="Idaho"/>
    <s v="Boise"/>
    <s v="Online"/>
    <x v="0"/>
    <n v="37"/>
    <n v="173"/>
    <n v="6401"/>
    <n v="2944.4599999999996"/>
  </r>
  <r>
    <x v="3"/>
    <n v="1185732"/>
    <x v="276"/>
    <x v="3"/>
    <s v="North Carolina"/>
    <s v="Charlotte"/>
    <s v="Online"/>
    <x v="4"/>
    <n v="42"/>
    <n v="245"/>
    <n v="10290"/>
    <n v="4733.3999999999996"/>
  </r>
  <r>
    <x v="3"/>
    <n v="1185732"/>
    <x v="276"/>
    <x v="3"/>
    <s v="North Carolina"/>
    <s v="Charlotte"/>
    <s v="Online"/>
    <x v="5"/>
    <n v="34"/>
    <n v="160"/>
    <n v="5440"/>
    <n v="2502.3999999999996"/>
  </r>
  <r>
    <x v="3"/>
    <n v="1197831"/>
    <x v="276"/>
    <x v="2"/>
    <s v="Alabama"/>
    <s v="Birmingham"/>
    <s v="Online"/>
    <x v="1"/>
    <n v="48"/>
    <n v="111"/>
    <n v="5328"/>
    <n v="2184.48"/>
  </r>
  <r>
    <x v="3"/>
    <n v="1197831"/>
    <x v="276"/>
    <x v="0"/>
    <s v="Idaho"/>
    <s v="Boise"/>
    <s v="Outlet"/>
    <x v="2"/>
    <n v="34"/>
    <n v="179"/>
    <n v="6086"/>
    <n v="2495.2599999999993"/>
  </r>
  <r>
    <x v="3"/>
    <n v="1185732"/>
    <x v="276"/>
    <x v="3"/>
    <s v="North Carolina"/>
    <s v="Charlotte"/>
    <s v="Online"/>
    <x v="2"/>
    <n v="48"/>
    <n v="176"/>
    <n v="8448"/>
    <n v="3125.76"/>
  </r>
  <r>
    <x v="3"/>
    <n v="1197831"/>
    <x v="276"/>
    <x v="0"/>
    <s v="Idaho"/>
    <s v="Boise"/>
    <s v="Online"/>
    <x v="5"/>
    <n v="44"/>
    <n v="101"/>
    <n v="4444"/>
    <n v="1555.4"/>
  </r>
  <r>
    <x v="3"/>
    <n v="1197831"/>
    <x v="276"/>
    <x v="0"/>
    <s v="Idaho"/>
    <s v="Boise"/>
    <s v="Online"/>
    <x v="2"/>
    <n v="42"/>
    <n v="142"/>
    <n v="5964"/>
    <n v="2027.7599999999998"/>
  </r>
  <r>
    <x v="3"/>
    <n v="1185732"/>
    <x v="277"/>
    <x v="4"/>
    <s v="Connecticut"/>
    <s v="Hartford"/>
    <s v="In-store"/>
    <x v="3"/>
    <n v="55.000000000000007"/>
    <n v="175"/>
    <n v="9625.0000000000018"/>
    <n v="6737.5000000000018"/>
  </r>
  <r>
    <x v="3"/>
    <n v="1185732"/>
    <x v="277"/>
    <x v="4"/>
    <s v="Connecticut"/>
    <s v="Hartford"/>
    <s v="In-store"/>
    <x v="5"/>
    <n v="55.000000000000007"/>
    <n v="150"/>
    <n v="8250.0000000000018"/>
    <n v="5775.0000000000018"/>
  </r>
  <r>
    <x v="3"/>
    <n v="1185732"/>
    <x v="277"/>
    <x v="4"/>
    <s v="Connecticut"/>
    <s v="Hartford"/>
    <s v="In-store"/>
    <x v="1"/>
    <n v="65"/>
    <n v="150"/>
    <n v="9750"/>
    <n v="6825"/>
  </r>
  <r>
    <x v="2"/>
    <n v="1185732"/>
    <x v="277"/>
    <x v="4"/>
    <s v="Connecticut"/>
    <s v="Hartford"/>
    <s v="In-store"/>
    <x v="2"/>
    <n v="70"/>
    <n v="275"/>
    <n v="19250"/>
    <n v="12512.5"/>
  </r>
  <r>
    <x v="3"/>
    <n v="1197831"/>
    <x v="277"/>
    <x v="2"/>
    <s v="Texas"/>
    <s v="Dallas"/>
    <s v="Outlet"/>
    <x v="0"/>
    <n v="40"/>
    <n v="625"/>
    <n v="25000"/>
    <n v="15000"/>
  </r>
  <r>
    <x v="3"/>
    <n v="1185732"/>
    <x v="277"/>
    <x v="4"/>
    <s v="Connecticut"/>
    <s v="Hartford"/>
    <s v="In-store"/>
    <x v="4"/>
    <n v="60"/>
    <n v="450"/>
    <n v="27000"/>
    <n v="16200"/>
  </r>
  <r>
    <x v="3"/>
    <n v="1185732"/>
    <x v="277"/>
    <x v="4"/>
    <s v="Connecticut"/>
    <s v="Hartford"/>
    <s v="In-store"/>
    <x v="0"/>
    <n v="55.000000000000007"/>
    <n v="275"/>
    <n v="15125.000000000002"/>
    <n v="9075.0000000000018"/>
  </r>
  <r>
    <x v="3"/>
    <n v="1197831"/>
    <x v="277"/>
    <x v="2"/>
    <s v="Alabama"/>
    <s v="Birmingham"/>
    <s v="Outlet"/>
    <x v="2"/>
    <n v="60"/>
    <n v="625"/>
    <n v="37500"/>
    <n v="13124.999999999995"/>
  </r>
  <r>
    <x v="3"/>
    <n v="1185732"/>
    <x v="277"/>
    <x v="4"/>
    <s v="Connecticut"/>
    <s v="Hartford"/>
    <s v="Outlet"/>
    <x v="1"/>
    <n v="50"/>
    <n v="45"/>
    <n v="2250"/>
    <n v="1507.5"/>
  </r>
  <r>
    <x v="3"/>
    <n v="1185732"/>
    <x v="277"/>
    <x v="4"/>
    <s v="Connecticut"/>
    <s v="Hartford"/>
    <s v="Outlet"/>
    <x v="5"/>
    <n v="43"/>
    <n v="45"/>
    <n v="1935"/>
    <n v="1238.4000000000001"/>
  </r>
  <r>
    <x v="3"/>
    <n v="1185732"/>
    <x v="277"/>
    <x v="4"/>
    <s v="Connecticut"/>
    <s v="Hartford"/>
    <s v="Outlet"/>
    <x v="3"/>
    <n v="36"/>
    <n v="61"/>
    <n v="2196"/>
    <n v="1383.48"/>
  </r>
  <r>
    <x v="3"/>
    <n v="1185732"/>
    <x v="277"/>
    <x v="4"/>
    <s v="Connecticut"/>
    <s v="Hartford"/>
    <s v="Online"/>
    <x v="5"/>
    <n v="50"/>
    <n v="38"/>
    <n v="1900"/>
    <n v="1140"/>
  </r>
  <r>
    <x v="2"/>
    <n v="1185732"/>
    <x v="277"/>
    <x v="4"/>
    <s v="Connecticut"/>
    <s v="Hartford"/>
    <s v="Outlet"/>
    <x v="2"/>
    <n v="46"/>
    <n v="94"/>
    <n v="4324"/>
    <n v="2507.92"/>
  </r>
  <r>
    <x v="3"/>
    <n v="1185732"/>
    <x v="277"/>
    <x v="4"/>
    <s v="Connecticut"/>
    <s v="Hartford"/>
    <s v="Online"/>
    <x v="1"/>
    <n v="64"/>
    <n v="42"/>
    <n v="2688"/>
    <n v="1559.04"/>
  </r>
  <r>
    <x v="3"/>
    <n v="1185732"/>
    <x v="277"/>
    <x v="4"/>
    <s v="Connecticut"/>
    <s v="Hartford"/>
    <s v="Outlet"/>
    <x v="4"/>
    <n v="46"/>
    <n v="153"/>
    <n v="7038"/>
    <n v="4082.0399999999995"/>
  </r>
  <r>
    <x v="3"/>
    <n v="1185732"/>
    <x v="277"/>
    <x v="4"/>
    <s v="Connecticut"/>
    <s v="Hartford"/>
    <s v="Online"/>
    <x v="3"/>
    <n v="53"/>
    <n v="49"/>
    <n v="2597"/>
    <n v="1480.29"/>
  </r>
  <r>
    <x v="3"/>
    <n v="1185732"/>
    <x v="277"/>
    <x v="4"/>
    <s v="Connecticut"/>
    <s v="Hartford"/>
    <s v="Outlet"/>
    <x v="0"/>
    <n v="39"/>
    <n v="94"/>
    <n v="3666"/>
    <n v="2052.96"/>
  </r>
  <r>
    <x v="3"/>
    <n v="1197831"/>
    <x v="277"/>
    <x v="2"/>
    <s v="Texas"/>
    <s v="Dallas"/>
    <s v="Outlet"/>
    <x v="0"/>
    <n v="29"/>
    <n v="219"/>
    <n v="6351"/>
    <n v="3366.03"/>
  </r>
  <r>
    <x v="3"/>
    <n v="1185732"/>
    <x v="277"/>
    <x v="4"/>
    <s v="Connecticut"/>
    <s v="Hartford"/>
    <s v="Online"/>
    <x v="0"/>
    <n v="52"/>
    <n v="72"/>
    <n v="3744"/>
    <n v="1872"/>
  </r>
  <r>
    <x v="2"/>
    <n v="1185732"/>
    <x v="277"/>
    <x v="4"/>
    <s v="Connecticut"/>
    <s v="Hartford"/>
    <s v="Online"/>
    <x v="2"/>
    <n v="63"/>
    <n v="74"/>
    <n v="4662"/>
    <n v="2331"/>
  </r>
  <r>
    <x v="3"/>
    <n v="1197831"/>
    <x v="277"/>
    <x v="2"/>
    <s v="Texas"/>
    <s v="Dallas"/>
    <s v="Online"/>
    <x v="0"/>
    <n v="38"/>
    <n v="169"/>
    <n v="6422"/>
    <n v="3146.7799999999997"/>
  </r>
  <r>
    <x v="3"/>
    <n v="1185732"/>
    <x v="277"/>
    <x v="4"/>
    <s v="Connecticut"/>
    <s v="Hartford"/>
    <s v="Online"/>
    <x v="4"/>
    <n v="59"/>
    <n v="113"/>
    <n v="6667"/>
    <n v="3000.1499999999996"/>
  </r>
  <r>
    <x v="3"/>
    <n v="1197831"/>
    <x v="277"/>
    <x v="2"/>
    <s v="Alabama"/>
    <s v="Birmingham"/>
    <s v="Outlet"/>
    <x v="2"/>
    <n v="45"/>
    <n v="188"/>
    <n v="8460"/>
    <n v="2622.5999999999985"/>
  </r>
  <r>
    <x v="3"/>
    <n v="1197831"/>
    <x v="277"/>
    <x v="2"/>
    <s v="Alabama"/>
    <s v="Birmingham"/>
    <s v="Online"/>
    <x v="2"/>
    <n v="56"/>
    <n v="188"/>
    <n v="10528"/>
    <n v="2210.8799999999992"/>
  </r>
  <r>
    <x v="2"/>
    <n v="1185732"/>
    <x v="278"/>
    <x v="1"/>
    <s v="Iowa"/>
    <s v="Des Moines"/>
    <s v="In-store"/>
    <x v="4"/>
    <n v="44.999999999999993"/>
    <n v="400"/>
    <n v="17999.999999999996"/>
    <n v="12599.999999999996"/>
  </r>
  <r>
    <x v="2"/>
    <n v="1185732"/>
    <x v="278"/>
    <x v="1"/>
    <s v="Iowa"/>
    <s v="Des Moines"/>
    <s v="In-store"/>
    <x v="3"/>
    <n v="35"/>
    <n v="150"/>
    <n v="5250"/>
    <n v="3675"/>
  </r>
  <r>
    <x v="2"/>
    <n v="1185732"/>
    <x v="278"/>
    <x v="1"/>
    <s v="Iowa"/>
    <s v="Des Moines"/>
    <s v="In-store"/>
    <x v="5"/>
    <n v="35"/>
    <n v="125"/>
    <n v="4375"/>
    <n v="3062.5"/>
  </r>
  <r>
    <x v="2"/>
    <n v="1185732"/>
    <x v="278"/>
    <x v="1"/>
    <s v="Iowa"/>
    <s v="Des Moines"/>
    <s v="In-store"/>
    <x v="0"/>
    <n v="35"/>
    <n v="250"/>
    <n v="8750"/>
    <n v="5687.5"/>
  </r>
  <r>
    <x v="3"/>
    <n v="1197831"/>
    <x v="278"/>
    <x v="2"/>
    <s v="Texas"/>
    <s v="Dallas"/>
    <s v="Outlet"/>
    <x v="3"/>
    <n v="45"/>
    <n v="575"/>
    <n v="25875"/>
    <n v="15525"/>
  </r>
  <r>
    <x v="0"/>
    <n v="1185732"/>
    <x v="278"/>
    <x v="1"/>
    <s v="Iowa"/>
    <s v="Des Moines"/>
    <s v="In-store"/>
    <x v="2"/>
    <n v="49.999999999999986"/>
    <n v="250"/>
    <n v="12499.999999999996"/>
    <n v="7499.9999999999973"/>
  </r>
  <r>
    <x v="3"/>
    <n v="1197831"/>
    <x v="278"/>
    <x v="2"/>
    <s v="Alabama"/>
    <s v="Birmingham"/>
    <s v="Outlet"/>
    <x v="4"/>
    <n v="60"/>
    <n v="775"/>
    <n v="46500"/>
    <n v="23250.000000000004"/>
  </r>
  <r>
    <x v="2"/>
    <n v="1185732"/>
    <x v="278"/>
    <x v="1"/>
    <s v="Iowa"/>
    <s v="Des Moines"/>
    <s v="In-store"/>
    <x v="1"/>
    <n v="44.999999999999993"/>
    <n v="125"/>
    <n v="5624.9999999999991"/>
    <n v="2812.4999999999995"/>
  </r>
  <r>
    <x v="2"/>
    <n v="1185732"/>
    <x v="278"/>
    <x v="1"/>
    <s v="Iowa"/>
    <s v="Des Moines"/>
    <s v="Online"/>
    <x v="4"/>
    <n v="43"/>
    <n v="112"/>
    <n v="4816"/>
    <n v="2841.44"/>
  </r>
  <r>
    <x v="2"/>
    <n v="1185732"/>
    <x v="278"/>
    <x v="1"/>
    <s v="Iowa"/>
    <s v="Des Moines"/>
    <s v="Online"/>
    <x v="3"/>
    <n v="34"/>
    <n v="39"/>
    <n v="1326"/>
    <n v="782.34"/>
  </r>
  <r>
    <x v="2"/>
    <n v="1185732"/>
    <x v="278"/>
    <x v="1"/>
    <s v="Iowa"/>
    <s v="Des Moines"/>
    <s v="Online"/>
    <x v="5"/>
    <n v="34"/>
    <n v="31"/>
    <n v="1054"/>
    <n v="611.31999999999994"/>
  </r>
  <r>
    <x v="3"/>
    <n v="1197831"/>
    <x v="278"/>
    <x v="2"/>
    <s v="Texas"/>
    <s v="Dallas"/>
    <s v="Outlet"/>
    <x v="3"/>
    <n v="32"/>
    <n v="190"/>
    <n v="6080"/>
    <n v="3404.8"/>
  </r>
  <r>
    <x v="2"/>
    <n v="1185732"/>
    <x v="278"/>
    <x v="1"/>
    <s v="Iowa"/>
    <s v="Des Moines"/>
    <s v="Online"/>
    <x v="0"/>
    <n v="32"/>
    <n v="75"/>
    <n v="2400"/>
    <n v="1296"/>
  </r>
  <r>
    <x v="3"/>
    <n v="1197831"/>
    <x v="278"/>
    <x v="2"/>
    <s v="Texas"/>
    <s v="Dallas"/>
    <s v="Online"/>
    <x v="3"/>
    <n v="41"/>
    <n v="144"/>
    <n v="5904"/>
    <n v="2833.92"/>
  </r>
  <r>
    <x v="0"/>
    <n v="1185732"/>
    <x v="278"/>
    <x v="1"/>
    <s v="Iowa"/>
    <s v="Des Moines"/>
    <s v="Online"/>
    <x v="2"/>
    <n v="49"/>
    <n v="73"/>
    <n v="3577"/>
    <n v="1681.1899999999998"/>
  </r>
  <r>
    <x v="3"/>
    <n v="1197831"/>
    <x v="278"/>
    <x v="2"/>
    <s v="Alabama"/>
    <s v="Birmingham"/>
    <s v="Outlet"/>
    <x v="4"/>
    <n v="46"/>
    <n v="240"/>
    <n v="11040"/>
    <n v="4857.6000000000004"/>
  </r>
  <r>
    <x v="3"/>
    <n v="1197831"/>
    <x v="278"/>
    <x v="2"/>
    <s v="Alabama"/>
    <s v="Birmingham"/>
    <s v="Online"/>
    <x v="4"/>
    <n v="56"/>
    <n v="233"/>
    <n v="13048"/>
    <n v="4827.760000000002"/>
  </r>
  <r>
    <x v="2"/>
    <n v="1185732"/>
    <x v="278"/>
    <x v="1"/>
    <s v="Iowa"/>
    <s v="Des Moines"/>
    <s v="Online"/>
    <x v="1"/>
    <n v="42"/>
    <n v="38"/>
    <n v="1596"/>
    <n v="574.55999999999995"/>
  </r>
  <r>
    <x v="2"/>
    <n v="1185732"/>
    <x v="279"/>
    <x v="3"/>
    <s v="South Carolina"/>
    <s v="Charleston"/>
    <s v="Online"/>
    <x v="3"/>
    <n v="45.000000000000014"/>
    <n v="675"/>
    <n v="30375.000000000011"/>
    <n v="22781.250000000007"/>
  </r>
  <r>
    <x v="2"/>
    <n v="1185732"/>
    <x v="279"/>
    <x v="3"/>
    <s v="South Carolina"/>
    <s v="Charleston"/>
    <s v="Online"/>
    <x v="5"/>
    <n v="45.000000000000014"/>
    <n v="650"/>
    <n v="29250.000000000011"/>
    <n v="20475.000000000007"/>
  </r>
  <r>
    <x v="2"/>
    <n v="1185732"/>
    <x v="279"/>
    <x v="3"/>
    <s v="South Carolina"/>
    <s v="Charleston"/>
    <s v="Online"/>
    <x v="1"/>
    <n v="55.000000000000007"/>
    <n v="650"/>
    <n v="35750.000000000007"/>
    <n v="23237.500000000007"/>
  </r>
  <r>
    <x v="2"/>
    <n v="1185732"/>
    <x v="279"/>
    <x v="3"/>
    <s v="South Carolina"/>
    <s v="Charleston"/>
    <s v="Online"/>
    <x v="0"/>
    <n v="45.000000000000014"/>
    <n v="800"/>
    <n v="36000.000000000015"/>
    <n v="23400.000000000007"/>
  </r>
  <r>
    <x v="2"/>
    <n v="1185732"/>
    <x v="279"/>
    <x v="3"/>
    <s v="South Carolina"/>
    <s v="Charleston"/>
    <s v="Online"/>
    <x v="4"/>
    <n v="55.000000000000007"/>
    <n v="975"/>
    <n v="53625.000000000007"/>
    <n v="29493.750000000007"/>
  </r>
  <r>
    <x v="3"/>
    <n v="1197831"/>
    <x v="279"/>
    <x v="2"/>
    <s v="Alabama"/>
    <s v="Birmingham"/>
    <s v="Outlet"/>
    <x v="0"/>
    <n v="60"/>
    <n v="775"/>
    <n v="46500"/>
    <n v="23250.000000000004"/>
  </r>
  <r>
    <x v="3"/>
    <n v="1197831"/>
    <x v="279"/>
    <x v="2"/>
    <s v="Texas"/>
    <s v="Dallas"/>
    <s v="Outlet"/>
    <x v="5"/>
    <n v="45"/>
    <n v="425"/>
    <n v="19125"/>
    <n v="9562.5"/>
  </r>
  <r>
    <x v="2"/>
    <n v="1185732"/>
    <x v="279"/>
    <x v="3"/>
    <s v="South Carolina"/>
    <s v="Charleston"/>
    <s v="Online"/>
    <x v="2"/>
    <n v="60"/>
    <n v="775"/>
    <n v="46500"/>
    <n v="23250"/>
  </r>
  <r>
    <x v="2"/>
    <n v="1185732"/>
    <x v="279"/>
    <x v="3"/>
    <s v="South Carolina"/>
    <s v="Charleston"/>
    <s v="Online"/>
    <x v="3"/>
    <n v="41"/>
    <n v="176"/>
    <n v="7216"/>
    <n v="4401.76"/>
  </r>
  <r>
    <x v="2"/>
    <n v="1185732"/>
    <x v="279"/>
    <x v="3"/>
    <s v="South Carolina"/>
    <s v="Charleston"/>
    <s v="Online"/>
    <x v="5"/>
    <n v="41"/>
    <n v="176"/>
    <n v="7216"/>
    <n v="4329.6000000000004"/>
  </r>
  <r>
    <x v="2"/>
    <n v="1185732"/>
    <x v="279"/>
    <x v="3"/>
    <s v="South Carolina"/>
    <s v="Charleston"/>
    <s v="Online"/>
    <x v="1"/>
    <n v="52"/>
    <n v="189"/>
    <n v="9828"/>
    <n v="5110.5600000000004"/>
  </r>
  <r>
    <x v="2"/>
    <n v="1185732"/>
    <x v="279"/>
    <x v="3"/>
    <s v="South Carolina"/>
    <s v="Charleston"/>
    <s v="Online"/>
    <x v="0"/>
    <n v="42"/>
    <n v="208"/>
    <n v="8736"/>
    <n v="4368"/>
  </r>
  <r>
    <x v="3"/>
    <n v="1197831"/>
    <x v="279"/>
    <x v="2"/>
    <s v="Alabama"/>
    <s v="Birmingham"/>
    <s v="Outlet"/>
    <x v="0"/>
    <n v="40"/>
    <n v="248"/>
    <n v="9920"/>
    <n v="4662.4000000000005"/>
  </r>
  <r>
    <x v="3"/>
    <n v="1197831"/>
    <x v="279"/>
    <x v="2"/>
    <s v="Texas"/>
    <s v="Dallas"/>
    <s v="Outlet"/>
    <x v="5"/>
    <n v="30"/>
    <n v="145"/>
    <n v="4350"/>
    <n v="2001"/>
  </r>
  <r>
    <x v="3"/>
    <n v="1197831"/>
    <x v="279"/>
    <x v="2"/>
    <s v="Texas"/>
    <s v="Dallas"/>
    <s v="Online"/>
    <x v="5"/>
    <n v="41"/>
    <n v="111"/>
    <n v="4551"/>
    <n v="1820.4"/>
  </r>
  <r>
    <x v="2"/>
    <n v="1185732"/>
    <x v="279"/>
    <x v="3"/>
    <s v="South Carolina"/>
    <s v="Charleston"/>
    <s v="Online"/>
    <x v="4"/>
    <n v="50"/>
    <n v="244"/>
    <n v="12200"/>
    <n v="4880"/>
  </r>
  <r>
    <x v="3"/>
    <n v="1197831"/>
    <x v="279"/>
    <x v="2"/>
    <s v="Alabama"/>
    <s v="Birmingham"/>
    <s v="Online"/>
    <x v="0"/>
    <n v="58"/>
    <n v="225"/>
    <n v="13050"/>
    <n v="4698.0000000000018"/>
  </r>
  <r>
    <x v="2"/>
    <n v="1185732"/>
    <x v="279"/>
    <x v="3"/>
    <s v="South Carolina"/>
    <s v="Charleston"/>
    <s v="Online"/>
    <x v="2"/>
    <n v="56"/>
    <n v="225"/>
    <n v="12600"/>
    <n v="4410"/>
  </r>
  <r>
    <x v="1"/>
    <n v="1185732"/>
    <x v="280"/>
    <x v="4"/>
    <s v="New Jersey"/>
    <s v="Newark"/>
    <s v="In-store"/>
    <x v="1"/>
    <n v="60"/>
    <n v="125"/>
    <n v="7500"/>
    <n v="5250"/>
  </r>
  <r>
    <x v="2"/>
    <n v="1185732"/>
    <x v="280"/>
    <x v="4"/>
    <s v="Rhode Island"/>
    <s v="Providence"/>
    <s v="In-store"/>
    <x v="1"/>
    <n v="60"/>
    <n v="75"/>
    <n v="4500"/>
    <n v="3150"/>
  </r>
  <r>
    <x v="1"/>
    <n v="1185732"/>
    <x v="280"/>
    <x v="4"/>
    <s v="New Jersey"/>
    <s v="Newark"/>
    <s v="In-store"/>
    <x v="4"/>
    <n v="54.999999999999993"/>
    <n v="425"/>
    <n v="23374.999999999996"/>
    <n v="15193.75"/>
  </r>
  <r>
    <x v="2"/>
    <n v="1185732"/>
    <x v="280"/>
    <x v="4"/>
    <s v="Rhode Island"/>
    <s v="Providence"/>
    <s v="In-store"/>
    <x v="4"/>
    <n v="54.999999999999993"/>
    <n v="375"/>
    <n v="20624.999999999996"/>
    <n v="13406.25"/>
  </r>
  <r>
    <x v="3"/>
    <n v="1197831"/>
    <x v="280"/>
    <x v="2"/>
    <s v="Texas"/>
    <s v="Dallas"/>
    <s v="Outlet"/>
    <x v="1"/>
    <n v="40"/>
    <n v="400"/>
    <n v="16000"/>
    <n v="10400"/>
  </r>
  <r>
    <x v="1"/>
    <n v="1185732"/>
    <x v="280"/>
    <x v="4"/>
    <s v="New Jersey"/>
    <s v="Newark"/>
    <s v="In-store"/>
    <x v="0"/>
    <n v="50"/>
    <n v="250"/>
    <n v="12500"/>
    <n v="8125"/>
  </r>
  <r>
    <x v="2"/>
    <n v="1185732"/>
    <x v="280"/>
    <x v="4"/>
    <s v="Rhode Island"/>
    <s v="Providence"/>
    <s v="In-store"/>
    <x v="0"/>
    <n v="50"/>
    <n v="200"/>
    <n v="10000"/>
    <n v="6500"/>
  </r>
  <r>
    <x v="1"/>
    <n v="1185732"/>
    <x v="280"/>
    <x v="4"/>
    <s v="New Jersey"/>
    <s v="Newark"/>
    <s v="In-store"/>
    <x v="3"/>
    <n v="50"/>
    <n v="150"/>
    <n v="7500"/>
    <n v="4500"/>
  </r>
  <r>
    <x v="1"/>
    <n v="1185732"/>
    <x v="280"/>
    <x v="4"/>
    <s v="New Jersey"/>
    <s v="Newark"/>
    <s v="In-store"/>
    <x v="5"/>
    <n v="50"/>
    <n v="125"/>
    <n v="6250"/>
    <n v="3750"/>
  </r>
  <r>
    <x v="2"/>
    <n v="1185732"/>
    <x v="280"/>
    <x v="4"/>
    <s v="Rhode Island"/>
    <s v="Providence"/>
    <s v="In-store"/>
    <x v="3"/>
    <n v="50"/>
    <n v="100"/>
    <n v="5000"/>
    <n v="3000"/>
  </r>
  <r>
    <x v="2"/>
    <n v="1185732"/>
    <x v="280"/>
    <x v="4"/>
    <s v="Rhode Island"/>
    <s v="Providence"/>
    <s v="In-store"/>
    <x v="5"/>
    <n v="50"/>
    <n v="75"/>
    <n v="3750"/>
    <n v="2250"/>
  </r>
  <r>
    <x v="3"/>
    <n v="1185732"/>
    <x v="280"/>
    <x v="4"/>
    <s v="New Jersey"/>
    <s v="Newark"/>
    <s v="In-store"/>
    <x v="2"/>
    <n v="64.999999999999986"/>
    <n v="250"/>
    <n v="16249.999999999996"/>
    <n v="9749.9999999999964"/>
  </r>
  <r>
    <x v="3"/>
    <n v="1185732"/>
    <x v="280"/>
    <x v="4"/>
    <s v="Rhode Island"/>
    <s v="Providence"/>
    <s v="In-store"/>
    <x v="2"/>
    <n v="64.999999999999986"/>
    <n v="200"/>
    <n v="12999.999999999996"/>
    <n v="7799.9999999999973"/>
  </r>
  <r>
    <x v="3"/>
    <n v="1197831"/>
    <x v="280"/>
    <x v="2"/>
    <s v="Alabama"/>
    <s v="Birmingham"/>
    <s v="Outlet"/>
    <x v="3"/>
    <n v="65"/>
    <n v="700"/>
    <n v="45500"/>
    <n v="22750.000000000004"/>
  </r>
  <r>
    <x v="2"/>
    <n v="1185732"/>
    <x v="280"/>
    <x v="4"/>
    <s v="Rhode Island"/>
    <s v="Providence"/>
    <s v="Outlet"/>
    <x v="1"/>
    <n v="40"/>
    <n v="23"/>
    <n v="920"/>
    <n v="616.40000000000009"/>
  </r>
  <r>
    <x v="2"/>
    <n v="1185732"/>
    <x v="280"/>
    <x v="4"/>
    <s v="Rhode Island"/>
    <s v="Providence"/>
    <s v="Outlet"/>
    <x v="0"/>
    <n v="38"/>
    <n v="68"/>
    <n v="2584"/>
    <n v="1602.08"/>
  </r>
  <r>
    <x v="2"/>
    <n v="1185732"/>
    <x v="280"/>
    <x v="4"/>
    <s v="Rhode Island"/>
    <s v="Providence"/>
    <s v="Online"/>
    <x v="1"/>
    <n v="55"/>
    <n v="19"/>
    <n v="1045"/>
    <n v="627"/>
  </r>
  <r>
    <x v="3"/>
    <n v="1197831"/>
    <x v="280"/>
    <x v="2"/>
    <s v="Texas"/>
    <s v="Dallas"/>
    <s v="Outlet"/>
    <x v="1"/>
    <n v="30"/>
    <n v="128"/>
    <n v="3840"/>
    <n v="2304"/>
  </r>
  <r>
    <x v="1"/>
    <n v="1185732"/>
    <x v="280"/>
    <x v="4"/>
    <s v="New Jersey"/>
    <s v="Newark"/>
    <s v="Online"/>
    <x v="1"/>
    <n v="58"/>
    <n v="38"/>
    <n v="2204"/>
    <n v="1300.3600000000001"/>
  </r>
  <r>
    <x v="2"/>
    <n v="1185732"/>
    <x v="280"/>
    <x v="4"/>
    <s v="Rhode Island"/>
    <s v="Providence"/>
    <s v="Outlet"/>
    <x v="4"/>
    <n v="37"/>
    <n v="113"/>
    <n v="4181"/>
    <n v="2466.79"/>
  </r>
  <r>
    <x v="2"/>
    <n v="1185732"/>
    <x v="280"/>
    <x v="4"/>
    <s v="Rhode Island"/>
    <s v="Providence"/>
    <s v="Outlet"/>
    <x v="3"/>
    <n v="40"/>
    <n v="30"/>
    <n v="1200"/>
    <n v="672"/>
  </r>
  <r>
    <x v="3"/>
    <n v="1185732"/>
    <x v="280"/>
    <x v="4"/>
    <s v="Rhode Island"/>
    <s v="Providence"/>
    <s v="Outlet"/>
    <x v="2"/>
    <n v="47"/>
    <n v="66"/>
    <n v="3102"/>
    <n v="1737.12"/>
  </r>
  <r>
    <x v="3"/>
    <n v="1197831"/>
    <x v="280"/>
    <x v="2"/>
    <s v="Texas"/>
    <s v="Dallas"/>
    <s v="Online"/>
    <x v="1"/>
    <n v="36"/>
    <n v="100"/>
    <n v="3600"/>
    <n v="1980.0000000000002"/>
  </r>
  <r>
    <x v="2"/>
    <n v="1185732"/>
    <x v="280"/>
    <x v="4"/>
    <s v="Rhode Island"/>
    <s v="Providence"/>
    <s v="Outlet"/>
    <x v="5"/>
    <n v="39"/>
    <n v="23"/>
    <n v="897"/>
    <n v="493.34999999999997"/>
  </r>
  <r>
    <x v="1"/>
    <n v="1185732"/>
    <x v="280"/>
    <x v="4"/>
    <s v="New Jersey"/>
    <s v="Newark"/>
    <s v="Online"/>
    <x v="4"/>
    <n v="53"/>
    <n v="119"/>
    <n v="6307"/>
    <n v="3405.78"/>
  </r>
  <r>
    <x v="2"/>
    <n v="1185732"/>
    <x v="280"/>
    <x v="4"/>
    <s v="Rhode Island"/>
    <s v="Providence"/>
    <s v="Online"/>
    <x v="0"/>
    <n v="46"/>
    <n v="56"/>
    <n v="2576"/>
    <n v="1313.76"/>
  </r>
  <r>
    <x v="1"/>
    <n v="1185732"/>
    <x v="280"/>
    <x v="4"/>
    <s v="New Jersey"/>
    <s v="Newark"/>
    <s v="Online"/>
    <x v="0"/>
    <n v="48"/>
    <n v="63"/>
    <n v="3024"/>
    <n v="1512"/>
  </r>
  <r>
    <x v="1"/>
    <n v="1185732"/>
    <x v="280"/>
    <x v="4"/>
    <s v="New Jersey"/>
    <s v="Newark"/>
    <s v="Online"/>
    <x v="3"/>
    <n v="46"/>
    <n v="42"/>
    <n v="1932"/>
    <n v="966"/>
  </r>
  <r>
    <x v="2"/>
    <n v="1185732"/>
    <x v="280"/>
    <x v="4"/>
    <s v="Rhode Island"/>
    <s v="Providence"/>
    <s v="Online"/>
    <x v="4"/>
    <n v="53"/>
    <n v="94"/>
    <n v="4982"/>
    <n v="2491"/>
  </r>
  <r>
    <x v="2"/>
    <n v="1185732"/>
    <x v="280"/>
    <x v="4"/>
    <s v="Rhode Island"/>
    <s v="Providence"/>
    <s v="Online"/>
    <x v="5"/>
    <n v="47"/>
    <n v="23"/>
    <n v="1081"/>
    <n v="540.5"/>
  </r>
  <r>
    <x v="3"/>
    <n v="1185732"/>
    <x v="280"/>
    <x v="4"/>
    <s v="Rhode Island"/>
    <s v="Providence"/>
    <s v="Online"/>
    <x v="2"/>
    <n v="64"/>
    <n v="58"/>
    <n v="3712"/>
    <n v="1818.8799999999999"/>
  </r>
  <r>
    <x v="1"/>
    <n v="1185732"/>
    <x v="280"/>
    <x v="4"/>
    <s v="New Jersey"/>
    <s v="Newark"/>
    <s v="Online"/>
    <x v="5"/>
    <n v="48"/>
    <n v="31"/>
    <n v="1488"/>
    <n v="714.24"/>
  </r>
  <r>
    <x v="2"/>
    <n v="1185732"/>
    <x v="280"/>
    <x v="4"/>
    <s v="Rhode Island"/>
    <s v="Providence"/>
    <s v="Online"/>
    <x v="3"/>
    <n v="45"/>
    <n v="29"/>
    <n v="1305"/>
    <n v="626.4"/>
  </r>
  <r>
    <x v="3"/>
    <n v="1185732"/>
    <x v="280"/>
    <x v="4"/>
    <s v="New Jersey"/>
    <s v="Newark"/>
    <s v="Online"/>
    <x v="2"/>
    <n v="62"/>
    <n v="68"/>
    <n v="4216"/>
    <n v="1981.52"/>
  </r>
  <r>
    <x v="3"/>
    <n v="1197831"/>
    <x v="280"/>
    <x v="2"/>
    <s v="Alabama"/>
    <s v="Birmingham"/>
    <s v="Outlet"/>
    <x v="3"/>
    <n v="47"/>
    <n v="217"/>
    <n v="10199"/>
    <n v="4691.5400000000009"/>
  </r>
  <r>
    <x v="3"/>
    <n v="1197831"/>
    <x v="280"/>
    <x v="2"/>
    <s v="Alabama"/>
    <s v="Birmingham"/>
    <s v="Online"/>
    <x v="3"/>
    <n v="64"/>
    <n v="175"/>
    <n v="11200"/>
    <n v="4256.0000000000009"/>
  </r>
  <r>
    <x v="3"/>
    <n v="1185732"/>
    <x v="281"/>
    <x v="1"/>
    <s v="North Dakota"/>
    <s v="Fargo"/>
    <s v="In-store"/>
    <x v="0"/>
    <n v="40"/>
    <n v="250"/>
    <n v="10000"/>
    <n v="7000"/>
  </r>
  <r>
    <x v="3"/>
    <n v="1185732"/>
    <x v="281"/>
    <x v="1"/>
    <s v="North Dakota"/>
    <s v="Fargo"/>
    <s v="In-store"/>
    <x v="3"/>
    <n v="40"/>
    <n v="150"/>
    <n v="6000"/>
    <n v="4200"/>
  </r>
  <r>
    <x v="3"/>
    <n v="1185732"/>
    <x v="281"/>
    <x v="1"/>
    <s v="North Dakota"/>
    <s v="Fargo"/>
    <s v="In-store"/>
    <x v="5"/>
    <n v="40"/>
    <n v="125"/>
    <n v="5000"/>
    <n v="3500"/>
  </r>
  <r>
    <x v="3"/>
    <n v="1185732"/>
    <x v="281"/>
    <x v="1"/>
    <s v="North Dakota"/>
    <s v="Fargo"/>
    <s v="In-store"/>
    <x v="1"/>
    <n v="49.999999999999993"/>
    <n v="125"/>
    <n v="6249.9999999999991"/>
    <n v="4062.5"/>
  </r>
  <r>
    <x v="3"/>
    <n v="1185732"/>
    <x v="281"/>
    <x v="1"/>
    <s v="North Dakota"/>
    <s v="Fargo"/>
    <s v="In-store"/>
    <x v="4"/>
    <n v="49.999999999999993"/>
    <n v="400"/>
    <n v="19999.999999999996"/>
    <n v="12999.999999999998"/>
  </r>
  <r>
    <x v="2"/>
    <n v="1185732"/>
    <x v="281"/>
    <x v="1"/>
    <s v="North Dakota"/>
    <s v="Fargo"/>
    <s v="In-store"/>
    <x v="2"/>
    <n v="54.999999999999986"/>
    <n v="250"/>
    <n v="13749.999999999996"/>
    <n v="8249.9999999999964"/>
  </r>
  <r>
    <x v="3"/>
    <n v="1197831"/>
    <x v="281"/>
    <x v="2"/>
    <s v="Texas"/>
    <s v="Dallas"/>
    <s v="Outlet"/>
    <x v="2"/>
    <n v="50"/>
    <n v="575"/>
    <n v="28750"/>
    <n v="12937.5"/>
  </r>
  <r>
    <x v="3"/>
    <n v="1197831"/>
    <x v="281"/>
    <x v="2"/>
    <s v="Alabama"/>
    <s v="Birmingham"/>
    <s v="Outlet"/>
    <x v="5"/>
    <n v="65"/>
    <n v="550"/>
    <n v="35750"/>
    <n v="14299.999999999996"/>
  </r>
  <r>
    <x v="3"/>
    <n v="1185732"/>
    <x v="281"/>
    <x v="1"/>
    <s v="North Dakota"/>
    <s v="Fargo"/>
    <s v="Online"/>
    <x v="5"/>
    <n v="38"/>
    <n v="33"/>
    <n v="1254"/>
    <n v="752.4"/>
  </r>
  <r>
    <x v="3"/>
    <n v="1185732"/>
    <x v="281"/>
    <x v="1"/>
    <s v="North Dakota"/>
    <s v="Fargo"/>
    <s v="Online"/>
    <x v="0"/>
    <n v="36"/>
    <n v="73"/>
    <n v="2628"/>
    <n v="1550.52"/>
  </r>
  <r>
    <x v="3"/>
    <n v="1185732"/>
    <x v="281"/>
    <x v="1"/>
    <s v="North Dakota"/>
    <s v="Fargo"/>
    <s v="Online"/>
    <x v="3"/>
    <n v="39"/>
    <n v="39"/>
    <n v="1521"/>
    <n v="851.76"/>
  </r>
  <r>
    <x v="3"/>
    <n v="1185732"/>
    <x v="281"/>
    <x v="1"/>
    <s v="North Dakota"/>
    <s v="Fargo"/>
    <s v="Online"/>
    <x v="1"/>
    <n v="45"/>
    <n v="34"/>
    <n v="1530"/>
    <n v="810.90000000000009"/>
  </r>
  <r>
    <x v="3"/>
    <n v="1185732"/>
    <x v="281"/>
    <x v="1"/>
    <s v="North Dakota"/>
    <s v="Fargo"/>
    <s v="Online"/>
    <x v="4"/>
    <n v="49"/>
    <n v="116"/>
    <n v="5684"/>
    <n v="3012.52"/>
  </r>
  <r>
    <x v="2"/>
    <n v="1185732"/>
    <x v="281"/>
    <x v="1"/>
    <s v="North Dakota"/>
    <s v="Fargo"/>
    <s v="Online"/>
    <x v="2"/>
    <n v="53"/>
    <n v="73"/>
    <n v="3869"/>
    <n v="1818.4299999999998"/>
  </r>
  <r>
    <x v="3"/>
    <n v="1197831"/>
    <x v="281"/>
    <x v="2"/>
    <s v="Texas"/>
    <s v="Dallas"/>
    <s v="Outlet"/>
    <x v="2"/>
    <n v="39"/>
    <n v="190"/>
    <n v="7410"/>
    <n v="3112.2"/>
  </r>
  <r>
    <x v="3"/>
    <n v="1197831"/>
    <x v="281"/>
    <x v="2"/>
    <s v="Alabama"/>
    <s v="Birmingham"/>
    <s v="Outlet"/>
    <x v="5"/>
    <n v="52"/>
    <n v="193"/>
    <n v="10036"/>
    <n v="3713.3199999999988"/>
  </r>
  <r>
    <x v="3"/>
    <n v="1197831"/>
    <x v="281"/>
    <x v="2"/>
    <s v="Texas"/>
    <s v="Dallas"/>
    <s v="Online"/>
    <x v="2"/>
    <n v="45"/>
    <n v="161"/>
    <n v="7245"/>
    <n v="2173.4999999999991"/>
  </r>
  <r>
    <x v="3"/>
    <n v="1197831"/>
    <x v="281"/>
    <x v="2"/>
    <s v="Alabama"/>
    <s v="Birmingham"/>
    <s v="Online"/>
    <x v="5"/>
    <n v="63"/>
    <n v="143"/>
    <n v="9009"/>
    <n v="2252.2499999999991"/>
  </r>
  <r>
    <x v="5"/>
    <n v="1128299"/>
    <x v="282"/>
    <x v="0"/>
    <s v="Hawaii"/>
    <s v="Honolulu"/>
    <s v="Outlet"/>
    <x v="1"/>
    <n v="65"/>
    <n v="250"/>
    <n v="16250"/>
    <n v="13812.5"/>
  </r>
  <r>
    <x v="5"/>
    <n v="1128299"/>
    <x v="282"/>
    <x v="0"/>
    <s v="Hawaii"/>
    <s v="Honolulu"/>
    <s v="Outlet"/>
    <x v="0"/>
    <n v="65.000000000000014"/>
    <n v="475"/>
    <n v="30875.000000000007"/>
    <n v="24700.000000000007"/>
  </r>
  <r>
    <x v="5"/>
    <n v="1128299"/>
    <x v="282"/>
    <x v="0"/>
    <s v="Hawaii"/>
    <s v="Honolulu"/>
    <s v="Outlet"/>
    <x v="5"/>
    <n v="55.000000000000007"/>
    <n v="275"/>
    <n v="15125.000000000002"/>
    <n v="11343.750000000004"/>
  </r>
  <r>
    <x v="5"/>
    <n v="1128299"/>
    <x v="282"/>
    <x v="0"/>
    <s v="Hawaii"/>
    <s v="Honolulu"/>
    <s v="Outlet"/>
    <x v="4"/>
    <n v="55.000000000000007"/>
    <n v="475"/>
    <n v="26125.000000000004"/>
    <n v="19593.750000000004"/>
  </r>
  <r>
    <x v="5"/>
    <n v="1128299"/>
    <x v="282"/>
    <x v="0"/>
    <s v="Hawaii"/>
    <s v="Honolulu"/>
    <s v="Outlet"/>
    <x v="3"/>
    <n v="60.000000000000007"/>
    <n v="300"/>
    <n v="18000.000000000004"/>
    <n v="13500.000000000004"/>
  </r>
  <r>
    <x v="0"/>
    <n v="1185732"/>
    <x v="282"/>
    <x v="4"/>
    <s v="New York"/>
    <s v="Albany"/>
    <s v="In-store"/>
    <x v="3"/>
    <n v="50.000000000000014"/>
    <n v="525"/>
    <n v="26250.000000000007"/>
    <n v="19687.500000000007"/>
  </r>
  <r>
    <x v="0"/>
    <n v="1185732"/>
    <x v="282"/>
    <x v="4"/>
    <s v="New York"/>
    <s v="Albany"/>
    <s v="In-store"/>
    <x v="5"/>
    <n v="50.000000000000014"/>
    <n v="500"/>
    <n v="25000.000000000007"/>
    <n v="17500.000000000007"/>
  </r>
  <r>
    <x v="0"/>
    <n v="1185732"/>
    <x v="282"/>
    <x v="1"/>
    <s v="Indiana"/>
    <s v="Indianapolis"/>
    <s v="In-store"/>
    <x v="1"/>
    <n v="44.999999999999993"/>
    <n v="150"/>
    <n v="6749.9999999999991"/>
    <n v="4724.9999999999982"/>
  </r>
  <r>
    <x v="0"/>
    <n v="1185732"/>
    <x v="282"/>
    <x v="4"/>
    <s v="New York"/>
    <s v="Albany"/>
    <s v="In-store"/>
    <x v="0"/>
    <n v="50.000000000000014"/>
    <n v="625"/>
    <n v="31250.000000000007"/>
    <n v="20312.500000000007"/>
  </r>
  <r>
    <x v="0"/>
    <n v="1185732"/>
    <x v="282"/>
    <x v="4"/>
    <s v="New York"/>
    <s v="Albany"/>
    <s v="In-store"/>
    <x v="1"/>
    <n v="60.000000000000007"/>
    <n v="500"/>
    <n v="30000.000000000004"/>
    <n v="19500.000000000007"/>
  </r>
  <r>
    <x v="0"/>
    <n v="1185732"/>
    <x v="282"/>
    <x v="1"/>
    <s v="Indiana"/>
    <s v="Indianapolis"/>
    <s v="In-store"/>
    <x v="3"/>
    <n v="35"/>
    <n v="150"/>
    <n v="5250"/>
    <n v="3412.5"/>
  </r>
  <r>
    <x v="0"/>
    <n v="1185732"/>
    <x v="282"/>
    <x v="1"/>
    <s v="Indiana"/>
    <s v="Indianapolis"/>
    <s v="In-store"/>
    <x v="5"/>
    <n v="35"/>
    <n v="150"/>
    <n v="5250"/>
    <n v="3412.5"/>
  </r>
  <r>
    <x v="3"/>
    <n v="1197831"/>
    <x v="282"/>
    <x v="2"/>
    <s v="Texas"/>
    <s v="Dallas"/>
    <s v="Outlet"/>
    <x v="4"/>
    <n v="40"/>
    <n v="725"/>
    <n v="29000"/>
    <n v="17400"/>
  </r>
  <r>
    <x v="5"/>
    <n v="1128299"/>
    <x v="282"/>
    <x v="0"/>
    <s v="Hawaii"/>
    <s v="Honolulu"/>
    <s v="Outlet"/>
    <x v="2"/>
    <n v="70"/>
    <n v="300"/>
    <n v="21000"/>
    <n v="12600"/>
  </r>
  <r>
    <x v="0"/>
    <n v="1185732"/>
    <x v="282"/>
    <x v="1"/>
    <s v="Indiana"/>
    <s v="Indianapolis"/>
    <s v="In-store"/>
    <x v="4"/>
    <n v="44.999999999999993"/>
    <n v="400"/>
    <n v="17999.999999999996"/>
    <n v="10799.999999999998"/>
  </r>
  <r>
    <x v="0"/>
    <n v="1185732"/>
    <x v="282"/>
    <x v="1"/>
    <s v="Indiana"/>
    <s v="Indianapolis"/>
    <s v="In-store"/>
    <x v="0"/>
    <n v="35"/>
    <n v="250"/>
    <n v="8750"/>
    <n v="5250"/>
  </r>
  <r>
    <x v="0"/>
    <n v="1185732"/>
    <x v="282"/>
    <x v="1"/>
    <s v="Indiana"/>
    <s v="Indianapolis"/>
    <s v="In-store"/>
    <x v="2"/>
    <n v="49.999999999999986"/>
    <n v="275"/>
    <n v="13749.999999999996"/>
    <n v="8249.9999999999964"/>
  </r>
  <r>
    <x v="3"/>
    <n v="1197831"/>
    <x v="282"/>
    <x v="2"/>
    <s v="Alabama"/>
    <s v="Birmingham"/>
    <s v="Outlet"/>
    <x v="1"/>
    <n v="60"/>
    <n v="500"/>
    <n v="30000"/>
    <n v="16500"/>
  </r>
  <r>
    <x v="0"/>
    <n v="1185732"/>
    <x v="282"/>
    <x v="4"/>
    <s v="New York"/>
    <s v="Albany"/>
    <s v="In-store"/>
    <x v="4"/>
    <n v="60.000000000000007"/>
    <n v="800"/>
    <n v="48000.000000000007"/>
    <n v="26400"/>
  </r>
  <r>
    <x v="0"/>
    <n v="1185732"/>
    <x v="282"/>
    <x v="4"/>
    <s v="New York"/>
    <s v="Albany"/>
    <s v="In-store"/>
    <x v="2"/>
    <n v="65"/>
    <n v="625"/>
    <n v="40625"/>
    <n v="20312.5"/>
  </r>
  <r>
    <x v="5"/>
    <n v="1128299"/>
    <x v="282"/>
    <x v="0"/>
    <s v="Hawaii"/>
    <s v="Honolulu"/>
    <s v="Online"/>
    <x v="1"/>
    <n v="63"/>
    <n v="70"/>
    <n v="4410"/>
    <n v="3175.2"/>
  </r>
  <r>
    <x v="5"/>
    <n v="1128299"/>
    <x v="282"/>
    <x v="0"/>
    <s v="Hawaii"/>
    <s v="Honolulu"/>
    <s v="Online"/>
    <x v="0"/>
    <n v="61"/>
    <n v="138"/>
    <n v="8418"/>
    <n v="5892.5999999999995"/>
  </r>
  <r>
    <x v="5"/>
    <n v="1128299"/>
    <x v="282"/>
    <x v="0"/>
    <s v="Hawaii"/>
    <s v="Honolulu"/>
    <s v="Online"/>
    <x v="3"/>
    <n v="56"/>
    <n v="87"/>
    <n v="4872"/>
    <n v="3166.8"/>
  </r>
  <r>
    <x v="5"/>
    <n v="1128299"/>
    <x v="282"/>
    <x v="0"/>
    <s v="Hawaii"/>
    <s v="Honolulu"/>
    <s v="Online"/>
    <x v="5"/>
    <n v="50"/>
    <n v="83"/>
    <n v="4150"/>
    <n v="2614.5"/>
  </r>
  <r>
    <x v="5"/>
    <n v="1128299"/>
    <x v="282"/>
    <x v="0"/>
    <s v="Hawaii"/>
    <s v="Honolulu"/>
    <s v="Online"/>
    <x v="4"/>
    <n v="52"/>
    <n v="124"/>
    <n v="6448"/>
    <n v="3868.7999999999997"/>
  </r>
  <r>
    <x v="0"/>
    <n v="1185732"/>
    <x v="282"/>
    <x v="4"/>
    <s v="New York"/>
    <s v="Albany"/>
    <s v="Online"/>
    <x v="3"/>
    <n v="46"/>
    <n v="137"/>
    <n v="6302"/>
    <n v="3781.2"/>
  </r>
  <r>
    <x v="0"/>
    <n v="1185732"/>
    <x v="282"/>
    <x v="4"/>
    <s v="New York"/>
    <s v="Albany"/>
    <s v="Online"/>
    <x v="5"/>
    <n v="45"/>
    <n v="135"/>
    <n v="6075"/>
    <n v="3584.25"/>
  </r>
  <r>
    <x v="3"/>
    <n v="1197831"/>
    <x v="282"/>
    <x v="2"/>
    <s v="Texas"/>
    <s v="Dallas"/>
    <s v="Outlet"/>
    <x v="4"/>
    <n v="31"/>
    <n v="225"/>
    <n v="6975"/>
    <n v="3975.7500000000005"/>
  </r>
  <r>
    <x v="0"/>
    <n v="1185732"/>
    <x v="282"/>
    <x v="1"/>
    <s v="Indiana"/>
    <s v="Indianapolis"/>
    <s v="Online"/>
    <x v="1"/>
    <n v="41"/>
    <n v="38"/>
    <n v="1558"/>
    <n v="872.48"/>
  </r>
  <r>
    <x v="0"/>
    <n v="1185732"/>
    <x v="282"/>
    <x v="4"/>
    <s v="New York"/>
    <s v="Albany"/>
    <s v="Online"/>
    <x v="0"/>
    <n v="46"/>
    <n v="156"/>
    <n v="7176"/>
    <n v="3875.0400000000004"/>
  </r>
  <r>
    <x v="0"/>
    <n v="1185732"/>
    <x v="282"/>
    <x v="1"/>
    <s v="Indiana"/>
    <s v="Indianapolis"/>
    <s v="Online"/>
    <x v="5"/>
    <n v="33"/>
    <n v="44"/>
    <n v="1452"/>
    <n v="784.08"/>
  </r>
  <r>
    <x v="0"/>
    <n v="1185732"/>
    <x v="282"/>
    <x v="4"/>
    <s v="New York"/>
    <s v="Albany"/>
    <s v="Online"/>
    <x v="1"/>
    <n v="59"/>
    <n v="150"/>
    <n v="8850"/>
    <n v="4690.5"/>
  </r>
  <r>
    <x v="0"/>
    <n v="1185732"/>
    <x v="282"/>
    <x v="1"/>
    <s v="Indiana"/>
    <s v="Indianapolis"/>
    <s v="Online"/>
    <x v="3"/>
    <n v="32"/>
    <n v="38"/>
    <n v="1216"/>
    <n v="644.48"/>
  </r>
  <r>
    <x v="3"/>
    <n v="1197831"/>
    <x v="282"/>
    <x v="2"/>
    <s v="Alabama"/>
    <s v="Birmingham"/>
    <s v="Outlet"/>
    <x v="1"/>
    <n v="40"/>
    <n v="155"/>
    <n v="6200"/>
    <n v="3286"/>
  </r>
  <r>
    <x v="5"/>
    <n v="1128299"/>
    <x v="282"/>
    <x v="0"/>
    <s v="Hawaii"/>
    <s v="Honolulu"/>
    <s v="Online"/>
    <x v="2"/>
    <n v="64"/>
    <n v="75"/>
    <n v="4800"/>
    <n v="2352"/>
  </r>
  <r>
    <x v="0"/>
    <n v="1185732"/>
    <x v="282"/>
    <x v="1"/>
    <s v="Indiana"/>
    <s v="Indianapolis"/>
    <s v="Online"/>
    <x v="4"/>
    <n v="41"/>
    <n v="116"/>
    <n v="4756"/>
    <n v="2235.3199999999997"/>
  </r>
  <r>
    <x v="0"/>
    <n v="1185732"/>
    <x v="282"/>
    <x v="1"/>
    <s v="Indiana"/>
    <s v="Indianapolis"/>
    <s v="Online"/>
    <x v="2"/>
    <n v="48"/>
    <n v="83"/>
    <n v="3984"/>
    <n v="1872.48"/>
  </r>
  <r>
    <x v="3"/>
    <n v="1197831"/>
    <x v="282"/>
    <x v="2"/>
    <s v="Texas"/>
    <s v="Dallas"/>
    <s v="Online"/>
    <x v="4"/>
    <n v="38"/>
    <n v="181"/>
    <n v="6878"/>
    <n v="3095.1000000000004"/>
  </r>
  <r>
    <x v="0"/>
    <n v="1185732"/>
    <x v="282"/>
    <x v="1"/>
    <s v="Indiana"/>
    <s v="Indianapolis"/>
    <s v="Online"/>
    <x v="0"/>
    <n v="32"/>
    <n v="65"/>
    <n v="2080"/>
    <n v="936"/>
  </r>
  <r>
    <x v="3"/>
    <n v="1197831"/>
    <x v="282"/>
    <x v="2"/>
    <s v="Alabama"/>
    <s v="Birmingham"/>
    <s v="Online"/>
    <x v="1"/>
    <n v="58"/>
    <n v="145"/>
    <n v="8410"/>
    <n v="3700.4000000000005"/>
  </r>
  <r>
    <x v="0"/>
    <n v="1185732"/>
    <x v="282"/>
    <x v="4"/>
    <s v="New York"/>
    <s v="Albany"/>
    <s v="Online"/>
    <x v="4"/>
    <n v="57"/>
    <n v="208"/>
    <n v="11856"/>
    <n v="5098.079999999999"/>
  </r>
  <r>
    <x v="0"/>
    <n v="1185732"/>
    <x v="282"/>
    <x v="4"/>
    <s v="New York"/>
    <s v="Albany"/>
    <s v="Online"/>
    <x v="2"/>
    <n v="64"/>
    <n v="156"/>
    <n v="9984"/>
    <n v="3793.92"/>
  </r>
  <r>
    <x v="4"/>
    <n v="1185732"/>
    <x v="283"/>
    <x v="1"/>
    <s v="Ohio"/>
    <s v="Columbus"/>
    <s v="Online"/>
    <x v="1"/>
    <n v="40.000000000000007"/>
    <n v="400"/>
    <n v="16000.000000000004"/>
    <n v="10400.000000000004"/>
  </r>
  <r>
    <x v="0"/>
    <n v="1185732"/>
    <x v="283"/>
    <x v="0"/>
    <s v="Utah"/>
    <s v="Salt Lake City"/>
    <s v="In-store"/>
    <x v="0"/>
    <n v="20"/>
    <n v="400"/>
    <n v="8000"/>
    <n v="5200"/>
  </r>
  <r>
    <x v="0"/>
    <n v="1185732"/>
    <x v="283"/>
    <x v="0"/>
    <s v="Utah"/>
    <s v="Salt Lake City"/>
    <s v="In-store"/>
    <x v="3"/>
    <n v="20"/>
    <n v="300"/>
    <n v="6000"/>
    <n v="3900"/>
  </r>
  <r>
    <x v="0"/>
    <n v="1185732"/>
    <x v="283"/>
    <x v="0"/>
    <s v="Utah"/>
    <s v="Salt Lake City"/>
    <s v="In-store"/>
    <x v="1"/>
    <n v="30"/>
    <n v="275"/>
    <n v="8250"/>
    <n v="5362.5"/>
  </r>
  <r>
    <x v="4"/>
    <n v="1185732"/>
    <x v="283"/>
    <x v="1"/>
    <s v="Ohio"/>
    <s v="Columbus"/>
    <s v="Online"/>
    <x v="0"/>
    <n v="30.000000000000011"/>
    <n v="550"/>
    <n v="16500.000000000007"/>
    <n v="10725.000000000004"/>
  </r>
  <r>
    <x v="4"/>
    <n v="1185732"/>
    <x v="283"/>
    <x v="1"/>
    <s v="Ohio"/>
    <s v="Columbus"/>
    <s v="Online"/>
    <x v="3"/>
    <n v="30.000000000000011"/>
    <n v="425"/>
    <n v="12750.000000000004"/>
    <n v="7650.0000000000027"/>
  </r>
  <r>
    <x v="4"/>
    <n v="1185732"/>
    <x v="283"/>
    <x v="1"/>
    <s v="Ohio"/>
    <s v="Columbus"/>
    <s v="Online"/>
    <x v="5"/>
    <n v="30.000000000000011"/>
    <n v="400"/>
    <n v="12000.000000000004"/>
    <n v="7200.0000000000027"/>
  </r>
  <r>
    <x v="3"/>
    <n v="1197831"/>
    <x v="283"/>
    <x v="2"/>
    <s v="Texas"/>
    <s v="Dallas"/>
    <s v="Outlet"/>
    <x v="0"/>
    <n v="40"/>
    <n v="725"/>
    <n v="29000"/>
    <n v="17400"/>
  </r>
  <r>
    <x v="0"/>
    <n v="1185732"/>
    <x v="283"/>
    <x v="0"/>
    <s v="Utah"/>
    <s v="Salt Lake City"/>
    <s v="In-store"/>
    <x v="4"/>
    <n v="30"/>
    <n v="575"/>
    <n v="17250"/>
    <n v="10350"/>
  </r>
  <r>
    <x v="0"/>
    <n v="1185732"/>
    <x v="283"/>
    <x v="0"/>
    <s v="Utah"/>
    <s v="Salt Lake City"/>
    <s v="In-store"/>
    <x v="5"/>
    <n v="20"/>
    <n v="275"/>
    <n v="5500"/>
    <n v="3300"/>
  </r>
  <r>
    <x v="4"/>
    <n v="1185732"/>
    <x v="283"/>
    <x v="1"/>
    <s v="Ohio"/>
    <s v="Columbus"/>
    <s v="Online"/>
    <x v="4"/>
    <n v="40.000000000000007"/>
    <n v="725"/>
    <n v="29000.000000000004"/>
    <n v="17400.000000000004"/>
  </r>
  <r>
    <x v="0"/>
    <n v="1185732"/>
    <x v="283"/>
    <x v="0"/>
    <s v="Utah"/>
    <s v="Salt Lake City"/>
    <s v="In-store"/>
    <x v="2"/>
    <n v="34.999999999999993"/>
    <n v="400"/>
    <n v="13999.999999999996"/>
    <n v="6999.9999999999982"/>
  </r>
  <r>
    <x v="4"/>
    <n v="1185732"/>
    <x v="283"/>
    <x v="1"/>
    <s v="Ohio"/>
    <s v="Columbus"/>
    <s v="Online"/>
    <x v="2"/>
    <n v="40"/>
    <n v="525"/>
    <n v="21000"/>
    <n v="10500"/>
  </r>
  <r>
    <x v="3"/>
    <n v="1197831"/>
    <x v="283"/>
    <x v="2"/>
    <s v="Alabama"/>
    <s v="Birmingham"/>
    <s v="Outlet"/>
    <x v="2"/>
    <n v="70"/>
    <n v="750"/>
    <n v="52500"/>
    <n v="18374.999999999993"/>
  </r>
  <r>
    <x v="0"/>
    <n v="1185732"/>
    <x v="283"/>
    <x v="0"/>
    <s v="Utah"/>
    <s v="Salt Lake City"/>
    <s v="Outlet"/>
    <x v="1"/>
    <n v="20"/>
    <n v="85"/>
    <n v="1700"/>
    <n v="1037"/>
  </r>
  <r>
    <x v="0"/>
    <n v="1185732"/>
    <x v="283"/>
    <x v="0"/>
    <s v="Utah"/>
    <s v="Salt Lake City"/>
    <s v="Outlet"/>
    <x v="0"/>
    <n v="14"/>
    <n v="132"/>
    <n v="1848"/>
    <n v="1108.8000000000002"/>
  </r>
  <r>
    <x v="0"/>
    <n v="1185732"/>
    <x v="283"/>
    <x v="0"/>
    <s v="Utah"/>
    <s v="Salt Lake City"/>
    <s v="Outlet"/>
    <x v="3"/>
    <n v="13"/>
    <n v="90"/>
    <n v="1170"/>
    <n v="690.3"/>
  </r>
  <r>
    <x v="3"/>
    <n v="1197831"/>
    <x v="283"/>
    <x v="2"/>
    <s v="Texas"/>
    <s v="Dallas"/>
    <s v="Outlet"/>
    <x v="0"/>
    <n v="27"/>
    <n v="218"/>
    <n v="5886"/>
    <n v="3237.3"/>
  </r>
  <r>
    <x v="4"/>
    <n v="1185732"/>
    <x v="283"/>
    <x v="1"/>
    <s v="Ohio"/>
    <s v="Columbus"/>
    <s v="Online"/>
    <x v="1"/>
    <n v="37"/>
    <n v="116"/>
    <n v="4292"/>
    <n v="2317.6800000000003"/>
  </r>
  <r>
    <x v="0"/>
    <n v="1185732"/>
    <x v="283"/>
    <x v="0"/>
    <s v="Utah"/>
    <s v="Salt Lake City"/>
    <s v="Outlet"/>
    <x v="5"/>
    <n v="13"/>
    <n v="94"/>
    <n v="1222"/>
    <n v="659.88"/>
  </r>
  <r>
    <x v="4"/>
    <n v="1185732"/>
    <x v="283"/>
    <x v="1"/>
    <s v="Ohio"/>
    <s v="Columbus"/>
    <s v="Online"/>
    <x v="0"/>
    <n v="29"/>
    <n v="138"/>
    <n v="4002"/>
    <n v="2121.0600000000004"/>
  </r>
  <r>
    <x v="0"/>
    <n v="1185732"/>
    <x v="283"/>
    <x v="0"/>
    <s v="Utah"/>
    <s v="Salt Lake City"/>
    <s v="Outlet"/>
    <x v="4"/>
    <n v="24"/>
    <n v="201"/>
    <n v="4824"/>
    <n v="2556.7199999999998"/>
  </r>
  <r>
    <x v="0"/>
    <n v="1185732"/>
    <x v="283"/>
    <x v="0"/>
    <s v="Utah"/>
    <s v="Salt Lake City"/>
    <s v="Online"/>
    <x v="3"/>
    <n v="19"/>
    <n v="87"/>
    <n v="1653"/>
    <n v="843.03"/>
  </r>
  <r>
    <x v="3"/>
    <n v="1197831"/>
    <x v="283"/>
    <x v="2"/>
    <s v="Texas"/>
    <s v="Dallas"/>
    <s v="Online"/>
    <x v="0"/>
    <n v="37"/>
    <n v="218"/>
    <n v="8066"/>
    <n v="4033"/>
  </r>
  <r>
    <x v="0"/>
    <n v="1185732"/>
    <x v="283"/>
    <x v="0"/>
    <s v="Utah"/>
    <s v="Salt Lake City"/>
    <s v="Online"/>
    <x v="0"/>
    <n v="19"/>
    <n v="100"/>
    <n v="1900"/>
    <n v="950"/>
  </r>
  <r>
    <x v="0"/>
    <n v="1185732"/>
    <x v="283"/>
    <x v="0"/>
    <s v="Utah"/>
    <s v="Salt Lake City"/>
    <s v="Online"/>
    <x v="1"/>
    <n v="29"/>
    <n v="83"/>
    <n v="2407"/>
    <n v="1203.5"/>
  </r>
  <r>
    <x v="0"/>
    <n v="1185732"/>
    <x v="283"/>
    <x v="0"/>
    <s v="Utah"/>
    <s v="Salt Lake City"/>
    <s v="Online"/>
    <x v="4"/>
    <n v="28"/>
    <n v="173"/>
    <n v="4844"/>
    <n v="2373.56"/>
  </r>
  <r>
    <x v="4"/>
    <n v="1185732"/>
    <x v="283"/>
    <x v="1"/>
    <s v="Ohio"/>
    <s v="Columbus"/>
    <s v="Online"/>
    <x v="5"/>
    <n v="29"/>
    <n v="112"/>
    <n v="3248"/>
    <n v="1591.52"/>
  </r>
  <r>
    <x v="4"/>
    <n v="1185732"/>
    <x v="283"/>
    <x v="1"/>
    <s v="Ohio"/>
    <s v="Columbus"/>
    <s v="Online"/>
    <x v="4"/>
    <n v="36"/>
    <n v="210"/>
    <n v="7560"/>
    <n v="3628.7999999999997"/>
  </r>
  <r>
    <x v="4"/>
    <n v="1185732"/>
    <x v="283"/>
    <x v="1"/>
    <s v="Ohio"/>
    <s v="Columbus"/>
    <s v="Online"/>
    <x v="3"/>
    <n v="27"/>
    <n v="106"/>
    <n v="2862"/>
    <n v="1345.1399999999999"/>
  </r>
  <r>
    <x v="0"/>
    <n v="1185732"/>
    <x v="283"/>
    <x v="0"/>
    <s v="Utah"/>
    <s v="Salt Lake City"/>
    <s v="Outlet"/>
    <x v="2"/>
    <n v="25"/>
    <n v="140"/>
    <n v="3500"/>
    <n v="1609.9999999999998"/>
  </r>
  <r>
    <x v="0"/>
    <n v="1185732"/>
    <x v="283"/>
    <x v="0"/>
    <s v="Utah"/>
    <s v="Salt Lake City"/>
    <s v="Online"/>
    <x v="5"/>
    <n v="19"/>
    <n v="72"/>
    <n v="1368"/>
    <n v="615.59999999999991"/>
  </r>
  <r>
    <x v="0"/>
    <n v="1185732"/>
    <x v="283"/>
    <x v="0"/>
    <s v="Utah"/>
    <s v="Salt Lake City"/>
    <s v="Online"/>
    <x v="2"/>
    <n v="32"/>
    <n v="104"/>
    <n v="3328"/>
    <n v="1264.6399999999999"/>
  </r>
  <r>
    <x v="4"/>
    <n v="1185732"/>
    <x v="283"/>
    <x v="1"/>
    <s v="Ohio"/>
    <s v="Columbus"/>
    <s v="Online"/>
    <x v="2"/>
    <n v="38"/>
    <n v="147"/>
    <n v="5586"/>
    <n v="2066.8200000000002"/>
  </r>
  <r>
    <x v="3"/>
    <n v="1197831"/>
    <x v="283"/>
    <x v="2"/>
    <s v="Alabama"/>
    <s v="Birmingham"/>
    <s v="Outlet"/>
    <x v="2"/>
    <n v="56"/>
    <n v="225"/>
    <n v="12600"/>
    <n v="3527.9999999999982"/>
  </r>
  <r>
    <x v="3"/>
    <n v="1197831"/>
    <x v="283"/>
    <x v="2"/>
    <s v="Alabama"/>
    <s v="Birmingham"/>
    <s v="Online"/>
    <x v="2"/>
    <n v="68"/>
    <n v="203"/>
    <n v="13804"/>
    <n v="2760.7999999999975"/>
  </r>
  <r>
    <x v="1"/>
    <n v="1185732"/>
    <x v="284"/>
    <x v="0"/>
    <s v="Wyoming"/>
    <s v="Cheyenne"/>
    <s v="In-store"/>
    <x v="2"/>
    <n v="60"/>
    <n v="600"/>
    <n v="36000"/>
    <n v="27000"/>
  </r>
  <r>
    <x v="1"/>
    <n v="1185732"/>
    <x v="284"/>
    <x v="0"/>
    <s v="Wyoming"/>
    <s v="Cheyenne"/>
    <s v="In-store"/>
    <x v="0"/>
    <n v="45.000000000000007"/>
    <n v="600"/>
    <n v="27000.000000000004"/>
    <n v="18900.000000000007"/>
  </r>
  <r>
    <x v="1"/>
    <n v="1185732"/>
    <x v="284"/>
    <x v="0"/>
    <s v="Wyoming"/>
    <s v="Cheyenne"/>
    <s v="In-store"/>
    <x v="1"/>
    <n v="55.000000000000007"/>
    <n v="475"/>
    <n v="26125.000000000004"/>
    <n v="18287.500000000004"/>
  </r>
  <r>
    <x v="2"/>
    <n v="1185732"/>
    <x v="284"/>
    <x v="1"/>
    <s v="South Dakota"/>
    <s v="Sioux Falls"/>
    <s v="Online"/>
    <x v="0"/>
    <n v="45"/>
    <n v="250"/>
    <n v="11250"/>
    <n v="7875"/>
  </r>
  <r>
    <x v="2"/>
    <n v="1185732"/>
    <x v="284"/>
    <x v="1"/>
    <s v="South Dakota"/>
    <s v="Sioux Falls"/>
    <s v="Online"/>
    <x v="3"/>
    <n v="45"/>
    <n v="150"/>
    <n v="6750"/>
    <n v="4725"/>
  </r>
  <r>
    <x v="2"/>
    <n v="1185732"/>
    <x v="284"/>
    <x v="1"/>
    <s v="South Dakota"/>
    <s v="Sioux Falls"/>
    <s v="Online"/>
    <x v="5"/>
    <n v="45"/>
    <n v="125"/>
    <n v="5625"/>
    <n v="3937.5"/>
  </r>
  <r>
    <x v="2"/>
    <n v="1185732"/>
    <x v="284"/>
    <x v="1"/>
    <s v="South Dakota"/>
    <s v="Sioux Falls"/>
    <s v="Online"/>
    <x v="4"/>
    <n v="54.999999999999993"/>
    <n v="400"/>
    <n v="21999.999999999996"/>
    <n v="14300"/>
  </r>
  <r>
    <x v="4"/>
    <n v="1185732"/>
    <x v="284"/>
    <x v="2"/>
    <s v="Alabama"/>
    <s v="Birmingham"/>
    <s v="Outlet"/>
    <x v="4"/>
    <n v="40"/>
    <n v="450"/>
    <n v="18000"/>
    <n v="11700"/>
  </r>
  <r>
    <x v="1"/>
    <n v="1185732"/>
    <x v="284"/>
    <x v="0"/>
    <s v="Wyoming"/>
    <s v="Cheyenne"/>
    <s v="In-store"/>
    <x v="3"/>
    <n v="45.000000000000007"/>
    <n v="500"/>
    <n v="22500.000000000004"/>
    <n v="14625.000000000004"/>
  </r>
  <r>
    <x v="1"/>
    <n v="1185732"/>
    <x v="284"/>
    <x v="0"/>
    <s v="Wyoming"/>
    <s v="Cheyenne"/>
    <s v="In-store"/>
    <x v="5"/>
    <n v="45.000000000000007"/>
    <n v="475"/>
    <n v="21375.000000000004"/>
    <n v="13893.750000000004"/>
  </r>
  <r>
    <x v="2"/>
    <n v="1185732"/>
    <x v="284"/>
    <x v="1"/>
    <s v="South Dakota"/>
    <s v="Sioux Falls"/>
    <s v="Online"/>
    <x v="1"/>
    <n v="54.999999999999993"/>
    <n v="125"/>
    <n v="6874.9999999999991"/>
    <n v="4468.7499999999991"/>
  </r>
  <r>
    <x v="4"/>
    <n v="1185732"/>
    <x v="284"/>
    <x v="4"/>
    <s v="Vermont"/>
    <s v="Burlington"/>
    <s v="In-store"/>
    <x v="3"/>
    <n v="60.000000000000007"/>
    <n v="200"/>
    <n v="12000.000000000002"/>
    <n v="7800.0000000000018"/>
  </r>
  <r>
    <x v="4"/>
    <n v="1185732"/>
    <x v="284"/>
    <x v="4"/>
    <s v="Vermont"/>
    <s v="Burlington"/>
    <s v="In-store"/>
    <x v="5"/>
    <n v="60.000000000000007"/>
    <n v="175"/>
    <n v="10500.000000000002"/>
    <n v="6825.0000000000018"/>
  </r>
  <r>
    <x v="4"/>
    <n v="1185732"/>
    <x v="284"/>
    <x v="4"/>
    <s v="Vermont"/>
    <s v="Burlington"/>
    <s v="In-store"/>
    <x v="1"/>
    <n v="70"/>
    <n v="175"/>
    <n v="12250"/>
    <n v="7962.5"/>
  </r>
  <r>
    <x v="3"/>
    <n v="1197831"/>
    <x v="284"/>
    <x v="2"/>
    <s v="Texas"/>
    <s v="Dallas"/>
    <s v="Outlet"/>
    <x v="3"/>
    <n v="65"/>
    <n v="650"/>
    <n v="42250"/>
    <n v="25350"/>
  </r>
  <r>
    <x v="0"/>
    <n v="1185732"/>
    <x v="284"/>
    <x v="4"/>
    <s v="Vermont"/>
    <s v="Burlington"/>
    <s v="In-store"/>
    <x v="2"/>
    <n v="75"/>
    <n v="300"/>
    <n v="22500"/>
    <n v="13500"/>
  </r>
  <r>
    <x v="3"/>
    <n v="1185732"/>
    <x v="284"/>
    <x v="1"/>
    <s v="South Dakota"/>
    <s v="Sioux Falls"/>
    <s v="Online"/>
    <x v="2"/>
    <n v="59.999999999999986"/>
    <n v="250"/>
    <n v="14999.999999999996"/>
    <n v="8999.9999999999964"/>
  </r>
  <r>
    <x v="4"/>
    <n v="1185732"/>
    <x v="284"/>
    <x v="4"/>
    <s v="Vermont"/>
    <s v="Burlington"/>
    <s v="In-store"/>
    <x v="4"/>
    <n v="65"/>
    <n v="475"/>
    <n v="30875"/>
    <n v="16981.25"/>
  </r>
  <r>
    <x v="4"/>
    <n v="1185732"/>
    <x v="284"/>
    <x v="4"/>
    <s v="Vermont"/>
    <s v="Burlington"/>
    <s v="In-store"/>
    <x v="0"/>
    <n v="60.000000000000007"/>
    <n v="300"/>
    <n v="18000.000000000004"/>
    <n v="9900.0000000000018"/>
  </r>
  <r>
    <x v="1"/>
    <n v="1185732"/>
    <x v="284"/>
    <x v="0"/>
    <s v="Wyoming"/>
    <s v="Cheyenne"/>
    <s v="In-store"/>
    <x v="4"/>
    <n v="55.000000000000007"/>
    <n v="775"/>
    <n v="42625.000000000007"/>
    <n v="21312.500000000004"/>
  </r>
  <r>
    <x v="1"/>
    <n v="1185732"/>
    <x v="284"/>
    <x v="0"/>
    <s v="Wyoming"/>
    <s v="Cheyenne"/>
    <s v="Online"/>
    <x v="2"/>
    <n v="55"/>
    <n v="150"/>
    <n v="8250"/>
    <n v="5197.5"/>
  </r>
  <r>
    <x v="4"/>
    <n v="1185732"/>
    <x v="284"/>
    <x v="4"/>
    <s v="Vermont"/>
    <s v="Burlington"/>
    <s v="Outlet"/>
    <x v="3"/>
    <n v="40"/>
    <n v="66"/>
    <n v="2640"/>
    <n v="1663.2"/>
  </r>
  <r>
    <x v="4"/>
    <n v="1185732"/>
    <x v="284"/>
    <x v="4"/>
    <s v="Vermont"/>
    <s v="Burlington"/>
    <s v="Outlet"/>
    <x v="5"/>
    <n v="46"/>
    <n v="61"/>
    <n v="2806"/>
    <n v="1767.78"/>
  </r>
  <r>
    <x v="4"/>
    <n v="1185732"/>
    <x v="284"/>
    <x v="4"/>
    <s v="Vermont"/>
    <s v="Burlington"/>
    <s v="Outlet"/>
    <x v="1"/>
    <n v="55"/>
    <n v="58"/>
    <n v="3190"/>
    <n v="2009.7"/>
  </r>
  <r>
    <x v="4"/>
    <n v="1185732"/>
    <x v="284"/>
    <x v="2"/>
    <s v="Alabama"/>
    <s v="Birmingham"/>
    <s v="Outlet"/>
    <x v="4"/>
    <n v="27"/>
    <n v="140"/>
    <n v="3780"/>
    <n v="2305.8000000000002"/>
  </r>
  <r>
    <x v="1"/>
    <n v="1185732"/>
    <x v="284"/>
    <x v="0"/>
    <s v="Wyoming"/>
    <s v="Cheyenne"/>
    <s v="Online"/>
    <x v="0"/>
    <n v="44"/>
    <n v="174"/>
    <n v="7656"/>
    <n v="4593.6000000000004"/>
  </r>
  <r>
    <x v="2"/>
    <n v="1185732"/>
    <x v="284"/>
    <x v="1"/>
    <s v="South Dakota"/>
    <s v="Sioux Falls"/>
    <s v="Online"/>
    <x v="3"/>
    <n v="43"/>
    <n v="42"/>
    <n v="1806"/>
    <n v="1083.5999999999999"/>
  </r>
  <r>
    <x v="2"/>
    <n v="1185732"/>
    <x v="284"/>
    <x v="1"/>
    <s v="South Dakota"/>
    <s v="Sioux Falls"/>
    <s v="Online"/>
    <x v="0"/>
    <n v="41"/>
    <n v="75"/>
    <n v="3075"/>
    <n v="1783.5"/>
  </r>
  <r>
    <x v="1"/>
    <n v="1185732"/>
    <x v="284"/>
    <x v="0"/>
    <s v="Wyoming"/>
    <s v="Cheyenne"/>
    <s v="Online"/>
    <x v="1"/>
    <n v="54"/>
    <n v="128"/>
    <n v="6912"/>
    <n v="3870.72"/>
  </r>
  <r>
    <x v="3"/>
    <n v="1197831"/>
    <x v="284"/>
    <x v="2"/>
    <s v="Texas"/>
    <s v="Dallas"/>
    <s v="Outlet"/>
    <x v="3"/>
    <n v="51"/>
    <n v="228"/>
    <n v="11628"/>
    <n v="6511.68"/>
  </r>
  <r>
    <x v="2"/>
    <n v="1185732"/>
    <x v="284"/>
    <x v="1"/>
    <s v="South Dakota"/>
    <s v="Sioux Falls"/>
    <s v="Online"/>
    <x v="5"/>
    <n v="43"/>
    <n v="36"/>
    <n v="1548"/>
    <n v="851.40000000000009"/>
  </r>
  <r>
    <x v="1"/>
    <n v="1185732"/>
    <x v="284"/>
    <x v="0"/>
    <s v="Wyoming"/>
    <s v="Cheyenne"/>
    <s v="Online"/>
    <x v="5"/>
    <n v="41"/>
    <n v="119"/>
    <n v="4879"/>
    <n v="2634.6600000000003"/>
  </r>
  <r>
    <x v="2"/>
    <n v="1185732"/>
    <x v="284"/>
    <x v="1"/>
    <s v="South Dakota"/>
    <s v="Sioux Falls"/>
    <s v="Online"/>
    <x v="4"/>
    <n v="54"/>
    <n v="104"/>
    <n v="5616"/>
    <n v="3032.6400000000003"/>
  </r>
  <r>
    <x v="0"/>
    <n v="1185732"/>
    <x v="284"/>
    <x v="4"/>
    <s v="Vermont"/>
    <s v="Burlington"/>
    <s v="Outlet"/>
    <x v="2"/>
    <n v="54"/>
    <n v="90"/>
    <n v="4860"/>
    <n v="2624.4"/>
  </r>
  <r>
    <x v="1"/>
    <n v="1185732"/>
    <x v="284"/>
    <x v="0"/>
    <s v="Wyoming"/>
    <s v="Cheyenne"/>
    <s v="Online"/>
    <x v="3"/>
    <n v="42"/>
    <n v="125"/>
    <n v="5250"/>
    <n v="2835"/>
  </r>
  <r>
    <x v="2"/>
    <n v="1185732"/>
    <x v="284"/>
    <x v="1"/>
    <s v="South Dakota"/>
    <s v="Sioux Falls"/>
    <s v="Online"/>
    <x v="1"/>
    <n v="54"/>
    <n v="38"/>
    <n v="2052"/>
    <n v="1087.56"/>
  </r>
  <r>
    <x v="4"/>
    <n v="1185732"/>
    <x v="284"/>
    <x v="4"/>
    <s v="Vermont"/>
    <s v="Burlington"/>
    <s v="Outlet"/>
    <x v="4"/>
    <n v="44"/>
    <n v="157"/>
    <n v="6908"/>
    <n v="3661.24"/>
  </r>
  <r>
    <x v="4"/>
    <n v="1185732"/>
    <x v="284"/>
    <x v="4"/>
    <s v="Vermont"/>
    <s v="Burlington"/>
    <s v="Online"/>
    <x v="5"/>
    <n v="55"/>
    <n v="46"/>
    <n v="2530"/>
    <n v="1315.6000000000001"/>
  </r>
  <r>
    <x v="4"/>
    <n v="1185732"/>
    <x v="284"/>
    <x v="4"/>
    <s v="Vermont"/>
    <s v="Burlington"/>
    <s v="Online"/>
    <x v="1"/>
    <n v="66"/>
    <n v="51"/>
    <n v="3366"/>
    <n v="1750.3200000000002"/>
  </r>
  <r>
    <x v="4"/>
    <n v="1185732"/>
    <x v="284"/>
    <x v="4"/>
    <s v="Vermont"/>
    <s v="Burlington"/>
    <s v="Outlet"/>
    <x v="0"/>
    <n v="44"/>
    <n v="99"/>
    <n v="4356"/>
    <n v="2221.56"/>
  </r>
  <r>
    <x v="4"/>
    <n v="1185732"/>
    <x v="284"/>
    <x v="2"/>
    <s v="Alabama"/>
    <s v="Birmingham"/>
    <s v="Online"/>
    <x v="4"/>
    <n v="38"/>
    <n v="117"/>
    <n v="4446"/>
    <n v="2223"/>
  </r>
  <r>
    <x v="4"/>
    <n v="1185732"/>
    <x v="284"/>
    <x v="4"/>
    <s v="Vermont"/>
    <s v="Burlington"/>
    <s v="Online"/>
    <x v="3"/>
    <n v="59"/>
    <n v="54"/>
    <n v="3186"/>
    <n v="1593"/>
  </r>
  <r>
    <x v="0"/>
    <n v="1185732"/>
    <x v="284"/>
    <x v="4"/>
    <s v="Vermont"/>
    <s v="Burlington"/>
    <s v="Online"/>
    <x v="2"/>
    <n v="71"/>
    <n v="81"/>
    <n v="5751"/>
    <n v="2702.97"/>
  </r>
  <r>
    <x v="3"/>
    <n v="1197831"/>
    <x v="284"/>
    <x v="2"/>
    <s v="Texas"/>
    <s v="Dallas"/>
    <s v="Online"/>
    <x v="3"/>
    <n v="63"/>
    <n v="176"/>
    <n v="11088"/>
    <n v="4989.6000000000004"/>
  </r>
  <r>
    <x v="3"/>
    <n v="1185732"/>
    <x v="284"/>
    <x v="1"/>
    <s v="South Dakota"/>
    <s v="Sioux Falls"/>
    <s v="Online"/>
    <x v="2"/>
    <n v="55"/>
    <n v="70"/>
    <n v="3850"/>
    <n v="1732.5"/>
  </r>
  <r>
    <x v="4"/>
    <n v="1185732"/>
    <x v="284"/>
    <x v="4"/>
    <s v="Vermont"/>
    <s v="Burlington"/>
    <s v="Online"/>
    <x v="0"/>
    <n v="54"/>
    <n v="75"/>
    <n v="4050"/>
    <n v="1660.4999999999995"/>
  </r>
  <r>
    <x v="4"/>
    <n v="1185732"/>
    <x v="284"/>
    <x v="4"/>
    <s v="Vermont"/>
    <s v="Burlington"/>
    <s v="Online"/>
    <x v="4"/>
    <n v="62"/>
    <n v="133"/>
    <n v="8246"/>
    <n v="3298.4000000000005"/>
  </r>
  <r>
    <x v="1"/>
    <n v="1185732"/>
    <x v="284"/>
    <x v="0"/>
    <s v="Wyoming"/>
    <s v="Cheyenne"/>
    <s v="Online"/>
    <x v="4"/>
    <n v="50"/>
    <n v="202"/>
    <n v="10100"/>
    <n v="3636"/>
  </r>
  <r>
    <x v="3"/>
    <n v="1128299"/>
    <x v="285"/>
    <x v="3"/>
    <s v="Georgia"/>
    <s v="Atlanta"/>
    <s v="Online"/>
    <x v="2"/>
    <n v="70"/>
    <n v="350"/>
    <n v="24500"/>
    <n v="18375"/>
  </r>
  <r>
    <x v="3"/>
    <n v="1128299"/>
    <x v="285"/>
    <x v="3"/>
    <s v="Georgia"/>
    <s v="Atlanta"/>
    <s v="Online"/>
    <x v="3"/>
    <n v="45.000000000000014"/>
    <n v="350"/>
    <n v="15750.000000000005"/>
    <n v="10237.500000000004"/>
  </r>
  <r>
    <x v="3"/>
    <n v="1128299"/>
    <x v="285"/>
    <x v="3"/>
    <s v="Georgia"/>
    <s v="Atlanta"/>
    <s v="Online"/>
    <x v="1"/>
    <n v="55.000000000000007"/>
    <n v="300"/>
    <n v="16500.000000000004"/>
    <n v="10725.000000000004"/>
  </r>
  <r>
    <x v="4"/>
    <n v="1185732"/>
    <x v="285"/>
    <x v="2"/>
    <s v="Alabama"/>
    <s v="Birmingham"/>
    <s v="Outlet"/>
    <x v="0"/>
    <n v="40"/>
    <n v="250"/>
    <n v="10000"/>
    <n v="6500"/>
  </r>
  <r>
    <x v="3"/>
    <n v="1128299"/>
    <x v="285"/>
    <x v="3"/>
    <s v="Georgia"/>
    <s v="Atlanta"/>
    <s v="Online"/>
    <x v="4"/>
    <n v="45.000000000000014"/>
    <n v="525"/>
    <n v="23625.000000000007"/>
    <n v="14175.000000000005"/>
  </r>
  <r>
    <x v="3"/>
    <n v="1128299"/>
    <x v="285"/>
    <x v="3"/>
    <s v="Georgia"/>
    <s v="Atlanta"/>
    <s v="Online"/>
    <x v="0"/>
    <n v="50.000000000000014"/>
    <n v="525"/>
    <n v="26250.000000000007"/>
    <n v="15750.000000000004"/>
  </r>
  <r>
    <x v="3"/>
    <n v="1128299"/>
    <x v="285"/>
    <x v="3"/>
    <s v="Georgia"/>
    <s v="Atlanta"/>
    <s v="Online"/>
    <x v="5"/>
    <n v="45.000000000000014"/>
    <n v="325"/>
    <n v="14625.000000000005"/>
    <n v="8775.0000000000036"/>
  </r>
  <r>
    <x v="3"/>
    <n v="1197831"/>
    <x v="285"/>
    <x v="2"/>
    <s v="Texas"/>
    <s v="Dallas"/>
    <s v="Outlet"/>
    <x v="5"/>
    <n v="65"/>
    <n v="500"/>
    <n v="32500"/>
    <n v="16250"/>
  </r>
  <r>
    <x v="3"/>
    <n v="1128299"/>
    <x v="285"/>
    <x v="3"/>
    <s v="Georgia"/>
    <s v="Atlanta"/>
    <s v="Outlet"/>
    <x v="2"/>
    <n v="46"/>
    <n v="109"/>
    <n v="5014"/>
    <n v="3459.66"/>
  </r>
  <r>
    <x v="3"/>
    <n v="1128299"/>
    <x v="285"/>
    <x v="3"/>
    <s v="Georgia"/>
    <s v="Atlanta"/>
    <s v="Outlet"/>
    <x v="3"/>
    <n v="32"/>
    <n v="123"/>
    <n v="3936"/>
    <n v="2440.3199999999997"/>
  </r>
  <r>
    <x v="3"/>
    <n v="1128299"/>
    <x v="285"/>
    <x v="3"/>
    <s v="Georgia"/>
    <s v="Atlanta"/>
    <s v="Online"/>
    <x v="2"/>
    <n v="64"/>
    <n v="102"/>
    <n v="6528"/>
    <n v="3982.08"/>
  </r>
  <r>
    <x v="3"/>
    <n v="1128299"/>
    <x v="285"/>
    <x v="3"/>
    <s v="Georgia"/>
    <s v="Atlanta"/>
    <s v="Outlet"/>
    <x v="1"/>
    <n v="41"/>
    <n v="102"/>
    <n v="4182"/>
    <n v="2509.1999999999998"/>
  </r>
  <r>
    <x v="4"/>
    <n v="1185732"/>
    <x v="285"/>
    <x v="2"/>
    <s v="Alabama"/>
    <s v="Birmingham"/>
    <s v="Outlet"/>
    <x v="0"/>
    <n v="30"/>
    <n v="88"/>
    <n v="2640"/>
    <n v="1557.6000000000001"/>
  </r>
  <r>
    <x v="3"/>
    <n v="1128299"/>
    <x v="285"/>
    <x v="3"/>
    <s v="Georgia"/>
    <s v="Atlanta"/>
    <s v="Outlet"/>
    <x v="0"/>
    <n v="34"/>
    <n v="173"/>
    <n v="5882"/>
    <n v="3411.56"/>
  </r>
  <r>
    <x v="3"/>
    <n v="1128299"/>
    <x v="285"/>
    <x v="3"/>
    <s v="Georgia"/>
    <s v="Atlanta"/>
    <s v="Outlet"/>
    <x v="5"/>
    <n v="32"/>
    <n v="114"/>
    <n v="3648"/>
    <n v="2042.8799999999999"/>
  </r>
  <r>
    <x v="4"/>
    <n v="1185732"/>
    <x v="285"/>
    <x v="2"/>
    <s v="Alabama"/>
    <s v="Birmingham"/>
    <s v="Online"/>
    <x v="0"/>
    <n v="38"/>
    <n v="75"/>
    <n v="2850"/>
    <n v="1539"/>
  </r>
  <r>
    <x v="3"/>
    <n v="1128299"/>
    <x v="285"/>
    <x v="3"/>
    <s v="Georgia"/>
    <s v="Atlanta"/>
    <s v="Online"/>
    <x v="1"/>
    <n v="50"/>
    <n v="90"/>
    <n v="4500"/>
    <n v="2430"/>
  </r>
  <r>
    <x v="3"/>
    <n v="1128299"/>
    <x v="285"/>
    <x v="3"/>
    <s v="Georgia"/>
    <s v="Atlanta"/>
    <s v="Outlet"/>
    <x v="4"/>
    <n v="34"/>
    <n v="173"/>
    <n v="5882"/>
    <n v="3176.2799999999997"/>
  </r>
  <r>
    <x v="3"/>
    <n v="1128299"/>
    <x v="285"/>
    <x v="3"/>
    <s v="Georgia"/>
    <s v="Atlanta"/>
    <s v="Online"/>
    <x v="3"/>
    <n v="42"/>
    <n v="105"/>
    <n v="4410"/>
    <n v="2337.3000000000002"/>
  </r>
  <r>
    <x v="3"/>
    <n v="1128299"/>
    <x v="285"/>
    <x v="3"/>
    <s v="Georgia"/>
    <s v="Atlanta"/>
    <s v="Online"/>
    <x v="5"/>
    <n v="44"/>
    <n v="88"/>
    <n v="3872"/>
    <n v="1936"/>
  </r>
  <r>
    <x v="3"/>
    <n v="1128299"/>
    <x v="285"/>
    <x v="3"/>
    <s v="Georgia"/>
    <s v="Atlanta"/>
    <s v="Online"/>
    <x v="4"/>
    <n v="42"/>
    <n v="131"/>
    <n v="5502"/>
    <n v="2695.98"/>
  </r>
  <r>
    <x v="3"/>
    <n v="1128299"/>
    <x v="285"/>
    <x v="3"/>
    <s v="Georgia"/>
    <s v="Atlanta"/>
    <s v="Online"/>
    <x v="0"/>
    <n v="47"/>
    <n v="142"/>
    <n v="6674"/>
    <n v="3203.52"/>
  </r>
  <r>
    <x v="3"/>
    <n v="1197831"/>
    <x v="285"/>
    <x v="2"/>
    <s v="Texas"/>
    <s v="Dallas"/>
    <s v="Outlet"/>
    <x v="5"/>
    <n v="50"/>
    <n v="160"/>
    <n v="8000"/>
    <n v="3840"/>
  </r>
  <r>
    <x v="3"/>
    <n v="1197831"/>
    <x v="285"/>
    <x v="2"/>
    <s v="Texas"/>
    <s v="Dallas"/>
    <s v="Online"/>
    <x v="5"/>
    <n v="59"/>
    <n v="145"/>
    <n v="8555"/>
    <n v="3250.8999999999996"/>
  </r>
  <r>
    <x v="1"/>
    <n v="1197831"/>
    <x v="286"/>
    <x v="1"/>
    <s v="Kansas"/>
    <s v="Wichita"/>
    <s v="Online"/>
    <x v="0"/>
    <n v="20.000000000000011"/>
    <n v="325"/>
    <n v="6500.0000000000036"/>
    <n v="4225.0000000000027"/>
  </r>
  <r>
    <x v="1"/>
    <n v="1197831"/>
    <x v="286"/>
    <x v="1"/>
    <s v="Kansas"/>
    <s v="Wichita"/>
    <s v="Online"/>
    <x v="4"/>
    <n v="30.000000000000011"/>
    <n v="500"/>
    <n v="15000.000000000005"/>
    <n v="9750.0000000000036"/>
  </r>
  <r>
    <x v="1"/>
    <n v="1197831"/>
    <x v="286"/>
    <x v="1"/>
    <s v="Kansas"/>
    <s v="Wichita"/>
    <s v="Online"/>
    <x v="5"/>
    <n v="20.000000000000011"/>
    <n v="175"/>
    <n v="3500.0000000000018"/>
    <n v="2275.0000000000014"/>
  </r>
  <r>
    <x v="1"/>
    <n v="1197831"/>
    <x v="286"/>
    <x v="1"/>
    <s v="Kansas"/>
    <s v="Wichita"/>
    <s v="Online"/>
    <x v="1"/>
    <n v="30.000000000000011"/>
    <n v="175"/>
    <n v="5250.0000000000018"/>
    <n v="3412.5000000000014"/>
  </r>
  <r>
    <x v="2"/>
    <n v="1197831"/>
    <x v="286"/>
    <x v="1"/>
    <s v="Kansas"/>
    <s v="Wichita"/>
    <s v="Online"/>
    <x v="2"/>
    <n v="30.000000000000004"/>
    <n v="300"/>
    <n v="9000.0000000000018"/>
    <n v="5850.0000000000018"/>
  </r>
  <r>
    <x v="3"/>
    <n v="1197831"/>
    <x v="286"/>
    <x v="2"/>
    <s v="Texas"/>
    <s v="Dallas"/>
    <s v="Outlet"/>
    <x v="1"/>
    <n v="60"/>
    <n v="475"/>
    <n v="28500"/>
    <n v="18525"/>
  </r>
  <r>
    <x v="1"/>
    <n v="1197831"/>
    <x v="286"/>
    <x v="1"/>
    <s v="Kansas"/>
    <s v="Wichita"/>
    <s v="Online"/>
    <x v="3"/>
    <n v="20.000000000000011"/>
    <n v="200"/>
    <n v="4000.0000000000023"/>
    <n v="2600.0000000000014"/>
  </r>
  <r>
    <x v="4"/>
    <n v="1185732"/>
    <x v="286"/>
    <x v="2"/>
    <s v="Alabama"/>
    <s v="Birmingham"/>
    <s v="Outlet"/>
    <x v="3"/>
    <n v="30.000000000000004"/>
    <n v="250"/>
    <n v="7500.0000000000009"/>
    <n v="4500.0000000000018"/>
  </r>
  <r>
    <x v="3"/>
    <n v="1197831"/>
    <x v="286"/>
    <x v="2"/>
    <s v="Texas"/>
    <s v="Dallas"/>
    <s v="Outlet"/>
    <x v="1"/>
    <n v="46"/>
    <n v="162"/>
    <n v="7452"/>
    <n v="4545.72"/>
  </r>
  <r>
    <x v="4"/>
    <n v="1185732"/>
    <x v="286"/>
    <x v="2"/>
    <s v="Alabama"/>
    <s v="Birmingham"/>
    <s v="Outlet"/>
    <x v="3"/>
    <n v="23"/>
    <n v="83"/>
    <n v="1909"/>
    <n v="1107.22"/>
  </r>
  <r>
    <x v="1"/>
    <n v="1197831"/>
    <x v="286"/>
    <x v="1"/>
    <s v="Kansas"/>
    <s v="Wichita"/>
    <s v="Online"/>
    <x v="0"/>
    <n v="19"/>
    <n v="85"/>
    <n v="1615"/>
    <n v="872.1"/>
  </r>
  <r>
    <x v="1"/>
    <n v="1197831"/>
    <x v="286"/>
    <x v="1"/>
    <s v="Kansas"/>
    <s v="Wichita"/>
    <s v="Online"/>
    <x v="4"/>
    <n v="29"/>
    <n v="145"/>
    <n v="4205"/>
    <n v="2270.6999999999998"/>
  </r>
  <r>
    <x v="1"/>
    <n v="1197831"/>
    <x v="286"/>
    <x v="1"/>
    <s v="Kansas"/>
    <s v="Wichita"/>
    <s v="Online"/>
    <x v="3"/>
    <n v="19"/>
    <n v="60"/>
    <n v="1140"/>
    <n v="604.20000000000005"/>
  </r>
  <r>
    <x v="3"/>
    <n v="1197831"/>
    <x v="286"/>
    <x v="2"/>
    <s v="Texas"/>
    <s v="Dallas"/>
    <s v="Online"/>
    <x v="1"/>
    <n v="56"/>
    <n v="138"/>
    <n v="7728"/>
    <n v="4018.56"/>
  </r>
  <r>
    <x v="1"/>
    <n v="1197831"/>
    <x v="286"/>
    <x v="1"/>
    <s v="Kansas"/>
    <s v="Wichita"/>
    <s v="Online"/>
    <x v="5"/>
    <n v="19"/>
    <n v="47"/>
    <n v="893"/>
    <n v="464.36"/>
  </r>
  <r>
    <x v="2"/>
    <n v="1197831"/>
    <x v="286"/>
    <x v="1"/>
    <s v="Kansas"/>
    <s v="Wichita"/>
    <s v="Online"/>
    <x v="2"/>
    <n v="28"/>
    <n v="90"/>
    <n v="2520"/>
    <n v="1310.4000000000001"/>
  </r>
  <r>
    <x v="1"/>
    <n v="1197831"/>
    <x v="286"/>
    <x v="1"/>
    <s v="Kansas"/>
    <s v="Wichita"/>
    <s v="Online"/>
    <x v="1"/>
    <n v="29"/>
    <n v="46"/>
    <n v="1334"/>
    <n v="680.34"/>
  </r>
  <r>
    <x v="4"/>
    <n v="1185732"/>
    <x v="286"/>
    <x v="2"/>
    <s v="Alabama"/>
    <s v="Birmingham"/>
    <s v="Online"/>
    <x v="3"/>
    <n v="28"/>
    <n v="63"/>
    <n v="1764"/>
    <n v="846.71999999999991"/>
  </r>
  <r>
    <x v="3"/>
    <n v="1185732"/>
    <x v="287"/>
    <x v="4"/>
    <s v="Massachusetts"/>
    <s v="Boston"/>
    <s v="In-store"/>
    <x v="3"/>
    <n v="55.000000000000007"/>
    <n v="125"/>
    <n v="6875.0000000000009"/>
    <n v="5156.2500000000018"/>
  </r>
  <r>
    <x v="3"/>
    <n v="1185732"/>
    <x v="287"/>
    <x v="4"/>
    <s v="Massachusetts"/>
    <s v="Boston"/>
    <s v="In-store"/>
    <x v="5"/>
    <n v="55.000000000000007"/>
    <n v="100"/>
    <n v="5500.0000000000009"/>
    <n v="4125.0000000000009"/>
  </r>
  <r>
    <x v="3"/>
    <n v="1185732"/>
    <x v="287"/>
    <x v="4"/>
    <s v="Massachusetts"/>
    <s v="Boston"/>
    <s v="In-store"/>
    <x v="1"/>
    <n v="65"/>
    <n v="100"/>
    <n v="6500"/>
    <n v="4875"/>
  </r>
  <r>
    <x v="4"/>
    <n v="1185732"/>
    <x v="287"/>
    <x v="2"/>
    <s v="Alabama"/>
    <s v="Birmingham"/>
    <s v="Outlet"/>
    <x v="5"/>
    <n v="35"/>
    <n v="100"/>
    <n v="3500"/>
    <n v="2450"/>
  </r>
  <r>
    <x v="2"/>
    <n v="1185732"/>
    <x v="287"/>
    <x v="4"/>
    <s v="Delaware"/>
    <s v="Wilmington"/>
    <s v="In-store"/>
    <x v="1"/>
    <n v="65"/>
    <n v="175"/>
    <n v="11375"/>
    <n v="7962.5"/>
  </r>
  <r>
    <x v="3"/>
    <n v="1185732"/>
    <x v="287"/>
    <x v="4"/>
    <s v="Massachusetts"/>
    <s v="Boston"/>
    <s v="In-store"/>
    <x v="4"/>
    <n v="60"/>
    <n v="400"/>
    <n v="24000"/>
    <n v="16800"/>
  </r>
  <r>
    <x v="3"/>
    <n v="1185732"/>
    <x v="287"/>
    <x v="4"/>
    <s v="Massachusetts"/>
    <s v="Boston"/>
    <s v="In-store"/>
    <x v="0"/>
    <n v="55.000000000000007"/>
    <n v="225"/>
    <n v="12375.000000000002"/>
    <n v="8662.5000000000018"/>
  </r>
  <r>
    <x v="4"/>
    <n v="1185732"/>
    <x v="287"/>
    <x v="4"/>
    <s v="Massachusetts"/>
    <s v="Boston"/>
    <s v="In-store"/>
    <x v="2"/>
    <n v="70"/>
    <n v="225"/>
    <n v="15750"/>
    <n v="11025"/>
  </r>
  <r>
    <x v="2"/>
    <n v="1185732"/>
    <x v="287"/>
    <x v="4"/>
    <s v="Delaware"/>
    <s v="Wilmington"/>
    <s v="In-store"/>
    <x v="0"/>
    <n v="55.000000000000007"/>
    <n v="300"/>
    <n v="16500.000000000004"/>
    <n v="10725.000000000004"/>
  </r>
  <r>
    <x v="2"/>
    <n v="1185732"/>
    <x v="287"/>
    <x v="4"/>
    <s v="Delaware"/>
    <s v="Wilmington"/>
    <s v="In-store"/>
    <x v="4"/>
    <n v="60"/>
    <n v="475"/>
    <n v="28500"/>
    <n v="18525"/>
  </r>
  <r>
    <x v="2"/>
    <n v="1185732"/>
    <x v="287"/>
    <x v="4"/>
    <s v="Delaware"/>
    <s v="Wilmington"/>
    <s v="In-store"/>
    <x v="5"/>
    <n v="55.000000000000007"/>
    <n v="175"/>
    <n v="9625.0000000000018"/>
    <n v="5775.0000000000009"/>
  </r>
  <r>
    <x v="1"/>
    <n v="1185732"/>
    <x v="287"/>
    <x v="4"/>
    <s v="Delaware"/>
    <s v="Wilmington"/>
    <s v="In-store"/>
    <x v="2"/>
    <n v="70"/>
    <n v="300"/>
    <n v="21000"/>
    <n v="12600"/>
  </r>
  <r>
    <x v="2"/>
    <n v="1185732"/>
    <x v="287"/>
    <x v="4"/>
    <s v="Delaware"/>
    <s v="Wilmington"/>
    <s v="In-store"/>
    <x v="3"/>
    <n v="55.000000000000007"/>
    <n v="200"/>
    <n v="11000.000000000002"/>
    <n v="6600"/>
  </r>
  <r>
    <x v="3"/>
    <n v="1197831"/>
    <x v="287"/>
    <x v="2"/>
    <s v="Texas"/>
    <s v="Dallas"/>
    <s v="Outlet"/>
    <x v="2"/>
    <n v="70"/>
    <n v="675"/>
    <n v="47250"/>
    <n v="21262.499999999996"/>
  </r>
  <r>
    <x v="3"/>
    <n v="1185732"/>
    <x v="287"/>
    <x v="4"/>
    <s v="Massachusetts"/>
    <s v="Boston"/>
    <s v="Outlet"/>
    <x v="5"/>
    <n v="38"/>
    <n v="32"/>
    <n v="1216"/>
    <n v="887.68"/>
  </r>
  <r>
    <x v="3"/>
    <n v="1185732"/>
    <x v="287"/>
    <x v="4"/>
    <s v="Massachusetts"/>
    <s v="Boston"/>
    <s v="Outlet"/>
    <x v="1"/>
    <n v="51"/>
    <n v="34"/>
    <n v="1734"/>
    <n v="1248.48"/>
  </r>
  <r>
    <x v="3"/>
    <n v="1185732"/>
    <x v="287"/>
    <x v="4"/>
    <s v="Massachusetts"/>
    <s v="Boston"/>
    <s v="Outlet"/>
    <x v="3"/>
    <n v="41"/>
    <n v="38"/>
    <n v="1558"/>
    <n v="1090.5999999999999"/>
  </r>
  <r>
    <x v="3"/>
    <n v="1185732"/>
    <x v="287"/>
    <x v="4"/>
    <s v="Massachusetts"/>
    <s v="Boston"/>
    <s v="Outlet"/>
    <x v="4"/>
    <n v="40"/>
    <n v="132"/>
    <n v="5280"/>
    <n v="3537.6000000000004"/>
  </r>
  <r>
    <x v="4"/>
    <n v="1185732"/>
    <x v="287"/>
    <x v="2"/>
    <s v="Alabama"/>
    <s v="Birmingham"/>
    <s v="Outlet"/>
    <x v="5"/>
    <n v="25"/>
    <n v="30"/>
    <n v="750"/>
    <n v="502.5"/>
  </r>
  <r>
    <x v="3"/>
    <n v="1185732"/>
    <x v="287"/>
    <x v="4"/>
    <s v="Massachusetts"/>
    <s v="Boston"/>
    <s v="Online"/>
    <x v="3"/>
    <n v="53"/>
    <n v="34"/>
    <n v="1802"/>
    <n v="1171.3000000000002"/>
  </r>
  <r>
    <x v="3"/>
    <n v="1185732"/>
    <x v="287"/>
    <x v="4"/>
    <s v="Massachusetts"/>
    <s v="Boston"/>
    <s v="Outlet"/>
    <x v="0"/>
    <n v="37"/>
    <n v="68"/>
    <n v="2516"/>
    <n v="1635.4"/>
  </r>
  <r>
    <x v="3"/>
    <n v="1185732"/>
    <x v="287"/>
    <x v="4"/>
    <s v="Massachusetts"/>
    <s v="Boston"/>
    <s v="Online"/>
    <x v="1"/>
    <n v="62"/>
    <n v="27"/>
    <n v="1674"/>
    <n v="1088.0999999999999"/>
  </r>
  <r>
    <x v="4"/>
    <n v="1185732"/>
    <x v="287"/>
    <x v="4"/>
    <s v="Massachusetts"/>
    <s v="Boston"/>
    <s v="Outlet"/>
    <x v="2"/>
    <n v="51"/>
    <n v="68"/>
    <n v="3468"/>
    <n v="2254.1999999999998"/>
  </r>
  <r>
    <x v="3"/>
    <n v="1185732"/>
    <x v="287"/>
    <x v="4"/>
    <s v="Massachusetts"/>
    <s v="Boston"/>
    <s v="Online"/>
    <x v="5"/>
    <n v="54"/>
    <n v="27"/>
    <n v="1458"/>
    <n v="903.96"/>
  </r>
  <r>
    <x v="2"/>
    <n v="1185732"/>
    <x v="287"/>
    <x v="4"/>
    <s v="Delaware"/>
    <s v="Wilmington"/>
    <s v="Online"/>
    <x v="1"/>
    <n v="62"/>
    <n v="49"/>
    <n v="3038"/>
    <n v="1822.8"/>
  </r>
  <r>
    <x v="4"/>
    <n v="1185732"/>
    <x v="287"/>
    <x v="2"/>
    <s v="Alabama"/>
    <s v="Birmingham"/>
    <s v="Online"/>
    <x v="5"/>
    <n v="34"/>
    <n v="28"/>
    <n v="952"/>
    <n v="561.68000000000006"/>
  </r>
  <r>
    <x v="4"/>
    <n v="1185732"/>
    <x v="287"/>
    <x v="4"/>
    <s v="Massachusetts"/>
    <s v="Boston"/>
    <s v="Online"/>
    <x v="2"/>
    <n v="66"/>
    <n v="65"/>
    <n v="4290"/>
    <n v="2402.4"/>
  </r>
  <r>
    <x v="2"/>
    <n v="1185732"/>
    <x v="287"/>
    <x v="4"/>
    <s v="Delaware"/>
    <s v="Wilmington"/>
    <s v="Online"/>
    <x v="4"/>
    <n v="56"/>
    <n v="128"/>
    <n v="7168"/>
    <n v="3942.4000000000005"/>
  </r>
  <r>
    <x v="3"/>
    <n v="1185732"/>
    <x v="287"/>
    <x v="4"/>
    <s v="Massachusetts"/>
    <s v="Boston"/>
    <s v="Online"/>
    <x v="4"/>
    <n v="57"/>
    <n v="120"/>
    <n v="6840"/>
    <n v="3762.0000000000005"/>
  </r>
  <r>
    <x v="3"/>
    <n v="1185732"/>
    <x v="287"/>
    <x v="4"/>
    <s v="Massachusetts"/>
    <s v="Boston"/>
    <s v="Online"/>
    <x v="0"/>
    <n v="53"/>
    <n v="56"/>
    <n v="2968"/>
    <n v="1632.4"/>
  </r>
  <r>
    <x v="2"/>
    <n v="1185732"/>
    <x v="287"/>
    <x v="4"/>
    <s v="Delaware"/>
    <s v="Wilmington"/>
    <s v="Online"/>
    <x v="0"/>
    <n v="51"/>
    <n v="90"/>
    <n v="4590"/>
    <n v="2478.6000000000004"/>
  </r>
  <r>
    <x v="2"/>
    <n v="1185732"/>
    <x v="287"/>
    <x v="4"/>
    <s v="Delaware"/>
    <s v="Wilmington"/>
    <s v="Online"/>
    <x v="5"/>
    <n v="52"/>
    <n v="44"/>
    <n v="2288"/>
    <n v="1144"/>
  </r>
  <r>
    <x v="2"/>
    <n v="1185732"/>
    <x v="287"/>
    <x v="4"/>
    <s v="Delaware"/>
    <s v="Wilmington"/>
    <s v="Online"/>
    <x v="3"/>
    <n v="50"/>
    <n v="52"/>
    <n v="2600"/>
    <n v="1169.9999999999998"/>
  </r>
  <r>
    <x v="1"/>
    <n v="1185732"/>
    <x v="287"/>
    <x v="4"/>
    <s v="Delaware"/>
    <s v="Wilmington"/>
    <s v="Online"/>
    <x v="2"/>
    <n v="63"/>
    <n v="78"/>
    <n v="4914"/>
    <n v="2211.2999999999997"/>
  </r>
  <r>
    <x v="3"/>
    <n v="1197831"/>
    <x v="287"/>
    <x v="2"/>
    <s v="Texas"/>
    <s v="Dallas"/>
    <s v="Outlet"/>
    <x v="2"/>
    <n v="51"/>
    <n v="236"/>
    <n v="12036"/>
    <n v="4694.0399999999991"/>
  </r>
  <r>
    <x v="3"/>
    <n v="1197831"/>
    <x v="287"/>
    <x v="2"/>
    <s v="Texas"/>
    <s v="Dallas"/>
    <s v="Online"/>
    <x v="2"/>
    <n v="67"/>
    <n v="176"/>
    <n v="11792"/>
    <n v="4127.2"/>
  </r>
  <r>
    <x v="4"/>
    <n v="1185732"/>
    <x v="288"/>
    <x v="4"/>
    <s v="Maine"/>
    <s v="Portland"/>
    <s v="Outlet"/>
    <x v="1"/>
    <n v="50"/>
    <n v="150"/>
    <n v="7500"/>
    <n v="5625"/>
  </r>
  <r>
    <x v="3"/>
    <n v="1197831"/>
    <x v="288"/>
    <x v="2"/>
    <s v="Texas"/>
    <s v="Dallas"/>
    <s v="Outlet"/>
    <x v="4"/>
    <n v="60"/>
    <n v="825"/>
    <n v="49500"/>
    <n v="29700"/>
  </r>
  <r>
    <x v="4"/>
    <n v="1185732"/>
    <x v="288"/>
    <x v="4"/>
    <s v="Maine"/>
    <s v="Portland"/>
    <s v="Online"/>
    <x v="1"/>
    <n v="47"/>
    <n v="42"/>
    <n v="1974"/>
    <n v="1204.1399999999999"/>
  </r>
  <r>
    <x v="3"/>
    <n v="1197831"/>
    <x v="288"/>
    <x v="2"/>
    <s v="Texas"/>
    <s v="Dallas"/>
    <s v="Outlet"/>
    <x v="4"/>
    <n v="46"/>
    <n v="281"/>
    <n v="12926"/>
    <n v="6850.7800000000007"/>
  </r>
  <r>
    <x v="3"/>
    <n v="1197831"/>
    <x v="288"/>
    <x v="2"/>
    <s v="Texas"/>
    <s v="Dallas"/>
    <s v="Online"/>
    <x v="4"/>
    <n v="59"/>
    <n v="223"/>
    <n v="13157"/>
    <n v="6052.2199999999993"/>
  </r>
  <r>
    <x v="5"/>
    <n v="1128299"/>
    <x v="289"/>
    <x v="3"/>
    <s v="Florida"/>
    <s v="Orlando"/>
    <s v="In-store"/>
    <x v="1"/>
    <n v="65"/>
    <n v="350"/>
    <n v="22750"/>
    <n v="18200"/>
  </r>
  <r>
    <x v="5"/>
    <n v="1128299"/>
    <x v="289"/>
    <x v="3"/>
    <s v="Florida"/>
    <s v="Orlando"/>
    <s v="In-store"/>
    <x v="0"/>
    <n v="65.000000000000014"/>
    <n v="575"/>
    <n v="37375.000000000007"/>
    <n v="28031.250000000007"/>
  </r>
  <r>
    <x v="5"/>
    <n v="1128299"/>
    <x v="289"/>
    <x v="3"/>
    <s v="Florida"/>
    <s v="Orlando"/>
    <s v="In-store"/>
    <x v="4"/>
    <n v="50"/>
    <n v="400"/>
    <n v="20000"/>
    <n v="14000"/>
  </r>
  <r>
    <x v="5"/>
    <n v="1128299"/>
    <x v="289"/>
    <x v="3"/>
    <s v="Florida"/>
    <s v="Orlando"/>
    <s v="In-store"/>
    <x v="3"/>
    <n v="60.000000000000007"/>
    <n v="400"/>
    <n v="24000.000000000004"/>
    <n v="16800.000000000004"/>
  </r>
  <r>
    <x v="5"/>
    <n v="1128299"/>
    <x v="289"/>
    <x v="3"/>
    <s v="Florida"/>
    <s v="Orlando"/>
    <s v="In-store"/>
    <x v="5"/>
    <n v="55.000000000000007"/>
    <n v="375"/>
    <n v="20625.000000000004"/>
    <n v="14437.500000000004"/>
  </r>
  <r>
    <x v="3"/>
    <n v="1185732"/>
    <x v="289"/>
    <x v="1"/>
    <s v="Michigan"/>
    <s v="Detroit"/>
    <s v="In-store"/>
    <x v="3"/>
    <n v="40.000000000000014"/>
    <n v="425"/>
    <n v="17000.000000000007"/>
    <n v="11900.000000000004"/>
  </r>
  <r>
    <x v="3"/>
    <n v="1185732"/>
    <x v="289"/>
    <x v="1"/>
    <s v="Michigan"/>
    <s v="Detroit"/>
    <s v="In-store"/>
    <x v="5"/>
    <n v="40.000000000000014"/>
    <n v="400"/>
    <n v="16000.000000000005"/>
    <n v="10400.000000000004"/>
  </r>
  <r>
    <x v="0"/>
    <n v="1128299"/>
    <x v="289"/>
    <x v="2"/>
    <s v="Louisiana"/>
    <s v="New Orleans"/>
    <s v="Online"/>
    <x v="2"/>
    <n v="55.000000000000007"/>
    <n v="400"/>
    <n v="22000.000000000004"/>
    <n v="14300.000000000004"/>
  </r>
  <r>
    <x v="0"/>
    <n v="1128299"/>
    <x v="289"/>
    <x v="2"/>
    <s v="Louisiana"/>
    <s v="New Orleans"/>
    <s v="Online"/>
    <x v="5"/>
    <n v="40.000000000000007"/>
    <n v="375"/>
    <n v="15000.000000000002"/>
    <n v="9000.0000000000036"/>
  </r>
  <r>
    <x v="3"/>
    <n v="1185732"/>
    <x v="289"/>
    <x v="1"/>
    <s v="Michigan"/>
    <s v="Detroit"/>
    <s v="In-store"/>
    <x v="0"/>
    <n v="40.000000000000014"/>
    <n v="575"/>
    <n v="23000.000000000007"/>
    <n v="13800.000000000005"/>
  </r>
  <r>
    <x v="0"/>
    <n v="1128299"/>
    <x v="289"/>
    <x v="2"/>
    <s v="Louisiana"/>
    <s v="New Orleans"/>
    <s v="Online"/>
    <x v="0"/>
    <n v="50.000000000000014"/>
    <n v="575"/>
    <n v="28750.000000000007"/>
    <n v="17250.000000000007"/>
  </r>
  <r>
    <x v="3"/>
    <n v="1197831"/>
    <x v="289"/>
    <x v="2"/>
    <s v="Texas"/>
    <s v="Dallas"/>
    <s v="Outlet"/>
    <x v="0"/>
    <n v="60"/>
    <n v="825"/>
    <n v="49500"/>
    <n v="29700"/>
  </r>
  <r>
    <x v="4"/>
    <n v="1185732"/>
    <x v="289"/>
    <x v="4"/>
    <s v="Maine"/>
    <s v="Portland"/>
    <s v="Outlet"/>
    <x v="2"/>
    <n v="40"/>
    <n v="250"/>
    <n v="10000"/>
    <n v="6000"/>
  </r>
  <r>
    <x v="3"/>
    <n v="1185732"/>
    <x v="289"/>
    <x v="1"/>
    <s v="Michigan"/>
    <s v="Detroit"/>
    <s v="In-store"/>
    <x v="1"/>
    <n v="50.000000000000014"/>
    <n v="400"/>
    <n v="20000.000000000007"/>
    <n v="12000.000000000004"/>
  </r>
  <r>
    <x v="0"/>
    <n v="1128299"/>
    <x v="289"/>
    <x v="2"/>
    <s v="Louisiana"/>
    <s v="New Orleans"/>
    <s v="Online"/>
    <x v="4"/>
    <n v="35"/>
    <n v="400"/>
    <n v="14000"/>
    <n v="8400"/>
  </r>
  <r>
    <x v="0"/>
    <n v="1128299"/>
    <x v="289"/>
    <x v="2"/>
    <s v="Louisiana"/>
    <s v="New Orleans"/>
    <s v="Online"/>
    <x v="3"/>
    <n v="45.000000000000014"/>
    <n v="400"/>
    <n v="18000.000000000007"/>
    <n v="10800.000000000004"/>
  </r>
  <r>
    <x v="0"/>
    <n v="1185732"/>
    <x v="289"/>
    <x v="4"/>
    <s v="West Virginia"/>
    <s v="Charleston"/>
    <s v="In-store"/>
    <x v="4"/>
    <n v="44.999999999999993"/>
    <n v="425"/>
    <n v="19124.999999999996"/>
    <n v="11474.999999999998"/>
  </r>
  <r>
    <x v="0"/>
    <n v="1185732"/>
    <x v="289"/>
    <x v="4"/>
    <s v="West Virginia"/>
    <s v="Charleston"/>
    <s v="In-store"/>
    <x v="0"/>
    <n v="35"/>
    <n v="275"/>
    <n v="9625"/>
    <n v="5775"/>
  </r>
  <r>
    <x v="0"/>
    <n v="1185732"/>
    <x v="289"/>
    <x v="4"/>
    <s v="West Virginia"/>
    <s v="Charleston"/>
    <s v="In-store"/>
    <x v="3"/>
    <n v="35"/>
    <n v="175"/>
    <n v="6125"/>
    <n v="3675"/>
  </r>
  <r>
    <x v="0"/>
    <n v="1185732"/>
    <x v="289"/>
    <x v="4"/>
    <s v="West Virginia"/>
    <s v="Charleston"/>
    <s v="In-store"/>
    <x v="5"/>
    <n v="35"/>
    <n v="175"/>
    <n v="6125"/>
    <n v="3675"/>
  </r>
  <r>
    <x v="0"/>
    <n v="1185732"/>
    <x v="289"/>
    <x v="4"/>
    <s v="West Virginia"/>
    <s v="Charleston"/>
    <s v="In-store"/>
    <x v="1"/>
    <n v="44.999999999999993"/>
    <n v="175"/>
    <n v="7874.9999999999991"/>
    <n v="4724.9999999999982"/>
  </r>
  <r>
    <x v="2"/>
    <n v="1185732"/>
    <x v="289"/>
    <x v="4"/>
    <s v="West Virginia"/>
    <s v="Charleston"/>
    <s v="In-store"/>
    <x v="2"/>
    <n v="49.999999999999986"/>
    <n v="300"/>
    <n v="14999.999999999996"/>
    <n v="8999.9999999999964"/>
  </r>
  <r>
    <x v="5"/>
    <n v="1128299"/>
    <x v="289"/>
    <x v="3"/>
    <s v="Florida"/>
    <s v="Orlando"/>
    <s v="In-store"/>
    <x v="2"/>
    <n v="70"/>
    <n v="400"/>
    <n v="28000"/>
    <n v="15400"/>
  </r>
  <r>
    <x v="0"/>
    <n v="1128299"/>
    <x v="289"/>
    <x v="2"/>
    <s v="Louisiana"/>
    <s v="New Orleans"/>
    <s v="Online"/>
    <x v="1"/>
    <n v="50"/>
    <n v="350"/>
    <n v="17500"/>
    <n v="9625"/>
  </r>
  <r>
    <x v="3"/>
    <n v="1185732"/>
    <x v="289"/>
    <x v="1"/>
    <s v="Michigan"/>
    <s v="Detroit"/>
    <s v="In-store"/>
    <x v="4"/>
    <n v="50.000000000000014"/>
    <n v="750"/>
    <n v="37500.000000000007"/>
    <n v="18750.000000000007"/>
  </r>
  <r>
    <x v="3"/>
    <n v="1185732"/>
    <x v="289"/>
    <x v="1"/>
    <s v="Michigan"/>
    <s v="Detroit"/>
    <s v="In-store"/>
    <x v="2"/>
    <n v="55.000000000000007"/>
    <n v="525"/>
    <n v="28875.000000000004"/>
    <n v="12993.75"/>
  </r>
  <r>
    <x v="5"/>
    <n v="1128299"/>
    <x v="289"/>
    <x v="3"/>
    <s v="Florida"/>
    <s v="Orlando"/>
    <s v="Outlet"/>
    <x v="1"/>
    <n v="47"/>
    <n v="116"/>
    <n v="5452"/>
    <n v="4252.5599999999995"/>
  </r>
  <r>
    <x v="5"/>
    <n v="1128299"/>
    <x v="289"/>
    <x v="3"/>
    <s v="Florida"/>
    <s v="Orlando"/>
    <s v="Outlet"/>
    <x v="0"/>
    <n v="43"/>
    <n v="190"/>
    <n v="8170"/>
    <n v="5800.7000000000007"/>
  </r>
  <r>
    <x v="5"/>
    <n v="1128299"/>
    <x v="289"/>
    <x v="3"/>
    <s v="Florida"/>
    <s v="Orlando"/>
    <s v="Online"/>
    <x v="1"/>
    <n v="59"/>
    <n v="98"/>
    <n v="5782"/>
    <n v="3989.58"/>
  </r>
  <r>
    <x v="5"/>
    <n v="1128299"/>
    <x v="289"/>
    <x v="3"/>
    <s v="Florida"/>
    <s v="Orlando"/>
    <s v="Outlet"/>
    <x v="3"/>
    <n v="43"/>
    <n v="128"/>
    <n v="5504"/>
    <n v="3632.6400000000003"/>
  </r>
  <r>
    <x v="5"/>
    <n v="1128299"/>
    <x v="289"/>
    <x v="3"/>
    <s v="Florida"/>
    <s v="Orlando"/>
    <s v="Outlet"/>
    <x v="5"/>
    <n v="40"/>
    <n v="120"/>
    <n v="4800"/>
    <n v="3120"/>
  </r>
  <r>
    <x v="5"/>
    <n v="1128299"/>
    <x v="289"/>
    <x v="3"/>
    <s v="Florida"/>
    <s v="Orlando"/>
    <s v="Outlet"/>
    <x v="4"/>
    <n v="39"/>
    <n v="140"/>
    <n v="5460"/>
    <n v="3439.8"/>
  </r>
  <r>
    <x v="5"/>
    <n v="1128299"/>
    <x v="289"/>
    <x v="3"/>
    <s v="Florida"/>
    <s v="Orlando"/>
    <s v="Online"/>
    <x v="0"/>
    <n v="59"/>
    <n v="144"/>
    <n v="8496"/>
    <n v="5267.52"/>
  </r>
  <r>
    <x v="0"/>
    <n v="1128299"/>
    <x v="289"/>
    <x v="2"/>
    <s v="Louisiana"/>
    <s v="New Orleans"/>
    <s v="Outlet"/>
    <x v="2"/>
    <n v="44"/>
    <n v="140"/>
    <n v="6160"/>
    <n v="3696"/>
  </r>
  <r>
    <x v="5"/>
    <n v="1128299"/>
    <x v="289"/>
    <x v="3"/>
    <s v="Florida"/>
    <s v="Orlando"/>
    <s v="Online"/>
    <x v="3"/>
    <n v="55"/>
    <n v="112"/>
    <n v="6160"/>
    <n v="3634.4"/>
  </r>
  <r>
    <x v="5"/>
    <n v="1128299"/>
    <x v="289"/>
    <x v="3"/>
    <s v="Florida"/>
    <s v="Orlando"/>
    <s v="Online"/>
    <x v="5"/>
    <n v="51"/>
    <n v="113"/>
    <n v="5763"/>
    <n v="3400.17"/>
  </r>
  <r>
    <x v="3"/>
    <n v="1197831"/>
    <x v="289"/>
    <x v="2"/>
    <s v="Texas"/>
    <s v="Dallas"/>
    <s v="Outlet"/>
    <x v="0"/>
    <n v="39"/>
    <n v="248"/>
    <n v="9672"/>
    <n v="5609.76"/>
  </r>
  <r>
    <x v="0"/>
    <n v="1128299"/>
    <x v="289"/>
    <x v="2"/>
    <s v="Louisiana"/>
    <s v="New Orleans"/>
    <s v="Outlet"/>
    <x v="5"/>
    <n v="31"/>
    <n v="120"/>
    <n v="3720"/>
    <n v="2120.4000000000005"/>
  </r>
  <r>
    <x v="0"/>
    <n v="1128299"/>
    <x v="289"/>
    <x v="2"/>
    <s v="Louisiana"/>
    <s v="New Orleans"/>
    <s v="Outlet"/>
    <x v="4"/>
    <n v="25"/>
    <n v="124"/>
    <n v="3100"/>
    <n v="1767.0000000000002"/>
  </r>
  <r>
    <x v="5"/>
    <n v="1128299"/>
    <x v="289"/>
    <x v="3"/>
    <s v="Florida"/>
    <s v="Orlando"/>
    <s v="Online"/>
    <x v="4"/>
    <n v="47"/>
    <n v="100"/>
    <n v="4700"/>
    <n v="2632"/>
  </r>
  <r>
    <x v="3"/>
    <n v="1185732"/>
    <x v="289"/>
    <x v="1"/>
    <s v="Michigan"/>
    <s v="Detroit"/>
    <s v="Online"/>
    <x v="3"/>
    <n v="37"/>
    <n v="123"/>
    <n v="4551"/>
    <n v="2503.0500000000002"/>
  </r>
  <r>
    <x v="0"/>
    <n v="1128299"/>
    <x v="289"/>
    <x v="2"/>
    <s v="Louisiana"/>
    <s v="New Orleans"/>
    <s v="Outlet"/>
    <x v="0"/>
    <n v="34"/>
    <n v="184"/>
    <n v="6256"/>
    <n v="3440.8"/>
  </r>
  <r>
    <x v="0"/>
    <n v="1128299"/>
    <x v="289"/>
    <x v="2"/>
    <s v="Louisiana"/>
    <s v="New Orleans"/>
    <s v="Outlet"/>
    <x v="3"/>
    <n v="33"/>
    <n v="128"/>
    <n v="4224"/>
    <n v="2323.2000000000003"/>
  </r>
  <r>
    <x v="0"/>
    <n v="1128299"/>
    <x v="289"/>
    <x v="2"/>
    <s v="Louisiana"/>
    <s v="New Orleans"/>
    <s v="Online"/>
    <x v="2"/>
    <n v="50"/>
    <n v="108"/>
    <n v="5400"/>
    <n v="2862"/>
  </r>
  <r>
    <x v="0"/>
    <n v="1128299"/>
    <x v="289"/>
    <x v="2"/>
    <s v="Louisiana"/>
    <s v="New Orleans"/>
    <s v="Outlet"/>
    <x v="1"/>
    <n v="39"/>
    <n v="112"/>
    <n v="4368"/>
    <n v="2271.36"/>
  </r>
  <r>
    <x v="3"/>
    <n v="1185732"/>
    <x v="289"/>
    <x v="1"/>
    <s v="Michigan"/>
    <s v="Detroit"/>
    <s v="Online"/>
    <x v="5"/>
    <n v="38"/>
    <n v="116"/>
    <n v="4408"/>
    <n v="2204"/>
  </r>
  <r>
    <x v="0"/>
    <n v="1128299"/>
    <x v="289"/>
    <x v="2"/>
    <s v="Louisiana"/>
    <s v="New Orleans"/>
    <s v="Online"/>
    <x v="3"/>
    <n v="42"/>
    <n v="100"/>
    <n v="4200"/>
    <n v="2100"/>
  </r>
  <r>
    <x v="0"/>
    <n v="1128299"/>
    <x v="289"/>
    <x v="2"/>
    <s v="Louisiana"/>
    <s v="New Orleans"/>
    <s v="Online"/>
    <x v="5"/>
    <n v="36"/>
    <n v="105"/>
    <n v="3780"/>
    <n v="1890"/>
  </r>
  <r>
    <x v="2"/>
    <n v="1185732"/>
    <x v="289"/>
    <x v="4"/>
    <s v="West Virginia"/>
    <s v="Charleston"/>
    <s v="Online"/>
    <x v="2"/>
    <n v="47"/>
    <n v="84"/>
    <n v="3948"/>
    <n v="1974"/>
  </r>
  <r>
    <x v="3"/>
    <n v="1185732"/>
    <x v="289"/>
    <x v="1"/>
    <s v="Michigan"/>
    <s v="Detroit"/>
    <s v="Online"/>
    <x v="0"/>
    <n v="37"/>
    <n v="167"/>
    <n v="6179"/>
    <n v="3027.71"/>
  </r>
  <r>
    <x v="3"/>
    <n v="1197831"/>
    <x v="289"/>
    <x v="2"/>
    <s v="Texas"/>
    <s v="Dallas"/>
    <s v="Online"/>
    <x v="0"/>
    <n v="56"/>
    <n v="231"/>
    <n v="12936"/>
    <n v="6209.28"/>
  </r>
  <r>
    <x v="4"/>
    <n v="1185732"/>
    <x v="289"/>
    <x v="4"/>
    <s v="Maine"/>
    <s v="Portland"/>
    <s v="Online"/>
    <x v="2"/>
    <n v="38"/>
    <n v="68"/>
    <n v="2584"/>
    <n v="1240.32"/>
  </r>
  <r>
    <x v="0"/>
    <n v="1185732"/>
    <x v="289"/>
    <x v="4"/>
    <s v="West Virginia"/>
    <s v="Charleston"/>
    <s v="Online"/>
    <x v="0"/>
    <n v="32"/>
    <n v="80"/>
    <n v="2560"/>
    <n v="1228.8"/>
  </r>
  <r>
    <x v="5"/>
    <n v="1128299"/>
    <x v="289"/>
    <x v="3"/>
    <s v="Florida"/>
    <s v="Orlando"/>
    <s v="Outlet"/>
    <x v="2"/>
    <n v="53"/>
    <n v="140"/>
    <n v="7420"/>
    <n v="3561.6"/>
  </r>
  <r>
    <x v="0"/>
    <n v="1185732"/>
    <x v="289"/>
    <x v="4"/>
    <s v="West Virginia"/>
    <s v="Charleston"/>
    <s v="Online"/>
    <x v="3"/>
    <n v="33"/>
    <n v="44"/>
    <n v="1452"/>
    <n v="682.43999999999994"/>
  </r>
  <r>
    <x v="0"/>
    <n v="1185732"/>
    <x v="289"/>
    <x v="4"/>
    <s v="West Virginia"/>
    <s v="Charleston"/>
    <s v="Online"/>
    <x v="5"/>
    <n v="32"/>
    <n v="47"/>
    <n v="1504"/>
    <n v="706.88"/>
  </r>
  <r>
    <x v="0"/>
    <n v="1128299"/>
    <x v="289"/>
    <x v="2"/>
    <s v="Louisiana"/>
    <s v="New Orleans"/>
    <s v="Online"/>
    <x v="4"/>
    <n v="34"/>
    <n v="112"/>
    <n v="3808"/>
    <n v="1751.6799999999998"/>
  </r>
  <r>
    <x v="0"/>
    <n v="1185732"/>
    <x v="289"/>
    <x v="4"/>
    <s v="West Virginia"/>
    <s v="Charleston"/>
    <s v="Online"/>
    <x v="4"/>
    <n v="41"/>
    <n v="115"/>
    <n v="4715"/>
    <n v="2168.8999999999996"/>
  </r>
  <r>
    <x v="3"/>
    <n v="1185732"/>
    <x v="289"/>
    <x v="1"/>
    <s v="Michigan"/>
    <s v="Detroit"/>
    <s v="Online"/>
    <x v="1"/>
    <n v="48"/>
    <n v="112"/>
    <n v="5376"/>
    <n v="2419.2000000000003"/>
  </r>
  <r>
    <x v="0"/>
    <n v="1128299"/>
    <x v="289"/>
    <x v="2"/>
    <s v="Louisiana"/>
    <s v="New Orleans"/>
    <s v="Online"/>
    <x v="0"/>
    <n v="45"/>
    <n v="155"/>
    <n v="6975"/>
    <n v="3138.7500000000005"/>
  </r>
  <r>
    <x v="0"/>
    <n v="1185732"/>
    <x v="289"/>
    <x v="4"/>
    <s v="West Virginia"/>
    <s v="Charleston"/>
    <s v="Online"/>
    <x v="1"/>
    <n v="41"/>
    <n v="53"/>
    <n v="2173"/>
    <n v="977.84999999999991"/>
  </r>
  <r>
    <x v="5"/>
    <n v="1128299"/>
    <x v="289"/>
    <x v="3"/>
    <s v="Florida"/>
    <s v="Orlando"/>
    <s v="Online"/>
    <x v="2"/>
    <n v="65"/>
    <n v="104"/>
    <n v="6760"/>
    <n v="2839.1999999999994"/>
  </r>
  <r>
    <x v="0"/>
    <n v="1128299"/>
    <x v="289"/>
    <x v="2"/>
    <s v="Louisiana"/>
    <s v="New Orleans"/>
    <s v="Online"/>
    <x v="1"/>
    <n v="47"/>
    <n v="95"/>
    <n v="4465"/>
    <n v="1830.6499999999996"/>
  </r>
  <r>
    <x v="3"/>
    <n v="1185732"/>
    <x v="289"/>
    <x v="1"/>
    <s v="Michigan"/>
    <s v="Detroit"/>
    <s v="Online"/>
    <x v="4"/>
    <n v="49"/>
    <n v="225"/>
    <n v="11025"/>
    <n v="4299.75"/>
  </r>
  <r>
    <x v="3"/>
    <n v="1185732"/>
    <x v="289"/>
    <x v="1"/>
    <s v="Michigan"/>
    <s v="Detroit"/>
    <s v="Online"/>
    <x v="2"/>
    <n v="52"/>
    <n v="137"/>
    <n v="7124"/>
    <n v="2137.1999999999998"/>
  </r>
  <r>
    <x v="5"/>
    <n v="1185732"/>
    <x v="290"/>
    <x v="2"/>
    <s v="Mississippi"/>
    <s v="Jackson"/>
    <s v="Online"/>
    <x v="1"/>
    <n v="35.000000000000007"/>
    <n v="350"/>
    <n v="12250.000000000002"/>
    <n v="7962.5000000000027"/>
  </r>
  <r>
    <x v="5"/>
    <n v="1185732"/>
    <x v="290"/>
    <x v="2"/>
    <s v="Mississippi"/>
    <s v="Jackson"/>
    <s v="Online"/>
    <x v="0"/>
    <n v="25.000000000000011"/>
    <n v="500"/>
    <n v="12500.000000000005"/>
    <n v="8125.0000000000045"/>
  </r>
  <r>
    <x v="4"/>
    <n v="1185732"/>
    <x v="290"/>
    <x v="4"/>
    <s v="Maine"/>
    <s v="Portland"/>
    <s v="Outlet"/>
    <x v="4"/>
    <n v="40"/>
    <n v="500"/>
    <n v="20000"/>
    <n v="13000"/>
  </r>
  <r>
    <x v="2"/>
    <n v="1185732"/>
    <x v="290"/>
    <x v="1"/>
    <s v="Missouri"/>
    <s v="St. Louis"/>
    <s v="In-store"/>
    <x v="0"/>
    <n v="25"/>
    <n v="350"/>
    <n v="8750"/>
    <n v="5687.5"/>
  </r>
  <r>
    <x v="2"/>
    <n v="1185732"/>
    <x v="290"/>
    <x v="1"/>
    <s v="Missouri"/>
    <s v="St. Louis"/>
    <s v="In-store"/>
    <x v="3"/>
    <n v="25"/>
    <n v="250"/>
    <n v="6250"/>
    <n v="4062.5"/>
  </r>
  <r>
    <x v="2"/>
    <n v="1185732"/>
    <x v="290"/>
    <x v="1"/>
    <s v="Missouri"/>
    <s v="St. Louis"/>
    <s v="In-store"/>
    <x v="1"/>
    <n v="35"/>
    <n v="225"/>
    <n v="7875"/>
    <n v="5118.75"/>
  </r>
  <r>
    <x v="5"/>
    <n v="1185732"/>
    <x v="290"/>
    <x v="2"/>
    <s v="Mississippi"/>
    <s v="Jackson"/>
    <s v="Online"/>
    <x v="4"/>
    <n v="35.000000000000007"/>
    <n v="675"/>
    <n v="23625.000000000004"/>
    <n v="14175.000000000004"/>
  </r>
  <r>
    <x v="3"/>
    <n v="1197831"/>
    <x v="290"/>
    <x v="2"/>
    <s v="Texas"/>
    <s v="Dallas"/>
    <s v="Outlet"/>
    <x v="3"/>
    <n v="65"/>
    <n v="725"/>
    <n v="47125"/>
    <n v="28275"/>
  </r>
  <r>
    <x v="2"/>
    <n v="1185732"/>
    <x v="290"/>
    <x v="1"/>
    <s v="Missouri"/>
    <s v="St. Louis"/>
    <s v="In-store"/>
    <x v="4"/>
    <n v="35"/>
    <n v="525"/>
    <n v="18375"/>
    <n v="11025"/>
  </r>
  <r>
    <x v="2"/>
    <n v="1185732"/>
    <x v="290"/>
    <x v="1"/>
    <s v="Missouri"/>
    <s v="St. Louis"/>
    <s v="In-store"/>
    <x v="5"/>
    <n v="25"/>
    <n v="225"/>
    <n v="5625"/>
    <n v="3375"/>
  </r>
  <r>
    <x v="5"/>
    <n v="1185732"/>
    <x v="290"/>
    <x v="2"/>
    <s v="Mississippi"/>
    <s v="Jackson"/>
    <s v="Online"/>
    <x v="3"/>
    <n v="25.000000000000011"/>
    <n v="375"/>
    <n v="9375.0000000000036"/>
    <n v="5625.0000000000018"/>
  </r>
  <r>
    <x v="5"/>
    <n v="1185732"/>
    <x v="290"/>
    <x v="2"/>
    <s v="Mississippi"/>
    <s v="Jackson"/>
    <s v="Online"/>
    <x v="5"/>
    <n v="25.000000000000011"/>
    <n v="350"/>
    <n v="8750.0000000000036"/>
    <n v="5250.0000000000018"/>
  </r>
  <r>
    <x v="3"/>
    <n v="1185732"/>
    <x v="290"/>
    <x v="2"/>
    <s v="Mississippi"/>
    <s v="Jackson"/>
    <s v="Online"/>
    <x v="2"/>
    <n v="35"/>
    <n v="475"/>
    <n v="16625"/>
    <n v="8312.5"/>
  </r>
  <r>
    <x v="2"/>
    <n v="1185732"/>
    <x v="290"/>
    <x v="1"/>
    <s v="Missouri"/>
    <s v="St. Louis"/>
    <s v="In-store"/>
    <x v="2"/>
    <n v="39.999999999999993"/>
    <n v="350"/>
    <n v="13999.999999999998"/>
    <n v="6999.9999999999982"/>
  </r>
  <r>
    <x v="5"/>
    <n v="1185732"/>
    <x v="290"/>
    <x v="2"/>
    <s v="Mississippi"/>
    <s v="Jackson"/>
    <s v="Outlet"/>
    <x v="0"/>
    <n v="17"/>
    <n v="165"/>
    <n v="2805"/>
    <n v="1767.15"/>
  </r>
  <r>
    <x v="5"/>
    <n v="1185732"/>
    <x v="290"/>
    <x v="2"/>
    <s v="Mississippi"/>
    <s v="Jackson"/>
    <s v="Outlet"/>
    <x v="1"/>
    <n v="25"/>
    <n v="105"/>
    <n v="2625"/>
    <n v="1522.5"/>
  </r>
  <r>
    <x v="3"/>
    <n v="1197831"/>
    <x v="290"/>
    <x v="2"/>
    <s v="Texas"/>
    <s v="Dallas"/>
    <s v="Outlet"/>
    <x v="3"/>
    <n v="46"/>
    <n v="239"/>
    <n v="10994"/>
    <n v="6156.64"/>
  </r>
  <r>
    <x v="5"/>
    <n v="1185732"/>
    <x v="290"/>
    <x v="2"/>
    <s v="Mississippi"/>
    <s v="Jackson"/>
    <s v="Online"/>
    <x v="0"/>
    <n v="25"/>
    <n v="145"/>
    <n v="3625"/>
    <n v="1993.7500000000002"/>
  </r>
  <r>
    <x v="5"/>
    <n v="1185732"/>
    <x v="290"/>
    <x v="2"/>
    <s v="Mississippi"/>
    <s v="Jackson"/>
    <s v="Outlet"/>
    <x v="5"/>
    <n v="20"/>
    <n v="109"/>
    <n v="2180"/>
    <n v="1199"/>
  </r>
  <r>
    <x v="5"/>
    <n v="1185732"/>
    <x v="290"/>
    <x v="2"/>
    <s v="Mississippi"/>
    <s v="Jackson"/>
    <s v="Outlet"/>
    <x v="4"/>
    <n v="24"/>
    <n v="216"/>
    <n v="5184"/>
    <n v="2799.3599999999997"/>
  </r>
  <r>
    <x v="2"/>
    <n v="1185732"/>
    <x v="290"/>
    <x v="1"/>
    <s v="Missouri"/>
    <s v="St. Louis"/>
    <s v="Online"/>
    <x v="1"/>
    <n v="32"/>
    <n v="68"/>
    <n v="2176"/>
    <n v="1153.2800000000002"/>
  </r>
  <r>
    <x v="5"/>
    <n v="1185732"/>
    <x v="290"/>
    <x v="2"/>
    <s v="Mississippi"/>
    <s v="Jackson"/>
    <s v="Outlet"/>
    <x v="3"/>
    <n v="19"/>
    <n v="120"/>
    <n v="2280"/>
    <n v="1208.3999999999999"/>
  </r>
  <r>
    <x v="2"/>
    <n v="1185732"/>
    <x v="290"/>
    <x v="1"/>
    <s v="Missouri"/>
    <s v="St. Louis"/>
    <s v="Online"/>
    <x v="3"/>
    <n v="23"/>
    <n v="73"/>
    <n v="1679"/>
    <n v="873.08"/>
  </r>
  <r>
    <x v="4"/>
    <n v="1185732"/>
    <x v="290"/>
    <x v="4"/>
    <s v="Maine"/>
    <s v="Portland"/>
    <s v="Online"/>
    <x v="4"/>
    <n v="38"/>
    <n v="140"/>
    <n v="5320"/>
    <n v="2713.2000000000003"/>
  </r>
  <r>
    <x v="2"/>
    <n v="1185732"/>
    <x v="290"/>
    <x v="1"/>
    <s v="Missouri"/>
    <s v="St. Louis"/>
    <s v="Online"/>
    <x v="0"/>
    <n v="24"/>
    <n v="91"/>
    <n v="2184"/>
    <n v="1092"/>
  </r>
  <r>
    <x v="2"/>
    <n v="1185732"/>
    <x v="290"/>
    <x v="1"/>
    <s v="Missouri"/>
    <s v="St. Louis"/>
    <s v="Online"/>
    <x v="5"/>
    <n v="23"/>
    <n v="59"/>
    <n v="1357"/>
    <n v="678.5"/>
  </r>
  <r>
    <x v="5"/>
    <n v="1185732"/>
    <x v="290"/>
    <x v="2"/>
    <s v="Mississippi"/>
    <s v="Jackson"/>
    <s v="Online"/>
    <x v="5"/>
    <n v="23"/>
    <n v="105"/>
    <n v="2415"/>
    <n v="1207.5"/>
  </r>
  <r>
    <x v="5"/>
    <n v="1185732"/>
    <x v="290"/>
    <x v="2"/>
    <s v="Mississippi"/>
    <s v="Jackson"/>
    <s v="Online"/>
    <x v="1"/>
    <n v="32"/>
    <n v="98"/>
    <n v="3136"/>
    <n v="1568"/>
  </r>
  <r>
    <x v="2"/>
    <n v="1185732"/>
    <x v="290"/>
    <x v="1"/>
    <s v="Missouri"/>
    <s v="St. Louis"/>
    <s v="Online"/>
    <x v="4"/>
    <n v="34"/>
    <n v="131"/>
    <n v="4454"/>
    <n v="2182.46"/>
  </r>
  <r>
    <x v="3"/>
    <n v="1197831"/>
    <x v="290"/>
    <x v="2"/>
    <s v="Texas"/>
    <s v="Dallas"/>
    <s v="Online"/>
    <x v="3"/>
    <n v="62"/>
    <n v="189"/>
    <n v="11718"/>
    <n v="5390.28"/>
  </r>
  <r>
    <x v="5"/>
    <n v="1185732"/>
    <x v="290"/>
    <x v="2"/>
    <s v="Mississippi"/>
    <s v="Jackson"/>
    <s v="Online"/>
    <x v="4"/>
    <n v="32"/>
    <n v="176"/>
    <n v="5632"/>
    <n v="2590.7199999999998"/>
  </r>
  <r>
    <x v="5"/>
    <n v="1185732"/>
    <x v="290"/>
    <x v="2"/>
    <s v="Mississippi"/>
    <s v="Jackson"/>
    <s v="Online"/>
    <x v="3"/>
    <n v="24"/>
    <n v="98"/>
    <n v="2352"/>
    <n v="1081.9199999999998"/>
  </r>
  <r>
    <x v="3"/>
    <n v="1185732"/>
    <x v="290"/>
    <x v="2"/>
    <s v="Mississippi"/>
    <s v="Jackson"/>
    <s v="Outlet"/>
    <x v="2"/>
    <n v="27"/>
    <n v="162"/>
    <n v="4374"/>
    <n v="2012.04"/>
  </r>
  <r>
    <x v="2"/>
    <n v="1185732"/>
    <x v="290"/>
    <x v="1"/>
    <s v="Missouri"/>
    <s v="St. Louis"/>
    <s v="Online"/>
    <x v="2"/>
    <n v="38"/>
    <n v="88"/>
    <n v="3344"/>
    <n v="1203.8400000000001"/>
  </r>
  <r>
    <x v="3"/>
    <n v="1185732"/>
    <x v="290"/>
    <x v="2"/>
    <s v="Mississippi"/>
    <s v="Jackson"/>
    <s v="Online"/>
    <x v="2"/>
    <n v="33"/>
    <n v="124"/>
    <n v="4092"/>
    <n v="1473.12"/>
  </r>
  <r>
    <x v="4"/>
    <n v="1185732"/>
    <x v="291"/>
    <x v="4"/>
    <s v="Maine"/>
    <s v="Portland"/>
    <s v="Outlet"/>
    <x v="1"/>
    <n v="65"/>
    <n v="100"/>
    <n v="6500"/>
    <n v="4875"/>
  </r>
  <r>
    <x v="2"/>
    <n v="1185732"/>
    <x v="291"/>
    <x v="4"/>
    <s v="New Hampshire"/>
    <s v="Manchester"/>
    <s v="Outlet"/>
    <x v="5"/>
    <n v="65.000000000000014"/>
    <n v="175"/>
    <n v="11375.000000000002"/>
    <n v="7962.5000000000027"/>
  </r>
  <r>
    <x v="2"/>
    <n v="1185732"/>
    <x v="291"/>
    <x v="4"/>
    <s v="New Hampshire"/>
    <s v="Manchester"/>
    <s v="Outlet"/>
    <x v="1"/>
    <n v="75.000000000000014"/>
    <n v="175"/>
    <n v="13125.000000000002"/>
    <n v="9187.5000000000036"/>
  </r>
  <r>
    <x v="2"/>
    <n v="1185732"/>
    <x v="291"/>
    <x v="4"/>
    <s v="New Hampshire"/>
    <s v="Manchester"/>
    <s v="Outlet"/>
    <x v="3"/>
    <n v="65.000000000000014"/>
    <n v="200"/>
    <n v="13000.000000000004"/>
    <n v="9100.0000000000036"/>
  </r>
  <r>
    <x v="4"/>
    <n v="1185732"/>
    <x v="291"/>
    <x v="4"/>
    <s v="Maine"/>
    <s v="Portland"/>
    <s v="Outlet"/>
    <x v="5"/>
    <n v="55.000000000000007"/>
    <n v="100"/>
    <n v="5500.0000000000009"/>
    <n v="3850.0000000000009"/>
  </r>
  <r>
    <x v="4"/>
    <n v="1185732"/>
    <x v="291"/>
    <x v="4"/>
    <s v="Maine"/>
    <s v="Portland"/>
    <s v="Outlet"/>
    <x v="0"/>
    <n v="40"/>
    <n v="150"/>
    <n v="6000"/>
    <n v="3900"/>
  </r>
  <r>
    <x v="4"/>
    <n v="1185732"/>
    <x v="291"/>
    <x v="4"/>
    <s v="Maine"/>
    <s v="Portland"/>
    <s v="Outlet"/>
    <x v="4"/>
    <n v="60"/>
    <n v="400"/>
    <n v="24000"/>
    <n v="15600"/>
  </r>
  <r>
    <x v="4"/>
    <n v="1185732"/>
    <x v="291"/>
    <x v="4"/>
    <s v="Maine"/>
    <s v="Portland"/>
    <s v="Outlet"/>
    <x v="0"/>
    <n v="55.000000000000007"/>
    <n v="225"/>
    <n v="12375.000000000002"/>
    <n v="8043.7500000000018"/>
  </r>
  <r>
    <x v="2"/>
    <n v="1185732"/>
    <x v="291"/>
    <x v="4"/>
    <s v="New Hampshire"/>
    <s v="Manchester"/>
    <s v="Outlet"/>
    <x v="2"/>
    <n v="80"/>
    <n v="300"/>
    <n v="24000"/>
    <n v="15600"/>
  </r>
  <r>
    <x v="4"/>
    <n v="1185732"/>
    <x v="291"/>
    <x v="4"/>
    <s v="Maine"/>
    <s v="Portland"/>
    <s v="Outlet"/>
    <x v="3"/>
    <n v="55.000000000000007"/>
    <n v="125"/>
    <n v="6875.0000000000009"/>
    <n v="4125.0000000000018"/>
  </r>
  <r>
    <x v="4"/>
    <n v="1185732"/>
    <x v="291"/>
    <x v="4"/>
    <s v="Maine"/>
    <s v="Portland"/>
    <s v="Outlet"/>
    <x v="2"/>
    <n v="70"/>
    <n v="225"/>
    <n v="15750"/>
    <n v="9450"/>
  </r>
  <r>
    <x v="2"/>
    <n v="1185732"/>
    <x v="291"/>
    <x v="4"/>
    <s v="New Hampshire"/>
    <s v="Manchester"/>
    <s v="Outlet"/>
    <x v="4"/>
    <n v="70"/>
    <n v="475"/>
    <n v="33250"/>
    <n v="19950"/>
  </r>
  <r>
    <x v="2"/>
    <n v="1185732"/>
    <x v="291"/>
    <x v="4"/>
    <s v="New Hampshire"/>
    <s v="Manchester"/>
    <s v="Outlet"/>
    <x v="0"/>
    <n v="65.000000000000014"/>
    <n v="300"/>
    <n v="19500.000000000004"/>
    <n v="11700.000000000002"/>
  </r>
  <r>
    <x v="3"/>
    <n v="1197831"/>
    <x v="291"/>
    <x v="2"/>
    <s v="Texas"/>
    <s v="Dallas"/>
    <s v="Outlet"/>
    <x v="5"/>
    <n v="65"/>
    <n v="575"/>
    <n v="37375"/>
    <n v="18687.5"/>
  </r>
  <r>
    <x v="2"/>
    <n v="1185732"/>
    <x v="291"/>
    <x v="4"/>
    <s v="New Hampshire"/>
    <s v="Manchester"/>
    <s v="Outlet"/>
    <x v="1"/>
    <n v="50"/>
    <n v="58"/>
    <n v="2900"/>
    <n v="1972"/>
  </r>
  <r>
    <x v="2"/>
    <n v="1185732"/>
    <x v="291"/>
    <x v="4"/>
    <s v="New Hampshire"/>
    <s v="Manchester"/>
    <s v="Outlet"/>
    <x v="5"/>
    <n v="44"/>
    <n v="61"/>
    <n v="2684"/>
    <n v="1825.12"/>
  </r>
  <r>
    <x v="2"/>
    <n v="1185732"/>
    <x v="291"/>
    <x v="4"/>
    <s v="New Hampshire"/>
    <s v="Manchester"/>
    <s v="Outlet"/>
    <x v="3"/>
    <n v="52"/>
    <n v="60"/>
    <n v="3120"/>
    <n v="2090.4"/>
  </r>
  <r>
    <x v="4"/>
    <n v="1185732"/>
    <x v="291"/>
    <x v="4"/>
    <s v="Maine"/>
    <s v="Portland"/>
    <s v="Online"/>
    <x v="1"/>
    <n v="61"/>
    <n v="27"/>
    <n v="1647"/>
    <n v="1021.14"/>
  </r>
  <r>
    <x v="2"/>
    <n v="1185732"/>
    <x v="291"/>
    <x v="4"/>
    <s v="New Hampshire"/>
    <s v="Manchester"/>
    <s v="Outlet"/>
    <x v="2"/>
    <n v="64"/>
    <n v="90"/>
    <n v="5760"/>
    <n v="3513.6000000000004"/>
  </r>
  <r>
    <x v="4"/>
    <n v="1185732"/>
    <x v="291"/>
    <x v="4"/>
    <s v="Maine"/>
    <s v="Portland"/>
    <s v="Online"/>
    <x v="5"/>
    <n v="50"/>
    <n v="26"/>
    <n v="1300"/>
    <n v="780"/>
  </r>
  <r>
    <x v="2"/>
    <n v="1185732"/>
    <x v="291"/>
    <x v="4"/>
    <s v="New Hampshire"/>
    <s v="Manchester"/>
    <s v="Outlet"/>
    <x v="4"/>
    <n v="52"/>
    <n v="162"/>
    <n v="8424"/>
    <n v="4885.92"/>
  </r>
  <r>
    <x v="2"/>
    <n v="1185732"/>
    <x v="291"/>
    <x v="4"/>
    <s v="New Hampshire"/>
    <s v="Manchester"/>
    <s v="Online"/>
    <x v="1"/>
    <n v="71"/>
    <n v="46"/>
    <n v="3266"/>
    <n v="1861.6200000000001"/>
  </r>
  <r>
    <x v="2"/>
    <n v="1185732"/>
    <x v="291"/>
    <x v="4"/>
    <s v="New Hampshire"/>
    <s v="Manchester"/>
    <s v="Online"/>
    <x v="5"/>
    <n v="62"/>
    <n v="47"/>
    <n v="2914"/>
    <n v="1660.98"/>
  </r>
  <r>
    <x v="2"/>
    <n v="1185732"/>
    <x v="291"/>
    <x v="4"/>
    <s v="New Hampshire"/>
    <s v="Manchester"/>
    <s v="Online"/>
    <x v="3"/>
    <n v="59"/>
    <n v="54"/>
    <n v="3186"/>
    <n v="1784.16"/>
  </r>
  <r>
    <x v="2"/>
    <n v="1185732"/>
    <x v="291"/>
    <x v="4"/>
    <s v="New Hampshire"/>
    <s v="Manchester"/>
    <s v="Outlet"/>
    <x v="0"/>
    <n v="44"/>
    <n v="99"/>
    <n v="4356"/>
    <n v="2439.3599999999997"/>
  </r>
  <r>
    <x v="4"/>
    <n v="1185732"/>
    <x v="291"/>
    <x v="4"/>
    <s v="Maine"/>
    <s v="Portland"/>
    <s v="Online"/>
    <x v="0"/>
    <n v="38"/>
    <n v="45"/>
    <n v="1710"/>
    <n v="906.30000000000007"/>
  </r>
  <r>
    <x v="2"/>
    <n v="1185732"/>
    <x v="291"/>
    <x v="4"/>
    <s v="New Hampshire"/>
    <s v="Manchester"/>
    <s v="Online"/>
    <x v="2"/>
    <n v="72"/>
    <n v="81"/>
    <n v="5832"/>
    <n v="3032.6400000000003"/>
  </r>
  <r>
    <x v="4"/>
    <n v="1185732"/>
    <x v="291"/>
    <x v="4"/>
    <s v="Maine"/>
    <s v="Portland"/>
    <s v="Online"/>
    <x v="0"/>
    <n v="54"/>
    <n v="59"/>
    <n v="3186"/>
    <n v="1624.8600000000001"/>
  </r>
  <r>
    <x v="4"/>
    <n v="1185732"/>
    <x v="291"/>
    <x v="4"/>
    <s v="Maine"/>
    <s v="Portland"/>
    <s v="Online"/>
    <x v="4"/>
    <n v="55"/>
    <n v="120"/>
    <n v="6600"/>
    <n v="3300"/>
  </r>
  <r>
    <x v="4"/>
    <n v="1185732"/>
    <x v="291"/>
    <x v="4"/>
    <s v="Maine"/>
    <s v="Portland"/>
    <s v="Online"/>
    <x v="2"/>
    <n v="68"/>
    <n v="56"/>
    <n v="3808"/>
    <n v="1789.76"/>
  </r>
  <r>
    <x v="2"/>
    <n v="1185732"/>
    <x v="291"/>
    <x v="4"/>
    <s v="New Hampshire"/>
    <s v="Manchester"/>
    <s v="Online"/>
    <x v="4"/>
    <n v="64"/>
    <n v="119"/>
    <n v="7616"/>
    <n v="3579.52"/>
  </r>
  <r>
    <x v="2"/>
    <n v="1185732"/>
    <x v="291"/>
    <x v="4"/>
    <s v="New Hampshire"/>
    <s v="Manchester"/>
    <s v="Online"/>
    <x v="0"/>
    <n v="62"/>
    <n v="84"/>
    <n v="5208"/>
    <n v="2447.7599999999998"/>
  </r>
  <r>
    <x v="4"/>
    <n v="1185732"/>
    <x v="291"/>
    <x v="4"/>
    <s v="Maine"/>
    <s v="Portland"/>
    <s v="Online"/>
    <x v="3"/>
    <n v="52"/>
    <n v="31"/>
    <n v="1612"/>
    <n v="725.40000000000009"/>
  </r>
  <r>
    <x v="3"/>
    <n v="1197831"/>
    <x v="291"/>
    <x v="2"/>
    <s v="Texas"/>
    <s v="Dallas"/>
    <s v="Outlet"/>
    <x v="5"/>
    <n v="44"/>
    <n v="190"/>
    <n v="8360"/>
    <n v="3678.3999999999996"/>
  </r>
  <r>
    <x v="3"/>
    <n v="1197831"/>
    <x v="291"/>
    <x v="2"/>
    <s v="Texas"/>
    <s v="Dallas"/>
    <s v="Online"/>
    <x v="5"/>
    <n v="59"/>
    <n v="173"/>
    <n v="10207"/>
    <n v="3878.66"/>
  </r>
  <r>
    <x v="3"/>
    <n v="1197831"/>
    <x v="292"/>
    <x v="2"/>
    <s v="Texas"/>
    <s v="Dallas"/>
    <s v="Outlet"/>
    <x v="1"/>
    <n v="60"/>
    <n v="525"/>
    <n v="31500"/>
    <n v="20475"/>
  </r>
  <r>
    <x v="4"/>
    <n v="1185732"/>
    <x v="292"/>
    <x v="4"/>
    <s v="Maine"/>
    <s v="Portland"/>
    <s v="Outlet"/>
    <x v="3"/>
    <n v="30.000000000000004"/>
    <n v="200"/>
    <n v="6000.0000000000009"/>
    <n v="3600.0000000000009"/>
  </r>
  <r>
    <x v="3"/>
    <n v="1197831"/>
    <x v="292"/>
    <x v="2"/>
    <s v="Texas"/>
    <s v="Dallas"/>
    <s v="Outlet"/>
    <x v="1"/>
    <n v="47"/>
    <n v="168"/>
    <n v="7896"/>
    <n v="4974.4799999999996"/>
  </r>
  <r>
    <x v="3"/>
    <n v="1197831"/>
    <x v="292"/>
    <x v="2"/>
    <s v="Texas"/>
    <s v="Dallas"/>
    <s v="Online"/>
    <x v="1"/>
    <n v="58"/>
    <n v="158"/>
    <n v="9164"/>
    <n v="4582"/>
  </r>
  <r>
    <x v="4"/>
    <n v="1185732"/>
    <x v="292"/>
    <x v="4"/>
    <s v="Maine"/>
    <s v="Portland"/>
    <s v="Online"/>
    <x v="3"/>
    <n v="29"/>
    <n v="60"/>
    <n v="1740"/>
    <n v="817.8"/>
  </r>
  <r>
    <x v="4"/>
    <n v="1185732"/>
    <x v="293"/>
    <x v="4"/>
    <s v="Maine"/>
    <s v="Portland"/>
    <s v="Outlet"/>
    <x v="5"/>
    <n v="35"/>
    <n v="75"/>
    <n v="2625"/>
    <n v="1837.5"/>
  </r>
  <r>
    <x v="5"/>
    <n v="1197831"/>
    <x v="293"/>
    <x v="2"/>
    <s v="Arkansas"/>
    <s v="Little Rock"/>
    <s v="Online"/>
    <x v="0"/>
    <n v="20.000000000000011"/>
    <n v="425"/>
    <n v="8500.0000000000036"/>
    <n v="5525.0000000000027"/>
  </r>
  <r>
    <x v="0"/>
    <n v="1197831"/>
    <x v="293"/>
    <x v="2"/>
    <s v="Oklahoma"/>
    <s v="Oklahoma City"/>
    <s v="Online"/>
    <x v="0"/>
    <n v="20.000000000000011"/>
    <n v="350"/>
    <n v="7000.0000000000036"/>
    <n v="4550.0000000000027"/>
  </r>
  <r>
    <x v="0"/>
    <n v="1197831"/>
    <x v="293"/>
    <x v="2"/>
    <s v="Oklahoma"/>
    <s v="Oklahoma City"/>
    <s v="Online"/>
    <x v="1"/>
    <n v="30.000000000000011"/>
    <n v="200"/>
    <n v="6000.0000000000018"/>
    <n v="3900.0000000000014"/>
  </r>
  <r>
    <x v="5"/>
    <n v="1197831"/>
    <x v="293"/>
    <x v="2"/>
    <s v="Arkansas"/>
    <s v="Little Rock"/>
    <s v="Online"/>
    <x v="1"/>
    <n v="30.000000000000011"/>
    <n v="275"/>
    <n v="8250.0000000000036"/>
    <n v="5362.5000000000018"/>
  </r>
  <r>
    <x v="5"/>
    <n v="1197831"/>
    <x v="293"/>
    <x v="2"/>
    <s v="Arkansas"/>
    <s v="Little Rock"/>
    <s v="Online"/>
    <x v="4"/>
    <n v="30.000000000000011"/>
    <n v="600"/>
    <n v="18000.000000000007"/>
    <n v="10800.000000000004"/>
  </r>
  <r>
    <x v="0"/>
    <n v="1197831"/>
    <x v="293"/>
    <x v="2"/>
    <s v="Oklahoma"/>
    <s v="Oklahoma City"/>
    <s v="Online"/>
    <x v="4"/>
    <n v="30.000000000000011"/>
    <n v="525"/>
    <n v="15750.000000000005"/>
    <n v="9450.0000000000036"/>
  </r>
  <r>
    <x v="0"/>
    <n v="1197831"/>
    <x v="293"/>
    <x v="2"/>
    <s v="Oklahoma"/>
    <s v="Oklahoma City"/>
    <s v="Online"/>
    <x v="5"/>
    <n v="20.000000000000011"/>
    <n v="200"/>
    <n v="4000.0000000000023"/>
    <n v="2400.0000000000014"/>
  </r>
  <r>
    <x v="1"/>
    <n v="1197831"/>
    <x v="293"/>
    <x v="2"/>
    <s v="Oklahoma"/>
    <s v="Oklahoma City"/>
    <s v="Online"/>
    <x v="2"/>
    <n v="30.000000000000004"/>
    <n v="325"/>
    <n v="9750.0000000000018"/>
    <n v="5850.0000000000009"/>
  </r>
  <r>
    <x v="5"/>
    <n v="1197831"/>
    <x v="293"/>
    <x v="2"/>
    <s v="Arkansas"/>
    <s v="Little Rock"/>
    <s v="Online"/>
    <x v="3"/>
    <n v="20.000000000000011"/>
    <n v="300"/>
    <n v="6000.0000000000036"/>
    <n v="3600.0000000000014"/>
  </r>
  <r>
    <x v="5"/>
    <n v="1197831"/>
    <x v="293"/>
    <x v="2"/>
    <s v="Arkansas"/>
    <s v="Little Rock"/>
    <s v="Online"/>
    <x v="5"/>
    <n v="20.000000000000011"/>
    <n v="275"/>
    <n v="5500.0000000000027"/>
    <n v="3300.0000000000014"/>
  </r>
  <r>
    <x v="0"/>
    <n v="1197831"/>
    <x v="293"/>
    <x v="2"/>
    <s v="Arkansas"/>
    <s v="Little Rock"/>
    <s v="Online"/>
    <x v="2"/>
    <n v="30.000000000000004"/>
    <n v="400"/>
    <n v="12000.000000000002"/>
    <n v="7200"/>
  </r>
  <r>
    <x v="0"/>
    <n v="1197831"/>
    <x v="293"/>
    <x v="2"/>
    <s v="Oklahoma"/>
    <s v="Oklahoma City"/>
    <s v="Online"/>
    <x v="3"/>
    <n v="20.000000000000011"/>
    <n v="225"/>
    <n v="4500.0000000000027"/>
    <n v="2700.0000000000009"/>
  </r>
  <r>
    <x v="3"/>
    <n v="1197831"/>
    <x v="293"/>
    <x v="2"/>
    <s v="Texas"/>
    <s v="Dallas"/>
    <s v="Outlet"/>
    <x v="2"/>
    <n v="70"/>
    <n v="775"/>
    <n v="54250"/>
    <n v="24412.5"/>
  </r>
  <r>
    <x v="5"/>
    <n v="1197831"/>
    <x v="293"/>
    <x v="2"/>
    <s v="Arkansas"/>
    <s v="Little Rock"/>
    <s v="Outlet"/>
    <x v="1"/>
    <n v="21"/>
    <n v="91"/>
    <n v="1911"/>
    <n v="1203.93"/>
  </r>
  <r>
    <x v="0"/>
    <n v="1197831"/>
    <x v="293"/>
    <x v="2"/>
    <s v="Oklahoma"/>
    <s v="Oklahoma City"/>
    <s v="Outlet"/>
    <x v="1"/>
    <n v="22"/>
    <n v="68"/>
    <n v="1496"/>
    <n v="927.52"/>
  </r>
  <r>
    <x v="5"/>
    <n v="1197831"/>
    <x v="293"/>
    <x v="2"/>
    <s v="Arkansas"/>
    <s v="Little Rock"/>
    <s v="Outlet"/>
    <x v="0"/>
    <n v="14"/>
    <n v="132"/>
    <n v="1848"/>
    <n v="1108.8000000000002"/>
  </r>
  <r>
    <x v="4"/>
    <n v="1185732"/>
    <x v="293"/>
    <x v="4"/>
    <s v="Maine"/>
    <s v="Portland"/>
    <s v="Online"/>
    <x v="5"/>
    <n v="34"/>
    <n v="19"/>
    <n v="646"/>
    <n v="374.68"/>
  </r>
  <r>
    <x v="0"/>
    <n v="1197831"/>
    <x v="293"/>
    <x v="2"/>
    <s v="Oklahoma"/>
    <s v="Oklahoma City"/>
    <s v="Outlet"/>
    <x v="0"/>
    <n v="14"/>
    <n v="112"/>
    <n v="1568"/>
    <n v="909.44"/>
  </r>
  <r>
    <x v="0"/>
    <n v="1197831"/>
    <x v="293"/>
    <x v="2"/>
    <s v="Oklahoma"/>
    <s v="Oklahoma City"/>
    <s v="Outlet"/>
    <x v="5"/>
    <n v="15"/>
    <n v="62"/>
    <n v="930"/>
    <n v="539.4"/>
  </r>
  <r>
    <x v="0"/>
    <n v="1197831"/>
    <x v="293"/>
    <x v="2"/>
    <s v="Oklahoma"/>
    <s v="Oklahoma City"/>
    <s v="Outlet"/>
    <x v="3"/>
    <n v="14"/>
    <n v="74"/>
    <n v="1036"/>
    <n v="600.87999999999988"/>
  </r>
  <r>
    <x v="5"/>
    <n v="1197831"/>
    <x v="293"/>
    <x v="2"/>
    <s v="Arkansas"/>
    <s v="Little Rock"/>
    <s v="Online"/>
    <x v="0"/>
    <n v="19"/>
    <n v="106"/>
    <n v="2014"/>
    <n v="1107.7"/>
  </r>
  <r>
    <x v="5"/>
    <n v="1197831"/>
    <x v="293"/>
    <x v="2"/>
    <s v="Arkansas"/>
    <s v="Little Rock"/>
    <s v="Outlet"/>
    <x v="4"/>
    <n v="21"/>
    <n v="180"/>
    <n v="3780"/>
    <n v="2079"/>
  </r>
  <r>
    <x v="5"/>
    <n v="1197831"/>
    <x v="293"/>
    <x v="2"/>
    <s v="Arkansas"/>
    <s v="Little Rock"/>
    <s v="Outlet"/>
    <x v="5"/>
    <n v="15"/>
    <n v="94"/>
    <n v="1410"/>
    <n v="775.5"/>
  </r>
  <r>
    <x v="0"/>
    <n v="1197831"/>
    <x v="293"/>
    <x v="2"/>
    <s v="Arkansas"/>
    <s v="Little Rock"/>
    <s v="Outlet"/>
    <x v="2"/>
    <n v="20"/>
    <n v="132"/>
    <n v="2640"/>
    <n v="1452"/>
  </r>
  <r>
    <x v="0"/>
    <n v="1197831"/>
    <x v="293"/>
    <x v="2"/>
    <s v="Oklahoma"/>
    <s v="Oklahoma City"/>
    <s v="Online"/>
    <x v="0"/>
    <n v="19"/>
    <n v="88"/>
    <n v="1672"/>
    <n v="902.88000000000011"/>
  </r>
  <r>
    <x v="5"/>
    <n v="1197831"/>
    <x v="293"/>
    <x v="2"/>
    <s v="Arkansas"/>
    <s v="Little Rock"/>
    <s v="Outlet"/>
    <x v="3"/>
    <n v="16"/>
    <n v="99"/>
    <n v="1584"/>
    <n v="855.36"/>
  </r>
  <r>
    <x v="5"/>
    <n v="1197831"/>
    <x v="293"/>
    <x v="2"/>
    <s v="Arkansas"/>
    <s v="Little Rock"/>
    <s v="Online"/>
    <x v="1"/>
    <n v="27"/>
    <n v="83"/>
    <n v="2241"/>
    <n v="1187.73"/>
  </r>
  <r>
    <x v="0"/>
    <n v="1197831"/>
    <x v="293"/>
    <x v="2"/>
    <s v="Oklahoma"/>
    <s v="Oklahoma City"/>
    <s v="Outlet"/>
    <x v="4"/>
    <n v="20"/>
    <n v="173"/>
    <n v="3460"/>
    <n v="1833.8"/>
  </r>
  <r>
    <x v="1"/>
    <n v="1197831"/>
    <x v="293"/>
    <x v="2"/>
    <s v="Oklahoma"/>
    <s v="Oklahoma City"/>
    <s v="Outlet"/>
    <x v="2"/>
    <n v="22"/>
    <n v="101"/>
    <n v="2222"/>
    <n v="1177.6599999999999"/>
  </r>
  <r>
    <x v="0"/>
    <n v="1197831"/>
    <x v="293"/>
    <x v="2"/>
    <s v="Oklahoma"/>
    <s v="Oklahoma City"/>
    <s v="Online"/>
    <x v="1"/>
    <n v="29"/>
    <n v="50"/>
    <n v="1450"/>
    <n v="754"/>
  </r>
  <r>
    <x v="5"/>
    <n v="1197831"/>
    <x v="293"/>
    <x v="2"/>
    <s v="Arkansas"/>
    <s v="Little Rock"/>
    <s v="Online"/>
    <x v="4"/>
    <n v="27"/>
    <n v="150"/>
    <n v="4050"/>
    <n v="2025"/>
  </r>
  <r>
    <x v="5"/>
    <n v="1197831"/>
    <x v="293"/>
    <x v="2"/>
    <s v="Arkansas"/>
    <s v="Little Rock"/>
    <s v="Online"/>
    <x v="3"/>
    <n v="19"/>
    <n v="78"/>
    <n v="1482"/>
    <n v="741"/>
  </r>
  <r>
    <x v="0"/>
    <n v="1197831"/>
    <x v="293"/>
    <x v="2"/>
    <s v="Oklahoma"/>
    <s v="Oklahoma City"/>
    <s v="Online"/>
    <x v="3"/>
    <n v="20"/>
    <n v="56"/>
    <n v="1120"/>
    <n v="548.79999999999995"/>
  </r>
  <r>
    <x v="0"/>
    <n v="1197831"/>
    <x v="293"/>
    <x v="2"/>
    <s v="Oklahoma"/>
    <s v="Oklahoma City"/>
    <s v="Online"/>
    <x v="5"/>
    <n v="18"/>
    <n v="52"/>
    <n v="936"/>
    <n v="449.28"/>
  </r>
  <r>
    <x v="5"/>
    <n v="1197831"/>
    <x v="293"/>
    <x v="2"/>
    <s v="Arkansas"/>
    <s v="Little Rock"/>
    <s v="Online"/>
    <x v="5"/>
    <n v="19"/>
    <n v="72"/>
    <n v="1368"/>
    <n v="642.95999999999992"/>
  </r>
  <r>
    <x v="0"/>
    <n v="1197831"/>
    <x v="293"/>
    <x v="2"/>
    <s v="Arkansas"/>
    <s v="Little Rock"/>
    <s v="Online"/>
    <x v="2"/>
    <n v="29"/>
    <n v="104"/>
    <n v="3016"/>
    <n v="1417.52"/>
  </r>
  <r>
    <x v="0"/>
    <n v="1197831"/>
    <x v="293"/>
    <x v="2"/>
    <s v="Oklahoma"/>
    <s v="Oklahoma City"/>
    <s v="Online"/>
    <x v="4"/>
    <n v="29"/>
    <n v="137"/>
    <n v="3973"/>
    <n v="1827.58"/>
  </r>
  <r>
    <x v="1"/>
    <n v="1197831"/>
    <x v="293"/>
    <x v="2"/>
    <s v="Oklahoma"/>
    <s v="Oklahoma City"/>
    <s v="Online"/>
    <x v="2"/>
    <n v="29"/>
    <n v="91"/>
    <n v="2639"/>
    <n v="1187.55"/>
  </r>
  <r>
    <x v="3"/>
    <n v="1197831"/>
    <x v="293"/>
    <x v="2"/>
    <s v="Texas"/>
    <s v="Dallas"/>
    <s v="Outlet"/>
    <x v="2"/>
    <n v="54"/>
    <n v="256"/>
    <n v="13824"/>
    <n v="5529.5999999999985"/>
  </r>
  <r>
    <x v="3"/>
    <n v="1197831"/>
    <x v="293"/>
    <x v="2"/>
    <s v="Texas"/>
    <s v="Dallas"/>
    <s v="Online"/>
    <x v="2"/>
    <n v="65"/>
    <n v="233"/>
    <n v="15145"/>
    <n v="5149.2999999999993"/>
  </r>
  <r>
    <x v="4"/>
    <n v="1185732"/>
    <x v="294"/>
    <x v="0"/>
    <s v="Alaska"/>
    <s v="Anchorage"/>
    <s v="Outlet"/>
    <x v="3"/>
    <n v="65.000000000000014"/>
    <n v="175"/>
    <n v="11375.000000000002"/>
    <n v="8531.2500000000036"/>
  </r>
  <r>
    <x v="4"/>
    <n v="1185732"/>
    <x v="294"/>
    <x v="4"/>
    <s v="Maine"/>
    <s v="Portland"/>
    <s v="Outlet"/>
    <x v="1"/>
    <n v="50"/>
    <n v="150"/>
    <n v="7500"/>
    <n v="5625"/>
  </r>
  <r>
    <x v="4"/>
    <n v="1185732"/>
    <x v="294"/>
    <x v="0"/>
    <s v="Alaska"/>
    <s v="Anchorage"/>
    <s v="Outlet"/>
    <x v="5"/>
    <n v="65.000000000000014"/>
    <n v="150"/>
    <n v="9750.0000000000018"/>
    <n v="7312.5000000000018"/>
  </r>
  <r>
    <x v="4"/>
    <n v="1185732"/>
    <x v="294"/>
    <x v="0"/>
    <s v="Alaska"/>
    <s v="Anchorage"/>
    <s v="Outlet"/>
    <x v="1"/>
    <n v="75.000000000000014"/>
    <n v="150"/>
    <n v="11250.000000000002"/>
    <n v="8437.5000000000018"/>
  </r>
  <r>
    <x v="4"/>
    <n v="1185732"/>
    <x v="294"/>
    <x v="0"/>
    <s v="Alaska"/>
    <s v="Anchorage"/>
    <s v="Outlet"/>
    <x v="2"/>
    <n v="80"/>
    <n v="275"/>
    <n v="22000"/>
    <n v="15400"/>
  </r>
  <r>
    <x v="2"/>
    <n v="1185732"/>
    <x v="294"/>
    <x v="4"/>
    <s v="Maryland"/>
    <s v="Baltimore"/>
    <s v="In-store"/>
    <x v="1"/>
    <n v="60"/>
    <n v="75"/>
    <n v="4500"/>
    <n v="3150"/>
  </r>
  <r>
    <x v="2"/>
    <n v="1185732"/>
    <x v="294"/>
    <x v="4"/>
    <s v="Maryland"/>
    <s v="Baltimore"/>
    <s v="In-store"/>
    <x v="2"/>
    <n v="64.999999999999986"/>
    <n v="200"/>
    <n v="12999.999999999996"/>
    <n v="9099.9999999999964"/>
  </r>
  <r>
    <x v="4"/>
    <n v="1185732"/>
    <x v="294"/>
    <x v="0"/>
    <s v="Alaska"/>
    <s v="Anchorage"/>
    <s v="Outlet"/>
    <x v="4"/>
    <n v="70"/>
    <n v="450"/>
    <n v="31500"/>
    <n v="20475"/>
  </r>
  <r>
    <x v="4"/>
    <n v="1185732"/>
    <x v="294"/>
    <x v="0"/>
    <s v="Alaska"/>
    <s v="Anchorage"/>
    <s v="Outlet"/>
    <x v="0"/>
    <n v="65.000000000000014"/>
    <n v="275"/>
    <n v="17875.000000000004"/>
    <n v="11618.750000000002"/>
  </r>
  <r>
    <x v="4"/>
    <n v="1185732"/>
    <x v="294"/>
    <x v="3"/>
    <s v="Kentucky"/>
    <s v="Louisville"/>
    <s v="Online"/>
    <x v="0"/>
    <n v="45"/>
    <n v="275"/>
    <n v="12375"/>
    <n v="8043.75"/>
  </r>
  <r>
    <x v="4"/>
    <n v="1185732"/>
    <x v="294"/>
    <x v="3"/>
    <s v="Kentucky"/>
    <s v="Louisville"/>
    <s v="Online"/>
    <x v="1"/>
    <n v="54.999999999999993"/>
    <n v="150"/>
    <n v="8249.9999999999982"/>
    <n v="5362.4999999999991"/>
  </r>
  <r>
    <x v="3"/>
    <n v="1185732"/>
    <x v="294"/>
    <x v="4"/>
    <s v="Maryland"/>
    <s v="Baltimore"/>
    <s v="In-store"/>
    <x v="0"/>
    <n v="50"/>
    <n v="200"/>
    <n v="10000"/>
    <n v="6500"/>
  </r>
  <r>
    <x v="3"/>
    <n v="1185732"/>
    <x v="294"/>
    <x v="4"/>
    <s v="Maryland"/>
    <s v="Baltimore"/>
    <s v="In-store"/>
    <x v="3"/>
    <n v="50"/>
    <n v="100"/>
    <n v="5000"/>
    <n v="3250"/>
  </r>
  <r>
    <x v="2"/>
    <n v="1185732"/>
    <x v="294"/>
    <x v="4"/>
    <s v="Maryland"/>
    <s v="Baltimore"/>
    <s v="In-store"/>
    <x v="5"/>
    <n v="50"/>
    <n v="75"/>
    <n v="3750"/>
    <n v="2437.5"/>
  </r>
  <r>
    <x v="4"/>
    <n v="1185732"/>
    <x v="294"/>
    <x v="3"/>
    <s v="Kentucky"/>
    <s v="Louisville"/>
    <s v="Online"/>
    <x v="4"/>
    <n v="54.999999999999993"/>
    <n v="450"/>
    <n v="24749.999999999996"/>
    <n v="14849.999999999996"/>
  </r>
  <r>
    <x v="4"/>
    <n v="1185732"/>
    <x v="294"/>
    <x v="3"/>
    <s v="Kentucky"/>
    <s v="Louisville"/>
    <s v="Online"/>
    <x v="3"/>
    <n v="45"/>
    <n v="175"/>
    <n v="7875"/>
    <n v="4725"/>
  </r>
  <r>
    <x v="4"/>
    <n v="1185732"/>
    <x v="294"/>
    <x v="3"/>
    <s v="Kentucky"/>
    <s v="Louisville"/>
    <s v="Online"/>
    <x v="5"/>
    <n v="45"/>
    <n v="150"/>
    <n v="6750"/>
    <n v="4050"/>
  </r>
  <r>
    <x v="4"/>
    <n v="1185732"/>
    <x v="294"/>
    <x v="3"/>
    <s v="Kentucky"/>
    <s v="Louisville"/>
    <s v="Online"/>
    <x v="2"/>
    <n v="54.999999999999993"/>
    <n v="275"/>
    <n v="15124.999999999998"/>
    <n v="9074.9999999999964"/>
  </r>
  <r>
    <x v="3"/>
    <n v="1185732"/>
    <x v="294"/>
    <x v="4"/>
    <s v="Maryland"/>
    <s v="Baltimore"/>
    <s v="In-store"/>
    <x v="4"/>
    <n v="54.999999999999993"/>
    <n v="375"/>
    <n v="20624.999999999996"/>
    <n v="12374.999999999996"/>
  </r>
  <r>
    <x v="2"/>
    <n v="1185732"/>
    <x v="294"/>
    <x v="2"/>
    <s v="Texas"/>
    <s v="Dallas"/>
    <s v="Outlet"/>
    <x v="4"/>
    <n v="45"/>
    <n v="425"/>
    <n v="19125"/>
    <n v="8606.2499999999982"/>
  </r>
  <r>
    <x v="4"/>
    <n v="1185732"/>
    <x v="294"/>
    <x v="0"/>
    <s v="Alaska"/>
    <s v="Anchorage"/>
    <s v="Online"/>
    <x v="1"/>
    <n v="71"/>
    <n v="44"/>
    <n v="3124"/>
    <n v="2030.6000000000001"/>
  </r>
  <r>
    <x v="4"/>
    <n v="1185732"/>
    <x v="294"/>
    <x v="0"/>
    <s v="Alaska"/>
    <s v="Anchorage"/>
    <s v="Online"/>
    <x v="5"/>
    <n v="59"/>
    <n v="42"/>
    <n v="2478"/>
    <n v="1585.92"/>
  </r>
  <r>
    <x v="4"/>
    <n v="1185732"/>
    <x v="294"/>
    <x v="4"/>
    <s v="Maine"/>
    <s v="Portland"/>
    <s v="Online"/>
    <x v="1"/>
    <n v="46"/>
    <n v="45"/>
    <n v="2070"/>
    <n v="1262.6999999999998"/>
  </r>
  <r>
    <x v="4"/>
    <n v="1185732"/>
    <x v="294"/>
    <x v="0"/>
    <s v="Alaska"/>
    <s v="Anchorage"/>
    <s v="Online"/>
    <x v="2"/>
    <n v="73"/>
    <n v="83"/>
    <n v="6059"/>
    <n v="3635.4"/>
  </r>
  <r>
    <x v="2"/>
    <n v="1185732"/>
    <x v="294"/>
    <x v="4"/>
    <s v="Maryland"/>
    <s v="Baltimore"/>
    <s v="Online"/>
    <x v="1"/>
    <n v="56"/>
    <n v="20"/>
    <n v="1120"/>
    <n v="672"/>
  </r>
  <r>
    <x v="2"/>
    <n v="1185732"/>
    <x v="294"/>
    <x v="4"/>
    <s v="Maryland"/>
    <s v="Baltimore"/>
    <s v="Online"/>
    <x v="2"/>
    <n v="60"/>
    <n v="52"/>
    <n v="3120"/>
    <n v="1872"/>
  </r>
  <r>
    <x v="4"/>
    <n v="1185732"/>
    <x v="294"/>
    <x v="0"/>
    <s v="Alaska"/>
    <s v="Anchorage"/>
    <s v="Online"/>
    <x v="3"/>
    <n v="59"/>
    <n v="46"/>
    <n v="2714"/>
    <n v="1628.3999999999999"/>
  </r>
  <r>
    <x v="3"/>
    <n v="1185732"/>
    <x v="294"/>
    <x v="4"/>
    <s v="Maryland"/>
    <s v="Baltimore"/>
    <s v="Online"/>
    <x v="0"/>
    <n v="48"/>
    <n v="58"/>
    <n v="2784"/>
    <n v="1503.3600000000001"/>
  </r>
  <r>
    <x v="3"/>
    <n v="1185732"/>
    <x v="294"/>
    <x v="4"/>
    <s v="Maryland"/>
    <s v="Baltimore"/>
    <s v="Online"/>
    <x v="3"/>
    <n v="49"/>
    <n v="25"/>
    <n v="1225"/>
    <n v="661.5"/>
  </r>
  <r>
    <x v="4"/>
    <n v="1185732"/>
    <x v="294"/>
    <x v="0"/>
    <s v="Alaska"/>
    <s v="Anchorage"/>
    <s v="Online"/>
    <x v="4"/>
    <n v="68"/>
    <n v="113"/>
    <n v="7684"/>
    <n v="4072.52"/>
  </r>
  <r>
    <x v="4"/>
    <n v="1185732"/>
    <x v="294"/>
    <x v="0"/>
    <s v="Alaska"/>
    <s v="Anchorage"/>
    <s v="Online"/>
    <x v="0"/>
    <n v="60"/>
    <n v="77"/>
    <n v="4620"/>
    <n v="2402.3999999999996"/>
  </r>
  <r>
    <x v="4"/>
    <n v="1185732"/>
    <x v="294"/>
    <x v="3"/>
    <s v="Kentucky"/>
    <s v="Louisville"/>
    <s v="Online"/>
    <x v="1"/>
    <n v="53"/>
    <n v="41"/>
    <n v="2173"/>
    <n v="1108.23"/>
  </r>
  <r>
    <x v="4"/>
    <n v="1185732"/>
    <x v="294"/>
    <x v="3"/>
    <s v="Kentucky"/>
    <s v="Louisville"/>
    <s v="Online"/>
    <x v="0"/>
    <n v="41"/>
    <n v="83"/>
    <n v="3403"/>
    <n v="1701.5"/>
  </r>
  <r>
    <x v="4"/>
    <n v="1185732"/>
    <x v="294"/>
    <x v="3"/>
    <s v="Kentucky"/>
    <s v="Louisville"/>
    <s v="Online"/>
    <x v="2"/>
    <n v="53"/>
    <n v="83"/>
    <n v="4399"/>
    <n v="2199.5"/>
  </r>
  <r>
    <x v="2"/>
    <n v="1185732"/>
    <x v="294"/>
    <x v="4"/>
    <s v="Maryland"/>
    <s v="Baltimore"/>
    <s v="Online"/>
    <x v="5"/>
    <n v="49"/>
    <n v="21"/>
    <n v="1029"/>
    <n v="514.5"/>
  </r>
  <r>
    <x v="4"/>
    <n v="1185732"/>
    <x v="294"/>
    <x v="3"/>
    <s v="Kentucky"/>
    <s v="Louisville"/>
    <s v="Online"/>
    <x v="5"/>
    <n v="41"/>
    <n v="42"/>
    <n v="1722"/>
    <n v="826.56"/>
  </r>
  <r>
    <x v="4"/>
    <n v="1185732"/>
    <x v="294"/>
    <x v="3"/>
    <s v="Kentucky"/>
    <s v="Louisville"/>
    <s v="Online"/>
    <x v="3"/>
    <n v="43"/>
    <n v="47"/>
    <n v="2021"/>
    <n v="929.65999999999985"/>
  </r>
  <r>
    <x v="3"/>
    <n v="1185732"/>
    <x v="294"/>
    <x v="4"/>
    <s v="Maryland"/>
    <s v="Baltimore"/>
    <s v="Online"/>
    <x v="4"/>
    <n v="52"/>
    <n v="113"/>
    <n v="5876"/>
    <n v="2702.9599999999996"/>
  </r>
  <r>
    <x v="4"/>
    <n v="1185732"/>
    <x v="294"/>
    <x v="3"/>
    <s v="Kentucky"/>
    <s v="Louisville"/>
    <s v="Online"/>
    <x v="4"/>
    <n v="53"/>
    <n v="126"/>
    <n v="6678"/>
    <n v="3005.1"/>
  </r>
  <r>
    <x v="2"/>
    <n v="1185732"/>
    <x v="294"/>
    <x v="2"/>
    <s v="Texas"/>
    <s v="Dallas"/>
    <s v="Outlet"/>
    <x v="4"/>
    <n v="34"/>
    <n v="128"/>
    <n v="4352"/>
    <n v="1653.7599999999993"/>
  </r>
  <r>
    <x v="2"/>
    <n v="1185732"/>
    <x v="294"/>
    <x v="2"/>
    <s v="Texas"/>
    <s v="Dallas"/>
    <s v="Online"/>
    <x v="4"/>
    <n v="44"/>
    <n v="111"/>
    <n v="4884"/>
    <n v="1465.1999999999998"/>
  </r>
  <r>
    <x v="2"/>
    <n v="1128299"/>
    <x v="295"/>
    <x v="0"/>
    <s v="Arizona"/>
    <s v="Phoenix"/>
    <s v="Online"/>
    <x v="2"/>
    <n v="60.000000000000007"/>
    <n v="325"/>
    <n v="19500.000000000004"/>
    <n v="14625.000000000004"/>
  </r>
  <r>
    <x v="2"/>
    <n v="1128299"/>
    <x v="295"/>
    <x v="0"/>
    <s v="Arizona"/>
    <s v="Phoenix"/>
    <s v="Online"/>
    <x v="1"/>
    <n v="55.000000000000007"/>
    <n v="275"/>
    <n v="15125.000000000002"/>
    <n v="10587.500000000004"/>
  </r>
  <r>
    <x v="2"/>
    <n v="1128299"/>
    <x v="295"/>
    <x v="0"/>
    <s v="Arizona"/>
    <s v="Phoenix"/>
    <s v="Online"/>
    <x v="5"/>
    <n v="45.000000000000007"/>
    <n v="300"/>
    <n v="13500.000000000002"/>
    <n v="8775.0000000000036"/>
  </r>
  <r>
    <x v="2"/>
    <n v="1128299"/>
    <x v="295"/>
    <x v="0"/>
    <s v="Arizona"/>
    <s v="Phoenix"/>
    <s v="Online"/>
    <x v="3"/>
    <n v="45.000000000000007"/>
    <n v="325"/>
    <n v="14625.000000000002"/>
    <n v="9506.2500000000036"/>
  </r>
  <r>
    <x v="2"/>
    <n v="1185732"/>
    <x v="295"/>
    <x v="2"/>
    <s v="Texas"/>
    <s v="Dallas"/>
    <s v="Outlet"/>
    <x v="0"/>
    <n v="45"/>
    <n v="225"/>
    <n v="10125"/>
    <n v="6581.25"/>
  </r>
  <r>
    <x v="2"/>
    <n v="1128299"/>
    <x v="295"/>
    <x v="0"/>
    <s v="Arizona"/>
    <s v="Phoenix"/>
    <s v="Online"/>
    <x v="4"/>
    <n v="45.000000000000007"/>
    <n v="500"/>
    <n v="22500.000000000004"/>
    <n v="14625.000000000004"/>
  </r>
  <r>
    <x v="4"/>
    <n v="1185732"/>
    <x v="295"/>
    <x v="4"/>
    <s v="Maine"/>
    <s v="Portland"/>
    <s v="Outlet"/>
    <x v="2"/>
    <n v="40"/>
    <n v="250"/>
    <n v="10000"/>
    <n v="6000"/>
  </r>
  <r>
    <x v="2"/>
    <n v="1128299"/>
    <x v="295"/>
    <x v="0"/>
    <s v="Arizona"/>
    <s v="Phoenix"/>
    <s v="Online"/>
    <x v="0"/>
    <n v="50.000000000000014"/>
    <n v="500"/>
    <n v="25000.000000000007"/>
    <n v="15000.000000000004"/>
  </r>
  <r>
    <x v="2"/>
    <n v="1128299"/>
    <x v="295"/>
    <x v="0"/>
    <s v="Arizona"/>
    <s v="Phoenix"/>
    <s v="Outlet"/>
    <x v="2"/>
    <n v="47"/>
    <n v="107"/>
    <n v="5029"/>
    <n v="3570.59"/>
  </r>
  <r>
    <x v="2"/>
    <n v="1128299"/>
    <x v="295"/>
    <x v="0"/>
    <s v="Arizona"/>
    <s v="Phoenix"/>
    <s v="Outlet"/>
    <x v="1"/>
    <n v="44"/>
    <n v="88"/>
    <n v="3872"/>
    <n v="2439.36"/>
  </r>
  <r>
    <x v="2"/>
    <n v="1128299"/>
    <x v="295"/>
    <x v="0"/>
    <s v="Arizona"/>
    <s v="Phoenix"/>
    <s v="Outlet"/>
    <x v="3"/>
    <n v="31"/>
    <n v="111"/>
    <n v="3441"/>
    <n v="2167.83"/>
  </r>
  <r>
    <x v="2"/>
    <n v="1128299"/>
    <x v="295"/>
    <x v="0"/>
    <s v="Arizona"/>
    <s v="Phoenix"/>
    <s v="Online"/>
    <x v="2"/>
    <n v="56"/>
    <n v="85"/>
    <n v="4760"/>
    <n v="2951.2"/>
  </r>
  <r>
    <x v="2"/>
    <n v="1185732"/>
    <x v="295"/>
    <x v="2"/>
    <s v="Texas"/>
    <s v="Dallas"/>
    <s v="Outlet"/>
    <x v="0"/>
    <n v="34"/>
    <n v="68"/>
    <n v="2312"/>
    <n v="1410.3200000000002"/>
  </r>
  <r>
    <x v="2"/>
    <n v="1128299"/>
    <x v="295"/>
    <x v="0"/>
    <s v="Arizona"/>
    <s v="Phoenix"/>
    <s v="Outlet"/>
    <x v="5"/>
    <n v="32"/>
    <n v="102"/>
    <n v="3264"/>
    <n v="1991.0400000000002"/>
  </r>
  <r>
    <x v="2"/>
    <n v="1128299"/>
    <x v="295"/>
    <x v="0"/>
    <s v="Arizona"/>
    <s v="Phoenix"/>
    <s v="Online"/>
    <x v="1"/>
    <n v="53"/>
    <n v="69"/>
    <n v="3657"/>
    <n v="2194.1999999999998"/>
  </r>
  <r>
    <x v="2"/>
    <n v="1128299"/>
    <x v="295"/>
    <x v="0"/>
    <s v="Arizona"/>
    <s v="Phoenix"/>
    <s v="Outlet"/>
    <x v="4"/>
    <n v="36"/>
    <n v="170"/>
    <n v="6120"/>
    <n v="3549.6"/>
  </r>
  <r>
    <x v="2"/>
    <n v="1128299"/>
    <x v="295"/>
    <x v="0"/>
    <s v="Arizona"/>
    <s v="Phoenix"/>
    <s v="Outlet"/>
    <x v="0"/>
    <n v="33"/>
    <n v="175"/>
    <n v="5775"/>
    <n v="3349.4999999999995"/>
  </r>
  <r>
    <x v="2"/>
    <n v="1185732"/>
    <x v="295"/>
    <x v="2"/>
    <s v="Texas"/>
    <s v="Dallas"/>
    <s v="Online"/>
    <x v="0"/>
    <n v="41"/>
    <n v="68"/>
    <n v="2788"/>
    <n v="1477.64"/>
  </r>
  <r>
    <x v="2"/>
    <n v="1128299"/>
    <x v="295"/>
    <x v="0"/>
    <s v="Arizona"/>
    <s v="Phoenix"/>
    <s v="Online"/>
    <x v="4"/>
    <n v="41"/>
    <n v="135"/>
    <n v="5535"/>
    <n v="2878.2000000000003"/>
  </r>
  <r>
    <x v="2"/>
    <n v="1128299"/>
    <x v="295"/>
    <x v="0"/>
    <s v="Arizona"/>
    <s v="Phoenix"/>
    <s v="Online"/>
    <x v="3"/>
    <n v="44"/>
    <n v="91"/>
    <n v="4004"/>
    <n v="2082.08"/>
  </r>
  <r>
    <x v="2"/>
    <n v="1128299"/>
    <x v="295"/>
    <x v="0"/>
    <s v="Arizona"/>
    <s v="Phoenix"/>
    <s v="Online"/>
    <x v="5"/>
    <n v="43"/>
    <n v="90"/>
    <n v="3870"/>
    <n v="1973.7"/>
  </r>
  <r>
    <x v="4"/>
    <n v="1185732"/>
    <x v="295"/>
    <x v="4"/>
    <s v="Maine"/>
    <s v="Portland"/>
    <s v="Online"/>
    <x v="2"/>
    <n v="37"/>
    <n v="63"/>
    <n v="2331"/>
    <n v="1142.19"/>
  </r>
  <r>
    <x v="2"/>
    <n v="1128299"/>
    <x v="295"/>
    <x v="0"/>
    <s v="Arizona"/>
    <s v="Phoenix"/>
    <s v="Online"/>
    <x v="0"/>
    <n v="47"/>
    <n v="145"/>
    <n v="6815"/>
    <n v="3203.0499999999997"/>
  </r>
  <r>
    <x v="2"/>
    <n v="1128299"/>
    <x v="296"/>
    <x v="3"/>
    <s v="Virginia"/>
    <s v="Richmond"/>
    <s v="In-store"/>
    <x v="2"/>
    <n v="60.000000000000007"/>
    <n v="350"/>
    <n v="21000.000000000004"/>
    <n v="14700.000000000004"/>
  </r>
  <r>
    <x v="0"/>
    <n v="1128299"/>
    <x v="296"/>
    <x v="0"/>
    <s v="Oregon"/>
    <s v="Portland"/>
    <s v="In-store"/>
    <x v="2"/>
    <n v="60.000000000000007"/>
    <n v="350"/>
    <n v="21000.000000000004"/>
    <n v="14700.000000000004"/>
  </r>
  <r>
    <x v="2"/>
    <n v="1128299"/>
    <x v="296"/>
    <x v="3"/>
    <s v="Virginia"/>
    <s v="Richmond"/>
    <s v="In-store"/>
    <x v="3"/>
    <n v="50.000000000000014"/>
    <n v="350"/>
    <n v="17500.000000000004"/>
    <n v="11375.000000000004"/>
  </r>
  <r>
    <x v="0"/>
    <n v="1128299"/>
    <x v="296"/>
    <x v="0"/>
    <s v="Oregon"/>
    <s v="Portland"/>
    <s v="In-store"/>
    <x v="3"/>
    <n v="50.000000000000014"/>
    <n v="350"/>
    <n v="17500.000000000004"/>
    <n v="11375.000000000004"/>
  </r>
  <r>
    <x v="2"/>
    <n v="1128299"/>
    <x v="296"/>
    <x v="3"/>
    <s v="Virginia"/>
    <s v="Richmond"/>
    <s v="In-store"/>
    <x v="0"/>
    <n v="55.000000000000014"/>
    <n v="525"/>
    <n v="28875.000000000007"/>
    <n v="18768.750000000007"/>
  </r>
  <r>
    <x v="2"/>
    <n v="1128299"/>
    <x v="296"/>
    <x v="3"/>
    <s v="Virginia"/>
    <s v="Richmond"/>
    <s v="In-store"/>
    <x v="5"/>
    <n v="45.000000000000007"/>
    <n v="325"/>
    <n v="14625.000000000002"/>
    <n v="9506.2500000000036"/>
  </r>
  <r>
    <x v="0"/>
    <n v="1128299"/>
    <x v="296"/>
    <x v="0"/>
    <s v="Oregon"/>
    <s v="Portland"/>
    <s v="In-store"/>
    <x v="0"/>
    <n v="55.000000000000014"/>
    <n v="525"/>
    <n v="28875.000000000007"/>
    <n v="18768.750000000007"/>
  </r>
  <r>
    <x v="0"/>
    <n v="1128299"/>
    <x v="296"/>
    <x v="0"/>
    <s v="Oregon"/>
    <s v="Portland"/>
    <s v="In-store"/>
    <x v="5"/>
    <n v="45.000000000000007"/>
    <n v="325"/>
    <n v="14625.000000000002"/>
    <n v="9506.2500000000036"/>
  </r>
  <r>
    <x v="4"/>
    <n v="1185732"/>
    <x v="296"/>
    <x v="4"/>
    <s v="Maine"/>
    <s v="Portland"/>
    <s v="Outlet"/>
    <x v="4"/>
    <n v="40"/>
    <n v="470"/>
    <n v="18800"/>
    <n v="12220"/>
  </r>
  <r>
    <x v="2"/>
    <n v="1128299"/>
    <x v="296"/>
    <x v="3"/>
    <s v="Virginia"/>
    <s v="Richmond"/>
    <s v="In-store"/>
    <x v="4"/>
    <n v="40"/>
    <n v="350"/>
    <n v="14000"/>
    <n v="9100"/>
  </r>
  <r>
    <x v="0"/>
    <n v="1128299"/>
    <x v="296"/>
    <x v="0"/>
    <s v="Oregon"/>
    <s v="Portland"/>
    <s v="In-store"/>
    <x v="4"/>
    <n v="40"/>
    <n v="350"/>
    <n v="14000"/>
    <n v="9100"/>
  </r>
  <r>
    <x v="2"/>
    <n v="1185732"/>
    <x v="296"/>
    <x v="2"/>
    <s v="Texas"/>
    <s v="Dallas"/>
    <s v="Outlet"/>
    <x v="3"/>
    <n v="35"/>
    <n v="225"/>
    <n v="7875"/>
    <n v="4725"/>
  </r>
  <r>
    <x v="2"/>
    <n v="1128299"/>
    <x v="296"/>
    <x v="3"/>
    <s v="Virginia"/>
    <s v="Richmond"/>
    <s v="In-store"/>
    <x v="1"/>
    <n v="55.000000000000007"/>
    <n v="300"/>
    <n v="16500.000000000004"/>
    <n v="9900.0000000000018"/>
  </r>
  <r>
    <x v="0"/>
    <n v="1128299"/>
    <x v="296"/>
    <x v="0"/>
    <s v="Oregon"/>
    <s v="Portland"/>
    <s v="In-store"/>
    <x v="1"/>
    <n v="55.000000000000007"/>
    <n v="300"/>
    <n v="16500.000000000004"/>
    <n v="9900.0000000000018"/>
  </r>
  <r>
    <x v="2"/>
    <n v="1128299"/>
    <x v="296"/>
    <x v="3"/>
    <s v="Virginia"/>
    <s v="Richmond"/>
    <s v="Outlet"/>
    <x v="2"/>
    <n v="40"/>
    <n v="109"/>
    <n v="4360"/>
    <n v="2964.8"/>
  </r>
  <r>
    <x v="2"/>
    <n v="1128299"/>
    <x v="296"/>
    <x v="3"/>
    <s v="Virginia"/>
    <s v="Richmond"/>
    <s v="Outlet"/>
    <x v="5"/>
    <n v="31"/>
    <n v="101"/>
    <n v="3131"/>
    <n v="1972.53"/>
  </r>
  <r>
    <x v="0"/>
    <n v="1128299"/>
    <x v="296"/>
    <x v="0"/>
    <s v="Oregon"/>
    <s v="Portland"/>
    <s v="Outlet"/>
    <x v="3"/>
    <n v="37"/>
    <n v="109"/>
    <n v="4033"/>
    <n v="2540.79"/>
  </r>
  <r>
    <x v="0"/>
    <n v="1128299"/>
    <x v="296"/>
    <x v="0"/>
    <s v="Oregon"/>
    <s v="Portland"/>
    <s v="Outlet"/>
    <x v="2"/>
    <n v="41"/>
    <n v="123"/>
    <n v="5043"/>
    <n v="3177.09"/>
  </r>
  <r>
    <x v="0"/>
    <n v="1128299"/>
    <x v="296"/>
    <x v="0"/>
    <s v="Oregon"/>
    <s v="Portland"/>
    <s v="Outlet"/>
    <x v="0"/>
    <n v="37"/>
    <n v="179"/>
    <n v="6623"/>
    <n v="4106.26"/>
  </r>
  <r>
    <x v="2"/>
    <n v="1128299"/>
    <x v="296"/>
    <x v="3"/>
    <s v="Virginia"/>
    <s v="Richmond"/>
    <s v="Outlet"/>
    <x v="0"/>
    <n v="39"/>
    <n v="173"/>
    <n v="6747"/>
    <n v="4183.1399999999994"/>
  </r>
  <r>
    <x v="0"/>
    <n v="1128299"/>
    <x v="296"/>
    <x v="0"/>
    <s v="Oregon"/>
    <s v="Portland"/>
    <s v="Outlet"/>
    <x v="4"/>
    <n v="29"/>
    <n v="119"/>
    <n v="3451"/>
    <n v="2105.11"/>
  </r>
  <r>
    <x v="0"/>
    <n v="1128299"/>
    <x v="296"/>
    <x v="0"/>
    <s v="Oregon"/>
    <s v="Portland"/>
    <s v="Outlet"/>
    <x v="5"/>
    <n v="34"/>
    <n v="114"/>
    <n v="3876"/>
    <n v="2364.36"/>
  </r>
  <r>
    <x v="2"/>
    <n v="1128299"/>
    <x v="296"/>
    <x v="3"/>
    <s v="Virginia"/>
    <s v="Richmond"/>
    <s v="Outlet"/>
    <x v="4"/>
    <n v="28"/>
    <n v="119"/>
    <n v="3332"/>
    <n v="1999.2"/>
  </r>
  <r>
    <x v="2"/>
    <n v="1185732"/>
    <x v="296"/>
    <x v="2"/>
    <s v="Texas"/>
    <s v="Dallas"/>
    <s v="Outlet"/>
    <x v="3"/>
    <n v="28"/>
    <n v="72"/>
    <n v="2016"/>
    <n v="1169.2800000000002"/>
  </r>
  <r>
    <x v="2"/>
    <n v="1128299"/>
    <x v="296"/>
    <x v="3"/>
    <s v="Virginia"/>
    <s v="Richmond"/>
    <s v="Outlet"/>
    <x v="3"/>
    <n v="39"/>
    <n v="119"/>
    <n v="4641"/>
    <n v="2691.7799999999997"/>
  </r>
  <r>
    <x v="0"/>
    <n v="1128299"/>
    <x v="296"/>
    <x v="0"/>
    <s v="Oregon"/>
    <s v="Portland"/>
    <s v="Online"/>
    <x v="2"/>
    <n v="58"/>
    <n v="105"/>
    <n v="6090"/>
    <n v="3471.3"/>
  </r>
  <r>
    <x v="2"/>
    <n v="1128299"/>
    <x v="296"/>
    <x v="3"/>
    <s v="Virginia"/>
    <s v="Richmond"/>
    <s v="Online"/>
    <x v="2"/>
    <n v="59"/>
    <n v="102"/>
    <n v="6018"/>
    <n v="3370.08"/>
  </r>
  <r>
    <x v="2"/>
    <n v="1128299"/>
    <x v="296"/>
    <x v="3"/>
    <s v="Virginia"/>
    <s v="Richmond"/>
    <s v="Online"/>
    <x v="4"/>
    <n v="38"/>
    <n v="102"/>
    <n v="3876"/>
    <n v="2131.8000000000002"/>
  </r>
  <r>
    <x v="0"/>
    <n v="1128299"/>
    <x v="296"/>
    <x v="0"/>
    <s v="Oregon"/>
    <s v="Portland"/>
    <s v="Outlet"/>
    <x v="1"/>
    <n v="40"/>
    <n v="93"/>
    <n v="3720"/>
    <n v="2046"/>
  </r>
  <r>
    <x v="0"/>
    <n v="1128299"/>
    <x v="296"/>
    <x v="0"/>
    <s v="Oregon"/>
    <s v="Portland"/>
    <s v="Online"/>
    <x v="0"/>
    <n v="50"/>
    <n v="142"/>
    <n v="7100"/>
    <n v="3834.0000000000005"/>
  </r>
  <r>
    <x v="2"/>
    <n v="1128299"/>
    <x v="296"/>
    <x v="3"/>
    <s v="Virginia"/>
    <s v="Richmond"/>
    <s v="Online"/>
    <x v="3"/>
    <n v="46"/>
    <n v="95"/>
    <n v="4370"/>
    <n v="2359.8000000000002"/>
  </r>
  <r>
    <x v="0"/>
    <n v="1128299"/>
    <x v="296"/>
    <x v="0"/>
    <s v="Oregon"/>
    <s v="Portland"/>
    <s v="Online"/>
    <x v="4"/>
    <n v="38"/>
    <n v="102"/>
    <n v="3876"/>
    <n v="2054.2800000000002"/>
  </r>
  <r>
    <x v="2"/>
    <n v="1128299"/>
    <x v="296"/>
    <x v="3"/>
    <s v="Virginia"/>
    <s v="Richmond"/>
    <s v="Outlet"/>
    <x v="1"/>
    <n v="42"/>
    <n v="105"/>
    <n v="4410"/>
    <n v="2337.2999999999997"/>
  </r>
  <r>
    <x v="0"/>
    <n v="1128299"/>
    <x v="296"/>
    <x v="0"/>
    <s v="Oregon"/>
    <s v="Portland"/>
    <s v="Online"/>
    <x v="5"/>
    <n v="44"/>
    <n v="81"/>
    <n v="3564"/>
    <n v="1853.28"/>
  </r>
  <r>
    <x v="4"/>
    <n v="1185732"/>
    <x v="296"/>
    <x v="4"/>
    <s v="Maine"/>
    <s v="Portland"/>
    <s v="Online"/>
    <x v="4"/>
    <n v="39"/>
    <n v="127"/>
    <n v="4953"/>
    <n v="2526.0300000000002"/>
  </r>
  <r>
    <x v="2"/>
    <n v="1128299"/>
    <x v="296"/>
    <x v="3"/>
    <s v="Virginia"/>
    <s v="Richmond"/>
    <s v="Online"/>
    <x v="5"/>
    <n v="41"/>
    <n v="98"/>
    <n v="4018"/>
    <n v="2049.1800000000003"/>
  </r>
  <r>
    <x v="2"/>
    <n v="1128299"/>
    <x v="296"/>
    <x v="3"/>
    <s v="Virginia"/>
    <s v="Richmond"/>
    <s v="Online"/>
    <x v="0"/>
    <n v="51"/>
    <n v="142"/>
    <n v="7242"/>
    <n v="3693.42"/>
  </r>
  <r>
    <x v="0"/>
    <n v="1128299"/>
    <x v="296"/>
    <x v="0"/>
    <s v="Oregon"/>
    <s v="Portland"/>
    <s v="Online"/>
    <x v="3"/>
    <n v="46"/>
    <n v="91"/>
    <n v="4186"/>
    <n v="2134.86"/>
  </r>
  <r>
    <x v="2"/>
    <n v="1185732"/>
    <x v="296"/>
    <x v="2"/>
    <s v="Texas"/>
    <s v="Dallas"/>
    <s v="Online"/>
    <x v="3"/>
    <n v="33"/>
    <n v="56"/>
    <n v="1848"/>
    <n v="905.52"/>
  </r>
  <r>
    <x v="2"/>
    <n v="1128299"/>
    <x v="296"/>
    <x v="3"/>
    <s v="Virginia"/>
    <s v="Richmond"/>
    <s v="Online"/>
    <x v="1"/>
    <n v="53"/>
    <n v="87"/>
    <n v="4611"/>
    <n v="2121.06"/>
  </r>
  <r>
    <x v="0"/>
    <n v="1128299"/>
    <x v="296"/>
    <x v="0"/>
    <s v="Oregon"/>
    <s v="Portland"/>
    <s v="Online"/>
    <x v="1"/>
    <n v="51"/>
    <n v="75"/>
    <n v="3825"/>
    <n v="1759.5"/>
  </r>
  <r>
    <x v="4"/>
    <n v="1185732"/>
    <x v="297"/>
    <x v="4"/>
    <s v="Maine"/>
    <s v="Portland"/>
    <s v="Outlet"/>
    <x v="0"/>
    <n v="40"/>
    <n v="175"/>
    <n v="7000"/>
    <n v="4550"/>
  </r>
  <r>
    <x v="2"/>
    <n v="1185732"/>
    <x v="297"/>
    <x v="2"/>
    <s v="Texas"/>
    <s v="Dallas"/>
    <s v="Outlet"/>
    <x v="5"/>
    <n v="40"/>
    <n v="75"/>
    <n v="3000"/>
    <n v="1800"/>
  </r>
  <r>
    <x v="2"/>
    <n v="1185732"/>
    <x v="297"/>
    <x v="2"/>
    <s v="Texas"/>
    <s v="Dallas"/>
    <s v="Outlet"/>
    <x v="5"/>
    <n v="28"/>
    <n v="23"/>
    <n v="644"/>
    <n v="367.08000000000004"/>
  </r>
  <r>
    <x v="4"/>
    <n v="1185732"/>
    <x v="297"/>
    <x v="4"/>
    <s v="Maine"/>
    <s v="Portland"/>
    <s v="Online"/>
    <x v="0"/>
    <n v="39"/>
    <n v="46"/>
    <n v="1794"/>
    <n v="914.94"/>
  </r>
  <r>
    <x v="2"/>
    <n v="1185732"/>
    <x v="297"/>
    <x v="2"/>
    <s v="Texas"/>
    <s v="Dallas"/>
    <s v="Online"/>
    <x v="5"/>
    <n v="38"/>
    <n v="19"/>
    <n v="722"/>
    <n v="353.78"/>
  </r>
  <r>
    <x v="1"/>
    <n v="1128299"/>
    <x v="298"/>
    <x v="0"/>
    <s v="New Mexico"/>
    <s v="Albuquerque"/>
    <s v="Online"/>
    <x v="2"/>
    <n v="75.000000000000014"/>
    <n v="375"/>
    <n v="28125.000000000004"/>
    <n v="21093.750000000007"/>
  </r>
  <r>
    <x v="1"/>
    <n v="1128299"/>
    <x v="298"/>
    <x v="0"/>
    <s v="New Mexico"/>
    <s v="Albuquerque"/>
    <s v="Online"/>
    <x v="1"/>
    <n v="60.000000000000007"/>
    <n v="325"/>
    <n v="19500.000000000004"/>
    <n v="13650.000000000004"/>
  </r>
  <r>
    <x v="1"/>
    <n v="1128299"/>
    <x v="298"/>
    <x v="0"/>
    <s v="New Mexico"/>
    <s v="Albuquerque"/>
    <s v="Online"/>
    <x v="5"/>
    <n v="50.000000000000014"/>
    <n v="350"/>
    <n v="17500.000000000004"/>
    <n v="11375.000000000004"/>
  </r>
  <r>
    <x v="1"/>
    <n v="1128299"/>
    <x v="298"/>
    <x v="0"/>
    <s v="New Mexico"/>
    <s v="Albuquerque"/>
    <s v="Online"/>
    <x v="4"/>
    <n v="50.000000000000014"/>
    <n v="550"/>
    <n v="27500.000000000007"/>
    <n v="17875.000000000007"/>
  </r>
  <r>
    <x v="1"/>
    <n v="1128299"/>
    <x v="298"/>
    <x v="0"/>
    <s v="New Mexico"/>
    <s v="Albuquerque"/>
    <s v="Online"/>
    <x v="3"/>
    <n v="50.000000000000014"/>
    <n v="375"/>
    <n v="18750.000000000004"/>
    <n v="12187.500000000004"/>
  </r>
  <r>
    <x v="2"/>
    <n v="1185732"/>
    <x v="298"/>
    <x v="4"/>
    <s v="Pennsylvania"/>
    <s v="Philadelphia"/>
    <s v="Outlet"/>
    <x v="1"/>
    <n v="54.999999999999993"/>
    <n v="125"/>
    <n v="6874.9999999999991"/>
    <n v="4468.7499999999991"/>
  </r>
  <r>
    <x v="4"/>
    <n v="1185732"/>
    <x v="298"/>
    <x v="4"/>
    <s v="Maine"/>
    <s v="Portland"/>
    <s v="Outlet"/>
    <x v="3"/>
    <n v="30.000000000000004"/>
    <n v="200"/>
    <n v="6000.0000000000009"/>
    <n v="3600.0000000000009"/>
  </r>
  <r>
    <x v="1"/>
    <n v="1128299"/>
    <x v="298"/>
    <x v="0"/>
    <s v="New Mexico"/>
    <s v="Albuquerque"/>
    <s v="Online"/>
    <x v="0"/>
    <n v="55.000000000000014"/>
    <n v="550"/>
    <n v="30250.000000000007"/>
    <n v="18150.000000000004"/>
  </r>
  <r>
    <x v="1"/>
    <n v="1128299"/>
    <x v="298"/>
    <x v="0"/>
    <s v="New Mexico"/>
    <s v="Albuquerque"/>
    <s v="Outlet"/>
    <x v="2"/>
    <n v="57"/>
    <n v="131"/>
    <n v="7467"/>
    <n v="5152.2299999999996"/>
  </r>
  <r>
    <x v="1"/>
    <n v="1128299"/>
    <x v="298"/>
    <x v="0"/>
    <s v="New Mexico"/>
    <s v="Albuquerque"/>
    <s v="Outlet"/>
    <x v="1"/>
    <n v="41"/>
    <n v="114"/>
    <n v="4674"/>
    <n v="3131.58"/>
  </r>
  <r>
    <x v="1"/>
    <n v="1128299"/>
    <x v="298"/>
    <x v="0"/>
    <s v="New Mexico"/>
    <s v="Albuquerque"/>
    <s v="Outlet"/>
    <x v="4"/>
    <n v="35"/>
    <n v="171"/>
    <n v="5985"/>
    <n v="3770.55"/>
  </r>
  <r>
    <x v="1"/>
    <n v="1128299"/>
    <x v="298"/>
    <x v="0"/>
    <s v="New Mexico"/>
    <s v="Albuquerque"/>
    <s v="Online"/>
    <x v="2"/>
    <n v="68"/>
    <n v="105"/>
    <n v="7140"/>
    <n v="4498.2"/>
  </r>
  <r>
    <x v="1"/>
    <n v="1128299"/>
    <x v="298"/>
    <x v="0"/>
    <s v="New Mexico"/>
    <s v="Albuquerque"/>
    <s v="Outlet"/>
    <x v="3"/>
    <n v="34"/>
    <n v="120"/>
    <n v="4080"/>
    <n v="2448"/>
  </r>
  <r>
    <x v="2"/>
    <n v="1185732"/>
    <x v="298"/>
    <x v="4"/>
    <s v="Pennsylvania"/>
    <s v="Philadelphia"/>
    <s v="Outlet"/>
    <x v="1"/>
    <n v="42"/>
    <n v="41"/>
    <n v="1722"/>
    <n v="1015.98"/>
  </r>
  <r>
    <x v="1"/>
    <n v="1128299"/>
    <x v="298"/>
    <x v="0"/>
    <s v="New Mexico"/>
    <s v="Albuquerque"/>
    <s v="Outlet"/>
    <x v="5"/>
    <n v="35"/>
    <n v="112"/>
    <n v="3920"/>
    <n v="2273.6000000000004"/>
  </r>
  <r>
    <x v="1"/>
    <n v="1128299"/>
    <x v="298"/>
    <x v="0"/>
    <s v="New Mexico"/>
    <s v="Albuquerque"/>
    <s v="Outlet"/>
    <x v="0"/>
    <n v="38"/>
    <n v="182"/>
    <n v="6916"/>
    <n v="3942.1199999999994"/>
  </r>
  <r>
    <x v="1"/>
    <n v="1128299"/>
    <x v="298"/>
    <x v="0"/>
    <s v="New Mexico"/>
    <s v="Albuquerque"/>
    <s v="Online"/>
    <x v="1"/>
    <n v="56"/>
    <n v="91"/>
    <n v="5096"/>
    <n v="2853.7599999999998"/>
  </r>
  <r>
    <x v="2"/>
    <n v="1185732"/>
    <x v="298"/>
    <x v="4"/>
    <s v="Pennsylvania"/>
    <s v="Philadelphia"/>
    <s v="Online"/>
    <x v="1"/>
    <n v="54"/>
    <n v="36"/>
    <n v="1944"/>
    <n v="1069.2"/>
  </r>
  <r>
    <x v="1"/>
    <n v="1128299"/>
    <x v="298"/>
    <x v="0"/>
    <s v="New Mexico"/>
    <s v="Albuquerque"/>
    <s v="Online"/>
    <x v="3"/>
    <n v="48"/>
    <n v="105"/>
    <n v="5040"/>
    <n v="2671.2000000000003"/>
  </r>
  <r>
    <x v="1"/>
    <n v="1128299"/>
    <x v="298"/>
    <x v="0"/>
    <s v="New Mexico"/>
    <s v="Albuquerque"/>
    <s v="Online"/>
    <x v="5"/>
    <n v="46"/>
    <n v="95"/>
    <n v="4370"/>
    <n v="2228.6999999999998"/>
  </r>
  <r>
    <x v="1"/>
    <n v="1128299"/>
    <x v="298"/>
    <x v="0"/>
    <s v="New Mexico"/>
    <s v="Albuquerque"/>
    <s v="Online"/>
    <x v="4"/>
    <n v="48"/>
    <n v="165"/>
    <n v="7920"/>
    <n v="3960"/>
  </r>
  <r>
    <x v="1"/>
    <n v="1128299"/>
    <x v="298"/>
    <x v="0"/>
    <s v="New Mexico"/>
    <s v="Albuquerque"/>
    <s v="Online"/>
    <x v="0"/>
    <n v="50"/>
    <n v="149"/>
    <n v="7450"/>
    <n v="3501.5"/>
  </r>
  <r>
    <x v="4"/>
    <n v="1185732"/>
    <x v="298"/>
    <x v="4"/>
    <s v="Maine"/>
    <s v="Portland"/>
    <s v="Online"/>
    <x v="3"/>
    <n v="27"/>
    <n v="52"/>
    <n v="1404"/>
    <n v="631.80000000000007"/>
  </r>
  <r>
    <x v="2"/>
    <n v="1185732"/>
    <x v="299"/>
    <x v="4"/>
    <s v="Pennsylvania"/>
    <s v="Philadelphia"/>
    <s v="Outlet"/>
    <x v="2"/>
    <n v="45"/>
    <n v="225"/>
    <n v="10125"/>
    <n v="7087.5"/>
  </r>
  <r>
    <x v="4"/>
    <n v="1185732"/>
    <x v="299"/>
    <x v="4"/>
    <s v="Maine"/>
    <s v="Portland"/>
    <s v="Outlet"/>
    <x v="5"/>
    <n v="35"/>
    <n v="50"/>
    <n v="1750"/>
    <n v="1225"/>
  </r>
  <r>
    <x v="2"/>
    <n v="1185732"/>
    <x v="299"/>
    <x v="4"/>
    <s v="Pennsylvania"/>
    <s v="Philadelphia"/>
    <s v="Outlet"/>
    <x v="2"/>
    <n v="32"/>
    <n v="70"/>
    <n v="2240"/>
    <n v="1478.4"/>
  </r>
  <r>
    <x v="4"/>
    <n v="1185732"/>
    <x v="299"/>
    <x v="4"/>
    <s v="Maine"/>
    <s v="Portland"/>
    <s v="Online"/>
    <x v="5"/>
    <n v="32"/>
    <n v="13"/>
    <n v="416"/>
    <n v="249.6"/>
  </r>
  <r>
    <x v="2"/>
    <n v="1185732"/>
    <x v="299"/>
    <x v="4"/>
    <s v="Pennsylvania"/>
    <s v="Philadelphia"/>
    <s v="Online"/>
    <x v="2"/>
    <n v="43"/>
    <n v="61"/>
    <n v="2623"/>
    <n v="1468.8799999999999"/>
  </r>
  <r>
    <x v="4"/>
    <n v="1185732"/>
    <x v="300"/>
    <x v="4"/>
    <s v="Maine"/>
    <s v="Portland"/>
    <s v="Outlet"/>
    <x v="1"/>
    <n v="50"/>
    <n v="100"/>
    <n v="5000"/>
    <n v="3750"/>
  </r>
  <r>
    <x v="2"/>
    <n v="1185732"/>
    <x v="300"/>
    <x v="4"/>
    <s v="Pennsylvania"/>
    <s v="Philadelphia"/>
    <s v="Outlet"/>
    <x v="4"/>
    <n v="45"/>
    <n v="475"/>
    <n v="21375"/>
    <n v="9618.7499999999982"/>
  </r>
  <r>
    <x v="4"/>
    <n v="1185732"/>
    <x v="300"/>
    <x v="4"/>
    <s v="Maine"/>
    <s v="Portland"/>
    <s v="Online"/>
    <x v="1"/>
    <n v="49"/>
    <n v="29"/>
    <n v="1421"/>
    <n v="909.44"/>
  </r>
  <r>
    <x v="2"/>
    <n v="1185732"/>
    <x v="300"/>
    <x v="4"/>
    <s v="Pennsylvania"/>
    <s v="Philadelphia"/>
    <s v="Outlet"/>
    <x v="4"/>
    <n v="32"/>
    <n v="166"/>
    <n v="5312"/>
    <n v="2124.7999999999997"/>
  </r>
  <r>
    <x v="2"/>
    <n v="1185732"/>
    <x v="300"/>
    <x v="4"/>
    <s v="Pennsylvania"/>
    <s v="Philadelphia"/>
    <s v="Online"/>
    <x v="4"/>
    <n v="42"/>
    <n v="119"/>
    <n v="4998"/>
    <n v="1649.3399999999997"/>
  </r>
  <r>
    <x v="2"/>
    <n v="1185732"/>
    <x v="301"/>
    <x v="4"/>
    <s v="Pennsylvania"/>
    <s v="Philadelphia"/>
    <s v="Outlet"/>
    <x v="0"/>
    <n v="45"/>
    <n v="125"/>
    <n v="5625"/>
    <n v="3656.25"/>
  </r>
  <r>
    <x v="4"/>
    <n v="1185732"/>
    <x v="301"/>
    <x v="4"/>
    <s v="Maine"/>
    <s v="Portland"/>
    <s v="Outlet"/>
    <x v="2"/>
    <n v="40"/>
    <n v="200"/>
    <n v="8000"/>
    <n v="4800"/>
  </r>
  <r>
    <x v="2"/>
    <n v="1185732"/>
    <x v="301"/>
    <x v="4"/>
    <s v="Pennsylvania"/>
    <s v="Philadelphia"/>
    <s v="Outlet"/>
    <x v="0"/>
    <n v="32"/>
    <n v="44"/>
    <n v="1408"/>
    <n v="844.80000000000007"/>
  </r>
  <r>
    <x v="2"/>
    <n v="1185732"/>
    <x v="301"/>
    <x v="4"/>
    <s v="Pennsylvania"/>
    <s v="Philadelphia"/>
    <s v="Online"/>
    <x v="0"/>
    <n v="44"/>
    <n v="35"/>
    <n v="1540"/>
    <n v="800.80000000000007"/>
  </r>
  <r>
    <x v="4"/>
    <n v="1185732"/>
    <x v="301"/>
    <x v="4"/>
    <s v="Maine"/>
    <s v="Portland"/>
    <s v="Online"/>
    <x v="2"/>
    <n v="36"/>
    <n v="50"/>
    <n v="1800"/>
    <n v="809.99999999999989"/>
  </r>
  <r>
    <x v="4"/>
    <n v="1185732"/>
    <x v="302"/>
    <x v="4"/>
    <s v="Maine"/>
    <s v="Portland"/>
    <s v="Outlet"/>
    <x v="4"/>
    <n v="40"/>
    <n v="450"/>
    <n v="18000"/>
    <n v="11700"/>
  </r>
  <r>
    <x v="2"/>
    <n v="1185732"/>
    <x v="302"/>
    <x v="4"/>
    <s v="Pennsylvania"/>
    <s v="Philadelphia"/>
    <s v="Outlet"/>
    <x v="3"/>
    <n v="35"/>
    <n v="175"/>
    <n v="6125"/>
    <n v="3675"/>
  </r>
  <r>
    <x v="2"/>
    <n v="1185732"/>
    <x v="302"/>
    <x v="4"/>
    <s v="Pennsylvania"/>
    <s v="Philadelphia"/>
    <s v="Outlet"/>
    <x v="3"/>
    <n v="25"/>
    <n v="54"/>
    <n v="1350"/>
    <n v="742.50000000000011"/>
  </r>
  <r>
    <x v="4"/>
    <n v="1185732"/>
    <x v="302"/>
    <x v="4"/>
    <s v="Maine"/>
    <s v="Portland"/>
    <s v="Online"/>
    <x v="4"/>
    <n v="37"/>
    <n v="122"/>
    <n v="4514"/>
    <n v="2347.2800000000002"/>
  </r>
  <r>
    <x v="2"/>
    <n v="1185732"/>
    <x v="302"/>
    <x v="4"/>
    <s v="Pennsylvania"/>
    <s v="Philadelphia"/>
    <s v="Online"/>
    <x v="3"/>
    <n v="34"/>
    <n v="46"/>
    <n v="1564"/>
    <n v="750.72"/>
  </r>
  <r>
    <x v="4"/>
    <n v="1185732"/>
    <x v="303"/>
    <x v="4"/>
    <s v="Maine"/>
    <s v="Portland"/>
    <s v="Outlet"/>
    <x v="0"/>
    <n v="40"/>
    <n v="150"/>
    <n v="6000"/>
    <n v="3900"/>
  </r>
  <r>
    <x v="2"/>
    <n v="1185732"/>
    <x v="303"/>
    <x v="4"/>
    <s v="Pennsylvania"/>
    <s v="Philadelphia"/>
    <s v="Outlet"/>
    <x v="5"/>
    <n v="40"/>
    <n v="50"/>
    <n v="2000"/>
    <n v="1200"/>
  </r>
  <r>
    <x v="2"/>
    <n v="1185732"/>
    <x v="303"/>
    <x v="4"/>
    <s v="Pennsylvania"/>
    <s v="Philadelphia"/>
    <s v="Outlet"/>
    <x v="5"/>
    <n v="28"/>
    <n v="17"/>
    <n v="476"/>
    <n v="276.08000000000004"/>
  </r>
  <r>
    <x v="4"/>
    <n v="1185732"/>
    <x v="303"/>
    <x v="4"/>
    <s v="Maine"/>
    <s v="Portland"/>
    <s v="Online"/>
    <x v="0"/>
    <n v="37"/>
    <n v="44"/>
    <n v="1628"/>
    <n v="862.84"/>
  </r>
  <r>
    <x v="2"/>
    <n v="1185732"/>
    <x v="303"/>
    <x v="4"/>
    <s v="Pennsylvania"/>
    <s v="Philadelphia"/>
    <s v="Online"/>
    <x v="5"/>
    <n v="39"/>
    <n v="13"/>
    <n v="507"/>
    <n v="243.36"/>
  </r>
  <r>
    <x v="2"/>
    <n v="1185732"/>
    <x v="304"/>
    <x v="4"/>
    <s v="Pennsylvania"/>
    <s v="Philadelphia"/>
    <s v="Outlet"/>
    <x v="1"/>
    <n v="54.999999999999993"/>
    <n v="125"/>
    <n v="6874.9999999999991"/>
    <n v="4468.7499999999991"/>
  </r>
  <r>
    <x v="4"/>
    <n v="1185732"/>
    <x v="304"/>
    <x v="4"/>
    <s v="Maine"/>
    <s v="Portland"/>
    <s v="Outlet"/>
    <x v="3"/>
    <n v="30.000000000000004"/>
    <n v="150"/>
    <n v="4500.0000000000009"/>
    <n v="2700.0000000000009"/>
  </r>
  <r>
    <x v="2"/>
    <n v="1185732"/>
    <x v="304"/>
    <x v="4"/>
    <s v="Pennsylvania"/>
    <s v="Philadelphia"/>
    <s v="Outlet"/>
    <x v="1"/>
    <n v="39"/>
    <n v="40"/>
    <n v="1560"/>
    <n v="982.8"/>
  </r>
  <r>
    <x v="2"/>
    <n v="1185732"/>
    <x v="304"/>
    <x v="4"/>
    <s v="Pennsylvania"/>
    <s v="Philadelphia"/>
    <s v="Online"/>
    <x v="1"/>
    <n v="51"/>
    <n v="36"/>
    <n v="1836"/>
    <n v="991.44"/>
  </r>
  <r>
    <x v="4"/>
    <n v="1185732"/>
    <x v="304"/>
    <x v="4"/>
    <s v="Maine"/>
    <s v="Portland"/>
    <s v="Online"/>
    <x v="3"/>
    <n v="27"/>
    <n v="44"/>
    <n v="1188"/>
    <n v="546.4799999999999"/>
  </r>
  <r>
    <x v="2"/>
    <n v="1185732"/>
    <x v="305"/>
    <x v="4"/>
    <s v="Pennsylvania"/>
    <s v="Philadelphia"/>
    <s v="Outlet"/>
    <x v="2"/>
    <n v="45"/>
    <n v="225"/>
    <n v="10125"/>
    <n v="7087.5"/>
  </r>
  <r>
    <x v="4"/>
    <n v="1185732"/>
    <x v="305"/>
    <x v="4"/>
    <s v="Maine"/>
    <s v="Portland"/>
    <s v="Outlet"/>
    <x v="5"/>
    <n v="35"/>
    <n v="75"/>
    <n v="2625"/>
    <n v="1837.5"/>
  </r>
  <r>
    <x v="2"/>
    <n v="1185732"/>
    <x v="305"/>
    <x v="4"/>
    <s v="Pennsylvania"/>
    <s v="Philadelphia"/>
    <s v="Outlet"/>
    <x v="2"/>
    <n v="30"/>
    <n v="74"/>
    <n v="2220"/>
    <n v="1443"/>
  </r>
  <r>
    <x v="4"/>
    <n v="1185732"/>
    <x v="305"/>
    <x v="4"/>
    <s v="Maine"/>
    <s v="Portland"/>
    <s v="Online"/>
    <x v="5"/>
    <n v="33"/>
    <n v="21"/>
    <n v="693"/>
    <n v="415.8"/>
  </r>
  <r>
    <x v="2"/>
    <n v="1185732"/>
    <x v="305"/>
    <x v="4"/>
    <s v="Pennsylvania"/>
    <s v="Philadelphia"/>
    <s v="Online"/>
    <x v="2"/>
    <n v="44"/>
    <n v="68"/>
    <n v="2992"/>
    <n v="1645.6000000000001"/>
  </r>
  <r>
    <x v="4"/>
    <n v="1185732"/>
    <x v="306"/>
    <x v="4"/>
    <s v="Maine"/>
    <s v="Portland"/>
    <s v="Outlet"/>
    <x v="1"/>
    <n v="50"/>
    <n v="75"/>
    <n v="3750"/>
    <n v="2812.5"/>
  </r>
  <r>
    <x v="0"/>
    <n v="1185732"/>
    <x v="306"/>
    <x v="1"/>
    <s v="Wisconsin"/>
    <s v="Milwaukee"/>
    <s v="In-store"/>
    <x v="4"/>
    <n v="44.999999999999993"/>
    <n v="400"/>
    <n v="17999.999999999996"/>
    <n v="12599.999999999996"/>
  </r>
  <r>
    <x v="0"/>
    <n v="1185732"/>
    <x v="306"/>
    <x v="1"/>
    <s v="Wisconsin"/>
    <s v="Milwaukee"/>
    <s v="In-store"/>
    <x v="3"/>
    <n v="35"/>
    <n v="245"/>
    <n v="8575"/>
    <n v="6002.5"/>
  </r>
  <r>
    <x v="0"/>
    <n v="1185732"/>
    <x v="306"/>
    <x v="1"/>
    <s v="Wisconsin"/>
    <s v="Milwaukee"/>
    <s v="In-store"/>
    <x v="5"/>
    <n v="35"/>
    <n v="225"/>
    <n v="7875"/>
    <n v="5512.5"/>
  </r>
  <r>
    <x v="3"/>
    <n v="1185732"/>
    <x v="306"/>
    <x v="3"/>
    <s v="North Carolina"/>
    <s v="Charlotte"/>
    <s v="Online"/>
    <x v="0"/>
    <n v="35.000000000000007"/>
    <n v="650"/>
    <n v="22750.000000000004"/>
    <n v="14787.500000000005"/>
  </r>
  <r>
    <x v="3"/>
    <n v="1185732"/>
    <x v="306"/>
    <x v="3"/>
    <s v="North Carolina"/>
    <s v="Charlotte"/>
    <s v="Online"/>
    <x v="1"/>
    <n v="75.000000000000014"/>
    <n v="625"/>
    <n v="46875.000000000007"/>
    <n v="30468.750000000011"/>
  </r>
  <r>
    <x v="0"/>
    <n v="1185732"/>
    <x v="306"/>
    <x v="1"/>
    <s v="Wisconsin"/>
    <s v="Milwaukee"/>
    <s v="In-store"/>
    <x v="0"/>
    <n v="35"/>
    <n v="300"/>
    <n v="10500"/>
    <n v="6825"/>
  </r>
  <r>
    <x v="3"/>
    <n v="1185732"/>
    <x v="306"/>
    <x v="3"/>
    <s v="North Carolina"/>
    <s v="Charlotte"/>
    <s v="Online"/>
    <x v="3"/>
    <n v="40.000000000000014"/>
    <n v="595"/>
    <n v="23800.000000000007"/>
    <n v="14280.000000000005"/>
  </r>
  <r>
    <x v="3"/>
    <n v="1185732"/>
    <x v="306"/>
    <x v="3"/>
    <s v="North Carolina"/>
    <s v="Charlotte"/>
    <s v="Online"/>
    <x v="4"/>
    <n v="45.000000000000007"/>
    <n v="825"/>
    <n v="37125.000000000007"/>
    <n v="22275.000000000004"/>
  </r>
  <r>
    <x v="3"/>
    <n v="1185732"/>
    <x v="306"/>
    <x v="3"/>
    <s v="North Carolina"/>
    <s v="Charlotte"/>
    <s v="Online"/>
    <x v="5"/>
    <n v="60.000000000000021"/>
    <n v="650"/>
    <n v="39000.000000000015"/>
    <n v="23400.000000000007"/>
  </r>
  <r>
    <x v="0"/>
    <n v="1185732"/>
    <x v="306"/>
    <x v="1"/>
    <s v="Wisconsin"/>
    <s v="Milwaukee"/>
    <s v="In-store"/>
    <x v="2"/>
    <n v="64.999999999999986"/>
    <n v="300"/>
    <n v="19499.999999999996"/>
    <n v="11699.999999999998"/>
  </r>
  <r>
    <x v="3"/>
    <n v="1185732"/>
    <x v="306"/>
    <x v="3"/>
    <s v="North Carolina"/>
    <s v="Charlotte"/>
    <s v="Online"/>
    <x v="2"/>
    <n v="75"/>
    <n v="725"/>
    <n v="54375"/>
    <n v="27187.5"/>
  </r>
  <r>
    <x v="0"/>
    <n v="1185732"/>
    <x v="306"/>
    <x v="1"/>
    <s v="Wisconsin"/>
    <s v="Milwaukee"/>
    <s v="In-store"/>
    <x v="1"/>
    <n v="60"/>
    <n v="200"/>
    <n v="12000"/>
    <n v="6000"/>
  </r>
  <r>
    <x v="2"/>
    <n v="1185732"/>
    <x v="306"/>
    <x v="4"/>
    <s v="Pennsylvania"/>
    <s v="Philadelphia"/>
    <s v="Outlet"/>
    <x v="4"/>
    <n v="50"/>
    <n v="445"/>
    <n v="22250"/>
    <n v="10012.499999999998"/>
  </r>
  <r>
    <x v="4"/>
    <n v="1185732"/>
    <x v="306"/>
    <x v="4"/>
    <s v="Maine"/>
    <s v="Portland"/>
    <s v="Online"/>
    <x v="1"/>
    <n v="47"/>
    <n v="20"/>
    <n v="940"/>
    <n v="582.79999999999995"/>
  </r>
  <r>
    <x v="0"/>
    <n v="1185732"/>
    <x v="306"/>
    <x v="1"/>
    <s v="Wisconsin"/>
    <s v="Milwaukee"/>
    <s v="Online"/>
    <x v="3"/>
    <n v="33"/>
    <n v="69"/>
    <n v="2277"/>
    <n v="1320.66"/>
  </r>
  <r>
    <x v="0"/>
    <n v="1185732"/>
    <x v="306"/>
    <x v="1"/>
    <s v="Wisconsin"/>
    <s v="Milwaukee"/>
    <s v="Online"/>
    <x v="4"/>
    <n v="41"/>
    <n v="104"/>
    <n v="4264"/>
    <n v="2430.48"/>
  </r>
  <r>
    <x v="0"/>
    <n v="1185732"/>
    <x v="306"/>
    <x v="1"/>
    <s v="Wisconsin"/>
    <s v="Milwaukee"/>
    <s v="Online"/>
    <x v="5"/>
    <n v="33"/>
    <n v="65"/>
    <n v="2145"/>
    <n v="1179.75"/>
  </r>
  <r>
    <x v="3"/>
    <n v="1185732"/>
    <x v="306"/>
    <x v="3"/>
    <s v="North Carolina"/>
    <s v="Charlotte"/>
    <s v="Online"/>
    <x v="0"/>
    <n v="32"/>
    <n v="195"/>
    <n v="6240"/>
    <n v="3307.2000000000003"/>
  </r>
  <r>
    <x v="0"/>
    <n v="1185732"/>
    <x v="306"/>
    <x v="1"/>
    <s v="Wisconsin"/>
    <s v="Milwaukee"/>
    <s v="Online"/>
    <x v="0"/>
    <n v="32"/>
    <n v="78"/>
    <n v="2496"/>
    <n v="1322.88"/>
  </r>
  <r>
    <x v="3"/>
    <n v="1185732"/>
    <x v="306"/>
    <x v="3"/>
    <s v="North Carolina"/>
    <s v="Charlotte"/>
    <s v="Online"/>
    <x v="1"/>
    <n v="72"/>
    <n v="163"/>
    <n v="11736"/>
    <n v="5985.36"/>
  </r>
  <r>
    <x v="3"/>
    <n v="1185732"/>
    <x v="306"/>
    <x v="3"/>
    <s v="North Carolina"/>
    <s v="Charlotte"/>
    <s v="Online"/>
    <x v="5"/>
    <n v="55"/>
    <n v="163"/>
    <n v="8965"/>
    <n v="4392.8500000000004"/>
  </r>
  <r>
    <x v="0"/>
    <n v="1185732"/>
    <x v="306"/>
    <x v="1"/>
    <s v="Wisconsin"/>
    <s v="Milwaukee"/>
    <s v="Online"/>
    <x v="2"/>
    <n v="61"/>
    <n v="75"/>
    <n v="4575"/>
    <n v="2241.75"/>
  </r>
  <r>
    <x v="3"/>
    <n v="1185732"/>
    <x v="306"/>
    <x v="3"/>
    <s v="North Carolina"/>
    <s v="Charlotte"/>
    <s v="Online"/>
    <x v="3"/>
    <n v="38"/>
    <n v="167"/>
    <n v="6346"/>
    <n v="2919.16"/>
  </r>
  <r>
    <x v="3"/>
    <n v="1185732"/>
    <x v="306"/>
    <x v="3"/>
    <s v="North Carolina"/>
    <s v="Charlotte"/>
    <s v="Online"/>
    <x v="4"/>
    <n v="44"/>
    <n v="215"/>
    <n v="9460"/>
    <n v="4257"/>
  </r>
  <r>
    <x v="2"/>
    <n v="1185732"/>
    <x v="306"/>
    <x v="4"/>
    <s v="Pennsylvania"/>
    <s v="Philadelphia"/>
    <s v="Outlet"/>
    <x v="4"/>
    <n v="39"/>
    <n v="156"/>
    <n v="6084"/>
    <n v="2555.2799999999997"/>
  </r>
  <r>
    <x v="0"/>
    <n v="1185732"/>
    <x v="306"/>
    <x v="1"/>
    <s v="Wisconsin"/>
    <s v="Milwaukee"/>
    <s v="Online"/>
    <x v="1"/>
    <n v="58"/>
    <n v="56"/>
    <n v="3248"/>
    <n v="1234.24"/>
  </r>
  <r>
    <x v="3"/>
    <n v="1185732"/>
    <x v="306"/>
    <x v="3"/>
    <s v="North Carolina"/>
    <s v="Charlotte"/>
    <s v="Online"/>
    <x v="2"/>
    <n v="72"/>
    <n v="210"/>
    <n v="15120"/>
    <n v="5443.1999999999989"/>
  </r>
  <r>
    <x v="2"/>
    <n v="1185732"/>
    <x v="306"/>
    <x v="4"/>
    <s v="Pennsylvania"/>
    <s v="Philadelphia"/>
    <s v="Online"/>
    <x v="4"/>
    <n v="49"/>
    <n v="120"/>
    <n v="5880"/>
    <n v="1764"/>
  </r>
  <r>
    <x v="2"/>
    <n v="1185732"/>
    <x v="307"/>
    <x v="4"/>
    <s v="Connecticut"/>
    <s v="Hartford"/>
    <s v="In-store"/>
    <x v="3"/>
    <n v="55.000000000000007"/>
    <n v="295"/>
    <n v="16225.000000000002"/>
    <n v="11357.500000000004"/>
  </r>
  <r>
    <x v="2"/>
    <n v="1185732"/>
    <x v="307"/>
    <x v="4"/>
    <s v="Connecticut"/>
    <s v="Hartford"/>
    <s v="In-store"/>
    <x v="5"/>
    <n v="55.000000000000007"/>
    <n v="275"/>
    <n v="15125.000000000002"/>
    <n v="10587.500000000004"/>
  </r>
  <r>
    <x v="2"/>
    <n v="1185732"/>
    <x v="307"/>
    <x v="4"/>
    <s v="Connecticut"/>
    <s v="Hartford"/>
    <s v="In-store"/>
    <x v="1"/>
    <n v="65"/>
    <n v="250"/>
    <n v="16250"/>
    <n v="11375"/>
  </r>
  <r>
    <x v="2"/>
    <n v="1185732"/>
    <x v="307"/>
    <x v="4"/>
    <s v="Pennsylvania"/>
    <s v="Philadelphia"/>
    <s v="Outlet"/>
    <x v="0"/>
    <n v="50"/>
    <n v="150"/>
    <n v="7500"/>
    <n v="4875"/>
  </r>
  <r>
    <x v="2"/>
    <n v="1185732"/>
    <x v="307"/>
    <x v="4"/>
    <s v="Connecticut"/>
    <s v="Hartford"/>
    <s v="In-store"/>
    <x v="2"/>
    <n v="70"/>
    <n v="350"/>
    <n v="24500"/>
    <n v="15925"/>
  </r>
  <r>
    <x v="4"/>
    <n v="1185732"/>
    <x v="307"/>
    <x v="4"/>
    <s v="Maine"/>
    <s v="Portland"/>
    <s v="Outlet"/>
    <x v="2"/>
    <n v="40"/>
    <n v="225"/>
    <n v="9000"/>
    <n v="5400"/>
  </r>
  <r>
    <x v="2"/>
    <n v="1185732"/>
    <x v="307"/>
    <x v="4"/>
    <s v="Connecticut"/>
    <s v="Hartford"/>
    <s v="In-store"/>
    <x v="4"/>
    <n v="65"/>
    <n v="425"/>
    <n v="27625"/>
    <n v="16575"/>
  </r>
  <r>
    <x v="2"/>
    <n v="1185732"/>
    <x v="307"/>
    <x v="4"/>
    <s v="Connecticut"/>
    <s v="Hartford"/>
    <s v="In-store"/>
    <x v="0"/>
    <n v="55.000000000000007"/>
    <n v="300"/>
    <n v="16500.000000000004"/>
    <n v="9900.0000000000018"/>
  </r>
  <r>
    <x v="2"/>
    <n v="1185732"/>
    <x v="307"/>
    <x v="4"/>
    <s v="Connecticut"/>
    <s v="Hartford"/>
    <s v="Outlet"/>
    <x v="1"/>
    <n v="44"/>
    <n v="88"/>
    <n v="3872"/>
    <n v="2478.08"/>
  </r>
  <r>
    <x v="2"/>
    <n v="1185732"/>
    <x v="307"/>
    <x v="4"/>
    <s v="Connecticut"/>
    <s v="Hartford"/>
    <s v="Outlet"/>
    <x v="3"/>
    <n v="36"/>
    <n v="103"/>
    <n v="3708"/>
    <n v="2336.04"/>
  </r>
  <r>
    <x v="2"/>
    <n v="1185732"/>
    <x v="307"/>
    <x v="4"/>
    <s v="Connecticut"/>
    <s v="Hartford"/>
    <s v="Outlet"/>
    <x v="5"/>
    <n v="39"/>
    <n v="83"/>
    <n v="3237"/>
    <n v="2039.31"/>
  </r>
  <r>
    <x v="2"/>
    <n v="1185732"/>
    <x v="307"/>
    <x v="4"/>
    <s v="Pennsylvania"/>
    <s v="Philadelphia"/>
    <s v="Outlet"/>
    <x v="0"/>
    <n v="33"/>
    <n v="53"/>
    <n v="1749"/>
    <n v="1101.8699999999999"/>
  </r>
  <r>
    <x v="2"/>
    <n v="1185732"/>
    <x v="307"/>
    <x v="4"/>
    <s v="Connecticut"/>
    <s v="Hartford"/>
    <s v="Outlet"/>
    <x v="2"/>
    <n v="52"/>
    <n v="116"/>
    <n v="6032"/>
    <n v="3679.5200000000004"/>
  </r>
  <r>
    <x v="2"/>
    <n v="1185732"/>
    <x v="307"/>
    <x v="4"/>
    <s v="Connecticut"/>
    <s v="Hartford"/>
    <s v="Online"/>
    <x v="5"/>
    <n v="50"/>
    <n v="80"/>
    <n v="4000"/>
    <n v="2320"/>
  </r>
  <r>
    <x v="2"/>
    <n v="1185732"/>
    <x v="307"/>
    <x v="4"/>
    <s v="Connecticut"/>
    <s v="Hartford"/>
    <s v="Outlet"/>
    <x v="4"/>
    <n v="51"/>
    <n v="149"/>
    <n v="7599"/>
    <n v="4331.43"/>
  </r>
  <r>
    <x v="2"/>
    <n v="1185732"/>
    <x v="307"/>
    <x v="4"/>
    <s v="Connecticut"/>
    <s v="Hartford"/>
    <s v="Online"/>
    <x v="1"/>
    <n v="60"/>
    <n v="68"/>
    <n v="4080"/>
    <n v="2284.8000000000002"/>
  </r>
  <r>
    <x v="2"/>
    <n v="1185732"/>
    <x v="307"/>
    <x v="4"/>
    <s v="Connecticut"/>
    <s v="Hartford"/>
    <s v="Online"/>
    <x v="3"/>
    <n v="51"/>
    <n v="80"/>
    <n v="4080"/>
    <n v="2244"/>
  </r>
  <r>
    <x v="2"/>
    <n v="1185732"/>
    <x v="307"/>
    <x v="4"/>
    <s v="Connecticut"/>
    <s v="Hartford"/>
    <s v="Outlet"/>
    <x v="0"/>
    <n v="37"/>
    <n v="105"/>
    <n v="3885"/>
    <n v="2097.8999999999996"/>
  </r>
  <r>
    <x v="2"/>
    <n v="1185732"/>
    <x v="307"/>
    <x v="4"/>
    <s v="Connecticut"/>
    <s v="Hartford"/>
    <s v="Online"/>
    <x v="2"/>
    <n v="67"/>
    <n v="95"/>
    <n v="6365"/>
    <n v="3373.4500000000003"/>
  </r>
  <r>
    <x v="2"/>
    <n v="1185732"/>
    <x v="307"/>
    <x v="4"/>
    <s v="Pennsylvania"/>
    <s v="Philadelphia"/>
    <s v="Online"/>
    <x v="0"/>
    <n v="47"/>
    <n v="38"/>
    <n v="1786"/>
    <n v="910.86"/>
  </r>
  <r>
    <x v="2"/>
    <n v="1185732"/>
    <x v="307"/>
    <x v="4"/>
    <s v="Connecticut"/>
    <s v="Hartford"/>
    <s v="Online"/>
    <x v="4"/>
    <n v="60"/>
    <n v="111"/>
    <n v="6660"/>
    <n v="3330"/>
  </r>
  <r>
    <x v="4"/>
    <n v="1185732"/>
    <x v="307"/>
    <x v="4"/>
    <s v="Maine"/>
    <s v="Portland"/>
    <s v="Online"/>
    <x v="2"/>
    <n v="39"/>
    <n v="63"/>
    <n v="2457"/>
    <n v="1203.93"/>
  </r>
  <r>
    <x v="2"/>
    <n v="1185732"/>
    <x v="307"/>
    <x v="4"/>
    <s v="Connecticut"/>
    <s v="Hartford"/>
    <s v="Online"/>
    <x v="0"/>
    <n v="51"/>
    <n v="84"/>
    <n v="4284"/>
    <n v="2056.3199999999997"/>
  </r>
  <r>
    <x v="3"/>
    <n v="1197831"/>
    <x v="308"/>
    <x v="0"/>
    <s v="Idaho"/>
    <s v="Boise"/>
    <s v="Online"/>
    <x v="1"/>
    <n v="54.999999999999993"/>
    <n v="425"/>
    <n v="23374.999999999996"/>
    <n v="15193.75"/>
  </r>
  <r>
    <x v="4"/>
    <n v="1185732"/>
    <x v="308"/>
    <x v="4"/>
    <s v="Maine"/>
    <s v="Portland"/>
    <s v="Outlet"/>
    <x v="4"/>
    <n v="54.999999999999993"/>
    <n v="495"/>
    <n v="27224.999999999996"/>
    <n v="17696.249999999996"/>
  </r>
  <r>
    <x v="2"/>
    <n v="1185732"/>
    <x v="308"/>
    <x v="4"/>
    <s v="Pennsylvania"/>
    <s v="Philadelphia"/>
    <s v="Outlet"/>
    <x v="3"/>
    <n v="40"/>
    <n v="175"/>
    <n v="7000"/>
    <n v="4200"/>
  </r>
  <r>
    <x v="3"/>
    <n v="1197831"/>
    <x v="308"/>
    <x v="0"/>
    <s v="Idaho"/>
    <s v="Boise"/>
    <s v="Online"/>
    <x v="4"/>
    <n v="35"/>
    <n v="675"/>
    <n v="23625"/>
    <n v="14175"/>
  </r>
  <r>
    <x v="3"/>
    <n v="1197831"/>
    <x v="308"/>
    <x v="0"/>
    <s v="Idaho"/>
    <s v="Boise"/>
    <s v="Online"/>
    <x v="0"/>
    <n v="35"/>
    <n v="675"/>
    <n v="23625"/>
    <n v="14175"/>
  </r>
  <r>
    <x v="3"/>
    <n v="1197831"/>
    <x v="308"/>
    <x v="0"/>
    <s v="Idaho"/>
    <s v="Boise"/>
    <s v="Online"/>
    <x v="3"/>
    <n v="60"/>
    <n v="600"/>
    <n v="36000"/>
    <n v="21600"/>
  </r>
  <r>
    <x v="3"/>
    <n v="1197831"/>
    <x v="308"/>
    <x v="0"/>
    <s v="Idaho"/>
    <s v="Boise"/>
    <s v="Online"/>
    <x v="5"/>
    <n v="60"/>
    <n v="450"/>
    <n v="27000"/>
    <n v="13500"/>
  </r>
  <r>
    <x v="3"/>
    <n v="1197831"/>
    <x v="308"/>
    <x v="0"/>
    <s v="Idaho"/>
    <s v="Boise"/>
    <s v="Online"/>
    <x v="2"/>
    <n v="65"/>
    <n v="625"/>
    <n v="40625"/>
    <n v="18281.249999999996"/>
  </r>
  <r>
    <x v="3"/>
    <n v="1197831"/>
    <x v="308"/>
    <x v="0"/>
    <s v="Idaho"/>
    <s v="Boise"/>
    <s v="Outlet"/>
    <x v="1"/>
    <n v="41"/>
    <n v="149"/>
    <n v="6109"/>
    <n v="3787.58"/>
  </r>
  <r>
    <x v="3"/>
    <n v="1197831"/>
    <x v="308"/>
    <x v="0"/>
    <s v="Idaho"/>
    <s v="Boise"/>
    <s v="Outlet"/>
    <x v="3"/>
    <n v="42"/>
    <n v="210"/>
    <n v="8820"/>
    <n v="5115.6000000000004"/>
  </r>
  <r>
    <x v="3"/>
    <n v="1197831"/>
    <x v="308"/>
    <x v="0"/>
    <s v="Idaho"/>
    <s v="Boise"/>
    <s v="Outlet"/>
    <x v="0"/>
    <n v="28"/>
    <n v="223"/>
    <n v="6244"/>
    <n v="3559.0800000000004"/>
  </r>
  <r>
    <x v="4"/>
    <n v="1185732"/>
    <x v="308"/>
    <x v="4"/>
    <s v="Maine"/>
    <s v="Portland"/>
    <s v="Online"/>
    <x v="4"/>
    <n v="52"/>
    <n v="144"/>
    <n v="7488"/>
    <n v="4118.4000000000005"/>
  </r>
  <r>
    <x v="2"/>
    <n v="1185732"/>
    <x v="308"/>
    <x v="4"/>
    <s v="Pennsylvania"/>
    <s v="Philadelphia"/>
    <s v="Outlet"/>
    <x v="3"/>
    <n v="29"/>
    <n v="58"/>
    <n v="1682"/>
    <n v="925.1"/>
  </r>
  <r>
    <x v="3"/>
    <n v="1197831"/>
    <x v="308"/>
    <x v="0"/>
    <s v="Idaho"/>
    <s v="Boise"/>
    <s v="Outlet"/>
    <x v="4"/>
    <n v="27"/>
    <n v="203"/>
    <n v="5481"/>
    <n v="2959.7400000000002"/>
  </r>
  <r>
    <x v="3"/>
    <n v="1197831"/>
    <x v="308"/>
    <x v="0"/>
    <s v="Idaho"/>
    <s v="Boise"/>
    <s v="Online"/>
    <x v="1"/>
    <n v="54"/>
    <n v="106"/>
    <n v="5724"/>
    <n v="2862"/>
  </r>
  <r>
    <x v="3"/>
    <n v="1197831"/>
    <x v="308"/>
    <x v="0"/>
    <s v="Idaho"/>
    <s v="Boise"/>
    <s v="Online"/>
    <x v="0"/>
    <n v="32"/>
    <n v="189"/>
    <n v="6048"/>
    <n v="2903.04"/>
  </r>
  <r>
    <x v="3"/>
    <n v="1197831"/>
    <x v="308"/>
    <x v="0"/>
    <s v="Idaho"/>
    <s v="Boise"/>
    <s v="Outlet"/>
    <x v="5"/>
    <n v="43"/>
    <n v="158"/>
    <n v="6794"/>
    <n v="3261.12"/>
  </r>
  <r>
    <x v="2"/>
    <n v="1185732"/>
    <x v="308"/>
    <x v="4"/>
    <s v="Pennsylvania"/>
    <s v="Philadelphia"/>
    <s v="Online"/>
    <x v="3"/>
    <n v="36"/>
    <n v="51"/>
    <n v="1836"/>
    <n v="844.56"/>
  </r>
  <r>
    <x v="3"/>
    <n v="1197831"/>
    <x v="308"/>
    <x v="0"/>
    <s v="Idaho"/>
    <s v="Boise"/>
    <s v="Online"/>
    <x v="3"/>
    <n v="58"/>
    <n v="150"/>
    <n v="8700"/>
    <n v="4002"/>
  </r>
  <r>
    <x v="3"/>
    <n v="1197831"/>
    <x v="308"/>
    <x v="0"/>
    <s v="Idaho"/>
    <s v="Boise"/>
    <s v="Online"/>
    <x v="4"/>
    <n v="33"/>
    <n v="182"/>
    <n v="6006"/>
    <n v="2702.7000000000003"/>
  </r>
  <r>
    <x v="3"/>
    <n v="1197831"/>
    <x v="308"/>
    <x v="0"/>
    <s v="Idaho"/>
    <s v="Boise"/>
    <s v="Outlet"/>
    <x v="2"/>
    <n v="51"/>
    <n v="194"/>
    <n v="9894"/>
    <n v="4056.5399999999991"/>
  </r>
  <r>
    <x v="3"/>
    <n v="1197831"/>
    <x v="308"/>
    <x v="0"/>
    <s v="Idaho"/>
    <s v="Boise"/>
    <s v="Online"/>
    <x v="5"/>
    <n v="54"/>
    <n v="122"/>
    <n v="6588"/>
    <n v="2569.3200000000002"/>
  </r>
  <r>
    <x v="3"/>
    <n v="1197831"/>
    <x v="308"/>
    <x v="0"/>
    <s v="Idaho"/>
    <s v="Boise"/>
    <s v="Online"/>
    <x v="2"/>
    <n v="63"/>
    <n v="163"/>
    <n v="10269"/>
    <n v="3388.7699999999995"/>
  </r>
  <r>
    <x v="2"/>
    <n v="1185732"/>
    <x v="309"/>
    <x v="3"/>
    <s v="South Carolina"/>
    <s v="Charleston"/>
    <s v="Online"/>
    <x v="3"/>
    <n v="45.000000000000014"/>
    <n v="695"/>
    <n v="31275.000000000011"/>
    <n v="23456.250000000007"/>
  </r>
  <r>
    <x v="2"/>
    <n v="1185732"/>
    <x v="309"/>
    <x v="3"/>
    <s v="South Carolina"/>
    <s v="Charleston"/>
    <s v="Online"/>
    <x v="5"/>
    <n v="55.000000000000014"/>
    <n v="750"/>
    <n v="41250.000000000007"/>
    <n v="28875.000000000011"/>
  </r>
  <r>
    <x v="0"/>
    <n v="1185732"/>
    <x v="309"/>
    <x v="1"/>
    <s v="Iowa"/>
    <s v="Des Moines"/>
    <s v="In-store"/>
    <x v="4"/>
    <n v="44.999999999999993"/>
    <n v="400"/>
    <n v="17999.999999999996"/>
    <n v="12599.999999999996"/>
  </r>
  <r>
    <x v="0"/>
    <n v="1185732"/>
    <x v="309"/>
    <x v="1"/>
    <s v="Iowa"/>
    <s v="Des Moines"/>
    <s v="In-store"/>
    <x v="3"/>
    <n v="35"/>
    <n v="220"/>
    <n v="7700"/>
    <n v="5390"/>
  </r>
  <r>
    <x v="0"/>
    <n v="1185732"/>
    <x v="309"/>
    <x v="1"/>
    <s v="Iowa"/>
    <s v="Des Moines"/>
    <s v="In-store"/>
    <x v="5"/>
    <n v="35"/>
    <n v="200"/>
    <n v="7000"/>
    <n v="4900"/>
  </r>
  <r>
    <x v="2"/>
    <n v="1185732"/>
    <x v="309"/>
    <x v="3"/>
    <s v="South Carolina"/>
    <s v="Charleston"/>
    <s v="Online"/>
    <x v="0"/>
    <n v="45.000000000000014"/>
    <n v="750"/>
    <n v="33750.000000000007"/>
    <n v="21937.500000000007"/>
  </r>
  <r>
    <x v="4"/>
    <n v="1185732"/>
    <x v="309"/>
    <x v="4"/>
    <s v="Maine"/>
    <s v="Portland"/>
    <s v="Outlet"/>
    <x v="0"/>
    <n v="50"/>
    <n v="200"/>
    <n v="10000"/>
    <n v="6500"/>
  </r>
  <r>
    <x v="2"/>
    <n v="1185732"/>
    <x v="309"/>
    <x v="3"/>
    <s v="South Carolina"/>
    <s v="Charleston"/>
    <s v="Online"/>
    <x v="1"/>
    <n v="70"/>
    <n v="725"/>
    <n v="50750"/>
    <n v="32987.5"/>
  </r>
  <r>
    <x v="0"/>
    <n v="1185732"/>
    <x v="309"/>
    <x v="1"/>
    <s v="Iowa"/>
    <s v="Des Moines"/>
    <s v="In-store"/>
    <x v="0"/>
    <n v="35"/>
    <n v="275"/>
    <n v="9625"/>
    <n v="6256.25"/>
  </r>
  <r>
    <x v="2"/>
    <n v="1185732"/>
    <x v="309"/>
    <x v="4"/>
    <s v="Pennsylvania"/>
    <s v="Philadelphia"/>
    <s v="Outlet"/>
    <x v="5"/>
    <n v="45"/>
    <n v="25"/>
    <n v="1125"/>
    <n v="675"/>
  </r>
  <r>
    <x v="0"/>
    <n v="1185732"/>
    <x v="309"/>
    <x v="1"/>
    <s v="Iowa"/>
    <s v="Des Moines"/>
    <s v="In-store"/>
    <x v="2"/>
    <n v="64.999999999999986"/>
    <n v="275"/>
    <n v="17874.999999999996"/>
    <n v="10724.999999999998"/>
  </r>
  <r>
    <x v="2"/>
    <n v="1185732"/>
    <x v="309"/>
    <x v="3"/>
    <s v="South Carolina"/>
    <s v="Charleston"/>
    <s v="Online"/>
    <x v="4"/>
    <n v="55.000000000000007"/>
    <n v="925"/>
    <n v="50875.000000000007"/>
    <n v="27981.25"/>
  </r>
  <r>
    <x v="2"/>
    <n v="1185732"/>
    <x v="309"/>
    <x v="3"/>
    <s v="South Carolina"/>
    <s v="Charleston"/>
    <s v="Online"/>
    <x v="2"/>
    <n v="75"/>
    <n v="825"/>
    <n v="61875"/>
    <n v="30937.5"/>
  </r>
  <r>
    <x v="0"/>
    <n v="1185732"/>
    <x v="309"/>
    <x v="1"/>
    <s v="Iowa"/>
    <s v="Des Moines"/>
    <s v="In-store"/>
    <x v="1"/>
    <n v="60"/>
    <n v="175"/>
    <n v="10500"/>
    <n v="5250"/>
  </r>
  <r>
    <x v="2"/>
    <n v="1185732"/>
    <x v="309"/>
    <x v="3"/>
    <s v="South Carolina"/>
    <s v="Charleston"/>
    <s v="Online"/>
    <x v="3"/>
    <n v="43"/>
    <n v="202"/>
    <n v="8686"/>
    <n v="5645.9"/>
  </r>
  <r>
    <x v="0"/>
    <n v="1185732"/>
    <x v="309"/>
    <x v="1"/>
    <s v="Iowa"/>
    <s v="Des Moines"/>
    <s v="Online"/>
    <x v="5"/>
    <n v="34"/>
    <n v="52"/>
    <n v="1768"/>
    <n v="1043.1199999999999"/>
  </r>
  <r>
    <x v="2"/>
    <n v="1185732"/>
    <x v="309"/>
    <x v="3"/>
    <s v="South Carolina"/>
    <s v="Charleston"/>
    <s v="Online"/>
    <x v="5"/>
    <n v="53"/>
    <n v="225"/>
    <n v="11925"/>
    <n v="6916.5"/>
  </r>
  <r>
    <x v="2"/>
    <n v="1185732"/>
    <x v="309"/>
    <x v="4"/>
    <s v="Pennsylvania"/>
    <s v="Philadelphia"/>
    <s v="Outlet"/>
    <x v="5"/>
    <n v="32"/>
    <n v="8"/>
    <n v="256"/>
    <n v="143.36000000000001"/>
  </r>
  <r>
    <x v="0"/>
    <n v="1185732"/>
    <x v="309"/>
    <x v="1"/>
    <s v="Iowa"/>
    <s v="Des Moines"/>
    <s v="Online"/>
    <x v="4"/>
    <n v="41"/>
    <n v="112"/>
    <n v="4592"/>
    <n v="2571.52"/>
  </r>
  <r>
    <x v="0"/>
    <n v="1185732"/>
    <x v="309"/>
    <x v="1"/>
    <s v="Iowa"/>
    <s v="Des Moines"/>
    <s v="Online"/>
    <x v="3"/>
    <n v="32"/>
    <n v="57"/>
    <n v="1824"/>
    <n v="1021.4399999999999"/>
  </r>
  <r>
    <x v="2"/>
    <n v="1185732"/>
    <x v="309"/>
    <x v="3"/>
    <s v="South Carolina"/>
    <s v="Charleston"/>
    <s v="Online"/>
    <x v="0"/>
    <n v="44"/>
    <n v="188"/>
    <n v="8272"/>
    <n v="4549.6000000000004"/>
  </r>
  <r>
    <x v="2"/>
    <n v="1185732"/>
    <x v="309"/>
    <x v="3"/>
    <s v="South Carolina"/>
    <s v="Charleston"/>
    <s v="Online"/>
    <x v="1"/>
    <n v="66"/>
    <n v="196"/>
    <n v="12936"/>
    <n v="6856.08"/>
  </r>
  <r>
    <x v="0"/>
    <n v="1185732"/>
    <x v="309"/>
    <x v="1"/>
    <s v="Iowa"/>
    <s v="Des Moines"/>
    <s v="Online"/>
    <x v="0"/>
    <n v="32"/>
    <n v="72"/>
    <n v="2304"/>
    <n v="1175.04"/>
  </r>
  <r>
    <x v="4"/>
    <n v="1185732"/>
    <x v="309"/>
    <x v="4"/>
    <s v="Maine"/>
    <s v="Portland"/>
    <s v="Online"/>
    <x v="0"/>
    <n v="48"/>
    <n v="60"/>
    <n v="2880"/>
    <n v="1440"/>
  </r>
  <r>
    <x v="2"/>
    <n v="1185732"/>
    <x v="309"/>
    <x v="4"/>
    <s v="Pennsylvania"/>
    <s v="Philadelphia"/>
    <s v="Online"/>
    <x v="5"/>
    <n v="43"/>
    <n v="8"/>
    <n v="344"/>
    <n v="168.56"/>
  </r>
  <r>
    <x v="0"/>
    <n v="1185732"/>
    <x v="309"/>
    <x v="1"/>
    <s v="Iowa"/>
    <s v="Des Moines"/>
    <s v="Online"/>
    <x v="2"/>
    <n v="59"/>
    <n v="72"/>
    <n v="4248"/>
    <n v="2039.04"/>
  </r>
  <r>
    <x v="2"/>
    <n v="1185732"/>
    <x v="309"/>
    <x v="3"/>
    <s v="South Carolina"/>
    <s v="Charleston"/>
    <s v="Online"/>
    <x v="4"/>
    <n v="50"/>
    <n v="278"/>
    <n v="13900"/>
    <n v="5976.9999999999991"/>
  </r>
  <r>
    <x v="0"/>
    <n v="1185732"/>
    <x v="309"/>
    <x v="1"/>
    <s v="Iowa"/>
    <s v="Des Moines"/>
    <s v="Online"/>
    <x v="1"/>
    <n v="55"/>
    <n v="49"/>
    <n v="2695"/>
    <n v="1078"/>
  </r>
  <r>
    <x v="2"/>
    <n v="1185732"/>
    <x v="309"/>
    <x v="3"/>
    <s v="South Carolina"/>
    <s v="Charleston"/>
    <s v="Online"/>
    <x v="2"/>
    <n v="74"/>
    <n v="206"/>
    <n v="15244"/>
    <n v="5640.2800000000007"/>
  </r>
  <r>
    <x v="2"/>
    <n v="1185732"/>
    <x v="310"/>
    <x v="4"/>
    <s v="Pennsylvania"/>
    <s v="Philadelphia"/>
    <s v="Outlet"/>
    <x v="1"/>
    <n v="60"/>
    <n v="75"/>
    <n v="4500"/>
    <n v="3150"/>
  </r>
  <r>
    <x v="3"/>
    <n v="1185732"/>
    <x v="310"/>
    <x v="4"/>
    <s v="New Jersey"/>
    <s v="Newark"/>
    <s v="In-store"/>
    <x v="1"/>
    <n v="60"/>
    <n v="225"/>
    <n v="13500"/>
    <n v="9450"/>
  </r>
  <r>
    <x v="3"/>
    <n v="1185732"/>
    <x v="310"/>
    <x v="4"/>
    <s v="Rhode Island"/>
    <s v="Providence"/>
    <s v="In-store"/>
    <x v="1"/>
    <n v="60"/>
    <n v="175"/>
    <n v="10500"/>
    <n v="7350"/>
  </r>
  <r>
    <x v="3"/>
    <n v="1185732"/>
    <x v="310"/>
    <x v="4"/>
    <s v="New Jersey"/>
    <s v="Newark"/>
    <s v="In-store"/>
    <x v="4"/>
    <n v="60"/>
    <n v="400"/>
    <n v="24000"/>
    <n v="15600"/>
  </r>
  <r>
    <x v="3"/>
    <n v="1185732"/>
    <x v="310"/>
    <x v="4"/>
    <s v="New Jersey"/>
    <s v="Newark"/>
    <s v="In-store"/>
    <x v="0"/>
    <n v="50"/>
    <n v="275"/>
    <n v="13750"/>
    <n v="8937.5"/>
  </r>
  <r>
    <x v="3"/>
    <n v="1185732"/>
    <x v="310"/>
    <x v="4"/>
    <s v="Rhode Island"/>
    <s v="Providence"/>
    <s v="In-store"/>
    <x v="4"/>
    <n v="60"/>
    <n v="350"/>
    <n v="21000"/>
    <n v="13650"/>
  </r>
  <r>
    <x v="3"/>
    <n v="1185732"/>
    <x v="310"/>
    <x v="4"/>
    <s v="Rhode Island"/>
    <s v="Providence"/>
    <s v="In-store"/>
    <x v="0"/>
    <n v="50"/>
    <n v="225"/>
    <n v="11250"/>
    <n v="7312.5"/>
  </r>
  <r>
    <x v="4"/>
    <n v="1185732"/>
    <x v="310"/>
    <x v="4"/>
    <s v="Maine"/>
    <s v="Portland"/>
    <s v="Outlet"/>
    <x v="3"/>
    <n v="45"/>
    <n v="175"/>
    <n v="7875"/>
    <n v="4725"/>
  </r>
  <r>
    <x v="3"/>
    <n v="1185732"/>
    <x v="310"/>
    <x v="4"/>
    <s v="New Jersey"/>
    <s v="Newark"/>
    <s v="In-store"/>
    <x v="3"/>
    <n v="50"/>
    <n v="270"/>
    <n v="13500"/>
    <n v="8100"/>
  </r>
  <r>
    <x v="3"/>
    <n v="1185732"/>
    <x v="310"/>
    <x v="4"/>
    <s v="New Jersey"/>
    <s v="Newark"/>
    <s v="In-store"/>
    <x v="5"/>
    <n v="50"/>
    <n v="250"/>
    <n v="12500"/>
    <n v="7500"/>
  </r>
  <r>
    <x v="3"/>
    <n v="1185732"/>
    <x v="310"/>
    <x v="4"/>
    <s v="Rhode Island"/>
    <s v="Providence"/>
    <s v="In-store"/>
    <x v="3"/>
    <n v="50"/>
    <n v="220"/>
    <n v="11000"/>
    <n v="6600"/>
  </r>
  <r>
    <x v="3"/>
    <n v="1185732"/>
    <x v="310"/>
    <x v="4"/>
    <s v="Rhode Island"/>
    <s v="Providence"/>
    <s v="In-store"/>
    <x v="5"/>
    <n v="50"/>
    <n v="200"/>
    <n v="10000"/>
    <n v="6000"/>
  </r>
  <r>
    <x v="3"/>
    <n v="1185732"/>
    <x v="310"/>
    <x v="4"/>
    <s v="Rhode Island"/>
    <s v="Providence"/>
    <s v="In-store"/>
    <x v="2"/>
    <n v="64.999999999999986"/>
    <n v="275"/>
    <n v="17874.999999999996"/>
    <n v="10724.999999999998"/>
  </r>
  <r>
    <x v="3"/>
    <n v="1185732"/>
    <x v="310"/>
    <x v="4"/>
    <s v="New Jersey"/>
    <s v="Newark"/>
    <s v="In-store"/>
    <x v="2"/>
    <n v="64.999999999999986"/>
    <n v="325"/>
    <n v="21124.999999999996"/>
    <n v="12674.999999999996"/>
  </r>
  <r>
    <x v="3"/>
    <n v="1185732"/>
    <x v="310"/>
    <x v="4"/>
    <s v="Rhode Island"/>
    <s v="Providence"/>
    <s v="Outlet"/>
    <x v="1"/>
    <n v="43"/>
    <n v="61"/>
    <n v="2623"/>
    <n v="1757.41"/>
  </r>
  <r>
    <x v="2"/>
    <n v="1185732"/>
    <x v="310"/>
    <x v="4"/>
    <s v="Pennsylvania"/>
    <s v="Philadelphia"/>
    <s v="Outlet"/>
    <x v="1"/>
    <n v="41"/>
    <n v="24"/>
    <n v="984"/>
    <n v="649.44000000000005"/>
  </r>
  <r>
    <x v="2"/>
    <n v="1185732"/>
    <x v="310"/>
    <x v="4"/>
    <s v="Pennsylvania"/>
    <s v="Philadelphia"/>
    <s v="Online"/>
    <x v="1"/>
    <n v="58"/>
    <n v="20"/>
    <n v="1160"/>
    <n v="696"/>
  </r>
  <r>
    <x v="3"/>
    <n v="1185732"/>
    <x v="310"/>
    <x v="4"/>
    <s v="Rhode Island"/>
    <s v="Providence"/>
    <s v="Outlet"/>
    <x v="4"/>
    <n v="40"/>
    <n v="105"/>
    <n v="4200"/>
    <n v="2436"/>
  </r>
  <r>
    <x v="3"/>
    <n v="1185732"/>
    <x v="310"/>
    <x v="4"/>
    <s v="Rhode Island"/>
    <s v="Providence"/>
    <s v="Outlet"/>
    <x v="0"/>
    <n v="40"/>
    <n v="74"/>
    <n v="2960"/>
    <n v="1716.8"/>
  </r>
  <r>
    <x v="3"/>
    <n v="1185732"/>
    <x v="310"/>
    <x v="4"/>
    <s v="New Jersey"/>
    <s v="Newark"/>
    <s v="Online"/>
    <x v="1"/>
    <n v="55"/>
    <n v="59"/>
    <n v="3245"/>
    <n v="1817.2"/>
  </r>
  <r>
    <x v="3"/>
    <n v="1185732"/>
    <x v="310"/>
    <x v="4"/>
    <s v="Rhode Island"/>
    <s v="Providence"/>
    <s v="Outlet"/>
    <x v="2"/>
    <n v="46"/>
    <n v="83"/>
    <n v="3818"/>
    <n v="2138.08"/>
  </r>
  <r>
    <x v="3"/>
    <n v="1185732"/>
    <x v="310"/>
    <x v="4"/>
    <s v="Rhode Island"/>
    <s v="Providence"/>
    <s v="Online"/>
    <x v="1"/>
    <n v="58"/>
    <n v="44"/>
    <n v="2552"/>
    <n v="1429.12"/>
  </r>
  <r>
    <x v="3"/>
    <n v="1185732"/>
    <x v="310"/>
    <x v="4"/>
    <s v="Rhode Island"/>
    <s v="Providence"/>
    <s v="Online"/>
    <x v="0"/>
    <n v="46"/>
    <n v="63"/>
    <n v="2898"/>
    <n v="1593.9"/>
  </r>
  <r>
    <x v="3"/>
    <n v="1185732"/>
    <x v="310"/>
    <x v="4"/>
    <s v="Rhode Island"/>
    <s v="Providence"/>
    <s v="Outlet"/>
    <x v="3"/>
    <n v="37"/>
    <n v="68"/>
    <n v="2516"/>
    <n v="1383.8"/>
  </r>
  <r>
    <x v="3"/>
    <n v="1185732"/>
    <x v="310"/>
    <x v="4"/>
    <s v="Rhode Island"/>
    <s v="Providence"/>
    <s v="Outlet"/>
    <x v="5"/>
    <n v="36"/>
    <n v="68"/>
    <n v="2448"/>
    <n v="1346.3999999999999"/>
  </r>
  <r>
    <x v="3"/>
    <n v="1185732"/>
    <x v="310"/>
    <x v="4"/>
    <s v="New Jersey"/>
    <s v="Newark"/>
    <s v="Online"/>
    <x v="4"/>
    <n v="59"/>
    <n v="108"/>
    <n v="6372"/>
    <n v="3313.44"/>
  </r>
  <r>
    <x v="3"/>
    <n v="1185732"/>
    <x v="310"/>
    <x v="4"/>
    <s v="New Jersey"/>
    <s v="Newark"/>
    <s v="Online"/>
    <x v="0"/>
    <n v="46"/>
    <n v="80"/>
    <n v="3680"/>
    <n v="1876.8"/>
  </r>
  <r>
    <x v="3"/>
    <n v="1185732"/>
    <x v="310"/>
    <x v="4"/>
    <s v="Rhode Island"/>
    <s v="Providence"/>
    <s v="Online"/>
    <x v="4"/>
    <n v="55"/>
    <n v="95"/>
    <n v="5225"/>
    <n v="2664.75"/>
  </r>
  <r>
    <x v="3"/>
    <n v="1185732"/>
    <x v="310"/>
    <x v="4"/>
    <s v="New Jersey"/>
    <s v="Newark"/>
    <s v="Online"/>
    <x v="3"/>
    <n v="48"/>
    <n v="68"/>
    <n v="3264"/>
    <n v="1599.36"/>
  </r>
  <r>
    <x v="3"/>
    <n v="1185732"/>
    <x v="310"/>
    <x v="4"/>
    <s v="Rhode Island"/>
    <s v="Providence"/>
    <s v="Online"/>
    <x v="2"/>
    <n v="60"/>
    <n v="77"/>
    <n v="4620"/>
    <n v="2217.6"/>
  </r>
  <r>
    <x v="3"/>
    <n v="1185732"/>
    <x v="310"/>
    <x v="4"/>
    <s v="New Jersey"/>
    <s v="Newark"/>
    <s v="Online"/>
    <x v="2"/>
    <n v="59"/>
    <n v="91"/>
    <n v="5369"/>
    <n v="2523.4299999999998"/>
  </r>
  <r>
    <x v="4"/>
    <n v="1185732"/>
    <x v="310"/>
    <x v="4"/>
    <s v="Maine"/>
    <s v="Portland"/>
    <s v="Online"/>
    <x v="3"/>
    <n v="42"/>
    <n v="47"/>
    <n v="1974"/>
    <n v="908.04"/>
  </r>
  <r>
    <x v="3"/>
    <n v="1185732"/>
    <x v="310"/>
    <x v="4"/>
    <s v="Rhode Island"/>
    <s v="Providence"/>
    <s v="Online"/>
    <x v="3"/>
    <n v="48"/>
    <n v="64"/>
    <n v="3072"/>
    <n v="1413.12"/>
  </r>
  <r>
    <x v="3"/>
    <n v="1185732"/>
    <x v="310"/>
    <x v="4"/>
    <s v="New Jersey"/>
    <s v="Newark"/>
    <s v="Online"/>
    <x v="5"/>
    <n v="49"/>
    <n v="65"/>
    <n v="3185"/>
    <n v="1433.2499999999998"/>
  </r>
  <r>
    <x v="3"/>
    <n v="1185732"/>
    <x v="310"/>
    <x v="4"/>
    <s v="Rhode Island"/>
    <s v="Providence"/>
    <s v="Online"/>
    <x v="5"/>
    <n v="48"/>
    <n v="58"/>
    <n v="2784"/>
    <n v="1252.8"/>
  </r>
  <r>
    <x v="2"/>
    <n v="1185732"/>
    <x v="311"/>
    <x v="4"/>
    <s v="Pennsylvania"/>
    <s v="Philadelphia"/>
    <s v="Outlet"/>
    <x v="2"/>
    <n v="50"/>
    <n v="175"/>
    <n v="8750"/>
    <n v="6562.5"/>
  </r>
  <r>
    <x v="4"/>
    <n v="1185732"/>
    <x v="311"/>
    <x v="4"/>
    <s v="Maine"/>
    <s v="Portland"/>
    <s v="Outlet"/>
    <x v="5"/>
    <n v="45"/>
    <n v="125"/>
    <n v="5625"/>
    <n v="3937.5"/>
  </r>
  <r>
    <x v="2"/>
    <n v="1185732"/>
    <x v="311"/>
    <x v="4"/>
    <s v="Pennsylvania"/>
    <s v="Philadelphia"/>
    <s v="Outlet"/>
    <x v="2"/>
    <n v="38"/>
    <n v="61"/>
    <n v="2318"/>
    <n v="1599.42"/>
  </r>
  <r>
    <x v="2"/>
    <n v="1185732"/>
    <x v="311"/>
    <x v="4"/>
    <s v="Pennsylvania"/>
    <s v="Philadelphia"/>
    <s v="Online"/>
    <x v="2"/>
    <n v="47"/>
    <n v="44"/>
    <n v="2068"/>
    <n v="1344.2"/>
  </r>
  <r>
    <x v="4"/>
    <n v="1185732"/>
    <x v="311"/>
    <x v="4"/>
    <s v="Maine"/>
    <s v="Portland"/>
    <s v="Online"/>
    <x v="5"/>
    <n v="41"/>
    <n v="34"/>
    <n v="1394"/>
    <n v="836.4"/>
  </r>
  <r>
    <x v="4"/>
    <n v="1185732"/>
    <x v="312"/>
    <x v="4"/>
    <s v="Maine"/>
    <s v="Portland"/>
    <s v="Outlet"/>
    <x v="1"/>
    <n v="54.999999999999993"/>
    <n v="150"/>
    <n v="8249.9999999999982"/>
    <n v="6187.4999999999982"/>
  </r>
  <r>
    <x v="0"/>
    <n v="1185732"/>
    <x v="312"/>
    <x v="4"/>
    <s v="New York"/>
    <s v="Albany"/>
    <s v="In-store"/>
    <x v="3"/>
    <n v="50.000000000000014"/>
    <n v="545"/>
    <n v="27250.000000000007"/>
    <n v="20437.500000000007"/>
  </r>
  <r>
    <x v="0"/>
    <n v="1185732"/>
    <x v="312"/>
    <x v="4"/>
    <s v="New York"/>
    <s v="Albany"/>
    <s v="In-store"/>
    <x v="5"/>
    <n v="50.000000000000014"/>
    <n v="575"/>
    <n v="28750.000000000007"/>
    <n v="20125.000000000007"/>
  </r>
  <r>
    <x v="2"/>
    <n v="1185732"/>
    <x v="312"/>
    <x v="1"/>
    <s v="North Dakota"/>
    <s v="Fargo"/>
    <s v="In-store"/>
    <x v="0"/>
    <n v="40"/>
    <n v="250"/>
    <n v="10000"/>
    <n v="7000"/>
  </r>
  <r>
    <x v="2"/>
    <n v="1185732"/>
    <x v="312"/>
    <x v="1"/>
    <s v="North Dakota"/>
    <s v="Fargo"/>
    <s v="In-store"/>
    <x v="3"/>
    <n v="40"/>
    <n v="195"/>
    <n v="7800"/>
    <n v="5460"/>
  </r>
  <r>
    <x v="2"/>
    <n v="1185732"/>
    <x v="312"/>
    <x v="1"/>
    <s v="North Dakota"/>
    <s v="Fargo"/>
    <s v="In-store"/>
    <x v="5"/>
    <n v="40"/>
    <n v="175"/>
    <n v="7000"/>
    <n v="4900"/>
  </r>
  <r>
    <x v="0"/>
    <n v="1185732"/>
    <x v="312"/>
    <x v="4"/>
    <s v="New York"/>
    <s v="Albany"/>
    <s v="In-store"/>
    <x v="0"/>
    <n v="50.000000000000014"/>
    <n v="600"/>
    <n v="30000.000000000007"/>
    <n v="19500.000000000007"/>
  </r>
  <r>
    <x v="0"/>
    <n v="1185732"/>
    <x v="312"/>
    <x v="4"/>
    <s v="New York"/>
    <s v="Albany"/>
    <s v="In-store"/>
    <x v="1"/>
    <n v="65"/>
    <n v="550"/>
    <n v="35750"/>
    <n v="23237.5"/>
  </r>
  <r>
    <x v="2"/>
    <n v="1185732"/>
    <x v="312"/>
    <x v="1"/>
    <s v="North Dakota"/>
    <s v="Fargo"/>
    <s v="In-store"/>
    <x v="4"/>
    <n v="49.999999999999993"/>
    <n v="400"/>
    <n v="19999.999999999996"/>
    <n v="12999.999999999998"/>
  </r>
  <r>
    <x v="2"/>
    <n v="1185732"/>
    <x v="312"/>
    <x v="1"/>
    <s v="North Dakota"/>
    <s v="Fargo"/>
    <s v="In-store"/>
    <x v="1"/>
    <n v="60"/>
    <n v="150"/>
    <n v="9000"/>
    <n v="5850"/>
  </r>
  <r>
    <x v="2"/>
    <n v="1185732"/>
    <x v="312"/>
    <x v="1"/>
    <s v="North Dakota"/>
    <s v="Fargo"/>
    <s v="In-store"/>
    <x v="2"/>
    <n v="64.999999999999986"/>
    <n v="250"/>
    <n v="16249.999999999996"/>
    <n v="9749.9999999999964"/>
  </r>
  <r>
    <x v="0"/>
    <n v="1185732"/>
    <x v="312"/>
    <x v="4"/>
    <s v="New York"/>
    <s v="Albany"/>
    <s v="In-store"/>
    <x v="4"/>
    <n v="60.000000000000007"/>
    <n v="775"/>
    <n v="46500.000000000007"/>
    <n v="25575.000000000004"/>
  </r>
  <r>
    <x v="2"/>
    <n v="1185732"/>
    <x v="312"/>
    <x v="4"/>
    <s v="Pennsylvania"/>
    <s v="Philadelphia"/>
    <s v="Outlet"/>
    <x v="4"/>
    <n v="50"/>
    <n v="450"/>
    <n v="22500"/>
    <n v="11250"/>
  </r>
  <r>
    <x v="0"/>
    <n v="1185732"/>
    <x v="312"/>
    <x v="4"/>
    <s v="New York"/>
    <s v="Albany"/>
    <s v="In-store"/>
    <x v="2"/>
    <n v="70"/>
    <n v="650"/>
    <n v="45500"/>
    <n v="22750"/>
  </r>
  <r>
    <x v="0"/>
    <n v="1185732"/>
    <x v="312"/>
    <x v="4"/>
    <s v="New York"/>
    <s v="Albany"/>
    <s v="Online"/>
    <x v="3"/>
    <n v="45"/>
    <n v="147"/>
    <n v="6615"/>
    <n v="4233.6000000000004"/>
  </r>
  <r>
    <x v="4"/>
    <n v="1185732"/>
    <x v="312"/>
    <x v="4"/>
    <s v="Maine"/>
    <s v="Portland"/>
    <s v="Online"/>
    <x v="1"/>
    <n v="51"/>
    <n v="42"/>
    <n v="2142"/>
    <n v="1349.46"/>
  </r>
  <r>
    <x v="0"/>
    <n v="1185732"/>
    <x v="312"/>
    <x v="4"/>
    <s v="New York"/>
    <s v="Albany"/>
    <s v="Online"/>
    <x v="5"/>
    <n v="47"/>
    <n v="144"/>
    <n v="6768"/>
    <n v="4060.7999999999997"/>
  </r>
  <r>
    <x v="2"/>
    <n v="1185732"/>
    <x v="312"/>
    <x v="1"/>
    <s v="North Dakota"/>
    <s v="Fargo"/>
    <s v="Online"/>
    <x v="5"/>
    <n v="39"/>
    <n v="47"/>
    <n v="1833"/>
    <n v="1044.81"/>
  </r>
  <r>
    <x v="2"/>
    <n v="1185732"/>
    <x v="312"/>
    <x v="1"/>
    <s v="North Dakota"/>
    <s v="Fargo"/>
    <s v="Online"/>
    <x v="3"/>
    <n v="39"/>
    <n v="53"/>
    <n v="2067"/>
    <n v="1157.52"/>
  </r>
  <r>
    <x v="0"/>
    <n v="1185732"/>
    <x v="312"/>
    <x v="4"/>
    <s v="New York"/>
    <s v="Albany"/>
    <s v="Online"/>
    <x v="1"/>
    <n v="62"/>
    <n v="154"/>
    <n v="9548"/>
    <n v="5251.4000000000005"/>
  </r>
  <r>
    <x v="2"/>
    <n v="1185732"/>
    <x v="312"/>
    <x v="1"/>
    <s v="North Dakota"/>
    <s v="Fargo"/>
    <s v="Online"/>
    <x v="0"/>
    <n v="36"/>
    <n v="73"/>
    <n v="2628"/>
    <n v="1445.4"/>
  </r>
  <r>
    <x v="2"/>
    <n v="1185732"/>
    <x v="312"/>
    <x v="1"/>
    <s v="North Dakota"/>
    <s v="Fargo"/>
    <s v="Online"/>
    <x v="1"/>
    <n v="55"/>
    <n v="44"/>
    <n v="2420"/>
    <n v="1331"/>
  </r>
  <r>
    <x v="0"/>
    <n v="1185732"/>
    <x v="312"/>
    <x v="4"/>
    <s v="New York"/>
    <s v="Albany"/>
    <s v="Online"/>
    <x v="0"/>
    <n v="49"/>
    <n v="162"/>
    <n v="7938"/>
    <n v="4048.38"/>
  </r>
  <r>
    <x v="2"/>
    <n v="1185732"/>
    <x v="312"/>
    <x v="1"/>
    <s v="North Dakota"/>
    <s v="Fargo"/>
    <s v="Online"/>
    <x v="4"/>
    <n v="49"/>
    <n v="120"/>
    <n v="5880"/>
    <n v="2940"/>
  </r>
  <r>
    <x v="2"/>
    <n v="1185732"/>
    <x v="312"/>
    <x v="1"/>
    <s v="North Dakota"/>
    <s v="Fargo"/>
    <s v="Online"/>
    <x v="2"/>
    <n v="60"/>
    <n v="65"/>
    <n v="3900"/>
    <n v="1911"/>
  </r>
  <r>
    <x v="0"/>
    <n v="1185732"/>
    <x v="312"/>
    <x v="4"/>
    <s v="New York"/>
    <s v="Albany"/>
    <s v="Online"/>
    <x v="4"/>
    <n v="56"/>
    <n v="217"/>
    <n v="12152"/>
    <n v="5468.4"/>
  </r>
  <r>
    <x v="2"/>
    <n v="1185732"/>
    <x v="312"/>
    <x v="4"/>
    <s v="Pennsylvania"/>
    <s v="Philadelphia"/>
    <s v="Outlet"/>
    <x v="4"/>
    <n v="35"/>
    <n v="140"/>
    <n v="4900"/>
    <n v="2106.9999999999995"/>
  </r>
  <r>
    <x v="2"/>
    <n v="1185732"/>
    <x v="312"/>
    <x v="4"/>
    <s v="Pennsylvania"/>
    <s v="Philadelphia"/>
    <s v="Online"/>
    <x v="4"/>
    <n v="46"/>
    <n v="122"/>
    <n v="5612"/>
    <n v="2076.44"/>
  </r>
  <r>
    <x v="0"/>
    <n v="1185732"/>
    <x v="312"/>
    <x v="4"/>
    <s v="New York"/>
    <s v="Albany"/>
    <s v="Online"/>
    <x v="2"/>
    <n v="68"/>
    <n v="176"/>
    <n v="11968"/>
    <n v="4308.4799999999996"/>
  </r>
  <r>
    <x v="5"/>
    <n v="1128299"/>
    <x v="313"/>
    <x v="0"/>
    <s v="Hawaii"/>
    <s v="Honolulu"/>
    <s v="Outlet"/>
    <x v="1"/>
    <n v="85.000000000000014"/>
    <n v="375"/>
    <n v="31875.000000000004"/>
    <n v="27093.750000000007"/>
  </r>
  <r>
    <x v="5"/>
    <n v="1128299"/>
    <x v="313"/>
    <x v="0"/>
    <s v="Hawaii"/>
    <s v="Honolulu"/>
    <s v="Outlet"/>
    <x v="0"/>
    <n v="60.000000000000007"/>
    <n v="600"/>
    <n v="36000.000000000007"/>
    <n v="28800.000000000007"/>
  </r>
  <r>
    <x v="5"/>
    <n v="1128299"/>
    <x v="313"/>
    <x v="0"/>
    <s v="Hawaii"/>
    <s v="Honolulu"/>
    <s v="Outlet"/>
    <x v="4"/>
    <n v="55.000000000000007"/>
    <n v="525"/>
    <n v="28875.000000000004"/>
    <n v="21656.250000000007"/>
  </r>
  <r>
    <x v="5"/>
    <n v="1128299"/>
    <x v="313"/>
    <x v="0"/>
    <s v="Hawaii"/>
    <s v="Honolulu"/>
    <s v="Outlet"/>
    <x v="3"/>
    <n v="55.000000000000007"/>
    <n v="425"/>
    <n v="23375.000000000004"/>
    <n v="17531.250000000004"/>
  </r>
  <r>
    <x v="5"/>
    <n v="1128299"/>
    <x v="313"/>
    <x v="0"/>
    <s v="Hawaii"/>
    <s v="Honolulu"/>
    <s v="Outlet"/>
    <x v="5"/>
    <n v="65.000000000000014"/>
    <n v="400"/>
    <n v="26000.000000000007"/>
    <n v="19500.000000000007"/>
  </r>
  <r>
    <x v="2"/>
    <n v="1185732"/>
    <x v="313"/>
    <x v="4"/>
    <s v="Pennsylvania"/>
    <s v="Philadelphia"/>
    <s v="Outlet"/>
    <x v="0"/>
    <n v="50"/>
    <n v="150"/>
    <n v="7500"/>
    <n v="5250"/>
  </r>
  <r>
    <x v="0"/>
    <n v="1185732"/>
    <x v="313"/>
    <x v="1"/>
    <s v="Indiana"/>
    <s v="Indianapolis"/>
    <s v="In-store"/>
    <x v="1"/>
    <n v="60"/>
    <n v="250"/>
    <n v="15000"/>
    <n v="10500"/>
  </r>
  <r>
    <x v="4"/>
    <n v="1185732"/>
    <x v="313"/>
    <x v="1"/>
    <s v="Ohio"/>
    <s v="Columbus"/>
    <s v="Online"/>
    <x v="0"/>
    <n v="25.000000000000011"/>
    <n v="500"/>
    <n v="12500.000000000005"/>
    <n v="8125.0000000000045"/>
  </r>
  <r>
    <x v="4"/>
    <n v="1185732"/>
    <x v="313"/>
    <x v="1"/>
    <s v="Ohio"/>
    <s v="Columbus"/>
    <s v="Online"/>
    <x v="1"/>
    <n v="80.000000000000014"/>
    <n v="475"/>
    <n v="38000.000000000007"/>
    <n v="24700.000000000007"/>
  </r>
  <r>
    <x v="0"/>
    <n v="1185732"/>
    <x v="313"/>
    <x v="1"/>
    <s v="Indiana"/>
    <s v="Indianapolis"/>
    <s v="In-store"/>
    <x v="3"/>
    <n v="35"/>
    <n v="270"/>
    <n v="9450"/>
    <n v="6142.5"/>
  </r>
  <r>
    <x v="0"/>
    <n v="1185732"/>
    <x v="313"/>
    <x v="1"/>
    <s v="Indiana"/>
    <s v="Indianapolis"/>
    <s v="In-store"/>
    <x v="5"/>
    <n v="35"/>
    <n v="275"/>
    <n v="9625"/>
    <n v="6256.25"/>
  </r>
  <r>
    <x v="4"/>
    <n v="1185732"/>
    <x v="313"/>
    <x v="1"/>
    <s v="Ohio"/>
    <s v="Columbus"/>
    <s v="Online"/>
    <x v="4"/>
    <n v="35.000000000000007"/>
    <n v="675"/>
    <n v="23625.000000000004"/>
    <n v="14175.000000000004"/>
  </r>
  <r>
    <x v="4"/>
    <n v="1185732"/>
    <x v="313"/>
    <x v="4"/>
    <s v="Maine"/>
    <s v="Portland"/>
    <s v="Outlet"/>
    <x v="2"/>
    <n v="60"/>
    <n v="275"/>
    <n v="16500"/>
    <n v="9900"/>
  </r>
  <r>
    <x v="4"/>
    <n v="1185732"/>
    <x v="313"/>
    <x v="1"/>
    <s v="Ohio"/>
    <s v="Columbus"/>
    <s v="Online"/>
    <x v="3"/>
    <n v="35.000000000000014"/>
    <n v="445"/>
    <n v="15575.000000000005"/>
    <n v="9345.0000000000036"/>
  </r>
  <r>
    <x v="0"/>
    <n v="1185732"/>
    <x v="313"/>
    <x v="1"/>
    <s v="Indiana"/>
    <s v="Indianapolis"/>
    <s v="In-store"/>
    <x v="4"/>
    <n v="44.999999999999993"/>
    <n v="425"/>
    <n v="19124.999999999996"/>
    <n v="11474.999999999998"/>
  </r>
  <r>
    <x v="0"/>
    <n v="1185732"/>
    <x v="313"/>
    <x v="1"/>
    <s v="Indiana"/>
    <s v="Indianapolis"/>
    <s v="In-store"/>
    <x v="0"/>
    <n v="35"/>
    <n v="325"/>
    <n v="11375"/>
    <n v="6825"/>
  </r>
  <r>
    <x v="5"/>
    <n v="1128299"/>
    <x v="313"/>
    <x v="0"/>
    <s v="Hawaii"/>
    <s v="Honolulu"/>
    <s v="Outlet"/>
    <x v="2"/>
    <n v="90.000000000000014"/>
    <n v="500"/>
    <n v="45000.000000000007"/>
    <n v="27000"/>
  </r>
  <r>
    <x v="4"/>
    <n v="1185732"/>
    <x v="313"/>
    <x v="1"/>
    <s v="Ohio"/>
    <s v="Columbus"/>
    <s v="Online"/>
    <x v="5"/>
    <n v="65.000000000000028"/>
    <n v="500"/>
    <n v="32500.000000000015"/>
    <n v="19500.000000000007"/>
  </r>
  <r>
    <x v="0"/>
    <n v="1185732"/>
    <x v="313"/>
    <x v="1"/>
    <s v="Indiana"/>
    <s v="Indianapolis"/>
    <s v="In-store"/>
    <x v="2"/>
    <n v="64.999999999999986"/>
    <n v="350"/>
    <n v="22749.999999999996"/>
    <n v="13649.999999999995"/>
  </r>
  <r>
    <x v="4"/>
    <n v="1185732"/>
    <x v="313"/>
    <x v="1"/>
    <s v="Ohio"/>
    <s v="Columbus"/>
    <s v="Online"/>
    <x v="2"/>
    <n v="80"/>
    <n v="575"/>
    <n v="46000"/>
    <n v="23000"/>
  </r>
  <r>
    <x v="5"/>
    <n v="1128299"/>
    <x v="313"/>
    <x v="0"/>
    <s v="Hawaii"/>
    <s v="Honolulu"/>
    <s v="Online"/>
    <x v="1"/>
    <n v="83"/>
    <n v="113"/>
    <n v="9379"/>
    <n v="6565.3"/>
  </r>
  <r>
    <x v="5"/>
    <n v="1128299"/>
    <x v="313"/>
    <x v="0"/>
    <s v="Hawaii"/>
    <s v="Honolulu"/>
    <s v="Online"/>
    <x v="0"/>
    <n v="56"/>
    <n v="168"/>
    <n v="9408"/>
    <n v="6397.4400000000005"/>
  </r>
  <r>
    <x v="2"/>
    <n v="1185732"/>
    <x v="313"/>
    <x v="4"/>
    <s v="Pennsylvania"/>
    <s v="Philadelphia"/>
    <s v="Outlet"/>
    <x v="0"/>
    <n v="37"/>
    <n v="51"/>
    <n v="1887"/>
    <n v="1283.1599999999999"/>
  </r>
  <r>
    <x v="5"/>
    <n v="1128299"/>
    <x v="313"/>
    <x v="0"/>
    <s v="Hawaii"/>
    <s v="Honolulu"/>
    <s v="Online"/>
    <x v="4"/>
    <n v="51"/>
    <n v="158"/>
    <n v="8058"/>
    <n v="5076.54"/>
  </r>
  <r>
    <x v="5"/>
    <n v="1128299"/>
    <x v="313"/>
    <x v="0"/>
    <s v="Hawaii"/>
    <s v="Honolulu"/>
    <s v="Online"/>
    <x v="5"/>
    <n v="60"/>
    <n v="104"/>
    <n v="6240"/>
    <n v="3806.4"/>
  </r>
  <r>
    <x v="5"/>
    <n v="1128299"/>
    <x v="313"/>
    <x v="0"/>
    <s v="Hawaii"/>
    <s v="Honolulu"/>
    <s v="Online"/>
    <x v="3"/>
    <n v="50"/>
    <n v="123"/>
    <n v="6150"/>
    <n v="3690"/>
  </r>
  <r>
    <x v="0"/>
    <n v="1185732"/>
    <x v="313"/>
    <x v="1"/>
    <s v="Indiana"/>
    <s v="Indianapolis"/>
    <s v="Online"/>
    <x v="1"/>
    <n v="55"/>
    <n v="75"/>
    <n v="4125"/>
    <n v="2475"/>
  </r>
  <r>
    <x v="2"/>
    <n v="1185732"/>
    <x v="313"/>
    <x v="4"/>
    <s v="Pennsylvania"/>
    <s v="Philadelphia"/>
    <s v="Online"/>
    <x v="0"/>
    <n v="45"/>
    <n v="45"/>
    <n v="2025"/>
    <n v="1174.5"/>
  </r>
  <r>
    <x v="4"/>
    <n v="1185732"/>
    <x v="313"/>
    <x v="1"/>
    <s v="Ohio"/>
    <s v="Columbus"/>
    <s v="Online"/>
    <x v="0"/>
    <n v="24"/>
    <n v="140"/>
    <n v="3360"/>
    <n v="1848.0000000000002"/>
  </r>
  <r>
    <x v="0"/>
    <n v="1185732"/>
    <x v="313"/>
    <x v="1"/>
    <s v="Indiana"/>
    <s v="Indianapolis"/>
    <s v="Online"/>
    <x v="3"/>
    <n v="32"/>
    <n v="81"/>
    <n v="2592"/>
    <n v="1347.8400000000001"/>
  </r>
  <r>
    <x v="4"/>
    <n v="1185732"/>
    <x v="313"/>
    <x v="1"/>
    <s v="Ohio"/>
    <s v="Columbus"/>
    <s v="Online"/>
    <x v="1"/>
    <n v="76"/>
    <n v="138"/>
    <n v="10488"/>
    <n v="5348.88"/>
  </r>
  <r>
    <x v="4"/>
    <n v="1185732"/>
    <x v="313"/>
    <x v="1"/>
    <s v="Ohio"/>
    <s v="Columbus"/>
    <s v="Online"/>
    <x v="3"/>
    <n v="32"/>
    <n v="116"/>
    <n v="3712"/>
    <n v="1856"/>
  </r>
  <r>
    <x v="4"/>
    <n v="1185732"/>
    <x v="313"/>
    <x v="1"/>
    <s v="Ohio"/>
    <s v="Columbus"/>
    <s v="Online"/>
    <x v="5"/>
    <n v="59"/>
    <n v="135"/>
    <n v="7965"/>
    <n v="3982.5"/>
  </r>
  <r>
    <x v="0"/>
    <n v="1185732"/>
    <x v="313"/>
    <x v="1"/>
    <s v="Indiana"/>
    <s v="Indianapolis"/>
    <s v="Online"/>
    <x v="5"/>
    <n v="34"/>
    <n v="83"/>
    <n v="2822"/>
    <n v="1411"/>
  </r>
  <r>
    <x v="0"/>
    <n v="1185732"/>
    <x v="313"/>
    <x v="1"/>
    <s v="Indiana"/>
    <s v="Indianapolis"/>
    <s v="Online"/>
    <x v="4"/>
    <n v="41"/>
    <n v="123"/>
    <n v="5043"/>
    <n v="2471.0700000000002"/>
  </r>
  <r>
    <x v="5"/>
    <n v="1128299"/>
    <x v="313"/>
    <x v="0"/>
    <s v="Hawaii"/>
    <s v="Honolulu"/>
    <s v="Online"/>
    <x v="2"/>
    <n v="82"/>
    <n v="140"/>
    <n v="11480"/>
    <n v="5510.4"/>
  </r>
  <r>
    <x v="4"/>
    <n v="1185732"/>
    <x v="313"/>
    <x v="1"/>
    <s v="Ohio"/>
    <s v="Columbus"/>
    <s v="Online"/>
    <x v="4"/>
    <n v="34"/>
    <n v="169"/>
    <n v="5746"/>
    <n v="2758.08"/>
  </r>
  <r>
    <x v="4"/>
    <n v="1185732"/>
    <x v="313"/>
    <x v="4"/>
    <s v="Maine"/>
    <s v="Portland"/>
    <s v="Online"/>
    <x v="2"/>
    <n v="56"/>
    <n v="72"/>
    <n v="4032"/>
    <n v="1895.04"/>
  </r>
  <r>
    <x v="0"/>
    <n v="1185732"/>
    <x v="313"/>
    <x v="1"/>
    <s v="Indiana"/>
    <s v="Indianapolis"/>
    <s v="Online"/>
    <x v="2"/>
    <n v="61"/>
    <n v="91"/>
    <n v="5551"/>
    <n v="2553.4599999999996"/>
  </r>
  <r>
    <x v="0"/>
    <n v="1185732"/>
    <x v="313"/>
    <x v="1"/>
    <s v="Indiana"/>
    <s v="Indianapolis"/>
    <s v="Online"/>
    <x v="0"/>
    <n v="33"/>
    <n v="98"/>
    <n v="3234"/>
    <n v="1455.3"/>
  </r>
  <r>
    <x v="4"/>
    <n v="1185732"/>
    <x v="313"/>
    <x v="1"/>
    <s v="Ohio"/>
    <s v="Columbus"/>
    <s v="Online"/>
    <x v="2"/>
    <n v="74"/>
    <n v="167"/>
    <n v="12358"/>
    <n v="4448.88"/>
  </r>
  <r>
    <x v="1"/>
    <n v="1185732"/>
    <x v="314"/>
    <x v="0"/>
    <s v="Wyoming"/>
    <s v="Cheyenne"/>
    <s v="In-store"/>
    <x v="2"/>
    <n v="60"/>
    <n v="575"/>
    <n v="34500"/>
    <n v="25875"/>
  </r>
  <r>
    <x v="1"/>
    <n v="1185732"/>
    <x v="314"/>
    <x v="0"/>
    <s v="Wyoming"/>
    <s v="Cheyenne"/>
    <s v="In-store"/>
    <x v="0"/>
    <n v="45.000000000000007"/>
    <n v="575"/>
    <n v="25875.000000000004"/>
    <n v="18112.500000000004"/>
  </r>
  <r>
    <x v="1"/>
    <n v="1185732"/>
    <x v="314"/>
    <x v="0"/>
    <s v="Wyoming"/>
    <s v="Cheyenne"/>
    <s v="In-store"/>
    <x v="1"/>
    <n v="55.000000000000007"/>
    <n v="475"/>
    <n v="26125.000000000004"/>
    <n v="18287.500000000004"/>
  </r>
  <r>
    <x v="0"/>
    <n v="1185732"/>
    <x v="314"/>
    <x v="0"/>
    <s v="Utah"/>
    <s v="Salt Lake City"/>
    <s v="In-store"/>
    <x v="0"/>
    <n v="20.000000000000007"/>
    <n v="400"/>
    <n v="8000.0000000000027"/>
    <n v="5200.0000000000018"/>
  </r>
  <r>
    <x v="0"/>
    <n v="1185732"/>
    <x v="314"/>
    <x v="0"/>
    <s v="Utah"/>
    <s v="Salt Lake City"/>
    <s v="In-store"/>
    <x v="3"/>
    <n v="20.000000000000007"/>
    <n v="345"/>
    <n v="6900.0000000000027"/>
    <n v="4485.0000000000018"/>
  </r>
  <r>
    <x v="0"/>
    <n v="1185732"/>
    <x v="314"/>
    <x v="4"/>
    <s v="Vermont"/>
    <s v="Burlington"/>
    <s v="In-store"/>
    <x v="3"/>
    <n v="60.000000000000007"/>
    <n v="320"/>
    <n v="19200.000000000004"/>
    <n v="12480.000000000004"/>
  </r>
  <r>
    <x v="4"/>
    <n v="1185732"/>
    <x v="314"/>
    <x v="4"/>
    <s v="Vermont"/>
    <s v="Burlington"/>
    <s v="In-store"/>
    <x v="5"/>
    <n v="60.000000000000007"/>
    <n v="300"/>
    <n v="18000.000000000004"/>
    <n v="11700.000000000004"/>
  </r>
  <r>
    <x v="2"/>
    <n v="1185732"/>
    <x v="314"/>
    <x v="4"/>
    <s v="Pennsylvania"/>
    <s v="Philadelphia"/>
    <s v="Outlet"/>
    <x v="3"/>
    <n v="40"/>
    <n v="150"/>
    <n v="6000"/>
    <n v="3900"/>
  </r>
  <r>
    <x v="4"/>
    <n v="1185732"/>
    <x v="314"/>
    <x v="4"/>
    <s v="Maine"/>
    <s v="Portland"/>
    <s v="Outlet"/>
    <x v="4"/>
    <n v="54.999999999999993"/>
    <n v="525"/>
    <n v="28874.999999999996"/>
    <n v="18768.749999999996"/>
  </r>
  <r>
    <x v="1"/>
    <n v="1185732"/>
    <x v="314"/>
    <x v="0"/>
    <s v="Wyoming"/>
    <s v="Cheyenne"/>
    <s v="In-store"/>
    <x v="3"/>
    <n v="45.000000000000007"/>
    <n v="520"/>
    <n v="23400.000000000004"/>
    <n v="15210.000000000004"/>
  </r>
  <r>
    <x v="1"/>
    <n v="1185732"/>
    <x v="314"/>
    <x v="0"/>
    <s v="Wyoming"/>
    <s v="Cheyenne"/>
    <s v="In-store"/>
    <x v="5"/>
    <n v="45.000000000000007"/>
    <n v="500"/>
    <n v="22500.000000000004"/>
    <n v="14625.000000000004"/>
  </r>
  <r>
    <x v="0"/>
    <n v="1185732"/>
    <x v="314"/>
    <x v="0"/>
    <s v="Utah"/>
    <s v="Salt Lake City"/>
    <s v="In-store"/>
    <x v="1"/>
    <n v="40"/>
    <n v="350"/>
    <n v="14000"/>
    <n v="9100"/>
  </r>
  <r>
    <x v="4"/>
    <n v="1185732"/>
    <x v="314"/>
    <x v="4"/>
    <s v="Vermont"/>
    <s v="Burlington"/>
    <s v="In-store"/>
    <x v="1"/>
    <n v="70"/>
    <n v="275"/>
    <n v="19250"/>
    <n v="12512.5"/>
  </r>
  <r>
    <x v="0"/>
    <n v="1185732"/>
    <x v="314"/>
    <x v="0"/>
    <s v="Utah"/>
    <s v="Salt Lake City"/>
    <s v="In-store"/>
    <x v="4"/>
    <n v="30.000000000000004"/>
    <n v="550"/>
    <n v="16500.000000000004"/>
    <n v="9900.0000000000018"/>
  </r>
  <r>
    <x v="0"/>
    <n v="1185732"/>
    <x v="314"/>
    <x v="0"/>
    <s v="Utah"/>
    <s v="Salt Lake City"/>
    <s v="In-store"/>
    <x v="5"/>
    <n v="20.000000000000007"/>
    <n v="375"/>
    <n v="7500.0000000000027"/>
    <n v="4500.0000000000018"/>
  </r>
  <r>
    <x v="4"/>
    <n v="1185732"/>
    <x v="314"/>
    <x v="4"/>
    <s v="Vermont"/>
    <s v="Burlington"/>
    <s v="In-store"/>
    <x v="2"/>
    <n v="75"/>
    <n v="375"/>
    <n v="28125"/>
    <n v="16875"/>
  </r>
  <r>
    <x v="0"/>
    <n v="1185732"/>
    <x v="314"/>
    <x v="4"/>
    <s v="Vermont"/>
    <s v="Burlington"/>
    <s v="In-store"/>
    <x v="4"/>
    <n v="70"/>
    <n v="450"/>
    <n v="31500"/>
    <n v="17325"/>
  </r>
  <r>
    <x v="0"/>
    <n v="1185732"/>
    <x v="314"/>
    <x v="4"/>
    <s v="Vermont"/>
    <s v="Burlington"/>
    <s v="In-store"/>
    <x v="0"/>
    <n v="60.000000000000007"/>
    <n v="325"/>
    <n v="19500.000000000004"/>
    <n v="10725.000000000002"/>
  </r>
  <r>
    <x v="1"/>
    <n v="1185732"/>
    <x v="314"/>
    <x v="0"/>
    <s v="Wyoming"/>
    <s v="Cheyenne"/>
    <s v="In-store"/>
    <x v="4"/>
    <n v="55.000000000000007"/>
    <n v="750"/>
    <n v="41250.000000000007"/>
    <n v="20625.000000000004"/>
  </r>
  <r>
    <x v="0"/>
    <n v="1185732"/>
    <x v="314"/>
    <x v="0"/>
    <s v="Utah"/>
    <s v="Salt Lake City"/>
    <s v="In-store"/>
    <x v="2"/>
    <n v="44.999999999999986"/>
    <n v="450"/>
    <n v="20249.999999999993"/>
    <n v="10124.999999999996"/>
  </r>
  <r>
    <x v="0"/>
    <n v="1185732"/>
    <x v="314"/>
    <x v="4"/>
    <s v="Vermont"/>
    <s v="Burlington"/>
    <s v="Outlet"/>
    <x v="3"/>
    <n v="46"/>
    <n v="102"/>
    <n v="4692"/>
    <n v="2955.96"/>
  </r>
  <r>
    <x v="0"/>
    <n v="1185732"/>
    <x v="314"/>
    <x v="0"/>
    <s v="Utah"/>
    <s v="Salt Lake City"/>
    <s v="Outlet"/>
    <x v="1"/>
    <n v="28"/>
    <n v="123"/>
    <n v="3444"/>
    <n v="2135.2799999999997"/>
  </r>
  <r>
    <x v="4"/>
    <n v="1185732"/>
    <x v="314"/>
    <x v="4"/>
    <s v="Vermont"/>
    <s v="Burlington"/>
    <s v="Outlet"/>
    <x v="5"/>
    <n v="42"/>
    <n v="96"/>
    <n v="4032"/>
    <n v="2459.5200000000004"/>
  </r>
  <r>
    <x v="0"/>
    <n v="1185732"/>
    <x v="314"/>
    <x v="0"/>
    <s v="Utah"/>
    <s v="Salt Lake City"/>
    <s v="Outlet"/>
    <x v="0"/>
    <n v="14"/>
    <n v="136"/>
    <n v="1904"/>
    <n v="1161.44"/>
  </r>
  <r>
    <x v="4"/>
    <n v="1185732"/>
    <x v="314"/>
    <x v="4"/>
    <s v="Vermont"/>
    <s v="Burlington"/>
    <s v="Outlet"/>
    <x v="1"/>
    <n v="50"/>
    <n v="91"/>
    <n v="4550"/>
    <n v="2775.5"/>
  </r>
  <r>
    <x v="1"/>
    <n v="1185732"/>
    <x v="314"/>
    <x v="0"/>
    <s v="Wyoming"/>
    <s v="Cheyenne"/>
    <s v="Online"/>
    <x v="2"/>
    <n v="55"/>
    <n v="161"/>
    <n v="8855"/>
    <n v="5401.5499999999993"/>
  </r>
  <r>
    <x v="1"/>
    <n v="1185732"/>
    <x v="314"/>
    <x v="0"/>
    <s v="Wyoming"/>
    <s v="Cheyenne"/>
    <s v="Online"/>
    <x v="1"/>
    <n v="51"/>
    <n v="143"/>
    <n v="7293"/>
    <n v="4302.8700000000008"/>
  </r>
  <r>
    <x v="0"/>
    <n v="1185732"/>
    <x v="314"/>
    <x v="0"/>
    <s v="Utah"/>
    <s v="Salt Lake City"/>
    <s v="Outlet"/>
    <x v="3"/>
    <n v="14"/>
    <n v="107"/>
    <n v="1498"/>
    <n v="868.84"/>
  </r>
  <r>
    <x v="2"/>
    <n v="1185732"/>
    <x v="314"/>
    <x v="4"/>
    <s v="Pennsylvania"/>
    <s v="Philadelphia"/>
    <s v="Outlet"/>
    <x v="3"/>
    <n v="27"/>
    <n v="51"/>
    <n v="1377"/>
    <n v="798.66"/>
  </r>
  <r>
    <x v="0"/>
    <n v="1185732"/>
    <x v="314"/>
    <x v="0"/>
    <s v="Utah"/>
    <s v="Salt Lake City"/>
    <s v="Outlet"/>
    <x v="5"/>
    <n v="15"/>
    <n v="124"/>
    <n v="1860"/>
    <n v="1078.8"/>
  </r>
  <r>
    <x v="1"/>
    <n v="1185732"/>
    <x v="314"/>
    <x v="0"/>
    <s v="Wyoming"/>
    <s v="Cheyenne"/>
    <s v="Online"/>
    <x v="0"/>
    <n v="42"/>
    <n v="167"/>
    <n v="7014"/>
    <n v="3997.98"/>
  </r>
  <r>
    <x v="0"/>
    <n v="1185732"/>
    <x v="314"/>
    <x v="0"/>
    <s v="Utah"/>
    <s v="Salt Lake City"/>
    <s v="Outlet"/>
    <x v="4"/>
    <n v="22"/>
    <n v="165"/>
    <n v="3630"/>
    <n v="2069.1"/>
  </r>
  <r>
    <x v="2"/>
    <n v="1185732"/>
    <x v="314"/>
    <x v="4"/>
    <s v="Pennsylvania"/>
    <s v="Philadelphia"/>
    <s v="Online"/>
    <x v="3"/>
    <n v="38"/>
    <n v="38"/>
    <n v="1444"/>
    <n v="779.7600000000001"/>
  </r>
  <r>
    <x v="0"/>
    <n v="1185732"/>
    <x v="314"/>
    <x v="0"/>
    <s v="Utah"/>
    <s v="Salt Lake City"/>
    <s v="Online"/>
    <x v="0"/>
    <n v="20"/>
    <n v="108"/>
    <n v="2160"/>
    <n v="1166.4000000000001"/>
  </r>
  <r>
    <x v="4"/>
    <n v="1185732"/>
    <x v="314"/>
    <x v="4"/>
    <s v="Maine"/>
    <s v="Portland"/>
    <s v="Online"/>
    <x v="4"/>
    <n v="54"/>
    <n v="158"/>
    <n v="8532"/>
    <n v="4521.96"/>
  </r>
  <r>
    <x v="4"/>
    <n v="1185732"/>
    <x v="314"/>
    <x v="4"/>
    <s v="Vermont"/>
    <s v="Burlington"/>
    <s v="Outlet"/>
    <x v="2"/>
    <n v="57"/>
    <n v="128"/>
    <n v="7296"/>
    <n v="3866.88"/>
  </r>
  <r>
    <x v="0"/>
    <n v="1185732"/>
    <x v="314"/>
    <x v="0"/>
    <s v="Utah"/>
    <s v="Salt Lake City"/>
    <s v="Online"/>
    <x v="3"/>
    <n v="19"/>
    <n v="93"/>
    <n v="1767"/>
    <n v="918.84"/>
  </r>
  <r>
    <x v="0"/>
    <n v="1185732"/>
    <x v="314"/>
    <x v="4"/>
    <s v="Vermont"/>
    <s v="Burlington"/>
    <s v="Online"/>
    <x v="3"/>
    <n v="57"/>
    <n v="96"/>
    <n v="5472"/>
    <n v="2845.44"/>
  </r>
  <r>
    <x v="1"/>
    <n v="1185732"/>
    <x v="314"/>
    <x v="0"/>
    <s v="Wyoming"/>
    <s v="Cheyenne"/>
    <s v="Online"/>
    <x v="5"/>
    <n v="42"/>
    <n v="135"/>
    <n v="5670"/>
    <n v="2891.7000000000003"/>
  </r>
  <r>
    <x v="0"/>
    <n v="1185732"/>
    <x v="314"/>
    <x v="0"/>
    <s v="Utah"/>
    <s v="Salt Lake City"/>
    <s v="Online"/>
    <x v="1"/>
    <n v="39"/>
    <n v="91"/>
    <n v="3549"/>
    <n v="1809.99"/>
  </r>
  <r>
    <x v="0"/>
    <n v="1185732"/>
    <x v="314"/>
    <x v="4"/>
    <s v="Vermont"/>
    <s v="Burlington"/>
    <s v="Outlet"/>
    <x v="0"/>
    <n v="47"/>
    <n v="98"/>
    <n v="4606"/>
    <n v="2349.06"/>
  </r>
  <r>
    <x v="1"/>
    <n v="1185732"/>
    <x v="314"/>
    <x v="0"/>
    <s v="Wyoming"/>
    <s v="Cheyenne"/>
    <s v="Online"/>
    <x v="3"/>
    <n v="42"/>
    <n v="146"/>
    <n v="6132"/>
    <n v="3066"/>
  </r>
  <r>
    <x v="0"/>
    <n v="1185732"/>
    <x v="314"/>
    <x v="0"/>
    <s v="Utah"/>
    <s v="Salt Lake City"/>
    <s v="Online"/>
    <x v="4"/>
    <n v="29"/>
    <n v="149"/>
    <n v="4321"/>
    <n v="2160.5"/>
  </r>
  <r>
    <x v="4"/>
    <n v="1185732"/>
    <x v="314"/>
    <x v="4"/>
    <s v="Vermont"/>
    <s v="Burlington"/>
    <s v="Online"/>
    <x v="5"/>
    <n v="55"/>
    <n v="75"/>
    <n v="4125"/>
    <n v="2062.5"/>
  </r>
  <r>
    <x v="4"/>
    <n v="1185732"/>
    <x v="314"/>
    <x v="4"/>
    <s v="Vermont"/>
    <s v="Burlington"/>
    <s v="Online"/>
    <x v="1"/>
    <n v="67"/>
    <n v="80"/>
    <n v="5360"/>
    <n v="2680"/>
  </r>
  <r>
    <x v="0"/>
    <n v="1185732"/>
    <x v="314"/>
    <x v="4"/>
    <s v="Vermont"/>
    <s v="Burlington"/>
    <s v="Outlet"/>
    <x v="4"/>
    <n v="54"/>
    <n v="140"/>
    <n v="7560"/>
    <n v="3780"/>
  </r>
  <r>
    <x v="0"/>
    <n v="1185732"/>
    <x v="314"/>
    <x v="0"/>
    <s v="Utah"/>
    <s v="Salt Lake City"/>
    <s v="Online"/>
    <x v="5"/>
    <n v="19"/>
    <n v="113"/>
    <n v="2147"/>
    <n v="1052.03"/>
  </r>
  <r>
    <x v="4"/>
    <n v="1185732"/>
    <x v="314"/>
    <x v="4"/>
    <s v="Vermont"/>
    <s v="Burlington"/>
    <s v="Online"/>
    <x v="2"/>
    <n v="70"/>
    <n v="94"/>
    <n v="6580"/>
    <n v="3092.6"/>
  </r>
  <r>
    <x v="0"/>
    <n v="1185732"/>
    <x v="314"/>
    <x v="0"/>
    <s v="Utah"/>
    <s v="Salt Lake City"/>
    <s v="Outlet"/>
    <x v="2"/>
    <n v="35"/>
    <n v="158"/>
    <n v="5530"/>
    <n v="2488.4999999999995"/>
  </r>
  <r>
    <x v="0"/>
    <n v="1185732"/>
    <x v="314"/>
    <x v="4"/>
    <s v="Vermont"/>
    <s v="Burlington"/>
    <s v="Online"/>
    <x v="0"/>
    <n v="55"/>
    <n v="81"/>
    <n v="4455"/>
    <n v="1871.1"/>
  </r>
  <r>
    <x v="0"/>
    <n v="1185732"/>
    <x v="314"/>
    <x v="4"/>
    <s v="Vermont"/>
    <s v="Burlington"/>
    <s v="Online"/>
    <x v="4"/>
    <n v="64"/>
    <n v="126"/>
    <n v="8064"/>
    <n v="3225.6000000000004"/>
  </r>
  <r>
    <x v="1"/>
    <n v="1185732"/>
    <x v="314"/>
    <x v="0"/>
    <s v="Wyoming"/>
    <s v="Cheyenne"/>
    <s v="Online"/>
    <x v="4"/>
    <n v="53"/>
    <n v="218"/>
    <n v="11554"/>
    <n v="4506.0600000000004"/>
  </r>
  <r>
    <x v="0"/>
    <n v="1185732"/>
    <x v="314"/>
    <x v="0"/>
    <s v="Utah"/>
    <s v="Salt Lake City"/>
    <s v="Online"/>
    <x v="2"/>
    <n v="43"/>
    <n v="113"/>
    <n v="4859"/>
    <n v="1700.65"/>
  </r>
  <r>
    <x v="3"/>
    <n v="1185732"/>
    <x v="315"/>
    <x v="1"/>
    <s v="South Dakota"/>
    <s v="Sioux Falls"/>
    <s v="Online"/>
    <x v="0"/>
    <n v="45"/>
    <n v="250"/>
    <n v="11250"/>
    <n v="7875"/>
  </r>
  <r>
    <x v="3"/>
    <n v="1185732"/>
    <x v="315"/>
    <x v="1"/>
    <s v="South Dakota"/>
    <s v="Sioux Falls"/>
    <s v="Online"/>
    <x v="3"/>
    <n v="45"/>
    <n v="195"/>
    <n v="8775"/>
    <n v="6142.5"/>
  </r>
  <r>
    <x v="3"/>
    <n v="1185732"/>
    <x v="315"/>
    <x v="1"/>
    <s v="South Dakota"/>
    <s v="Sioux Falls"/>
    <s v="Online"/>
    <x v="5"/>
    <n v="45"/>
    <n v="175"/>
    <n v="7875"/>
    <n v="5512.5"/>
  </r>
  <r>
    <x v="3"/>
    <n v="1185732"/>
    <x v="315"/>
    <x v="1"/>
    <s v="South Dakota"/>
    <s v="Sioux Falls"/>
    <s v="Online"/>
    <x v="4"/>
    <n v="54.999999999999993"/>
    <n v="400"/>
    <n v="21999.999999999996"/>
    <n v="14300"/>
  </r>
  <r>
    <x v="2"/>
    <n v="1185732"/>
    <x v="315"/>
    <x v="4"/>
    <s v="Pennsylvania"/>
    <s v="Philadelphia"/>
    <s v="Outlet"/>
    <x v="5"/>
    <n v="45"/>
    <n v="75"/>
    <n v="3375"/>
    <n v="2193.75"/>
  </r>
  <r>
    <x v="4"/>
    <n v="1185732"/>
    <x v="315"/>
    <x v="4"/>
    <s v="Maine"/>
    <s v="Portland"/>
    <s v="Outlet"/>
    <x v="0"/>
    <n v="50"/>
    <n v="275"/>
    <n v="13750"/>
    <n v="8937.5"/>
  </r>
  <r>
    <x v="3"/>
    <n v="1185732"/>
    <x v="315"/>
    <x v="1"/>
    <s v="South Dakota"/>
    <s v="Sioux Falls"/>
    <s v="Online"/>
    <x v="1"/>
    <n v="60"/>
    <n v="150"/>
    <n v="9000"/>
    <n v="5850"/>
  </r>
  <r>
    <x v="3"/>
    <n v="1185732"/>
    <x v="315"/>
    <x v="1"/>
    <s v="South Dakota"/>
    <s v="Sioux Falls"/>
    <s v="Online"/>
    <x v="2"/>
    <n v="64.999999999999986"/>
    <n v="250"/>
    <n v="16249.999999999996"/>
    <n v="9749.9999999999964"/>
  </r>
  <r>
    <x v="2"/>
    <n v="1185732"/>
    <x v="315"/>
    <x v="4"/>
    <s v="Pennsylvania"/>
    <s v="Philadelphia"/>
    <s v="Outlet"/>
    <x v="5"/>
    <n v="36"/>
    <n v="24"/>
    <n v="864"/>
    <n v="535.68000000000006"/>
  </r>
  <r>
    <x v="3"/>
    <n v="1185732"/>
    <x v="315"/>
    <x v="1"/>
    <s v="South Dakota"/>
    <s v="Sioux Falls"/>
    <s v="Online"/>
    <x v="0"/>
    <n v="41"/>
    <n v="63"/>
    <n v="2583"/>
    <n v="1523.97"/>
  </r>
  <r>
    <x v="3"/>
    <n v="1185732"/>
    <x v="315"/>
    <x v="1"/>
    <s v="South Dakota"/>
    <s v="Sioux Falls"/>
    <s v="Online"/>
    <x v="3"/>
    <n v="43"/>
    <n v="57"/>
    <n v="2451"/>
    <n v="1372.56"/>
  </r>
  <r>
    <x v="3"/>
    <n v="1185732"/>
    <x v="315"/>
    <x v="1"/>
    <s v="South Dakota"/>
    <s v="Sioux Falls"/>
    <s v="Online"/>
    <x v="5"/>
    <n v="43"/>
    <n v="44"/>
    <n v="1892"/>
    <n v="1059.52"/>
  </r>
  <r>
    <x v="2"/>
    <n v="1185732"/>
    <x v="315"/>
    <x v="4"/>
    <s v="Pennsylvania"/>
    <s v="Philadelphia"/>
    <s v="Online"/>
    <x v="5"/>
    <n v="42"/>
    <n v="20"/>
    <n v="840"/>
    <n v="453.6"/>
  </r>
  <r>
    <x v="3"/>
    <n v="1185732"/>
    <x v="315"/>
    <x v="1"/>
    <s v="South Dakota"/>
    <s v="Sioux Falls"/>
    <s v="Online"/>
    <x v="1"/>
    <n v="59"/>
    <n v="45"/>
    <n v="2655"/>
    <n v="1433.7"/>
  </r>
  <r>
    <x v="4"/>
    <n v="1185732"/>
    <x v="315"/>
    <x v="4"/>
    <s v="Maine"/>
    <s v="Portland"/>
    <s v="Online"/>
    <x v="0"/>
    <n v="48"/>
    <n v="77"/>
    <n v="3696"/>
    <n v="1884.96"/>
  </r>
  <r>
    <x v="3"/>
    <n v="1185732"/>
    <x v="315"/>
    <x v="1"/>
    <s v="South Dakota"/>
    <s v="Sioux Falls"/>
    <s v="Online"/>
    <x v="4"/>
    <n v="53"/>
    <n v="104"/>
    <n v="5512"/>
    <n v="2811.12"/>
  </r>
  <r>
    <x v="3"/>
    <n v="1185732"/>
    <x v="315"/>
    <x v="1"/>
    <s v="South Dakota"/>
    <s v="Sioux Falls"/>
    <s v="Online"/>
    <x v="2"/>
    <n v="61"/>
    <n v="65"/>
    <n v="3965"/>
    <n v="1982.5"/>
  </r>
  <r>
    <x v="3"/>
    <n v="1128299"/>
    <x v="316"/>
    <x v="3"/>
    <s v="Georgia"/>
    <s v="Atlanta"/>
    <s v="Online"/>
    <x v="2"/>
    <n v="70"/>
    <n v="475"/>
    <n v="33250"/>
    <n v="24937.5"/>
  </r>
  <r>
    <x v="2"/>
    <n v="1185732"/>
    <x v="316"/>
    <x v="4"/>
    <s v="Pennsylvania"/>
    <s v="Philadelphia"/>
    <s v="Outlet"/>
    <x v="1"/>
    <n v="60"/>
    <n v="75"/>
    <n v="4500"/>
    <n v="3150"/>
  </r>
  <r>
    <x v="2"/>
    <n v="1197831"/>
    <x v="316"/>
    <x v="1"/>
    <s v="Kansas"/>
    <s v="Wichita"/>
    <s v="Online"/>
    <x v="3"/>
    <n v="25.000000000000018"/>
    <n v="220"/>
    <n v="5500.0000000000036"/>
    <n v="3575.0000000000027"/>
  </r>
  <r>
    <x v="2"/>
    <n v="1197831"/>
    <x v="316"/>
    <x v="1"/>
    <s v="Kansas"/>
    <s v="Wichita"/>
    <s v="Online"/>
    <x v="5"/>
    <n v="55.000000000000014"/>
    <n v="275"/>
    <n v="15125.000000000004"/>
    <n v="9831.2500000000036"/>
  </r>
  <r>
    <x v="2"/>
    <n v="1197831"/>
    <x v="316"/>
    <x v="1"/>
    <s v="Kansas"/>
    <s v="Wichita"/>
    <s v="Online"/>
    <x v="1"/>
    <n v="75.000000000000014"/>
    <n v="250"/>
    <n v="18750.000000000004"/>
    <n v="12187.500000000004"/>
  </r>
  <r>
    <x v="3"/>
    <n v="1128299"/>
    <x v="316"/>
    <x v="3"/>
    <s v="Georgia"/>
    <s v="Atlanta"/>
    <s v="Online"/>
    <x v="3"/>
    <n v="55.000000000000007"/>
    <n v="425"/>
    <n v="23375.000000000004"/>
    <n v="15193.750000000004"/>
  </r>
  <r>
    <x v="3"/>
    <n v="1128299"/>
    <x v="316"/>
    <x v="3"/>
    <s v="Georgia"/>
    <s v="Atlanta"/>
    <s v="Online"/>
    <x v="1"/>
    <n v="65"/>
    <n v="350"/>
    <n v="22750"/>
    <n v="14787.5"/>
  </r>
  <r>
    <x v="2"/>
    <n v="1197831"/>
    <x v="316"/>
    <x v="1"/>
    <s v="Kansas"/>
    <s v="Wichita"/>
    <s v="Online"/>
    <x v="0"/>
    <n v="15.000000000000014"/>
    <n v="275"/>
    <n v="4125.0000000000036"/>
    <n v="2681.2500000000027"/>
  </r>
  <r>
    <x v="2"/>
    <n v="1197831"/>
    <x v="316"/>
    <x v="1"/>
    <s v="Kansas"/>
    <s v="Wichita"/>
    <s v="Online"/>
    <x v="2"/>
    <n v="75"/>
    <n v="350"/>
    <n v="26250"/>
    <n v="17062.5"/>
  </r>
  <r>
    <x v="2"/>
    <n v="1197831"/>
    <x v="316"/>
    <x v="1"/>
    <s v="Kansas"/>
    <s v="Wichita"/>
    <s v="Online"/>
    <x v="4"/>
    <n v="25.000000000000011"/>
    <n v="450"/>
    <n v="11250.000000000005"/>
    <n v="7312.5000000000027"/>
  </r>
  <r>
    <x v="4"/>
    <n v="1185732"/>
    <x v="316"/>
    <x v="4"/>
    <s v="Maine"/>
    <s v="Portland"/>
    <s v="Outlet"/>
    <x v="3"/>
    <n v="45"/>
    <n v="200"/>
    <n v="9000"/>
    <n v="5400"/>
  </r>
  <r>
    <x v="3"/>
    <n v="1128299"/>
    <x v="316"/>
    <x v="3"/>
    <s v="Georgia"/>
    <s v="Atlanta"/>
    <s v="Online"/>
    <x v="4"/>
    <n v="55.000000000000007"/>
    <n v="525"/>
    <n v="28875.000000000004"/>
    <n v="17325.000000000004"/>
  </r>
  <r>
    <x v="3"/>
    <n v="1128299"/>
    <x v="316"/>
    <x v="3"/>
    <s v="Georgia"/>
    <s v="Atlanta"/>
    <s v="Online"/>
    <x v="0"/>
    <n v="60.000000000000007"/>
    <n v="575"/>
    <n v="34500.000000000007"/>
    <n v="20700.000000000004"/>
  </r>
  <r>
    <x v="3"/>
    <n v="1128299"/>
    <x v="316"/>
    <x v="3"/>
    <s v="Georgia"/>
    <s v="Atlanta"/>
    <s v="Online"/>
    <x v="5"/>
    <n v="55.000000000000007"/>
    <n v="400"/>
    <n v="22000.000000000004"/>
    <n v="13200"/>
  </r>
  <r>
    <x v="3"/>
    <n v="1128299"/>
    <x v="316"/>
    <x v="3"/>
    <s v="Georgia"/>
    <s v="Atlanta"/>
    <s v="Outlet"/>
    <x v="2"/>
    <n v="46"/>
    <n v="157"/>
    <n v="7222"/>
    <n v="5127.6200000000008"/>
  </r>
  <r>
    <x v="3"/>
    <n v="1128299"/>
    <x v="316"/>
    <x v="3"/>
    <s v="Georgia"/>
    <s v="Atlanta"/>
    <s v="Online"/>
    <x v="2"/>
    <n v="65"/>
    <n v="124"/>
    <n v="8060"/>
    <n v="5239"/>
  </r>
  <r>
    <x v="2"/>
    <n v="1185732"/>
    <x v="316"/>
    <x v="4"/>
    <s v="Pennsylvania"/>
    <s v="Philadelphia"/>
    <s v="Outlet"/>
    <x v="1"/>
    <n v="45"/>
    <n v="26"/>
    <n v="1170"/>
    <n v="737.1"/>
  </r>
  <r>
    <x v="3"/>
    <n v="1128299"/>
    <x v="316"/>
    <x v="3"/>
    <s v="Georgia"/>
    <s v="Atlanta"/>
    <s v="Outlet"/>
    <x v="1"/>
    <n v="47"/>
    <n v="119"/>
    <n v="5593"/>
    <n v="3467.66"/>
  </r>
  <r>
    <x v="3"/>
    <n v="1128299"/>
    <x v="316"/>
    <x v="3"/>
    <s v="Georgia"/>
    <s v="Atlanta"/>
    <s v="Outlet"/>
    <x v="3"/>
    <n v="39"/>
    <n v="145"/>
    <n v="5655"/>
    <n v="3393"/>
  </r>
  <r>
    <x v="2"/>
    <n v="1185732"/>
    <x v="316"/>
    <x v="4"/>
    <s v="Pennsylvania"/>
    <s v="Philadelphia"/>
    <s v="Online"/>
    <x v="1"/>
    <n v="55"/>
    <n v="22"/>
    <n v="1210"/>
    <n v="701.8"/>
  </r>
  <r>
    <x v="3"/>
    <n v="1128299"/>
    <x v="316"/>
    <x v="3"/>
    <s v="Georgia"/>
    <s v="Atlanta"/>
    <s v="Outlet"/>
    <x v="4"/>
    <n v="36"/>
    <n v="173"/>
    <n v="6228"/>
    <n v="3612.24"/>
  </r>
  <r>
    <x v="3"/>
    <n v="1128299"/>
    <x v="316"/>
    <x v="3"/>
    <s v="Georgia"/>
    <s v="Atlanta"/>
    <s v="Outlet"/>
    <x v="0"/>
    <n v="40"/>
    <n v="184"/>
    <n v="7360"/>
    <n v="4121.6000000000004"/>
  </r>
  <r>
    <x v="2"/>
    <n v="1197831"/>
    <x v="316"/>
    <x v="1"/>
    <s v="Kansas"/>
    <s v="Wichita"/>
    <s v="Online"/>
    <x v="1"/>
    <n v="68"/>
    <n v="70"/>
    <n v="4760"/>
    <n v="2570.4"/>
  </r>
  <r>
    <x v="2"/>
    <n v="1197831"/>
    <x v="316"/>
    <x v="1"/>
    <s v="Kansas"/>
    <s v="Wichita"/>
    <s v="Online"/>
    <x v="2"/>
    <n v="73"/>
    <n v="88"/>
    <n v="6424"/>
    <n v="3468.96"/>
  </r>
  <r>
    <x v="3"/>
    <n v="1128299"/>
    <x v="316"/>
    <x v="3"/>
    <s v="Georgia"/>
    <s v="Atlanta"/>
    <s v="Outlet"/>
    <x v="5"/>
    <n v="37"/>
    <n v="140"/>
    <n v="5180"/>
    <n v="2797.2"/>
  </r>
  <r>
    <x v="3"/>
    <n v="1128299"/>
    <x v="316"/>
    <x v="3"/>
    <s v="Georgia"/>
    <s v="Atlanta"/>
    <s v="Online"/>
    <x v="1"/>
    <n v="60"/>
    <n v="102"/>
    <n v="6120"/>
    <n v="3243.6000000000004"/>
  </r>
  <r>
    <x v="3"/>
    <n v="1128299"/>
    <x v="316"/>
    <x v="3"/>
    <s v="Georgia"/>
    <s v="Atlanta"/>
    <s v="Online"/>
    <x v="3"/>
    <n v="54"/>
    <n v="115"/>
    <n v="6210"/>
    <n v="3291.3"/>
  </r>
  <r>
    <x v="2"/>
    <n v="1197831"/>
    <x v="316"/>
    <x v="1"/>
    <s v="Kansas"/>
    <s v="Wichita"/>
    <s v="Online"/>
    <x v="4"/>
    <n v="23"/>
    <n v="122"/>
    <n v="2806"/>
    <n v="1487.18"/>
  </r>
  <r>
    <x v="2"/>
    <n v="1197831"/>
    <x v="316"/>
    <x v="1"/>
    <s v="Kansas"/>
    <s v="Wichita"/>
    <s v="Online"/>
    <x v="5"/>
    <n v="54"/>
    <n v="83"/>
    <n v="4482"/>
    <n v="2330.64"/>
  </r>
  <r>
    <x v="2"/>
    <n v="1197831"/>
    <x v="316"/>
    <x v="1"/>
    <s v="Kansas"/>
    <s v="Wichita"/>
    <s v="Online"/>
    <x v="0"/>
    <n v="14"/>
    <n v="72"/>
    <n v="1008"/>
    <n v="504"/>
  </r>
  <r>
    <x v="2"/>
    <n v="1197831"/>
    <x v="316"/>
    <x v="1"/>
    <s v="Kansas"/>
    <s v="Wichita"/>
    <s v="Online"/>
    <x v="3"/>
    <n v="23"/>
    <n v="55"/>
    <n v="1265"/>
    <n v="632.5"/>
  </r>
  <r>
    <x v="4"/>
    <n v="1185732"/>
    <x v="316"/>
    <x v="4"/>
    <s v="Maine"/>
    <s v="Portland"/>
    <s v="Online"/>
    <x v="3"/>
    <n v="42"/>
    <n v="58"/>
    <n v="2436"/>
    <n v="1193.6399999999999"/>
  </r>
  <r>
    <x v="3"/>
    <n v="1128299"/>
    <x v="316"/>
    <x v="3"/>
    <s v="Georgia"/>
    <s v="Atlanta"/>
    <s v="Online"/>
    <x v="4"/>
    <n v="51"/>
    <n v="137"/>
    <n v="6987"/>
    <n v="3423.63"/>
  </r>
  <r>
    <x v="3"/>
    <n v="1128299"/>
    <x v="316"/>
    <x v="3"/>
    <s v="Georgia"/>
    <s v="Atlanta"/>
    <s v="Online"/>
    <x v="5"/>
    <n v="51"/>
    <n v="116"/>
    <n v="5916"/>
    <n v="2839.68"/>
  </r>
  <r>
    <x v="3"/>
    <n v="1128299"/>
    <x v="316"/>
    <x v="3"/>
    <s v="Georgia"/>
    <s v="Atlanta"/>
    <s v="Online"/>
    <x v="0"/>
    <n v="58"/>
    <n v="173"/>
    <n v="10034"/>
    <n v="4615.6399999999994"/>
  </r>
  <r>
    <x v="4"/>
    <n v="1185732"/>
    <x v="317"/>
    <x v="4"/>
    <s v="Massachusetts"/>
    <s v="Boston"/>
    <s v="In-store"/>
    <x v="3"/>
    <n v="55.000000000000007"/>
    <n v="295"/>
    <n v="16225.000000000002"/>
    <n v="12168.750000000004"/>
  </r>
  <r>
    <x v="4"/>
    <n v="1185732"/>
    <x v="317"/>
    <x v="4"/>
    <s v="Massachusetts"/>
    <s v="Boston"/>
    <s v="In-store"/>
    <x v="5"/>
    <n v="55.000000000000007"/>
    <n v="275"/>
    <n v="15125.000000000002"/>
    <n v="11343.750000000004"/>
  </r>
  <r>
    <x v="2"/>
    <n v="1185732"/>
    <x v="317"/>
    <x v="4"/>
    <s v="Pennsylvania"/>
    <s v="Philadelphia"/>
    <s v="Outlet"/>
    <x v="2"/>
    <n v="50"/>
    <n v="200"/>
    <n v="10000"/>
    <n v="7500"/>
  </r>
  <r>
    <x v="4"/>
    <n v="1185732"/>
    <x v="317"/>
    <x v="4"/>
    <s v="Massachusetts"/>
    <s v="Boston"/>
    <s v="In-store"/>
    <x v="1"/>
    <n v="65"/>
    <n v="250"/>
    <n v="16250"/>
    <n v="12187.5"/>
  </r>
  <r>
    <x v="4"/>
    <n v="1185732"/>
    <x v="317"/>
    <x v="4"/>
    <s v="Maine"/>
    <s v="Portland"/>
    <s v="Outlet"/>
    <x v="5"/>
    <n v="45"/>
    <n v="175"/>
    <n v="7875"/>
    <n v="5512.5"/>
  </r>
  <r>
    <x v="1"/>
    <n v="1185732"/>
    <x v="317"/>
    <x v="4"/>
    <s v="Delaware"/>
    <s v="Wilmington"/>
    <s v="In-store"/>
    <x v="1"/>
    <n v="65"/>
    <n v="275"/>
    <n v="17875"/>
    <n v="12512.5"/>
  </r>
  <r>
    <x v="4"/>
    <n v="1185732"/>
    <x v="317"/>
    <x v="4"/>
    <s v="Massachusetts"/>
    <s v="Boston"/>
    <s v="In-store"/>
    <x v="4"/>
    <n v="65"/>
    <n v="375"/>
    <n v="24375"/>
    <n v="17062.5"/>
  </r>
  <r>
    <x v="4"/>
    <n v="1185732"/>
    <x v="317"/>
    <x v="4"/>
    <s v="Massachusetts"/>
    <s v="Boston"/>
    <s v="In-store"/>
    <x v="0"/>
    <n v="55.000000000000007"/>
    <n v="300"/>
    <n v="16500.000000000004"/>
    <n v="11550.000000000004"/>
  </r>
  <r>
    <x v="4"/>
    <n v="1185732"/>
    <x v="317"/>
    <x v="4"/>
    <s v="Massachusetts"/>
    <s v="Boston"/>
    <s v="In-store"/>
    <x v="2"/>
    <n v="70"/>
    <n v="350"/>
    <n v="24500"/>
    <n v="17150"/>
  </r>
  <r>
    <x v="1"/>
    <n v="1185732"/>
    <x v="317"/>
    <x v="4"/>
    <s v="Delaware"/>
    <s v="Wilmington"/>
    <s v="In-store"/>
    <x v="0"/>
    <n v="55.000000000000007"/>
    <n v="325"/>
    <n v="17875.000000000004"/>
    <n v="11618.750000000004"/>
  </r>
  <r>
    <x v="1"/>
    <n v="1185732"/>
    <x v="317"/>
    <x v="4"/>
    <s v="Delaware"/>
    <s v="Wilmington"/>
    <s v="In-store"/>
    <x v="4"/>
    <n v="65"/>
    <n v="450"/>
    <n v="29250"/>
    <n v="19012.5"/>
  </r>
  <r>
    <x v="1"/>
    <n v="1185732"/>
    <x v="317"/>
    <x v="4"/>
    <s v="Delaware"/>
    <s v="Wilmington"/>
    <s v="In-store"/>
    <x v="3"/>
    <n v="55.000000000000007"/>
    <n v="320"/>
    <n v="17600.000000000004"/>
    <n v="10560.000000000002"/>
  </r>
  <r>
    <x v="1"/>
    <n v="1185732"/>
    <x v="317"/>
    <x v="4"/>
    <s v="Delaware"/>
    <s v="Wilmington"/>
    <s v="In-store"/>
    <x v="5"/>
    <n v="55.000000000000007"/>
    <n v="300"/>
    <n v="16500.000000000004"/>
    <n v="9900.0000000000018"/>
  </r>
  <r>
    <x v="1"/>
    <n v="1185732"/>
    <x v="317"/>
    <x v="4"/>
    <s v="Delaware"/>
    <s v="Wilmington"/>
    <s v="In-store"/>
    <x v="2"/>
    <n v="70"/>
    <n v="375"/>
    <n v="26250"/>
    <n v="15750"/>
  </r>
  <r>
    <x v="2"/>
    <n v="1185732"/>
    <x v="317"/>
    <x v="4"/>
    <s v="Pennsylvania"/>
    <s v="Philadelphia"/>
    <s v="Outlet"/>
    <x v="2"/>
    <n v="39"/>
    <n v="64"/>
    <n v="2496"/>
    <n v="1822.08"/>
  </r>
  <r>
    <x v="4"/>
    <n v="1185732"/>
    <x v="317"/>
    <x v="4"/>
    <s v="Massachusetts"/>
    <s v="Boston"/>
    <s v="Outlet"/>
    <x v="5"/>
    <n v="42"/>
    <n v="83"/>
    <n v="3486"/>
    <n v="2475.06"/>
  </r>
  <r>
    <x v="4"/>
    <n v="1185732"/>
    <x v="317"/>
    <x v="4"/>
    <s v="Massachusetts"/>
    <s v="Boston"/>
    <s v="Outlet"/>
    <x v="3"/>
    <n v="44"/>
    <n v="91"/>
    <n v="4004"/>
    <n v="2802.8"/>
  </r>
  <r>
    <x v="4"/>
    <n v="1185732"/>
    <x v="317"/>
    <x v="4"/>
    <s v="Massachusetts"/>
    <s v="Boston"/>
    <s v="Outlet"/>
    <x v="1"/>
    <n v="50"/>
    <n v="78"/>
    <n v="3900"/>
    <n v="2652"/>
  </r>
  <r>
    <x v="4"/>
    <n v="1185732"/>
    <x v="317"/>
    <x v="4"/>
    <s v="Massachusetts"/>
    <s v="Boston"/>
    <s v="Outlet"/>
    <x v="4"/>
    <n v="49"/>
    <n v="120"/>
    <n v="5880"/>
    <n v="3822"/>
  </r>
  <r>
    <x v="4"/>
    <n v="1185732"/>
    <x v="317"/>
    <x v="4"/>
    <s v="Massachusetts"/>
    <s v="Boston"/>
    <s v="Outlet"/>
    <x v="0"/>
    <n v="40"/>
    <n v="102"/>
    <n v="4080"/>
    <n v="2652"/>
  </r>
  <r>
    <x v="4"/>
    <n v="1185732"/>
    <x v="317"/>
    <x v="4"/>
    <s v="Massachusetts"/>
    <s v="Boston"/>
    <s v="Outlet"/>
    <x v="2"/>
    <n v="48"/>
    <n v="123"/>
    <n v="5904"/>
    <n v="3837.6"/>
  </r>
  <r>
    <x v="2"/>
    <n v="1185732"/>
    <x v="317"/>
    <x v="4"/>
    <s v="Pennsylvania"/>
    <s v="Philadelphia"/>
    <s v="Online"/>
    <x v="2"/>
    <n v="48"/>
    <n v="54"/>
    <n v="2592"/>
    <n v="1658.88"/>
  </r>
  <r>
    <x v="4"/>
    <n v="1185732"/>
    <x v="317"/>
    <x v="4"/>
    <s v="Massachusetts"/>
    <s v="Boston"/>
    <s v="Online"/>
    <x v="3"/>
    <n v="50"/>
    <n v="83"/>
    <n v="4150"/>
    <n v="2656"/>
  </r>
  <r>
    <x v="4"/>
    <n v="1185732"/>
    <x v="317"/>
    <x v="4"/>
    <s v="Massachusetts"/>
    <s v="Boston"/>
    <s v="Online"/>
    <x v="1"/>
    <n v="63"/>
    <n v="70"/>
    <n v="4410"/>
    <n v="2734.2"/>
  </r>
  <r>
    <x v="4"/>
    <n v="1185732"/>
    <x v="317"/>
    <x v="4"/>
    <s v="Massachusetts"/>
    <s v="Boston"/>
    <s v="Online"/>
    <x v="5"/>
    <n v="51"/>
    <n v="80"/>
    <n v="4080"/>
    <n v="2488.8000000000002"/>
  </r>
  <r>
    <x v="1"/>
    <n v="1185732"/>
    <x v="317"/>
    <x v="4"/>
    <s v="Delaware"/>
    <s v="Wilmington"/>
    <s v="Online"/>
    <x v="1"/>
    <n v="60"/>
    <n v="72"/>
    <n v="4320"/>
    <n v="2592"/>
  </r>
  <r>
    <x v="4"/>
    <n v="1185732"/>
    <x v="317"/>
    <x v="4"/>
    <s v="Maine"/>
    <s v="Portland"/>
    <s v="Online"/>
    <x v="5"/>
    <n v="41"/>
    <n v="51"/>
    <n v="2091"/>
    <n v="1212.7800000000002"/>
  </r>
  <r>
    <x v="4"/>
    <n v="1185732"/>
    <x v="317"/>
    <x v="4"/>
    <s v="Massachusetts"/>
    <s v="Boston"/>
    <s v="Online"/>
    <x v="4"/>
    <n v="62"/>
    <n v="113"/>
    <n v="7006"/>
    <n v="3993.42"/>
  </r>
  <r>
    <x v="4"/>
    <n v="1185732"/>
    <x v="317"/>
    <x v="4"/>
    <s v="Massachusetts"/>
    <s v="Boston"/>
    <s v="Online"/>
    <x v="0"/>
    <n v="52"/>
    <n v="90"/>
    <n v="4680"/>
    <n v="2620.8000000000002"/>
  </r>
  <r>
    <x v="4"/>
    <n v="1185732"/>
    <x v="317"/>
    <x v="4"/>
    <s v="Massachusetts"/>
    <s v="Boston"/>
    <s v="Online"/>
    <x v="2"/>
    <n v="64"/>
    <n v="98"/>
    <n v="6272"/>
    <n v="3449.6000000000004"/>
  </r>
  <r>
    <x v="1"/>
    <n v="1185732"/>
    <x v="317"/>
    <x v="4"/>
    <s v="Delaware"/>
    <s v="Wilmington"/>
    <s v="Online"/>
    <x v="0"/>
    <n v="53"/>
    <n v="85"/>
    <n v="4505"/>
    <n v="2432.7000000000003"/>
  </r>
  <r>
    <x v="1"/>
    <n v="1185732"/>
    <x v="317"/>
    <x v="4"/>
    <s v="Delaware"/>
    <s v="Wilmington"/>
    <s v="Online"/>
    <x v="4"/>
    <n v="60"/>
    <n v="135"/>
    <n v="8100"/>
    <n v="4293"/>
  </r>
  <r>
    <x v="1"/>
    <n v="1185732"/>
    <x v="317"/>
    <x v="4"/>
    <s v="Delaware"/>
    <s v="Wilmington"/>
    <s v="Online"/>
    <x v="3"/>
    <n v="52"/>
    <n v="86"/>
    <n v="4472"/>
    <n v="2191.2799999999997"/>
  </r>
  <r>
    <x v="1"/>
    <n v="1185732"/>
    <x v="317"/>
    <x v="4"/>
    <s v="Delaware"/>
    <s v="Wilmington"/>
    <s v="Online"/>
    <x v="5"/>
    <n v="51"/>
    <n v="84"/>
    <n v="4284"/>
    <n v="2013.48"/>
  </r>
  <r>
    <x v="1"/>
    <n v="1185732"/>
    <x v="317"/>
    <x v="4"/>
    <s v="Delaware"/>
    <s v="Wilmington"/>
    <s v="Online"/>
    <x v="2"/>
    <n v="64"/>
    <n v="98"/>
    <n v="6272"/>
    <n v="2822.3999999999996"/>
  </r>
  <r>
    <x v="4"/>
    <n v="1185732"/>
    <x v="318"/>
    <x v="4"/>
    <s v="Maine"/>
    <s v="Portland"/>
    <s v="Outlet"/>
    <x v="1"/>
    <n v="54.999999999999993"/>
    <n v="175"/>
    <n v="9624.9999999999982"/>
    <n v="7218.7499999999982"/>
  </r>
  <r>
    <x v="2"/>
    <n v="1185732"/>
    <x v="318"/>
    <x v="4"/>
    <s v="Pennsylvania"/>
    <s v="Philadelphia"/>
    <s v="Outlet"/>
    <x v="4"/>
    <n v="60"/>
    <n v="470"/>
    <n v="28200"/>
    <n v="14100"/>
  </r>
  <r>
    <x v="4"/>
    <n v="1185732"/>
    <x v="318"/>
    <x v="4"/>
    <s v="Maine"/>
    <s v="Portland"/>
    <s v="Online"/>
    <x v="1"/>
    <n v="50"/>
    <n v="53"/>
    <n v="2650"/>
    <n v="1696"/>
  </r>
  <r>
    <x v="2"/>
    <n v="1185732"/>
    <x v="318"/>
    <x v="4"/>
    <s v="Pennsylvania"/>
    <s v="Philadelphia"/>
    <s v="Outlet"/>
    <x v="4"/>
    <n v="44"/>
    <n v="150"/>
    <n v="6600"/>
    <n v="3168"/>
  </r>
  <r>
    <x v="2"/>
    <n v="1185732"/>
    <x v="318"/>
    <x v="4"/>
    <s v="Pennsylvania"/>
    <s v="Philadelphia"/>
    <s v="Online"/>
    <x v="4"/>
    <n v="58"/>
    <n v="136"/>
    <n v="7888"/>
    <n v="2918.5600000000004"/>
  </r>
  <r>
    <x v="3"/>
    <n v="1185732"/>
    <x v="319"/>
    <x v="1"/>
    <s v="Michigan"/>
    <s v="Detroit"/>
    <s v="In-store"/>
    <x v="3"/>
    <n v="45.000000000000014"/>
    <n v="445"/>
    <n v="20025.000000000007"/>
    <n v="14017.500000000005"/>
  </r>
  <r>
    <x v="2"/>
    <n v="1185732"/>
    <x v="319"/>
    <x v="4"/>
    <s v="Pennsylvania"/>
    <s v="Philadelphia"/>
    <s v="Outlet"/>
    <x v="0"/>
    <n v="60.000000000000007"/>
    <n v="175"/>
    <n v="10500.000000000002"/>
    <n v="7350.0000000000018"/>
  </r>
  <r>
    <x v="3"/>
    <n v="1185732"/>
    <x v="319"/>
    <x v="1"/>
    <s v="Michigan"/>
    <s v="Detroit"/>
    <s v="In-store"/>
    <x v="5"/>
    <n v="45.000000000000014"/>
    <n v="475"/>
    <n v="21375.000000000007"/>
    <n v="13893.750000000005"/>
  </r>
  <r>
    <x v="3"/>
    <n v="1185732"/>
    <x v="319"/>
    <x v="1"/>
    <s v="Michigan"/>
    <s v="Detroit"/>
    <s v="In-store"/>
    <x v="0"/>
    <n v="45.000000000000014"/>
    <n v="500"/>
    <n v="22500.000000000007"/>
    <n v="13500.000000000005"/>
  </r>
  <r>
    <x v="4"/>
    <n v="1185732"/>
    <x v="319"/>
    <x v="4"/>
    <s v="Maine"/>
    <s v="Portland"/>
    <s v="Outlet"/>
    <x v="2"/>
    <n v="60"/>
    <n v="325"/>
    <n v="19500"/>
    <n v="11700"/>
  </r>
  <r>
    <x v="3"/>
    <n v="1185732"/>
    <x v="319"/>
    <x v="1"/>
    <s v="Michigan"/>
    <s v="Detroit"/>
    <s v="In-store"/>
    <x v="1"/>
    <n v="60"/>
    <n v="450"/>
    <n v="27000"/>
    <n v="16200"/>
  </r>
  <r>
    <x v="3"/>
    <n v="1185732"/>
    <x v="319"/>
    <x v="1"/>
    <s v="Michigan"/>
    <s v="Detroit"/>
    <s v="In-store"/>
    <x v="4"/>
    <n v="50.000000000000014"/>
    <n v="675"/>
    <n v="33750.000000000007"/>
    <n v="16875.000000000007"/>
  </r>
  <r>
    <x v="3"/>
    <n v="1185732"/>
    <x v="319"/>
    <x v="1"/>
    <s v="Michigan"/>
    <s v="Detroit"/>
    <s v="In-store"/>
    <x v="2"/>
    <n v="64.999999999999986"/>
    <n v="625"/>
    <n v="40624.999999999993"/>
    <n v="18281.249999999993"/>
  </r>
  <r>
    <x v="2"/>
    <n v="1185732"/>
    <x v="319"/>
    <x v="4"/>
    <s v="Pennsylvania"/>
    <s v="Philadelphia"/>
    <s v="Outlet"/>
    <x v="0"/>
    <n v="40"/>
    <n v="54"/>
    <n v="2160"/>
    <n v="1447.2"/>
  </r>
  <r>
    <x v="2"/>
    <n v="1185732"/>
    <x v="319"/>
    <x v="4"/>
    <s v="Pennsylvania"/>
    <s v="Philadelphia"/>
    <s v="Online"/>
    <x v="0"/>
    <n v="54"/>
    <n v="53"/>
    <n v="2862"/>
    <n v="1717.2"/>
  </r>
  <r>
    <x v="3"/>
    <n v="1185732"/>
    <x v="319"/>
    <x v="1"/>
    <s v="Michigan"/>
    <s v="Detroit"/>
    <s v="Online"/>
    <x v="3"/>
    <n v="43"/>
    <n v="120"/>
    <n v="5160"/>
    <n v="2838.0000000000005"/>
  </r>
  <r>
    <x v="3"/>
    <n v="1185732"/>
    <x v="319"/>
    <x v="1"/>
    <s v="Michigan"/>
    <s v="Detroit"/>
    <s v="Online"/>
    <x v="5"/>
    <n v="41"/>
    <n v="138"/>
    <n v="5658"/>
    <n v="2885.58"/>
  </r>
  <r>
    <x v="4"/>
    <n v="1185732"/>
    <x v="319"/>
    <x v="4"/>
    <s v="Maine"/>
    <s v="Portland"/>
    <s v="Online"/>
    <x v="2"/>
    <n v="56"/>
    <n v="85"/>
    <n v="4760"/>
    <n v="2332.4"/>
  </r>
  <r>
    <x v="3"/>
    <n v="1185732"/>
    <x v="319"/>
    <x v="1"/>
    <s v="Michigan"/>
    <s v="Detroit"/>
    <s v="Online"/>
    <x v="0"/>
    <n v="42"/>
    <n v="145"/>
    <n v="6090"/>
    <n v="2740.5000000000005"/>
  </r>
  <r>
    <x v="3"/>
    <n v="1185732"/>
    <x v="319"/>
    <x v="1"/>
    <s v="Michigan"/>
    <s v="Detroit"/>
    <s v="Online"/>
    <x v="1"/>
    <n v="59"/>
    <n v="126"/>
    <n v="7434"/>
    <n v="3345.3000000000006"/>
  </r>
  <r>
    <x v="3"/>
    <n v="1185732"/>
    <x v="319"/>
    <x v="1"/>
    <s v="Michigan"/>
    <s v="Detroit"/>
    <s v="Online"/>
    <x v="4"/>
    <n v="49"/>
    <n v="196"/>
    <n v="9604"/>
    <n v="3553.4799999999996"/>
  </r>
  <r>
    <x v="3"/>
    <n v="1185732"/>
    <x v="319"/>
    <x v="1"/>
    <s v="Michigan"/>
    <s v="Detroit"/>
    <s v="Online"/>
    <x v="2"/>
    <n v="59"/>
    <n v="169"/>
    <n v="9971"/>
    <n v="3091.0099999999993"/>
  </r>
  <r>
    <x v="5"/>
    <n v="1128299"/>
    <x v="320"/>
    <x v="3"/>
    <s v="Florida"/>
    <s v="Orlando"/>
    <s v="In-store"/>
    <x v="1"/>
    <n v="85.000000000000014"/>
    <n v="475"/>
    <n v="40375.000000000007"/>
    <n v="32300.000000000007"/>
  </r>
  <r>
    <x v="5"/>
    <n v="1128299"/>
    <x v="320"/>
    <x v="3"/>
    <s v="Florida"/>
    <s v="Orlando"/>
    <s v="In-store"/>
    <x v="0"/>
    <n v="60.000000000000007"/>
    <n v="700"/>
    <n v="42000.000000000007"/>
    <n v="31500.000000000007"/>
  </r>
  <r>
    <x v="5"/>
    <n v="1128299"/>
    <x v="320"/>
    <x v="3"/>
    <s v="Florida"/>
    <s v="Orlando"/>
    <s v="In-store"/>
    <x v="3"/>
    <n v="55.000000000000007"/>
    <n v="525"/>
    <n v="28875.000000000004"/>
    <n v="20212.500000000007"/>
  </r>
  <r>
    <x v="5"/>
    <n v="1128299"/>
    <x v="320"/>
    <x v="3"/>
    <s v="Florida"/>
    <s v="Orlando"/>
    <s v="In-store"/>
    <x v="5"/>
    <n v="65.000000000000014"/>
    <n v="500"/>
    <n v="32500.000000000007"/>
    <n v="22750.000000000007"/>
  </r>
  <r>
    <x v="5"/>
    <n v="1128299"/>
    <x v="320"/>
    <x v="3"/>
    <s v="Florida"/>
    <s v="Orlando"/>
    <s v="In-store"/>
    <x v="4"/>
    <n v="55.000000000000007"/>
    <n v="625"/>
    <n v="34375.000000000007"/>
    <n v="24062.500000000007"/>
  </r>
  <r>
    <x v="2"/>
    <n v="1185732"/>
    <x v="320"/>
    <x v="4"/>
    <s v="Pennsylvania"/>
    <s v="Philadelphia"/>
    <s v="Outlet"/>
    <x v="3"/>
    <n v="55.000000000000007"/>
    <n v="150"/>
    <n v="8250.0000000000018"/>
    <n v="5362.5000000000018"/>
  </r>
  <r>
    <x v="3"/>
    <n v="1185732"/>
    <x v="320"/>
    <x v="2"/>
    <s v="Mississippi"/>
    <s v="Jackson"/>
    <s v="Online"/>
    <x v="1"/>
    <n v="75.000000000000014"/>
    <n v="425"/>
    <n v="31875.000000000007"/>
    <n v="20718.750000000007"/>
  </r>
  <r>
    <x v="4"/>
    <n v="1185732"/>
    <x v="320"/>
    <x v="4"/>
    <s v="Maine"/>
    <s v="Portland"/>
    <s v="Outlet"/>
    <x v="4"/>
    <n v="54.999999999999993"/>
    <n v="550"/>
    <n v="30249.999999999996"/>
    <n v="19662.499999999996"/>
  </r>
  <r>
    <x v="0"/>
    <n v="1128299"/>
    <x v="320"/>
    <x v="2"/>
    <s v="Louisiana"/>
    <s v="New Orleans"/>
    <s v="Online"/>
    <x v="2"/>
    <n v="85.000000000000014"/>
    <n v="600"/>
    <n v="51000.000000000007"/>
    <n v="33150.000000000007"/>
  </r>
  <r>
    <x v="3"/>
    <n v="1185732"/>
    <x v="320"/>
    <x v="2"/>
    <s v="Mississippi"/>
    <s v="Jackson"/>
    <s v="Online"/>
    <x v="0"/>
    <n v="20.000000000000011"/>
    <n v="450"/>
    <n v="9000.0000000000055"/>
    <n v="5850.0000000000027"/>
  </r>
  <r>
    <x v="0"/>
    <n v="1128299"/>
    <x v="320"/>
    <x v="2"/>
    <s v="Louisiana"/>
    <s v="New Orleans"/>
    <s v="Online"/>
    <x v="4"/>
    <n v="40.000000000000007"/>
    <n v="625"/>
    <n v="25000.000000000004"/>
    <n v="15000.000000000005"/>
  </r>
  <r>
    <x v="0"/>
    <n v="1128299"/>
    <x v="320"/>
    <x v="2"/>
    <s v="Louisiana"/>
    <s v="New Orleans"/>
    <s v="Online"/>
    <x v="0"/>
    <n v="45.000000000000014"/>
    <n v="700"/>
    <n v="31500.000000000011"/>
    <n v="18900.000000000007"/>
  </r>
  <r>
    <x v="0"/>
    <n v="1128299"/>
    <x v="320"/>
    <x v="2"/>
    <s v="Louisiana"/>
    <s v="New Orleans"/>
    <s v="Online"/>
    <x v="3"/>
    <n v="40.000000000000007"/>
    <n v="525"/>
    <n v="21000.000000000004"/>
    <n v="12600.000000000004"/>
  </r>
  <r>
    <x v="0"/>
    <n v="1128299"/>
    <x v="320"/>
    <x v="2"/>
    <s v="Louisiana"/>
    <s v="New Orleans"/>
    <s v="Online"/>
    <x v="5"/>
    <n v="50.000000000000014"/>
    <n v="500"/>
    <n v="25000.000000000007"/>
    <n v="15000.000000000005"/>
  </r>
  <r>
    <x v="3"/>
    <n v="1185732"/>
    <x v="320"/>
    <x v="2"/>
    <s v="Mississippi"/>
    <s v="Jackson"/>
    <s v="Online"/>
    <x v="4"/>
    <n v="30.000000000000011"/>
    <n v="625"/>
    <n v="18750.000000000007"/>
    <n v="11250.000000000004"/>
  </r>
  <r>
    <x v="3"/>
    <n v="1185732"/>
    <x v="320"/>
    <x v="2"/>
    <s v="Mississippi"/>
    <s v="Jackson"/>
    <s v="Online"/>
    <x v="5"/>
    <n v="60.000000000000021"/>
    <n v="450"/>
    <n v="27000.000000000011"/>
    <n v="16200.000000000005"/>
  </r>
  <r>
    <x v="2"/>
    <n v="1185732"/>
    <x v="320"/>
    <x v="4"/>
    <s v="West Virginia"/>
    <s v="Charleston"/>
    <s v="In-store"/>
    <x v="0"/>
    <n v="35"/>
    <n v="350"/>
    <n v="12250"/>
    <n v="7350"/>
  </r>
  <r>
    <x v="2"/>
    <n v="1185732"/>
    <x v="320"/>
    <x v="4"/>
    <s v="West Virginia"/>
    <s v="Charleston"/>
    <s v="In-store"/>
    <x v="3"/>
    <n v="35"/>
    <n v="295"/>
    <n v="10325"/>
    <n v="6195"/>
  </r>
  <r>
    <x v="2"/>
    <n v="1185732"/>
    <x v="320"/>
    <x v="4"/>
    <s v="West Virginia"/>
    <s v="Charleston"/>
    <s v="In-store"/>
    <x v="5"/>
    <n v="40"/>
    <n v="325"/>
    <n v="13000"/>
    <n v="7800"/>
  </r>
  <r>
    <x v="2"/>
    <n v="1185732"/>
    <x v="320"/>
    <x v="4"/>
    <s v="West Virginia"/>
    <s v="Charleston"/>
    <s v="In-store"/>
    <x v="1"/>
    <n v="65"/>
    <n v="300"/>
    <n v="19500"/>
    <n v="11700"/>
  </r>
  <r>
    <x v="2"/>
    <n v="1185732"/>
    <x v="320"/>
    <x v="4"/>
    <s v="West Virginia"/>
    <s v="Charleston"/>
    <s v="In-store"/>
    <x v="2"/>
    <n v="70"/>
    <n v="400"/>
    <n v="28000"/>
    <n v="16800"/>
  </r>
  <r>
    <x v="3"/>
    <n v="1185732"/>
    <x v="320"/>
    <x v="2"/>
    <s v="Mississippi"/>
    <s v="Jackson"/>
    <s v="Online"/>
    <x v="3"/>
    <n v="30.000000000000014"/>
    <n v="395"/>
    <n v="11850.000000000005"/>
    <n v="7110.0000000000027"/>
  </r>
  <r>
    <x v="2"/>
    <n v="1185732"/>
    <x v="320"/>
    <x v="4"/>
    <s v="West Virginia"/>
    <s v="Charleston"/>
    <s v="In-store"/>
    <x v="4"/>
    <n v="44.999999999999993"/>
    <n v="450"/>
    <n v="20249.999999999996"/>
    <n v="12149.999999999996"/>
  </r>
  <r>
    <x v="5"/>
    <n v="1128299"/>
    <x v="320"/>
    <x v="3"/>
    <s v="Florida"/>
    <s v="Orlando"/>
    <s v="In-store"/>
    <x v="2"/>
    <n v="90.000000000000014"/>
    <n v="600"/>
    <n v="54000.000000000007"/>
    <n v="29700.000000000007"/>
  </r>
  <r>
    <x v="0"/>
    <n v="1128299"/>
    <x v="320"/>
    <x v="2"/>
    <s v="Louisiana"/>
    <s v="New Orleans"/>
    <s v="Online"/>
    <x v="1"/>
    <n v="70"/>
    <n v="475"/>
    <n v="33250"/>
    <n v="18287.5"/>
  </r>
  <r>
    <x v="3"/>
    <n v="1185732"/>
    <x v="320"/>
    <x v="2"/>
    <s v="Mississippi"/>
    <s v="Jackson"/>
    <s v="Online"/>
    <x v="2"/>
    <n v="75"/>
    <n v="525"/>
    <n v="39375"/>
    <n v="19687.5"/>
  </r>
  <r>
    <x v="5"/>
    <n v="1128299"/>
    <x v="320"/>
    <x v="3"/>
    <s v="Florida"/>
    <s v="Orlando"/>
    <s v="Outlet"/>
    <x v="1"/>
    <n v="58"/>
    <n v="147"/>
    <n v="8526"/>
    <n v="6223.98"/>
  </r>
  <r>
    <x v="5"/>
    <n v="1128299"/>
    <x v="320"/>
    <x v="3"/>
    <s v="Florida"/>
    <s v="Orlando"/>
    <s v="Online"/>
    <x v="1"/>
    <n v="77"/>
    <n v="124"/>
    <n v="9548"/>
    <n v="6683.5999999999995"/>
  </r>
  <r>
    <x v="5"/>
    <n v="1128299"/>
    <x v="320"/>
    <x v="3"/>
    <s v="Florida"/>
    <s v="Orlando"/>
    <s v="Outlet"/>
    <x v="0"/>
    <n v="46"/>
    <n v="231"/>
    <n v="10626"/>
    <n v="7225.68"/>
  </r>
  <r>
    <x v="5"/>
    <n v="1128299"/>
    <x v="320"/>
    <x v="3"/>
    <s v="Florida"/>
    <s v="Orlando"/>
    <s v="Outlet"/>
    <x v="4"/>
    <n v="41"/>
    <n v="188"/>
    <n v="7708"/>
    <n v="5087.2800000000007"/>
  </r>
  <r>
    <x v="5"/>
    <n v="1128299"/>
    <x v="320"/>
    <x v="3"/>
    <s v="Florida"/>
    <s v="Orlando"/>
    <s v="Outlet"/>
    <x v="5"/>
    <n v="47"/>
    <n v="170"/>
    <n v="7990"/>
    <n v="5273.4"/>
  </r>
  <r>
    <x v="2"/>
    <n v="1185732"/>
    <x v="320"/>
    <x v="4"/>
    <s v="Pennsylvania"/>
    <s v="Philadelphia"/>
    <s v="Outlet"/>
    <x v="3"/>
    <n v="38"/>
    <n v="53"/>
    <n v="2014"/>
    <n v="1268.8200000000002"/>
  </r>
  <r>
    <x v="5"/>
    <n v="1128299"/>
    <x v="320"/>
    <x v="3"/>
    <s v="Florida"/>
    <s v="Orlando"/>
    <s v="Outlet"/>
    <x v="3"/>
    <n v="44"/>
    <n v="173"/>
    <n v="7612"/>
    <n v="4795.5599999999995"/>
  </r>
  <r>
    <x v="3"/>
    <n v="1185732"/>
    <x v="320"/>
    <x v="2"/>
    <s v="Mississippi"/>
    <s v="Jackson"/>
    <s v="Outlet"/>
    <x v="0"/>
    <n v="15"/>
    <n v="153"/>
    <n v="2295"/>
    <n v="1422.9"/>
  </r>
  <r>
    <x v="5"/>
    <n v="1128299"/>
    <x v="320"/>
    <x v="3"/>
    <s v="Florida"/>
    <s v="Orlando"/>
    <s v="Online"/>
    <x v="0"/>
    <n v="54"/>
    <n v="175"/>
    <n v="9450"/>
    <n v="5859"/>
  </r>
  <r>
    <x v="3"/>
    <n v="1185732"/>
    <x v="320"/>
    <x v="2"/>
    <s v="Mississippi"/>
    <s v="Jackson"/>
    <s v="Outlet"/>
    <x v="1"/>
    <n v="59"/>
    <n v="132"/>
    <n v="7788"/>
    <n v="4672.8"/>
  </r>
  <r>
    <x v="5"/>
    <n v="1128299"/>
    <x v="320"/>
    <x v="3"/>
    <s v="Florida"/>
    <s v="Orlando"/>
    <s v="Online"/>
    <x v="4"/>
    <n v="52"/>
    <n v="169"/>
    <n v="8788"/>
    <n v="5272.7999999999993"/>
  </r>
  <r>
    <x v="5"/>
    <n v="1128299"/>
    <x v="320"/>
    <x v="3"/>
    <s v="Florida"/>
    <s v="Orlando"/>
    <s v="Online"/>
    <x v="3"/>
    <n v="53"/>
    <n v="147"/>
    <n v="7791"/>
    <n v="4596.6900000000005"/>
  </r>
  <r>
    <x v="0"/>
    <n v="1128299"/>
    <x v="320"/>
    <x v="2"/>
    <s v="Louisiana"/>
    <s v="New Orleans"/>
    <s v="Outlet"/>
    <x v="2"/>
    <n v="64"/>
    <n v="180"/>
    <n v="11520"/>
    <n v="6796.8"/>
  </r>
  <r>
    <x v="3"/>
    <n v="1185732"/>
    <x v="320"/>
    <x v="2"/>
    <s v="Mississippi"/>
    <s v="Jackson"/>
    <s v="Outlet"/>
    <x v="3"/>
    <n v="22"/>
    <n v="119"/>
    <n v="2618"/>
    <n v="1518.4399999999998"/>
  </r>
  <r>
    <x v="5"/>
    <n v="1128299"/>
    <x v="320"/>
    <x v="3"/>
    <s v="Florida"/>
    <s v="Orlando"/>
    <s v="Online"/>
    <x v="5"/>
    <n v="64"/>
    <n v="150"/>
    <n v="9600"/>
    <n v="5472"/>
  </r>
  <r>
    <x v="3"/>
    <n v="1185732"/>
    <x v="320"/>
    <x v="2"/>
    <s v="Mississippi"/>
    <s v="Jackson"/>
    <s v="Outlet"/>
    <x v="4"/>
    <n v="22"/>
    <n v="206"/>
    <n v="4532"/>
    <n v="2537.92"/>
  </r>
  <r>
    <x v="3"/>
    <n v="1185732"/>
    <x v="320"/>
    <x v="2"/>
    <s v="Mississippi"/>
    <s v="Jackson"/>
    <s v="Outlet"/>
    <x v="5"/>
    <n v="43"/>
    <n v="153"/>
    <n v="6579"/>
    <n v="3684.24"/>
  </r>
  <r>
    <x v="3"/>
    <n v="1185732"/>
    <x v="320"/>
    <x v="2"/>
    <s v="Mississippi"/>
    <s v="Jackson"/>
    <s v="Online"/>
    <x v="0"/>
    <n v="18"/>
    <n v="117"/>
    <n v="2106"/>
    <n v="1158.3000000000002"/>
  </r>
  <r>
    <x v="3"/>
    <n v="1185732"/>
    <x v="320"/>
    <x v="2"/>
    <s v="Mississippi"/>
    <s v="Jackson"/>
    <s v="Online"/>
    <x v="1"/>
    <n v="71"/>
    <n v="123"/>
    <n v="8733"/>
    <n v="4803.1500000000005"/>
  </r>
  <r>
    <x v="0"/>
    <n v="1128299"/>
    <x v="320"/>
    <x v="2"/>
    <s v="Louisiana"/>
    <s v="New Orleans"/>
    <s v="Outlet"/>
    <x v="3"/>
    <n v="30"/>
    <n v="158"/>
    <n v="4740"/>
    <n v="2559.6000000000004"/>
  </r>
  <r>
    <x v="2"/>
    <n v="1185732"/>
    <x v="320"/>
    <x v="4"/>
    <s v="Pennsylvania"/>
    <s v="Philadelphia"/>
    <s v="Online"/>
    <x v="3"/>
    <n v="52"/>
    <n v="42"/>
    <n v="2184"/>
    <n v="1179.3600000000001"/>
  </r>
  <r>
    <x v="0"/>
    <n v="1128299"/>
    <x v="320"/>
    <x v="2"/>
    <s v="Louisiana"/>
    <s v="New Orleans"/>
    <s v="Outlet"/>
    <x v="5"/>
    <n v="40"/>
    <n v="155"/>
    <n v="6200"/>
    <n v="3348"/>
  </r>
  <r>
    <x v="0"/>
    <n v="1128299"/>
    <x v="320"/>
    <x v="2"/>
    <s v="Louisiana"/>
    <s v="New Orleans"/>
    <s v="Outlet"/>
    <x v="0"/>
    <n v="35"/>
    <n v="224"/>
    <n v="7840"/>
    <n v="4155.2000000000007"/>
  </r>
  <r>
    <x v="0"/>
    <n v="1128299"/>
    <x v="320"/>
    <x v="2"/>
    <s v="Louisiana"/>
    <s v="New Orleans"/>
    <s v="Outlet"/>
    <x v="4"/>
    <n v="28"/>
    <n v="219"/>
    <n v="6132"/>
    <n v="3249.96"/>
  </r>
  <r>
    <x v="0"/>
    <n v="1128299"/>
    <x v="320"/>
    <x v="2"/>
    <s v="Louisiana"/>
    <s v="New Orleans"/>
    <s v="Outlet"/>
    <x v="1"/>
    <n v="53"/>
    <n v="147"/>
    <n v="7791"/>
    <n v="4129.2299999999996"/>
  </r>
  <r>
    <x v="0"/>
    <n v="1128299"/>
    <x v="320"/>
    <x v="2"/>
    <s v="Louisiana"/>
    <s v="New Orleans"/>
    <s v="Online"/>
    <x v="2"/>
    <n v="81"/>
    <n v="174"/>
    <n v="14094"/>
    <n v="7328.88"/>
  </r>
  <r>
    <x v="4"/>
    <n v="1185732"/>
    <x v="320"/>
    <x v="4"/>
    <s v="Maine"/>
    <s v="Portland"/>
    <s v="Online"/>
    <x v="4"/>
    <n v="51"/>
    <n v="143"/>
    <n v="7293"/>
    <n v="3719.4300000000003"/>
  </r>
  <r>
    <x v="0"/>
    <n v="1128299"/>
    <x v="320"/>
    <x v="2"/>
    <s v="Louisiana"/>
    <s v="New Orleans"/>
    <s v="Online"/>
    <x v="4"/>
    <n v="39"/>
    <n v="188"/>
    <n v="7332"/>
    <n v="3666"/>
  </r>
  <r>
    <x v="0"/>
    <n v="1128299"/>
    <x v="320"/>
    <x v="2"/>
    <s v="Louisiana"/>
    <s v="New Orleans"/>
    <s v="Online"/>
    <x v="5"/>
    <n v="48"/>
    <n v="125"/>
    <n v="6000"/>
    <n v="3000"/>
  </r>
  <r>
    <x v="2"/>
    <n v="1185732"/>
    <x v="320"/>
    <x v="4"/>
    <s v="West Virginia"/>
    <s v="Charleston"/>
    <s v="Online"/>
    <x v="3"/>
    <n v="32"/>
    <n v="77"/>
    <n v="2464"/>
    <n v="1232"/>
  </r>
  <r>
    <x v="5"/>
    <n v="1128299"/>
    <x v="320"/>
    <x v="3"/>
    <s v="Florida"/>
    <s v="Orlando"/>
    <s v="Outlet"/>
    <x v="2"/>
    <n v="66"/>
    <n v="198"/>
    <n v="13068"/>
    <n v="6534"/>
  </r>
  <r>
    <x v="2"/>
    <n v="1185732"/>
    <x v="320"/>
    <x v="4"/>
    <s v="West Virginia"/>
    <s v="Charleston"/>
    <s v="Online"/>
    <x v="2"/>
    <n v="64"/>
    <n v="100"/>
    <n v="6400"/>
    <n v="3136"/>
  </r>
  <r>
    <x v="0"/>
    <n v="1128299"/>
    <x v="320"/>
    <x v="2"/>
    <s v="Louisiana"/>
    <s v="New Orleans"/>
    <s v="Online"/>
    <x v="0"/>
    <n v="42"/>
    <n v="210"/>
    <n v="8820"/>
    <n v="4233.5999999999995"/>
  </r>
  <r>
    <x v="0"/>
    <n v="1128299"/>
    <x v="320"/>
    <x v="2"/>
    <s v="Louisiana"/>
    <s v="New Orleans"/>
    <s v="Online"/>
    <x v="3"/>
    <n v="38"/>
    <n v="137"/>
    <n v="5206"/>
    <n v="2498.88"/>
  </r>
  <r>
    <x v="2"/>
    <n v="1185732"/>
    <x v="320"/>
    <x v="4"/>
    <s v="West Virginia"/>
    <s v="Charleston"/>
    <s v="Online"/>
    <x v="4"/>
    <n v="44"/>
    <n v="117"/>
    <n v="5148"/>
    <n v="2471.04"/>
  </r>
  <r>
    <x v="3"/>
    <n v="1185732"/>
    <x v="320"/>
    <x v="2"/>
    <s v="Mississippi"/>
    <s v="Jackson"/>
    <s v="Online"/>
    <x v="5"/>
    <n v="54"/>
    <n v="117"/>
    <n v="6318"/>
    <n v="2969.46"/>
  </r>
  <r>
    <x v="2"/>
    <n v="1185732"/>
    <x v="320"/>
    <x v="4"/>
    <s v="West Virginia"/>
    <s v="Charleston"/>
    <s v="Online"/>
    <x v="0"/>
    <n v="33"/>
    <n v="95"/>
    <n v="3135"/>
    <n v="1473.4499999999998"/>
  </r>
  <r>
    <x v="2"/>
    <n v="1185732"/>
    <x v="320"/>
    <x v="4"/>
    <s v="West Virginia"/>
    <s v="Charleston"/>
    <s v="Online"/>
    <x v="1"/>
    <n v="62"/>
    <n v="78"/>
    <n v="4836"/>
    <n v="2272.92"/>
  </r>
  <r>
    <x v="3"/>
    <n v="1185732"/>
    <x v="320"/>
    <x v="2"/>
    <s v="Mississippi"/>
    <s v="Jackson"/>
    <s v="Online"/>
    <x v="4"/>
    <n v="28"/>
    <n v="163"/>
    <n v="4564"/>
    <n v="2099.44"/>
  </r>
  <r>
    <x v="3"/>
    <n v="1185732"/>
    <x v="320"/>
    <x v="2"/>
    <s v="Mississippi"/>
    <s v="Jackson"/>
    <s v="Online"/>
    <x v="3"/>
    <n v="28"/>
    <n v="111"/>
    <n v="3108"/>
    <n v="1429.6799999999998"/>
  </r>
  <r>
    <x v="0"/>
    <n v="1128299"/>
    <x v="320"/>
    <x v="2"/>
    <s v="Louisiana"/>
    <s v="New Orleans"/>
    <s v="Online"/>
    <x v="1"/>
    <n v="68"/>
    <n v="119"/>
    <n v="8092"/>
    <n v="3641.3999999999996"/>
  </r>
  <r>
    <x v="2"/>
    <n v="1185732"/>
    <x v="320"/>
    <x v="4"/>
    <s v="West Virginia"/>
    <s v="Charleston"/>
    <s v="Online"/>
    <x v="5"/>
    <n v="38"/>
    <n v="91"/>
    <n v="3458"/>
    <n v="1556.1"/>
  </r>
  <r>
    <x v="3"/>
    <n v="1185732"/>
    <x v="320"/>
    <x v="2"/>
    <s v="Mississippi"/>
    <s v="Jackson"/>
    <s v="Outlet"/>
    <x v="2"/>
    <n v="51"/>
    <n v="168"/>
    <n v="8568"/>
    <n v="3684.24"/>
  </r>
  <r>
    <x v="5"/>
    <n v="1128299"/>
    <x v="320"/>
    <x v="3"/>
    <s v="Florida"/>
    <s v="Orlando"/>
    <s v="Online"/>
    <x v="2"/>
    <n v="86"/>
    <n v="162"/>
    <n v="13932"/>
    <n v="5712.119999999999"/>
  </r>
  <r>
    <x v="3"/>
    <n v="1185732"/>
    <x v="320"/>
    <x v="2"/>
    <s v="Mississippi"/>
    <s v="Jackson"/>
    <s v="Online"/>
    <x v="2"/>
    <n v="68"/>
    <n v="158"/>
    <n v="10744"/>
    <n v="4190.16"/>
  </r>
  <r>
    <x v="4"/>
    <n v="1185732"/>
    <x v="321"/>
    <x v="4"/>
    <s v="Maine"/>
    <s v="Portland"/>
    <s v="Outlet"/>
    <x v="1"/>
    <n v="65"/>
    <n v="150"/>
    <n v="9750"/>
    <n v="7312.5"/>
  </r>
  <r>
    <x v="2"/>
    <n v="1185732"/>
    <x v="321"/>
    <x v="4"/>
    <s v="New Hampshire"/>
    <s v="Manchester"/>
    <s v="Outlet"/>
    <x v="3"/>
    <n v="65.000000000000014"/>
    <n v="345"/>
    <n v="22425.000000000004"/>
    <n v="15697.500000000005"/>
  </r>
  <r>
    <x v="2"/>
    <n v="1185732"/>
    <x v="321"/>
    <x v="4"/>
    <s v="New Hampshire"/>
    <s v="Manchester"/>
    <s v="Outlet"/>
    <x v="5"/>
    <n v="65.000000000000014"/>
    <n v="325"/>
    <n v="21125.000000000004"/>
    <n v="14787.500000000005"/>
  </r>
  <r>
    <x v="4"/>
    <n v="1185732"/>
    <x v="321"/>
    <x v="4"/>
    <s v="Maine"/>
    <s v="Portland"/>
    <s v="Outlet"/>
    <x v="5"/>
    <n v="55.000000000000007"/>
    <n v="175"/>
    <n v="9625.0000000000018"/>
    <n v="6737.5000000000018"/>
  </r>
  <r>
    <x v="2"/>
    <n v="1185732"/>
    <x v="321"/>
    <x v="4"/>
    <s v="New Hampshire"/>
    <s v="Manchester"/>
    <s v="Outlet"/>
    <x v="1"/>
    <n v="75.000000000000014"/>
    <n v="300"/>
    <n v="22500.000000000004"/>
    <n v="15750.000000000004"/>
  </r>
  <r>
    <x v="2"/>
    <n v="1185732"/>
    <x v="321"/>
    <x v="1"/>
    <s v="Missouri"/>
    <s v="St. Louis"/>
    <s v="In-store"/>
    <x v="0"/>
    <n v="25.000000000000007"/>
    <n v="350"/>
    <n v="8750.0000000000018"/>
    <n v="5687.5000000000018"/>
  </r>
  <r>
    <x v="2"/>
    <n v="1185732"/>
    <x v="321"/>
    <x v="1"/>
    <s v="Missouri"/>
    <s v="St. Louis"/>
    <s v="In-store"/>
    <x v="3"/>
    <n v="25.000000000000007"/>
    <n v="295"/>
    <n v="7375.0000000000018"/>
    <n v="4793.7500000000018"/>
  </r>
  <r>
    <x v="2"/>
    <n v="1185732"/>
    <x v="321"/>
    <x v="4"/>
    <s v="Pennsylvania"/>
    <s v="Philadelphia"/>
    <s v="Outlet"/>
    <x v="5"/>
    <n v="55.000000000000007"/>
    <n v="100"/>
    <n v="5500.0000000000009"/>
    <n v="3575.0000000000009"/>
  </r>
  <r>
    <x v="4"/>
    <n v="1185732"/>
    <x v="321"/>
    <x v="4"/>
    <s v="Maine"/>
    <s v="Portland"/>
    <s v="Outlet"/>
    <x v="0"/>
    <n v="50"/>
    <n v="300"/>
    <n v="15000"/>
    <n v="9750"/>
  </r>
  <r>
    <x v="4"/>
    <n v="1185732"/>
    <x v="321"/>
    <x v="4"/>
    <s v="Maine"/>
    <s v="Portland"/>
    <s v="Outlet"/>
    <x v="4"/>
    <n v="65"/>
    <n v="375"/>
    <n v="24375"/>
    <n v="15843.75"/>
  </r>
  <r>
    <x v="4"/>
    <n v="1185732"/>
    <x v="321"/>
    <x v="4"/>
    <s v="Maine"/>
    <s v="Portland"/>
    <s v="Outlet"/>
    <x v="0"/>
    <n v="55.000000000000007"/>
    <n v="200"/>
    <n v="11000.000000000002"/>
    <n v="7150.0000000000018"/>
  </r>
  <r>
    <x v="2"/>
    <n v="1185732"/>
    <x v="321"/>
    <x v="1"/>
    <s v="Missouri"/>
    <s v="St. Louis"/>
    <s v="In-store"/>
    <x v="1"/>
    <n v="44.999999999999993"/>
    <n v="300"/>
    <n v="13499.999999999998"/>
    <n v="8774.9999999999982"/>
  </r>
  <r>
    <x v="2"/>
    <n v="1185732"/>
    <x v="321"/>
    <x v="4"/>
    <s v="New Hampshire"/>
    <s v="Manchester"/>
    <s v="Outlet"/>
    <x v="2"/>
    <n v="80"/>
    <n v="400"/>
    <n v="32000"/>
    <n v="20800"/>
  </r>
  <r>
    <x v="4"/>
    <n v="1185732"/>
    <x v="321"/>
    <x v="4"/>
    <s v="Maine"/>
    <s v="Portland"/>
    <s v="Outlet"/>
    <x v="3"/>
    <n v="55.000000000000007"/>
    <n v="195"/>
    <n v="10725.000000000002"/>
    <n v="6435.0000000000018"/>
  </r>
  <r>
    <x v="2"/>
    <n v="1185732"/>
    <x v="321"/>
    <x v="4"/>
    <s v="New Hampshire"/>
    <s v="Manchester"/>
    <s v="Outlet"/>
    <x v="0"/>
    <n v="65.000000000000014"/>
    <n v="325"/>
    <n v="21125.000000000004"/>
    <n v="12675.000000000004"/>
  </r>
  <r>
    <x v="4"/>
    <n v="1185732"/>
    <x v="321"/>
    <x v="4"/>
    <s v="Maine"/>
    <s v="Portland"/>
    <s v="Outlet"/>
    <x v="2"/>
    <n v="70"/>
    <n v="250"/>
    <n v="17500"/>
    <n v="10500"/>
  </r>
  <r>
    <x v="2"/>
    <n v="1185732"/>
    <x v="321"/>
    <x v="1"/>
    <s v="Missouri"/>
    <s v="St. Louis"/>
    <s v="In-store"/>
    <x v="4"/>
    <n v="35"/>
    <n v="500"/>
    <n v="17500"/>
    <n v="10500"/>
  </r>
  <r>
    <x v="2"/>
    <n v="1185732"/>
    <x v="321"/>
    <x v="1"/>
    <s v="Missouri"/>
    <s v="St. Louis"/>
    <s v="In-store"/>
    <x v="5"/>
    <n v="25.000000000000007"/>
    <n v="325"/>
    <n v="8125.0000000000027"/>
    <n v="4875.0000000000018"/>
  </r>
  <r>
    <x v="2"/>
    <n v="1185732"/>
    <x v="321"/>
    <x v="4"/>
    <s v="New Hampshire"/>
    <s v="Manchester"/>
    <s v="Outlet"/>
    <x v="4"/>
    <n v="75.000000000000014"/>
    <n v="450"/>
    <n v="33750.000000000007"/>
    <n v="20250.000000000004"/>
  </r>
  <r>
    <x v="2"/>
    <n v="1185732"/>
    <x v="321"/>
    <x v="1"/>
    <s v="Missouri"/>
    <s v="St. Louis"/>
    <s v="In-store"/>
    <x v="2"/>
    <n v="49.999999999999986"/>
    <n v="400"/>
    <n v="19999.999999999993"/>
    <n v="9999.9999999999964"/>
  </r>
  <r>
    <x v="2"/>
    <n v="1185732"/>
    <x v="321"/>
    <x v="4"/>
    <s v="New Hampshire"/>
    <s v="Manchester"/>
    <s v="Outlet"/>
    <x v="5"/>
    <n v="43"/>
    <n v="114"/>
    <n v="4902"/>
    <n v="3235.32"/>
  </r>
  <r>
    <x v="2"/>
    <n v="1185732"/>
    <x v="321"/>
    <x v="4"/>
    <s v="New Hampshire"/>
    <s v="Manchester"/>
    <s v="Outlet"/>
    <x v="1"/>
    <n v="59"/>
    <n v="96"/>
    <n v="5664"/>
    <n v="3738.2400000000002"/>
  </r>
  <r>
    <x v="2"/>
    <n v="1185732"/>
    <x v="321"/>
    <x v="4"/>
    <s v="New Hampshire"/>
    <s v="Manchester"/>
    <s v="Outlet"/>
    <x v="3"/>
    <n v="51"/>
    <n v="114"/>
    <n v="5814"/>
    <n v="3779.1000000000004"/>
  </r>
  <r>
    <x v="4"/>
    <n v="1185732"/>
    <x v="321"/>
    <x v="4"/>
    <s v="Maine"/>
    <s v="Portland"/>
    <s v="Online"/>
    <x v="1"/>
    <n v="60"/>
    <n v="41"/>
    <n v="2460"/>
    <n v="1574.4"/>
  </r>
  <r>
    <x v="2"/>
    <n v="1185732"/>
    <x v="321"/>
    <x v="4"/>
    <s v="Pennsylvania"/>
    <s v="Philadelphia"/>
    <s v="Outlet"/>
    <x v="5"/>
    <n v="42"/>
    <n v="34"/>
    <n v="1428"/>
    <n v="856.80000000000007"/>
  </r>
  <r>
    <x v="2"/>
    <n v="1185732"/>
    <x v="321"/>
    <x v="4"/>
    <s v="New Hampshire"/>
    <s v="Manchester"/>
    <s v="Online"/>
    <x v="5"/>
    <n v="64"/>
    <n v="85"/>
    <n v="5440"/>
    <n v="3264"/>
  </r>
  <r>
    <x v="2"/>
    <n v="1185732"/>
    <x v="321"/>
    <x v="4"/>
    <s v="New Hampshire"/>
    <s v="Manchester"/>
    <s v="Outlet"/>
    <x v="2"/>
    <n v="61"/>
    <n v="120"/>
    <n v="7320"/>
    <n v="4318.8"/>
  </r>
  <r>
    <x v="2"/>
    <n v="1185732"/>
    <x v="321"/>
    <x v="4"/>
    <s v="New Hampshire"/>
    <s v="Manchester"/>
    <s v="Online"/>
    <x v="1"/>
    <n v="71"/>
    <n v="81"/>
    <n v="5751"/>
    <n v="3335.58"/>
  </r>
  <r>
    <x v="4"/>
    <n v="1185732"/>
    <x v="321"/>
    <x v="4"/>
    <s v="Maine"/>
    <s v="Portland"/>
    <s v="Online"/>
    <x v="5"/>
    <n v="54"/>
    <n v="46"/>
    <n v="2484"/>
    <n v="1415.88"/>
  </r>
  <r>
    <x v="2"/>
    <n v="1185732"/>
    <x v="321"/>
    <x v="4"/>
    <s v="New Hampshire"/>
    <s v="Manchester"/>
    <s v="Outlet"/>
    <x v="0"/>
    <n v="42"/>
    <n v="114"/>
    <n v="4788"/>
    <n v="2729.16"/>
  </r>
  <r>
    <x v="2"/>
    <n v="1185732"/>
    <x v="321"/>
    <x v="4"/>
    <s v="New Hampshire"/>
    <s v="Manchester"/>
    <s v="Outlet"/>
    <x v="4"/>
    <n v="59"/>
    <n v="149"/>
    <n v="8791"/>
    <n v="5010.869999999999"/>
  </r>
  <r>
    <x v="2"/>
    <n v="1185732"/>
    <x v="321"/>
    <x v="1"/>
    <s v="Missouri"/>
    <s v="St. Louis"/>
    <s v="Online"/>
    <x v="0"/>
    <n v="23"/>
    <n v="88"/>
    <n v="2024"/>
    <n v="1113.2"/>
  </r>
  <r>
    <x v="2"/>
    <n v="1185732"/>
    <x v="321"/>
    <x v="4"/>
    <s v="New Hampshire"/>
    <s v="Manchester"/>
    <s v="Online"/>
    <x v="3"/>
    <n v="63"/>
    <n v="104"/>
    <n v="6552"/>
    <n v="3603.6000000000004"/>
  </r>
  <r>
    <x v="2"/>
    <n v="1185732"/>
    <x v="321"/>
    <x v="4"/>
    <s v="New Hampshire"/>
    <s v="Manchester"/>
    <s v="Online"/>
    <x v="2"/>
    <n v="78"/>
    <n v="116"/>
    <n v="9048"/>
    <n v="4795.4400000000005"/>
  </r>
  <r>
    <x v="2"/>
    <n v="1185732"/>
    <x v="321"/>
    <x v="4"/>
    <s v="Pennsylvania"/>
    <s v="Philadelphia"/>
    <s v="Online"/>
    <x v="5"/>
    <n v="51"/>
    <n v="29"/>
    <n v="1479"/>
    <n v="783.87"/>
  </r>
  <r>
    <x v="4"/>
    <n v="1185732"/>
    <x v="321"/>
    <x v="4"/>
    <s v="Maine"/>
    <s v="Portland"/>
    <s v="Online"/>
    <x v="0"/>
    <n v="46"/>
    <n v="84"/>
    <n v="3864"/>
    <n v="2009.28"/>
  </r>
  <r>
    <x v="2"/>
    <n v="1185732"/>
    <x v="321"/>
    <x v="1"/>
    <s v="Missouri"/>
    <s v="St. Louis"/>
    <s v="Online"/>
    <x v="1"/>
    <n v="43"/>
    <n v="81"/>
    <n v="3483"/>
    <n v="1811.16"/>
  </r>
  <r>
    <x v="4"/>
    <n v="1185732"/>
    <x v="321"/>
    <x v="4"/>
    <s v="Maine"/>
    <s v="Portland"/>
    <s v="Online"/>
    <x v="4"/>
    <n v="62"/>
    <n v="98"/>
    <n v="6076"/>
    <n v="3098.76"/>
  </r>
  <r>
    <x v="2"/>
    <n v="1185732"/>
    <x v="321"/>
    <x v="1"/>
    <s v="Missouri"/>
    <s v="St. Louis"/>
    <s v="Online"/>
    <x v="3"/>
    <n v="23"/>
    <n v="80"/>
    <n v="1840"/>
    <n v="938.4"/>
  </r>
  <r>
    <x v="4"/>
    <n v="1185732"/>
    <x v="321"/>
    <x v="4"/>
    <s v="Maine"/>
    <s v="Portland"/>
    <s v="Online"/>
    <x v="0"/>
    <n v="52"/>
    <n v="52"/>
    <n v="2704"/>
    <n v="1352"/>
  </r>
  <r>
    <x v="2"/>
    <n v="1185732"/>
    <x v="321"/>
    <x v="1"/>
    <s v="Missouri"/>
    <s v="St. Louis"/>
    <s v="Online"/>
    <x v="4"/>
    <n v="34"/>
    <n v="150"/>
    <n v="5100"/>
    <n v="2499"/>
  </r>
  <r>
    <x v="4"/>
    <n v="1185732"/>
    <x v="321"/>
    <x v="4"/>
    <s v="Maine"/>
    <s v="Portland"/>
    <s v="Online"/>
    <x v="3"/>
    <n v="52"/>
    <n v="55"/>
    <n v="2860"/>
    <n v="1372.8"/>
  </r>
  <r>
    <x v="2"/>
    <n v="1185732"/>
    <x v="321"/>
    <x v="1"/>
    <s v="Missouri"/>
    <s v="St. Louis"/>
    <s v="Online"/>
    <x v="5"/>
    <n v="23"/>
    <n v="88"/>
    <n v="2024"/>
    <n v="971.52"/>
  </r>
  <r>
    <x v="2"/>
    <n v="1185732"/>
    <x v="321"/>
    <x v="4"/>
    <s v="New Hampshire"/>
    <s v="Manchester"/>
    <s v="Online"/>
    <x v="0"/>
    <n v="62"/>
    <n v="98"/>
    <n v="6076"/>
    <n v="2916.48"/>
  </r>
  <r>
    <x v="2"/>
    <n v="1185732"/>
    <x v="321"/>
    <x v="4"/>
    <s v="New Hampshire"/>
    <s v="Manchester"/>
    <s v="Online"/>
    <x v="4"/>
    <n v="68"/>
    <n v="117"/>
    <n v="7956"/>
    <n v="3739.3199999999997"/>
  </r>
  <r>
    <x v="4"/>
    <n v="1185732"/>
    <x v="321"/>
    <x v="4"/>
    <s v="Maine"/>
    <s v="Portland"/>
    <s v="Online"/>
    <x v="2"/>
    <n v="67"/>
    <n v="63"/>
    <n v="4221"/>
    <n v="1941.6599999999999"/>
  </r>
  <r>
    <x v="2"/>
    <n v="1185732"/>
    <x v="321"/>
    <x v="1"/>
    <s v="Missouri"/>
    <s v="St. Louis"/>
    <s v="Online"/>
    <x v="2"/>
    <n v="48"/>
    <n v="108"/>
    <n v="5184"/>
    <n v="1918.08"/>
  </r>
  <r>
    <x v="2"/>
    <n v="1185732"/>
    <x v="322"/>
    <x v="4"/>
    <s v="Pennsylvania"/>
    <s v="Philadelphia"/>
    <s v="Outlet"/>
    <x v="1"/>
    <n v="65"/>
    <n v="125"/>
    <n v="8125"/>
    <n v="5687.5"/>
  </r>
  <r>
    <x v="4"/>
    <n v="1185732"/>
    <x v="322"/>
    <x v="4"/>
    <s v="Maine"/>
    <s v="Portland"/>
    <s v="Outlet"/>
    <x v="3"/>
    <n v="45"/>
    <n v="225"/>
    <n v="10125"/>
    <n v="6075"/>
  </r>
  <r>
    <x v="2"/>
    <n v="1185732"/>
    <x v="322"/>
    <x v="4"/>
    <s v="Pennsylvania"/>
    <s v="Philadelphia"/>
    <s v="Outlet"/>
    <x v="1"/>
    <n v="51"/>
    <n v="39"/>
    <n v="1989"/>
    <n v="1253.0700000000002"/>
  </r>
  <r>
    <x v="2"/>
    <n v="1185732"/>
    <x v="322"/>
    <x v="4"/>
    <s v="Pennsylvania"/>
    <s v="Philadelphia"/>
    <s v="Online"/>
    <x v="1"/>
    <n v="59"/>
    <n v="31"/>
    <n v="1829"/>
    <n v="1060.8200000000002"/>
  </r>
  <r>
    <x v="4"/>
    <n v="1185732"/>
    <x v="322"/>
    <x v="4"/>
    <s v="Maine"/>
    <s v="Portland"/>
    <s v="Online"/>
    <x v="3"/>
    <n v="43"/>
    <n v="63"/>
    <n v="2709"/>
    <n v="1219.0500000000002"/>
  </r>
  <r>
    <x v="2"/>
    <n v="1185732"/>
    <x v="323"/>
    <x v="4"/>
    <s v="Pennsylvania"/>
    <s v="Philadelphia"/>
    <s v="Outlet"/>
    <x v="2"/>
    <n v="70"/>
    <n v="250"/>
    <n v="17500"/>
    <n v="12250"/>
  </r>
  <r>
    <x v="4"/>
    <n v="1185732"/>
    <x v="323"/>
    <x v="4"/>
    <s v="Maine"/>
    <s v="Portland"/>
    <s v="Outlet"/>
    <x v="5"/>
    <n v="45"/>
    <n v="175"/>
    <n v="7875"/>
    <n v="5512.5"/>
  </r>
  <r>
    <x v="0"/>
    <n v="1197831"/>
    <x v="323"/>
    <x v="2"/>
    <s v="Arkansas"/>
    <s v="Little Rock"/>
    <s v="Online"/>
    <x v="1"/>
    <n v="75.000000000000014"/>
    <n v="350"/>
    <n v="26250.000000000004"/>
    <n v="17062.500000000007"/>
  </r>
  <r>
    <x v="1"/>
    <n v="1197831"/>
    <x v="323"/>
    <x v="2"/>
    <s v="Oklahoma"/>
    <s v="Oklahoma City"/>
    <s v="Online"/>
    <x v="0"/>
    <n v="15.000000000000014"/>
    <n v="300"/>
    <n v="4500.0000000000045"/>
    <n v="2925.0000000000027"/>
  </r>
  <r>
    <x v="1"/>
    <n v="1197831"/>
    <x v="323"/>
    <x v="2"/>
    <s v="Oklahoma"/>
    <s v="Oklahoma City"/>
    <s v="Online"/>
    <x v="1"/>
    <n v="75.000000000000014"/>
    <n v="275"/>
    <n v="20625.000000000004"/>
    <n v="13406.250000000004"/>
  </r>
  <r>
    <x v="0"/>
    <n v="1197831"/>
    <x v="323"/>
    <x v="2"/>
    <s v="Arkansas"/>
    <s v="Little Rock"/>
    <s v="Online"/>
    <x v="0"/>
    <n v="15.000000000000014"/>
    <n v="375"/>
    <n v="5625.0000000000055"/>
    <n v="3656.2500000000027"/>
  </r>
  <r>
    <x v="0"/>
    <n v="1197831"/>
    <x v="323"/>
    <x v="2"/>
    <s v="Arkansas"/>
    <s v="Little Rock"/>
    <s v="Online"/>
    <x v="5"/>
    <n v="55.000000000000014"/>
    <n v="375"/>
    <n v="20625.000000000004"/>
    <n v="12375.000000000004"/>
  </r>
  <r>
    <x v="1"/>
    <n v="1197831"/>
    <x v="323"/>
    <x v="2"/>
    <s v="Oklahoma"/>
    <s v="Oklahoma City"/>
    <s v="Online"/>
    <x v="3"/>
    <n v="25.000000000000018"/>
    <n v="245"/>
    <n v="6125.0000000000045"/>
    <n v="3675.0000000000027"/>
  </r>
  <r>
    <x v="0"/>
    <n v="1197831"/>
    <x v="323"/>
    <x v="2"/>
    <s v="Arkansas"/>
    <s v="Little Rock"/>
    <s v="Online"/>
    <x v="4"/>
    <n v="25.000000000000011"/>
    <n v="550"/>
    <n v="13750.000000000005"/>
    <n v="8250.0000000000036"/>
  </r>
  <r>
    <x v="0"/>
    <n v="1197831"/>
    <x v="323"/>
    <x v="2"/>
    <s v="Arkansas"/>
    <s v="Little Rock"/>
    <s v="Online"/>
    <x v="2"/>
    <n v="75"/>
    <n v="450"/>
    <n v="33750"/>
    <n v="20250"/>
  </r>
  <r>
    <x v="1"/>
    <n v="1197831"/>
    <x v="323"/>
    <x v="2"/>
    <s v="Oklahoma"/>
    <s v="Oklahoma City"/>
    <s v="Online"/>
    <x v="5"/>
    <n v="55.000000000000014"/>
    <n v="300"/>
    <n v="16500.000000000004"/>
    <n v="9900.0000000000018"/>
  </r>
  <r>
    <x v="1"/>
    <n v="1197831"/>
    <x v="323"/>
    <x v="2"/>
    <s v="Oklahoma"/>
    <s v="Oklahoma City"/>
    <s v="Online"/>
    <x v="2"/>
    <n v="75"/>
    <n v="375"/>
    <n v="28125"/>
    <n v="16875"/>
  </r>
  <r>
    <x v="0"/>
    <n v="1197831"/>
    <x v="323"/>
    <x v="2"/>
    <s v="Arkansas"/>
    <s v="Little Rock"/>
    <s v="Online"/>
    <x v="3"/>
    <n v="25.000000000000018"/>
    <n v="320"/>
    <n v="8000.0000000000055"/>
    <n v="4800.0000000000027"/>
  </r>
  <r>
    <x v="1"/>
    <n v="1197831"/>
    <x v="323"/>
    <x v="2"/>
    <s v="Oklahoma"/>
    <s v="Oklahoma City"/>
    <s v="Online"/>
    <x v="4"/>
    <n v="25.000000000000011"/>
    <n v="475"/>
    <n v="11875.000000000005"/>
    <n v="7125.0000000000027"/>
  </r>
  <r>
    <x v="2"/>
    <n v="1185732"/>
    <x v="323"/>
    <x v="4"/>
    <s v="Pennsylvania"/>
    <s v="Philadelphia"/>
    <s v="Outlet"/>
    <x v="2"/>
    <n v="51"/>
    <n v="78"/>
    <n v="3978"/>
    <n v="2506.1400000000003"/>
  </r>
  <r>
    <x v="1"/>
    <n v="1197831"/>
    <x v="323"/>
    <x v="2"/>
    <s v="Oklahoma"/>
    <s v="Oklahoma City"/>
    <s v="Outlet"/>
    <x v="0"/>
    <n v="11"/>
    <n v="96"/>
    <n v="1056"/>
    <n v="654.72"/>
  </r>
  <r>
    <x v="1"/>
    <n v="1197831"/>
    <x v="323"/>
    <x v="2"/>
    <s v="Oklahoma"/>
    <s v="Oklahoma City"/>
    <s v="Outlet"/>
    <x v="1"/>
    <n v="60"/>
    <n v="85"/>
    <n v="5100"/>
    <n v="3060"/>
  </r>
  <r>
    <x v="4"/>
    <n v="1185732"/>
    <x v="323"/>
    <x v="4"/>
    <s v="Maine"/>
    <s v="Portland"/>
    <s v="Online"/>
    <x v="5"/>
    <n v="43"/>
    <n v="44"/>
    <n v="1892"/>
    <n v="1116.2800000000002"/>
  </r>
  <r>
    <x v="0"/>
    <n v="1197831"/>
    <x v="323"/>
    <x v="2"/>
    <s v="Arkansas"/>
    <s v="Little Rock"/>
    <s v="Outlet"/>
    <x v="1"/>
    <n v="56"/>
    <n v="105"/>
    <n v="5880"/>
    <n v="3469.2000000000003"/>
  </r>
  <r>
    <x v="0"/>
    <n v="1197831"/>
    <x v="323"/>
    <x v="2"/>
    <s v="Arkansas"/>
    <s v="Little Rock"/>
    <s v="Outlet"/>
    <x v="0"/>
    <n v="11"/>
    <n v="116"/>
    <n v="1276"/>
    <n v="740.08"/>
  </r>
  <r>
    <x v="0"/>
    <n v="1197831"/>
    <x v="323"/>
    <x v="2"/>
    <s v="Arkansas"/>
    <s v="Little Rock"/>
    <s v="Outlet"/>
    <x v="3"/>
    <n v="19"/>
    <n v="102"/>
    <n v="1938"/>
    <n v="1104.6599999999999"/>
  </r>
  <r>
    <x v="1"/>
    <n v="1197831"/>
    <x v="323"/>
    <x v="2"/>
    <s v="Oklahoma"/>
    <s v="Oklahoma City"/>
    <s v="Outlet"/>
    <x v="3"/>
    <n v="19"/>
    <n v="81"/>
    <n v="1539"/>
    <n v="877.2299999999999"/>
  </r>
  <r>
    <x v="1"/>
    <n v="1197831"/>
    <x v="323"/>
    <x v="2"/>
    <s v="Oklahoma"/>
    <s v="Oklahoma City"/>
    <s v="Outlet"/>
    <x v="2"/>
    <n v="60"/>
    <n v="128"/>
    <n v="7680"/>
    <n v="4377.5999999999995"/>
  </r>
  <r>
    <x v="0"/>
    <n v="1197831"/>
    <x v="323"/>
    <x v="2"/>
    <s v="Arkansas"/>
    <s v="Little Rock"/>
    <s v="Outlet"/>
    <x v="5"/>
    <n v="41"/>
    <n v="128"/>
    <n v="5248"/>
    <n v="2938.88"/>
  </r>
  <r>
    <x v="1"/>
    <n v="1197831"/>
    <x v="323"/>
    <x v="2"/>
    <s v="Oklahoma"/>
    <s v="Oklahoma City"/>
    <s v="Outlet"/>
    <x v="4"/>
    <n v="16"/>
    <n v="166"/>
    <n v="2656"/>
    <n v="1487.36"/>
  </r>
  <r>
    <x v="2"/>
    <n v="1185732"/>
    <x v="323"/>
    <x v="4"/>
    <s v="Pennsylvania"/>
    <s v="Philadelphia"/>
    <s v="Online"/>
    <x v="2"/>
    <n v="64"/>
    <n v="63"/>
    <n v="4032"/>
    <n v="2217.6000000000004"/>
  </r>
  <r>
    <x v="0"/>
    <n v="1197831"/>
    <x v="323"/>
    <x v="2"/>
    <s v="Arkansas"/>
    <s v="Little Rock"/>
    <s v="Outlet"/>
    <x v="2"/>
    <n v="53"/>
    <n v="135"/>
    <n v="7155"/>
    <n v="3935.25"/>
  </r>
  <r>
    <x v="0"/>
    <n v="1197831"/>
    <x v="323"/>
    <x v="2"/>
    <s v="Arkansas"/>
    <s v="Little Rock"/>
    <s v="Outlet"/>
    <x v="4"/>
    <n v="18"/>
    <n v="176"/>
    <n v="3168"/>
    <n v="1710.72"/>
  </r>
  <r>
    <x v="0"/>
    <n v="1197831"/>
    <x v="323"/>
    <x v="2"/>
    <s v="Arkansas"/>
    <s v="Little Rock"/>
    <s v="Online"/>
    <x v="1"/>
    <n v="69"/>
    <n v="91"/>
    <n v="6279"/>
    <n v="3327.8700000000003"/>
  </r>
  <r>
    <x v="1"/>
    <n v="1197831"/>
    <x v="323"/>
    <x v="2"/>
    <s v="Oklahoma"/>
    <s v="Oklahoma City"/>
    <s v="Online"/>
    <x v="0"/>
    <n v="14"/>
    <n v="78"/>
    <n v="1092"/>
    <n v="578.76"/>
  </r>
  <r>
    <x v="1"/>
    <n v="1197831"/>
    <x v="323"/>
    <x v="2"/>
    <s v="Oklahoma"/>
    <s v="Oklahoma City"/>
    <s v="Outlet"/>
    <x v="5"/>
    <n v="37"/>
    <n v="90"/>
    <n v="3330"/>
    <n v="1764.8999999999999"/>
  </r>
  <r>
    <x v="1"/>
    <n v="1197831"/>
    <x v="323"/>
    <x v="2"/>
    <s v="Oklahoma"/>
    <s v="Oklahoma City"/>
    <s v="Online"/>
    <x v="1"/>
    <n v="71"/>
    <n v="77"/>
    <n v="5467"/>
    <n v="2788.17"/>
  </r>
  <r>
    <x v="0"/>
    <n v="1197831"/>
    <x v="323"/>
    <x v="2"/>
    <s v="Arkansas"/>
    <s v="Little Rock"/>
    <s v="Online"/>
    <x v="4"/>
    <n v="24"/>
    <n v="143"/>
    <n v="3432"/>
    <n v="1716"/>
  </r>
  <r>
    <x v="0"/>
    <n v="1197831"/>
    <x v="323"/>
    <x v="2"/>
    <s v="Arkansas"/>
    <s v="Little Rock"/>
    <s v="Online"/>
    <x v="0"/>
    <n v="14"/>
    <n v="94"/>
    <n v="1316"/>
    <n v="658"/>
  </r>
  <r>
    <x v="0"/>
    <n v="1197831"/>
    <x v="323"/>
    <x v="2"/>
    <s v="Arkansas"/>
    <s v="Little Rock"/>
    <s v="Online"/>
    <x v="5"/>
    <n v="51"/>
    <n v="109"/>
    <n v="5559"/>
    <n v="2779.5"/>
  </r>
  <r>
    <x v="1"/>
    <n v="1197831"/>
    <x v="323"/>
    <x v="2"/>
    <s v="Oklahoma"/>
    <s v="Oklahoma City"/>
    <s v="Online"/>
    <x v="2"/>
    <n v="72"/>
    <n v="105"/>
    <n v="7560"/>
    <n v="3780"/>
  </r>
  <r>
    <x v="0"/>
    <n v="1197831"/>
    <x v="323"/>
    <x v="2"/>
    <s v="Arkansas"/>
    <s v="Little Rock"/>
    <s v="Online"/>
    <x v="3"/>
    <n v="23"/>
    <n v="90"/>
    <n v="2070"/>
    <n v="1014.3"/>
  </r>
  <r>
    <x v="0"/>
    <n v="1197831"/>
    <x v="323"/>
    <x v="2"/>
    <s v="Arkansas"/>
    <s v="Little Rock"/>
    <s v="Online"/>
    <x v="2"/>
    <n v="73"/>
    <n v="117"/>
    <n v="8541"/>
    <n v="4014.2699999999995"/>
  </r>
  <r>
    <x v="1"/>
    <n v="1197831"/>
    <x v="323"/>
    <x v="2"/>
    <s v="Oklahoma"/>
    <s v="Oklahoma City"/>
    <s v="Online"/>
    <x v="5"/>
    <n v="52"/>
    <n v="75"/>
    <n v="3900"/>
    <n v="1833"/>
  </r>
  <r>
    <x v="1"/>
    <n v="1197831"/>
    <x v="323"/>
    <x v="2"/>
    <s v="Oklahoma"/>
    <s v="Oklahoma City"/>
    <s v="Online"/>
    <x v="4"/>
    <n v="23"/>
    <n v="133"/>
    <n v="3059"/>
    <n v="1407.1399999999999"/>
  </r>
  <r>
    <x v="1"/>
    <n v="1197831"/>
    <x v="323"/>
    <x v="2"/>
    <s v="Oklahoma"/>
    <s v="Oklahoma City"/>
    <s v="Online"/>
    <x v="3"/>
    <n v="23"/>
    <n v="74"/>
    <n v="1702"/>
    <n v="782.92"/>
  </r>
  <r>
    <x v="4"/>
    <n v="1185732"/>
    <x v="324"/>
    <x v="0"/>
    <s v="Alaska"/>
    <s v="Anchorage"/>
    <s v="Outlet"/>
    <x v="3"/>
    <n v="65.000000000000014"/>
    <n v="320"/>
    <n v="20800.000000000004"/>
    <n v="15600.000000000005"/>
  </r>
  <r>
    <x v="4"/>
    <n v="1185732"/>
    <x v="324"/>
    <x v="4"/>
    <s v="Maine"/>
    <s v="Portland"/>
    <s v="Outlet"/>
    <x v="1"/>
    <n v="54.999999999999993"/>
    <n v="200"/>
    <n v="10999.999999999998"/>
    <n v="8249.9999999999982"/>
  </r>
  <r>
    <x v="4"/>
    <n v="1185732"/>
    <x v="324"/>
    <x v="0"/>
    <s v="Alaska"/>
    <s v="Anchorage"/>
    <s v="Outlet"/>
    <x v="5"/>
    <n v="65.000000000000014"/>
    <n v="300"/>
    <n v="19500.000000000004"/>
    <n v="14625.000000000004"/>
  </r>
  <r>
    <x v="4"/>
    <n v="1185732"/>
    <x v="324"/>
    <x v="0"/>
    <s v="Alaska"/>
    <s v="Anchorage"/>
    <s v="Outlet"/>
    <x v="1"/>
    <n v="75.000000000000014"/>
    <n v="275"/>
    <n v="20625.000000000004"/>
    <n v="15468.750000000004"/>
  </r>
  <r>
    <x v="4"/>
    <n v="1185732"/>
    <x v="324"/>
    <x v="0"/>
    <s v="Alaska"/>
    <s v="Anchorage"/>
    <s v="Outlet"/>
    <x v="2"/>
    <n v="80"/>
    <n v="375"/>
    <n v="30000"/>
    <n v="21000"/>
  </r>
  <r>
    <x v="2"/>
    <n v="1185732"/>
    <x v="324"/>
    <x v="4"/>
    <s v="Maryland"/>
    <s v="Baltimore"/>
    <s v="In-store"/>
    <x v="1"/>
    <n v="60"/>
    <n v="125"/>
    <n v="7500"/>
    <n v="5250"/>
  </r>
  <r>
    <x v="2"/>
    <n v="1185732"/>
    <x v="324"/>
    <x v="4"/>
    <s v="Maryland"/>
    <s v="Baltimore"/>
    <s v="In-store"/>
    <x v="2"/>
    <n v="64.999999999999986"/>
    <n v="225"/>
    <n v="14624.999999999996"/>
    <n v="10237.499999999996"/>
  </r>
  <r>
    <x v="4"/>
    <n v="1185732"/>
    <x v="324"/>
    <x v="0"/>
    <s v="Alaska"/>
    <s v="Anchorage"/>
    <s v="Outlet"/>
    <x v="4"/>
    <n v="75.000000000000014"/>
    <n v="425"/>
    <n v="31875.000000000007"/>
    <n v="20718.750000000004"/>
  </r>
  <r>
    <x v="4"/>
    <n v="1185732"/>
    <x v="324"/>
    <x v="0"/>
    <s v="Alaska"/>
    <s v="Anchorage"/>
    <s v="Outlet"/>
    <x v="0"/>
    <n v="65.000000000000014"/>
    <n v="300"/>
    <n v="19500.000000000004"/>
    <n v="12675.000000000002"/>
  </r>
  <r>
    <x v="2"/>
    <n v="1185732"/>
    <x v="324"/>
    <x v="4"/>
    <s v="Maryland"/>
    <s v="Baltimore"/>
    <s v="In-store"/>
    <x v="0"/>
    <n v="50"/>
    <n v="175"/>
    <n v="8750"/>
    <n v="5687.5"/>
  </r>
  <r>
    <x v="2"/>
    <n v="1185732"/>
    <x v="324"/>
    <x v="4"/>
    <s v="Maryland"/>
    <s v="Baltimore"/>
    <s v="In-store"/>
    <x v="3"/>
    <n v="50"/>
    <n v="170"/>
    <n v="8500"/>
    <n v="5525"/>
  </r>
  <r>
    <x v="2"/>
    <n v="1185732"/>
    <x v="324"/>
    <x v="4"/>
    <s v="Maryland"/>
    <s v="Baltimore"/>
    <s v="In-store"/>
    <x v="5"/>
    <n v="50"/>
    <n v="150"/>
    <n v="7500"/>
    <n v="4875"/>
  </r>
  <r>
    <x v="2"/>
    <n v="1185732"/>
    <x v="324"/>
    <x v="4"/>
    <s v="Maryland"/>
    <s v="Baltimore"/>
    <s v="In-store"/>
    <x v="4"/>
    <n v="60"/>
    <n v="350"/>
    <n v="21000"/>
    <n v="12600"/>
  </r>
  <r>
    <x v="2"/>
    <n v="1185732"/>
    <x v="324"/>
    <x v="4"/>
    <s v="Pennsylvania"/>
    <s v="Philadelphia"/>
    <s v="Outlet"/>
    <x v="4"/>
    <n v="65"/>
    <n v="500"/>
    <n v="32500"/>
    <n v="14625"/>
  </r>
  <r>
    <x v="4"/>
    <n v="1185732"/>
    <x v="324"/>
    <x v="0"/>
    <s v="Alaska"/>
    <s v="Anchorage"/>
    <s v="Online"/>
    <x v="1"/>
    <n v="69"/>
    <n v="83"/>
    <n v="5727"/>
    <n v="3722.55"/>
  </r>
  <r>
    <x v="4"/>
    <n v="1185732"/>
    <x v="324"/>
    <x v="4"/>
    <s v="Maine"/>
    <s v="Portland"/>
    <s v="Online"/>
    <x v="1"/>
    <n v="53"/>
    <n v="60"/>
    <n v="3180"/>
    <n v="1971.6"/>
  </r>
  <r>
    <x v="4"/>
    <n v="1185732"/>
    <x v="324"/>
    <x v="0"/>
    <s v="Alaska"/>
    <s v="Anchorage"/>
    <s v="Online"/>
    <x v="5"/>
    <n v="62"/>
    <n v="90"/>
    <n v="5580"/>
    <n v="3459.6"/>
  </r>
  <r>
    <x v="4"/>
    <n v="1185732"/>
    <x v="324"/>
    <x v="0"/>
    <s v="Alaska"/>
    <s v="Anchorage"/>
    <s v="Online"/>
    <x v="3"/>
    <n v="59"/>
    <n v="93"/>
    <n v="5487"/>
    <n v="3347.0699999999997"/>
  </r>
  <r>
    <x v="4"/>
    <n v="1185732"/>
    <x v="324"/>
    <x v="0"/>
    <s v="Alaska"/>
    <s v="Anchorage"/>
    <s v="Online"/>
    <x v="2"/>
    <n v="74"/>
    <n v="101"/>
    <n v="7474"/>
    <n v="4334.92"/>
  </r>
  <r>
    <x v="2"/>
    <n v="1185732"/>
    <x v="324"/>
    <x v="4"/>
    <s v="Maryland"/>
    <s v="Baltimore"/>
    <s v="Online"/>
    <x v="2"/>
    <n v="62"/>
    <n v="63"/>
    <n v="3906"/>
    <n v="2226.42"/>
  </r>
  <r>
    <x v="2"/>
    <n v="1185732"/>
    <x v="324"/>
    <x v="4"/>
    <s v="Maryland"/>
    <s v="Baltimore"/>
    <s v="Online"/>
    <x v="1"/>
    <n v="56"/>
    <n v="31"/>
    <n v="1736"/>
    <n v="972.16"/>
  </r>
  <r>
    <x v="2"/>
    <n v="1185732"/>
    <x v="324"/>
    <x v="4"/>
    <s v="Maryland"/>
    <s v="Baltimore"/>
    <s v="Online"/>
    <x v="5"/>
    <n v="48"/>
    <n v="41"/>
    <n v="1968"/>
    <n v="1062.72"/>
  </r>
  <r>
    <x v="4"/>
    <n v="1185732"/>
    <x v="324"/>
    <x v="0"/>
    <s v="Alaska"/>
    <s v="Anchorage"/>
    <s v="Online"/>
    <x v="0"/>
    <n v="59"/>
    <n v="81"/>
    <n v="4779"/>
    <n v="2580.66"/>
  </r>
  <r>
    <x v="2"/>
    <n v="1185732"/>
    <x v="324"/>
    <x v="4"/>
    <s v="Maryland"/>
    <s v="Baltimore"/>
    <s v="Online"/>
    <x v="0"/>
    <n v="45"/>
    <n v="51"/>
    <n v="2295"/>
    <n v="1216.3500000000001"/>
  </r>
  <r>
    <x v="4"/>
    <n v="1185732"/>
    <x v="324"/>
    <x v="0"/>
    <s v="Alaska"/>
    <s v="Anchorage"/>
    <s v="Online"/>
    <x v="4"/>
    <n v="68"/>
    <n v="123"/>
    <n v="8364"/>
    <n v="4349.28"/>
  </r>
  <r>
    <x v="2"/>
    <n v="1185732"/>
    <x v="324"/>
    <x v="4"/>
    <s v="Maryland"/>
    <s v="Baltimore"/>
    <s v="Online"/>
    <x v="3"/>
    <n v="49"/>
    <n v="48"/>
    <n v="2352"/>
    <n v="1176"/>
  </r>
  <r>
    <x v="2"/>
    <n v="1185732"/>
    <x v="324"/>
    <x v="4"/>
    <s v="Maryland"/>
    <s v="Baltimore"/>
    <s v="Online"/>
    <x v="4"/>
    <n v="58"/>
    <n v="88"/>
    <n v="5104"/>
    <n v="2296.7999999999997"/>
  </r>
  <r>
    <x v="2"/>
    <n v="1185732"/>
    <x v="324"/>
    <x v="4"/>
    <s v="Pennsylvania"/>
    <s v="Philadelphia"/>
    <s v="Outlet"/>
    <x v="4"/>
    <n v="49"/>
    <n v="170"/>
    <n v="8330"/>
    <n v="3581.8999999999996"/>
  </r>
  <r>
    <x v="2"/>
    <n v="1185732"/>
    <x v="324"/>
    <x v="4"/>
    <s v="Pennsylvania"/>
    <s v="Philadelphia"/>
    <s v="Online"/>
    <x v="4"/>
    <n v="64"/>
    <n v="135"/>
    <n v="8640"/>
    <n v="3024"/>
  </r>
  <r>
    <x v="2"/>
    <n v="1185732"/>
    <x v="325"/>
    <x v="4"/>
    <s v="Pennsylvania"/>
    <s v="Philadelphia"/>
    <s v="Outlet"/>
    <x v="0"/>
    <n v="60.000000000000007"/>
    <n v="250"/>
    <n v="15000.000000000002"/>
    <n v="9750.0000000000036"/>
  </r>
  <r>
    <x v="4"/>
    <n v="1185732"/>
    <x v="325"/>
    <x v="3"/>
    <s v="Kentucky"/>
    <s v="Louisville"/>
    <s v="Online"/>
    <x v="0"/>
    <n v="40"/>
    <n v="275"/>
    <n v="11000"/>
    <n v="7150"/>
  </r>
  <r>
    <x v="2"/>
    <n v="1185732"/>
    <x v="325"/>
    <x v="3"/>
    <s v="Kentucky"/>
    <s v="Louisville"/>
    <s v="Online"/>
    <x v="1"/>
    <n v="65"/>
    <n v="175"/>
    <n v="11375"/>
    <n v="7393.75"/>
  </r>
  <r>
    <x v="4"/>
    <n v="1185732"/>
    <x v="325"/>
    <x v="3"/>
    <s v="Kentucky"/>
    <s v="Louisville"/>
    <s v="Online"/>
    <x v="4"/>
    <n v="50"/>
    <n v="425"/>
    <n v="21250"/>
    <n v="12750"/>
  </r>
  <r>
    <x v="4"/>
    <n v="1185732"/>
    <x v="325"/>
    <x v="3"/>
    <s v="Kentucky"/>
    <s v="Louisville"/>
    <s v="Online"/>
    <x v="3"/>
    <n v="45"/>
    <n v="220"/>
    <n v="9900"/>
    <n v="5940"/>
  </r>
  <r>
    <x v="2"/>
    <n v="1185732"/>
    <x v="325"/>
    <x v="3"/>
    <s v="Kentucky"/>
    <s v="Louisville"/>
    <s v="Online"/>
    <x v="2"/>
    <n v="70"/>
    <n v="275"/>
    <n v="19250"/>
    <n v="11550"/>
  </r>
  <r>
    <x v="2"/>
    <n v="1185732"/>
    <x v="325"/>
    <x v="3"/>
    <s v="Kentucky"/>
    <s v="Louisville"/>
    <s v="Online"/>
    <x v="5"/>
    <n v="55.000000000000007"/>
    <n v="200"/>
    <n v="11000.000000000002"/>
    <n v="6600"/>
  </r>
  <r>
    <x v="2"/>
    <n v="1185732"/>
    <x v="325"/>
    <x v="4"/>
    <s v="Pennsylvania"/>
    <s v="Philadelphia"/>
    <s v="Outlet"/>
    <x v="0"/>
    <n v="41"/>
    <n v="85"/>
    <n v="3485"/>
    <n v="2125.8500000000004"/>
  </r>
  <r>
    <x v="2"/>
    <n v="1185732"/>
    <x v="325"/>
    <x v="4"/>
    <s v="Pennsylvania"/>
    <s v="Philadelphia"/>
    <s v="Online"/>
    <x v="0"/>
    <n v="59"/>
    <n v="70"/>
    <n v="4130"/>
    <n v="2230.1999999999998"/>
  </r>
  <r>
    <x v="4"/>
    <n v="1185732"/>
    <x v="325"/>
    <x v="3"/>
    <s v="Kentucky"/>
    <s v="Louisville"/>
    <s v="Online"/>
    <x v="0"/>
    <n v="39"/>
    <n v="72"/>
    <n v="2808"/>
    <n v="1488.24"/>
  </r>
  <r>
    <x v="2"/>
    <n v="1185732"/>
    <x v="325"/>
    <x v="3"/>
    <s v="Kentucky"/>
    <s v="Louisville"/>
    <s v="Online"/>
    <x v="1"/>
    <n v="59"/>
    <n v="53"/>
    <n v="3127"/>
    <n v="1626.04"/>
  </r>
  <r>
    <x v="2"/>
    <n v="1185732"/>
    <x v="325"/>
    <x v="3"/>
    <s v="Kentucky"/>
    <s v="Louisville"/>
    <s v="Online"/>
    <x v="5"/>
    <n v="52"/>
    <n v="52"/>
    <n v="2704"/>
    <n v="1352"/>
  </r>
  <r>
    <x v="4"/>
    <n v="1185732"/>
    <x v="325"/>
    <x v="3"/>
    <s v="Kentucky"/>
    <s v="Louisville"/>
    <s v="Online"/>
    <x v="3"/>
    <n v="41"/>
    <n v="57"/>
    <n v="2337"/>
    <n v="1145.1299999999999"/>
  </r>
  <r>
    <x v="4"/>
    <n v="1185732"/>
    <x v="325"/>
    <x v="3"/>
    <s v="Kentucky"/>
    <s v="Louisville"/>
    <s v="Online"/>
    <x v="4"/>
    <n v="48"/>
    <n v="123"/>
    <n v="5904"/>
    <n v="2833.92"/>
  </r>
  <r>
    <x v="2"/>
    <n v="1185732"/>
    <x v="325"/>
    <x v="3"/>
    <s v="Kentucky"/>
    <s v="Louisville"/>
    <s v="Online"/>
    <x v="2"/>
    <n v="66"/>
    <n v="80"/>
    <n v="5280"/>
    <n v="2428.7999999999997"/>
  </r>
  <r>
    <x v="2"/>
    <n v="1128299"/>
    <x v="326"/>
    <x v="0"/>
    <s v="Arizona"/>
    <s v="Phoenix"/>
    <s v="Online"/>
    <x v="2"/>
    <n v="60.000000000000007"/>
    <n v="425"/>
    <n v="25500.000000000004"/>
    <n v="19125.000000000004"/>
  </r>
  <r>
    <x v="2"/>
    <n v="1128299"/>
    <x v="326"/>
    <x v="0"/>
    <s v="Arizona"/>
    <s v="Phoenix"/>
    <s v="Online"/>
    <x v="1"/>
    <n v="55.000000000000007"/>
    <n v="300"/>
    <n v="16500.000000000004"/>
    <n v="11550.000000000004"/>
  </r>
  <r>
    <x v="2"/>
    <n v="1128299"/>
    <x v="326"/>
    <x v="0"/>
    <s v="Arizona"/>
    <s v="Phoenix"/>
    <s v="Online"/>
    <x v="3"/>
    <n v="45.000000000000007"/>
    <n v="375"/>
    <n v="16875.000000000004"/>
    <n v="10968.750000000004"/>
  </r>
  <r>
    <x v="2"/>
    <n v="1128299"/>
    <x v="326"/>
    <x v="0"/>
    <s v="Arizona"/>
    <s v="Phoenix"/>
    <s v="Online"/>
    <x v="5"/>
    <n v="45.000000000000007"/>
    <n v="350"/>
    <n v="15750.000000000002"/>
    <n v="10237.500000000004"/>
  </r>
  <r>
    <x v="2"/>
    <n v="1128299"/>
    <x v="326"/>
    <x v="0"/>
    <s v="Arizona"/>
    <s v="Phoenix"/>
    <s v="Online"/>
    <x v="4"/>
    <n v="45.000000000000007"/>
    <n v="500"/>
    <n v="22500.000000000004"/>
    <n v="14625.000000000004"/>
  </r>
  <r>
    <x v="2"/>
    <n v="1185732"/>
    <x v="326"/>
    <x v="4"/>
    <s v="Pennsylvania"/>
    <s v="Philadelphia"/>
    <s v="Outlet"/>
    <x v="3"/>
    <n v="55.000000000000007"/>
    <n v="175"/>
    <n v="9625.0000000000018"/>
    <n v="5775.0000000000018"/>
  </r>
  <r>
    <x v="2"/>
    <n v="1128299"/>
    <x v="326"/>
    <x v="0"/>
    <s v="Arizona"/>
    <s v="Phoenix"/>
    <s v="Online"/>
    <x v="0"/>
    <n v="50.000000000000014"/>
    <n v="525"/>
    <n v="26250.000000000007"/>
    <n v="15750.000000000004"/>
  </r>
  <r>
    <x v="2"/>
    <n v="1128299"/>
    <x v="326"/>
    <x v="0"/>
    <s v="Arizona"/>
    <s v="Phoenix"/>
    <s v="Outlet"/>
    <x v="2"/>
    <n v="39"/>
    <n v="140"/>
    <n v="5460"/>
    <n v="3931.2"/>
  </r>
  <r>
    <x v="2"/>
    <n v="1128299"/>
    <x v="326"/>
    <x v="0"/>
    <s v="Arizona"/>
    <s v="Phoenix"/>
    <s v="Outlet"/>
    <x v="1"/>
    <n v="44"/>
    <n v="99"/>
    <n v="4356"/>
    <n v="2787.84"/>
  </r>
  <r>
    <x v="2"/>
    <n v="1128299"/>
    <x v="326"/>
    <x v="0"/>
    <s v="Arizona"/>
    <s v="Phoenix"/>
    <s v="Online"/>
    <x v="2"/>
    <n v="55"/>
    <n v="111"/>
    <n v="6105"/>
    <n v="3846.15"/>
  </r>
  <r>
    <x v="2"/>
    <n v="1128299"/>
    <x v="326"/>
    <x v="0"/>
    <s v="Arizona"/>
    <s v="Phoenix"/>
    <s v="Outlet"/>
    <x v="4"/>
    <n v="31"/>
    <n v="150"/>
    <n v="4650"/>
    <n v="2883"/>
  </r>
  <r>
    <x v="2"/>
    <n v="1128299"/>
    <x v="326"/>
    <x v="0"/>
    <s v="Arizona"/>
    <s v="Phoenix"/>
    <s v="Outlet"/>
    <x v="3"/>
    <n v="33"/>
    <n v="124"/>
    <n v="4092"/>
    <n v="2496.12"/>
  </r>
  <r>
    <x v="2"/>
    <n v="1128299"/>
    <x v="326"/>
    <x v="0"/>
    <s v="Arizona"/>
    <s v="Phoenix"/>
    <s v="Online"/>
    <x v="1"/>
    <n v="53"/>
    <n v="87"/>
    <n v="4611"/>
    <n v="2720.49"/>
  </r>
  <r>
    <x v="2"/>
    <n v="1128299"/>
    <x v="326"/>
    <x v="0"/>
    <s v="Arizona"/>
    <s v="Phoenix"/>
    <s v="Outlet"/>
    <x v="5"/>
    <n v="33"/>
    <n v="116"/>
    <n v="3828"/>
    <n v="2220.2399999999998"/>
  </r>
  <r>
    <x v="2"/>
    <n v="1185732"/>
    <x v="326"/>
    <x v="4"/>
    <s v="Pennsylvania"/>
    <s v="Philadelphia"/>
    <s v="Outlet"/>
    <x v="3"/>
    <n v="42"/>
    <n v="54"/>
    <n v="2268"/>
    <n v="1292.7600000000002"/>
  </r>
  <r>
    <x v="2"/>
    <n v="1128299"/>
    <x v="326"/>
    <x v="0"/>
    <s v="Arizona"/>
    <s v="Phoenix"/>
    <s v="Online"/>
    <x v="3"/>
    <n v="44"/>
    <n v="105"/>
    <n v="4620"/>
    <n v="2494.8000000000002"/>
  </r>
  <r>
    <x v="2"/>
    <n v="1128299"/>
    <x v="326"/>
    <x v="0"/>
    <s v="Arizona"/>
    <s v="Phoenix"/>
    <s v="Online"/>
    <x v="4"/>
    <n v="42"/>
    <n v="135"/>
    <n v="5670"/>
    <n v="3005.1000000000004"/>
  </r>
  <r>
    <x v="2"/>
    <n v="1128299"/>
    <x v="326"/>
    <x v="0"/>
    <s v="Arizona"/>
    <s v="Phoenix"/>
    <s v="Online"/>
    <x v="5"/>
    <n v="42"/>
    <n v="98"/>
    <n v="4116"/>
    <n v="2181.48"/>
  </r>
  <r>
    <x v="2"/>
    <n v="1128299"/>
    <x v="326"/>
    <x v="0"/>
    <s v="Arizona"/>
    <s v="Phoenix"/>
    <s v="Outlet"/>
    <x v="0"/>
    <n v="38"/>
    <n v="163"/>
    <n v="6194"/>
    <n v="3282.8199999999997"/>
  </r>
  <r>
    <x v="2"/>
    <n v="1185732"/>
    <x v="326"/>
    <x v="4"/>
    <s v="Pennsylvania"/>
    <s v="Philadelphia"/>
    <s v="Online"/>
    <x v="3"/>
    <n v="52"/>
    <n v="44"/>
    <n v="2288"/>
    <n v="1144"/>
  </r>
  <r>
    <x v="2"/>
    <n v="1128299"/>
    <x v="326"/>
    <x v="0"/>
    <s v="Arizona"/>
    <s v="Phoenix"/>
    <s v="Online"/>
    <x v="0"/>
    <n v="46"/>
    <n v="147"/>
    <n v="6762"/>
    <n v="3245.7599999999998"/>
  </r>
  <r>
    <x v="2"/>
    <n v="1128299"/>
    <x v="327"/>
    <x v="3"/>
    <s v="Virginia"/>
    <s v="Richmond"/>
    <s v="In-store"/>
    <x v="2"/>
    <n v="80.000000000000014"/>
    <n v="550"/>
    <n v="44000.000000000007"/>
    <n v="30800.000000000007"/>
  </r>
  <r>
    <x v="0"/>
    <n v="1128299"/>
    <x v="327"/>
    <x v="0"/>
    <s v="Oregon"/>
    <s v="Portland"/>
    <s v="In-store"/>
    <x v="2"/>
    <n v="80.000000000000014"/>
    <n v="550"/>
    <n v="44000.000000000007"/>
    <n v="30800.000000000007"/>
  </r>
  <r>
    <x v="2"/>
    <n v="1128299"/>
    <x v="327"/>
    <x v="3"/>
    <s v="Virginia"/>
    <s v="Richmond"/>
    <s v="In-store"/>
    <x v="0"/>
    <n v="50.000000000000014"/>
    <n v="650"/>
    <n v="32500.000000000011"/>
    <n v="21125.000000000007"/>
  </r>
  <r>
    <x v="2"/>
    <n v="1128299"/>
    <x v="327"/>
    <x v="3"/>
    <s v="Virginia"/>
    <s v="Richmond"/>
    <s v="In-store"/>
    <x v="5"/>
    <n v="55.000000000000014"/>
    <n v="450"/>
    <n v="24750.000000000007"/>
    <n v="16087.500000000005"/>
  </r>
  <r>
    <x v="0"/>
    <n v="1128299"/>
    <x v="327"/>
    <x v="0"/>
    <s v="Oregon"/>
    <s v="Portland"/>
    <s v="In-store"/>
    <x v="0"/>
    <n v="50.000000000000014"/>
    <n v="650"/>
    <n v="32500.000000000011"/>
    <n v="21125.000000000007"/>
  </r>
  <r>
    <x v="0"/>
    <n v="1128299"/>
    <x v="327"/>
    <x v="0"/>
    <s v="Oregon"/>
    <s v="Portland"/>
    <s v="In-store"/>
    <x v="5"/>
    <n v="55.000000000000014"/>
    <n v="450"/>
    <n v="24750.000000000007"/>
    <n v="16087.500000000005"/>
  </r>
  <r>
    <x v="2"/>
    <n v="1128299"/>
    <x v="327"/>
    <x v="3"/>
    <s v="Virginia"/>
    <s v="Richmond"/>
    <s v="In-store"/>
    <x v="4"/>
    <n v="45.000000000000007"/>
    <n v="575"/>
    <n v="25875.000000000004"/>
    <n v="16818.750000000004"/>
  </r>
  <r>
    <x v="2"/>
    <n v="1128299"/>
    <x v="327"/>
    <x v="3"/>
    <s v="Virginia"/>
    <s v="Richmond"/>
    <s v="In-store"/>
    <x v="3"/>
    <n v="45.000000000000007"/>
    <n v="475"/>
    <n v="21375.000000000004"/>
    <n v="13893.750000000004"/>
  </r>
  <r>
    <x v="0"/>
    <n v="1128299"/>
    <x v="327"/>
    <x v="0"/>
    <s v="Oregon"/>
    <s v="Portland"/>
    <s v="In-store"/>
    <x v="4"/>
    <n v="45.000000000000007"/>
    <n v="575"/>
    <n v="25875.000000000004"/>
    <n v="16818.750000000004"/>
  </r>
  <r>
    <x v="0"/>
    <n v="1128299"/>
    <x v="327"/>
    <x v="0"/>
    <s v="Oregon"/>
    <s v="Portland"/>
    <s v="In-store"/>
    <x v="3"/>
    <n v="45.000000000000007"/>
    <n v="475"/>
    <n v="21375.000000000004"/>
    <n v="13893.750000000004"/>
  </r>
  <r>
    <x v="2"/>
    <n v="1185732"/>
    <x v="327"/>
    <x v="4"/>
    <s v="Pennsylvania"/>
    <s v="Philadelphia"/>
    <s v="Outlet"/>
    <x v="5"/>
    <n v="55.000000000000007"/>
    <n v="150"/>
    <n v="8250.0000000000018"/>
    <n v="4950.0000000000018"/>
  </r>
  <r>
    <x v="2"/>
    <n v="1128299"/>
    <x v="327"/>
    <x v="3"/>
    <s v="Virginia"/>
    <s v="Richmond"/>
    <s v="In-store"/>
    <x v="1"/>
    <n v="75.000000000000014"/>
    <n v="425"/>
    <n v="31875.000000000007"/>
    <n v="19125.000000000004"/>
  </r>
  <r>
    <x v="0"/>
    <n v="1128299"/>
    <x v="327"/>
    <x v="0"/>
    <s v="Oregon"/>
    <s v="Portland"/>
    <s v="In-store"/>
    <x v="1"/>
    <n v="75.000000000000014"/>
    <n v="425"/>
    <n v="31875.000000000007"/>
    <n v="19125.000000000004"/>
  </r>
  <r>
    <x v="2"/>
    <n v="1128299"/>
    <x v="327"/>
    <x v="3"/>
    <s v="Virginia"/>
    <s v="Richmond"/>
    <s v="Outlet"/>
    <x v="2"/>
    <n v="60"/>
    <n v="176"/>
    <n v="10560"/>
    <n v="7075.2000000000007"/>
  </r>
  <r>
    <x v="0"/>
    <n v="1128299"/>
    <x v="327"/>
    <x v="0"/>
    <s v="Oregon"/>
    <s v="Portland"/>
    <s v="Outlet"/>
    <x v="2"/>
    <n v="53"/>
    <n v="165"/>
    <n v="8745"/>
    <n v="5509.35"/>
  </r>
  <r>
    <x v="0"/>
    <n v="1128299"/>
    <x v="327"/>
    <x v="0"/>
    <s v="Oregon"/>
    <s v="Portland"/>
    <s v="Outlet"/>
    <x v="4"/>
    <n v="34"/>
    <n v="190"/>
    <n v="6460"/>
    <n v="4069.8"/>
  </r>
  <r>
    <x v="2"/>
    <n v="1128299"/>
    <x v="327"/>
    <x v="3"/>
    <s v="Virginia"/>
    <s v="Richmond"/>
    <s v="Outlet"/>
    <x v="0"/>
    <n v="34"/>
    <n v="221"/>
    <n v="7514"/>
    <n v="4733.82"/>
  </r>
  <r>
    <x v="2"/>
    <n v="1128299"/>
    <x v="327"/>
    <x v="3"/>
    <s v="Virginia"/>
    <s v="Richmond"/>
    <s v="Outlet"/>
    <x v="3"/>
    <n v="33"/>
    <n v="143"/>
    <n v="4719"/>
    <n v="2878.59"/>
  </r>
  <r>
    <x v="2"/>
    <n v="1128299"/>
    <x v="327"/>
    <x v="3"/>
    <s v="Virginia"/>
    <s v="Richmond"/>
    <s v="Outlet"/>
    <x v="5"/>
    <n v="36"/>
    <n v="144"/>
    <n v="5184"/>
    <n v="3162.2400000000002"/>
  </r>
  <r>
    <x v="0"/>
    <n v="1128299"/>
    <x v="327"/>
    <x v="0"/>
    <s v="Oregon"/>
    <s v="Portland"/>
    <s v="Outlet"/>
    <x v="0"/>
    <n v="37"/>
    <n v="202"/>
    <n v="7474"/>
    <n v="4559.1400000000003"/>
  </r>
  <r>
    <x v="2"/>
    <n v="1128299"/>
    <x v="327"/>
    <x v="3"/>
    <s v="Virginia"/>
    <s v="Richmond"/>
    <s v="Online"/>
    <x v="2"/>
    <n v="74"/>
    <n v="149"/>
    <n v="11026"/>
    <n v="6615.5999999999995"/>
  </r>
  <r>
    <x v="0"/>
    <n v="1128299"/>
    <x v="327"/>
    <x v="0"/>
    <s v="Oregon"/>
    <s v="Portland"/>
    <s v="Outlet"/>
    <x v="5"/>
    <n v="39"/>
    <n v="149"/>
    <n v="5811"/>
    <n v="3428.4900000000002"/>
  </r>
  <r>
    <x v="0"/>
    <n v="1128299"/>
    <x v="327"/>
    <x v="0"/>
    <s v="Oregon"/>
    <s v="Portland"/>
    <s v="Online"/>
    <x v="2"/>
    <n v="76"/>
    <n v="149"/>
    <n v="11324"/>
    <n v="6567.92"/>
  </r>
  <r>
    <x v="2"/>
    <n v="1128299"/>
    <x v="327"/>
    <x v="3"/>
    <s v="Virginia"/>
    <s v="Richmond"/>
    <s v="Outlet"/>
    <x v="4"/>
    <n v="34"/>
    <n v="173"/>
    <n v="5882"/>
    <n v="3411.56"/>
  </r>
  <r>
    <x v="0"/>
    <n v="1128299"/>
    <x v="327"/>
    <x v="0"/>
    <s v="Oregon"/>
    <s v="Portland"/>
    <s v="Outlet"/>
    <x v="3"/>
    <n v="32"/>
    <n v="152"/>
    <n v="4864"/>
    <n v="2821.12"/>
  </r>
  <r>
    <x v="2"/>
    <n v="1128299"/>
    <x v="327"/>
    <x v="3"/>
    <s v="Virginia"/>
    <s v="Richmond"/>
    <s v="Outlet"/>
    <x v="1"/>
    <n v="56"/>
    <n v="136"/>
    <n v="7616"/>
    <n v="4264.96"/>
  </r>
  <r>
    <x v="0"/>
    <n v="1128299"/>
    <x v="327"/>
    <x v="0"/>
    <s v="Oregon"/>
    <s v="Portland"/>
    <s v="Online"/>
    <x v="4"/>
    <n v="44"/>
    <n v="173"/>
    <n v="7612"/>
    <n v="4110.4800000000005"/>
  </r>
  <r>
    <x v="0"/>
    <n v="1128299"/>
    <x v="327"/>
    <x v="0"/>
    <s v="Oregon"/>
    <s v="Portland"/>
    <s v="Online"/>
    <x v="5"/>
    <n v="51"/>
    <n v="131"/>
    <n v="6681"/>
    <n v="3607.7400000000002"/>
  </r>
  <r>
    <x v="0"/>
    <n v="1128299"/>
    <x v="327"/>
    <x v="0"/>
    <s v="Oregon"/>
    <s v="Portland"/>
    <s v="Outlet"/>
    <x v="1"/>
    <n v="50"/>
    <n v="145"/>
    <n v="7250"/>
    <n v="3915"/>
  </r>
  <r>
    <x v="2"/>
    <n v="1128299"/>
    <x v="327"/>
    <x v="3"/>
    <s v="Virginia"/>
    <s v="Richmond"/>
    <s v="Online"/>
    <x v="4"/>
    <n v="42"/>
    <n v="155"/>
    <n v="6510"/>
    <n v="3450.3"/>
  </r>
  <r>
    <x v="2"/>
    <n v="1185732"/>
    <x v="327"/>
    <x v="4"/>
    <s v="Pennsylvania"/>
    <s v="Philadelphia"/>
    <s v="Outlet"/>
    <x v="5"/>
    <n v="43"/>
    <n v="53"/>
    <n v="2279"/>
    <n v="1207.8700000000001"/>
  </r>
  <r>
    <x v="2"/>
    <n v="1128299"/>
    <x v="327"/>
    <x v="3"/>
    <s v="Virginia"/>
    <s v="Richmond"/>
    <s v="Online"/>
    <x v="3"/>
    <n v="43"/>
    <n v="138"/>
    <n v="5934"/>
    <n v="3085.6800000000003"/>
  </r>
  <r>
    <x v="2"/>
    <n v="1128299"/>
    <x v="327"/>
    <x v="3"/>
    <s v="Virginia"/>
    <s v="Richmond"/>
    <s v="Online"/>
    <x v="5"/>
    <n v="52"/>
    <n v="113"/>
    <n v="5876"/>
    <n v="3055.52"/>
  </r>
  <r>
    <x v="2"/>
    <n v="1128299"/>
    <x v="327"/>
    <x v="3"/>
    <s v="Virginia"/>
    <s v="Richmond"/>
    <s v="Online"/>
    <x v="0"/>
    <n v="47"/>
    <n v="169"/>
    <n v="7943"/>
    <n v="4050.9300000000003"/>
  </r>
  <r>
    <x v="0"/>
    <n v="1128299"/>
    <x v="327"/>
    <x v="0"/>
    <s v="Oregon"/>
    <s v="Portland"/>
    <s v="Online"/>
    <x v="0"/>
    <n v="48"/>
    <n v="195"/>
    <n v="9360"/>
    <n v="4680"/>
  </r>
  <r>
    <x v="0"/>
    <n v="1128299"/>
    <x v="327"/>
    <x v="0"/>
    <s v="Oregon"/>
    <s v="Portland"/>
    <s v="Online"/>
    <x v="3"/>
    <n v="42"/>
    <n v="128"/>
    <n v="5376"/>
    <n v="2688"/>
  </r>
  <r>
    <x v="2"/>
    <n v="1185732"/>
    <x v="327"/>
    <x v="4"/>
    <s v="Pennsylvania"/>
    <s v="Philadelphia"/>
    <s v="Online"/>
    <x v="5"/>
    <n v="52"/>
    <n v="39"/>
    <n v="2028"/>
    <n v="953.15999999999985"/>
  </r>
  <r>
    <x v="0"/>
    <n v="1128299"/>
    <x v="327"/>
    <x v="0"/>
    <s v="Oregon"/>
    <s v="Portland"/>
    <s v="Online"/>
    <x v="1"/>
    <n v="68"/>
    <n v="111"/>
    <n v="7548"/>
    <n v="3472.08"/>
  </r>
  <r>
    <x v="2"/>
    <n v="1128299"/>
    <x v="327"/>
    <x v="3"/>
    <s v="Virginia"/>
    <s v="Richmond"/>
    <s v="Online"/>
    <x v="1"/>
    <n v="73"/>
    <n v="111"/>
    <n v="8103"/>
    <n v="3646.3499999999995"/>
  </r>
  <r>
    <x v="2"/>
    <n v="1185732"/>
    <x v="328"/>
    <x v="4"/>
    <s v="Pennsylvania"/>
    <s v="Philadelphia"/>
    <s v="Outlet"/>
    <x v="1"/>
    <n v="65"/>
    <n v="150"/>
    <n v="9750"/>
    <n v="6337.5"/>
  </r>
  <r>
    <x v="2"/>
    <n v="1185732"/>
    <x v="328"/>
    <x v="4"/>
    <s v="Pennsylvania"/>
    <s v="Philadelphia"/>
    <s v="Outlet"/>
    <x v="1"/>
    <n v="43"/>
    <n v="48"/>
    <n v="2064"/>
    <n v="1197.1199999999999"/>
  </r>
  <r>
    <x v="2"/>
    <n v="1185732"/>
    <x v="328"/>
    <x v="4"/>
    <s v="Pennsylvania"/>
    <s v="Philadelphia"/>
    <s v="Online"/>
    <x v="1"/>
    <n v="60"/>
    <n v="45"/>
    <n v="2700"/>
    <n v="1458"/>
  </r>
  <r>
    <x v="1"/>
    <n v="1128299"/>
    <x v="329"/>
    <x v="0"/>
    <s v="New Mexico"/>
    <s v="Albuquerque"/>
    <s v="Online"/>
    <x v="2"/>
    <n v="75.000000000000014"/>
    <n v="500"/>
    <n v="37500.000000000007"/>
    <n v="28125.000000000007"/>
  </r>
  <r>
    <x v="2"/>
    <n v="1185732"/>
    <x v="329"/>
    <x v="4"/>
    <s v="Pennsylvania"/>
    <s v="Philadelphia"/>
    <s v="Outlet"/>
    <x v="2"/>
    <n v="70"/>
    <n v="300"/>
    <n v="21000"/>
    <n v="14700"/>
  </r>
  <r>
    <x v="1"/>
    <n v="1128299"/>
    <x v="329"/>
    <x v="0"/>
    <s v="New Mexico"/>
    <s v="Albuquerque"/>
    <s v="Online"/>
    <x v="1"/>
    <n v="70"/>
    <n v="375"/>
    <n v="26250"/>
    <n v="18375"/>
  </r>
  <r>
    <x v="1"/>
    <n v="1128299"/>
    <x v="329"/>
    <x v="0"/>
    <s v="New Mexico"/>
    <s v="Albuquerque"/>
    <s v="Online"/>
    <x v="3"/>
    <n v="60.000000000000007"/>
    <n v="450"/>
    <n v="27000.000000000004"/>
    <n v="17550.000000000007"/>
  </r>
  <r>
    <x v="1"/>
    <n v="1128299"/>
    <x v="329"/>
    <x v="0"/>
    <s v="New Mexico"/>
    <s v="Albuquerque"/>
    <s v="Online"/>
    <x v="4"/>
    <n v="60.000000000000007"/>
    <n v="550"/>
    <n v="33000.000000000007"/>
    <n v="21450.000000000007"/>
  </r>
  <r>
    <x v="1"/>
    <n v="1128299"/>
    <x v="329"/>
    <x v="0"/>
    <s v="New Mexico"/>
    <s v="Albuquerque"/>
    <s v="Online"/>
    <x v="5"/>
    <n v="60.000000000000007"/>
    <n v="425"/>
    <n v="25500.000000000004"/>
    <n v="16575.000000000004"/>
  </r>
  <r>
    <x v="1"/>
    <n v="1128299"/>
    <x v="329"/>
    <x v="0"/>
    <s v="New Mexico"/>
    <s v="Albuquerque"/>
    <s v="Online"/>
    <x v="0"/>
    <n v="65.000000000000014"/>
    <n v="600"/>
    <n v="39000.000000000007"/>
    <n v="23400.000000000004"/>
  </r>
  <r>
    <x v="1"/>
    <n v="1128299"/>
    <x v="329"/>
    <x v="0"/>
    <s v="New Mexico"/>
    <s v="Albuquerque"/>
    <s v="Outlet"/>
    <x v="2"/>
    <n v="56"/>
    <n v="170"/>
    <n v="9520"/>
    <n v="6664"/>
  </r>
  <r>
    <x v="2"/>
    <n v="1185732"/>
    <x v="329"/>
    <x v="4"/>
    <s v="Pennsylvania"/>
    <s v="Philadelphia"/>
    <s v="Outlet"/>
    <x v="2"/>
    <n v="52"/>
    <n v="105"/>
    <n v="5460"/>
    <n v="3549"/>
  </r>
  <r>
    <x v="1"/>
    <n v="1128299"/>
    <x v="329"/>
    <x v="0"/>
    <s v="New Mexico"/>
    <s v="Albuquerque"/>
    <s v="Outlet"/>
    <x v="3"/>
    <n v="46"/>
    <n v="149"/>
    <n v="6854"/>
    <n v="4318.0200000000004"/>
  </r>
  <r>
    <x v="1"/>
    <n v="1128299"/>
    <x v="329"/>
    <x v="0"/>
    <s v="New Mexico"/>
    <s v="Albuquerque"/>
    <s v="Outlet"/>
    <x v="1"/>
    <n v="54"/>
    <n v="131"/>
    <n v="7074"/>
    <n v="4456.62"/>
  </r>
  <r>
    <x v="1"/>
    <n v="1128299"/>
    <x v="329"/>
    <x v="0"/>
    <s v="New Mexico"/>
    <s v="Albuquerque"/>
    <s v="Online"/>
    <x v="2"/>
    <n v="72"/>
    <n v="140"/>
    <n v="10080"/>
    <n v="6148.7999999999993"/>
  </r>
  <r>
    <x v="1"/>
    <n v="1128299"/>
    <x v="329"/>
    <x v="0"/>
    <s v="New Mexico"/>
    <s v="Albuquerque"/>
    <s v="Outlet"/>
    <x v="4"/>
    <n v="47"/>
    <n v="176"/>
    <n v="8272"/>
    <n v="4880.4799999999996"/>
  </r>
  <r>
    <x v="1"/>
    <n v="1128299"/>
    <x v="329"/>
    <x v="0"/>
    <s v="New Mexico"/>
    <s v="Albuquerque"/>
    <s v="Outlet"/>
    <x v="5"/>
    <n v="40"/>
    <n v="136"/>
    <n v="5440"/>
    <n v="3209.6"/>
  </r>
  <r>
    <x v="2"/>
    <n v="1185732"/>
    <x v="329"/>
    <x v="4"/>
    <s v="Pennsylvania"/>
    <s v="Philadelphia"/>
    <s v="Online"/>
    <x v="2"/>
    <n v="65"/>
    <n v="81"/>
    <n v="5265"/>
    <n v="3053.7000000000003"/>
  </r>
  <r>
    <x v="1"/>
    <n v="1128299"/>
    <x v="329"/>
    <x v="0"/>
    <s v="New Mexico"/>
    <s v="Albuquerque"/>
    <s v="Outlet"/>
    <x v="0"/>
    <n v="44"/>
    <n v="180"/>
    <n v="7920"/>
    <n v="4514.3999999999996"/>
  </r>
  <r>
    <x v="1"/>
    <n v="1128299"/>
    <x v="329"/>
    <x v="0"/>
    <s v="New Mexico"/>
    <s v="Albuquerque"/>
    <s v="Online"/>
    <x v="1"/>
    <n v="65"/>
    <n v="113"/>
    <n v="7345"/>
    <n v="4113.2"/>
  </r>
  <r>
    <x v="1"/>
    <n v="1128299"/>
    <x v="329"/>
    <x v="0"/>
    <s v="New Mexico"/>
    <s v="Albuquerque"/>
    <s v="Online"/>
    <x v="5"/>
    <n v="55"/>
    <n v="115"/>
    <n v="6325"/>
    <n v="3352.25"/>
  </r>
  <r>
    <x v="1"/>
    <n v="1128299"/>
    <x v="329"/>
    <x v="0"/>
    <s v="New Mexico"/>
    <s v="Albuquerque"/>
    <s v="Online"/>
    <x v="3"/>
    <n v="54"/>
    <n v="117"/>
    <n v="6318"/>
    <n v="3285.36"/>
  </r>
  <r>
    <x v="1"/>
    <n v="1128299"/>
    <x v="329"/>
    <x v="0"/>
    <s v="New Mexico"/>
    <s v="Albuquerque"/>
    <s v="Online"/>
    <x v="4"/>
    <n v="58"/>
    <n v="160"/>
    <n v="9280"/>
    <n v="4732.8"/>
  </r>
  <r>
    <x v="1"/>
    <n v="1128299"/>
    <x v="329"/>
    <x v="0"/>
    <s v="New Mexico"/>
    <s v="Albuquerque"/>
    <s v="Online"/>
    <x v="0"/>
    <n v="59"/>
    <n v="150"/>
    <n v="8850"/>
    <n v="4071"/>
  </r>
  <r>
    <x v="2"/>
    <n v="1185732"/>
    <x v="330"/>
    <x v="4"/>
    <s v="Pennsylvania"/>
    <s v="Philadelphia"/>
    <s v="Outlet"/>
    <x v="4"/>
    <n v="65"/>
    <n v="500"/>
    <n v="32500"/>
    <n v="14625"/>
  </r>
  <r>
    <x v="2"/>
    <n v="1185732"/>
    <x v="330"/>
    <x v="4"/>
    <s v="Pennsylvania"/>
    <s v="Philadelphia"/>
    <s v="Outlet"/>
    <x v="4"/>
    <n v="49"/>
    <n v="175"/>
    <n v="8575"/>
    <n v="3687.2499999999991"/>
  </r>
  <r>
    <x v="2"/>
    <n v="1185732"/>
    <x v="330"/>
    <x v="4"/>
    <s v="Pennsylvania"/>
    <s v="Philadelphia"/>
    <s v="Online"/>
    <x v="4"/>
    <n v="60"/>
    <n v="145"/>
    <n v="8700"/>
    <n v="2871"/>
  </r>
  <r>
    <x v="2"/>
    <n v="1185732"/>
    <x v="331"/>
    <x v="4"/>
    <s v="Pennsylvania"/>
    <s v="Philadelphia"/>
    <s v="Outlet"/>
    <x v="0"/>
    <n v="60.000000000000007"/>
    <n v="300"/>
    <n v="18000.000000000004"/>
    <n v="11700.000000000004"/>
  </r>
  <r>
    <x v="2"/>
    <n v="1185732"/>
    <x v="331"/>
    <x v="4"/>
    <s v="Pennsylvania"/>
    <s v="Philadelphia"/>
    <s v="Outlet"/>
    <x v="0"/>
    <n v="45"/>
    <n v="99"/>
    <n v="4455"/>
    <n v="2717.55"/>
  </r>
  <r>
    <x v="2"/>
    <n v="1185732"/>
    <x v="331"/>
    <x v="4"/>
    <s v="Pennsylvania"/>
    <s v="Philadelphia"/>
    <s v="Online"/>
    <x v="0"/>
    <n v="55"/>
    <n v="90"/>
    <n v="4950"/>
    <n v="2475"/>
  </r>
  <r>
    <x v="2"/>
    <n v="1185732"/>
    <x v="332"/>
    <x v="4"/>
    <s v="Pennsylvania"/>
    <s v="Philadelphia"/>
    <s v="Outlet"/>
    <x v="3"/>
    <n v="55.000000000000007"/>
    <n v="225"/>
    <n v="12375.000000000002"/>
    <n v="7425.0000000000018"/>
  </r>
  <r>
    <x v="2"/>
    <n v="1185732"/>
    <x v="332"/>
    <x v="4"/>
    <s v="Pennsylvania"/>
    <s v="Philadelphia"/>
    <s v="Outlet"/>
    <x v="3"/>
    <n v="43"/>
    <n v="72"/>
    <n v="3096"/>
    <n v="1764.7200000000003"/>
  </r>
  <r>
    <x v="2"/>
    <n v="1185732"/>
    <x v="332"/>
    <x v="4"/>
    <s v="Pennsylvania"/>
    <s v="Philadelphia"/>
    <s v="Online"/>
    <x v="3"/>
    <n v="51"/>
    <n v="59"/>
    <n v="3009"/>
    <n v="1504.5"/>
  </r>
  <r>
    <x v="2"/>
    <n v="1185732"/>
    <x v="333"/>
    <x v="4"/>
    <s v="Pennsylvania"/>
    <s v="Philadelphia"/>
    <s v="Outlet"/>
    <x v="5"/>
    <n v="55.000000000000007"/>
    <n v="175"/>
    <n v="9625.0000000000018"/>
    <n v="5775.0000000000018"/>
  </r>
  <r>
    <x v="2"/>
    <n v="1185732"/>
    <x v="333"/>
    <x v="4"/>
    <s v="Pennsylvania"/>
    <s v="Philadelphia"/>
    <s v="Outlet"/>
    <x v="5"/>
    <n v="39"/>
    <n v="56"/>
    <n v="2184"/>
    <n v="1157.52"/>
  </r>
  <r>
    <x v="2"/>
    <n v="1185732"/>
    <x v="333"/>
    <x v="4"/>
    <s v="Pennsylvania"/>
    <s v="Philadelphia"/>
    <s v="Online"/>
    <x v="5"/>
    <n v="51"/>
    <n v="44"/>
    <n v="2244"/>
    <n v="1054.6799999999998"/>
  </r>
  <r>
    <x v="2"/>
    <n v="1185732"/>
    <x v="334"/>
    <x v="4"/>
    <s v="Pennsylvania"/>
    <s v="Philadelphia"/>
    <s v="Outlet"/>
    <x v="1"/>
    <n v="65"/>
    <n v="200"/>
    <n v="13000"/>
    <n v="8450"/>
  </r>
  <r>
    <x v="2"/>
    <n v="1185732"/>
    <x v="334"/>
    <x v="4"/>
    <s v="Pennsylvania"/>
    <s v="Philadelphia"/>
    <s v="Outlet"/>
    <x v="1"/>
    <n v="50"/>
    <n v="64"/>
    <n v="3200"/>
    <n v="1920"/>
  </r>
  <r>
    <x v="2"/>
    <n v="1185732"/>
    <x v="334"/>
    <x v="4"/>
    <s v="Pennsylvania"/>
    <s v="Philadelphia"/>
    <s v="Online"/>
    <x v="1"/>
    <n v="64"/>
    <n v="60"/>
    <n v="3840"/>
    <n v="1996.8000000000002"/>
  </r>
  <r>
    <x v="2"/>
    <n v="1185732"/>
    <x v="335"/>
    <x v="4"/>
    <s v="Pennsylvania"/>
    <s v="Philadelphia"/>
    <s v="Outlet"/>
    <x v="2"/>
    <n v="70"/>
    <n v="375"/>
    <n v="26250"/>
    <n v="18375"/>
  </r>
  <r>
    <x v="0"/>
    <n v="1185732"/>
    <x v="335"/>
    <x v="1"/>
    <s v="Wisconsin"/>
    <s v="Milwaukee"/>
    <s v="In-store"/>
    <x v="4"/>
    <n v="60"/>
    <n v="550"/>
    <n v="33000"/>
    <n v="23100"/>
  </r>
  <r>
    <x v="0"/>
    <n v="1185732"/>
    <x v="335"/>
    <x v="1"/>
    <s v="Wisconsin"/>
    <s v="Milwaukee"/>
    <s v="In-store"/>
    <x v="3"/>
    <n v="50"/>
    <n v="300"/>
    <n v="15000"/>
    <n v="10500"/>
  </r>
  <r>
    <x v="0"/>
    <n v="1185732"/>
    <x v="335"/>
    <x v="1"/>
    <s v="Wisconsin"/>
    <s v="Milwaukee"/>
    <s v="In-store"/>
    <x v="5"/>
    <n v="50"/>
    <n v="250"/>
    <n v="12500"/>
    <n v="8750"/>
  </r>
  <r>
    <x v="3"/>
    <n v="1185732"/>
    <x v="335"/>
    <x v="3"/>
    <s v="North Carolina"/>
    <s v="Charlotte"/>
    <s v="Online"/>
    <x v="0"/>
    <n v="60.000000000000007"/>
    <n v="775"/>
    <n v="46500.000000000007"/>
    <n v="30225.000000000007"/>
  </r>
  <r>
    <x v="4"/>
    <n v="1185732"/>
    <x v="335"/>
    <x v="3"/>
    <s v="North Carolina"/>
    <s v="Charlotte"/>
    <s v="Online"/>
    <x v="1"/>
    <n v="70"/>
    <n v="675"/>
    <n v="47250"/>
    <n v="30712.5"/>
  </r>
  <r>
    <x v="0"/>
    <n v="1185732"/>
    <x v="335"/>
    <x v="1"/>
    <s v="Wisconsin"/>
    <s v="Milwaukee"/>
    <s v="In-store"/>
    <x v="0"/>
    <n v="50"/>
    <n v="350"/>
    <n v="17500"/>
    <n v="11375"/>
  </r>
  <r>
    <x v="3"/>
    <n v="1185732"/>
    <x v="335"/>
    <x v="3"/>
    <s v="North Carolina"/>
    <s v="Charlotte"/>
    <s v="Online"/>
    <x v="4"/>
    <n v="70"/>
    <n v="975"/>
    <n v="68250"/>
    <n v="40950"/>
  </r>
  <r>
    <x v="4"/>
    <n v="1185732"/>
    <x v="335"/>
    <x v="3"/>
    <s v="North Carolina"/>
    <s v="Charlotte"/>
    <s v="Online"/>
    <x v="3"/>
    <n v="60.000000000000007"/>
    <n v="725"/>
    <n v="43500.000000000007"/>
    <n v="26100.000000000004"/>
  </r>
  <r>
    <x v="4"/>
    <n v="1185732"/>
    <x v="335"/>
    <x v="3"/>
    <s v="North Carolina"/>
    <s v="Charlotte"/>
    <s v="Online"/>
    <x v="5"/>
    <n v="60.000000000000007"/>
    <n v="675"/>
    <n v="40500.000000000007"/>
    <n v="24300.000000000004"/>
  </r>
  <r>
    <x v="0"/>
    <n v="1185732"/>
    <x v="335"/>
    <x v="1"/>
    <s v="Wisconsin"/>
    <s v="Milwaukee"/>
    <s v="In-store"/>
    <x v="2"/>
    <n v="64.999999999999986"/>
    <n v="350"/>
    <n v="22749.999999999996"/>
    <n v="13649.999999999995"/>
  </r>
  <r>
    <x v="4"/>
    <n v="1185732"/>
    <x v="335"/>
    <x v="3"/>
    <s v="North Carolina"/>
    <s v="Charlotte"/>
    <s v="Online"/>
    <x v="2"/>
    <n v="75"/>
    <n v="775"/>
    <n v="58125"/>
    <n v="29062.5"/>
  </r>
  <r>
    <x v="0"/>
    <n v="1185732"/>
    <x v="335"/>
    <x v="1"/>
    <s v="Wisconsin"/>
    <s v="Milwaukee"/>
    <s v="In-store"/>
    <x v="1"/>
    <n v="60"/>
    <n v="250"/>
    <n v="15000"/>
    <n v="7500"/>
  </r>
  <r>
    <x v="2"/>
    <n v="1185732"/>
    <x v="335"/>
    <x v="4"/>
    <s v="Pennsylvania"/>
    <s v="Philadelphia"/>
    <s v="Outlet"/>
    <x v="2"/>
    <n v="50"/>
    <n v="116"/>
    <n v="5800"/>
    <n v="3712"/>
  </r>
  <r>
    <x v="0"/>
    <n v="1185732"/>
    <x v="335"/>
    <x v="1"/>
    <s v="Wisconsin"/>
    <s v="Milwaukee"/>
    <s v="Online"/>
    <x v="4"/>
    <n v="58"/>
    <n v="138"/>
    <n v="8004"/>
    <n v="4722.3600000000006"/>
  </r>
  <r>
    <x v="2"/>
    <n v="1185732"/>
    <x v="335"/>
    <x v="4"/>
    <s v="Pennsylvania"/>
    <s v="Philadelphia"/>
    <s v="Online"/>
    <x v="2"/>
    <n v="64"/>
    <n v="98"/>
    <n v="6272"/>
    <n v="3637.76"/>
  </r>
  <r>
    <x v="0"/>
    <n v="1185732"/>
    <x v="335"/>
    <x v="1"/>
    <s v="Wisconsin"/>
    <s v="Milwaukee"/>
    <s v="Online"/>
    <x v="3"/>
    <n v="45"/>
    <n v="87"/>
    <n v="3915"/>
    <n v="2192.4"/>
  </r>
  <r>
    <x v="3"/>
    <n v="1185732"/>
    <x v="335"/>
    <x v="3"/>
    <s v="North Carolina"/>
    <s v="Charlotte"/>
    <s v="Online"/>
    <x v="0"/>
    <n v="55"/>
    <n v="202"/>
    <n v="11110"/>
    <n v="6110.5000000000009"/>
  </r>
  <r>
    <x v="0"/>
    <n v="1185732"/>
    <x v="335"/>
    <x v="1"/>
    <s v="Wisconsin"/>
    <s v="Milwaukee"/>
    <s v="Online"/>
    <x v="5"/>
    <n v="48"/>
    <n v="73"/>
    <n v="3504"/>
    <n v="1927.2"/>
  </r>
  <r>
    <x v="0"/>
    <n v="1185732"/>
    <x v="335"/>
    <x v="1"/>
    <s v="Wisconsin"/>
    <s v="Milwaukee"/>
    <s v="Online"/>
    <x v="0"/>
    <n v="49"/>
    <n v="102"/>
    <n v="4998"/>
    <n v="2648.94"/>
  </r>
  <r>
    <x v="4"/>
    <n v="1185732"/>
    <x v="335"/>
    <x v="3"/>
    <s v="North Carolina"/>
    <s v="Charlotte"/>
    <s v="Online"/>
    <x v="1"/>
    <n v="65"/>
    <n v="169"/>
    <n v="10985"/>
    <n v="5602.35"/>
  </r>
  <r>
    <x v="3"/>
    <n v="1185732"/>
    <x v="335"/>
    <x v="3"/>
    <s v="North Carolina"/>
    <s v="Charlotte"/>
    <s v="Online"/>
    <x v="4"/>
    <n v="64"/>
    <n v="244"/>
    <n v="15616"/>
    <n v="7651.84"/>
  </r>
  <r>
    <x v="4"/>
    <n v="1185732"/>
    <x v="335"/>
    <x v="3"/>
    <s v="North Carolina"/>
    <s v="Charlotte"/>
    <s v="Online"/>
    <x v="3"/>
    <n v="55"/>
    <n v="218"/>
    <n v="11990"/>
    <n v="5875.0999999999995"/>
  </r>
  <r>
    <x v="0"/>
    <n v="1185732"/>
    <x v="335"/>
    <x v="1"/>
    <s v="Wisconsin"/>
    <s v="Milwaukee"/>
    <s v="Online"/>
    <x v="2"/>
    <n v="59"/>
    <n v="88"/>
    <n v="5192"/>
    <n v="2492.16"/>
  </r>
  <r>
    <x v="4"/>
    <n v="1185732"/>
    <x v="335"/>
    <x v="3"/>
    <s v="North Carolina"/>
    <s v="Charlotte"/>
    <s v="Online"/>
    <x v="5"/>
    <n v="55"/>
    <n v="196"/>
    <n v="10780"/>
    <n v="4958.7999999999993"/>
  </r>
  <r>
    <x v="0"/>
    <n v="1185732"/>
    <x v="335"/>
    <x v="1"/>
    <s v="Wisconsin"/>
    <s v="Milwaukee"/>
    <s v="Online"/>
    <x v="1"/>
    <n v="57"/>
    <n v="73"/>
    <n v="4161"/>
    <n v="1664.4"/>
  </r>
  <r>
    <x v="4"/>
    <n v="1185732"/>
    <x v="335"/>
    <x v="3"/>
    <s v="North Carolina"/>
    <s v="Charlotte"/>
    <s v="Online"/>
    <x v="2"/>
    <n v="69"/>
    <n v="225"/>
    <n v="15525"/>
    <n v="5433.75"/>
  </r>
  <r>
    <x v="2"/>
    <n v="1185732"/>
    <x v="336"/>
    <x v="4"/>
    <s v="Connecticut"/>
    <s v="Hartford"/>
    <s v="In-store"/>
    <x v="3"/>
    <n v="55.000000000000007"/>
    <n v="350"/>
    <n v="19250.000000000004"/>
    <n v="13475.000000000004"/>
  </r>
  <r>
    <x v="2"/>
    <n v="1185732"/>
    <x v="336"/>
    <x v="4"/>
    <s v="Connecticut"/>
    <s v="Hartford"/>
    <s v="In-store"/>
    <x v="5"/>
    <n v="55.000000000000007"/>
    <n v="300"/>
    <n v="16500.000000000004"/>
    <n v="11550.000000000004"/>
  </r>
  <r>
    <x v="2"/>
    <n v="1185732"/>
    <x v="336"/>
    <x v="4"/>
    <s v="Connecticut"/>
    <s v="Hartford"/>
    <s v="In-store"/>
    <x v="1"/>
    <n v="65"/>
    <n v="300"/>
    <n v="19500"/>
    <n v="13650"/>
  </r>
  <r>
    <x v="2"/>
    <n v="1185732"/>
    <x v="336"/>
    <x v="4"/>
    <s v="Connecticut"/>
    <s v="Hartford"/>
    <s v="In-store"/>
    <x v="2"/>
    <n v="70"/>
    <n v="400"/>
    <n v="28000"/>
    <n v="18200"/>
  </r>
  <r>
    <x v="2"/>
    <n v="1185732"/>
    <x v="336"/>
    <x v="4"/>
    <s v="Connecticut"/>
    <s v="Hartford"/>
    <s v="In-store"/>
    <x v="4"/>
    <n v="65"/>
    <n v="575"/>
    <n v="37375"/>
    <n v="22425"/>
  </r>
  <r>
    <x v="2"/>
    <n v="1185732"/>
    <x v="336"/>
    <x v="4"/>
    <s v="Connecticut"/>
    <s v="Hartford"/>
    <s v="In-store"/>
    <x v="0"/>
    <n v="55.000000000000007"/>
    <n v="375"/>
    <n v="20625.000000000004"/>
    <n v="12375.000000000002"/>
  </r>
  <r>
    <x v="2"/>
    <n v="1185732"/>
    <x v="336"/>
    <x v="4"/>
    <s v="Pennsylvania"/>
    <s v="Philadelphia"/>
    <s v="Outlet"/>
    <x v="4"/>
    <n v="65"/>
    <n v="525"/>
    <n v="34125"/>
    <n v="15356.249999999996"/>
  </r>
  <r>
    <x v="2"/>
    <n v="1185732"/>
    <x v="336"/>
    <x v="4"/>
    <s v="Connecticut"/>
    <s v="Hartford"/>
    <s v="Outlet"/>
    <x v="3"/>
    <n v="43"/>
    <n v="116"/>
    <n v="4988"/>
    <n v="3341.96"/>
  </r>
  <r>
    <x v="2"/>
    <n v="1185732"/>
    <x v="336"/>
    <x v="4"/>
    <s v="Connecticut"/>
    <s v="Hartford"/>
    <s v="Outlet"/>
    <x v="5"/>
    <n v="38"/>
    <n v="96"/>
    <n v="3648"/>
    <n v="2371.1999999999998"/>
  </r>
  <r>
    <x v="2"/>
    <n v="1185732"/>
    <x v="336"/>
    <x v="4"/>
    <s v="Connecticut"/>
    <s v="Hartford"/>
    <s v="Outlet"/>
    <x v="1"/>
    <n v="42"/>
    <n v="99"/>
    <n v="4158"/>
    <n v="2702.7"/>
  </r>
  <r>
    <x v="2"/>
    <n v="1185732"/>
    <x v="336"/>
    <x v="4"/>
    <s v="Connecticut"/>
    <s v="Hartford"/>
    <s v="Outlet"/>
    <x v="2"/>
    <n v="52"/>
    <n v="120"/>
    <n v="6240"/>
    <n v="3931.2"/>
  </r>
  <r>
    <x v="2"/>
    <n v="1185732"/>
    <x v="336"/>
    <x v="4"/>
    <s v="Connecticut"/>
    <s v="Hartford"/>
    <s v="Online"/>
    <x v="5"/>
    <n v="53"/>
    <n v="87"/>
    <n v="4611"/>
    <n v="2674.38"/>
  </r>
  <r>
    <x v="2"/>
    <n v="1185732"/>
    <x v="336"/>
    <x v="4"/>
    <s v="Connecticut"/>
    <s v="Hartford"/>
    <s v="Outlet"/>
    <x v="4"/>
    <n v="45"/>
    <n v="173"/>
    <n v="7785"/>
    <n v="4515.2999999999993"/>
  </r>
  <r>
    <x v="2"/>
    <n v="1185732"/>
    <x v="336"/>
    <x v="4"/>
    <s v="Connecticut"/>
    <s v="Hartford"/>
    <s v="Online"/>
    <x v="3"/>
    <n v="50"/>
    <n v="88"/>
    <n v="4400"/>
    <n v="2420"/>
  </r>
  <r>
    <x v="2"/>
    <n v="1185732"/>
    <x v="336"/>
    <x v="4"/>
    <s v="Connecticut"/>
    <s v="Hartford"/>
    <s v="Online"/>
    <x v="1"/>
    <n v="60"/>
    <n v="78"/>
    <n v="4680"/>
    <n v="2574"/>
  </r>
  <r>
    <x v="2"/>
    <n v="1185732"/>
    <x v="336"/>
    <x v="4"/>
    <s v="Connecticut"/>
    <s v="Hartford"/>
    <s v="Outlet"/>
    <x v="0"/>
    <n v="37"/>
    <n v="131"/>
    <n v="4847"/>
    <n v="2665.85"/>
  </r>
  <r>
    <x v="2"/>
    <n v="1185732"/>
    <x v="336"/>
    <x v="4"/>
    <s v="Connecticut"/>
    <s v="Hartford"/>
    <s v="Online"/>
    <x v="2"/>
    <n v="67"/>
    <n v="112"/>
    <n v="7504"/>
    <n v="4052.1600000000003"/>
  </r>
  <r>
    <x v="2"/>
    <n v="1185732"/>
    <x v="336"/>
    <x v="4"/>
    <s v="Connecticut"/>
    <s v="Hartford"/>
    <s v="Online"/>
    <x v="4"/>
    <n v="59"/>
    <n v="150"/>
    <n v="8850"/>
    <n v="4336.5"/>
  </r>
  <r>
    <x v="2"/>
    <n v="1185732"/>
    <x v="336"/>
    <x v="4"/>
    <s v="Connecticut"/>
    <s v="Hartford"/>
    <s v="Online"/>
    <x v="0"/>
    <n v="51"/>
    <n v="101"/>
    <n v="5151"/>
    <n v="2523.9899999999998"/>
  </r>
  <r>
    <x v="2"/>
    <n v="1185732"/>
    <x v="336"/>
    <x v="4"/>
    <s v="Pennsylvania"/>
    <s v="Philadelphia"/>
    <s v="Outlet"/>
    <x v="4"/>
    <n v="51"/>
    <n v="179"/>
    <n v="9129"/>
    <n v="3834.1799999999994"/>
  </r>
  <r>
    <x v="2"/>
    <n v="1185732"/>
    <x v="336"/>
    <x v="4"/>
    <s v="Pennsylvania"/>
    <s v="Philadelphia"/>
    <s v="Online"/>
    <x v="4"/>
    <n v="60"/>
    <n v="158"/>
    <n v="9480"/>
    <n v="3223.2"/>
  </r>
  <r>
    <x v="2"/>
    <n v="1185732"/>
    <x v="337"/>
    <x v="4"/>
    <s v="Pennsylvania"/>
    <s v="Philadelphia"/>
    <s v="Outlet"/>
    <x v="0"/>
    <n v="60.000000000000007"/>
    <n v="300"/>
    <n v="18000.000000000004"/>
    <n v="11700.000000000004"/>
  </r>
  <r>
    <x v="2"/>
    <n v="1197831"/>
    <x v="337"/>
    <x v="0"/>
    <s v="Idaho"/>
    <s v="Boise"/>
    <s v="Online"/>
    <x v="1"/>
    <n v="54.999999999999993"/>
    <n v="475"/>
    <n v="26124.999999999996"/>
    <n v="16981.25"/>
  </r>
  <r>
    <x v="2"/>
    <n v="1197831"/>
    <x v="337"/>
    <x v="0"/>
    <s v="Idaho"/>
    <s v="Boise"/>
    <s v="Online"/>
    <x v="4"/>
    <n v="54.999999999999993"/>
    <n v="775"/>
    <n v="42624.999999999993"/>
    <n v="25574.999999999996"/>
  </r>
  <r>
    <x v="2"/>
    <n v="1197831"/>
    <x v="337"/>
    <x v="0"/>
    <s v="Idaho"/>
    <s v="Boise"/>
    <s v="Online"/>
    <x v="0"/>
    <n v="54.999999999999993"/>
    <n v="775"/>
    <n v="42624.999999999993"/>
    <n v="25574.999999999996"/>
  </r>
  <r>
    <x v="2"/>
    <n v="1197831"/>
    <x v="337"/>
    <x v="0"/>
    <s v="Idaho"/>
    <s v="Boise"/>
    <s v="Online"/>
    <x v="3"/>
    <n v="60"/>
    <n v="675"/>
    <n v="40500"/>
    <n v="24300"/>
  </r>
  <r>
    <x v="2"/>
    <n v="1197831"/>
    <x v="337"/>
    <x v="0"/>
    <s v="Idaho"/>
    <s v="Boise"/>
    <s v="Online"/>
    <x v="5"/>
    <n v="60"/>
    <n v="525"/>
    <n v="31500"/>
    <n v="15750"/>
  </r>
  <r>
    <x v="2"/>
    <n v="1197831"/>
    <x v="337"/>
    <x v="0"/>
    <s v="Idaho"/>
    <s v="Boise"/>
    <s v="Online"/>
    <x v="2"/>
    <n v="65"/>
    <n v="725"/>
    <n v="47125"/>
    <n v="21206.249999999996"/>
  </r>
  <r>
    <x v="2"/>
    <n v="1197831"/>
    <x v="337"/>
    <x v="0"/>
    <s v="Idaho"/>
    <s v="Boise"/>
    <s v="Outlet"/>
    <x v="1"/>
    <n v="43"/>
    <n v="147"/>
    <n v="6321"/>
    <n v="3729.3900000000003"/>
  </r>
  <r>
    <x v="2"/>
    <n v="1185732"/>
    <x v="337"/>
    <x v="4"/>
    <s v="Pennsylvania"/>
    <s v="Philadelphia"/>
    <s v="Outlet"/>
    <x v="0"/>
    <n v="44"/>
    <n v="102"/>
    <n v="4488"/>
    <n v="2603.04"/>
  </r>
  <r>
    <x v="2"/>
    <n v="1197831"/>
    <x v="337"/>
    <x v="0"/>
    <s v="Idaho"/>
    <s v="Boise"/>
    <s v="Outlet"/>
    <x v="3"/>
    <n v="47"/>
    <n v="223"/>
    <n v="10481"/>
    <n v="5869.3600000000006"/>
  </r>
  <r>
    <x v="2"/>
    <n v="1197831"/>
    <x v="337"/>
    <x v="0"/>
    <s v="Idaho"/>
    <s v="Boise"/>
    <s v="Outlet"/>
    <x v="4"/>
    <n v="40"/>
    <n v="240"/>
    <n v="9600"/>
    <n v="5280"/>
  </r>
  <r>
    <x v="2"/>
    <n v="1197831"/>
    <x v="337"/>
    <x v="0"/>
    <s v="Idaho"/>
    <s v="Boise"/>
    <s v="Outlet"/>
    <x v="0"/>
    <n v="41"/>
    <n v="240"/>
    <n v="9840"/>
    <n v="5313.6"/>
  </r>
  <r>
    <x v="2"/>
    <n v="1185732"/>
    <x v="337"/>
    <x v="4"/>
    <s v="Pennsylvania"/>
    <s v="Philadelphia"/>
    <s v="Online"/>
    <x v="0"/>
    <n v="54"/>
    <n v="75"/>
    <n v="4050"/>
    <n v="2146.5"/>
  </r>
  <r>
    <x v="2"/>
    <n v="1197831"/>
    <x v="337"/>
    <x v="0"/>
    <s v="Idaho"/>
    <s v="Boise"/>
    <s v="Online"/>
    <x v="1"/>
    <n v="50"/>
    <n v="133"/>
    <n v="6650"/>
    <n v="3391.5"/>
  </r>
  <r>
    <x v="2"/>
    <n v="1197831"/>
    <x v="337"/>
    <x v="0"/>
    <s v="Idaho"/>
    <s v="Boise"/>
    <s v="Online"/>
    <x v="3"/>
    <n v="56"/>
    <n v="176"/>
    <n v="9856"/>
    <n v="4730.88"/>
  </r>
  <r>
    <x v="2"/>
    <n v="1197831"/>
    <x v="337"/>
    <x v="0"/>
    <s v="Idaho"/>
    <s v="Boise"/>
    <s v="Outlet"/>
    <x v="5"/>
    <n v="44"/>
    <n v="184"/>
    <n v="8096"/>
    <n v="3886.08"/>
  </r>
  <r>
    <x v="2"/>
    <n v="1197831"/>
    <x v="337"/>
    <x v="0"/>
    <s v="Idaho"/>
    <s v="Boise"/>
    <s v="Online"/>
    <x v="4"/>
    <n v="54"/>
    <n v="233"/>
    <n v="12582"/>
    <n v="5787.7199999999993"/>
  </r>
  <r>
    <x v="2"/>
    <n v="1197831"/>
    <x v="337"/>
    <x v="0"/>
    <s v="Idaho"/>
    <s v="Boise"/>
    <s v="Online"/>
    <x v="0"/>
    <n v="51"/>
    <n v="209"/>
    <n v="10659"/>
    <n v="4903.1399999999994"/>
  </r>
  <r>
    <x v="2"/>
    <n v="1197831"/>
    <x v="337"/>
    <x v="0"/>
    <s v="Idaho"/>
    <s v="Boise"/>
    <s v="Outlet"/>
    <x v="2"/>
    <n v="47"/>
    <n v="232"/>
    <n v="10904"/>
    <n v="4252.5599999999986"/>
  </r>
  <r>
    <x v="2"/>
    <n v="1197831"/>
    <x v="337"/>
    <x v="0"/>
    <s v="Idaho"/>
    <s v="Boise"/>
    <s v="Online"/>
    <x v="5"/>
    <n v="59"/>
    <n v="142"/>
    <n v="8378"/>
    <n v="2932.3"/>
  </r>
  <r>
    <x v="2"/>
    <n v="1197831"/>
    <x v="337"/>
    <x v="0"/>
    <s v="Idaho"/>
    <s v="Boise"/>
    <s v="Online"/>
    <x v="2"/>
    <n v="60"/>
    <n v="196"/>
    <n v="11760"/>
    <n v="3645.5999999999995"/>
  </r>
  <r>
    <x v="3"/>
    <n v="1185732"/>
    <x v="338"/>
    <x v="3"/>
    <s v="South Carolina"/>
    <s v="Charleston"/>
    <s v="Online"/>
    <x v="3"/>
    <n v="60.000000000000007"/>
    <n v="825"/>
    <n v="49500.000000000007"/>
    <n v="37125.000000000007"/>
  </r>
  <r>
    <x v="3"/>
    <n v="1185732"/>
    <x v="338"/>
    <x v="3"/>
    <s v="South Carolina"/>
    <s v="Charleston"/>
    <s v="Online"/>
    <x v="5"/>
    <n v="60.000000000000007"/>
    <n v="775"/>
    <n v="46500.000000000007"/>
    <n v="32550.000000000007"/>
  </r>
  <r>
    <x v="0"/>
    <n v="1185732"/>
    <x v="338"/>
    <x v="1"/>
    <s v="Iowa"/>
    <s v="Des Moines"/>
    <s v="In-store"/>
    <x v="4"/>
    <n v="60"/>
    <n v="525"/>
    <n v="31500"/>
    <n v="22050"/>
  </r>
  <r>
    <x v="0"/>
    <n v="1185732"/>
    <x v="338"/>
    <x v="1"/>
    <s v="Iowa"/>
    <s v="Des Moines"/>
    <s v="In-store"/>
    <x v="3"/>
    <n v="50"/>
    <n v="275"/>
    <n v="13750"/>
    <n v="9625"/>
  </r>
  <r>
    <x v="0"/>
    <n v="1185732"/>
    <x v="338"/>
    <x v="1"/>
    <s v="Iowa"/>
    <s v="Des Moines"/>
    <s v="In-store"/>
    <x v="5"/>
    <n v="50"/>
    <n v="225"/>
    <n v="11250"/>
    <n v="7875"/>
  </r>
  <r>
    <x v="2"/>
    <n v="1185732"/>
    <x v="338"/>
    <x v="3"/>
    <s v="South Carolina"/>
    <s v="Charleston"/>
    <s v="Online"/>
    <x v="0"/>
    <n v="60.000000000000007"/>
    <n v="875"/>
    <n v="52500.000000000007"/>
    <n v="34125.000000000015"/>
  </r>
  <r>
    <x v="3"/>
    <n v="1185732"/>
    <x v="338"/>
    <x v="3"/>
    <s v="South Carolina"/>
    <s v="Charleston"/>
    <s v="Online"/>
    <x v="1"/>
    <n v="70"/>
    <n v="775"/>
    <n v="54250"/>
    <n v="35262.5"/>
  </r>
  <r>
    <x v="0"/>
    <n v="1185732"/>
    <x v="338"/>
    <x v="1"/>
    <s v="Iowa"/>
    <s v="Des Moines"/>
    <s v="In-store"/>
    <x v="0"/>
    <n v="50"/>
    <n v="325"/>
    <n v="16250"/>
    <n v="10562.5"/>
  </r>
  <r>
    <x v="2"/>
    <n v="1185732"/>
    <x v="338"/>
    <x v="4"/>
    <s v="Pennsylvania"/>
    <s v="Philadelphia"/>
    <s v="Outlet"/>
    <x v="3"/>
    <n v="55.000000000000007"/>
    <n v="225"/>
    <n v="12375.000000000002"/>
    <n v="7425.0000000000018"/>
  </r>
  <r>
    <x v="0"/>
    <n v="1185732"/>
    <x v="338"/>
    <x v="1"/>
    <s v="Iowa"/>
    <s v="Des Moines"/>
    <s v="In-store"/>
    <x v="2"/>
    <n v="64.999999999999986"/>
    <n v="325"/>
    <n v="21124.999999999996"/>
    <n v="12674.999999999996"/>
  </r>
  <r>
    <x v="2"/>
    <n v="1185732"/>
    <x v="338"/>
    <x v="3"/>
    <s v="South Carolina"/>
    <s v="Charleston"/>
    <s v="Online"/>
    <x v="4"/>
    <n v="70"/>
    <n v="1075"/>
    <n v="75250"/>
    <n v="41387.5"/>
  </r>
  <r>
    <x v="3"/>
    <n v="1185732"/>
    <x v="338"/>
    <x v="3"/>
    <s v="South Carolina"/>
    <s v="Charleston"/>
    <s v="Online"/>
    <x v="2"/>
    <n v="75"/>
    <n v="875"/>
    <n v="65625"/>
    <n v="32812.5"/>
  </r>
  <r>
    <x v="0"/>
    <n v="1185732"/>
    <x v="338"/>
    <x v="1"/>
    <s v="Iowa"/>
    <s v="Des Moines"/>
    <s v="In-store"/>
    <x v="1"/>
    <n v="60"/>
    <n v="225"/>
    <n v="13500"/>
    <n v="6750"/>
  </r>
  <r>
    <x v="3"/>
    <n v="1185732"/>
    <x v="338"/>
    <x v="3"/>
    <s v="South Carolina"/>
    <s v="Charleston"/>
    <s v="Online"/>
    <x v="3"/>
    <n v="56"/>
    <n v="215"/>
    <n v="12040"/>
    <n v="7826"/>
  </r>
  <r>
    <x v="0"/>
    <n v="1185732"/>
    <x v="338"/>
    <x v="1"/>
    <s v="Iowa"/>
    <s v="Des Moines"/>
    <s v="Online"/>
    <x v="4"/>
    <n v="54"/>
    <n v="147"/>
    <n v="7938"/>
    <n v="4604.04"/>
  </r>
  <r>
    <x v="0"/>
    <n v="1185732"/>
    <x v="338"/>
    <x v="1"/>
    <s v="Iowa"/>
    <s v="Des Moines"/>
    <s v="Online"/>
    <x v="3"/>
    <n v="47"/>
    <n v="83"/>
    <n v="3901"/>
    <n v="2262.58"/>
  </r>
  <r>
    <x v="0"/>
    <n v="1185732"/>
    <x v="338"/>
    <x v="1"/>
    <s v="Iowa"/>
    <s v="Des Moines"/>
    <s v="Online"/>
    <x v="5"/>
    <n v="49"/>
    <n v="61"/>
    <n v="2989"/>
    <n v="1703.73"/>
  </r>
  <r>
    <x v="2"/>
    <n v="1185732"/>
    <x v="338"/>
    <x v="3"/>
    <s v="South Carolina"/>
    <s v="Charleston"/>
    <s v="Online"/>
    <x v="0"/>
    <n v="58"/>
    <n v="219"/>
    <n v="12702"/>
    <n v="6986.1"/>
  </r>
  <r>
    <x v="3"/>
    <n v="1185732"/>
    <x v="338"/>
    <x v="3"/>
    <s v="South Carolina"/>
    <s v="Charleston"/>
    <s v="Online"/>
    <x v="1"/>
    <n v="66"/>
    <n v="225"/>
    <n v="14850"/>
    <n v="8167.5000000000009"/>
  </r>
  <r>
    <x v="3"/>
    <n v="1185732"/>
    <x v="338"/>
    <x v="3"/>
    <s v="South Carolina"/>
    <s v="Charleston"/>
    <s v="Online"/>
    <x v="5"/>
    <n v="59"/>
    <n v="194"/>
    <n v="11446"/>
    <n v="6295.3"/>
  </r>
  <r>
    <x v="0"/>
    <n v="1185732"/>
    <x v="338"/>
    <x v="1"/>
    <s v="Iowa"/>
    <s v="Des Moines"/>
    <s v="Online"/>
    <x v="0"/>
    <n v="47"/>
    <n v="91"/>
    <n v="4277"/>
    <n v="2266.8100000000004"/>
  </r>
  <r>
    <x v="2"/>
    <n v="1185732"/>
    <x v="338"/>
    <x v="4"/>
    <s v="Pennsylvania"/>
    <s v="Philadelphia"/>
    <s v="Outlet"/>
    <x v="3"/>
    <n v="38"/>
    <n v="79"/>
    <n v="3002"/>
    <n v="1591.0600000000002"/>
  </r>
  <r>
    <x v="2"/>
    <n v="1185732"/>
    <x v="338"/>
    <x v="4"/>
    <s v="Pennsylvania"/>
    <s v="Philadelphia"/>
    <s v="Online"/>
    <x v="3"/>
    <n v="54"/>
    <n v="61"/>
    <n v="3294"/>
    <n v="1482.3000000000002"/>
  </r>
  <r>
    <x v="0"/>
    <n v="1185732"/>
    <x v="338"/>
    <x v="1"/>
    <s v="Iowa"/>
    <s v="Des Moines"/>
    <s v="Online"/>
    <x v="2"/>
    <n v="59"/>
    <n v="88"/>
    <n v="5192"/>
    <n v="2336.3999999999996"/>
  </r>
  <r>
    <x v="2"/>
    <n v="1185732"/>
    <x v="338"/>
    <x v="3"/>
    <s v="South Carolina"/>
    <s v="Charleston"/>
    <s v="Online"/>
    <x v="4"/>
    <n v="67"/>
    <n v="290"/>
    <n v="19430"/>
    <n v="7772"/>
  </r>
  <r>
    <x v="3"/>
    <n v="1185732"/>
    <x v="338"/>
    <x v="3"/>
    <s v="South Carolina"/>
    <s v="Charleston"/>
    <s v="Online"/>
    <x v="2"/>
    <n v="68"/>
    <n v="228"/>
    <n v="15504"/>
    <n v="6201.6"/>
  </r>
  <r>
    <x v="0"/>
    <n v="1185732"/>
    <x v="338"/>
    <x v="1"/>
    <s v="Iowa"/>
    <s v="Des Moines"/>
    <s v="Online"/>
    <x v="1"/>
    <n v="59"/>
    <n v="59"/>
    <n v="3481"/>
    <n v="1357.5900000000001"/>
  </r>
  <r>
    <x v="3"/>
    <n v="1185732"/>
    <x v="339"/>
    <x v="4"/>
    <s v="New Jersey"/>
    <s v="Newark"/>
    <s v="In-store"/>
    <x v="1"/>
    <n v="60"/>
    <n v="275"/>
    <n v="16500"/>
    <n v="11550"/>
  </r>
  <r>
    <x v="3"/>
    <n v="1185732"/>
    <x v="339"/>
    <x v="4"/>
    <s v="Rhode Island"/>
    <s v="Providence"/>
    <s v="In-store"/>
    <x v="1"/>
    <n v="60"/>
    <n v="225"/>
    <n v="13500"/>
    <n v="9450"/>
  </r>
  <r>
    <x v="3"/>
    <n v="1185732"/>
    <x v="339"/>
    <x v="4"/>
    <s v="New Jersey"/>
    <s v="Newark"/>
    <s v="In-store"/>
    <x v="4"/>
    <n v="60"/>
    <n v="550"/>
    <n v="33000"/>
    <n v="21450"/>
  </r>
  <r>
    <x v="3"/>
    <n v="1185732"/>
    <x v="339"/>
    <x v="4"/>
    <s v="New Jersey"/>
    <s v="Newark"/>
    <s v="In-store"/>
    <x v="0"/>
    <n v="50"/>
    <n v="350"/>
    <n v="17500"/>
    <n v="11375"/>
  </r>
  <r>
    <x v="3"/>
    <n v="1185732"/>
    <x v="339"/>
    <x v="4"/>
    <s v="Rhode Island"/>
    <s v="Providence"/>
    <s v="In-store"/>
    <x v="4"/>
    <n v="60"/>
    <n v="500"/>
    <n v="30000"/>
    <n v="19500"/>
  </r>
  <r>
    <x v="3"/>
    <n v="1185732"/>
    <x v="339"/>
    <x v="4"/>
    <s v="Rhode Island"/>
    <s v="Providence"/>
    <s v="In-store"/>
    <x v="0"/>
    <n v="50"/>
    <n v="300"/>
    <n v="15000"/>
    <n v="9750"/>
  </r>
  <r>
    <x v="2"/>
    <n v="1185732"/>
    <x v="339"/>
    <x v="4"/>
    <s v="Pennsylvania"/>
    <s v="Philadelphia"/>
    <s v="Outlet"/>
    <x v="5"/>
    <n v="55.000000000000007"/>
    <n v="200"/>
    <n v="11000.000000000002"/>
    <n v="6600.0000000000018"/>
  </r>
  <r>
    <x v="3"/>
    <n v="1185732"/>
    <x v="339"/>
    <x v="4"/>
    <s v="New Jersey"/>
    <s v="Newark"/>
    <s v="In-store"/>
    <x v="3"/>
    <n v="50"/>
    <n v="325"/>
    <n v="16250"/>
    <n v="9750"/>
  </r>
  <r>
    <x v="3"/>
    <n v="1185732"/>
    <x v="339"/>
    <x v="4"/>
    <s v="New Jersey"/>
    <s v="Newark"/>
    <s v="In-store"/>
    <x v="5"/>
    <n v="50"/>
    <n v="275"/>
    <n v="13750"/>
    <n v="8250"/>
  </r>
  <r>
    <x v="3"/>
    <n v="1185732"/>
    <x v="339"/>
    <x v="4"/>
    <s v="Rhode Island"/>
    <s v="Providence"/>
    <s v="In-store"/>
    <x v="3"/>
    <n v="50"/>
    <n v="275"/>
    <n v="13750"/>
    <n v="8250"/>
  </r>
  <r>
    <x v="3"/>
    <n v="1185732"/>
    <x v="339"/>
    <x v="4"/>
    <s v="Rhode Island"/>
    <s v="Providence"/>
    <s v="In-store"/>
    <x v="5"/>
    <n v="50"/>
    <n v="225"/>
    <n v="11250"/>
    <n v="6750"/>
  </r>
  <r>
    <x v="3"/>
    <n v="1185732"/>
    <x v="339"/>
    <x v="4"/>
    <s v="Rhode Island"/>
    <s v="Providence"/>
    <s v="In-store"/>
    <x v="2"/>
    <n v="64.999999999999986"/>
    <n v="325"/>
    <n v="21124.999999999996"/>
    <n v="12674.999999999996"/>
  </r>
  <r>
    <x v="3"/>
    <n v="1185732"/>
    <x v="339"/>
    <x v="4"/>
    <s v="New Jersey"/>
    <s v="Newark"/>
    <s v="In-store"/>
    <x v="2"/>
    <n v="64.999999999999986"/>
    <n v="375"/>
    <n v="24374.999999999996"/>
    <n v="14624.999999999995"/>
  </r>
  <r>
    <x v="3"/>
    <n v="1185732"/>
    <x v="339"/>
    <x v="4"/>
    <s v="Rhode Island"/>
    <s v="Providence"/>
    <s v="Outlet"/>
    <x v="1"/>
    <n v="41"/>
    <n v="74"/>
    <n v="3034"/>
    <n v="1911.42"/>
  </r>
  <r>
    <x v="3"/>
    <n v="1185732"/>
    <x v="339"/>
    <x v="4"/>
    <s v="Rhode Island"/>
    <s v="Providence"/>
    <s v="Outlet"/>
    <x v="0"/>
    <n v="37"/>
    <n v="102"/>
    <n v="3774"/>
    <n v="2377.62"/>
  </r>
  <r>
    <x v="3"/>
    <n v="1185732"/>
    <x v="339"/>
    <x v="4"/>
    <s v="Rhode Island"/>
    <s v="Providence"/>
    <s v="Outlet"/>
    <x v="4"/>
    <n v="48"/>
    <n v="160"/>
    <n v="7680"/>
    <n v="4684.8"/>
  </r>
  <r>
    <x v="3"/>
    <n v="1185732"/>
    <x v="339"/>
    <x v="4"/>
    <s v="Rhode Island"/>
    <s v="Providence"/>
    <s v="Online"/>
    <x v="1"/>
    <n v="56"/>
    <n v="68"/>
    <n v="3808"/>
    <n v="2170.56"/>
  </r>
  <r>
    <x v="3"/>
    <n v="1185732"/>
    <x v="339"/>
    <x v="4"/>
    <s v="Rhode Island"/>
    <s v="Providence"/>
    <s v="Outlet"/>
    <x v="5"/>
    <n v="34"/>
    <n v="77"/>
    <n v="2618"/>
    <n v="1492.2599999999998"/>
  </r>
  <r>
    <x v="3"/>
    <n v="1185732"/>
    <x v="339"/>
    <x v="4"/>
    <s v="Rhode Island"/>
    <s v="Providence"/>
    <s v="Outlet"/>
    <x v="2"/>
    <n v="51"/>
    <n v="111"/>
    <n v="5661"/>
    <n v="3226.7699999999995"/>
  </r>
  <r>
    <x v="3"/>
    <n v="1185732"/>
    <x v="339"/>
    <x v="4"/>
    <s v="New Jersey"/>
    <s v="Newark"/>
    <s v="Online"/>
    <x v="1"/>
    <n v="55"/>
    <n v="83"/>
    <n v="4565"/>
    <n v="2510.75"/>
  </r>
  <r>
    <x v="2"/>
    <n v="1185732"/>
    <x v="339"/>
    <x v="4"/>
    <s v="Pennsylvania"/>
    <s v="Philadelphia"/>
    <s v="Outlet"/>
    <x v="5"/>
    <n v="43"/>
    <n v="62"/>
    <n v="2666"/>
    <n v="1439.64"/>
  </r>
  <r>
    <x v="3"/>
    <n v="1185732"/>
    <x v="339"/>
    <x v="4"/>
    <s v="Rhode Island"/>
    <s v="Providence"/>
    <s v="Outlet"/>
    <x v="3"/>
    <n v="40"/>
    <n v="88"/>
    <n v="3520"/>
    <n v="1865.6"/>
  </r>
  <r>
    <x v="3"/>
    <n v="1185732"/>
    <x v="339"/>
    <x v="4"/>
    <s v="New Jersey"/>
    <s v="Newark"/>
    <s v="Online"/>
    <x v="0"/>
    <n v="49"/>
    <n v="105"/>
    <n v="5145"/>
    <n v="2675.4"/>
  </r>
  <r>
    <x v="3"/>
    <n v="1185732"/>
    <x v="339"/>
    <x v="4"/>
    <s v="Rhode Island"/>
    <s v="Providence"/>
    <s v="Online"/>
    <x v="0"/>
    <n v="45"/>
    <n v="78"/>
    <n v="3510"/>
    <n v="1825.2"/>
  </r>
  <r>
    <x v="3"/>
    <n v="1185732"/>
    <x v="339"/>
    <x v="4"/>
    <s v="New Jersey"/>
    <s v="Newark"/>
    <s v="Online"/>
    <x v="4"/>
    <n v="55"/>
    <n v="149"/>
    <n v="8195"/>
    <n v="4261.3999999999996"/>
  </r>
  <r>
    <x v="3"/>
    <n v="1185732"/>
    <x v="339"/>
    <x v="4"/>
    <s v="New Jersey"/>
    <s v="Newark"/>
    <s v="Online"/>
    <x v="3"/>
    <n v="49"/>
    <n v="91"/>
    <n v="4459"/>
    <n v="2229.5"/>
  </r>
  <r>
    <x v="3"/>
    <n v="1185732"/>
    <x v="339"/>
    <x v="4"/>
    <s v="Rhode Island"/>
    <s v="Providence"/>
    <s v="Online"/>
    <x v="4"/>
    <n v="54"/>
    <n v="135"/>
    <n v="7290"/>
    <n v="3645"/>
  </r>
  <r>
    <x v="3"/>
    <n v="1185732"/>
    <x v="339"/>
    <x v="4"/>
    <s v="Rhode Island"/>
    <s v="Providence"/>
    <s v="Online"/>
    <x v="5"/>
    <n v="48"/>
    <n v="65"/>
    <n v="3120"/>
    <n v="1560"/>
  </r>
  <r>
    <x v="3"/>
    <n v="1185732"/>
    <x v="339"/>
    <x v="4"/>
    <s v="New Jersey"/>
    <s v="Newark"/>
    <s v="Online"/>
    <x v="5"/>
    <n v="47"/>
    <n v="83"/>
    <n v="3901"/>
    <n v="1911.49"/>
  </r>
  <r>
    <x v="3"/>
    <n v="1185732"/>
    <x v="339"/>
    <x v="4"/>
    <s v="Rhode Island"/>
    <s v="Providence"/>
    <s v="Online"/>
    <x v="3"/>
    <n v="47"/>
    <n v="74"/>
    <n v="3478"/>
    <n v="1704.22"/>
  </r>
  <r>
    <x v="2"/>
    <n v="1185732"/>
    <x v="339"/>
    <x v="4"/>
    <s v="Pennsylvania"/>
    <s v="Philadelphia"/>
    <s v="Online"/>
    <x v="5"/>
    <n v="53"/>
    <n v="58"/>
    <n v="3074"/>
    <n v="1414.04"/>
  </r>
  <r>
    <x v="3"/>
    <n v="1185732"/>
    <x v="339"/>
    <x v="4"/>
    <s v="New Jersey"/>
    <s v="Newark"/>
    <s v="Online"/>
    <x v="2"/>
    <n v="59"/>
    <n v="101"/>
    <n v="5959"/>
    <n v="2741.14"/>
  </r>
  <r>
    <x v="3"/>
    <n v="1185732"/>
    <x v="339"/>
    <x v="4"/>
    <s v="Rhode Island"/>
    <s v="Providence"/>
    <s v="Online"/>
    <x v="2"/>
    <n v="60"/>
    <n v="85"/>
    <n v="5100"/>
    <n v="2295"/>
  </r>
  <r>
    <x v="2"/>
    <n v="1185732"/>
    <x v="340"/>
    <x v="4"/>
    <s v="Pennsylvania"/>
    <s v="Philadelphia"/>
    <s v="Outlet"/>
    <x v="1"/>
    <n v="65"/>
    <n v="175"/>
    <n v="11375"/>
    <n v="7393.75"/>
  </r>
  <r>
    <x v="2"/>
    <n v="1185732"/>
    <x v="340"/>
    <x v="4"/>
    <s v="Pennsylvania"/>
    <s v="Philadelphia"/>
    <s v="Outlet"/>
    <x v="1"/>
    <n v="46"/>
    <n v="54"/>
    <n v="2484"/>
    <n v="1515.2400000000002"/>
  </r>
  <r>
    <x v="2"/>
    <n v="1185732"/>
    <x v="340"/>
    <x v="4"/>
    <s v="Pennsylvania"/>
    <s v="Philadelphia"/>
    <s v="Online"/>
    <x v="1"/>
    <n v="61"/>
    <n v="46"/>
    <n v="2806"/>
    <n v="1515.24"/>
  </r>
  <r>
    <x v="1"/>
    <n v="1185732"/>
    <x v="341"/>
    <x v="4"/>
    <s v="New York"/>
    <s v="Albany"/>
    <s v="In-store"/>
    <x v="3"/>
    <n v="55.000000000000007"/>
    <n v="625"/>
    <n v="34375.000000000007"/>
    <n v="25781.250000000007"/>
  </r>
  <r>
    <x v="1"/>
    <n v="1185732"/>
    <x v="341"/>
    <x v="4"/>
    <s v="New York"/>
    <s v="Albany"/>
    <s v="In-store"/>
    <x v="5"/>
    <n v="55.000000000000007"/>
    <n v="575"/>
    <n v="31625.000000000004"/>
    <n v="22137.500000000007"/>
  </r>
  <r>
    <x v="2"/>
    <n v="1185732"/>
    <x v="341"/>
    <x v="4"/>
    <s v="Pennsylvania"/>
    <s v="Philadelphia"/>
    <s v="Outlet"/>
    <x v="2"/>
    <n v="70"/>
    <n v="350"/>
    <n v="24500"/>
    <n v="17150"/>
  </r>
  <r>
    <x v="2"/>
    <n v="1185732"/>
    <x v="341"/>
    <x v="1"/>
    <s v="North Dakota"/>
    <s v="Fargo"/>
    <s v="In-store"/>
    <x v="0"/>
    <n v="50"/>
    <n v="300"/>
    <n v="15000"/>
    <n v="10500"/>
  </r>
  <r>
    <x v="2"/>
    <n v="1185732"/>
    <x v="341"/>
    <x v="1"/>
    <s v="North Dakota"/>
    <s v="Fargo"/>
    <s v="In-store"/>
    <x v="3"/>
    <n v="50"/>
    <n v="250"/>
    <n v="12500"/>
    <n v="8750"/>
  </r>
  <r>
    <x v="2"/>
    <n v="1185732"/>
    <x v="341"/>
    <x v="1"/>
    <s v="North Dakota"/>
    <s v="Fargo"/>
    <s v="In-store"/>
    <x v="5"/>
    <n v="50"/>
    <n v="200"/>
    <n v="10000"/>
    <n v="7000"/>
  </r>
  <r>
    <x v="0"/>
    <n v="1185732"/>
    <x v="341"/>
    <x v="4"/>
    <s v="New York"/>
    <s v="Albany"/>
    <s v="In-store"/>
    <x v="0"/>
    <n v="55.000000000000007"/>
    <n v="675"/>
    <n v="37125.000000000007"/>
    <n v="24131.250000000007"/>
  </r>
  <r>
    <x v="1"/>
    <n v="1185732"/>
    <x v="341"/>
    <x v="4"/>
    <s v="New York"/>
    <s v="Albany"/>
    <s v="In-store"/>
    <x v="1"/>
    <n v="65"/>
    <n v="575"/>
    <n v="37375"/>
    <n v="24293.75"/>
  </r>
  <r>
    <x v="2"/>
    <n v="1185732"/>
    <x v="341"/>
    <x v="1"/>
    <s v="North Dakota"/>
    <s v="Fargo"/>
    <s v="In-store"/>
    <x v="4"/>
    <n v="60"/>
    <n v="500"/>
    <n v="30000"/>
    <n v="19500"/>
  </r>
  <r>
    <x v="2"/>
    <n v="1185732"/>
    <x v="341"/>
    <x v="1"/>
    <s v="North Dakota"/>
    <s v="Fargo"/>
    <s v="In-store"/>
    <x v="1"/>
    <n v="60"/>
    <n v="200"/>
    <n v="12000"/>
    <n v="7800"/>
  </r>
  <r>
    <x v="2"/>
    <n v="1185732"/>
    <x v="341"/>
    <x v="1"/>
    <s v="North Dakota"/>
    <s v="Fargo"/>
    <s v="In-store"/>
    <x v="2"/>
    <n v="64.999999999999986"/>
    <n v="300"/>
    <n v="19499.999999999996"/>
    <n v="11699.999999999998"/>
  </r>
  <r>
    <x v="0"/>
    <n v="1185732"/>
    <x v="341"/>
    <x v="4"/>
    <s v="New York"/>
    <s v="Albany"/>
    <s v="In-store"/>
    <x v="4"/>
    <n v="65"/>
    <n v="875"/>
    <n v="56875"/>
    <n v="31281.25"/>
  </r>
  <r>
    <x v="1"/>
    <n v="1185732"/>
    <x v="341"/>
    <x v="4"/>
    <s v="New York"/>
    <s v="Albany"/>
    <s v="In-store"/>
    <x v="2"/>
    <n v="70"/>
    <n v="675"/>
    <n v="47250"/>
    <n v="23625"/>
  </r>
  <r>
    <x v="2"/>
    <n v="1185732"/>
    <x v="341"/>
    <x v="4"/>
    <s v="Pennsylvania"/>
    <s v="Philadelphia"/>
    <s v="Outlet"/>
    <x v="2"/>
    <n v="49"/>
    <n v="123"/>
    <n v="6027"/>
    <n v="3857.28"/>
  </r>
  <r>
    <x v="1"/>
    <n v="1185732"/>
    <x v="341"/>
    <x v="4"/>
    <s v="New York"/>
    <s v="Albany"/>
    <s v="Online"/>
    <x v="3"/>
    <n v="52"/>
    <n v="163"/>
    <n v="8476"/>
    <n v="5170.3599999999997"/>
  </r>
  <r>
    <x v="1"/>
    <n v="1185732"/>
    <x v="341"/>
    <x v="4"/>
    <s v="New York"/>
    <s v="Albany"/>
    <s v="Online"/>
    <x v="5"/>
    <n v="54"/>
    <n v="155"/>
    <n v="8370"/>
    <n v="4938.3"/>
  </r>
  <r>
    <x v="2"/>
    <n v="1185732"/>
    <x v="341"/>
    <x v="1"/>
    <s v="North Dakota"/>
    <s v="Fargo"/>
    <s v="Online"/>
    <x v="5"/>
    <n v="47"/>
    <n v="54"/>
    <n v="2538"/>
    <n v="1497.42"/>
  </r>
  <r>
    <x v="2"/>
    <n v="1185732"/>
    <x v="341"/>
    <x v="4"/>
    <s v="Pennsylvania"/>
    <s v="Philadelphia"/>
    <s v="Online"/>
    <x v="2"/>
    <n v="64"/>
    <n v="95"/>
    <n v="6080"/>
    <n v="3465.6"/>
  </r>
  <r>
    <x v="2"/>
    <n v="1185732"/>
    <x v="341"/>
    <x v="1"/>
    <s v="North Dakota"/>
    <s v="Fargo"/>
    <s v="Online"/>
    <x v="0"/>
    <n v="46"/>
    <n v="75"/>
    <n v="3450"/>
    <n v="1897.5000000000002"/>
  </r>
  <r>
    <x v="2"/>
    <n v="1185732"/>
    <x v="341"/>
    <x v="1"/>
    <s v="North Dakota"/>
    <s v="Fargo"/>
    <s v="Online"/>
    <x v="1"/>
    <n v="58"/>
    <n v="54"/>
    <n v="3132"/>
    <n v="1722.6000000000001"/>
  </r>
  <r>
    <x v="2"/>
    <n v="1185732"/>
    <x v="341"/>
    <x v="1"/>
    <s v="North Dakota"/>
    <s v="Fargo"/>
    <s v="Online"/>
    <x v="3"/>
    <n v="48"/>
    <n v="73"/>
    <n v="3504"/>
    <n v="1927.2"/>
  </r>
  <r>
    <x v="1"/>
    <n v="1185732"/>
    <x v="341"/>
    <x v="4"/>
    <s v="New York"/>
    <s v="Albany"/>
    <s v="Online"/>
    <x v="1"/>
    <n v="60"/>
    <n v="155"/>
    <n v="9300"/>
    <n v="5022"/>
  </r>
  <r>
    <x v="2"/>
    <n v="1185732"/>
    <x v="341"/>
    <x v="1"/>
    <s v="North Dakota"/>
    <s v="Fargo"/>
    <s v="Online"/>
    <x v="4"/>
    <n v="55"/>
    <n v="150"/>
    <n v="8250"/>
    <n v="4455"/>
  </r>
  <r>
    <x v="0"/>
    <n v="1185732"/>
    <x v="341"/>
    <x v="4"/>
    <s v="New York"/>
    <s v="Albany"/>
    <s v="Online"/>
    <x v="0"/>
    <n v="51"/>
    <n v="169"/>
    <n v="8619"/>
    <n v="4309.5"/>
  </r>
  <r>
    <x v="2"/>
    <n v="1185732"/>
    <x v="341"/>
    <x v="1"/>
    <s v="North Dakota"/>
    <s v="Fargo"/>
    <s v="Online"/>
    <x v="2"/>
    <n v="63"/>
    <n v="78"/>
    <n v="4914"/>
    <n v="2309.58"/>
  </r>
  <r>
    <x v="0"/>
    <n v="1185732"/>
    <x v="341"/>
    <x v="4"/>
    <s v="New York"/>
    <s v="Albany"/>
    <s v="Online"/>
    <x v="4"/>
    <n v="59"/>
    <n v="245"/>
    <n v="14455"/>
    <n v="6071.0999999999985"/>
  </r>
  <r>
    <x v="1"/>
    <n v="1185732"/>
    <x v="341"/>
    <x v="4"/>
    <s v="New York"/>
    <s v="Albany"/>
    <s v="Online"/>
    <x v="2"/>
    <n v="69"/>
    <n v="182"/>
    <n v="12558"/>
    <n v="4520.88"/>
  </r>
  <r>
    <x v="3"/>
    <n v="1128299"/>
    <x v="342"/>
    <x v="0"/>
    <s v="Hawaii"/>
    <s v="Honolulu"/>
    <s v="Outlet"/>
    <x v="1"/>
    <n v="90.000000000000014"/>
    <n v="425"/>
    <n v="38250.000000000007"/>
    <n v="32512.500000000007"/>
  </r>
  <r>
    <x v="5"/>
    <n v="1128299"/>
    <x v="342"/>
    <x v="0"/>
    <s v="Hawaii"/>
    <s v="Honolulu"/>
    <s v="Outlet"/>
    <x v="0"/>
    <n v="85.000000000000014"/>
    <n v="700"/>
    <n v="59500.000000000007"/>
    <n v="47600.000000000015"/>
  </r>
  <r>
    <x v="5"/>
    <n v="1128299"/>
    <x v="342"/>
    <x v="0"/>
    <s v="Hawaii"/>
    <s v="Honolulu"/>
    <s v="Outlet"/>
    <x v="4"/>
    <n v="75.000000000000014"/>
    <n v="700"/>
    <n v="52500.000000000007"/>
    <n v="39375.000000000015"/>
  </r>
  <r>
    <x v="3"/>
    <n v="1128299"/>
    <x v="342"/>
    <x v="0"/>
    <s v="Hawaii"/>
    <s v="Honolulu"/>
    <s v="Outlet"/>
    <x v="3"/>
    <n v="80.000000000000014"/>
    <n v="500"/>
    <n v="40000.000000000007"/>
    <n v="30000.000000000007"/>
  </r>
  <r>
    <x v="3"/>
    <n v="1128299"/>
    <x v="342"/>
    <x v="0"/>
    <s v="Hawaii"/>
    <s v="Honolulu"/>
    <s v="Outlet"/>
    <x v="5"/>
    <n v="80.000000000000014"/>
    <n v="500"/>
    <n v="40000.000000000007"/>
    <n v="30000.000000000007"/>
  </r>
  <r>
    <x v="0"/>
    <n v="1185732"/>
    <x v="342"/>
    <x v="1"/>
    <s v="Indiana"/>
    <s v="Indianapolis"/>
    <s v="In-store"/>
    <x v="1"/>
    <n v="60"/>
    <n v="300"/>
    <n v="18000"/>
    <n v="12600"/>
  </r>
  <r>
    <x v="4"/>
    <n v="1185732"/>
    <x v="342"/>
    <x v="1"/>
    <s v="Ohio"/>
    <s v="Columbus"/>
    <s v="Online"/>
    <x v="0"/>
    <n v="65.000000000000014"/>
    <n v="625"/>
    <n v="40625.000000000007"/>
    <n v="26406.250000000011"/>
  </r>
  <r>
    <x v="0"/>
    <n v="1185732"/>
    <x v="342"/>
    <x v="1"/>
    <s v="Ohio"/>
    <s v="Columbus"/>
    <s v="Online"/>
    <x v="1"/>
    <n v="75.000000000000014"/>
    <n v="525"/>
    <n v="39375.000000000007"/>
    <n v="25593.750000000007"/>
  </r>
  <r>
    <x v="0"/>
    <n v="1185732"/>
    <x v="342"/>
    <x v="1"/>
    <s v="Indiana"/>
    <s v="Indianapolis"/>
    <s v="In-store"/>
    <x v="3"/>
    <n v="50"/>
    <n v="350"/>
    <n v="17500"/>
    <n v="11375"/>
  </r>
  <r>
    <x v="0"/>
    <n v="1185732"/>
    <x v="342"/>
    <x v="1"/>
    <s v="Indiana"/>
    <s v="Indianapolis"/>
    <s v="In-store"/>
    <x v="5"/>
    <n v="50"/>
    <n v="300"/>
    <n v="15000"/>
    <n v="9750"/>
  </r>
  <r>
    <x v="4"/>
    <n v="1185732"/>
    <x v="342"/>
    <x v="1"/>
    <s v="Ohio"/>
    <s v="Columbus"/>
    <s v="Online"/>
    <x v="4"/>
    <n v="75.000000000000014"/>
    <n v="825"/>
    <n v="61875.000000000015"/>
    <n v="37125.000000000007"/>
  </r>
  <r>
    <x v="0"/>
    <n v="1185732"/>
    <x v="342"/>
    <x v="1"/>
    <s v="Ohio"/>
    <s v="Columbus"/>
    <s v="Online"/>
    <x v="3"/>
    <n v="65.000000000000014"/>
    <n v="575"/>
    <n v="37375.000000000007"/>
    <n v="22425.000000000004"/>
  </r>
  <r>
    <x v="0"/>
    <n v="1185732"/>
    <x v="342"/>
    <x v="1"/>
    <s v="Ohio"/>
    <s v="Columbus"/>
    <s v="Online"/>
    <x v="5"/>
    <n v="65.000000000000014"/>
    <n v="525"/>
    <n v="34125.000000000007"/>
    <n v="20475.000000000004"/>
  </r>
  <r>
    <x v="0"/>
    <n v="1185732"/>
    <x v="342"/>
    <x v="1"/>
    <s v="Indiana"/>
    <s v="Indianapolis"/>
    <s v="In-store"/>
    <x v="4"/>
    <n v="60"/>
    <n v="600"/>
    <n v="36000"/>
    <n v="21600"/>
  </r>
  <r>
    <x v="0"/>
    <n v="1185732"/>
    <x v="342"/>
    <x v="1"/>
    <s v="Indiana"/>
    <s v="Indianapolis"/>
    <s v="In-store"/>
    <x v="0"/>
    <n v="50"/>
    <n v="400"/>
    <n v="20000"/>
    <n v="12000"/>
  </r>
  <r>
    <x v="3"/>
    <n v="1128299"/>
    <x v="342"/>
    <x v="0"/>
    <s v="Hawaii"/>
    <s v="Honolulu"/>
    <s v="Outlet"/>
    <x v="2"/>
    <n v="95.000000000000014"/>
    <n v="525"/>
    <n v="49875.000000000007"/>
    <n v="29925"/>
  </r>
  <r>
    <x v="0"/>
    <n v="1185732"/>
    <x v="342"/>
    <x v="1"/>
    <s v="Indiana"/>
    <s v="Indianapolis"/>
    <s v="In-store"/>
    <x v="2"/>
    <n v="64.999999999999986"/>
    <n v="400"/>
    <n v="25999.999999999993"/>
    <n v="15599.999999999995"/>
  </r>
  <r>
    <x v="2"/>
    <n v="1185732"/>
    <x v="342"/>
    <x v="4"/>
    <s v="Pennsylvania"/>
    <s v="Philadelphia"/>
    <s v="Outlet"/>
    <x v="4"/>
    <n v="65"/>
    <n v="475"/>
    <n v="30875"/>
    <n v="15437.5"/>
  </r>
  <r>
    <x v="0"/>
    <n v="1185732"/>
    <x v="342"/>
    <x v="1"/>
    <s v="Ohio"/>
    <s v="Columbus"/>
    <s v="Online"/>
    <x v="2"/>
    <n v="80"/>
    <n v="625"/>
    <n v="50000"/>
    <n v="25000"/>
  </r>
  <r>
    <x v="3"/>
    <n v="1128299"/>
    <x v="342"/>
    <x v="0"/>
    <s v="Hawaii"/>
    <s v="Honolulu"/>
    <s v="Online"/>
    <x v="1"/>
    <n v="84"/>
    <n v="128"/>
    <n v="10752"/>
    <n v="7956.48"/>
  </r>
  <r>
    <x v="5"/>
    <n v="1128299"/>
    <x v="342"/>
    <x v="0"/>
    <s v="Hawaii"/>
    <s v="Honolulu"/>
    <s v="Online"/>
    <x v="0"/>
    <n v="77"/>
    <n v="182"/>
    <n v="14014"/>
    <n v="9809.7999999999993"/>
  </r>
  <r>
    <x v="3"/>
    <n v="1128299"/>
    <x v="342"/>
    <x v="0"/>
    <s v="Hawaii"/>
    <s v="Honolulu"/>
    <s v="Online"/>
    <x v="3"/>
    <n v="74"/>
    <n v="135"/>
    <n v="9990"/>
    <n v="6493.5"/>
  </r>
  <r>
    <x v="3"/>
    <n v="1128299"/>
    <x v="342"/>
    <x v="0"/>
    <s v="Hawaii"/>
    <s v="Honolulu"/>
    <s v="Online"/>
    <x v="5"/>
    <n v="73"/>
    <n v="145"/>
    <n v="10585"/>
    <n v="6880.25"/>
  </r>
  <r>
    <x v="5"/>
    <n v="1128299"/>
    <x v="342"/>
    <x v="0"/>
    <s v="Hawaii"/>
    <s v="Honolulu"/>
    <s v="Online"/>
    <x v="4"/>
    <n v="68"/>
    <n v="189"/>
    <n v="12852"/>
    <n v="7711.2"/>
  </r>
  <r>
    <x v="0"/>
    <n v="1185732"/>
    <x v="342"/>
    <x v="1"/>
    <s v="Indiana"/>
    <s v="Indianapolis"/>
    <s v="Online"/>
    <x v="1"/>
    <n v="54"/>
    <n v="84"/>
    <n v="4536"/>
    <n v="2585.52"/>
  </r>
  <r>
    <x v="0"/>
    <n v="1185732"/>
    <x v="342"/>
    <x v="1"/>
    <s v="Indiana"/>
    <s v="Indianapolis"/>
    <s v="Online"/>
    <x v="3"/>
    <n v="49"/>
    <n v="105"/>
    <n v="5145"/>
    <n v="2778.3"/>
  </r>
  <r>
    <x v="4"/>
    <n v="1185732"/>
    <x v="342"/>
    <x v="1"/>
    <s v="Ohio"/>
    <s v="Columbus"/>
    <s v="Online"/>
    <x v="0"/>
    <n v="60"/>
    <n v="181"/>
    <n v="10860"/>
    <n v="5755.8"/>
  </r>
  <r>
    <x v="0"/>
    <n v="1185732"/>
    <x v="342"/>
    <x v="1"/>
    <s v="Ohio"/>
    <s v="Columbus"/>
    <s v="Online"/>
    <x v="1"/>
    <n v="68"/>
    <n v="142"/>
    <n v="9656"/>
    <n v="4924.5600000000004"/>
  </r>
  <r>
    <x v="3"/>
    <n v="1128299"/>
    <x v="342"/>
    <x v="0"/>
    <s v="Hawaii"/>
    <s v="Honolulu"/>
    <s v="Online"/>
    <x v="2"/>
    <n v="89"/>
    <n v="142"/>
    <n v="12638"/>
    <n v="6319"/>
  </r>
  <r>
    <x v="4"/>
    <n v="1185732"/>
    <x v="342"/>
    <x v="1"/>
    <s v="Ohio"/>
    <s v="Columbus"/>
    <s v="Online"/>
    <x v="4"/>
    <n v="70"/>
    <n v="231"/>
    <n v="16170"/>
    <n v="8085"/>
  </r>
  <r>
    <x v="0"/>
    <n v="1185732"/>
    <x v="342"/>
    <x v="1"/>
    <s v="Ohio"/>
    <s v="Columbus"/>
    <s v="Online"/>
    <x v="5"/>
    <n v="63"/>
    <n v="147"/>
    <n v="9261"/>
    <n v="4630.5"/>
  </r>
  <r>
    <x v="0"/>
    <n v="1185732"/>
    <x v="342"/>
    <x v="1"/>
    <s v="Indiana"/>
    <s v="Indianapolis"/>
    <s v="Online"/>
    <x v="5"/>
    <n v="45"/>
    <n v="87"/>
    <n v="3915"/>
    <n v="1957.5"/>
  </r>
  <r>
    <x v="0"/>
    <n v="1185732"/>
    <x v="342"/>
    <x v="1"/>
    <s v="Indiana"/>
    <s v="Indianapolis"/>
    <s v="Online"/>
    <x v="2"/>
    <n v="62"/>
    <n v="120"/>
    <n v="7440"/>
    <n v="3720"/>
  </r>
  <r>
    <x v="0"/>
    <n v="1185732"/>
    <x v="342"/>
    <x v="1"/>
    <s v="Indiana"/>
    <s v="Indianapolis"/>
    <s v="Online"/>
    <x v="4"/>
    <n v="58"/>
    <n v="150"/>
    <n v="8700"/>
    <n v="4263"/>
  </r>
  <r>
    <x v="0"/>
    <n v="1185732"/>
    <x v="342"/>
    <x v="1"/>
    <s v="Ohio"/>
    <s v="Columbus"/>
    <s v="Online"/>
    <x v="3"/>
    <n v="59"/>
    <n v="161"/>
    <n v="9499"/>
    <n v="4559.5199999999995"/>
  </r>
  <r>
    <x v="2"/>
    <n v="1185732"/>
    <x v="342"/>
    <x v="4"/>
    <s v="Pennsylvania"/>
    <s v="Philadelphia"/>
    <s v="Outlet"/>
    <x v="4"/>
    <n v="46"/>
    <n v="162"/>
    <n v="7452"/>
    <n v="3576.96"/>
  </r>
  <r>
    <x v="0"/>
    <n v="1185732"/>
    <x v="342"/>
    <x v="1"/>
    <s v="Indiana"/>
    <s v="Indianapolis"/>
    <s v="Online"/>
    <x v="0"/>
    <n v="49"/>
    <n v="108"/>
    <n v="5292"/>
    <n v="2381.3999999999996"/>
  </r>
  <r>
    <x v="2"/>
    <n v="1185732"/>
    <x v="342"/>
    <x v="4"/>
    <s v="Pennsylvania"/>
    <s v="Philadelphia"/>
    <s v="Online"/>
    <x v="4"/>
    <n v="62"/>
    <n v="143"/>
    <n v="8866"/>
    <n v="3546.4000000000005"/>
  </r>
  <r>
    <x v="0"/>
    <n v="1185732"/>
    <x v="342"/>
    <x v="1"/>
    <s v="Ohio"/>
    <s v="Columbus"/>
    <s v="Online"/>
    <x v="2"/>
    <n v="74"/>
    <n v="156"/>
    <n v="11544"/>
    <n v="4617.6000000000004"/>
  </r>
  <r>
    <x v="2"/>
    <n v="1185732"/>
    <x v="343"/>
    <x v="0"/>
    <s v="Wyoming"/>
    <s v="Cheyenne"/>
    <s v="In-store"/>
    <x v="2"/>
    <n v="60"/>
    <n v="600"/>
    <n v="36000"/>
    <n v="27000"/>
  </r>
  <r>
    <x v="1"/>
    <n v="1185732"/>
    <x v="343"/>
    <x v="0"/>
    <s v="Wyoming"/>
    <s v="Cheyenne"/>
    <s v="In-store"/>
    <x v="0"/>
    <n v="45.000000000000007"/>
    <n v="600"/>
    <n v="27000.000000000004"/>
    <n v="18900.000000000007"/>
  </r>
  <r>
    <x v="2"/>
    <n v="1185732"/>
    <x v="343"/>
    <x v="0"/>
    <s v="Wyoming"/>
    <s v="Cheyenne"/>
    <s v="In-store"/>
    <x v="1"/>
    <n v="55.000000000000007"/>
    <n v="500"/>
    <n v="27500.000000000004"/>
    <n v="19250.000000000007"/>
  </r>
  <r>
    <x v="2"/>
    <n v="1185732"/>
    <x v="343"/>
    <x v="4"/>
    <s v="Pennsylvania"/>
    <s v="Philadelphia"/>
    <s v="Outlet"/>
    <x v="0"/>
    <n v="50"/>
    <n v="275"/>
    <n v="13750"/>
    <n v="9625"/>
  </r>
  <r>
    <x v="0"/>
    <n v="1185732"/>
    <x v="343"/>
    <x v="0"/>
    <s v="Utah"/>
    <s v="Salt Lake City"/>
    <s v="In-store"/>
    <x v="3"/>
    <n v="30.000000000000004"/>
    <n v="450"/>
    <n v="13500.000000000002"/>
    <n v="8775.0000000000036"/>
  </r>
  <r>
    <x v="0"/>
    <n v="1185732"/>
    <x v="343"/>
    <x v="0"/>
    <s v="Utah"/>
    <s v="Salt Lake City"/>
    <s v="In-store"/>
    <x v="0"/>
    <n v="30.000000000000004"/>
    <n v="500"/>
    <n v="15000.000000000002"/>
    <n v="9750.0000000000036"/>
  </r>
  <r>
    <x v="4"/>
    <n v="1185732"/>
    <x v="343"/>
    <x v="4"/>
    <s v="Vermont"/>
    <s v="Burlington"/>
    <s v="In-store"/>
    <x v="5"/>
    <n v="60.000000000000007"/>
    <n v="325"/>
    <n v="19500.000000000004"/>
    <n v="12675.000000000004"/>
  </r>
  <r>
    <x v="2"/>
    <n v="1185732"/>
    <x v="343"/>
    <x v="0"/>
    <s v="Wyoming"/>
    <s v="Cheyenne"/>
    <s v="In-store"/>
    <x v="3"/>
    <n v="45.000000000000007"/>
    <n v="550"/>
    <n v="24750.000000000004"/>
    <n v="16087.500000000004"/>
  </r>
  <r>
    <x v="2"/>
    <n v="1185732"/>
    <x v="343"/>
    <x v="0"/>
    <s v="Wyoming"/>
    <s v="Cheyenne"/>
    <s v="In-store"/>
    <x v="5"/>
    <n v="45.000000000000007"/>
    <n v="500"/>
    <n v="22500.000000000004"/>
    <n v="14625.000000000004"/>
  </r>
  <r>
    <x v="0"/>
    <n v="1185732"/>
    <x v="343"/>
    <x v="0"/>
    <s v="Utah"/>
    <s v="Salt Lake City"/>
    <s v="In-store"/>
    <x v="1"/>
    <n v="40"/>
    <n v="400"/>
    <n v="16000"/>
    <n v="10400"/>
  </r>
  <r>
    <x v="4"/>
    <n v="1185732"/>
    <x v="343"/>
    <x v="4"/>
    <s v="Vermont"/>
    <s v="Burlington"/>
    <s v="In-store"/>
    <x v="3"/>
    <n v="60.000000000000007"/>
    <n v="375"/>
    <n v="22500.000000000004"/>
    <n v="14625.000000000004"/>
  </r>
  <r>
    <x v="4"/>
    <n v="1185732"/>
    <x v="343"/>
    <x v="4"/>
    <s v="Vermont"/>
    <s v="Burlington"/>
    <s v="In-store"/>
    <x v="1"/>
    <n v="70"/>
    <n v="325"/>
    <n v="22750"/>
    <n v="14787.5"/>
  </r>
  <r>
    <x v="0"/>
    <n v="1185732"/>
    <x v="343"/>
    <x v="0"/>
    <s v="Utah"/>
    <s v="Salt Lake City"/>
    <s v="In-store"/>
    <x v="4"/>
    <n v="40"/>
    <n v="700"/>
    <n v="28000"/>
    <n v="16800"/>
  </r>
  <r>
    <x v="4"/>
    <n v="1185732"/>
    <x v="343"/>
    <x v="4"/>
    <s v="Vermont"/>
    <s v="Burlington"/>
    <s v="In-store"/>
    <x v="2"/>
    <n v="75"/>
    <n v="425"/>
    <n v="31875"/>
    <n v="19125"/>
  </r>
  <r>
    <x v="0"/>
    <n v="1185732"/>
    <x v="343"/>
    <x v="0"/>
    <s v="Utah"/>
    <s v="Salt Lake City"/>
    <s v="In-store"/>
    <x v="5"/>
    <n v="30.000000000000004"/>
    <n v="400"/>
    <n v="12000.000000000002"/>
    <n v="7200"/>
  </r>
  <r>
    <x v="4"/>
    <n v="1185732"/>
    <x v="343"/>
    <x v="4"/>
    <s v="Vermont"/>
    <s v="Burlington"/>
    <s v="In-store"/>
    <x v="4"/>
    <n v="70"/>
    <n v="600"/>
    <n v="42000"/>
    <n v="23100"/>
  </r>
  <r>
    <x v="4"/>
    <n v="1185732"/>
    <x v="343"/>
    <x v="4"/>
    <s v="Vermont"/>
    <s v="Burlington"/>
    <s v="In-store"/>
    <x v="0"/>
    <n v="60.000000000000007"/>
    <n v="400"/>
    <n v="24000.000000000004"/>
    <n v="13200"/>
  </r>
  <r>
    <x v="1"/>
    <n v="1185732"/>
    <x v="343"/>
    <x v="0"/>
    <s v="Wyoming"/>
    <s v="Cheyenne"/>
    <s v="In-store"/>
    <x v="4"/>
    <n v="55.000000000000007"/>
    <n v="800"/>
    <n v="44000.000000000007"/>
    <n v="22000.000000000004"/>
  </r>
  <r>
    <x v="0"/>
    <n v="1185732"/>
    <x v="343"/>
    <x v="0"/>
    <s v="Utah"/>
    <s v="Salt Lake City"/>
    <s v="In-store"/>
    <x v="2"/>
    <n v="44.999999999999986"/>
    <n v="500"/>
    <n v="22499.999999999993"/>
    <n v="11249.999999999996"/>
  </r>
  <r>
    <x v="2"/>
    <n v="1185732"/>
    <x v="343"/>
    <x v="4"/>
    <s v="Pennsylvania"/>
    <s v="Philadelphia"/>
    <s v="Outlet"/>
    <x v="0"/>
    <n v="40"/>
    <n v="91"/>
    <n v="3640"/>
    <n v="2402.4"/>
  </r>
  <r>
    <x v="2"/>
    <n v="1185732"/>
    <x v="343"/>
    <x v="0"/>
    <s v="Wyoming"/>
    <s v="Cheyenne"/>
    <s v="Online"/>
    <x v="2"/>
    <n v="56"/>
    <n v="174"/>
    <n v="9744"/>
    <n v="6236.16"/>
  </r>
  <r>
    <x v="0"/>
    <n v="1185732"/>
    <x v="343"/>
    <x v="0"/>
    <s v="Utah"/>
    <s v="Salt Lake City"/>
    <s v="Outlet"/>
    <x v="3"/>
    <n v="20"/>
    <n v="153"/>
    <n v="3060"/>
    <n v="1927.8"/>
  </r>
  <r>
    <x v="4"/>
    <n v="1185732"/>
    <x v="343"/>
    <x v="4"/>
    <s v="Vermont"/>
    <s v="Burlington"/>
    <s v="Outlet"/>
    <x v="3"/>
    <n v="44"/>
    <n v="131"/>
    <n v="5764"/>
    <n v="3458.4"/>
  </r>
  <r>
    <x v="2"/>
    <n v="1185732"/>
    <x v="343"/>
    <x v="4"/>
    <s v="Pennsylvania"/>
    <s v="Philadelphia"/>
    <s v="Online"/>
    <x v="0"/>
    <n v="48"/>
    <n v="80"/>
    <n v="3840"/>
    <n v="2304"/>
  </r>
  <r>
    <x v="1"/>
    <n v="1185732"/>
    <x v="343"/>
    <x v="0"/>
    <s v="Wyoming"/>
    <s v="Cheyenne"/>
    <s v="Online"/>
    <x v="0"/>
    <n v="44"/>
    <n v="168"/>
    <n v="7392"/>
    <n v="4361.2800000000007"/>
  </r>
  <r>
    <x v="0"/>
    <n v="1185732"/>
    <x v="343"/>
    <x v="0"/>
    <s v="Utah"/>
    <s v="Salt Lake City"/>
    <s v="Outlet"/>
    <x v="1"/>
    <n v="27"/>
    <n v="124"/>
    <n v="3348"/>
    <n v="1975.3200000000002"/>
  </r>
  <r>
    <x v="4"/>
    <n v="1185732"/>
    <x v="343"/>
    <x v="4"/>
    <s v="Vermont"/>
    <s v="Burlington"/>
    <s v="Outlet"/>
    <x v="5"/>
    <n v="44"/>
    <n v="101"/>
    <n v="4444"/>
    <n v="2577.52"/>
  </r>
  <r>
    <x v="4"/>
    <n v="1185732"/>
    <x v="343"/>
    <x v="4"/>
    <s v="Vermont"/>
    <s v="Burlington"/>
    <s v="Outlet"/>
    <x v="1"/>
    <n v="48"/>
    <n v="104"/>
    <n v="4992"/>
    <n v="2895.36"/>
  </r>
  <r>
    <x v="0"/>
    <n v="1185732"/>
    <x v="343"/>
    <x v="0"/>
    <s v="Utah"/>
    <s v="Salt Lake City"/>
    <s v="Outlet"/>
    <x v="0"/>
    <n v="22"/>
    <n v="170"/>
    <n v="3740"/>
    <n v="2169.1999999999998"/>
  </r>
  <r>
    <x v="0"/>
    <n v="1185732"/>
    <x v="343"/>
    <x v="0"/>
    <s v="Utah"/>
    <s v="Salt Lake City"/>
    <s v="Outlet"/>
    <x v="5"/>
    <n v="22"/>
    <n v="136"/>
    <n v="2992"/>
    <n v="1735.36"/>
  </r>
  <r>
    <x v="4"/>
    <n v="1185732"/>
    <x v="343"/>
    <x v="4"/>
    <s v="Vermont"/>
    <s v="Burlington"/>
    <s v="Online"/>
    <x v="5"/>
    <n v="56"/>
    <n v="81"/>
    <n v="4536"/>
    <n v="2494.8000000000002"/>
  </r>
  <r>
    <x v="2"/>
    <n v="1185732"/>
    <x v="343"/>
    <x v="0"/>
    <s v="Wyoming"/>
    <s v="Cheyenne"/>
    <s v="Online"/>
    <x v="1"/>
    <n v="54"/>
    <n v="145"/>
    <n v="7830"/>
    <n v="4306.5"/>
  </r>
  <r>
    <x v="2"/>
    <n v="1185732"/>
    <x v="343"/>
    <x v="0"/>
    <s v="Wyoming"/>
    <s v="Cheyenne"/>
    <s v="Online"/>
    <x v="3"/>
    <n v="44"/>
    <n v="165"/>
    <n v="7260"/>
    <n v="3920.4"/>
  </r>
  <r>
    <x v="0"/>
    <n v="1185732"/>
    <x v="343"/>
    <x v="0"/>
    <s v="Utah"/>
    <s v="Salt Lake City"/>
    <s v="Outlet"/>
    <x v="4"/>
    <n v="29"/>
    <n v="231"/>
    <n v="6699"/>
    <n v="3617.46"/>
  </r>
  <r>
    <x v="0"/>
    <n v="1185732"/>
    <x v="343"/>
    <x v="0"/>
    <s v="Utah"/>
    <s v="Salt Lake City"/>
    <s v="Online"/>
    <x v="3"/>
    <n v="29"/>
    <n v="113"/>
    <n v="3277"/>
    <n v="1736.8100000000002"/>
  </r>
  <r>
    <x v="4"/>
    <n v="1185732"/>
    <x v="343"/>
    <x v="4"/>
    <s v="Vermont"/>
    <s v="Burlington"/>
    <s v="Online"/>
    <x v="3"/>
    <n v="55"/>
    <n v="113"/>
    <n v="6215"/>
    <n v="3293.9500000000003"/>
  </r>
  <r>
    <x v="4"/>
    <n v="1185732"/>
    <x v="343"/>
    <x v="4"/>
    <s v="Vermont"/>
    <s v="Burlington"/>
    <s v="Outlet"/>
    <x v="2"/>
    <n v="60"/>
    <n v="145"/>
    <n v="8700"/>
    <n v="4611"/>
  </r>
  <r>
    <x v="4"/>
    <n v="1185732"/>
    <x v="343"/>
    <x v="4"/>
    <s v="Vermont"/>
    <s v="Burlington"/>
    <s v="Online"/>
    <x v="1"/>
    <n v="67"/>
    <n v="81"/>
    <n v="5427"/>
    <n v="2822.04"/>
  </r>
  <r>
    <x v="4"/>
    <n v="1185732"/>
    <x v="343"/>
    <x v="4"/>
    <s v="Vermont"/>
    <s v="Burlington"/>
    <s v="Outlet"/>
    <x v="4"/>
    <n v="48"/>
    <n v="186"/>
    <n v="8928"/>
    <n v="4642.5600000000004"/>
  </r>
  <r>
    <x v="0"/>
    <n v="1185732"/>
    <x v="343"/>
    <x v="0"/>
    <s v="Utah"/>
    <s v="Salt Lake City"/>
    <s v="Online"/>
    <x v="0"/>
    <n v="28"/>
    <n v="145"/>
    <n v="4060"/>
    <n v="2070.6000000000004"/>
  </r>
  <r>
    <x v="2"/>
    <n v="1185732"/>
    <x v="343"/>
    <x v="0"/>
    <s v="Wyoming"/>
    <s v="Cheyenne"/>
    <s v="Online"/>
    <x v="5"/>
    <n v="44"/>
    <n v="135"/>
    <n v="5940"/>
    <n v="3029.4"/>
  </r>
  <r>
    <x v="0"/>
    <n v="1185732"/>
    <x v="343"/>
    <x v="0"/>
    <s v="Utah"/>
    <s v="Salt Lake City"/>
    <s v="Online"/>
    <x v="1"/>
    <n v="38"/>
    <n v="112"/>
    <n v="4256"/>
    <n v="2128"/>
  </r>
  <r>
    <x v="0"/>
    <n v="1185732"/>
    <x v="343"/>
    <x v="0"/>
    <s v="Utah"/>
    <s v="Salt Lake City"/>
    <s v="Online"/>
    <x v="5"/>
    <n v="27"/>
    <n v="112"/>
    <n v="3024"/>
    <n v="1481.76"/>
  </r>
  <r>
    <x v="4"/>
    <n v="1185732"/>
    <x v="343"/>
    <x v="4"/>
    <s v="Vermont"/>
    <s v="Burlington"/>
    <s v="Outlet"/>
    <x v="0"/>
    <n v="41"/>
    <n v="132"/>
    <n v="5412"/>
    <n v="2651.88"/>
  </r>
  <r>
    <x v="4"/>
    <n v="1185732"/>
    <x v="343"/>
    <x v="4"/>
    <s v="Vermont"/>
    <s v="Burlington"/>
    <s v="Online"/>
    <x v="2"/>
    <n v="68"/>
    <n v="106"/>
    <n v="7208"/>
    <n v="3459.8399999999997"/>
  </r>
  <r>
    <x v="0"/>
    <n v="1185732"/>
    <x v="343"/>
    <x v="0"/>
    <s v="Utah"/>
    <s v="Salt Lake City"/>
    <s v="Outlet"/>
    <x v="2"/>
    <n v="29"/>
    <n v="170"/>
    <n v="4930"/>
    <n v="2366.4"/>
  </r>
  <r>
    <x v="0"/>
    <n v="1185732"/>
    <x v="343"/>
    <x v="0"/>
    <s v="Utah"/>
    <s v="Salt Lake City"/>
    <s v="Online"/>
    <x v="4"/>
    <n v="39"/>
    <n v="203"/>
    <n v="7917"/>
    <n v="3562.6499999999996"/>
  </r>
  <r>
    <x v="4"/>
    <n v="1185732"/>
    <x v="343"/>
    <x v="4"/>
    <s v="Vermont"/>
    <s v="Burlington"/>
    <s v="Online"/>
    <x v="0"/>
    <n v="55"/>
    <n v="100"/>
    <n v="5500"/>
    <n v="2474.9999999999995"/>
  </r>
  <r>
    <x v="4"/>
    <n v="1185732"/>
    <x v="343"/>
    <x v="4"/>
    <s v="Vermont"/>
    <s v="Burlington"/>
    <s v="Online"/>
    <x v="4"/>
    <n v="64"/>
    <n v="168"/>
    <n v="10752"/>
    <n v="4300.8"/>
  </r>
  <r>
    <x v="1"/>
    <n v="1185732"/>
    <x v="343"/>
    <x v="0"/>
    <s v="Wyoming"/>
    <s v="Cheyenne"/>
    <s v="Online"/>
    <x v="4"/>
    <n v="52"/>
    <n v="224"/>
    <n v="11648"/>
    <n v="4542.72"/>
  </r>
  <r>
    <x v="0"/>
    <n v="1185732"/>
    <x v="343"/>
    <x v="0"/>
    <s v="Utah"/>
    <s v="Salt Lake City"/>
    <s v="Online"/>
    <x v="2"/>
    <n v="42"/>
    <n v="125"/>
    <n v="5250"/>
    <n v="2047.5"/>
  </r>
  <r>
    <x v="3"/>
    <n v="1185732"/>
    <x v="344"/>
    <x v="1"/>
    <s v="South Dakota"/>
    <s v="Sioux Falls"/>
    <s v="Online"/>
    <x v="0"/>
    <n v="50"/>
    <n v="300"/>
    <n v="15000"/>
    <n v="10500"/>
  </r>
  <r>
    <x v="3"/>
    <n v="1185732"/>
    <x v="344"/>
    <x v="1"/>
    <s v="South Dakota"/>
    <s v="Sioux Falls"/>
    <s v="Online"/>
    <x v="3"/>
    <n v="50"/>
    <n v="250"/>
    <n v="12500"/>
    <n v="8750"/>
  </r>
  <r>
    <x v="3"/>
    <n v="1185732"/>
    <x v="344"/>
    <x v="1"/>
    <s v="South Dakota"/>
    <s v="Sioux Falls"/>
    <s v="Online"/>
    <x v="5"/>
    <n v="50"/>
    <n v="200"/>
    <n v="10000"/>
    <n v="7000"/>
  </r>
  <r>
    <x v="2"/>
    <n v="1185732"/>
    <x v="344"/>
    <x v="4"/>
    <s v="Pennsylvania"/>
    <s v="Philadelphia"/>
    <s v="Outlet"/>
    <x v="3"/>
    <n v="45"/>
    <n v="200"/>
    <n v="9000"/>
    <n v="5850"/>
  </r>
  <r>
    <x v="3"/>
    <n v="1185732"/>
    <x v="344"/>
    <x v="1"/>
    <s v="South Dakota"/>
    <s v="Sioux Falls"/>
    <s v="Online"/>
    <x v="4"/>
    <n v="60"/>
    <n v="500"/>
    <n v="30000"/>
    <n v="19500"/>
  </r>
  <r>
    <x v="3"/>
    <n v="1185732"/>
    <x v="344"/>
    <x v="1"/>
    <s v="South Dakota"/>
    <s v="Sioux Falls"/>
    <s v="Online"/>
    <x v="1"/>
    <n v="60"/>
    <n v="200"/>
    <n v="12000"/>
    <n v="7800"/>
  </r>
  <r>
    <x v="3"/>
    <n v="1185732"/>
    <x v="344"/>
    <x v="1"/>
    <s v="South Dakota"/>
    <s v="Sioux Falls"/>
    <s v="Online"/>
    <x v="2"/>
    <n v="64.999999999999986"/>
    <n v="300"/>
    <n v="19499.999999999996"/>
    <n v="11699.999999999998"/>
  </r>
  <r>
    <x v="2"/>
    <n v="1185732"/>
    <x v="344"/>
    <x v="4"/>
    <s v="Pennsylvania"/>
    <s v="Philadelphia"/>
    <s v="Outlet"/>
    <x v="3"/>
    <n v="32"/>
    <n v="60"/>
    <n v="1920"/>
    <n v="1152"/>
  </r>
  <r>
    <x v="3"/>
    <n v="1185732"/>
    <x v="344"/>
    <x v="1"/>
    <s v="South Dakota"/>
    <s v="Sioux Falls"/>
    <s v="Online"/>
    <x v="3"/>
    <n v="45"/>
    <n v="73"/>
    <n v="3285"/>
    <n v="1905.3"/>
  </r>
  <r>
    <x v="3"/>
    <n v="1185732"/>
    <x v="344"/>
    <x v="1"/>
    <s v="South Dakota"/>
    <s v="Sioux Falls"/>
    <s v="Online"/>
    <x v="0"/>
    <n v="45"/>
    <n v="75"/>
    <n v="3375"/>
    <n v="1923.75"/>
  </r>
  <r>
    <x v="3"/>
    <n v="1185732"/>
    <x v="344"/>
    <x v="1"/>
    <s v="South Dakota"/>
    <s v="Sioux Falls"/>
    <s v="Online"/>
    <x v="1"/>
    <n v="56"/>
    <n v="50"/>
    <n v="2800"/>
    <n v="1540.0000000000002"/>
  </r>
  <r>
    <x v="2"/>
    <n v="1185732"/>
    <x v="344"/>
    <x v="4"/>
    <s v="Pennsylvania"/>
    <s v="Philadelphia"/>
    <s v="Online"/>
    <x v="3"/>
    <n v="41"/>
    <n v="50"/>
    <n v="2050"/>
    <n v="1127.5"/>
  </r>
  <r>
    <x v="3"/>
    <n v="1185732"/>
    <x v="344"/>
    <x v="1"/>
    <s v="South Dakota"/>
    <s v="Sioux Falls"/>
    <s v="Online"/>
    <x v="5"/>
    <n v="45"/>
    <n v="50"/>
    <n v="2250"/>
    <n v="1237.5"/>
  </r>
  <r>
    <x v="3"/>
    <n v="1185732"/>
    <x v="344"/>
    <x v="1"/>
    <s v="South Dakota"/>
    <s v="Sioux Falls"/>
    <s v="Online"/>
    <x v="4"/>
    <n v="58"/>
    <n v="140"/>
    <n v="8120"/>
    <n v="4384.8"/>
  </r>
  <r>
    <x v="3"/>
    <n v="1185732"/>
    <x v="344"/>
    <x v="1"/>
    <s v="South Dakota"/>
    <s v="Sioux Falls"/>
    <s v="Online"/>
    <x v="2"/>
    <n v="64"/>
    <n v="75"/>
    <n v="4800"/>
    <n v="2304"/>
  </r>
  <r>
    <x v="2"/>
    <n v="1128299"/>
    <x v="345"/>
    <x v="3"/>
    <s v="Georgia"/>
    <s v="Atlanta"/>
    <s v="Online"/>
    <x v="2"/>
    <n v="70"/>
    <n v="500"/>
    <n v="35000"/>
    <n v="26250"/>
  </r>
  <r>
    <x v="2"/>
    <n v="1197831"/>
    <x v="345"/>
    <x v="1"/>
    <s v="Kansas"/>
    <s v="Wichita"/>
    <s v="Online"/>
    <x v="5"/>
    <n v="60.000000000000007"/>
    <n v="300"/>
    <n v="18000.000000000004"/>
    <n v="11700.000000000004"/>
  </r>
  <r>
    <x v="2"/>
    <n v="1185732"/>
    <x v="345"/>
    <x v="4"/>
    <s v="Pennsylvania"/>
    <s v="Philadelphia"/>
    <s v="Outlet"/>
    <x v="5"/>
    <n v="45"/>
    <n v="175"/>
    <n v="7875"/>
    <n v="5118.75"/>
  </r>
  <r>
    <x v="2"/>
    <n v="1128299"/>
    <x v="345"/>
    <x v="3"/>
    <s v="Georgia"/>
    <s v="Atlanta"/>
    <s v="Online"/>
    <x v="3"/>
    <n v="55.000000000000007"/>
    <n v="475"/>
    <n v="26125.000000000004"/>
    <n v="16981.250000000004"/>
  </r>
  <r>
    <x v="2"/>
    <n v="1128299"/>
    <x v="345"/>
    <x v="3"/>
    <s v="Georgia"/>
    <s v="Atlanta"/>
    <s v="Online"/>
    <x v="1"/>
    <n v="65"/>
    <n v="400"/>
    <n v="26000"/>
    <n v="16900"/>
  </r>
  <r>
    <x v="2"/>
    <n v="1197831"/>
    <x v="345"/>
    <x v="1"/>
    <s v="Kansas"/>
    <s v="Wichita"/>
    <s v="Online"/>
    <x v="4"/>
    <n v="70"/>
    <n v="600"/>
    <n v="42000"/>
    <n v="27300"/>
  </r>
  <r>
    <x v="2"/>
    <n v="1197831"/>
    <x v="345"/>
    <x v="1"/>
    <s v="Kansas"/>
    <s v="Wichita"/>
    <s v="Online"/>
    <x v="0"/>
    <n v="60.000000000000007"/>
    <n v="400"/>
    <n v="24000.000000000004"/>
    <n v="15600.000000000004"/>
  </r>
  <r>
    <x v="2"/>
    <n v="1197831"/>
    <x v="345"/>
    <x v="1"/>
    <s v="Kansas"/>
    <s v="Wichita"/>
    <s v="Online"/>
    <x v="3"/>
    <n v="60.000000000000007"/>
    <n v="350"/>
    <n v="21000.000000000004"/>
    <n v="13650.000000000004"/>
  </r>
  <r>
    <x v="2"/>
    <n v="1197831"/>
    <x v="345"/>
    <x v="1"/>
    <s v="Kansas"/>
    <s v="Wichita"/>
    <s v="Online"/>
    <x v="1"/>
    <n v="70"/>
    <n v="300"/>
    <n v="21000"/>
    <n v="13650"/>
  </r>
  <r>
    <x v="2"/>
    <n v="1197831"/>
    <x v="345"/>
    <x v="1"/>
    <s v="Kansas"/>
    <s v="Wichita"/>
    <s v="Online"/>
    <x v="2"/>
    <n v="75"/>
    <n v="400"/>
    <n v="30000"/>
    <n v="19500"/>
  </r>
  <r>
    <x v="3"/>
    <n v="1128299"/>
    <x v="345"/>
    <x v="3"/>
    <s v="Georgia"/>
    <s v="Atlanta"/>
    <s v="Online"/>
    <x v="4"/>
    <n v="55.000000000000007"/>
    <n v="675"/>
    <n v="37125.000000000007"/>
    <n v="22275.000000000004"/>
  </r>
  <r>
    <x v="3"/>
    <n v="1128299"/>
    <x v="345"/>
    <x v="3"/>
    <s v="Georgia"/>
    <s v="Atlanta"/>
    <s v="Online"/>
    <x v="0"/>
    <n v="60.000000000000007"/>
    <n v="675"/>
    <n v="40500.000000000007"/>
    <n v="24300.000000000004"/>
  </r>
  <r>
    <x v="2"/>
    <n v="1128299"/>
    <x v="345"/>
    <x v="3"/>
    <s v="Georgia"/>
    <s v="Atlanta"/>
    <s v="Online"/>
    <x v="5"/>
    <n v="55.000000000000007"/>
    <n v="475"/>
    <n v="26125.000000000004"/>
    <n v="15675"/>
  </r>
  <r>
    <x v="2"/>
    <n v="1128299"/>
    <x v="345"/>
    <x v="3"/>
    <s v="Georgia"/>
    <s v="Atlanta"/>
    <s v="Outlet"/>
    <x v="2"/>
    <n v="47"/>
    <n v="160"/>
    <n v="7520"/>
    <n v="5264"/>
  </r>
  <r>
    <x v="2"/>
    <n v="1128299"/>
    <x v="345"/>
    <x v="3"/>
    <s v="Georgia"/>
    <s v="Atlanta"/>
    <s v="Online"/>
    <x v="2"/>
    <n v="64"/>
    <n v="135"/>
    <n v="8640"/>
    <n v="5616"/>
  </r>
  <r>
    <x v="2"/>
    <n v="1128299"/>
    <x v="345"/>
    <x v="3"/>
    <s v="Georgia"/>
    <s v="Atlanta"/>
    <s v="Outlet"/>
    <x v="1"/>
    <n v="44"/>
    <n v="120"/>
    <n v="5280"/>
    <n v="3273.6"/>
  </r>
  <r>
    <x v="2"/>
    <n v="1185732"/>
    <x v="345"/>
    <x v="4"/>
    <s v="Pennsylvania"/>
    <s v="Philadelphia"/>
    <s v="Outlet"/>
    <x v="5"/>
    <n v="32"/>
    <n v="53"/>
    <n v="1696"/>
    <n v="1000.64"/>
  </r>
  <r>
    <x v="2"/>
    <n v="1128299"/>
    <x v="345"/>
    <x v="3"/>
    <s v="Georgia"/>
    <s v="Atlanta"/>
    <s v="Outlet"/>
    <x v="3"/>
    <n v="36"/>
    <n v="147"/>
    <n v="5292"/>
    <n v="3069.36"/>
  </r>
  <r>
    <x v="2"/>
    <n v="1128299"/>
    <x v="345"/>
    <x v="3"/>
    <s v="Georgia"/>
    <s v="Atlanta"/>
    <s v="Outlet"/>
    <x v="5"/>
    <n v="40"/>
    <n v="143"/>
    <n v="5720"/>
    <n v="3260.3999999999996"/>
  </r>
  <r>
    <x v="2"/>
    <n v="1197831"/>
    <x v="345"/>
    <x v="1"/>
    <s v="Kansas"/>
    <s v="Wichita"/>
    <s v="Online"/>
    <x v="5"/>
    <n v="59"/>
    <n v="90"/>
    <n v="5310"/>
    <n v="2920.5000000000005"/>
  </r>
  <r>
    <x v="2"/>
    <n v="1197831"/>
    <x v="345"/>
    <x v="1"/>
    <s v="Kansas"/>
    <s v="Wichita"/>
    <s v="Online"/>
    <x v="3"/>
    <n v="58"/>
    <n v="95"/>
    <n v="5510"/>
    <n v="2975.4"/>
  </r>
  <r>
    <x v="2"/>
    <n v="1197831"/>
    <x v="345"/>
    <x v="1"/>
    <s v="Kansas"/>
    <s v="Wichita"/>
    <s v="Online"/>
    <x v="2"/>
    <n v="68"/>
    <n v="112"/>
    <n v="7616"/>
    <n v="4112.6400000000003"/>
  </r>
  <r>
    <x v="2"/>
    <n v="1185732"/>
    <x v="345"/>
    <x v="4"/>
    <s v="Pennsylvania"/>
    <s v="Philadelphia"/>
    <s v="Online"/>
    <x v="5"/>
    <n v="41"/>
    <n v="53"/>
    <n v="2173"/>
    <n v="1151.69"/>
  </r>
  <r>
    <x v="3"/>
    <n v="1128299"/>
    <x v="345"/>
    <x v="3"/>
    <s v="Georgia"/>
    <s v="Atlanta"/>
    <s v="Outlet"/>
    <x v="4"/>
    <n v="42"/>
    <n v="209"/>
    <n v="8778"/>
    <n v="4652.34"/>
  </r>
  <r>
    <x v="3"/>
    <n v="1128299"/>
    <x v="345"/>
    <x v="3"/>
    <s v="Georgia"/>
    <s v="Atlanta"/>
    <s v="Outlet"/>
    <x v="0"/>
    <n v="39"/>
    <n v="223"/>
    <n v="8697"/>
    <n v="4609.41"/>
  </r>
  <r>
    <x v="2"/>
    <n v="1128299"/>
    <x v="345"/>
    <x v="3"/>
    <s v="Georgia"/>
    <s v="Atlanta"/>
    <s v="Online"/>
    <x v="3"/>
    <n v="53"/>
    <n v="138"/>
    <n v="7314"/>
    <n v="3657"/>
  </r>
  <r>
    <x v="2"/>
    <n v="1128299"/>
    <x v="345"/>
    <x v="3"/>
    <s v="Georgia"/>
    <s v="Atlanta"/>
    <s v="Online"/>
    <x v="5"/>
    <n v="51"/>
    <n v="128"/>
    <n v="6528"/>
    <n v="3264"/>
  </r>
  <r>
    <x v="2"/>
    <n v="1128299"/>
    <x v="345"/>
    <x v="3"/>
    <s v="Georgia"/>
    <s v="Atlanta"/>
    <s v="Online"/>
    <x v="1"/>
    <n v="64"/>
    <n v="116"/>
    <n v="7424"/>
    <n v="3712"/>
  </r>
  <r>
    <x v="2"/>
    <n v="1197831"/>
    <x v="345"/>
    <x v="1"/>
    <s v="Kansas"/>
    <s v="Wichita"/>
    <s v="Online"/>
    <x v="4"/>
    <n v="66"/>
    <n v="150"/>
    <n v="9900"/>
    <n v="4950"/>
  </r>
  <r>
    <x v="2"/>
    <n v="1197831"/>
    <x v="345"/>
    <x v="1"/>
    <s v="Kansas"/>
    <s v="Wichita"/>
    <s v="Online"/>
    <x v="0"/>
    <n v="59"/>
    <n v="120"/>
    <n v="7080"/>
    <n v="3540"/>
  </r>
  <r>
    <x v="2"/>
    <n v="1197831"/>
    <x v="345"/>
    <x v="1"/>
    <s v="Kansas"/>
    <s v="Wichita"/>
    <s v="Online"/>
    <x v="1"/>
    <n v="64"/>
    <n v="81"/>
    <n v="5184"/>
    <n v="2592"/>
  </r>
  <r>
    <x v="3"/>
    <n v="1128299"/>
    <x v="345"/>
    <x v="3"/>
    <s v="Georgia"/>
    <s v="Atlanta"/>
    <s v="Online"/>
    <x v="0"/>
    <n v="58"/>
    <n v="189"/>
    <n v="10962"/>
    <n v="5152.1399999999994"/>
  </r>
  <r>
    <x v="3"/>
    <n v="1128299"/>
    <x v="345"/>
    <x v="3"/>
    <s v="Georgia"/>
    <s v="Atlanta"/>
    <s v="Online"/>
    <x v="4"/>
    <n v="50"/>
    <n v="203"/>
    <n v="10150"/>
    <n v="4567.5"/>
  </r>
  <r>
    <x v="4"/>
    <n v="1185732"/>
    <x v="346"/>
    <x v="4"/>
    <s v="Massachusetts"/>
    <s v="Boston"/>
    <s v="In-store"/>
    <x v="3"/>
    <n v="55.000000000000007"/>
    <n v="350"/>
    <n v="19250.000000000004"/>
    <n v="14437.500000000004"/>
  </r>
  <r>
    <x v="4"/>
    <n v="1185732"/>
    <x v="346"/>
    <x v="4"/>
    <s v="Massachusetts"/>
    <s v="Boston"/>
    <s v="In-store"/>
    <x v="5"/>
    <n v="55.000000000000007"/>
    <n v="300"/>
    <n v="16500.000000000004"/>
    <n v="12375.000000000004"/>
  </r>
  <r>
    <x v="4"/>
    <n v="1185732"/>
    <x v="346"/>
    <x v="4"/>
    <s v="Massachusetts"/>
    <s v="Boston"/>
    <s v="In-store"/>
    <x v="1"/>
    <n v="65"/>
    <n v="300"/>
    <n v="19500"/>
    <n v="14625"/>
  </r>
  <r>
    <x v="1"/>
    <n v="1185732"/>
    <x v="346"/>
    <x v="4"/>
    <s v="Delaware"/>
    <s v="Wilmington"/>
    <s v="In-store"/>
    <x v="1"/>
    <n v="65"/>
    <n v="325"/>
    <n v="21125"/>
    <n v="14787.5"/>
  </r>
  <r>
    <x v="4"/>
    <n v="1185732"/>
    <x v="346"/>
    <x v="4"/>
    <s v="Massachusetts"/>
    <s v="Boston"/>
    <s v="In-store"/>
    <x v="4"/>
    <n v="65"/>
    <n v="575"/>
    <n v="37375"/>
    <n v="26162.5"/>
  </r>
  <r>
    <x v="4"/>
    <n v="1185732"/>
    <x v="346"/>
    <x v="4"/>
    <s v="Massachusetts"/>
    <s v="Boston"/>
    <s v="In-store"/>
    <x v="0"/>
    <n v="55.000000000000007"/>
    <n v="375"/>
    <n v="20625.000000000004"/>
    <n v="14437.500000000004"/>
  </r>
  <r>
    <x v="4"/>
    <n v="1185732"/>
    <x v="346"/>
    <x v="4"/>
    <s v="Massachusetts"/>
    <s v="Boston"/>
    <s v="In-store"/>
    <x v="2"/>
    <n v="70"/>
    <n v="400"/>
    <n v="28000"/>
    <n v="19600"/>
  </r>
  <r>
    <x v="2"/>
    <n v="1185732"/>
    <x v="346"/>
    <x v="4"/>
    <s v="Pennsylvania"/>
    <s v="Philadelphia"/>
    <s v="Outlet"/>
    <x v="1"/>
    <n v="54.999999999999993"/>
    <n v="125"/>
    <n v="6874.9999999999991"/>
    <n v="4812.4999999999982"/>
  </r>
  <r>
    <x v="1"/>
    <n v="1185732"/>
    <x v="346"/>
    <x v="4"/>
    <s v="Delaware"/>
    <s v="Wilmington"/>
    <s v="In-store"/>
    <x v="4"/>
    <n v="65"/>
    <n v="600"/>
    <n v="39000"/>
    <n v="25350"/>
  </r>
  <r>
    <x v="1"/>
    <n v="1185732"/>
    <x v="346"/>
    <x v="4"/>
    <s v="Delaware"/>
    <s v="Wilmington"/>
    <s v="In-store"/>
    <x v="0"/>
    <n v="55.000000000000007"/>
    <n v="400"/>
    <n v="22000.000000000004"/>
    <n v="14300.000000000004"/>
  </r>
  <r>
    <x v="1"/>
    <n v="1185732"/>
    <x v="346"/>
    <x v="4"/>
    <s v="Delaware"/>
    <s v="Wilmington"/>
    <s v="In-store"/>
    <x v="3"/>
    <n v="55.000000000000007"/>
    <n v="375"/>
    <n v="20625.000000000004"/>
    <n v="12375.000000000002"/>
  </r>
  <r>
    <x v="1"/>
    <n v="1185732"/>
    <x v="346"/>
    <x v="4"/>
    <s v="Delaware"/>
    <s v="Wilmington"/>
    <s v="In-store"/>
    <x v="5"/>
    <n v="55.000000000000007"/>
    <n v="325"/>
    <n v="17875.000000000004"/>
    <n v="10725.000000000002"/>
  </r>
  <r>
    <x v="1"/>
    <n v="1185732"/>
    <x v="346"/>
    <x v="4"/>
    <s v="Delaware"/>
    <s v="Wilmington"/>
    <s v="In-store"/>
    <x v="2"/>
    <n v="70"/>
    <n v="425"/>
    <n v="29750"/>
    <n v="17850"/>
  </r>
  <r>
    <x v="4"/>
    <n v="1185732"/>
    <x v="346"/>
    <x v="4"/>
    <s v="Massachusetts"/>
    <s v="Boston"/>
    <s v="Outlet"/>
    <x v="3"/>
    <n v="36"/>
    <n v="112"/>
    <n v="4032"/>
    <n v="2943.3599999999997"/>
  </r>
  <r>
    <x v="4"/>
    <n v="1185732"/>
    <x v="346"/>
    <x v="4"/>
    <s v="Massachusetts"/>
    <s v="Boston"/>
    <s v="Outlet"/>
    <x v="5"/>
    <n v="43"/>
    <n v="105"/>
    <n v="4515"/>
    <n v="3250.8"/>
  </r>
  <r>
    <x v="4"/>
    <n v="1185732"/>
    <x v="346"/>
    <x v="4"/>
    <s v="Massachusetts"/>
    <s v="Boston"/>
    <s v="Outlet"/>
    <x v="1"/>
    <n v="52"/>
    <n v="90"/>
    <n v="4680"/>
    <n v="3322.8"/>
  </r>
  <r>
    <x v="4"/>
    <n v="1185732"/>
    <x v="346"/>
    <x v="4"/>
    <s v="Massachusetts"/>
    <s v="Boston"/>
    <s v="Outlet"/>
    <x v="0"/>
    <n v="37"/>
    <n v="113"/>
    <n v="4181"/>
    <n v="2843.08"/>
  </r>
  <r>
    <x v="4"/>
    <n v="1185732"/>
    <x v="346"/>
    <x v="4"/>
    <s v="Massachusetts"/>
    <s v="Boston"/>
    <s v="Outlet"/>
    <x v="2"/>
    <n v="51"/>
    <n v="128"/>
    <n v="6528"/>
    <n v="4373.76"/>
  </r>
  <r>
    <x v="2"/>
    <n v="1185732"/>
    <x v="346"/>
    <x v="4"/>
    <s v="Pennsylvania"/>
    <s v="Philadelphia"/>
    <s v="Outlet"/>
    <x v="1"/>
    <n v="36"/>
    <n v="41"/>
    <n v="1476"/>
    <n v="974.16000000000008"/>
  </r>
  <r>
    <x v="4"/>
    <n v="1185732"/>
    <x v="346"/>
    <x v="4"/>
    <s v="Massachusetts"/>
    <s v="Boston"/>
    <s v="Outlet"/>
    <x v="4"/>
    <n v="51"/>
    <n v="178"/>
    <n v="9078"/>
    <n v="5900.7000000000007"/>
  </r>
  <r>
    <x v="4"/>
    <n v="1185732"/>
    <x v="346"/>
    <x v="4"/>
    <s v="Massachusetts"/>
    <s v="Boston"/>
    <s v="Online"/>
    <x v="5"/>
    <n v="52"/>
    <n v="75"/>
    <n v="3900"/>
    <n v="2418"/>
  </r>
  <r>
    <x v="4"/>
    <n v="1185732"/>
    <x v="346"/>
    <x v="4"/>
    <s v="Massachusetts"/>
    <s v="Boston"/>
    <s v="Online"/>
    <x v="1"/>
    <n v="62"/>
    <n v="84"/>
    <n v="5208"/>
    <n v="3176.88"/>
  </r>
  <r>
    <x v="4"/>
    <n v="1185732"/>
    <x v="346"/>
    <x v="4"/>
    <s v="Massachusetts"/>
    <s v="Boston"/>
    <s v="Online"/>
    <x v="3"/>
    <n v="51"/>
    <n v="98"/>
    <n v="4998"/>
    <n v="3048.7799999999997"/>
  </r>
  <r>
    <x v="1"/>
    <n v="1185732"/>
    <x v="346"/>
    <x v="4"/>
    <s v="Delaware"/>
    <s v="Wilmington"/>
    <s v="Online"/>
    <x v="1"/>
    <n v="61"/>
    <n v="91"/>
    <n v="5551"/>
    <n v="3330.6"/>
  </r>
  <r>
    <x v="4"/>
    <n v="1185732"/>
    <x v="346"/>
    <x v="4"/>
    <s v="Massachusetts"/>
    <s v="Boston"/>
    <s v="Online"/>
    <x v="0"/>
    <n v="53"/>
    <n v="105"/>
    <n v="5565"/>
    <n v="3339"/>
  </r>
  <r>
    <x v="4"/>
    <n v="1185732"/>
    <x v="346"/>
    <x v="4"/>
    <s v="Massachusetts"/>
    <s v="Boston"/>
    <s v="Online"/>
    <x v="4"/>
    <n v="64"/>
    <n v="150"/>
    <n v="9600"/>
    <n v="5664"/>
  </r>
  <r>
    <x v="4"/>
    <n v="1185732"/>
    <x v="346"/>
    <x v="4"/>
    <s v="Massachusetts"/>
    <s v="Boston"/>
    <s v="Online"/>
    <x v="2"/>
    <n v="65"/>
    <n v="112"/>
    <n v="7280"/>
    <n v="4076.8"/>
  </r>
  <r>
    <x v="2"/>
    <n v="1185732"/>
    <x v="346"/>
    <x v="4"/>
    <s v="Pennsylvania"/>
    <s v="Philadelphia"/>
    <s v="Online"/>
    <x v="1"/>
    <n v="50"/>
    <n v="36"/>
    <n v="1800"/>
    <n v="990.00000000000011"/>
  </r>
  <r>
    <x v="1"/>
    <n v="1185732"/>
    <x v="346"/>
    <x v="4"/>
    <s v="Delaware"/>
    <s v="Wilmington"/>
    <s v="Online"/>
    <x v="4"/>
    <n v="62"/>
    <n v="168"/>
    <n v="10416"/>
    <n v="5520.4800000000005"/>
  </r>
  <r>
    <x v="1"/>
    <n v="1185732"/>
    <x v="346"/>
    <x v="4"/>
    <s v="Delaware"/>
    <s v="Wilmington"/>
    <s v="Online"/>
    <x v="0"/>
    <n v="50"/>
    <n v="100"/>
    <n v="5000"/>
    <n v="2600"/>
  </r>
  <r>
    <x v="1"/>
    <n v="1185732"/>
    <x v="346"/>
    <x v="4"/>
    <s v="Delaware"/>
    <s v="Wilmington"/>
    <s v="Online"/>
    <x v="2"/>
    <n v="65"/>
    <n v="123"/>
    <n v="7995"/>
    <n v="3997.5"/>
  </r>
  <r>
    <x v="1"/>
    <n v="1185732"/>
    <x v="346"/>
    <x v="4"/>
    <s v="Delaware"/>
    <s v="Wilmington"/>
    <s v="Online"/>
    <x v="3"/>
    <n v="50"/>
    <n v="109"/>
    <n v="5450"/>
    <n v="2507"/>
  </r>
  <r>
    <x v="1"/>
    <n v="1185732"/>
    <x v="346"/>
    <x v="4"/>
    <s v="Delaware"/>
    <s v="Wilmington"/>
    <s v="Online"/>
    <x v="5"/>
    <n v="53"/>
    <n v="98"/>
    <n v="5194"/>
    <n v="2389.2399999999998"/>
  </r>
  <r>
    <x v="2"/>
    <n v="1185732"/>
    <x v="347"/>
    <x v="4"/>
    <s v="Pennsylvania"/>
    <s v="Philadelphia"/>
    <s v="Outlet"/>
    <x v="2"/>
    <n v="60"/>
    <n v="225"/>
    <n v="13500"/>
    <n v="10125"/>
  </r>
  <r>
    <x v="2"/>
    <n v="1185732"/>
    <x v="347"/>
    <x v="4"/>
    <s v="Pennsylvania"/>
    <s v="Philadelphia"/>
    <s v="Outlet"/>
    <x v="2"/>
    <n v="48"/>
    <n v="79"/>
    <n v="3792"/>
    <n v="2616.48"/>
  </r>
  <r>
    <x v="2"/>
    <n v="1185732"/>
    <x v="347"/>
    <x v="4"/>
    <s v="Pennsylvania"/>
    <s v="Philadelphia"/>
    <s v="Online"/>
    <x v="2"/>
    <n v="55"/>
    <n v="61"/>
    <n v="3355"/>
    <n v="2013"/>
  </r>
  <r>
    <x v="2"/>
    <n v="1185732"/>
    <x v="348"/>
    <x v="1"/>
    <s v="Michigan"/>
    <s v="Detroit"/>
    <s v="In-store"/>
    <x v="3"/>
    <n v="50"/>
    <n v="600"/>
    <n v="30000"/>
    <n v="21000"/>
  </r>
  <r>
    <x v="2"/>
    <n v="1185732"/>
    <x v="348"/>
    <x v="1"/>
    <s v="Michigan"/>
    <s v="Detroit"/>
    <s v="In-store"/>
    <x v="5"/>
    <n v="50"/>
    <n v="550"/>
    <n v="27500"/>
    <n v="17875"/>
  </r>
  <r>
    <x v="3"/>
    <n v="1185732"/>
    <x v="348"/>
    <x v="1"/>
    <s v="Michigan"/>
    <s v="Detroit"/>
    <s v="In-store"/>
    <x v="0"/>
    <n v="50"/>
    <n v="650"/>
    <n v="32500"/>
    <n v="19500"/>
  </r>
  <r>
    <x v="2"/>
    <n v="1185732"/>
    <x v="348"/>
    <x v="1"/>
    <s v="Michigan"/>
    <s v="Detroit"/>
    <s v="In-store"/>
    <x v="1"/>
    <n v="60"/>
    <n v="550"/>
    <n v="33000"/>
    <n v="19800"/>
  </r>
  <r>
    <x v="2"/>
    <n v="1185732"/>
    <x v="348"/>
    <x v="4"/>
    <s v="Pennsylvania"/>
    <s v="Philadelphia"/>
    <s v="Outlet"/>
    <x v="4"/>
    <n v="60"/>
    <n v="400"/>
    <n v="24000"/>
    <n v="12000"/>
  </r>
  <r>
    <x v="3"/>
    <n v="1185732"/>
    <x v="348"/>
    <x v="1"/>
    <s v="Michigan"/>
    <s v="Detroit"/>
    <s v="In-store"/>
    <x v="4"/>
    <n v="60"/>
    <n v="850"/>
    <n v="51000"/>
    <n v="25500"/>
  </r>
  <r>
    <x v="2"/>
    <n v="1185732"/>
    <x v="348"/>
    <x v="1"/>
    <s v="Michigan"/>
    <s v="Detroit"/>
    <s v="In-store"/>
    <x v="2"/>
    <n v="64.999999999999986"/>
    <n v="650"/>
    <n v="42249.999999999993"/>
    <n v="19012.499999999993"/>
  </r>
  <r>
    <x v="2"/>
    <n v="1185732"/>
    <x v="348"/>
    <x v="1"/>
    <s v="Michigan"/>
    <s v="Detroit"/>
    <s v="Online"/>
    <x v="3"/>
    <n v="48"/>
    <n v="168"/>
    <n v="8064"/>
    <n v="4435.2000000000007"/>
  </r>
  <r>
    <x v="2"/>
    <n v="1185732"/>
    <x v="348"/>
    <x v="1"/>
    <s v="Michigan"/>
    <s v="Detroit"/>
    <s v="Online"/>
    <x v="5"/>
    <n v="48"/>
    <n v="138"/>
    <n v="6624"/>
    <n v="3444.48"/>
  </r>
  <r>
    <x v="2"/>
    <n v="1185732"/>
    <x v="348"/>
    <x v="1"/>
    <s v="Michigan"/>
    <s v="Detroit"/>
    <s v="Online"/>
    <x v="1"/>
    <n v="55"/>
    <n v="143"/>
    <n v="7865"/>
    <n v="3775.2"/>
  </r>
  <r>
    <x v="3"/>
    <n v="1185732"/>
    <x v="348"/>
    <x v="1"/>
    <s v="Michigan"/>
    <s v="Detroit"/>
    <s v="Online"/>
    <x v="0"/>
    <n v="46"/>
    <n v="176"/>
    <n v="8096"/>
    <n v="3805.12"/>
  </r>
  <r>
    <x v="2"/>
    <n v="1185732"/>
    <x v="348"/>
    <x v="4"/>
    <s v="Pennsylvania"/>
    <s v="Philadelphia"/>
    <s v="Outlet"/>
    <x v="4"/>
    <n v="47"/>
    <n v="124"/>
    <n v="5828"/>
    <n v="2739.16"/>
  </r>
  <r>
    <x v="3"/>
    <n v="1185732"/>
    <x v="348"/>
    <x v="1"/>
    <s v="Michigan"/>
    <s v="Detroit"/>
    <s v="Online"/>
    <x v="4"/>
    <n v="55"/>
    <n v="255"/>
    <n v="14025"/>
    <n v="5469.75"/>
  </r>
  <r>
    <x v="2"/>
    <n v="1185732"/>
    <x v="348"/>
    <x v="4"/>
    <s v="Pennsylvania"/>
    <s v="Philadelphia"/>
    <s v="Online"/>
    <x v="4"/>
    <n v="55"/>
    <n v="104"/>
    <n v="5720"/>
    <n v="2173.6"/>
  </r>
  <r>
    <x v="2"/>
    <n v="1185732"/>
    <x v="348"/>
    <x v="1"/>
    <s v="Michigan"/>
    <s v="Detroit"/>
    <s v="Online"/>
    <x v="2"/>
    <n v="59"/>
    <n v="163"/>
    <n v="9617"/>
    <n v="3365.95"/>
  </r>
  <r>
    <x v="0"/>
    <n v="1128299"/>
    <x v="349"/>
    <x v="3"/>
    <s v="Florida"/>
    <s v="Orlando"/>
    <s v="In-store"/>
    <x v="1"/>
    <n v="90.000000000000014"/>
    <n v="525"/>
    <n v="47250.000000000007"/>
    <n v="37800.000000000007"/>
  </r>
  <r>
    <x v="5"/>
    <n v="1128299"/>
    <x v="349"/>
    <x v="3"/>
    <s v="Florida"/>
    <s v="Orlando"/>
    <s v="In-store"/>
    <x v="0"/>
    <n v="85.000000000000014"/>
    <n v="800"/>
    <n v="68000.000000000015"/>
    <n v="51000.000000000015"/>
  </r>
  <r>
    <x v="5"/>
    <n v="1128299"/>
    <x v="349"/>
    <x v="3"/>
    <s v="Florida"/>
    <s v="Orlando"/>
    <s v="In-store"/>
    <x v="4"/>
    <n v="75.000000000000014"/>
    <n v="800"/>
    <n v="60000.000000000015"/>
    <n v="42000.000000000015"/>
  </r>
  <r>
    <x v="2"/>
    <n v="1185732"/>
    <x v="349"/>
    <x v="4"/>
    <s v="Pennsylvania"/>
    <s v="Philadelphia"/>
    <s v="Outlet"/>
    <x v="0"/>
    <n v="50"/>
    <n v="225"/>
    <n v="11250"/>
    <n v="7875"/>
  </r>
  <r>
    <x v="0"/>
    <n v="1128299"/>
    <x v="349"/>
    <x v="3"/>
    <s v="Florida"/>
    <s v="Orlando"/>
    <s v="In-store"/>
    <x v="3"/>
    <n v="80.000000000000014"/>
    <n v="600"/>
    <n v="48000.000000000007"/>
    <n v="33600.000000000007"/>
  </r>
  <r>
    <x v="0"/>
    <n v="1128299"/>
    <x v="349"/>
    <x v="3"/>
    <s v="Florida"/>
    <s v="Orlando"/>
    <s v="In-store"/>
    <x v="5"/>
    <n v="80.000000000000014"/>
    <n v="600"/>
    <n v="48000.000000000007"/>
    <n v="33600.000000000007"/>
  </r>
  <r>
    <x v="2"/>
    <n v="1128299"/>
    <x v="349"/>
    <x v="2"/>
    <s v="Louisiana"/>
    <s v="New Orleans"/>
    <s v="Online"/>
    <x v="2"/>
    <n v="90.000000000000028"/>
    <n v="625"/>
    <n v="56250.000000000015"/>
    <n v="36562.500000000015"/>
  </r>
  <r>
    <x v="3"/>
    <n v="1185732"/>
    <x v="349"/>
    <x v="2"/>
    <s v="Mississippi"/>
    <s v="Jackson"/>
    <s v="Online"/>
    <x v="0"/>
    <n v="60.000000000000007"/>
    <n v="575"/>
    <n v="34500.000000000007"/>
    <n v="22425.000000000007"/>
  </r>
  <r>
    <x v="3"/>
    <n v="1185732"/>
    <x v="349"/>
    <x v="2"/>
    <s v="Mississippi"/>
    <s v="Jackson"/>
    <s v="Online"/>
    <x v="1"/>
    <n v="70"/>
    <n v="475"/>
    <n v="33250"/>
    <n v="21612.5"/>
  </r>
  <r>
    <x v="0"/>
    <n v="1128299"/>
    <x v="349"/>
    <x v="2"/>
    <s v="Louisiana"/>
    <s v="New Orleans"/>
    <s v="Online"/>
    <x v="4"/>
    <n v="70.000000000000014"/>
    <n v="800"/>
    <n v="56000.000000000015"/>
    <n v="33600.000000000015"/>
  </r>
  <r>
    <x v="0"/>
    <n v="1128299"/>
    <x v="349"/>
    <x v="2"/>
    <s v="Louisiana"/>
    <s v="New Orleans"/>
    <s v="Online"/>
    <x v="0"/>
    <n v="80.000000000000028"/>
    <n v="800"/>
    <n v="64000.000000000022"/>
    <n v="38400.000000000015"/>
  </r>
  <r>
    <x v="2"/>
    <n v="1128299"/>
    <x v="349"/>
    <x v="2"/>
    <s v="Louisiana"/>
    <s v="New Orleans"/>
    <s v="Online"/>
    <x v="3"/>
    <n v="75.000000000000028"/>
    <n v="600"/>
    <n v="45000.000000000015"/>
    <n v="27000.000000000011"/>
  </r>
  <r>
    <x v="2"/>
    <n v="1128299"/>
    <x v="349"/>
    <x v="2"/>
    <s v="Louisiana"/>
    <s v="New Orleans"/>
    <s v="Online"/>
    <x v="5"/>
    <n v="75.000000000000028"/>
    <n v="600"/>
    <n v="45000.000000000015"/>
    <n v="27000.000000000011"/>
  </r>
  <r>
    <x v="3"/>
    <n v="1185732"/>
    <x v="349"/>
    <x v="2"/>
    <s v="Mississippi"/>
    <s v="Jackson"/>
    <s v="Online"/>
    <x v="4"/>
    <n v="70"/>
    <n v="775"/>
    <n v="54250"/>
    <n v="32550"/>
  </r>
  <r>
    <x v="3"/>
    <n v="1185732"/>
    <x v="349"/>
    <x v="2"/>
    <s v="Mississippi"/>
    <s v="Jackson"/>
    <s v="Online"/>
    <x v="3"/>
    <n v="60.000000000000007"/>
    <n v="525"/>
    <n v="31500.000000000004"/>
    <n v="18900.000000000004"/>
  </r>
  <r>
    <x v="3"/>
    <n v="1185732"/>
    <x v="349"/>
    <x v="2"/>
    <s v="Mississippi"/>
    <s v="Jackson"/>
    <s v="Online"/>
    <x v="5"/>
    <n v="60.000000000000007"/>
    <n v="475"/>
    <n v="28500.000000000004"/>
    <n v="17100.000000000004"/>
  </r>
  <r>
    <x v="2"/>
    <n v="1185732"/>
    <x v="349"/>
    <x v="4"/>
    <s v="West Virginia"/>
    <s v="Charleston"/>
    <s v="In-store"/>
    <x v="4"/>
    <n v="65"/>
    <n v="650"/>
    <n v="42250"/>
    <n v="25350"/>
  </r>
  <r>
    <x v="2"/>
    <n v="1185732"/>
    <x v="349"/>
    <x v="4"/>
    <s v="West Virginia"/>
    <s v="Charleston"/>
    <s v="In-store"/>
    <x v="5"/>
    <n v="55.000000000000007"/>
    <n v="350"/>
    <n v="19250.000000000004"/>
    <n v="11550.000000000002"/>
  </r>
  <r>
    <x v="2"/>
    <n v="1185732"/>
    <x v="349"/>
    <x v="4"/>
    <s v="West Virginia"/>
    <s v="Charleston"/>
    <s v="In-store"/>
    <x v="1"/>
    <n v="65"/>
    <n v="350"/>
    <n v="22750"/>
    <n v="13650"/>
  </r>
  <r>
    <x v="2"/>
    <n v="1185732"/>
    <x v="349"/>
    <x v="4"/>
    <s v="West Virginia"/>
    <s v="Charleston"/>
    <s v="In-store"/>
    <x v="2"/>
    <n v="70"/>
    <n v="450"/>
    <n v="31500"/>
    <n v="18900"/>
  </r>
  <r>
    <x v="2"/>
    <n v="1185732"/>
    <x v="349"/>
    <x v="4"/>
    <s v="West Virginia"/>
    <s v="Charleston"/>
    <s v="In-store"/>
    <x v="0"/>
    <n v="55.000000000000007"/>
    <n v="450"/>
    <n v="24750.000000000004"/>
    <n v="14850"/>
  </r>
  <r>
    <x v="0"/>
    <n v="1185732"/>
    <x v="349"/>
    <x v="4"/>
    <s v="West Virginia"/>
    <s v="Charleston"/>
    <s v="In-store"/>
    <x v="3"/>
    <n v="55.000000000000007"/>
    <n v="400"/>
    <n v="22000.000000000004"/>
    <n v="13200"/>
  </r>
  <r>
    <x v="0"/>
    <n v="1128299"/>
    <x v="349"/>
    <x v="3"/>
    <s v="Florida"/>
    <s v="Orlando"/>
    <s v="In-store"/>
    <x v="2"/>
    <n v="95.000000000000014"/>
    <n v="625"/>
    <n v="59375.000000000007"/>
    <n v="32656.250000000007"/>
  </r>
  <r>
    <x v="2"/>
    <n v="1128299"/>
    <x v="349"/>
    <x v="2"/>
    <s v="Louisiana"/>
    <s v="New Orleans"/>
    <s v="Online"/>
    <x v="1"/>
    <n v="85.000000000000014"/>
    <n v="525"/>
    <n v="44625.000000000007"/>
    <n v="24543.750000000004"/>
  </r>
  <r>
    <x v="3"/>
    <n v="1185732"/>
    <x v="349"/>
    <x v="2"/>
    <s v="Mississippi"/>
    <s v="Jackson"/>
    <s v="Online"/>
    <x v="2"/>
    <n v="75"/>
    <n v="575"/>
    <n v="43125"/>
    <n v="21562.5"/>
  </r>
  <r>
    <x v="0"/>
    <n v="1128299"/>
    <x v="349"/>
    <x v="3"/>
    <s v="Florida"/>
    <s v="Orlando"/>
    <s v="Outlet"/>
    <x v="1"/>
    <n v="64"/>
    <n v="179"/>
    <n v="11456"/>
    <n v="8477.44"/>
  </r>
  <r>
    <x v="5"/>
    <n v="1128299"/>
    <x v="349"/>
    <x v="3"/>
    <s v="Florida"/>
    <s v="Orlando"/>
    <s v="Outlet"/>
    <x v="0"/>
    <n v="55"/>
    <n v="256"/>
    <n v="14080"/>
    <n v="9715.2000000000007"/>
  </r>
  <r>
    <x v="2"/>
    <n v="1185732"/>
    <x v="349"/>
    <x v="4"/>
    <s v="Pennsylvania"/>
    <s v="Philadelphia"/>
    <s v="Outlet"/>
    <x v="0"/>
    <n v="35"/>
    <n v="68"/>
    <n v="2380"/>
    <n v="1618.4"/>
  </r>
  <r>
    <x v="0"/>
    <n v="1128299"/>
    <x v="349"/>
    <x v="3"/>
    <s v="Florida"/>
    <s v="Orlando"/>
    <s v="Outlet"/>
    <x v="3"/>
    <n v="64"/>
    <n v="204"/>
    <n v="13056"/>
    <n v="8747.52"/>
  </r>
  <r>
    <x v="0"/>
    <n v="1128299"/>
    <x v="349"/>
    <x v="3"/>
    <s v="Florida"/>
    <s v="Orlando"/>
    <s v="Outlet"/>
    <x v="5"/>
    <n v="58"/>
    <n v="204"/>
    <n v="11832"/>
    <n v="7809.1200000000008"/>
  </r>
  <r>
    <x v="5"/>
    <n v="1128299"/>
    <x v="349"/>
    <x v="3"/>
    <s v="Florida"/>
    <s v="Orlando"/>
    <s v="Online"/>
    <x v="0"/>
    <n v="82"/>
    <n v="200"/>
    <n v="16400"/>
    <n v="10660"/>
  </r>
  <r>
    <x v="0"/>
    <n v="1128299"/>
    <x v="349"/>
    <x v="3"/>
    <s v="Florida"/>
    <s v="Orlando"/>
    <s v="Online"/>
    <x v="1"/>
    <n v="86"/>
    <n v="147"/>
    <n v="12642"/>
    <n v="8217.2999999999993"/>
  </r>
  <r>
    <x v="5"/>
    <n v="1128299"/>
    <x v="349"/>
    <x v="3"/>
    <s v="Florida"/>
    <s v="Orlando"/>
    <s v="Outlet"/>
    <x v="4"/>
    <n v="58"/>
    <n v="280"/>
    <n v="16240"/>
    <n v="10393.6"/>
  </r>
  <r>
    <x v="3"/>
    <n v="1185732"/>
    <x v="349"/>
    <x v="2"/>
    <s v="Mississippi"/>
    <s v="Jackson"/>
    <s v="Outlet"/>
    <x v="0"/>
    <n v="44"/>
    <n v="201"/>
    <n v="8844"/>
    <n v="5571.72"/>
  </r>
  <r>
    <x v="3"/>
    <n v="1185732"/>
    <x v="349"/>
    <x v="2"/>
    <s v="Mississippi"/>
    <s v="Jackson"/>
    <s v="Outlet"/>
    <x v="1"/>
    <n v="54"/>
    <n v="157"/>
    <n v="8478"/>
    <n v="5256.3600000000006"/>
  </r>
  <r>
    <x v="5"/>
    <n v="1128299"/>
    <x v="349"/>
    <x v="3"/>
    <s v="Florida"/>
    <s v="Orlando"/>
    <s v="Online"/>
    <x v="4"/>
    <n v="72"/>
    <n v="216"/>
    <n v="15552"/>
    <n v="9331.2000000000007"/>
  </r>
  <r>
    <x v="2"/>
    <n v="1128299"/>
    <x v="349"/>
    <x v="2"/>
    <s v="Louisiana"/>
    <s v="New Orleans"/>
    <s v="Outlet"/>
    <x v="2"/>
    <n v="59"/>
    <n v="194"/>
    <n v="11446"/>
    <n v="6867.6"/>
  </r>
  <r>
    <x v="0"/>
    <n v="1128299"/>
    <x v="349"/>
    <x v="3"/>
    <s v="Florida"/>
    <s v="Orlando"/>
    <s v="Online"/>
    <x v="3"/>
    <n v="75"/>
    <n v="174"/>
    <n v="13050"/>
    <n v="7830"/>
  </r>
  <r>
    <x v="0"/>
    <n v="1128299"/>
    <x v="349"/>
    <x v="3"/>
    <s v="Florida"/>
    <s v="Orlando"/>
    <s v="Online"/>
    <x v="5"/>
    <n v="78"/>
    <n v="180"/>
    <n v="14040"/>
    <n v="8283.6"/>
  </r>
  <r>
    <x v="2"/>
    <n v="1185732"/>
    <x v="349"/>
    <x v="4"/>
    <s v="Pennsylvania"/>
    <s v="Philadelphia"/>
    <s v="Online"/>
    <x v="0"/>
    <n v="47"/>
    <n v="63"/>
    <n v="2961"/>
    <n v="1717.38"/>
  </r>
  <r>
    <x v="2"/>
    <n v="1128299"/>
    <x v="349"/>
    <x v="2"/>
    <s v="Louisiana"/>
    <s v="New Orleans"/>
    <s v="Outlet"/>
    <x v="3"/>
    <n v="53"/>
    <n v="192"/>
    <n v="10176"/>
    <n v="5800.3200000000006"/>
  </r>
  <r>
    <x v="0"/>
    <n v="1128299"/>
    <x v="349"/>
    <x v="2"/>
    <s v="Louisiana"/>
    <s v="New Orleans"/>
    <s v="Outlet"/>
    <x v="0"/>
    <n v="52"/>
    <n v="248"/>
    <n v="12896"/>
    <n v="7221.7600000000011"/>
  </r>
  <r>
    <x v="2"/>
    <n v="1128299"/>
    <x v="349"/>
    <x v="2"/>
    <s v="Louisiana"/>
    <s v="New Orleans"/>
    <s v="Online"/>
    <x v="2"/>
    <n v="87"/>
    <n v="175"/>
    <n v="15225"/>
    <n v="8373.75"/>
  </r>
  <r>
    <x v="3"/>
    <n v="1185732"/>
    <x v="349"/>
    <x v="2"/>
    <s v="Mississippi"/>
    <s v="Jackson"/>
    <s v="Outlet"/>
    <x v="3"/>
    <n v="43"/>
    <n v="158"/>
    <n v="6794"/>
    <n v="3736.7"/>
  </r>
  <r>
    <x v="0"/>
    <n v="1128299"/>
    <x v="349"/>
    <x v="2"/>
    <s v="Louisiana"/>
    <s v="New Orleans"/>
    <s v="Outlet"/>
    <x v="4"/>
    <n v="46"/>
    <n v="272"/>
    <n v="12512"/>
    <n v="6756.4800000000005"/>
  </r>
  <r>
    <x v="2"/>
    <n v="1128299"/>
    <x v="349"/>
    <x v="2"/>
    <s v="Louisiana"/>
    <s v="New Orleans"/>
    <s v="Outlet"/>
    <x v="5"/>
    <n v="53"/>
    <n v="192"/>
    <n v="10176"/>
    <n v="5393.2800000000007"/>
  </r>
  <r>
    <x v="3"/>
    <n v="1185732"/>
    <x v="349"/>
    <x v="2"/>
    <s v="Mississippi"/>
    <s v="Jackson"/>
    <s v="Outlet"/>
    <x v="4"/>
    <n v="48"/>
    <n v="256"/>
    <n v="12288"/>
    <n v="6512.6399999999994"/>
  </r>
  <r>
    <x v="3"/>
    <n v="1185732"/>
    <x v="349"/>
    <x v="2"/>
    <s v="Mississippi"/>
    <s v="Jackson"/>
    <s v="Outlet"/>
    <x v="5"/>
    <n v="41"/>
    <n v="143"/>
    <n v="5863"/>
    <n v="3107.39"/>
  </r>
  <r>
    <x v="0"/>
    <n v="1128299"/>
    <x v="349"/>
    <x v="3"/>
    <s v="Florida"/>
    <s v="Orlando"/>
    <s v="Outlet"/>
    <x v="2"/>
    <n v="64"/>
    <n v="200"/>
    <n v="12800"/>
    <n v="6656"/>
  </r>
  <r>
    <x v="2"/>
    <n v="1128299"/>
    <x v="349"/>
    <x v="2"/>
    <s v="Louisiana"/>
    <s v="New Orleans"/>
    <s v="Outlet"/>
    <x v="1"/>
    <n v="55"/>
    <n v="168"/>
    <n v="9240"/>
    <n v="4804.8"/>
  </r>
  <r>
    <x v="3"/>
    <n v="1185732"/>
    <x v="349"/>
    <x v="2"/>
    <s v="Mississippi"/>
    <s v="Jackson"/>
    <s v="Online"/>
    <x v="0"/>
    <n v="58"/>
    <n v="155"/>
    <n v="8990"/>
    <n v="4584.8999999999996"/>
  </r>
  <r>
    <x v="0"/>
    <n v="1128299"/>
    <x v="349"/>
    <x v="2"/>
    <s v="Louisiana"/>
    <s v="New Orleans"/>
    <s v="Online"/>
    <x v="0"/>
    <n v="72"/>
    <n v="216"/>
    <n v="15552"/>
    <n v="7776"/>
  </r>
  <r>
    <x v="3"/>
    <n v="1185732"/>
    <x v="349"/>
    <x v="2"/>
    <s v="Mississippi"/>
    <s v="Jackson"/>
    <s v="Online"/>
    <x v="1"/>
    <n v="65"/>
    <n v="124"/>
    <n v="8060"/>
    <n v="4030"/>
  </r>
  <r>
    <x v="2"/>
    <n v="1185732"/>
    <x v="349"/>
    <x v="4"/>
    <s v="West Virginia"/>
    <s v="Charleston"/>
    <s v="Online"/>
    <x v="1"/>
    <n v="61"/>
    <n v="95"/>
    <n v="5795"/>
    <n v="2897.5"/>
  </r>
  <r>
    <x v="2"/>
    <n v="1185732"/>
    <x v="349"/>
    <x v="4"/>
    <s v="West Virginia"/>
    <s v="Charleston"/>
    <s v="Online"/>
    <x v="5"/>
    <n v="53"/>
    <n v="102"/>
    <n v="5406"/>
    <n v="2648.94"/>
  </r>
  <r>
    <x v="0"/>
    <n v="1128299"/>
    <x v="349"/>
    <x v="2"/>
    <s v="Louisiana"/>
    <s v="New Orleans"/>
    <s v="Online"/>
    <x v="4"/>
    <n v="69"/>
    <n v="240"/>
    <n v="16560"/>
    <n v="7948.7999999999993"/>
  </r>
  <r>
    <x v="2"/>
    <n v="1128299"/>
    <x v="349"/>
    <x v="2"/>
    <s v="Louisiana"/>
    <s v="New Orleans"/>
    <s v="Online"/>
    <x v="3"/>
    <n v="69"/>
    <n v="162"/>
    <n v="11178"/>
    <n v="5365.44"/>
  </r>
  <r>
    <x v="3"/>
    <n v="1185732"/>
    <x v="349"/>
    <x v="2"/>
    <s v="Mississippi"/>
    <s v="Jackson"/>
    <s v="Online"/>
    <x v="5"/>
    <n v="56"/>
    <n v="133"/>
    <n v="7448"/>
    <n v="3575.04"/>
  </r>
  <r>
    <x v="2"/>
    <n v="1185732"/>
    <x v="349"/>
    <x v="4"/>
    <s v="West Virginia"/>
    <s v="Charleston"/>
    <s v="Online"/>
    <x v="4"/>
    <n v="60"/>
    <n v="176"/>
    <n v="10560"/>
    <n v="5068.8"/>
  </r>
  <r>
    <x v="2"/>
    <n v="1185732"/>
    <x v="349"/>
    <x v="4"/>
    <s v="West Virginia"/>
    <s v="Charleston"/>
    <s v="Online"/>
    <x v="0"/>
    <n v="52"/>
    <n v="135"/>
    <n v="7020"/>
    <n v="3369.6"/>
  </r>
  <r>
    <x v="3"/>
    <n v="1185732"/>
    <x v="349"/>
    <x v="2"/>
    <s v="Mississippi"/>
    <s v="Jackson"/>
    <s v="Online"/>
    <x v="4"/>
    <n v="68"/>
    <n v="194"/>
    <n v="13192"/>
    <n v="6200.24"/>
  </r>
  <r>
    <x v="0"/>
    <n v="1185732"/>
    <x v="349"/>
    <x v="4"/>
    <s v="West Virginia"/>
    <s v="Charleston"/>
    <s v="Online"/>
    <x v="3"/>
    <n v="50"/>
    <n v="112"/>
    <n v="5600"/>
    <n v="2632"/>
  </r>
  <r>
    <x v="2"/>
    <n v="1128299"/>
    <x v="349"/>
    <x v="2"/>
    <s v="Louisiana"/>
    <s v="New Orleans"/>
    <s v="Online"/>
    <x v="5"/>
    <n v="72"/>
    <n v="156"/>
    <n v="11232"/>
    <n v="5166.7199999999993"/>
  </r>
  <r>
    <x v="3"/>
    <n v="1185732"/>
    <x v="349"/>
    <x v="2"/>
    <s v="Mississippi"/>
    <s v="Jackson"/>
    <s v="Online"/>
    <x v="3"/>
    <n v="59"/>
    <n v="137"/>
    <n v="8083"/>
    <n v="3718.1799999999994"/>
  </r>
  <r>
    <x v="0"/>
    <n v="1128299"/>
    <x v="349"/>
    <x v="3"/>
    <s v="Florida"/>
    <s v="Orlando"/>
    <s v="Online"/>
    <x v="2"/>
    <n v="87"/>
    <n v="156"/>
    <n v="13572"/>
    <n v="6107.4"/>
  </r>
  <r>
    <x v="2"/>
    <n v="1185732"/>
    <x v="349"/>
    <x v="4"/>
    <s v="West Virginia"/>
    <s v="Charleston"/>
    <s v="Online"/>
    <x v="2"/>
    <n v="68"/>
    <n v="122"/>
    <n v="8296"/>
    <n v="3733.2"/>
  </r>
  <r>
    <x v="3"/>
    <n v="1185732"/>
    <x v="349"/>
    <x v="2"/>
    <s v="Mississippi"/>
    <s v="Jackson"/>
    <s v="Outlet"/>
    <x v="2"/>
    <n v="53"/>
    <n v="178"/>
    <n v="9434"/>
    <n v="4245.2999999999993"/>
  </r>
  <r>
    <x v="2"/>
    <n v="1128299"/>
    <x v="349"/>
    <x v="2"/>
    <s v="Louisiana"/>
    <s v="New Orleans"/>
    <s v="Online"/>
    <x v="1"/>
    <n v="82"/>
    <n v="131"/>
    <n v="10742"/>
    <n v="4511.6399999999994"/>
  </r>
  <r>
    <x v="3"/>
    <n v="1185732"/>
    <x v="349"/>
    <x v="2"/>
    <s v="Mississippi"/>
    <s v="Jackson"/>
    <s v="Online"/>
    <x v="2"/>
    <n v="71"/>
    <n v="144"/>
    <n v="10224"/>
    <n v="3987.3600000000006"/>
  </r>
  <r>
    <x v="4"/>
    <n v="1185732"/>
    <x v="350"/>
    <x v="4"/>
    <s v="Maine"/>
    <s v="Portland"/>
    <s v="Outlet"/>
    <x v="1"/>
    <n v="65"/>
    <n v="200"/>
    <n v="13000"/>
    <n v="9750"/>
  </r>
  <r>
    <x v="2"/>
    <n v="1185732"/>
    <x v="350"/>
    <x v="4"/>
    <s v="New Hampshire"/>
    <s v="Manchester"/>
    <s v="Outlet"/>
    <x v="5"/>
    <n v="65.000000000000014"/>
    <n v="350"/>
    <n v="22750.000000000004"/>
    <n v="15925.000000000005"/>
  </r>
  <r>
    <x v="2"/>
    <n v="1185732"/>
    <x v="350"/>
    <x v="4"/>
    <s v="New Hampshire"/>
    <s v="Manchester"/>
    <s v="Outlet"/>
    <x v="1"/>
    <n v="75.000000000000014"/>
    <n v="350"/>
    <n v="26250.000000000004"/>
    <n v="18375.000000000007"/>
  </r>
  <r>
    <x v="2"/>
    <n v="1185732"/>
    <x v="350"/>
    <x v="4"/>
    <s v="New Hampshire"/>
    <s v="Manchester"/>
    <s v="Outlet"/>
    <x v="3"/>
    <n v="65.000000000000014"/>
    <n v="400"/>
    <n v="26000.000000000007"/>
    <n v="18200.000000000007"/>
  </r>
  <r>
    <x v="4"/>
    <n v="1185732"/>
    <x v="350"/>
    <x v="4"/>
    <s v="Maine"/>
    <s v="Portland"/>
    <s v="Outlet"/>
    <x v="5"/>
    <n v="55.000000000000007"/>
    <n v="200"/>
    <n v="11000.000000000002"/>
    <n v="7700.0000000000018"/>
  </r>
  <r>
    <x v="4"/>
    <n v="1185732"/>
    <x v="350"/>
    <x v="4"/>
    <s v="Maine"/>
    <s v="Portland"/>
    <s v="Outlet"/>
    <x v="0"/>
    <n v="55.000000000000007"/>
    <n v="275"/>
    <n v="15125.000000000002"/>
    <n v="9831.2500000000036"/>
  </r>
  <r>
    <x v="2"/>
    <n v="1185732"/>
    <x v="350"/>
    <x v="4"/>
    <s v="Pennsylvania"/>
    <s v="Philadelphia"/>
    <s v="Outlet"/>
    <x v="3"/>
    <n v="50"/>
    <n v="125"/>
    <n v="6250"/>
    <n v="4062.5"/>
  </r>
  <r>
    <x v="4"/>
    <n v="1185732"/>
    <x v="350"/>
    <x v="4"/>
    <s v="Maine"/>
    <s v="Portland"/>
    <s v="Outlet"/>
    <x v="4"/>
    <n v="65"/>
    <n v="475"/>
    <n v="30875"/>
    <n v="20068.75"/>
  </r>
  <r>
    <x v="2"/>
    <n v="1185732"/>
    <x v="350"/>
    <x v="1"/>
    <s v="Missouri"/>
    <s v="St. Louis"/>
    <s v="In-store"/>
    <x v="0"/>
    <n v="35"/>
    <n v="450"/>
    <n v="15750"/>
    <n v="10237.5"/>
  </r>
  <r>
    <x v="0"/>
    <n v="1185732"/>
    <x v="350"/>
    <x v="1"/>
    <s v="Missouri"/>
    <s v="St. Louis"/>
    <s v="In-store"/>
    <x v="3"/>
    <n v="35"/>
    <n v="400"/>
    <n v="14000"/>
    <n v="9100"/>
  </r>
  <r>
    <x v="0"/>
    <n v="1185732"/>
    <x v="350"/>
    <x v="1"/>
    <s v="Missouri"/>
    <s v="St. Louis"/>
    <s v="In-store"/>
    <x v="1"/>
    <n v="44.999999999999993"/>
    <n v="350"/>
    <n v="15749.999999999998"/>
    <n v="10237.499999999998"/>
  </r>
  <r>
    <x v="2"/>
    <n v="1185732"/>
    <x v="350"/>
    <x v="4"/>
    <s v="New Hampshire"/>
    <s v="Manchester"/>
    <s v="Outlet"/>
    <x v="2"/>
    <n v="80"/>
    <n v="450"/>
    <n v="36000"/>
    <n v="23400"/>
  </r>
  <r>
    <x v="4"/>
    <n v="1185732"/>
    <x v="350"/>
    <x v="4"/>
    <s v="Maine"/>
    <s v="Portland"/>
    <s v="Outlet"/>
    <x v="3"/>
    <n v="55.000000000000007"/>
    <n v="250"/>
    <n v="13750.000000000002"/>
    <n v="8250.0000000000036"/>
  </r>
  <r>
    <x v="2"/>
    <n v="1185732"/>
    <x v="350"/>
    <x v="4"/>
    <s v="New Hampshire"/>
    <s v="Manchester"/>
    <s v="Outlet"/>
    <x v="4"/>
    <n v="75.000000000000014"/>
    <n v="625"/>
    <n v="46875.000000000007"/>
    <n v="28125.000000000007"/>
  </r>
  <r>
    <x v="4"/>
    <n v="1185732"/>
    <x v="350"/>
    <x v="4"/>
    <s v="Maine"/>
    <s v="Portland"/>
    <s v="Outlet"/>
    <x v="2"/>
    <n v="70"/>
    <n v="300"/>
    <n v="21000"/>
    <n v="12600"/>
  </r>
  <r>
    <x v="0"/>
    <n v="1185732"/>
    <x v="350"/>
    <x v="1"/>
    <s v="Missouri"/>
    <s v="St. Louis"/>
    <s v="In-store"/>
    <x v="5"/>
    <n v="35"/>
    <n v="350"/>
    <n v="12250"/>
    <n v="7350"/>
  </r>
  <r>
    <x v="2"/>
    <n v="1185732"/>
    <x v="350"/>
    <x v="4"/>
    <s v="New Hampshire"/>
    <s v="Manchester"/>
    <s v="Outlet"/>
    <x v="0"/>
    <n v="65.000000000000014"/>
    <n v="425"/>
    <n v="27625.000000000007"/>
    <n v="16575.000000000004"/>
  </r>
  <r>
    <x v="2"/>
    <n v="1185732"/>
    <x v="350"/>
    <x v="1"/>
    <s v="Missouri"/>
    <s v="St. Louis"/>
    <s v="In-store"/>
    <x v="4"/>
    <n v="44.999999999999993"/>
    <n v="650"/>
    <n v="29249.999999999996"/>
    <n v="17549.999999999993"/>
  </r>
  <r>
    <x v="0"/>
    <n v="1185732"/>
    <x v="350"/>
    <x v="1"/>
    <s v="Missouri"/>
    <s v="St. Louis"/>
    <s v="In-store"/>
    <x v="2"/>
    <n v="49.999999999999986"/>
    <n v="450"/>
    <n v="22499.999999999993"/>
    <n v="11249.999999999996"/>
  </r>
  <r>
    <x v="2"/>
    <n v="1185732"/>
    <x v="350"/>
    <x v="4"/>
    <s v="New Hampshire"/>
    <s v="Manchester"/>
    <s v="Outlet"/>
    <x v="5"/>
    <n v="49"/>
    <n v="116"/>
    <n v="5684"/>
    <n v="3694.6000000000004"/>
  </r>
  <r>
    <x v="4"/>
    <n v="1185732"/>
    <x v="350"/>
    <x v="4"/>
    <s v="Maine"/>
    <s v="Portland"/>
    <s v="Online"/>
    <x v="1"/>
    <n v="60"/>
    <n v="54"/>
    <n v="3240"/>
    <n v="2073.6000000000004"/>
  </r>
  <r>
    <x v="2"/>
    <n v="1185732"/>
    <x v="350"/>
    <x v="4"/>
    <s v="New Hampshire"/>
    <s v="Manchester"/>
    <s v="Outlet"/>
    <x v="3"/>
    <n v="47"/>
    <n v="128"/>
    <n v="6016"/>
    <n v="3850.2400000000002"/>
  </r>
  <r>
    <x v="2"/>
    <n v="1185732"/>
    <x v="350"/>
    <x v="4"/>
    <s v="New Hampshire"/>
    <s v="Manchester"/>
    <s v="Outlet"/>
    <x v="1"/>
    <n v="50"/>
    <n v="123"/>
    <n v="6150"/>
    <n v="3874.5"/>
  </r>
  <r>
    <x v="2"/>
    <n v="1185732"/>
    <x v="350"/>
    <x v="4"/>
    <s v="Pennsylvania"/>
    <s v="Philadelphia"/>
    <s v="Outlet"/>
    <x v="3"/>
    <n v="38"/>
    <n v="38"/>
    <n v="1444"/>
    <n v="895.28"/>
  </r>
  <r>
    <x v="2"/>
    <n v="1185732"/>
    <x v="350"/>
    <x v="4"/>
    <s v="New Hampshire"/>
    <s v="Manchester"/>
    <s v="Outlet"/>
    <x v="2"/>
    <n v="61"/>
    <n v="144"/>
    <n v="8784"/>
    <n v="5270.4"/>
  </r>
  <r>
    <x v="2"/>
    <n v="1185732"/>
    <x v="350"/>
    <x v="4"/>
    <s v="New Hampshire"/>
    <s v="Manchester"/>
    <s v="Online"/>
    <x v="3"/>
    <n v="62"/>
    <n v="108"/>
    <n v="6696"/>
    <n v="3883.6800000000003"/>
  </r>
  <r>
    <x v="2"/>
    <n v="1185732"/>
    <x v="350"/>
    <x v="4"/>
    <s v="New Hampshire"/>
    <s v="Manchester"/>
    <s v="Outlet"/>
    <x v="0"/>
    <n v="49"/>
    <n v="128"/>
    <n v="6272"/>
    <n v="3637.7599999999998"/>
  </r>
  <r>
    <x v="4"/>
    <n v="1185732"/>
    <x v="350"/>
    <x v="4"/>
    <s v="Maine"/>
    <s v="Portland"/>
    <s v="Online"/>
    <x v="5"/>
    <n v="52"/>
    <n v="50"/>
    <n v="2600"/>
    <n v="1482"/>
  </r>
  <r>
    <x v="2"/>
    <n v="1185732"/>
    <x v="350"/>
    <x v="4"/>
    <s v="New Hampshire"/>
    <s v="Manchester"/>
    <s v="Online"/>
    <x v="1"/>
    <n v="74"/>
    <n v="105"/>
    <n v="7770"/>
    <n v="4428.8999999999996"/>
  </r>
  <r>
    <x v="2"/>
    <n v="1185732"/>
    <x v="350"/>
    <x v="4"/>
    <s v="New Hampshire"/>
    <s v="Manchester"/>
    <s v="Online"/>
    <x v="5"/>
    <n v="62"/>
    <n v="88"/>
    <n v="5456"/>
    <n v="3055.36"/>
  </r>
  <r>
    <x v="2"/>
    <n v="1185732"/>
    <x v="350"/>
    <x v="4"/>
    <s v="Pennsylvania"/>
    <s v="Philadelphia"/>
    <s v="Online"/>
    <x v="3"/>
    <n v="48"/>
    <n v="34"/>
    <n v="1632"/>
    <n v="897.6"/>
  </r>
  <r>
    <x v="0"/>
    <n v="1185732"/>
    <x v="350"/>
    <x v="1"/>
    <s v="Missouri"/>
    <s v="St. Louis"/>
    <s v="Online"/>
    <x v="3"/>
    <n v="32"/>
    <n v="120"/>
    <n v="3840"/>
    <n v="2035.2"/>
  </r>
  <r>
    <x v="2"/>
    <n v="1185732"/>
    <x v="350"/>
    <x v="4"/>
    <s v="New Hampshire"/>
    <s v="Manchester"/>
    <s v="Outlet"/>
    <x v="4"/>
    <n v="49"/>
    <n v="200"/>
    <n v="9800"/>
    <n v="5194"/>
  </r>
  <r>
    <x v="2"/>
    <n v="1185732"/>
    <x v="350"/>
    <x v="1"/>
    <s v="Missouri"/>
    <s v="St. Louis"/>
    <s v="Online"/>
    <x v="0"/>
    <n v="32"/>
    <n v="113"/>
    <n v="3616"/>
    <n v="1880.3200000000002"/>
  </r>
  <r>
    <x v="4"/>
    <n v="1185732"/>
    <x v="350"/>
    <x v="4"/>
    <s v="Maine"/>
    <s v="Portland"/>
    <s v="Online"/>
    <x v="4"/>
    <n v="62"/>
    <n v="138"/>
    <n v="8556"/>
    <n v="4449.12"/>
  </r>
  <r>
    <x v="2"/>
    <n v="1185732"/>
    <x v="350"/>
    <x v="4"/>
    <s v="New Hampshire"/>
    <s v="Manchester"/>
    <s v="Online"/>
    <x v="2"/>
    <n v="74"/>
    <n v="117"/>
    <n v="8658"/>
    <n v="4415.58"/>
  </r>
  <r>
    <x v="4"/>
    <n v="1185732"/>
    <x v="350"/>
    <x v="4"/>
    <s v="Maine"/>
    <s v="Portland"/>
    <s v="Online"/>
    <x v="0"/>
    <n v="53"/>
    <n v="74"/>
    <n v="3922"/>
    <n v="1961"/>
  </r>
  <r>
    <x v="4"/>
    <n v="1185732"/>
    <x v="350"/>
    <x v="4"/>
    <s v="Maine"/>
    <s v="Portland"/>
    <s v="Online"/>
    <x v="3"/>
    <n v="52"/>
    <n v="68"/>
    <n v="3536"/>
    <n v="1768"/>
  </r>
  <r>
    <x v="0"/>
    <n v="1185732"/>
    <x v="350"/>
    <x v="1"/>
    <s v="Missouri"/>
    <s v="St. Louis"/>
    <s v="Online"/>
    <x v="1"/>
    <n v="42"/>
    <n v="88"/>
    <n v="3696"/>
    <n v="1848"/>
  </r>
  <r>
    <x v="2"/>
    <n v="1185732"/>
    <x v="350"/>
    <x v="1"/>
    <s v="Missouri"/>
    <s v="St. Louis"/>
    <s v="Online"/>
    <x v="4"/>
    <n v="41"/>
    <n v="163"/>
    <n v="6683"/>
    <n v="3207.8399999999997"/>
  </r>
  <r>
    <x v="0"/>
    <n v="1185732"/>
    <x v="350"/>
    <x v="1"/>
    <s v="Missouri"/>
    <s v="St. Louis"/>
    <s v="Online"/>
    <x v="5"/>
    <n v="34"/>
    <n v="88"/>
    <n v="2992"/>
    <n v="1436.1599999999999"/>
  </r>
  <r>
    <x v="4"/>
    <n v="1185732"/>
    <x v="350"/>
    <x v="4"/>
    <s v="Maine"/>
    <s v="Portland"/>
    <s v="Online"/>
    <x v="2"/>
    <n v="69"/>
    <n v="75"/>
    <n v="5175"/>
    <n v="2432.25"/>
  </r>
  <r>
    <x v="2"/>
    <n v="1185732"/>
    <x v="350"/>
    <x v="4"/>
    <s v="New Hampshire"/>
    <s v="Manchester"/>
    <s v="Online"/>
    <x v="4"/>
    <n v="71"/>
    <n v="169"/>
    <n v="11999"/>
    <n v="5399.5499999999993"/>
  </r>
  <r>
    <x v="2"/>
    <n v="1185732"/>
    <x v="350"/>
    <x v="4"/>
    <s v="New Hampshire"/>
    <s v="Manchester"/>
    <s v="Online"/>
    <x v="0"/>
    <n v="59"/>
    <n v="115"/>
    <n v="6785"/>
    <n v="3053.2499999999995"/>
  </r>
  <r>
    <x v="0"/>
    <n v="1185732"/>
    <x v="350"/>
    <x v="1"/>
    <s v="Missouri"/>
    <s v="St. Louis"/>
    <s v="Online"/>
    <x v="2"/>
    <n v="47"/>
    <n v="126"/>
    <n v="5922"/>
    <n v="2309.58"/>
  </r>
  <r>
    <x v="2"/>
    <n v="1185732"/>
    <x v="351"/>
    <x v="4"/>
    <s v="Pennsylvania"/>
    <s v="Philadelphia"/>
    <s v="Outlet"/>
    <x v="5"/>
    <n v="50"/>
    <n v="100"/>
    <n v="5000"/>
    <n v="3250"/>
  </r>
  <r>
    <x v="2"/>
    <n v="1185732"/>
    <x v="351"/>
    <x v="4"/>
    <s v="Pennsylvania"/>
    <s v="Philadelphia"/>
    <s v="Outlet"/>
    <x v="5"/>
    <n v="40"/>
    <n v="34"/>
    <n v="1360"/>
    <n v="843.2"/>
  </r>
  <r>
    <x v="2"/>
    <n v="1185732"/>
    <x v="351"/>
    <x v="4"/>
    <s v="Pennsylvania"/>
    <s v="Philadelphia"/>
    <s v="Online"/>
    <x v="5"/>
    <n v="48"/>
    <n v="29"/>
    <n v="1392"/>
    <n v="765.6"/>
  </r>
  <r>
    <x v="2"/>
    <n v="1185732"/>
    <x v="352"/>
    <x v="4"/>
    <s v="Pennsylvania"/>
    <s v="Philadelphia"/>
    <s v="Outlet"/>
    <x v="1"/>
    <n v="60"/>
    <n v="100"/>
    <n v="6000"/>
    <n v="4200"/>
  </r>
  <r>
    <x v="0"/>
    <n v="1197831"/>
    <x v="352"/>
    <x v="2"/>
    <s v="Arkansas"/>
    <s v="Little Rock"/>
    <s v="Online"/>
    <x v="0"/>
    <n v="60.000000000000007"/>
    <n v="500"/>
    <n v="30000.000000000004"/>
    <n v="19500.000000000007"/>
  </r>
  <r>
    <x v="0"/>
    <n v="1197831"/>
    <x v="352"/>
    <x v="2"/>
    <s v="Arkansas"/>
    <s v="Little Rock"/>
    <s v="Online"/>
    <x v="1"/>
    <n v="70"/>
    <n v="400"/>
    <n v="28000"/>
    <n v="18200"/>
  </r>
  <r>
    <x v="1"/>
    <n v="1197831"/>
    <x v="352"/>
    <x v="2"/>
    <s v="Oklahoma"/>
    <s v="Oklahoma City"/>
    <s v="Online"/>
    <x v="0"/>
    <n v="60.000000000000007"/>
    <n v="425"/>
    <n v="25500.000000000004"/>
    <n v="16575.000000000004"/>
  </r>
  <r>
    <x v="1"/>
    <n v="1197831"/>
    <x v="352"/>
    <x v="2"/>
    <s v="Oklahoma"/>
    <s v="Oklahoma City"/>
    <s v="Online"/>
    <x v="1"/>
    <n v="70"/>
    <n v="325"/>
    <n v="22750"/>
    <n v="14787.5"/>
  </r>
  <r>
    <x v="0"/>
    <n v="1197831"/>
    <x v="352"/>
    <x v="2"/>
    <s v="Arkansas"/>
    <s v="Little Rock"/>
    <s v="Online"/>
    <x v="4"/>
    <n v="70"/>
    <n v="700"/>
    <n v="49000"/>
    <n v="29400"/>
  </r>
  <r>
    <x v="0"/>
    <n v="1197831"/>
    <x v="352"/>
    <x v="2"/>
    <s v="Arkansas"/>
    <s v="Little Rock"/>
    <s v="Online"/>
    <x v="3"/>
    <n v="60.000000000000007"/>
    <n v="450"/>
    <n v="27000.000000000004"/>
    <n v="16200.000000000004"/>
  </r>
  <r>
    <x v="0"/>
    <n v="1197831"/>
    <x v="352"/>
    <x v="2"/>
    <s v="Arkansas"/>
    <s v="Little Rock"/>
    <s v="Online"/>
    <x v="2"/>
    <n v="75"/>
    <n v="500"/>
    <n v="37500"/>
    <n v="22500"/>
  </r>
  <r>
    <x v="1"/>
    <n v="1197831"/>
    <x v="352"/>
    <x v="2"/>
    <s v="Oklahoma"/>
    <s v="Oklahoma City"/>
    <s v="Online"/>
    <x v="4"/>
    <n v="70"/>
    <n v="625"/>
    <n v="43750"/>
    <n v="26250"/>
  </r>
  <r>
    <x v="1"/>
    <n v="1197831"/>
    <x v="352"/>
    <x v="2"/>
    <s v="Oklahoma"/>
    <s v="Oklahoma City"/>
    <s v="Online"/>
    <x v="5"/>
    <n v="60.000000000000007"/>
    <n v="325"/>
    <n v="19500.000000000004"/>
    <n v="11700.000000000002"/>
  </r>
  <r>
    <x v="1"/>
    <n v="1197831"/>
    <x v="352"/>
    <x v="2"/>
    <s v="Oklahoma"/>
    <s v="Oklahoma City"/>
    <s v="Online"/>
    <x v="2"/>
    <n v="75"/>
    <n v="425"/>
    <n v="31875"/>
    <n v="19125"/>
  </r>
  <r>
    <x v="0"/>
    <n v="1197831"/>
    <x v="352"/>
    <x v="2"/>
    <s v="Arkansas"/>
    <s v="Little Rock"/>
    <s v="Online"/>
    <x v="5"/>
    <n v="60.000000000000007"/>
    <n v="400"/>
    <n v="24000.000000000004"/>
    <n v="14400"/>
  </r>
  <r>
    <x v="1"/>
    <n v="1197831"/>
    <x v="352"/>
    <x v="2"/>
    <s v="Oklahoma"/>
    <s v="Oklahoma City"/>
    <s v="Online"/>
    <x v="3"/>
    <n v="60.000000000000007"/>
    <n v="375"/>
    <n v="22500.000000000004"/>
    <n v="13500"/>
  </r>
  <r>
    <x v="2"/>
    <n v="1185732"/>
    <x v="352"/>
    <x v="4"/>
    <s v="Pennsylvania"/>
    <s v="Philadelphia"/>
    <s v="Outlet"/>
    <x v="1"/>
    <n v="43"/>
    <n v="30"/>
    <n v="1290"/>
    <n v="864.30000000000007"/>
  </r>
  <r>
    <x v="1"/>
    <n v="1197831"/>
    <x v="352"/>
    <x v="2"/>
    <s v="Oklahoma"/>
    <s v="Oklahoma City"/>
    <s v="Outlet"/>
    <x v="0"/>
    <n v="47"/>
    <n v="149"/>
    <n v="7003"/>
    <n v="4341.8600000000006"/>
  </r>
  <r>
    <x v="0"/>
    <n v="1197831"/>
    <x v="352"/>
    <x v="2"/>
    <s v="Arkansas"/>
    <s v="Little Rock"/>
    <s v="Outlet"/>
    <x v="0"/>
    <n v="46"/>
    <n v="155"/>
    <n v="7130"/>
    <n v="4278"/>
  </r>
  <r>
    <x v="0"/>
    <n v="1197831"/>
    <x v="352"/>
    <x v="2"/>
    <s v="Arkansas"/>
    <s v="Little Rock"/>
    <s v="Outlet"/>
    <x v="1"/>
    <n v="50"/>
    <n v="132"/>
    <n v="6600"/>
    <n v="3960"/>
  </r>
  <r>
    <x v="1"/>
    <n v="1197831"/>
    <x v="352"/>
    <x v="2"/>
    <s v="Oklahoma"/>
    <s v="Oklahoma City"/>
    <s v="Outlet"/>
    <x v="1"/>
    <n v="55"/>
    <n v="98"/>
    <n v="5390"/>
    <n v="3234"/>
  </r>
  <r>
    <x v="1"/>
    <n v="1197831"/>
    <x v="352"/>
    <x v="2"/>
    <s v="Oklahoma"/>
    <s v="Oklahoma City"/>
    <s v="Outlet"/>
    <x v="4"/>
    <n v="55"/>
    <n v="200"/>
    <n v="11000"/>
    <n v="6380"/>
  </r>
  <r>
    <x v="2"/>
    <n v="1185732"/>
    <x v="352"/>
    <x v="4"/>
    <s v="Pennsylvania"/>
    <s v="Philadelphia"/>
    <s v="Online"/>
    <x v="1"/>
    <n v="56"/>
    <n v="27"/>
    <n v="1512"/>
    <n v="861.84"/>
  </r>
  <r>
    <x v="1"/>
    <n v="1197831"/>
    <x v="352"/>
    <x v="2"/>
    <s v="Oklahoma"/>
    <s v="Oklahoma City"/>
    <s v="Outlet"/>
    <x v="2"/>
    <n v="51"/>
    <n v="128"/>
    <n v="6528"/>
    <n v="3720.9599999999996"/>
  </r>
  <r>
    <x v="0"/>
    <n v="1197831"/>
    <x v="352"/>
    <x v="2"/>
    <s v="Arkansas"/>
    <s v="Little Rock"/>
    <s v="Outlet"/>
    <x v="3"/>
    <n v="43"/>
    <n v="149"/>
    <n v="6407"/>
    <n v="3587.92"/>
  </r>
  <r>
    <x v="1"/>
    <n v="1197831"/>
    <x v="352"/>
    <x v="2"/>
    <s v="Oklahoma"/>
    <s v="Oklahoma City"/>
    <s v="Online"/>
    <x v="0"/>
    <n v="58"/>
    <n v="119"/>
    <n v="6902"/>
    <n v="3796.1000000000004"/>
  </r>
  <r>
    <x v="0"/>
    <n v="1197831"/>
    <x v="352"/>
    <x v="2"/>
    <s v="Arkansas"/>
    <s v="Little Rock"/>
    <s v="Outlet"/>
    <x v="2"/>
    <n v="55"/>
    <n v="170"/>
    <n v="9350"/>
    <n v="5142.5"/>
  </r>
  <r>
    <x v="1"/>
    <n v="1197831"/>
    <x v="352"/>
    <x v="2"/>
    <s v="Oklahoma"/>
    <s v="Oklahoma City"/>
    <s v="Outlet"/>
    <x v="3"/>
    <n v="44"/>
    <n v="131"/>
    <n v="5764"/>
    <n v="3170.2"/>
  </r>
  <r>
    <x v="1"/>
    <n v="1197831"/>
    <x v="352"/>
    <x v="2"/>
    <s v="Oklahoma"/>
    <s v="Oklahoma City"/>
    <s v="Outlet"/>
    <x v="5"/>
    <n v="45"/>
    <n v="114"/>
    <n v="5130"/>
    <n v="2821.5"/>
  </r>
  <r>
    <x v="0"/>
    <n v="1197831"/>
    <x v="352"/>
    <x v="2"/>
    <s v="Arkansas"/>
    <s v="Little Rock"/>
    <s v="Outlet"/>
    <x v="5"/>
    <n v="40"/>
    <n v="124"/>
    <n v="4960"/>
    <n v="2678.4"/>
  </r>
  <r>
    <x v="0"/>
    <n v="1197831"/>
    <x v="352"/>
    <x v="2"/>
    <s v="Arkansas"/>
    <s v="Little Rock"/>
    <s v="Outlet"/>
    <x v="4"/>
    <n v="55"/>
    <n v="238"/>
    <n v="13090"/>
    <n v="7068.5999999999995"/>
  </r>
  <r>
    <x v="0"/>
    <n v="1197831"/>
    <x v="352"/>
    <x v="2"/>
    <s v="Arkansas"/>
    <s v="Little Rock"/>
    <s v="Online"/>
    <x v="0"/>
    <n v="54"/>
    <n v="140"/>
    <n v="7560"/>
    <n v="4006.8"/>
  </r>
  <r>
    <x v="1"/>
    <n v="1197831"/>
    <x v="352"/>
    <x v="2"/>
    <s v="Oklahoma"/>
    <s v="Oklahoma City"/>
    <s v="Online"/>
    <x v="1"/>
    <n v="69"/>
    <n v="81"/>
    <n v="5589"/>
    <n v="2906.28"/>
  </r>
  <r>
    <x v="0"/>
    <n v="1197831"/>
    <x v="352"/>
    <x v="2"/>
    <s v="Arkansas"/>
    <s v="Little Rock"/>
    <s v="Online"/>
    <x v="1"/>
    <n v="64"/>
    <n v="112"/>
    <n v="7168"/>
    <n v="3655.6800000000003"/>
  </r>
  <r>
    <x v="1"/>
    <n v="1197831"/>
    <x v="352"/>
    <x v="2"/>
    <s v="Oklahoma"/>
    <s v="Oklahoma City"/>
    <s v="Online"/>
    <x v="3"/>
    <n v="55"/>
    <n v="101"/>
    <n v="5555"/>
    <n v="2777.5"/>
  </r>
  <r>
    <x v="1"/>
    <n v="1197831"/>
    <x v="352"/>
    <x v="2"/>
    <s v="Oklahoma"/>
    <s v="Oklahoma City"/>
    <s v="Online"/>
    <x v="2"/>
    <n v="68"/>
    <n v="123"/>
    <n v="8364"/>
    <n v="4182"/>
  </r>
  <r>
    <x v="0"/>
    <n v="1197831"/>
    <x v="352"/>
    <x v="2"/>
    <s v="Arkansas"/>
    <s v="Little Rock"/>
    <s v="Online"/>
    <x v="5"/>
    <n v="57"/>
    <n v="120"/>
    <n v="6840"/>
    <n v="3351.6"/>
  </r>
  <r>
    <x v="0"/>
    <n v="1197831"/>
    <x v="352"/>
    <x v="2"/>
    <s v="Arkansas"/>
    <s v="Little Rock"/>
    <s v="Online"/>
    <x v="2"/>
    <n v="70"/>
    <n v="150"/>
    <n v="10500"/>
    <n v="5145"/>
  </r>
  <r>
    <x v="1"/>
    <n v="1197831"/>
    <x v="352"/>
    <x v="2"/>
    <s v="Oklahoma"/>
    <s v="Oklahoma City"/>
    <s v="Online"/>
    <x v="5"/>
    <n v="54"/>
    <n v="94"/>
    <n v="5076"/>
    <n v="2385.7199999999998"/>
  </r>
  <r>
    <x v="0"/>
    <n v="1197831"/>
    <x v="352"/>
    <x v="2"/>
    <s v="Arkansas"/>
    <s v="Little Rock"/>
    <s v="Online"/>
    <x v="3"/>
    <n v="55"/>
    <n v="126"/>
    <n v="6930"/>
    <n v="3187.7999999999997"/>
  </r>
  <r>
    <x v="0"/>
    <n v="1197831"/>
    <x v="352"/>
    <x v="2"/>
    <s v="Arkansas"/>
    <s v="Little Rock"/>
    <s v="Online"/>
    <x v="4"/>
    <n v="67"/>
    <n v="203"/>
    <n v="13601"/>
    <n v="6120.45"/>
  </r>
  <r>
    <x v="1"/>
    <n v="1197831"/>
    <x v="352"/>
    <x v="2"/>
    <s v="Oklahoma"/>
    <s v="Oklahoma City"/>
    <s v="Online"/>
    <x v="4"/>
    <n v="64"/>
    <n v="169"/>
    <n v="10816"/>
    <n v="4867.2"/>
  </r>
  <r>
    <x v="2"/>
    <n v="1185732"/>
    <x v="353"/>
    <x v="4"/>
    <s v="Pennsylvania"/>
    <s v="Philadelphia"/>
    <s v="Outlet"/>
    <x v="2"/>
    <n v="64.999999999999986"/>
    <n v="225"/>
    <n v="14624.999999999996"/>
    <n v="10968.749999999996"/>
  </r>
  <r>
    <x v="2"/>
    <n v="1185732"/>
    <x v="353"/>
    <x v="4"/>
    <s v="Maryland"/>
    <s v="Baltimore"/>
    <s v="In-store"/>
    <x v="1"/>
    <n v="60"/>
    <n v="175"/>
    <n v="10500"/>
    <n v="7350"/>
  </r>
  <r>
    <x v="2"/>
    <n v="1185732"/>
    <x v="353"/>
    <x v="4"/>
    <s v="Maryland"/>
    <s v="Baltimore"/>
    <s v="In-store"/>
    <x v="2"/>
    <n v="64.999999999999986"/>
    <n v="275"/>
    <n v="17874.999999999996"/>
    <n v="12512.499999999996"/>
  </r>
  <r>
    <x v="4"/>
    <n v="1185732"/>
    <x v="353"/>
    <x v="0"/>
    <s v="Alaska"/>
    <s v="Anchorage"/>
    <s v="Outlet"/>
    <x v="0"/>
    <n v="65.000000000000014"/>
    <n v="400"/>
    <n v="26000.000000000007"/>
    <n v="16900.000000000004"/>
  </r>
  <r>
    <x v="2"/>
    <n v="1185732"/>
    <x v="353"/>
    <x v="4"/>
    <s v="Maryland"/>
    <s v="Baltimore"/>
    <s v="In-store"/>
    <x v="0"/>
    <n v="50"/>
    <n v="250"/>
    <n v="12500"/>
    <n v="8125"/>
  </r>
  <r>
    <x v="2"/>
    <n v="1185732"/>
    <x v="353"/>
    <x v="4"/>
    <s v="Maryland"/>
    <s v="Baltimore"/>
    <s v="In-store"/>
    <x v="3"/>
    <n v="50"/>
    <n v="225"/>
    <n v="11250"/>
    <n v="7312.5"/>
  </r>
  <r>
    <x v="2"/>
    <n v="1185732"/>
    <x v="353"/>
    <x v="4"/>
    <s v="Maryland"/>
    <s v="Baltimore"/>
    <s v="In-store"/>
    <x v="5"/>
    <n v="50"/>
    <n v="175"/>
    <n v="8750"/>
    <n v="5687.5"/>
  </r>
  <r>
    <x v="4"/>
    <n v="1185732"/>
    <x v="353"/>
    <x v="0"/>
    <s v="Alaska"/>
    <s v="Anchorage"/>
    <s v="Outlet"/>
    <x v="4"/>
    <n v="75.000000000000014"/>
    <n v="600"/>
    <n v="45000.000000000007"/>
    <n v="29250"/>
  </r>
  <r>
    <x v="4"/>
    <n v="1185732"/>
    <x v="353"/>
    <x v="4"/>
    <s v="Maine"/>
    <s v="Portland"/>
    <s v="Outlet"/>
    <x v="2"/>
    <n v="60"/>
    <n v="375"/>
    <n v="22500"/>
    <n v="13500"/>
  </r>
  <r>
    <x v="2"/>
    <n v="1185732"/>
    <x v="353"/>
    <x v="4"/>
    <s v="Maryland"/>
    <s v="Baltimore"/>
    <s v="In-store"/>
    <x v="4"/>
    <n v="60"/>
    <n v="450"/>
    <n v="27000"/>
    <n v="16200"/>
  </r>
  <r>
    <x v="2"/>
    <n v="1185732"/>
    <x v="353"/>
    <x v="4"/>
    <s v="Pennsylvania"/>
    <s v="Philadelphia"/>
    <s v="Outlet"/>
    <x v="2"/>
    <n v="42"/>
    <n v="74"/>
    <n v="3108"/>
    <n v="2113.44"/>
  </r>
  <r>
    <x v="2"/>
    <n v="1185732"/>
    <x v="353"/>
    <x v="4"/>
    <s v="Pennsylvania"/>
    <s v="Philadelphia"/>
    <s v="Online"/>
    <x v="2"/>
    <n v="60"/>
    <n v="63"/>
    <n v="3780"/>
    <n v="2305.8000000000002"/>
  </r>
  <r>
    <x v="2"/>
    <n v="1185732"/>
    <x v="353"/>
    <x v="4"/>
    <s v="Maryland"/>
    <s v="Baltimore"/>
    <s v="Online"/>
    <x v="1"/>
    <n v="54"/>
    <n v="51"/>
    <n v="2754"/>
    <n v="1624.8600000000001"/>
  </r>
  <r>
    <x v="2"/>
    <n v="1185732"/>
    <x v="353"/>
    <x v="4"/>
    <s v="Maryland"/>
    <s v="Baltimore"/>
    <s v="Online"/>
    <x v="2"/>
    <n v="61"/>
    <n v="72"/>
    <n v="4392"/>
    <n v="2547.36"/>
  </r>
  <r>
    <x v="2"/>
    <n v="1185732"/>
    <x v="353"/>
    <x v="4"/>
    <s v="Maryland"/>
    <s v="Baltimore"/>
    <s v="Online"/>
    <x v="3"/>
    <n v="45"/>
    <n v="65"/>
    <n v="2925"/>
    <n v="1550.25"/>
  </r>
  <r>
    <x v="2"/>
    <n v="1185732"/>
    <x v="353"/>
    <x v="4"/>
    <s v="Maryland"/>
    <s v="Baltimore"/>
    <s v="Online"/>
    <x v="5"/>
    <n v="49"/>
    <n v="44"/>
    <n v="2156"/>
    <n v="1142.68"/>
  </r>
  <r>
    <x v="4"/>
    <n v="1185732"/>
    <x v="353"/>
    <x v="0"/>
    <s v="Alaska"/>
    <s v="Anchorage"/>
    <s v="Online"/>
    <x v="4"/>
    <n v="69"/>
    <n v="174"/>
    <n v="12006"/>
    <n v="6363.1799999999994"/>
  </r>
  <r>
    <x v="4"/>
    <n v="1185732"/>
    <x v="353"/>
    <x v="0"/>
    <s v="Alaska"/>
    <s v="Anchorage"/>
    <s v="Online"/>
    <x v="0"/>
    <n v="60"/>
    <n v="112"/>
    <n v="6720"/>
    <n v="3561.6"/>
  </r>
  <r>
    <x v="2"/>
    <n v="1185732"/>
    <x v="353"/>
    <x v="4"/>
    <s v="Maryland"/>
    <s v="Baltimore"/>
    <s v="Online"/>
    <x v="4"/>
    <n v="57"/>
    <n v="122"/>
    <n v="6954"/>
    <n v="3477"/>
  </r>
  <r>
    <x v="2"/>
    <n v="1185732"/>
    <x v="353"/>
    <x v="4"/>
    <s v="Maryland"/>
    <s v="Baltimore"/>
    <s v="Online"/>
    <x v="0"/>
    <n v="46"/>
    <n v="65"/>
    <n v="2990"/>
    <n v="1495"/>
  </r>
  <r>
    <x v="4"/>
    <n v="1185732"/>
    <x v="353"/>
    <x v="4"/>
    <s v="Maine"/>
    <s v="Portland"/>
    <s v="Online"/>
    <x v="2"/>
    <n v="58"/>
    <n v="113"/>
    <n v="6554"/>
    <n v="3014.8399999999997"/>
  </r>
  <r>
    <x v="2"/>
    <n v="1185732"/>
    <x v="354"/>
    <x v="3"/>
    <s v="Kentucky"/>
    <s v="Louisville"/>
    <s v="Online"/>
    <x v="0"/>
    <n v="55.000000000000007"/>
    <n v="325"/>
    <n v="17875.000000000004"/>
    <n v="11618.750000000004"/>
  </r>
  <r>
    <x v="4"/>
    <n v="1185732"/>
    <x v="354"/>
    <x v="4"/>
    <s v="Maine"/>
    <s v="Portland"/>
    <s v="Outlet"/>
    <x v="4"/>
    <n v="54.999999999999993"/>
    <n v="525"/>
    <n v="28874.999999999996"/>
    <n v="18768.749999999996"/>
  </r>
  <r>
    <x v="2"/>
    <n v="1185732"/>
    <x v="354"/>
    <x v="3"/>
    <s v="Kentucky"/>
    <s v="Louisville"/>
    <s v="Online"/>
    <x v="1"/>
    <n v="60"/>
    <n v="225"/>
    <n v="13500"/>
    <n v="8775"/>
  </r>
  <r>
    <x v="2"/>
    <n v="1185732"/>
    <x v="354"/>
    <x v="3"/>
    <s v="Kentucky"/>
    <s v="Louisville"/>
    <s v="Online"/>
    <x v="4"/>
    <n v="65"/>
    <n v="525"/>
    <n v="34125"/>
    <n v="20475"/>
  </r>
  <r>
    <x v="2"/>
    <n v="1185732"/>
    <x v="354"/>
    <x v="3"/>
    <s v="Kentucky"/>
    <s v="Louisville"/>
    <s v="Online"/>
    <x v="3"/>
    <n v="55.000000000000007"/>
    <n v="275"/>
    <n v="15125.000000000002"/>
    <n v="9075.0000000000018"/>
  </r>
  <r>
    <x v="2"/>
    <n v="1185732"/>
    <x v="354"/>
    <x v="3"/>
    <s v="Kentucky"/>
    <s v="Louisville"/>
    <s v="Online"/>
    <x v="5"/>
    <n v="50"/>
    <n v="225"/>
    <n v="11250"/>
    <n v="6750"/>
  </r>
  <r>
    <x v="2"/>
    <n v="1185732"/>
    <x v="354"/>
    <x v="3"/>
    <s v="Kentucky"/>
    <s v="Louisville"/>
    <s v="Online"/>
    <x v="2"/>
    <n v="64.999999999999986"/>
    <n v="325"/>
    <n v="21124.999999999996"/>
    <n v="12674.999999999996"/>
  </r>
  <r>
    <x v="2"/>
    <n v="1185732"/>
    <x v="354"/>
    <x v="4"/>
    <s v="Pennsylvania"/>
    <s v="Philadelphia"/>
    <s v="Outlet"/>
    <x v="4"/>
    <n v="70"/>
    <n v="375"/>
    <n v="26250"/>
    <n v="11812.5"/>
  </r>
  <r>
    <x v="4"/>
    <n v="1185732"/>
    <x v="354"/>
    <x v="4"/>
    <s v="Maine"/>
    <s v="Portland"/>
    <s v="Online"/>
    <x v="4"/>
    <n v="50"/>
    <n v="147"/>
    <n v="7350"/>
    <n v="3969.0000000000005"/>
  </r>
  <r>
    <x v="2"/>
    <n v="1185732"/>
    <x v="354"/>
    <x v="3"/>
    <s v="Kentucky"/>
    <s v="Louisville"/>
    <s v="Online"/>
    <x v="1"/>
    <n v="54"/>
    <n v="68"/>
    <n v="3672"/>
    <n v="1946.16"/>
  </r>
  <r>
    <x v="2"/>
    <n v="1185732"/>
    <x v="354"/>
    <x v="3"/>
    <s v="Kentucky"/>
    <s v="Louisville"/>
    <s v="Online"/>
    <x v="0"/>
    <n v="52"/>
    <n v="98"/>
    <n v="5096"/>
    <n v="2649.92"/>
  </r>
  <r>
    <x v="2"/>
    <n v="1185732"/>
    <x v="354"/>
    <x v="3"/>
    <s v="Kentucky"/>
    <s v="Louisville"/>
    <s v="Online"/>
    <x v="5"/>
    <n v="49"/>
    <n v="68"/>
    <n v="3332"/>
    <n v="1566.04"/>
  </r>
  <r>
    <x v="2"/>
    <n v="1185732"/>
    <x v="354"/>
    <x v="3"/>
    <s v="Kentucky"/>
    <s v="Louisville"/>
    <s v="Online"/>
    <x v="2"/>
    <n v="64"/>
    <n v="98"/>
    <n v="6272"/>
    <n v="2947.8399999999997"/>
  </r>
  <r>
    <x v="2"/>
    <n v="1185732"/>
    <x v="354"/>
    <x v="3"/>
    <s v="Kentucky"/>
    <s v="Louisville"/>
    <s v="Online"/>
    <x v="4"/>
    <n v="59"/>
    <n v="158"/>
    <n v="9322"/>
    <n v="4194.8999999999996"/>
  </r>
  <r>
    <x v="2"/>
    <n v="1185732"/>
    <x v="354"/>
    <x v="3"/>
    <s v="Kentucky"/>
    <s v="Louisville"/>
    <s v="Online"/>
    <x v="3"/>
    <n v="51"/>
    <n v="74"/>
    <n v="3774"/>
    <n v="1698.2999999999997"/>
  </r>
  <r>
    <x v="2"/>
    <n v="1185732"/>
    <x v="354"/>
    <x v="4"/>
    <s v="Pennsylvania"/>
    <s v="Philadelphia"/>
    <s v="Outlet"/>
    <x v="4"/>
    <n v="48"/>
    <n v="124"/>
    <n v="5952"/>
    <n v="2380.7999999999993"/>
  </r>
  <r>
    <x v="2"/>
    <n v="1185732"/>
    <x v="354"/>
    <x v="4"/>
    <s v="Pennsylvania"/>
    <s v="Philadelphia"/>
    <s v="Online"/>
    <x v="4"/>
    <n v="66"/>
    <n v="113"/>
    <n v="7458"/>
    <n v="2610.3000000000002"/>
  </r>
  <r>
    <x v="1"/>
    <n v="1128299"/>
    <x v="355"/>
    <x v="0"/>
    <s v="Arizona"/>
    <s v="Phoenix"/>
    <s v="Online"/>
    <x v="2"/>
    <n v="60.000000000000007"/>
    <n v="450"/>
    <n v="27000.000000000004"/>
    <n v="20250.000000000007"/>
  </r>
  <r>
    <x v="1"/>
    <n v="1128299"/>
    <x v="355"/>
    <x v="0"/>
    <s v="Arizona"/>
    <s v="Phoenix"/>
    <s v="Online"/>
    <x v="1"/>
    <n v="55.000000000000007"/>
    <n v="350"/>
    <n v="19250.000000000004"/>
    <n v="13475.000000000004"/>
  </r>
  <r>
    <x v="2"/>
    <n v="1128299"/>
    <x v="355"/>
    <x v="0"/>
    <s v="Arizona"/>
    <s v="Phoenix"/>
    <s v="Online"/>
    <x v="4"/>
    <n v="45.000000000000007"/>
    <n v="625"/>
    <n v="28125.000000000004"/>
    <n v="18281.250000000007"/>
  </r>
  <r>
    <x v="1"/>
    <n v="1128299"/>
    <x v="355"/>
    <x v="0"/>
    <s v="Arizona"/>
    <s v="Phoenix"/>
    <s v="Online"/>
    <x v="3"/>
    <n v="45.000000000000007"/>
    <n v="425"/>
    <n v="19125.000000000004"/>
    <n v="12431.250000000004"/>
  </r>
  <r>
    <x v="1"/>
    <n v="1128299"/>
    <x v="355"/>
    <x v="0"/>
    <s v="Arizona"/>
    <s v="Phoenix"/>
    <s v="Online"/>
    <x v="5"/>
    <n v="45.000000000000007"/>
    <n v="425"/>
    <n v="19125.000000000004"/>
    <n v="12431.250000000004"/>
  </r>
  <r>
    <x v="2"/>
    <n v="1185732"/>
    <x v="355"/>
    <x v="4"/>
    <s v="Pennsylvania"/>
    <s v="Philadelphia"/>
    <s v="Outlet"/>
    <x v="0"/>
    <n v="60.000000000000007"/>
    <n v="200"/>
    <n v="12000.000000000002"/>
    <n v="7800.0000000000018"/>
  </r>
  <r>
    <x v="4"/>
    <n v="1185732"/>
    <x v="355"/>
    <x v="4"/>
    <s v="Maine"/>
    <s v="Portland"/>
    <s v="Outlet"/>
    <x v="0"/>
    <n v="50"/>
    <n v="300"/>
    <n v="15000"/>
    <n v="9750"/>
  </r>
  <r>
    <x v="2"/>
    <n v="1128299"/>
    <x v="355"/>
    <x v="0"/>
    <s v="Arizona"/>
    <s v="Phoenix"/>
    <s v="Online"/>
    <x v="0"/>
    <n v="50.000000000000014"/>
    <n v="625"/>
    <n v="31250.000000000007"/>
    <n v="18750.000000000007"/>
  </r>
  <r>
    <x v="1"/>
    <n v="1128299"/>
    <x v="355"/>
    <x v="0"/>
    <s v="Arizona"/>
    <s v="Phoenix"/>
    <s v="Outlet"/>
    <x v="2"/>
    <n v="43"/>
    <n v="135"/>
    <n v="5805"/>
    <n v="4179.6000000000004"/>
  </r>
  <r>
    <x v="1"/>
    <n v="1128299"/>
    <x v="355"/>
    <x v="0"/>
    <s v="Arizona"/>
    <s v="Phoenix"/>
    <s v="Outlet"/>
    <x v="1"/>
    <n v="42"/>
    <n v="109"/>
    <n v="4578"/>
    <n v="3021.4800000000005"/>
  </r>
  <r>
    <x v="1"/>
    <n v="1128299"/>
    <x v="355"/>
    <x v="0"/>
    <s v="Arizona"/>
    <s v="Phoenix"/>
    <s v="Online"/>
    <x v="2"/>
    <n v="58"/>
    <n v="135"/>
    <n v="7830"/>
    <n v="4932.8999999999996"/>
  </r>
  <r>
    <x v="2"/>
    <n v="1128299"/>
    <x v="355"/>
    <x v="0"/>
    <s v="Arizona"/>
    <s v="Phoenix"/>
    <s v="Outlet"/>
    <x v="4"/>
    <n v="35"/>
    <n v="194"/>
    <n v="6790"/>
    <n v="4074"/>
  </r>
  <r>
    <x v="1"/>
    <n v="1128299"/>
    <x v="355"/>
    <x v="0"/>
    <s v="Arizona"/>
    <s v="Phoenix"/>
    <s v="Outlet"/>
    <x v="5"/>
    <n v="32"/>
    <n v="128"/>
    <n v="4096"/>
    <n v="2416.6400000000003"/>
  </r>
  <r>
    <x v="1"/>
    <n v="1128299"/>
    <x v="355"/>
    <x v="0"/>
    <s v="Arizona"/>
    <s v="Phoenix"/>
    <s v="Outlet"/>
    <x v="3"/>
    <n v="35"/>
    <n v="136"/>
    <n v="4760"/>
    <n v="2808.4"/>
  </r>
  <r>
    <x v="2"/>
    <n v="1185732"/>
    <x v="355"/>
    <x v="4"/>
    <s v="Pennsylvania"/>
    <s v="Philadelphia"/>
    <s v="Outlet"/>
    <x v="0"/>
    <n v="43"/>
    <n v="68"/>
    <n v="2924"/>
    <n v="1695.92"/>
  </r>
  <r>
    <x v="1"/>
    <n v="1128299"/>
    <x v="355"/>
    <x v="0"/>
    <s v="Arizona"/>
    <s v="Phoenix"/>
    <s v="Online"/>
    <x v="1"/>
    <n v="52"/>
    <n v="88"/>
    <n v="4576"/>
    <n v="2608.3199999999997"/>
  </r>
  <r>
    <x v="1"/>
    <n v="1128299"/>
    <x v="355"/>
    <x v="0"/>
    <s v="Arizona"/>
    <s v="Phoenix"/>
    <s v="Online"/>
    <x v="5"/>
    <n v="44"/>
    <n v="115"/>
    <n v="5060"/>
    <n v="2783"/>
  </r>
  <r>
    <x v="2"/>
    <n v="1128299"/>
    <x v="355"/>
    <x v="0"/>
    <s v="Arizona"/>
    <s v="Phoenix"/>
    <s v="Online"/>
    <x v="4"/>
    <n v="44"/>
    <n v="181"/>
    <n v="7964"/>
    <n v="4300.5600000000004"/>
  </r>
  <r>
    <x v="2"/>
    <n v="1128299"/>
    <x v="355"/>
    <x v="0"/>
    <s v="Arizona"/>
    <s v="Phoenix"/>
    <s v="Outlet"/>
    <x v="0"/>
    <n v="33"/>
    <n v="213"/>
    <n v="7029"/>
    <n v="3795.66"/>
  </r>
  <r>
    <x v="2"/>
    <n v="1185732"/>
    <x v="355"/>
    <x v="4"/>
    <s v="Pennsylvania"/>
    <s v="Philadelphia"/>
    <s v="Online"/>
    <x v="0"/>
    <n v="55"/>
    <n v="60"/>
    <n v="3300"/>
    <n v="1749"/>
  </r>
  <r>
    <x v="4"/>
    <n v="1185732"/>
    <x v="355"/>
    <x v="4"/>
    <s v="Maine"/>
    <s v="Portland"/>
    <s v="Online"/>
    <x v="0"/>
    <n v="49"/>
    <n v="90"/>
    <n v="4410"/>
    <n v="2337.3000000000002"/>
  </r>
  <r>
    <x v="1"/>
    <n v="1128299"/>
    <x v="355"/>
    <x v="0"/>
    <s v="Arizona"/>
    <s v="Phoenix"/>
    <s v="Online"/>
    <x v="3"/>
    <n v="43"/>
    <n v="123"/>
    <n v="5289"/>
    <n v="2750.28"/>
  </r>
  <r>
    <x v="2"/>
    <n v="1128299"/>
    <x v="355"/>
    <x v="0"/>
    <s v="Arizona"/>
    <s v="Phoenix"/>
    <s v="Online"/>
    <x v="0"/>
    <n v="49"/>
    <n v="175"/>
    <n v="8575"/>
    <n v="3944.5"/>
  </r>
  <r>
    <x v="3"/>
    <n v="1128299"/>
    <x v="356"/>
    <x v="3"/>
    <s v="Virginia"/>
    <s v="Richmond"/>
    <s v="In-store"/>
    <x v="2"/>
    <n v="85.000000000000014"/>
    <n v="575"/>
    <n v="48875.000000000007"/>
    <n v="34212.500000000007"/>
  </r>
  <r>
    <x v="0"/>
    <n v="1128299"/>
    <x v="356"/>
    <x v="0"/>
    <s v="Oregon"/>
    <s v="Portland"/>
    <s v="In-store"/>
    <x v="2"/>
    <n v="85.000000000000014"/>
    <n v="575"/>
    <n v="48875.000000000007"/>
    <n v="34212.500000000007"/>
  </r>
  <r>
    <x v="2"/>
    <n v="1128299"/>
    <x v="356"/>
    <x v="3"/>
    <s v="Virginia"/>
    <s v="Richmond"/>
    <s v="In-store"/>
    <x v="4"/>
    <n v="65.000000000000014"/>
    <n v="750"/>
    <n v="48750.000000000007"/>
    <n v="31687.500000000011"/>
  </r>
  <r>
    <x v="0"/>
    <n v="1128299"/>
    <x v="356"/>
    <x v="0"/>
    <s v="Oregon"/>
    <s v="Portland"/>
    <s v="In-store"/>
    <x v="4"/>
    <n v="65.000000000000014"/>
    <n v="750"/>
    <n v="48750.000000000007"/>
    <n v="31687.500000000011"/>
  </r>
  <r>
    <x v="2"/>
    <n v="1128299"/>
    <x v="356"/>
    <x v="3"/>
    <s v="Virginia"/>
    <s v="Richmond"/>
    <s v="In-store"/>
    <x v="0"/>
    <n v="75.000000000000028"/>
    <n v="750"/>
    <n v="56250.000000000022"/>
    <n v="36562.500000000015"/>
  </r>
  <r>
    <x v="3"/>
    <n v="1128299"/>
    <x v="356"/>
    <x v="3"/>
    <s v="Virginia"/>
    <s v="Richmond"/>
    <s v="In-store"/>
    <x v="3"/>
    <n v="70.000000000000014"/>
    <n v="550"/>
    <n v="38500.000000000007"/>
    <n v="25025.000000000007"/>
  </r>
  <r>
    <x v="3"/>
    <n v="1128299"/>
    <x v="356"/>
    <x v="3"/>
    <s v="Virginia"/>
    <s v="Richmond"/>
    <s v="In-store"/>
    <x v="5"/>
    <n v="70.000000000000014"/>
    <n v="550"/>
    <n v="38500.000000000007"/>
    <n v="25025.000000000007"/>
  </r>
  <r>
    <x v="0"/>
    <n v="1128299"/>
    <x v="356"/>
    <x v="0"/>
    <s v="Oregon"/>
    <s v="Portland"/>
    <s v="In-store"/>
    <x v="0"/>
    <n v="75.000000000000028"/>
    <n v="750"/>
    <n v="56250.000000000022"/>
    <n v="36562.500000000015"/>
  </r>
  <r>
    <x v="0"/>
    <n v="1128299"/>
    <x v="356"/>
    <x v="0"/>
    <s v="Oregon"/>
    <s v="Portland"/>
    <s v="In-store"/>
    <x v="3"/>
    <n v="70.000000000000014"/>
    <n v="550"/>
    <n v="38500.000000000007"/>
    <n v="25025.000000000007"/>
  </r>
  <r>
    <x v="0"/>
    <n v="1128299"/>
    <x v="356"/>
    <x v="0"/>
    <s v="Oregon"/>
    <s v="Portland"/>
    <s v="In-store"/>
    <x v="5"/>
    <n v="70.000000000000014"/>
    <n v="550"/>
    <n v="38500.000000000007"/>
    <n v="25025.000000000007"/>
  </r>
  <r>
    <x v="2"/>
    <n v="1185732"/>
    <x v="356"/>
    <x v="4"/>
    <s v="Pennsylvania"/>
    <s v="Philadelphia"/>
    <s v="Outlet"/>
    <x v="3"/>
    <n v="60.000000000000007"/>
    <n v="195"/>
    <n v="11700.000000000002"/>
    <n v="7020.0000000000018"/>
  </r>
  <r>
    <x v="4"/>
    <n v="1185732"/>
    <x v="356"/>
    <x v="4"/>
    <s v="Maine"/>
    <s v="Portland"/>
    <s v="Outlet"/>
    <x v="3"/>
    <n v="45"/>
    <n v="225"/>
    <n v="10125"/>
    <n v="6075"/>
  </r>
  <r>
    <x v="3"/>
    <n v="1128299"/>
    <x v="356"/>
    <x v="3"/>
    <s v="Virginia"/>
    <s v="Richmond"/>
    <s v="In-store"/>
    <x v="1"/>
    <n v="80.000000000000014"/>
    <n v="475"/>
    <n v="38000.000000000007"/>
    <n v="22800.000000000004"/>
  </r>
  <r>
    <x v="0"/>
    <n v="1128299"/>
    <x v="356"/>
    <x v="0"/>
    <s v="Oregon"/>
    <s v="Portland"/>
    <s v="In-store"/>
    <x v="1"/>
    <n v="80.000000000000014"/>
    <n v="475"/>
    <n v="38000.000000000007"/>
    <n v="22800.000000000004"/>
  </r>
  <r>
    <x v="0"/>
    <n v="1128299"/>
    <x v="356"/>
    <x v="0"/>
    <s v="Oregon"/>
    <s v="Portland"/>
    <s v="Outlet"/>
    <x v="2"/>
    <n v="55"/>
    <n v="201"/>
    <n v="11055"/>
    <n v="7296.3"/>
  </r>
  <r>
    <x v="3"/>
    <n v="1128299"/>
    <x v="356"/>
    <x v="3"/>
    <s v="Virginia"/>
    <s v="Richmond"/>
    <s v="Outlet"/>
    <x v="2"/>
    <n v="65"/>
    <n v="190"/>
    <n v="12350"/>
    <n v="8027.5"/>
  </r>
  <r>
    <x v="0"/>
    <n v="1128299"/>
    <x v="356"/>
    <x v="0"/>
    <s v="Oregon"/>
    <s v="Portland"/>
    <s v="Outlet"/>
    <x v="5"/>
    <n v="53"/>
    <n v="165"/>
    <n v="8745"/>
    <n v="5334.4500000000007"/>
  </r>
  <r>
    <x v="3"/>
    <n v="1128299"/>
    <x v="356"/>
    <x v="3"/>
    <s v="Virginia"/>
    <s v="Richmond"/>
    <s v="Outlet"/>
    <x v="5"/>
    <n v="51"/>
    <n v="176"/>
    <n v="8976"/>
    <n v="5475.3600000000006"/>
  </r>
  <r>
    <x v="2"/>
    <n v="1128299"/>
    <x v="356"/>
    <x v="3"/>
    <s v="Virginia"/>
    <s v="Richmond"/>
    <s v="Outlet"/>
    <x v="4"/>
    <n v="49"/>
    <n v="248"/>
    <n v="12152"/>
    <n v="7291.2000000000007"/>
  </r>
  <r>
    <x v="0"/>
    <n v="1128299"/>
    <x v="356"/>
    <x v="0"/>
    <s v="Oregon"/>
    <s v="Portland"/>
    <s v="Outlet"/>
    <x v="0"/>
    <n v="56"/>
    <n v="233"/>
    <n v="13048"/>
    <n v="7828.8"/>
  </r>
  <r>
    <x v="0"/>
    <n v="1128299"/>
    <x v="356"/>
    <x v="0"/>
    <s v="Oregon"/>
    <s v="Portland"/>
    <s v="Online"/>
    <x v="2"/>
    <n v="77"/>
    <n v="173"/>
    <n v="13321"/>
    <n v="7992.5999999999995"/>
  </r>
  <r>
    <x v="3"/>
    <n v="1128299"/>
    <x v="356"/>
    <x v="3"/>
    <s v="Virginia"/>
    <s v="Richmond"/>
    <s v="Outlet"/>
    <x v="3"/>
    <n v="53"/>
    <n v="165"/>
    <n v="8745"/>
    <n v="5247"/>
  </r>
  <r>
    <x v="2"/>
    <n v="1128299"/>
    <x v="356"/>
    <x v="3"/>
    <s v="Virginia"/>
    <s v="Richmond"/>
    <s v="Outlet"/>
    <x v="0"/>
    <n v="54"/>
    <n v="225"/>
    <n v="12150"/>
    <n v="7168.5"/>
  </r>
  <r>
    <x v="0"/>
    <n v="1128299"/>
    <x v="356"/>
    <x v="0"/>
    <s v="Oregon"/>
    <s v="Portland"/>
    <s v="Outlet"/>
    <x v="3"/>
    <n v="48"/>
    <n v="193"/>
    <n v="9264"/>
    <n v="5465.76"/>
  </r>
  <r>
    <x v="0"/>
    <n v="1128299"/>
    <x v="356"/>
    <x v="0"/>
    <s v="Oregon"/>
    <s v="Portland"/>
    <s v="Outlet"/>
    <x v="4"/>
    <n v="51"/>
    <n v="225"/>
    <n v="11475"/>
    <n v="6655.5"/>
  </r>
  <r>
    <x v="3"/>
    <n v="1128299"/>
    <x v="356"/>
    <x v="3"/>
    <s v="Virginia"/>
    <s v="Richmond"/>
    <s v="Outlet"/>
    <x v="1"/>
    <n v="59"/>
    <n v="157"/>
    <n v="9263"/>
    <n v="5372.5399999999991"/>
  </r>
  <r>
    <x v="3"/>
    <n v="1128299"/>
    <x v="356"/>
    <x v="3"/>
    <s v="Virginia"/>
    <s v="Richmond"/>
    <s v="Online"/>
    <x v="2"/>
    <n v="82"/>
    <n v="150"/>
    <n v="12300"/>
    <n v="7011"/>
  </r>
  <r>
    <x v="2"/>
    <n v="1185732"/>
    <x v="356"/>
    <x v="4"/>
    <s v="Pennsylvania"/>
    <s v="Philadelphia"/>
    <s v="Outlet"/>
    <x v="3"/>
    <n v="47"/>
    <n v="66"/>
    <n v="3102"/>
    <n v="1737.1200000000001"/>
  </r>
  <r>
    <x v="0"/>
    <n v="1128299"/>
    <x v="356"/>
    <x v="0"/>
    <s v="Oregon"/>
    <s v="Portland"/>
    <s v="Online"/>
    <x v="3"/>
    <n v="67"/>
    <n v="165"/>
    <n v="11055"/>
    <n v="6080.2500000000009"/>
  </r>
  <r>
    <x v="0"/>
    <n v="1128299"/>
    <x v="356"/>
    <x v="0"/>
    <s v="Oregon"/>
    <s v="Portland"/>
    <s v="Online"/>
    <x v="5"/>
    <n v="67"/>
    <n v="143"/>
    <n v="9581"/>
    <n v="5269.55"/>
  </r>
  <r>
    <x v="2"/>
    <n v="1128299"/>
    <x v="356"/>
    <x v="3"/>
    <s v="Virginia"/>
    <s v="Richmond"/>
    <s v="Online"/>
    <x v="0"/>
    <n v="74"/>
    <n v="225"/>
    <n v="16650"/>
    <n v="9157.5"/>
  </r>
  <r>
    <x v="0"/>
    <n v="1128299"/>
    <x v="356"/>
    <x v="0"/>
    <s v="Oregon"/>
    <s v="Portland"/>
    <s v="Online"/>
    <x v="0"/>
    <n v="72"/>
    <n v="218"/>
    <n v="15696"/>
    <n v="8318.880000000001"/>
  </r>
  <r>
    <x v="2"/>
    <n v="1128299"/>
    <x v="356"/>
    <x v="3"/>
    <s v="Virginia"/>
    <s v="Richmond"/>
    <s v="Online"/>
    <x v="4"/>
    <n v="60"/>
    <n v="225"/>
    <n v="13500"/>
    <n v="7155"/>
  </r>
  <r>
    <x v="0"/>
    <n v="1128299"/>
    <x v="356"/>
    <x v="0"/>
    <s v="Oregon"/>
    <s v="Portland"/>
    <s v="Outlet"/>
    <x v="1"/>
    <n v="54"/>
    <n v="157"/>
    <n v="8478"/>
    <n v="4493.34"/>
  </r>
  <r>
    <x v="0"/>
    <n v="1128299"/>
    <x v="356"/>
    <x v="0"/>
    <s v="Oregon"/>
    <s v="Portland"/>
    <s v="Online"/>
    <x v="4"/>
    <n v="61"/>
    <n v="188"/>
    <n v="11468"/>
    <n v="5963.3600000000006"/>
  </r>
  <r>
    <x v="3"/>
    <n v="1128299"/>
    <x v="356"/>
    <x v="3"/>
    <s v="Virginia"/>
    <s v="Richmond"/>
    <s v="Online"/>
    <x v="3"/>
    <n v="64"/>
    <n v="154"/>
    <n v="9856"/>
    <n v="5125.12"/>
  </r>
  <r>
    <x v="4"/>
    <n v="1185732"/>
    <x v="356"/>
    <x v="4"/>
    <s v="Maine"/>
    <s v="Portland"/>
    <s v="Online"/>
    <x v="3"/>
    <n v="41"/>
    <n v="68"/>
    <n v="2788"/>
    <n v="1394"/>
  </r>
  <r>
    <x v="3"/>
    <n v="1128299"/>
    <x v="356"/>
    <x v="3"/>
    <s v="Virginia"/>
    <s v="Richmond"/>
    <s v="Online"/>
    <x v="5"/>
    <n v="67"/>
    <n v="160"/>
    <n v="10720"/>
    <n v="5360"/>
  </r>
  <r>
    <x v="0"/>
    <n v="1128299"/>
    <x v="356"/>
    <x v="0"/>
    <s v="Oregon"/>
    <s v="Portland"/>
    <s v="Online"/>
    <x v="1"/>
    <n v="72"/>
    <n v="133"/>
    <n v="9576"/>
    <n v="4788"/>
  </r>
  <r>
    <x v="3"/>
    <n v="1128299"/>
    <x v="356"/>
    <x v="3"/>
    <s v="Virginia"/>
    <s v="Richmond"/>
    <s v="Online"/>
    <x v="1"/>
    <n v="72"/>
    <n v="133"/>
    <n v="9576"/>
    <n v="4692.24"/>
  </r>
  <r>
    <x v="2"/>
    <n v="1185732"/>
    <x v="356"/>
    <x v="4"/>
    <s v="Pennsylvania"/>
    <s v="Philadelphia"/>
    <s v="Online"/>
    <x v="3"/>
    <n v="55"/>
    <n v="55"/>
    <n v="3025"/>
    <n v="1421.75"/>
  </r>
  <r>
    <x v="4"/>
    <n v="1185732"/>
    <x v="357"/>
    <x v="4"/>
    <s v="Maine"/>
    <s v="Portland"/>
    <s v="Outlet"/>
    <x v="5"/>
    <n v="45"/>
    <n v="175"/>
    <n v="7875"/>
    <n v="5512.5"/>
  </r>
  <r>
    <x v="2"/>
    <n v="1185732"/>
    <x v="357"/>
    <x v="4"/>
    <s v="Pennsylvania"/>
    <s v="Philadelphia"/>
    <s v="Outlet"/>
    <x v="5"/>
    <n v="60.000000000000007"/>
    <n v="175"/>
    <n v="10500.000000000002"/>
    <n v="6300.0000000000018"/>
  </r>
  <r>
    <x v="4"/>
    <n v="1185732"/>
    <x v="357"/>
    <x v="4"/>
    <s v="Maine"/>
    <s v="Portland"/>
    <s v="Online"/>
    <x v="5"/>
    <n v="41"/>
    <n v="51"/>
    <n v="2091"/>
    <n v="1233.69"/>
  </r>
  <r>
    <x v="2"/>
    <n v="1185732"/>
    <x v="357"/>
    <x v="4"/>
    <s v="Pennsylvania"/>
    <s v="Philadelphia"/>
    <s v="Outlet"/>
    <x v="5"/>
    <n v="43"/>
    <n v="60"/>
    <n v="2580"/>
    <n v="1393.2"/>
  </r>
  <r>
    <x v="2"/>
    <n v="1185732"/>
    <x v="357"/>
    <x v="4"/>
    <s v="Pennsylvania"/>
    <s v="Philadelphia"/>
    <s v="Online"/>
    <x v="5"/>
    <n v="56"/>
    <n v="44"/>
    <n v="2464"/>
    <n v="1207.3599999999999"/>
  </r>
  <r>
    <x v="4"/>
    <n v="1185732"/>
    <x v="358"/>
    <x v="4"/>
    <s v="Maine"/>
    <s v="Portland"/>
    <s v="Outlet"/>
    <x v="1"/>
    <n v="54.999999999999993"/>
    <n v="150"/>
    <n v="8249.9999999999982"/>
    <n v="6187.4999999999982"/>
  </r>
  <r>
    <x v="3"/>
    <n v="1128299"/>
    <x v="358"/>
    <x v="0"/>
    <s v="New Mexico"/>
    <s v="Albuquerque"/>
    <s v="Online"/>
    <x v="2"/>
    <n v="75.000000000000014"/>
    <n v="525"/>
    <n v="39375.000000000007"/>
    <n v="29531.250000000007"/>
  </r>
  <r>
    <x v="3"/>
    <n v="1128299"/>
    <x v="358"/>
    <x v="0"/>
    <s v="New Mexico"/>
    <s v="Albuquerque"/>
    <s v="Online"/>
    <x v="1"/>
    <n v="70"/>
    <n v="425"/>
    <n v="29750"/>
    <n v="20825"/>
  </r>
  <r>
    <x v="3"/>
    <n v="1128299"/>
    <x v="358"/>
    <x v="0"/>
    <s v="New Mexico"/>
    <s v="Albuquerque"/>
    <s v="Online"/>
    <x v="3"/>
    <n v="60.000000000000007"/>
    <n v="500"/>
    <n v="30000.000000000004"/>
    <n v="19500.000000000007"/>
  </r>
  <r>
    <x v="3"/>
    <n v="1128299"/>
    <x v="358"/>
    <x v="0"/>
    <s v="New Mexico"/>
    <s v="Albuquerque"/>
    <s v="Online"/>
    <x v="5"/>
    <n v="60.000000000000007"/>
    <n v="500"/>
    <n v="30000.000000000004"/>
    <n v="19500.000000000007"/>
  </r>
  <r>
    <x v="2"/>
    <n v="1185732"/>
    <x v="358"/>
    <x v="4"/>
    <s v="Pennsylvania"/>
    <s v="Philadelphia"/>
    <s v="Outlet"/>
    <x v="1"/>
    <n v="70"/>
    <n v="150"/>
    <n v="10500"/>
    <n v="6825"/>
  </r>
  <r>
    <x v="1"/>
    <n v="1128299"/>
    <x v="358"/>
    <x v="0"/>
    <s v="New Mexico"/>
    <s v="Albuquerque"/>
    <s v="Online"/>
    <x v="4"/>
    <n v="60.000000000000007"/>
    <n v="700"/>
    <n v="42000.000000000007"/>
    <n v="27300.000000000007"/>
  </r>
  <r>
    <x v="1"/>
    <n v="1128299"/>
    <x v="358"/>
    <x v="0"/>
    <s v="New Mexico"/>
    <s v="Albuquerque"/>
    <s v="Online"/>
    <x v="0"/>
    <n v="65.000000000000014"/>
    <n v="700"/>
    <n v="45500.000000000007"/>
    <n v="27300.000000000007"/>
  </r>
  <r>
    <x v="3"/>
    <n v="1128299"/>
    <x v="358"/>
    <x v="0"/>
    <s v="New Mexico"/>
    <s v="Albuquerque"/>
    <s v="Outlet"/>
    <x v="2"/>
    <n v="56"/>
    <n v="173"/>
    <n v="9688"/>
    <n v="7072.24"/>
  </r>
  <r>
    <x v="3"/>
    <n v="1128299"/>
    <x v="358"/>
    <x v="0"/>
    <s v="New Mexico"/>
    <s v="Albuquerque"/>
    <s v="Outlet"/>
    <x v="1"/>
    <n v="55"/>
    <n v="128"/>
    <n v="7040"/>
    <n v="4716.8"/>
  </r>
  <r>
    <x v="3"/>
    <n v="1128299"/>
    <x v="358"/>
    <x v="0"/>
    <s v="New Mexico"/>
    <s v="Albuquerque"/>
    <s v="Online"/>
    <x v="2"/>
    <n v="72"/>
    <n v="131"/>
    <n v="9432"/>
    <n v="6130.8"/>
  </r>
  <r>
    <x v="4"/>
    <n v="1185732"/>
    <x v="358"/>
    <x v="4"/>
    <s v="Maine"/>
    <s v="Portland"/>
    <s v="Online"/>
    <x v="1"/>
    <n v="54"/>
    <n v="41"/>
    <n v="2214"/>
    <n v="1394.8200000000002"/>
  </r>
  <r>
    <x v="2"/>
    <n v="1185732"/>
    <x v="358"/>
    <x v="4"/>
    <s v="Pennsylvania"/>
    <s v="Philadelphia"/>
    <s v="Outlet"/>
    <x v="1"/>
    <n v="51"/>
    <n v="48"/>
    <n v="2448"/>
    <n v="1493.2800000000002"/>
  </r>
  <r>
    <x v="3"/>
    <n v="1128299"/>
    <x v="358"/>
    <x v="0"/>
    <s v="New Mexico"/>
    <s v="Albuquerque"/>
    <s v="Outlet"/>
    <x v="5"/>
    <n v="45"/>
    <n v="160"/>
    <n v="7200"/>
    <n v="4320"/>
  </r>
  <r>
    <x v="3"/>
    <n v="1128299"/>
    <x v="358"/>
    <x v="0"/>
    <s v="New Mexico"/>
    <s v="Albuquerque"/>
    <s v="Outlet"/>
    <x v="3"/>
    <n v="44"/>
    <n v="150"/>
    <n v="6600"/>
    <n v="3894"/>
  </r>
  <r>
    <x v="1"/>
    <n v="1128299"/>
    <x v="358"/>
    <x v="0"/>
    <s v="New Mexico"/>
    <s v="Albuquerque"/>
    <s v="Outlet"/>
    <x v="4"/>
    <n v="44"/>
    <n v="238"/>
    <n v="10472"/>
    <n v="6073.76"/>
  </r>
  <r>
    <x v="3"/>
    <n v="1128299"/>
    <x v="358"/>
    <x v="0"/>
    <s v="New Mexico"/>
    <s v="Albuquerque"/>
    <s v="Online"/>
    <x v="1"/>
    <n v="64"/>
    <n v="119"/>
    <n v="7616"/>
    <n v="4188.8"/>
  </r>
  <r>
    <x v="1"/>
    <n v="1128299"/>
    <x v="358"/>
    <x v="0"/>
    <s v="New Mexico"/>
    <s v="Albuquerque"/>
    <s v="Online"/>
    <x v="4"/>
    <n v="55"/>
    <n v="210"/>
    <n v="11550"/>
    <n v="6237"/>
  </r>
  <r>
    <x v="3"/>
    <n v="1128299"/>
    <x v="358"/>
    <x v="0"/>
    <s v="New Mexico"/>
    <s v="Albuquerque"/>
    <s v="Online"/>
    <x v="5"/>
    <n v="55"/>
    <n v="145"/>
    <n v="7975"/>
    <n v="4306.5"/>
  </r>
  <r>
    <x v="1"/>
    <n v="1128299"/>
    <x v="358"/>
    <x v="0"/>
    <s v="New Mexico"/>
    <s v="Albuquerque"/>
    <s v="Outlet"/>
    <x v="0"/>
    <n v="47"/>
    <n v="217"/>
    <n v="10199"/>
    <n v="5405.4699999999993"/>
  </r>
  <r>
    <x v="2"/>
    <n v="1185732"/>
    <x v="358"/>
    <x v="4"/>
    <s v="Pennsylvania"/>
    <s v="Philadelphia"/>
    <s v="Online"/>
    <x v="1"/>
    <n v="64"/>
    <n v="42"/>
    <n v="2688"/>
    <n v="1397.76"/>
  </r>
  <r>
    <x v="3"/>
    <n v="1128299"/>
    <x v="358"/>
    <x v="0"/>
    <s v="New Mexico"/>
    <s v="Albuquerque"/>
    <s v="Online"/>
    <x v="3"/>
    <n v="59"/>
    <n v="130"/>
    <n v="7670"/>
    <n v="3911.7000000000003"/>
  </r>
  <r>
    <x v="1"/>
    <n v="1128299"/>
    <x v="358"/>
    <x v="0"/>
    <s v="New Mexico"/>
    <s v="Albuquerque"/>
    <s v="Online"/>
    <x v="0"/>
    <n v="61"/>
    <n v="182"/>
    <n v="11102"/>
    <n v="5551"/>
  </r>
  <r>
    <x v="2"/>
    <n v="1185732"/>
    <x v="359"/>
    <x v="4"/>
    <s v="Pennsylvania"/>
    <s v="Philadelphia"/>
    <s v="Outlet"/>
    <x v="2"/>
    <n v="75"/>
    <n v="250"/>
    <n v="18750"/>
    <n v="13125"/>
  </r>
  <r>
    <x v="4"/>
    <n v="1185732"/>
    <x v="359"/>
    <x v="4"/>
    <s v="Maine"/>
    <s v="Portland"/>
    <s v="Outlet"/>
    <x v="2"/>
    <n v="60"/>
    <n v="325"/>
    <n v="19500"/>
    <n v="11700"/>
  </r>
  <r>
    <x v="2"/>
    <n v="1185732"/>
    <x v="359"/>
    <x v="4"/>
    <s v="Pennsylvania"/>
    <s v="Philadelphia"/>
    <s v="Outlet"/>
    <x v="2"/>
    <n v="53"/>
    <n v="75"/>
    <n v="3975"/>
    <n v="2544"/>
  </r>
  <r>
    <x v="2"/>
    <n v="1185732"/>
    <x v="359"/>
    <x v="4"/>
    <s v="Pennsylvania"/>
    <s v="Philadelphia"/>
    <s v="Online"/>
    <x v="2"/>
    <n v="71"/>
    <n v="65"/>
    <n v="4615"/>
    <n v="2584.4"/>
  </r>
  <r>
    <x v="4"/>
    <n v="1185732"/>
    <x v="359"/>
    <x v="4"/>
    <s v="Maine"/>
    <s v="Portland"/>
    <s v="Online"/>
    <x v="2"/>
    <n v="54"/>
    <n v="91"/>
    <n v="4914"/>
    <n v="2260.4399999999996"/>
  </r>
  <r>
    <x v="4"/>
    <n v="1185732"/>
    <x v="360"/>
    <x v="4"/>
    <s v="Maine"/>
    <s v="Portland"/>
    <s v="Outlet"/>
    <x v="4"/>
    <n v="54.999999999999993"/>
    <n v="450"/>
    <n v="24749.999999999996"/>
    <n v="16087.5"/>
  </r>
  <r>
    <x v="2"/>
    <n v="1185732"/>
    <x v="360"/>
    <x v="4"/>
    <s v="Pennsylvania"/>
    <s v="Philadelphia"/>
    <s v="Outlet"/>
    <x v="4"/>
    <n v="70"/>
    <n v="475"/>
    <n v="33250"/>
    <n v="14962.499999999996"/>
  </r>
  <r>
    <x v="4"/>
    <n v="1185732"/>
    <x v="360"/>
    <x v="4"/>
    <s v="Maine"/>
    <s v="Portland"/>
    <s v="Online"/>
    <x v="4"/>
    <n v="53"/>
    <n v="122"/>
    <n v="6466"/>
    <n v="3362.32"/>
  </r>
  <r>
    <x v="2"/>
    <n v="1185732"/>
    <x v="360"/>
    <x v="4"/>
    <s v="Pennsylvania"/>
    <s v="Philadelphia"/>
    <s v="Outlet"/>
    <x v="4"/>
    <n v="53"/>
    <n v="143"/>
    <n v="7579"/>
    <n v="2955.8099999999995"/>
  </r>
  <r>
    <x v="2"/>
    <n v="1185732"/>
    <x v="360"/>
    <x v="4"/>
    <s v="Pennsylvania"/>
    <s v="Philadelphia"/>
    <s v="Online"/>
    <x v="4"/>
    <n v="67"/>
    <n v="124"/>
    <n v="8308"/>
    <n v="2575.4799999999996"/>
  </r>
  <r>
    <x v="2"/>
    <n v="1185732"/>
    <x v="361"/>
    <x v="4"/>
    <s v="Pennsylvania"/>
    <s v="Philadelphia"/>
    <s v="Outlet"/>
    <x v="0"/>
    <n v="60.000000000000007"/>
    <n v="275"/>
    <n v="16500.000000000004"/>
    <n v="10725.000000000004"/>
  </r>
  <r>
    <x v="4"/>
    <n v="1185732"/>
    <x v="361"/>
    <x v="4"/>
    <s v="Maine"/>
    <s v="Portland"/>
    <s v="Outlet"/>
    <x v="0"/>
    <n v="50"/>
    <n v="250"/>
    <n v="12500"/>
    <n v="8125"/>
  </r>
  <r>
    <x v="2"/>
    <n v="1185732"/>
    <x v="361"/>
    <x v="4"/>
    <s v="Pennsylvania"/>
    <s v="Philadelphia"/>
    <s v="Outlet"/>
    <x v="0"/>
    <n v="47"/>
    <n v="85"/>
    <n v="3995"/>
    <n v="2357.0500000000002"/>
  </r>
  <r>
    <x v="2"/>
    <n v="1185732"/>
    <x v="361"/>
    <x v="4"/>
    <s v="Pennsylvania"/>
    <s v="Philadelphia"/>
    <s v="Online"/>
    <x v="0"/>
    <n v="55"/>
    <n v="69"/>
    <n v="3795"/>
    <n v="2087.25"/>
  </r>
  <r>
    <x v="4"/>
    <n v="1185732"/>
    <x v="361"/>
    <x v="4"/>
    <s v="Maine"/>
    <s v="Portland"/>
    <s v="Online"/>
    <x v="0"/>
    <n v="46"/>
    <n v="70"/>
    <n v="3220"/>
    <n v="1706.6000000000001"/>
  </r>
  <r>
    <x v="2"/>
    <n v="1185732"/>
    <x v="362"/>
    <x v="4"/>
    <s v="Pennsylvania"/>
    <s v="Philadelphia"/>
    <s v="Outlet"/>
    <x v="3"/>
    <n v="60.000000000000007"/>
    <n v="225"/>
    <n v="13500.000000000002"/>
    <n v="8100.0000000000027"/>
  </r>
  <r>
    <x v="4"/>
    <n v="1185732"/>
    <x v="362"/>
    <x v="4"/>
    <s v="Maine"/>
    <s v="Portland"/>
    <s v="Outlet"/>
    <x v="3"/>
    <n v="45"/>
    <n v="150"/>
    <n v="6750"/>
    <n v="4050"/>
  </r>
  <r>
    <x v="2"/>
    <n v="1185732"/>
    <x v="362"/>
    <x v="4"/>
    <s v="Pennsylvania"/>
    <s v="Philadelphia"/>
    <s v="Outlet"/>
    <x v="3"/>
    <n v="44"/>
    <n v="79"/>
    <n v="3476"/>
    <n v="1946.5600000000002"/>
  </r>
  <r>
    <x v="2"/>
    <n v="1185732"/>
    <x v="362"/>
    <x v="4"/>
    <s v="Pennsylvania"/>
    <s v="Philadelphia"/>
    <s v="Online"/>
    <x v="3"/>
    <n v="55"/>
    <n v="65"/>
    <n v="3575"/>
    <n v="1680.25"/>
  </r>
  <r>
    <x v="4"/>
    <n v="1185732"/>
    <x v="362"/>
    <x v="4"/>
    <s v="Maine"/>
    <s v="Portland"/>
    <s v="Online"/>
    <x v="3"/>
    <n v="41"/>
    <n v="38"/>
    <n v="1558"/>
    <n v="701.10000000000014"/>
  </r>
  <r>
    <x v="4"/>
    <n v="1185732"/>
    <x v="363"/>
    <x v="4"/>
    <s v="Maine"/>
    <s v="Portland"/>
    <s v="Outlet"/>
    <x v="5"/>
    <n v="45"/>
    <n v="125"/>
    <n v="5625"/>
    <n v="3937.5"/>
  </r>
  <r>
    <x v="2"/>
    <n v="1185732"/>
    <x v="363"/>
    <x v="4"/>
    <s v="Pennsylvania"/>
    <s v="Philadelphia"/>
    <s v="Outlet"/>
    <x v="5"/>
    <n v="60.000000000000007"/>
    <n v="175"/>
    <n v="10500.000000000002"/>
    <n v="6300.0000000000018"/>
  </r>
  <r>
    <x v="4"/>
    <n v="1185732"/>
    <x v="363"/>
    <x v="4"/>
    <s v="Maine"/>
    <s v="Portland"/>
    <s v="Online"/>
    <x v="5"/>
    <n v="42"/>
    <n v="36"/>
    <n v="1512"/>
    <n v="831.6"/>
  </r>
  <r>
    <x v="2"/>
    <n v="1185732"/>
    <x v="363"/>
    <x v="4"/>
    <s v="Pennsylvania"/>
    <s v="Philadelphia"/>
    <s v="Outlet"/>
    <x v="5"/>
    <n v="40"/>
    <n v="53"/>
    <n v="2120"/>
    <n v="1166"/>
  </r>
  <r>
    <x v="2"/>
    <n v="1185732"/>
    <x v="363"/>
    <x v="4"/>
    <s v="Pennsylvania"/>
    <s v="Philadelphia"/>
    <s v="Online"/>
    <x v="5"/>
    <n v="57"/>
    <n v="53"/>
    <n v="3021"/>
    <n v="1419.87"/>
  </r>
  <r>
    <x v="4"/>
    <n v="1185732"/>
    <x v="364"/>
    <x v="4"/>
    <s v="Maine"/>
    <s v="Portland"/>
    <s v="Outlet"/>
    <x v="1"/>
    <n v="54.999999999999993"/>
    <n v="125"/>
    <n v="6874.9999999999991"/>
    <n v="5156.2499999999982"/>
  </r>
  <r>
    <x v="2"/>
    <n v="1185732"/>
    <x v="364"/>
    <x v="4"/>
    <s v="Pennsylvania"/>
    <s v="Philadelphia"/>
    <s v="Outlet"/>
    <x v="1"/>
    <n v="70"/>
    <n v="175"/>
    <n v="12250"/>
    <n v="7962.5"/>
  </r>
  <r>
    <x v="4"/>
    <n v="1185732"/>
    <x v="364"/>
    <x v="4"/>
    <s v="Maine"/>
    <s v="Portland"/>
    <s v="Online"/>
    <x v="1"/>
    <n v="52"/>
    <n v="36"/>
    <n v="1872"/>
    <n v="1179.3600000000001"/>
  </r>
  <r>
    <x v="2"/>
    <n v="1185732"/>
    <x v="364"/>
    <x v="4"/>
    <s v="Pennsylvania"/>
    <s v="Philadelphia"/>
    <s v="Outlet"/>
    <x v="1"/>
    <n v="46"/>
    <n v="56"/>
    <n v="2576"/>
    <n v="1571.3600000000001"/>
  </r>
  <r>
    <x v="2"/>
    <n v="1185732"/>
    <x v="364"/>
    <x v="4"/>
    <s v="Pennsylvania"/>
    <s v="Philadelphia"/>
    <s v="Online"/>
    <x v="1"/>
    <n v="63"/>
    <n v="47"/>
    <n v="2961"/>
    <n v="1598.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46F28-7882-4C36-B4C8-92ABBD6ACC6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9" firstHeaderRow="0" firstDataRow="1" firstDataCol="1"/>
  <pivotFields count="15">
    <pivotField showAll="0"/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numFmtId="43" showAll="0"/>
    <pivotField numFmtId="164" showAll="0"/>
    <pivotField dataField="1" numFmtId="43" showAll="0"/>
    <pivotField dataField="1" numFmtId="4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0" baseField="0" baseItem="0" numFmtId="43"/>
    <dataField name="Sum of COGS" fld="11" baseField="0" baseItem="0" numFmtId="43"/>
    <dataField name="Sum of Gross Profit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DDB64-CADE-42E2-A20F-C8201A33032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5">
    <pivotField showAll="0"/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 sortType="de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3" showAll="0"/>
    <pivotField numFmtId="164" showAll="0"/>
    <pivotField dataField="1" numFmtId="43" showAll="0"/>
    <pivotField numFmtId="43" showAll="0"/>
    <pivotField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" fld="10" baseField="0" baseItem="0" numFmtId="43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38DF6-9FFD-48AA-81AA-93177B8E5B2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0" firstHeaderRow="0" firstDataRow="1" firstDataCol="1"/>
  <pivotFields count="15">
    <pivotField showAll="0"/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1"/>
        <item x="0"/>
        <item x="4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numFmtId="164" showAll="0"/>
    <pivotField dataField="1" numFmtId="43" showAll="0"/>
    <pivotField dataField="1" numFmtId="4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0" baseField="0" baseItem="0" numFmtId="43"/>
    <dataField name="Sum of COGS" fld="11" baseField="0" baseItem="0" numFmtId="43"/>
    <dataField name="Sum of Gross Profit" fld="12" baseField="0" baseItem="0" numFmtId="43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DCB42-6E21-4017-A2DB-B44F5A70016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5">
    <pivotField axis="axisRow" showAll="0" sortType="descending">
      <items count="7">
        <item x="4"/>
        <item x="2"/>
        <item x="1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numFmtId="43" showAll="0"/>
    <pivotField numFmtId="164" showAll="0"/>
    <pivotField dataField="1" numFmtId="43" showAll="0"/>
    <pivotField dataField="1" numFmtId="4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7">
    <i>
      <x v="1"/>
    </i>
    <i>
      <x v="3"/>
    </i>
    <i>
      <x v="5"/>
    </i>
    <i>
      <x v="2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0" baseField="0" baseItem="0" numFmtId="43"/>
    <dataField name="Sum of COGS" fld="11" baseField="0" baseItem="0" numFmtId="43"/>
    <dataField name="Sum of Gross Profit" fld="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D2E8-C067-4727-80A4-9D971F8EFB41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6" firstHeaderRow="1" firstDataRow="1" firstDataCol="1"/>
  <pivotFields count="15">
    <pivotField showAll="0"/>
    <pivotField showAll="0"/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numFmtId="43" showAll="0"/>
    <pivotField numFmtId="164" showAll="0"/>
    <pivotField dataField="1" numFmtId="43" showAll="0"/>
    <pivotField numFmtId="43" showAl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 numFmtId="43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E5756-C169-4EE6-B6FE-DDF58D57FFF3}" name="AdidasSales2021" displayName="AdidasSales2021" ref="A1:L8343" totalsRowShown="0" dataDxfId="0" dataCellStyle="Comma">
  <autoFilter ref="A1:L8343" xr:uid="{514E5756-C169-4EE6-B6FE-DDF58D57FFF3}"/>
  <tableColumns count="12">
    <tableColumn id="1" xr3:uid="{7A448887-0BF3-4554-A26F-E82E6A0D250C}" name="Retailer"/>
    <tableColumn id="2" xr3:uid="{54833495-6025-4D72-AFB3-583BF9FD3C4B}" name="Retailer ID"/>
    <tableColumn id="3" xr3:uid="{2BB99931-0585-4A9D-8BC8-CCCDD43750A2}" name="Invoice Date" dataDxfId="5"/>
    <tableColumn id="4" xr3:uid="{6AFE55E6-6437-4941-AC86-0D6F56C85FA5}" name="Region"/>
    <tableColumn id="5" xr3:uid="{19A20617-321D-455E-9B04-F8D392619D20}" name="State"/>
    <tableColumn id="6" xr3:uid="{D0000E31-56A2-4AD2-9718-42CAF2BEB273}" name="City"/>
    <tableColumn id="7" xr3:uid="{55681E71-A931-4DD6-B652-F9E8A760AD58}" name="Sales Method"/>
    <tableColumn id="8" xr3:uid="{FD58F298-872D-41A0-AA9F-0227ED8D5A27}" name="Product"/>
    <tableColumn id="9" xr3:uid="{C7A41265-E178-455A-B77F-5219B4B14391}" name="Price per Unit" dataDxfId="4" dataCellStyle="Comma"/>
    <tableColumn id="10" xr3:uid="{9E088598-2EB0-4297-B035-F24E73655BBD}" name="Units Sold" dataDxfId="3" dataCellStyle="Comma"/>
    <tableColumn id="11" xr3:uid="{390059EF-C2AE-495E-AA3D-C437D2ABE532}" name="Sales" dataDxfId="2" dataCellStyle="Comma">
      <calculatedColumnFormula>I2*J2</calculatedColumnFormula>
    </tableColumn>
    <tableColumn id="12" xr3:uid="{A6FA862E-CE0C-4A52-B0A8-BECFC17C2685}" name="COGS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4318-D4DE-4AB6-AB6E-13C506AC3D40}">
  <dimension ref="A3:K9"/>
  <sheetViews>
    <sheetView workbookViewId="0">
      <selection activeCell="G20" sqref="G20"/>
    </sheetView>
  </sheetViews>
  <sheetFormatPr defaultRowHeight="15.75" x14ac:dyDescent="0.25"/>
  <cols>
    <col min="1" max="1" width="12.375" bestFit="1" customWidth="1"/>
    <col min="2" max="2" width="13.75" bestFit="1" customWidth="1"/>
    <col min="3" max="4" width="17.625" bestFit="1" customWidth="1"/>
    <col min="5" max="5" width="11.375" bestFit="1" customWidth="1"/>
    <col min="7" max="7" width="12.375" bestFit="1" customWidth="1"/>
    <col min="8" max="9" width="13.75" bestFit="1" customWidth="1"/>
    <col min="10" max="10" width="17.625" bestFit="1" customWidth="1"/>
    <col min="11" max="11" width="10.375" bestFit="1" customWidth="1"/>
  </cols>
  <sheetData>
    <row r="3" spans="1:11" x14ac:dyDescent="0.25">
      <c r="A3" s="9" t="s">
        <v>127</v>
      </c>
      <c r="B3" t="s">
        <v>129</v>
      </c>
      <c r="G3" s="9" t="s">
        <v>127</v>
      </c>
      <c r="H3" t="s">
        <v>129</v>
      </c>
      <c r="I3" t="s">
        <v>130</v>
      </c>
      <c r="J3" t="s">
        <v>131</v>
      </c>
      <c r="K3" t="s">
        <v>126</v>
      </c>
    </row>
    <row r="4" spans="1:11" x14ac:dyDescent="0.25">
      <c r="A4" s="10" t="s">
        <v>12</v>
      </c>
      <c r="B4" s="4">
        <v>26417754</v>
      </c>
      <c r="E4" s="7"/>
      <c r="G4" s="10" t="s">
        <v>57</v>
      </c>
      <c r="H4" s="4">
        <v>15770516</v>
      </c>
      <c r="I4" s="4">
        <v>9257833.0300000012</v>
      </c>
      <c r="J4" s="4">
        <v>6512682.9699999988</v>
      </c>
      <c r="K4" s="7">
        <f>J4/H4</f>
        <v>0.41296575013778869</v>
      </c>
    </row>
    <row r="5" spans="1:11" x14ac:dyDescent="0.25">
      <c r="A5" s="10" t="s">
        <v>29</v>
      </c>
      <c r="B5" s="4">
        <v>19267008</v>
      </c>
      <c r="E5" s="7"/>
      <c r="G5" s="10" t="s">
        <v>29</v>
      </c>
      <c r="H5" s="4">
        <v>19267008</v>
      </c>
      <c r="I5" s="4">
        <v>11698344.660000002</v>
      </c>
      <c r="J5" s="4">
        <v>7568663.339999998</v>
      </c>
      <c r="K5" s="7">
        <f t="shared" ref="K5:K9" si="0">J5/H5</f>
        <v>0.39283023809405165</v>
      </c>
    </row>
    <row r="6" spans="1:11" x14ac:dyDescent="0.25">
      <c r="A6" s="10" t="s">
        <v>32</v>
      </c>
      <c r="B6" s="4">
        <v>17500323</v>
      </c>
      <c r="E6" s="7"/>
      <c r="G6" s="10" t="s">
        <v>52</v>
      </c>
      <c r="H6" s="4">
        <v>16973724</v>
      </c>
      <c r="I6" s="4">
        <v>9246890.9900000039</v>
      </c>
      <c r="J6" s="4">
        <v>7726833.0099999961</v>
      </c>
      <c r="K6" s="7">
        <f t="shared" si="0"/>
        <v>0.45522320322870785</v>
      </c>
    </row>
    <row r="7" spans="1:11" x14ac:dyDescent="0.25">
      <c r="A7" s="10" t="s">
        <v>52</v>
      </c>
      <c r="B7" s="4">
        <v>16973724</v>
      </c>
      <c r="E7" s="7"/>
      <c r="G7" s="10" t="s">
        <v>32</v>
      </c>
      <c r="H7" s="4">
        <v>17500323</v>
      </c>
      <c r="I7" s="4">
        <v>10686651.659999989</v>
      </c>
      <c r="J7" s="4">
        <v>6813671.340000011</v>
      </c>
      <c r="K7" s="7">
        <f t="shared" si="0"/>
        <v>0.38934546179519147</v>
      </c>
    </row>
    <row r="8" spans="1:11" x14ac:dyDescent="0.25">
      <c r="A8" s="10" t="s">
        <v>57</v>
      </c>
      <c r="B8" s="4">
        <v>15770516</v>
      </c>
      <c r="E8" s="7"/>
      <c r="G8" s="10" t="s">
        <v>12</v>
      </c>
      <c r="H8" s="4">
        <v>26417754</v>
      </c>
      <c r="I8" s="4">
        <v>16830142.039999999</v>
      </c>
      <c r="J8" s="4">
        <v>9587611.9600000009</v>
      </c>
      <c r="K8" s="7">
        <f t="shared" si="0"/>
        <v>0.36292305394319291</v>
      </c>
    </row>
    <row r="9" spans="1:11" x14ac:dyDescent="0.25">
      <c r="A9" s="10" t="s">
        <v>128</v>
      </c>
      <c r="B9" s="4">
        <v>95929325</v>
      </c>
      <c r="E9" s="7"/>
      <c r="G9" s="10" t="s">
        <v>128</v>
      </c>
      <c r="H9" s="4">
        <v>95929325</v>
      </c>
      <c r="I9" s="4">
        <v>57719862.379999995</v>
      </c>
      <c r="J9" s="4">
        <v>38209462.620000005</v>
      </c>
      <c r="K9" s="7">
        <f t="shared" si="0"/>
        <v>0.39830846949042958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D588-C544-4D62-808A-58E30382ED7D}">
  <dimension ref="A3:H10"/>
  <sheetViews>
    <sheetView topLeftCell="A2" workbookViewId="0">
      <selection activeCell="D31" sqref="D31"/>
    </sheetView>
  </sheetViews>
  <sheetFormatPr defaultRowHeight="15.75" x14ac:dyDescent="0.25"/>
  <cols>
    <col min="1" max="1" width="23.625" bestFit="1" customWidth="1"/>
    <col min="2" max="3" width="13.75" bestFit="1" customWidth="1"/>
    <col min="4" max="4" width="17.625" bestFit="1" customWidth="1"/>
    <col min="8" max="8" width="13.75" bestFit="1" customWidth="1"/>
  </cols>
  <sheetData>
    <row r="3" spans="1:8" x14ac:dyDescent="0.25">
      <c r="A3" s="9" t="s">
        <v>127</v>
      </c>
      <c r="B3" t="s">
        <v>129</v>
      </c>
      <c r="C3" t="s">
        <v>130</v>
      </c>
      <c r="D3" t="s">
        <v>131</v>
      </c>
      <c r="E3" t="s">
        <v>126</v>
      </c>
      <c r="G3" t="s">
        <v>7</v>
      </c>
      <c r="H3" t="s">
        <v>132</v>
      </c>
    </row>
    <row r="4" spans="1:8" x14ac:dyDescent="0.25">
      <c r="A4" s="10" t="s">
        <v>38</v>
      </c>
      <c r="B4" s="4">
        <v>22689749</v>
      </c>
      <c r="C4" s="4">
        <v>13232445.820000004</v>
      </c>
      <c r="D4" s="4">
        <v>9457303.179999996</v>
      </c>
      <c r="E4" s="7">
        <f>D4/B4</f>
        <v>0.41680951076188616</v>
      </c>
      <c r="G4" t="str">
        <f>A4</f>
        <v>Men's Street Footwear</v>
      </c>
      <c r="H4" s="4">
        <f>B4</f>
        <v>22689749</v>
      </c>
    </row>
    <row r="5" spans="1:8" x14ac:dyDescent="0.25">
      <c r="A5" s="10" t="s">
        <v>16</v>
      </c>
      <c r="B5" s="4">
        <v>19178278</v>
      </c>
      <c r="C5" s="4">
        <v>11106506.409999998</v>
      </c>
      <c r="D5" s="4">
        <v>8071771.5900000017</v>
      </c>
      <c r="E5" s="7">
        <f t="shared" ref="E5:E10" si="0">D5/B5</f>
        <v>0.42088093571278934</v>
      </c>
      <c r="G5" t="str">
        <f t="shared" ref="G5:G9" si="1">A5</f>
        <v>Women's Apparel</v>
      </c>
      <c r="H5" s="4">
        <f t="shared" ref="H5:H9" si="2">B5</f>
        <v>19178278</v>
      </c>
    </row>
    <row r="6" spans="1:8" x14ac:dyDescent="0.25">
      <c r="A6" s="10" t="s">
        <v>17</v>
      </c>
      <c r="B6" s="4">
        <v>16339593</v>
      </c>
      <c r="C6" s="4">
        <v>10247680.469999997</v>
      </c>
      <c r="D6" s="4">
        <v>6091912.5300000031</v>
      </c>
      <c r="E6" s="7">
        <f t="shared" si="0"/>
        <v>0.37283135081761237</v>
      </c>
      <c r="G6" t="str">
        <f t="shared" si="1"/>
        <v>Men's Athletic Footwear</v>
      </c>
      <c r="H6" s="4">
        <f t="shared" si="2"/>
        <v>16339593</v>
      </c>
    </row>
    <row r="7" spans="1:8" x14ac:dyDescent="0.25">
      <c r="A7" s="10" t="s">
        <v>35</v>
      </c>
      <c r="B7" s="4">
        <v>13535783</v>
      </c>
      <c r="C7" s="4">
        <v>8367692.6600000011</v>
      </c>
      <c r="D7" s="4">
        <v>5168090.3399999989</v>
      </c>
      <c r="E7" s="7">
        <f t="shared" si="0"/>
        <v>0.38180948527321978</v>
      </c>
      <c r="G7" t="str">
        <f t="shared" si="1"/>
        <v>Women's Street Footwear</v>
      </c>
      <c r="H7" s="4">
        <f t="shared" si="2"/>
        <v>13535783</v>
      </c>
    </row>
    <row r="8" spans="1:8" x14ac:dyDescent="0.25">
      <c r="A8" s="10" t="s">
        <v>22</v>
      </c>
      <c r="B8" s="4">
        <v>13025293</v>
      </c>
      <c r="C8" s="4">
        <v>8015801.7900000019</v>
      </c>
      <c r="D8" s="4">
        <v>5009491.2099999981</v>
      </c>
      <c r="E8" s="7">
        <f t="shared" si="0"/>
        <v>0.38459719946415011</v>
      </c>
      <c r="G8" t="str">
        <f t="shared" si="1"/>
        <v>Men's Apparel</v>
      </c>
      <c r="H8" s="4">
        <f t="shared" si="2"/>
        <v>13025293</v>
      </c>
    </row>
    <row r="9" spans="1:8" x14ac:dyDescent="0.25">
      <c r="A9" s="10" t="s">
        <v>37</v>
      </c>
      <c r="B9" s="4">
        <v>11160629</v>
      </c>
      <c r="C9" s="4">
        <v>6749735.2299999986</v>
      </c>
      <c r="D9" s="4">
        <v>4410893.7700000014</v>
      </c>
      <c r="E9" s="7">
        <f t="shared" si="0"/>
        <v>0.39521910189828918</v>
      </c>
      <c r="G9" t="str">
        <f t="shared" si="1"/>
        <v>Women's Athletic Footwear</v>
      </c>
      <c r="H9" s="4">
        <f t="shared" si="2"/>
        <v>11160629</v>
      </c>
    </row>
    <row r="10" spans="1:8" x14ac:dyDescent="0.25">
      <c r="A10" s="10" t="s">
        <v>128</v>
      </c>
      <c r="B10" s="4">
        <v>95929325</v>
      </c>
      <c r="C10" s="4">
        <v>57719862.380000003</v>
      </c>
      <c r="D10" s="4">
        <v>38209462.620000005</v>
      </c>
      <c r="E10" s="7">
        <f t="shared" si="0"/>
        <v>0.39830846949042958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63F8-3278-41EA-8196-92A46138C387}">
  <dimension ref="A3:H10"/>
  <sheetViews>
    <sheetView workbookViewId="0">
      <selection activeCell="I26" sqref="I26"/>
    </sheetView>
  </sheetViews>
  <sheetFormatPr defaultRowHeight="15.75" x14ac:dyDescent="0.25"/>
  <cols>
    <col min="1" max="1" width="12.375" bestFit="1" customWidth="1"/>
    <col min="2" max="3" width="13.75" bestFit="1" customWidth="1"/>
    <col min="4" max="4" width="17.625" bestFit="1" customWidth="1"/>
    <col min="8" max="8" width="13.75" bestFit="1" customWidth="1"/>
  </cols>
  <sheetData>
    <row r="3" spans="1:8" x14ac:dyDescent="0.25">
      <c r="A3" s="9" t="s">
        <v>127</v>
      </c>
      <c r="B3" t="s">
        <v>129</v>
      </c>
      <c r="C3" t="s">
        <v>130</v>
      </c>
      <c r="D3" t="s">
        <v>131</v>
      </c>
      <c r="E3" t="s">
        <v>126</v>
      </c>
      <c r="G3" t="s">
        <v>0</v>
      </c>
      <c r="H3" t="s">
        <v>132</v>
      </c>
    </row>
    <row r="4" spans="1:8" x14ac:dyDescent="0.25">
      <c r="A4" s="10" t="s">
        <v>19</v>
      </c>
      <c r="B4" s="4">
        <v>23276065</v>
      </c>
      <c r="C4" s="4">
        <v>14182664.559999991</v>
      </c>
      <c r="D4" s="4">
        <v>9093400.4400000088</v>
      </c>
      <c r="E4" s="7">
        <f>D4/B4</f>
        <v>0.3906760201949947</v>
      </c>
      <c r="G4" t="str">
        <f>A4</f>
        <v>Foot Locker</v>
      </c>
      <c r="H4" s="4">
        <f>B4</f>
        <v>23276065</v>
      </c>
    </row>
    <row r="5" spans="1:8" x14ac:dyDescent="0.25">
      <c r="A5" s="10" t="s">
        <v>26</v>
      </c>
      <c r="B5" s="4">
        <v>22628271</v>
      </c>
      <c r="C5" s="4">
        <v>12788402.579999998</v>
      </c>
      <c r="D5" s="4">
        <v>9839868.4200000018</v>
      </c>
      <c r="E5" s="7">
        <f t="shared" ref="E5:E10" si="0">D5/B5</f>
        <v>0.43484844334770439</v>
      </c>
      <c r="G5" t="str">
        <f t="shared" ref="G5:G9" si="1">A5</f>
        <v>Sports Direct</v>
      </c>
      <c r="H5" s="4">
        <f t="shared" ref="H5:H9" si="2">B5</f>
        <v>22628271</v>
      </c>
    </row>
    <row r="6" spans="1:8" x14ac:dyDescent="0.25">
      <c r="A6" s="10" t="s">
        <v>11</v>
      </c>
      <c r="B6" s="4">
        <v>20705942</v>
      </c>
      <c r="C6" s="4">
        <v>12603054.80000001</v>
      </c>
      <c r="D6" s="4">
        <v>8102887.1999999899</v>
      </c>
      <c r="E6" s="7">
        <f t="shared" si="0"/>
        <v>0.39133149315302779</v>
      </c>
      <c r="G6" t="str">
        <f t="shared" si="1"/>
        <v>West Gear</v>
      </c>
      <c r="H6" s="4">
        <f t="shared" si="2"/>
        <v>20705942</v>
      </c>
    </row>
    <row r="7" spans="1:8" x14ac:dyDescent="0.25">
      <c r="A7" s="10" t="s">
        <v>27</v>
      </c>
      <c r="B7" s="4">
        <v>13419950</v>
      </c>
      <c r="C7" s="4">
        <v>8276693.5900000054</v>
      </c>
      <c r="D7" s="4">
        <v>5143256.4099999946</v>
      </c>
      <c r="E7" s="7">
        <f t="shared" si="0"/>
        <v>0.38325451361592217</v>
      </c>
      <c r="G7" t="str">
        <f t="shared" si="1"/>
        <v>Kohl's</v>
      </c>
      <c r="H7" s="4">
        <f t="shared" si="2"/>
        <v>13419950</v>
      </c>
    </row>
    <row r="8" spans="1:8" x14ac:dyDescent="0.25">
      <c r="A8" s="10" t="s">
        <v>36</v>
      </c>
      <c r="B8" s="4">
        <v>10096987</v>
      </c>
      <c r="C8" s="4">
        <v>6112554.9399999958</v>
      </c>
      <c r="D8" s="4">
        <v>3984432.0600000042</v>
      </c>
      <c r="E8" s="7">
        <f t="shared" si="0"/>
        <v>0.39461594434062403</v>
      </c>
      <c r="G8" t="str">
        <f t="shared" si="1"/>
        <v>Amazon</v>
      </c>
      <c r="H8" s="4">
        <f t="shared" si="2"/>
        <v>10096987</v>
      </c>
    </row>
    <row r="9" spans="1:8" x14ac:dyDescent="0.25">
      <c r="A9" s="10" t="s">
        <v>23</v>
      </c>
      <c r="B9" s="4">
        <v>5802110</v>
      </c>
      <c r="C9" s="4">
        <v>3756491.9099999997</v>
      </c>
      <c r="D9" s="4">
        <v>2045618.0900000003</v>
      </c>
      <c r="E9" s="7">
        <f t="shared" si="0"/>
        <v>0.35256451359936303</v>
      </c>
      <c r="G9" t="str">
        <f t="shared" si="1"/>
        <v>Walmart</v>
      </c>
      <c r="H9" s="4">
        <f t="shared" si="2"/>
        <v>5802110</v>
      </c>
    </row>
    <row r="10" spans="1:8" x14ac:dyDescent="0.25">
      <c r="A10" s="10" t="s">
        <v>128</v>
      </c>
      <c r="B10" s="4">
        <v>95929325</v>
      </c>
      <c r="C10" s="4">
        <v>57719862.379999995</v>
      </c>
      <c r="D10" s="4">
        <v>38209462.620000109</v>
      </c>
      <c r="E10" s="7">
        <f t="shared" si="0"/>
        <v>0.39830846949043069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043B-4952-4F86-B5FE-78F3932FCBFC}">
  <dimension ref="A3:B16"/>
  <sheetViews>
    <sheetView tabSelected="1" workbookViewId="0">
      <selection activeCell="G15" sqref="G15"/>
    </sheetView>
  </sheetViews>
  <sheetFormatPr defaultRowHeight="15.75" x14ac:dyDescent="0.25"/>
  <cols>
    <col min="1" max="1" width="12.375" bestFit="1" customWidth="1"/>
    <col min="2" max="2" width="13.75" bestFit="1" customWidth="1"/>
  </cols>
  <sheetData>
    <row r="3" spans="1:2" x14ac:dyDescent="0.25">
      <c r="A3" s="9" t="s">
        <v>127</v>
      </c>
      <c r="B3" t="s">
        <v>129</v>
      </c>
    </row>
    <row r="4" spans="1:2" x14ac:dyDescent="0.25">
      <c r="A4" s="10" t="s">
        <v>133</v>
      </c>
      <c r="B4" s="4">
        <v>7432021</v>
      </c>
    </row>
    <row r="5" spans="1:2" x14ac:dyDescent="0.25">
      <c r="A5" s="10" t="s">
        <v>134</v>
      </c>
      <c r="B5" s="4">
        <v>6123040</v>
      </c>
    </row>
    <row r="6" spans="1:2" x14ac:dyDescent="0.25">
      <c r="A6" s="10" t="s">
        <v>135</v>
      </c>
      <c r="B6" s="4">
        <v>5220782</v>
      </c>
    </row>
    <row r="7" spans="1:2" x14ac:dyDescent="0.25">
      <c r="A7" s="10" t="s">
        <v>136</v>
      </c>
      <c r="B7" s="4">
        <v>6498339</v>
      </c>
    </row>
    <row r="8" spans="1:2" x14ac:dyDescent="0.25">
      <c r="A8" s="10" t="s">
        <v>137</v>
      </c>
      <c r="B8" s="4">
        <v>8576956</v>
      </c>
    </row>
    <row r="9" spans="1:2" x14ac:dyDescent="0.25">
      <c r="A9" s="10" t="s">
        <v>138</v>
      </c>
      <c r="B9" s="4">
        <v>8718953</v>
      </c>
    </row>
    <row r="10" spans="1:2" x14ac:dyDescent="0.25">
      <c r="A10" s="10" t="s">
        <v>139</v>
      </c>
      <c r="B10" s="4">
        <v>10368031</v>
      </c>
    </row>
    <row r="11" spans="1:2" x14ac:dyDescent="0.25">
      <c r="A11" s="10" t="s">
        <v>140</v>
      </c>
      <c r="B11" s="4">
        <v>9651596</v>
      </c>
    </row>
    <row r="12" spans="1:2" x14ac:dyDescent="0.25">
      <c r="A12" s="10" t="s">
        <v>141</v>
      </c>
      <c r="B12" s="4">
        <v>8037898</v>
      </c>
    </row>
    <row r="13" spans="1:2" x14ac:dyDescent="0.25">
      <c r="A13" s="10" t="s">
        <v>142</v>
      </c>
      <c r="B13" s="4">
        <v>7110189</v>
      </c>
    </row>
    <row r="14" spans="1:2" x14ac:dyDescent="0.25">
      <c r="A14" s="10" t="s">
        <v>143</v>
      </c>
      <c r="B14" s="4">
        <v>7855390</v>
      </c>
    </row>
    <row r="15" spans="1:2" x14ac:dyDescent="0.25">
      <c r="A15" s="10" t="s">
        <v>144</v>
      </c>
      <c r="B15" s="4">
        <v>10336130</v>
      </c>
    </row>
    <row r="16" spans="1:2" x14ac:dyDescent="0.25">
      <c r="A16" s="10" t="s">
        <v>128</v>
      </c>
      <c r="B16" s="4">
        <v>95929325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370A-B3A1-4147-82B9-65653A2BF922}">
  <dimension ref="A1:L8343"/>
  <sheetViews>
    <sheetView topLeftCell="A2" workbookViewId="0">
      <selection activeCell="A2" sqref="A2"/>
    </sheetView>
  </sheetViews>
  <sheetFormatPr defaultColWidth="11.25" defaultRowHeight="15.75" x14ac:dyDescent="0.25"/>
  <cols>
    <col min="2" max="2" width="11.625" customWidth="1"/>
    <col min="3" max="3" width="13.375" customWidth="1"/>
    <col min="4" max="4" width="8.875" bestFit="1" customWidth="1"/>
    <col min="5" max="5" width="13.875" bestFit="1" customWidth="1"/>
    <col min="6" max="6" width="12.75" bestFit="1" customWidth="1"/>
    <col min="7" max="7" width="14.375" customWidth="1"/>
    <col min="8" max="8" width="23.625" bestFit="1" customWidth="1"/>
    <col min="9" max="9" width="14.5" customWidth="1"/>
    <col min="10" max="10" width="11.375" customWidth="1"/>
    <col min="11" max="11" width="11.5" customWidth="1"/>
    <col min="12" max="12" width="12.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122</v>
      </c>
      <c r="L1" t="s">
        <v>10</v>
      </c>
    </row>
    <row r="2" spans="1:12" x14ac:dyDescent="0.25">
      <c r="A2" t="s">
        <v>11</v>
      </c>
      <c r="B2">
        <v>1128299</v>
      </c>
      <c r="C2" s="1">
        <v>44197</v>
      </c>
      <c r="D2" t="s">
        <v>12</v>
      </c>
      <c r="E2" t="s">
        <v>13</v>
      </c>
      <c r="F2" t="s">
        <v>14</v>
      </c>
      <c r="G2" t="s">
        <v>15</v>
      </c>
      <c r="H2" t="s">
        <v>17</v>
      </c>
      <c r="I2" s="3">
        <v>65</v>
      </c>
      <c r="J2" s="2">
        <v>750</v>
      </c>
      <c r="K2" s="3">
        <f>I2*J2</f>
        <v>48750</v>
      </c>
      <c r="L2" s="3">
        <v>36562.5</v>
      </c>
    </row>
    <row r="3" spans="1:12" x14ac:dyDescent="0.25">
      <c r="A3" t="s">
        <v>27</v>
      </c>
      <c r="B3">
        <v>1189833</v>
      </c>
      <c r="C3" s="1">
        <v>44197</v>
      </c>
      <c r="D3" t="s">
        <v>57</v>
      </c>
      <c r="E3" t="s">
        <v>58</v>
      </c>
      <c r="F3" t="s">
        <v>59</v>
      </c>
      <c r="G3" t="s">
        <v>15</v>
      </c>
      <c r="H3" t="s">
        <v>22</v>
      </c>
      <c r="I3" s="3">
        <v>50</v>
      </c>
      <c r="J3" s="2">
        <v>275</v>
      </c>
      <c r="K3" s="3">
        <f t="shared" ref="K3:K66" si="0">I3*J3</f>
        <v>13750</v>
      </c>
      <c r="L3" s="3">
        <v>5499.9999999999982</v>
      </c>
    </row>
    <row r="4" spans="1:12" x14ac:dyDescent="0.25">
      <c r="A4" t="s">
        <v>11</v>
      </c>
      <c r="B4">
        <v>1128299</v>
      </c>
      <c r="C4" s="1">
        <v>44197</v>
      </c>
      <c r="D4" t="s">
        <v>12</v>
      </c>
      <c r="E4" t="s">
        <v>13</v>
      </c>
      <c r="F4" t="s">
        <v>14</v>
      </c>
      <c r="G4" t="s">
        <v>15</v>
      </c>
      <c r="H4" t="s">
        <v>17</v>
      </c>
      <c r="I4" s="3">
        <v>51</v>
      </c>
      <c r="J4" s="2">
        <v>233</v>
      </c>
      <c r="K4" s="3">
        <f t="shared" si="0"/>
        <v>11883</v>
      </c>
      <c r="L4" s="3">
        <v>8674.59</v>
      </c>
    </row>
    <row r="5" spans="1:12" x14ac:dyDescent="0.25">
      <c r="A5" t="s">
        <v>11</v>
      </c>
      <c r="B5">
        <v>1128299</v>
      </c>
      <c r="C5" s="1">
        <v>44197</v>
      </c>
      <c r="D5" t="s">
        <v>12</v>
      </c>
      <c r="E5" t="s">
        <v>13</v>
      </c>
      <c r="F5" t="s">
        <v>14</v>
      </c>
      <c r="G5" t="s">
        <v>41</v>
      </c>
      <c r="H5" t="s">
        <v>17</v>
      </c>
      <c r="I5" s="3">
        <v>64</v>
      </c>
      <c r="J5" s="2">
        <v>225</v>
      </c>
      <c r="K5" s="3">
        <f t="shared" si="0"/>
        <v>14400</v>
      </c>
      <c r="L5" s="3">
        <v>9216</v>
      </c>
    </row>
    <row r="6" spans="1:12" x14ac:dyDescent="0.25">
      <c r="A6" t="s">
        <v>27</v>
      </c>
      <c r="B6">
        <v>1189833</v>
      </c>
      <c r="C6" s="1">
        <v>44197</v>
      </c>
      <c r="D6" t="s">
        <v>57</v>
      </c>
      <c r="E6" t="s">
        <v>58</v>
      </c>
      <c r="F6" t="s">
        <v>59</v>
      </c>
      <c r="G6" t="s">
        <v>41</v>
      </c>
      <c r="H6" t="s">
        <v>22</v>
      </c>
      <c r="I6" s="3">
        <v>47</v>
      </c>
      <c r="J6" s="2">
        <v>77</v>
      </c>
      <c r="K6" s="3">
        <f t="shared" si="0"/>
        <v>3619</v>
      </c>
      <c r="L6" s="3">
        <v>904.74999999999955</v>
      </c>
    </row>
    <row r="7" spans="1:12" x14ac:dyDescent="0.25">
      <c r="A7" t="s">
        <v>27</v>
      </c>
      <c r="B7">
        <v>1189833</v>
      </c>
      <c r="C7" s="1">
        <v>44198</v>
      </c>
      <c r="D7" t="s">
        <v>57</v>
      </c>
      <c r="E7" t="s">
        <v>58</v>
      </c>
      <c r="F7" t="s">
        <v>59</v>
      </c>
      <c r="G7" t="s">
        <v>15</v>
      </c>
      <c r="H7" t="s">
        <v>16</v>
      </c>
      <c r="I7" s="3">
        <v>45</v>
      </c>
      <c r="J7" s="2">
        <v>475</v>
      </c>
      <c r="K7" s="3">
        <f t="shared" si="0"/>
        <v>21375</v>
      </c>
      <c r="L7" s="3">
        <v>16031.25</v>
      </c>
    </row>
    <row r="8" spans="1:12" x14ac:dyDescent="0.25">
      <c r="A8" t="s">
        <v>11</v>
      </c>
      <c r="B8">
        <v>1128299</v>
      </c>
      <c r="C8" s="1">
        <v>44198</v>
      </c>
      <c r="D8" t="s">
        <v>12</v>
      </c>
      <c r="E8" t="s">
        <v>13</v>
      </c>
      <c r="F8" t="s">
        <v>14</v>
      </c>
      <c r="G8" t="s">
        <v>15</v>
      </c>
      <c r="H8" t="s">
        <v>35</v>
      </c>
      <c r="I8" s="3">
        <v>65</v>
      </c>
      <c r="J8" s="2">
        <v>750</v>
      </c>
      <c r="K8" s="3">
        <f t="shared" si="0"/>
        <v>48750</v>
      </c>
      <c r="L8" s="3">
        <v>29250</v>
      </c>
    </row>
    <row r="9" spans="1:12" x14ac:dyDescent="0.25">
      <c r="A9" t="s">
        <v>27</v>
      </c>
      <c r="B9">
        <v>1189833</v>
      </c>
      <c r="C9" s="1">
        <v>44198</v>
      </c>
      <c r="D9" t="s">
        <v>57</v>
      </c>
      <c r="E9" t="s">
        <v>58</v>
      </c>
      <c r="F9" t="s">
        <v>59</v>
      </c>
      <c r="G9" t="s">
        <v>41</v>
      </c>
      <c r="H9" t="s">
        <v>16</v>
      </c>
      <c r="I9" s="3">
        <v>43</v>
      </c>
      <c r="J9" s="2">
        <v>138</v>
      </c>
      <c r="K9" s="3">
        <f t="shared" si="0"/>
        <v>5934</v>
      </c>
      <c r="L9" s="3">
        <v>3619.74</v>
      </c>
    </row>
    <row r="10" spans="1:12" x14ac:dyDescent="0.25">
      <c r="A10" t="s">
        <v>11</v>
      </c>
      <c r="B10">
        <v>1128299</v>
      </c>
      <c r="C10" s="1">
        <v>44198</v>
      </c>
      <c r="D10" t="s">
        <v>12</v>
      </c>
      <c r="E10" t="s">
        <v>13</v>
      </c>
      <c r="F10" t="s">
        <v>14</v>
      </c>
      <c r="G10" t="s">
        <v>15</v>
      </c>
      <c r="H10" t="s">
        <v>35</v>
      </c>
      <c r="I10" s="3">
        <v>46</v>
      </c>
      <c r="J10" s="2">
        <v>225</v>
      </c>
      <c r="K10" s="3">
        <f t="shared" si="0"/>
        <v>10350</v>
      </c>
      <c r="L10" s="3">
        <v>5796</v>
      </c>
    </row>
    <row r="11" spans="1:12" x14ac:dyDescent="0.25">
      <c r="A11" t="s">
        <v>11</v>
      </c>
      <c r="B11">
        <v>1128299</v>
      </c>
      <c r="C11" s="1">
        <v>44198</v>
      </c>
      <c r="D11" t="s">
        <v>12</v>
      </c>
      <c r="E11" t="s">
        <v>13</v>
      </c>
      <c r="F11" t="s">
        <v>14</v>
      </c>
      <c r="G11" t="s">
        <v>41</v>
      </c>
      <c r="H11" t="s">
        <v>35</v>
      </c>
      <c r="I11" s="3">
        <v>60</v>
      </c>
      <c r="J11" s="2">
        <v>218</v>
      </c>
      <c r="K11" s="3">
        <f t="shared" si="0"/>
        <v>13080</v>
      </c>
      <c r="L11" s="3">
        <v>6409.2</v>
      </c>
    </row>
    <row r="12" spans="1:12" x14ac:dyDescent="0.25">
      <c r="A12" t="s">
        <v>11</v>
      </c>
      <c r="B12">
        <v>1185732</v>
      </c>
      <c r="C12" s="1">
        <v>44199</v>
      </c>
      <c r="D12" t="s">
        <v>57</v>
      </c>
      <c r="E12" t="s">
        <v>78</v>
      </c>
      <c r="F12" t="s">
        <v>79</v>
      </c>
      <c r="G12" t="s">
        <v>18</v>
      </c>
      <c r="H12" t="s">
        <v>38</v>
      </c>
      <c r="I12" s="3">
        <v>30.000000000000004</v>
      </c>
      <c r="J12" s="2">
        <v>450</v>
      </c>
      <c r="K12" s="3">
        <f t="shared" si="0"/>
        <v>13500.000000000002</v>
      </c>
      <c r="L12" s="3">
        <v>9450.0000000000036</v>
      </c>
    </row>
    <row r="13" spans="1:12" x14ac:dyDescent="0.25">
      <c r="A13" t="s">
        <v>11</v>
      </c>
      <c r="B13">
        <v>1185732</v>
      </c>
      <c r="C13" s="1">
        <v>44199</v>
      </c>
      <c r="D13" t="s">
        <v>57</v>
      </c>
      <c r="E13" t="s">
        <v>78</v>
      </c>
      <c r="F13" t="s">
        <v>79</v>
      </c>
      <c r="G13" t="s">
        <v>18</v>
      </c>
      <c r="H13" t="s">
        <v>35</v>
      </c>
      <c r="I13" s="3">
        <v>20.000000000000007</v>
      </c>
      <c r="J13" s="2">
        <v>250</v>
      </c>
      <c r="K13" s="3">
        <f t="shared" si="0"/>
        <v>5000.0000000000018</v>
      </c>
      <c r="L13" s="3">
        <v>3500.0000000000014</v>
      </c>
    </row>
    <row r="14" spans="1:12" x14ac:dyDescent="0.25">
      <c r="A14" t="s">
        <v>11</v>
      </c>
      <c r="B14">
        <v>1185732</v>
      </c>
      <c r="C14" s="1">
        <v>44199</v>
      </c>
      <c r="D14" t="s">
        <v>57</v>
      </c>
      <c r="E14" t="s">
        <v>78</v>
      </c>
      <c r="F14" t="s">
        <v>79</v>
      </c>
      <c r="G14" t="s">
        <v>18</v>
      </c>
      <c r="H14" t="s">
        <v>37</v>
      </c>
      <c r="I14" s="3">
        <v>25.000000000000007</v>
      </c>
      <c r="J14" s="2">
        <v>100</v>
      </c>
      <c r="K14" s="3">
        <f t="shared" si="0"/>
        <v>2500.0000000000009</v>
      </c>
      <c r="L14" s="3">
        <v>1750.0000000000007</v>
      </c>
    </row>
    <row r="15" spans="1:12" x14ac:dyDescent="0.25">
      <c r="A15" t="s">
        <v>11</v>
      </c>
      <c r="B15">
        <v>1185732</v>
      </c>
      <c r="C15" s="1">
        <v>44199</v>
      </c>
      <c r="D15" t="s">
        <v>57</v>
      </c>
      <c r="E15" t="s">
        <v>78</v>
      </c>
      <c r="F15" t="s">
        <v>79</v>
      </c>
      <c r="G15" t="s">
        <v>18</v>
      </c>
      <c r="H15" t="s">
        <v>17</v>
      </c>
      <c r="I15" s="3">
        <v>30.000000000000004</v>
      </c>
      <c r="J15" s="2">
        <v>250</v>
      </c>
      <c r="K15" s="3">
        <f t="shared" si="0"/>
        <v>7500.0000000000009</v>
      </c>
      <c r="L15" s="3">
        <v>4875.0000000000018</v>
      </c>
    </row>
    <row r="16" spans="1:12" x14ac:dyDescent="0.25">
      <c r="A16" t="s">
        <v>11</v>
      </c>
      <c r="B16">
        <v>1128299</v>
      </c>
      <c r="C16" s="1">
        <v>44199</v>
      </c>
      <c r="D16" t="s">
        <v>12</v>
      </c>
      <c r="E16" t="s">
        <v>13</v>
      </c>
      <c r="F16" t="s">
        <v>14</v>
      </c>
      <c r="G16" t="s">
        <v>15</v>
      </c>
      <c r="H16" t="s">
        <v>37</v>
      </c>
      <c r="I16" s="3">
        <v>60</v>
      </c>
      <c r="J16" s="2">
        <v>650</v>
      </c>
      <c r="K16" s="3">
        <f t="shared" si="0"/>
        <v>39000</v>
      </c>
      <c r="L16" s="3">
        <v>25350</v>
      </c>
    </row>
    <row r="17" spans="1:12" x14ac:dyDescent="0.25">
      <c r="A17" t="s">
        <v>11</v>
      </c>
      <c r="B17">
        <v>1185732</v>
      </c>
      <c r="C17" s="1">
        <v>44199</v>
      </c>
      <c r="D17" t="s">
        <v>57</v>
      </c>
      <c r="E17" t="s">
        <v>78</v>
      </c>
      <c r="F17" t="s">
        <v>79</v>
      </c>
      <c r="G17" t="s">
        <v>18</v>
      </c>
      <c r="H17" t="s">
        <v>16</v>
      </c>
      <c r="I17" s="3">
        <v>30.000000000000004</v>
      </c>
      <c r="J17" s="2">
        <v>250</v>
      </c>
      <c r="K17" s="3">
        <f t="shared" si="0"/>
        <v>7500.0000000000009</v>
      </c>
      <c r="L17" s="3">
        <v>4500.0000000000009</v>
      </c>
    </row>
    <row r="18" spans="1:12" x14ac:dyDescent="0.25">
      <c r="A18" t="s">
        <v>27</v>
      </c>
      <c r="B18">
        <v>1189833</v>
      </c>
      <c r="C18" s="1">
        <v>44199</v>
      </c>
      <c r="D18" t="s">
        <v>57</v>
      </c>
      <c r="E18" t="s">
        <v>58</v>
      </c>
      <c r="F18" t="s">
        <v>59</v>
      </c>
      <c r="G18" t="s">
        <v>15</v>
      </c>
      <c r="H18" t="s">
        <v>38</v>
      </c>
      <c r="I18" s="3">
        <v>35</v>
      </c>
      <c r="J18" s="2">
        <v>525</v>
      </c>
      <c r="K18" s="3">
        <f t="shared" si="0"/>
        <v>18375</v>
      </c>
      <c r="L18" s="3">
        <v>10106.25</v>
      </c>
    </row>
    <row r="19" spans="1:12" x14ac:dyDescent="0.25">
      <c r="A19" t="s">
        <v>11</v>
      </c>
      <c r="B19">
        <v>1185732</v>
      </c>
      <c r="C19" s="1">
        <v>44199</v>
      </c>
      <c r="D19" t="s">
        <v>57</v>
      </c>
      <c r="E19" t="s">
        <v>78</v>
      </c>
      <c r="F19" t="s">
        <v>79</v>
      </c>
      <c r="G19" t="s">
        <v>18</v>
      </c>
      <c r="H19" t="s">
        <v>22</v>
      </c>
      <c r="I19" s="3">
        <v>40</v>
      </c>
      <c r="J19" s="2">
        <v>150</v>
      </c>
      <c r="K19" s="3">
        <f t="shared" si="0"/>
        <v>6000</v>
      </c>
      <c r="L19" s="3">
        <v>3000</v>
      </c>
    </row>
    <row r="20" spans="1:12" x14ac:dyDescent="0.25">
      <c r="A20" t="s">
        <v>11</v>
      </c>
      <c r="B20">
        <v>1185732</v>
      </c>
      <c r="C20" s="1">
        <v>44199</v>
      </c>
      <c r="D20" t="s">
        <v>57</v>
      </c>
      <c r="E20" t="s">
        <v>78</v>
      </c>
      <c r="F20" t="s">
        <v>79</v>
      </c>
      <c r="G20" t="s">
        <v>41</v>
      </c>
      <c r="H20" t="s">
        <v>35</v>
      </c>
      <c r="I20" s="3">
        <v>18</v>
      </c>
      <c r="J20" s="2">
        <v>65</v>
      </c>
      <c r="K20" s="3">
        <f t="shared" si="0"/>
        <v>1170</v>
      </c>
      <c r="L20" s="3">
        <v>690.3</v>
      </c>
    </row>
    <row r="21" spans="1:12" x14ac:dyDescent="0.25">
      <c r="A21" t="s">
        <v>11</v>
      </c>
      <c r="B21">
        <v>1128299</v>
      </c>
      <c r="C21" s="1">
        <v>44199</v>
      </c>
      <c r="D21" t="s">
        <v>12</v>
      </c>
      <c r="E21" t="s">
        <v>13</v>
      </c>
      <c r="F21" t="s">
        <v>14</v>
      </c>
      <c r="G21" t="s">
        <v>15</v>
      </c>
      <c r="H21" t="s">
        <v>37</v>
      </c>
      <c r="I21" s="3">
        <v>42</v>
      </c>
      <c r="J21" s="2">
        <v>228</v>
      </c>
      <c r="K21" s="3">
        <f t="shared" si="0"/>
        <v>9576</v>
      </c>
      <c r="L21" s="3">
        <v>5554.08</v>
      </c>
    </row>
    <row r="22" spans="1:12" x14ac:dyDescent="0.25">
      <c r="A22" t="s">
        <v>11</v>
      </c>
      <c r="B22">
        <v>1128299</v>
      </c>
      <c r="C22" s="1">
        <v>44199</v>
      </c>
      <c r="D22" t="s">
        <v>12</v>
      </c>
      <c r="E22" t="s">
        <v>13</v>
      </c>
      <c r="F22" t="s">
        <v>14</v>
      </c>
      <c r="G22" t="s">
        <v>41</v>
      </c>
      <c r="H22" t="s">
        <v>37</v>
      </c>
      <c r="I22" s="3">
        <v>56</v>
      </c>
      <c r="J22" s="2">
        <v>182</v>
      </c>
      <c r="K22" s="3">
        <f t="shared" si="0"/>
        <v>10192</v>
      </c>
      <c r="L22" s="3">
        <v>5605.6</v>
      </c>
    </row>
    <row r="23" spans="1:12" x14ac:dyDescent="0.25">
      <c r="A23" t="s">
        <v>11</v>
      </c>
      <c r="B23">
        <v>1185732</v>
      </c>
      <c r="C23" s="1">
        <v>44199</v>
      </c>
      <c r="D23" t="s">
        <v>57</v>
      </c>
      <c r="E23" t="s">
        <v>78</v>
      </c>
      <c r="F23" t="s">
        <v>79</v>
      </c>
      <c r="G23" t="s">
        <v>41</v>
      </c>
      <c r="H23" t="s">
        <v>38</v>
      </c>
      <c r="I23" s="3">
        <v>28</v>
      </c>
      <c r="J23" s="2">
        <v>126</v>
      </c>
      <c r="K23" s="3">
        <f t="shared" si="0"/>
        <v>3528</v>
      </c>
      <c r="L23" s="3">
        <v>1940.4</v>
      </c>
    </row>
    <row r="24" spans="1:12" x14ac:dyDescent="0.25">
      <c r="A24" t="s">
        <v>11</v>
      </c>
      <c r="B24">
        <v>1185732</v>
      </c>
      <c r="C24" s="1">
        <v>44199</v>
      </c>
      <c r="D24" t="s">
        <v>57</v>
      </c>
      <c r="E24" t="s">
        <v>78</v>
      </c>
      <c r="F24" t="s">
        <v>79</v>
      </c>
      <c r="G24" t="s">
        <v>41</v>
      </c>
      <c r="H24" t="s">
        <v>37</v>
      </c>
      <c r="I24" s="3">
        <v>23</v>
      </c>
      <c r="J24" s="2">
        <v>29</v>
      </c>
      <c r="K24" s="3">
        <f t="shared" si="0"/>
        <v>667</v>
      </c>
      <c r="L24" s="3">
        <v>366.85</v>
      </c>
    </row>
    <row r="25" spans="1:12" x14ac:dyDescent="0.25">
      <c r="A25" t="s">
        <v>11</v>
      </c>
      <c r="B25">
        <v>1185732</v>
      </c>
      <c r="C25" s="1">
        <v>44199</v>
      </c>
      <c r="D25" t="s">
        <v>57</v>
      </c>
      <c r="E25" t="s">
        <v>78</v>
      </c>
      <c r="F25" t="s">
        <v>79</v>
      </c>
      <c r="G25" t="s">
        <v>41</v>
      </c>
      <c r="H25" t="s">
        <v>17</v>
      </c>
      <c r="I25" s="3">
        <v>29</v>
      </c>
      <c r="J25" s="2">
        <v>70</v>
      </c>
      <c r="K25" s="3">
        <f t="shared" si="0"/>
        <v>2030</v>
      </c>
      <c r="L25" s="3">
        <v>1096.2</v>
      </c>
    </row>
    <row r="26" spans="1:12" x14ac:dyDescent="0.25">
      <c r="A26" t="s">
        <v>11</v>
      </c>
      <c r="B26">
        <v>1185732</v>
      </c>
      <c r="C26" s="1">
        <v>44199</v>
      </c>
      <c r="D26" t="s">
        <v>57</v>
      </c>
      <c r="E26" t="s">
        <v>78</v>
      </c>
      <c r="F26" t="s">
        <v>79</v>
      </c>
      <c r="G26" t="s">
        <v>41</v>
      </c>
      <c r="H26" t="s">
        <v>16</v>
      </c>
      <c r="I26" s="3">
        <v>28</v>
      </c>
      <c r="J26" s="2">
        <v>73</v>
      </c>
      <c r="K26" s="3">
        <f t="shared" si="0"/>
        <v>2044</v>
      </c>
      <c r="L26" s="3">
        <v>919.8</v>
      </c>
    </row>
    <row r="27" spans="1:12" x14ac:dyDescent="0.25">
      <c r="A27" t="s">
        <v>27</v>
      </c>
      <c r="B27">
        <v>1189833</v>
      </c>
      <c r="C27" s="1">
        <v>44199</v>
      </c>
      <c r="D27" t="s">
        <v>57</v>
      </c>
      <c r="E27" t="s">
        <v>58</v>
      </c>
      <c r="F27" t="s">
        <v>59</v>
      </c>
      <c r="G27" t="s">
        <v>41</v>
      </c>
      <c r="H27" t="s">
        <v>38</v>
      </c>
      <c r="I27" s="3">
        <v>34</v>
      </c>
      <c r="J27" s="2">
        <v>158</v>
      </c>
      <c r="K27" s="3">
        <f t="shared" si="0"/>
        <v>5372</v>
      </c>
      <c r="L27" s="3">
        <v>2309.9599999999996</v>
      </c>
    </row>
    <row r="28" spans="1:12" x14ac:dyDescent="0.25">
      <c r="A28" t="s">
        <v>11</v>
      </c>
      <c r="B28">
        <v>1185732</v>
      </c>
      <c r="C28" s="1">
        <v>44199</v>
      </c>
      <c r="D28" t="s">
        <v>57</v>
      </c>
      <c r="E28" t="s">
        <v>78</v>
      </c>
      <c r="F28" t="s">
        <v>79</v>
      </c>
      <c r="G28" t="s">
        <v>41</v>
      </c>
      <c r="H28" t="s">
        <v>22</v>
      </c>
      <c r="I28" s="3">
        <v>38</v>
      </c>
      <c r="J28" s="2">
        <v>45</v>
      </c>
      <c r="K28" s="3">
        <f t="shared" si="0"/>
        <v>1710</v>
      </c>
      <c r="L28" s="3">
        <v>649.79999999999995</v>
      </c>
    </row>
    <row r="29" spans="1:12" x14ac:dyDescent="0.25">
      <c r="A29" t="s">
        <v>27</v>
      </c>
      <c r="B29">
        <v>1189833</v>
      </c>
      <c r="C29" s="1">
        <v>44200</v>
      </c>
      <c r="D29" t="s">
        <v>57</v>
      </c>
      <c r="E29" t="s">
        <v>58</v>
      </c>
      <c r="F29" t="s">
        <v>59</v>
      </c>
      <c r="G29" t="s">
        <v>15</v>
      </c>
      <c r="H29" t="s">
        <v>17</v>
      </c>
      <c r="I29" s="3">
        <v>45</v>
      </c>
      <c r="J29" s="2">
        <v>425</v>
      </c>
      <c r="K29" s="3">
        <f t="shared" si="0"/>
        <v>19125</v>
      </c>
      <c r="L29" s="3">
        <v>13387.5</v>
      </c>
    </row>
    <row r="30" spans="1:12" x14ac:dyDescent="0.25">
      <c r="A30" t="s">
        <v>11</v>
      </c>
      <c r="B30">
        <v>1128299</v>
      </c>
      <c r="C30" s="1">
        <v>44200</v>
      </c>
      <c r="D30" t="s">
        <v>12</v>
      </c>
      <c r="E30" t="s">
        <v>13</v>
      </c>
      <c r="F30" t="s">
        <v>14</v>
      </c>
      <c r="G30" t="s">
        <v>15</v>
      </c>
      <c r="H30" t="s">
        <v>22</v>
      </c>
      <c r="I30" s="3">
        <v>65</v>
      </c>
      <c r="J30" s="2">
        <v>550</v>
      </c>
      <c r="K30" s="3">
        <f t="shared" si="0"/>
        <v>35750</v>
      </c>
      <c r="L30" s="3">
        <v>16087.499999999996</v>
      </c>
    </row>
    <row r="31" spans="1:12" x14ac:dyDescent="0.25">
      <c r="A31" t="s">
        <v>27</v>
      </c>
      <c r="B31">
        <v>1189833</v>
      </c>
      <c r="C31" s="1">
        <v>44200</v>
      </c>
      <c r="D31" t="s">
        <v>57</v>
      </c>
      <c r="E31" t="s">
        <v>58</v>
      </c>
      <c r="F31" t="s">
        <v>59</v>
      </c>
      <c r="G31" t="s">
        <v>41</v>
      </c>
      <c r="H31" t="s">
        <v>17</v>
      </c>
      <c r="I31" s="3">
        <v>42</v>
      </c>
      <c r="J31" s="2">
        <v>123</v>
      </c>
      <c r="K31" s="3">
        <f t="shared" si="0"/>
        <v>5166</v>
      </c>
      <c r="L31" s="3">
        <v>2841.3</v>
      </c>
    </row>
    <row r="32" spans="1:12" x14ac:dyDescent="0.25">
      <c r="A32" t="s">
        <v>11</v>
      </c>
      <c r="B32">
        <v>1128299</v>
      </c>
      <c r="C32" s="1">
        <v>44200</v>
      </c>
      <c r="D32" t="s">
        <v>12</v>
      </c>
      <c r="E32" t="s">
        <v>13</v>
      </c>
      <c r="F32" t="s">
        <v>14</v>
      </c>
      <c r="G32" t="s">
        <v>15</v>
      </c>
      <c r="H32" t="s">
        <v>22</v>
      </c>
      <c r="I32" s="3">
        <v>49</v>
      </c>
      <c r="J32" s="2">
        <v>182</v>
      </c>
      <c r="K32" s="3">
        <f t="shared" si="0"/>
        <v>8918</v>
      </c>
      <c r="L32" s="3">
        <v>3834.74</v>
      </c>
    </row>
    <row r="33" spans="1:12" x14ac:dyDescent="0.25">
      <c r="A33" t="s">
        <v>11</v>
      </c>
      <c r="B33">
        <v>1128299</v>
      </c>
      <c r="C33" s="1">
        <v>44200</v>
      </c>
      <c r="D33" t="s">
        <v>12</v>
      </c>
      <c r="E33" t="s">
        <v>13</v>
      </c>
      <c r="F33" t="s">
        <v>14</v>
      </c>
      <c r="G33" t="s">
        <v>41</v>
      </c>
      <c r="H33" t="s">
        <v>22</v>
      </c>
      <c r="I33" s="3">
        <v>60</v>
      </c>
      <c r="J33" s="2">
        <v>154</v>
      </c>
      <c r="K33" s="3">
        <f t="shared" si="0"/>
        <v>9240</v>
      </c>
      <c r="L33" s="3">
        <v>3141.5999999999995</v>
      </c>
    </row>
    <row r="34" spans="1:12" x14ac:dyDescent="0.25">
      <c r="A34" t="s">
        <v>11</v>
      </c>
      <c r="B34">
        <v>1128299</v>
      </c>
      <c r="C34" s="1">
        <v>44201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s="3">
        <v>80</v>
      </c>
      <c r="J34" s="2">
        <v>725</v>
      </c>
      <c r="K34" s="3">
        <f t="shared" si="0"/>
        <v>58000</v>
      </c>
      <c r="L34" s="3">
        <v>46400</v>
      </c>
    </row>
    <row r="35" spans="1:12" x14ac:dyDescent="0.25">
      <c r="A35" t="s">
        <v>19</v>
      </c>
      <c r="B35">
        <v>1197831</v>
      </c>
      <c r="C35" s="1">
        <v>44201</v>
      </c>
      <c r="D35" t="s">
        <v>52</v>
      </c>
      <c r="E35" t="s">
        <v>64</v>
      </c>
      <c r="F35" t="s">
        <v>65</v>
      </c>
      <c r="G35" t="s">
        <v>41</v>
      </c>
      <c r="H35" t="s">
        <v>22</v>
      </c>
      <c r="I35" s="3">
        <v>40</v>
      </c>
      <c r="J35" s="2">
        <v>325</v>
      </c>
      <c r="K35" s="3">
        <f t="shared" si="0"/>
        <v>13000</v>
      </c>
      <c r="L35" s="3">
        <v>9750</v>
      </c>
    </row>
    <row r="36" spans="1:12" x14ac:dyDescent="0.25">
      <c r="A36" t="s">
        <v>19</v>
      </c>
      <c r="B36">
        <v>1197831</v>
      </c>
      <c r="C36" s="1">
        <v>44201</v>
      </c>
      <c r="D36" t="s">
        <v>52</v>
      </c>
      <c r="E36" t="s">
        <v>64</v>
      </c>
      <c r="F36" t="s">
        <v>65</v>
      </c>
      <c r="G36" t="s">
        <v>41</v>
      </c>
      <c r="H36" t="s">
        <v>38</v>
      </c>
      <c r="I36" s="3">
        <v>20</v>
      </c>
      <c r="J36" s="2">
        <v>675</v>
      </c>
      <c r="K36" s="3">
        <f t="shared" si="0"/>
        <v>13500</v>
      </c>
      <c r="L36" s="3">
        <v>9450</v>
      </c>
    </row>
    <row r="37" spans="1:12" x14ac:dyDescent="0.25">
      <c r="A37" t="s">
        <v>19</v>
      </c>
      <c r="B37">
        <v>1197831</v>
      </c>
      <c r="C37" s="1">
        <v>44201</v>
      </c>
      <c r="D37" t="s">
        <v>52</v>
      </c>
      <c r="E37" t="s">
        <v>64</v>
      </c>
      <c r="F37" t="s">
        <v>65</v>
      </c>
      <c r="G37" t="s">
        <v>41</v>
      </c>
      <c r="H37" t="s">
        <v>17</v>
      </c>
      <c r="I37" s="3">
        <v>30</v>
      </c>
      <c r="J37" s="2">
        <v>675</v>
      </c>
      <c r="K37" s="3">
        <f t="shared" si="0"/>
        <v>20250</v>
      </c>
      <c r="L37" s="3">
        <v>14175</v>
      </c>
    </row>
    <row r="38" spans="1:12" x14ac:dyDescent="0.25">
      <c r="A38" t="s">
        <v>19</v>
      </c>
      <c r="B38">
        <v>1197831</v>
      </c>
      <c r="C38" s="1">
        <v>44201</v>
      </c>
      <c r="D38" t="s">
        <v>52</v>
      </c>
      <c r="E38" t="s">
        <v>64</v>
      </c>
      <c r="F38" t="s">
        <v>65</v>
      </c>
      <c r="G38" t="s">
        <v>41</v>
      </c>
      <c r="H38" t="s">
        <v>35</v>
      </c>
      <c r="I38" s="3">
        <v>30</v>
      </c>
      <c r="J38" s="2">
        <v>475</v>
      </c>
      <c r="K38" s="3">
        <f t="shared" si="0"/>
        <v>14250</v>
      </c>
      <c r="L38" s="3">
        <v>9975</v>
      </c>
    </row>
    <row r="39" spans="1:12" x14ac:dyDescent="0.25">
      <c r="A39" t="s">
        <v>19</v>
      </c>
      <c r="B39">
        <v>1197831</v>
      </c>
      <c r="C39" s="1">
        <v>44201</v>
      </c>
      <c r="D39" t="s">
        <v>52</v>
      </c>
      <c r="E39" t="s">
        <v>64</v>
      </c>
      <c r="F39" t="s">
        <v>65</v>
      </c>
      <c r="G39" t="s">
        <v>41</v>
      </c>
      <c r="H39" t="s">
        <v>37</v>
      </c>
      <c r="I39" s="3">
        <v>35</v>
      </c>
      <c r="J39" s="2">
        <v>475</v>
      </c>
      <c r="K39" s="3">
        <f t="shared" si="0"/>
        <v>16625</v>
      </c>
      <c r="L39" s="3">
        <v>9975</v>
      </c>
    </row>
    <row r="40" spans="1:12" x14ac:dyDescent="0.25">
      <c r="A40" t="s">
        <v>27</v>
      </c>
      <c r="B40">
        <v>1189833</v>
      </c>
      <c r="C40" s="1">
        <v>44201</v>
      </c>
      <c r="D40" t="s">
        <v>57</v>
      </c>
      <c r="E40" t="s">
        <v>58</v>
      </c>
      <c r="F40" t="s">
        <v>59</v>
      </c>
      <c r="G40" t="s">
        <v>15</v>
      </c>
      <c r="H40" t="s">
        <v>35</v>
      </c>
      <c r="I40" s="3">
        <v>45</v>
      </c>
      <c r="J40" s="2">
        <v>450</v>
      </c>
      <c r="K40" s="3">
        <f t="shared" si="0"/>
        <v>20250</v>
      </c>
      <c r="L40" s="3">
        <v>11137.5</v>
      </c>
    </row>
    <row r="41" spans="1:12" x14ac:dyDescent="0.25">
      <c r="A41" t="s">
        <v>11</v>
      </c>
      <c r="B41">
        <v>1197831</v>
      </c>
      <c r="C41" s="1">
        <v>44201</v>
      </c>
      <c r="D41" t="s">
        <v>52</v>
      </c>
      <c r="E41" t="s">
        <v>64</v>
      </c>
      <c r="F41" t="s">
        <v>65</v>
      </c>
      <c r="G41" t="s">
        <v>41</v>
      </c>
      <c r="H41" t="s">
        <v>16</v>
      </c>
      <c r="I41" s="3">
        <v>35</v>
      </c>
      <c r="J41" s="2">
        <v>475</v>
      </c>
      <c r="K41" s="3">
        <f t="shared" si="0"/>
        <v>16625</v>
      </c>
      <c r="L41" s="3">
        <v>9143.75</v>
      </c>
    </row>
    <row r="42" spans="1:12" x14ac:dyDescent="0.25">
      <c r="A42" t="s">
        <v>11</v>
      </c>
      <c r="B42">
        <v>1128299</v>
      </c>
      <c r="C42" s="1">
        <v>44201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s="3">
        <v>58</v>
      </c>
      <c r="J42" s="2">
        <v>225</v>
      </c>
      <c r="K42" s="3">
        <f t="shared" si="0"/>
        <v>13050</v>
      </c>
      <c r="L42" s="3">
        <v>10048.5</v>
      </c>
    </row>
    <row r="43" spans="1:12" x14ac:dyDescent="0.25">
      <c r="A43" t="s">
        <v>19</v>
      </c>
      <c r="B43">
        <v>1197831</v>
      </c>
      <c r="C43" s="1">
        <v>44201</v>
      </c>
      <c r="D43" t="s">
        <v>52</v>
      </c>
      <c r="E43" t="s">
        <v>64</v>
      </c>
      <c r="F43" t="s">
        <v>65</v>
      </c>
      <c r="G43" t="s">
        <v>15</v>
      </c>
      <c r="H43" t="s">
        <v>22</v>
      </c>
      <c r="I43" s="3">
        <v>28</v>
      </c>
      <c r="J43" s="2">
        <v>111</v>
      </c>
      <c r="K43" s="3">
        <f t="shared" si="0"/>
        <v>3108</v>
      </c>
      <c r="L43" s="3">
        <v>2237.7599999999998</v>
      </c>
    </row>
    <row r="44" spans="1:12" x14ac:dyDescent="0.25">
      <c r="A44" t="s">
        <v>11</v>
      </c>
      <c r="B44">
        <v>1128299</v>
      </c>
      <c r="C44" s="1">
        <v>44201</v>
      </c>
      <c r="D44" t="s">
        <v>12</v>
      </c>
      <c r="E44" t="s">
        <v>13</v>
      </c>
      <c r="F44" t="s">
        <v>14</v>
      </c>
      <c r="G44" t="s">
        <v>41</v>
      </c>
      <c r="H44" t="s">
        <v>16</v>
      </c>
      <c r="I44" s="3">
        <v>72</v>
      </c>
      <c r="J44" s="2">
        <v>189</v>
      </c>
      <c r="K44" s="3">
        <f t="shared" si="0"/>
        <v>13608</v>
      </c>
      <c r="L44" s="3">
        <v>9117.36</v>
      </c>
    </row>
    <row r="45" spans="1:12" x14ac:dyDescent="0.25">
      <c r="A45" t="s">
        <v>19</v>
      </c>
      <c r="B45">
        <v>1197831</v>
      </c>
      <c r="C45" s="1">
        <v>44201</v>
      </c>
      <c r="D45" t="s">
        <v>52</v>
      </c>
      <c r="E45" t="s">
        <v>64</v>
      </c>
      <c r="F45" t="s">
        <v>65</v>
      </c>
      <c r="G45" t="s">
        <v>15</v>
      </c>
      <c r="H45" t="s">
        <v>38</v>
      </c>
      <c r="I45" s="3">
        <v>14</v>
      </c>
      <c r="J45" s="2">
        <v>223</v>
      </c>
      <c r="K45" s="3">
        <f t="shared" si="0"/>
        <v>3122</v>
      </c>
      <c r="L45" s="3">
        <v>2060.5200000000004</v>
      </c>
    </row>
    <row r="46" spans="1:12" x14ac:dyDescent="0.25">
      <c r="A46" t="s">
        <v>19</v>
      </c>
      <c r="B46">
        <v>1197831</v>
      </c>
      <c r="C46" s="1">
        <v>44201</v>
      </c>
      <c r="D46" t="s">
        <v>52</v>
      </c>
      <c r="E46" t="s">
        <v>64</v>
      </c>
      <c r="F46" t="s">
        <v>65</v>
      </c>
      <c r="G46" t="s">
        <v>15</v>
      </c>
      <c r="H46" t="s">
        <v>17</v>
      </c>
      <c r="I46" s="3">
        <v>20</v>
      </c>
      <c r="J46" s="2">
        <v>209</v>
      </c>
      <c r="K46" s="3">
        <f t="shared" si="0"/>
        <v>4180</v>
      </c>
      <c r="L46" s="3">
        <v>2675.2</v>
      </c>
    </row>
    <row r="47" spans="1:12" x14ac:dyDescent="0.25">
      <c r="A47" t="s">
        <v>19</v>
      </c>
      <c r="B47">
        <v>1197831</v>
      </c>
      <c r="C47" s="1">
        <v>44201</v>
      </c>
      <c r="D47" t="s">
        <v>52</v>
      </c>
      <c r="E47" t="s">
        <v>64</v>
      </c>
      <c r="F47" t="s">
        <v>65</v>
      </c>
      <c r="G47" t="s">
        <v>15</v>
      </c>
      <c r="H47" t="s">
        <v>35</v>
      </c>
      <c r="I47" s="3">
        <v>21</v>
      </c>
      <c r="J47" s="2">
        <v>162</v>
      </c>
      <c r="K47" s="3">
        <f t="shared" si="0"/>
        <v>3402</v>
      </c>
      <c r="L47" s="3">
        <v>2143.2600000000002</v>
      </c>
    </row>
    <row r="48" spans="1:12" x14ac:dyDescent="0.25">
      <c r="A48" t="s">
        <v>19</v>
      </c>
      <c r="B48">
        <v>1197831</v>
      </c>
      <c r="C48" s="1">
        <v>44201</v>
      </c>
      <c r="D48" t="s">
        <v>52</v>
      </c>
      <c r="E48" t="s">
        <v>64</v>
      </c>
      <c r="F48" t="s">
        <v>65</v>
      </c>
      <c r="G48" t="s">
        <v>41</v>
      </c>
      <c r="H48" t="s">
        <v>22</v>
      </c>
      <c r="I48" s="3">
        <v>36</v>
      </c>
      <c r="J48" s="2">
        <v>85</v>
      </c>
      <c r="K48" s="3">
        <f t="shared" si="0"/>
        <v>3060</v>
      </c>
      <c r="L48" s="3">
        <v>1927.8</v>
      </c>
    </row>
    <row r="49" spans="1:12" x14ac:dyDescent="0.25">
      <c r="A49" t="s">
        <v>19</v>
      </c>
      <c r="B49">
        <v>1197831</v>
      </c>
      <c r="C49" s="1">
        <v>44201</v>
      </c>
      <c r="D49" t="s">
        <v>52</v>
      </c>
      <c r="E49" t="s">
        <v>64</v>
      </c>
      <c r="F49" t="s">
        <v>65</v>
      </c>
      <c r="G49" t="s">
        <v>41</v>
      </c>
      <c r="H49" t="s">
        <v>35</v>
      </c>
      <c r="I49" s="3">
        <v>28</v>
      </c>
      <c r="J49" s="2">
        <v>119</v>
      </c>
      <c r="K49" s="3">
        <f t="shared" si="0"/>
        <v>3332</v>
      </c>
      <c r="L49" s="3">
        <v>1999.1999999999998</v>
      </c>
    </row>
    <row r="50" spans="1:12" x14ac:dyDescent="0.25">
      <c r="A50" t="s">
        <v>19</v>
      </c>
      <c r="B50">
        <v>1197831</v>
      </c>
      <c r="C50" s="1">
        <v>44201</v>
      </c>
      <c r="D50" t="s">
        <v>52</v>
      </c>
      <c r="E50" t="s">
        <v>64</v>
      </c>
      <c r="F50" t="s">
        <v>65</v>
      </c>
      <c r="G50" t="s">
        <v>15</v>
      </c>
      <c r="H50" t="s">
        <v>37</v>
      </c>
      <c r="I50" s="3">
        <v>26</v>
      </c>
      <c r="J50" s="2">
        <v>166</v>
      </c>
      <c r="K50" s="3">
        <f t="shared" si="0"/>
        <v>4316</v>
      </c>
      <c r="L50" s="3">
        <v>2503.2799999999997</v>
      </c>
    </row>
    <row r="51" spans="1:12" x14ac:dyDescent="0.25">
      <c r="A51" t="s">
        <v>19</v>
      </c>
      <c r="B51">
        <v>1197831</v>
      </c>
      <c r="C51" s="1">
        <v>44201</v>
      </c>
      <c r="D51" t="s">
        <v>52</v>
      </c>
      <c r="E51" t="s">
        <v>64</v>
      </c>
      <c r="F51" t="s">
        <v>65</v>
      </c>
      <c r="G51" t="s">
        <v>41</v>
      </c>
      <c r="H51" t="s">
        <v>38</v>
      </c>
      <c r="I51" s="3">
        <v>19</v>
      </c>
      <c r="J51" s="2">
        <v>182</v>
      </c>
      <c r="K51" s="3">
        <f t="shared" si="0"/>
        <v>3458</v>
      </c>
      <c r="L51" s="3">
        <v>1971.06</v>
      </c>
    </row>
    <row r="52" spans="1:12" x14ac:dyDescent="0.25">
      <c r="A52" t="s">
        <v>19</v>
      </c>
      <c r="B52">
        <v>1197831</v>
      </c>
      <c r="C52" s="1">
        <v>44201</v>
      </c>
      <c r="D52" t="s">
        <v>52</v>
      </c>
      <c r="E52" t="s">
        <v>64</v>
      </c>
      <c r="F52" t="s">
        <v>65</v>
      </c>
      <c r="G52" t="s">
        <v>41</v>
      </c>
      <c r="H52" t="s">
        <v>17</v>
      </c>
      <c r="I52" s="3">
        <v>28</v>
      </c>
      <c r="J52" s="2">
        <v>196</v>
      </c>
      <c r="K52" s="3">
        <f t="shared" si="0"/>
        <v>5488</v>
      </c>
      <c r="L52" s="3">
        <v>3018.4</v>
      </c>
    </row>
    <row r="53" spans="1:12" x14ac:dyDescent="0.25">
      <c r="A53" t="s">
        <v>11</v>
      </c>
      <c r="B53">
        <v>1197831</v>
      </c>
      <c r="C53" s="1">
        <v>44201</v>
      </c>
      <c r="D53" t="s">
        <v>52</v>
      </c>
      <c r="E53" t="s">
        <v>64</v>
      </c>
      <c r="F53" t="s">
        <v>65</v>
      </c>
      <c r="G53" t="s">
        <v>15</v>
      </c>
      <c r="H53" t="s">
        <v>16</v>
      </c>
      <c r="I53" s="3">
        <v>23</v>
      </c>
      <c r="J53" s="2">
        <v>147</v>
      </c>
      <c r="K53" s="3">
        <f t="shared" si="0"/>
        <v>3381</v>
      </c>
      <c r="L53" s="3">
        <v>1690.5</v>
      </c>
    </row>
    <row r="54" spans="1:12" x14ac:dyDescent="0.25">
      <c r="A54" t="s">
        <v>19</v>
      </c>
      <c r="B54">
        <v>1197831</v>
      </c>
      <c r="C54" s="1">
        <v>44201</v>
      </c>
      <c r="D54" t="s">
        <v>52</v>
      </c>
      <c r="E54" t="s">
        <v>64</v>
      </c>
      <c r="F54" t="s">
        <v>65</v>
      </c>
      <c r="G54" t="s">
        <v>41</v>
      </c>
      <c r="H54" t="s">
        <v>37</v>
      </c>
      <c r="I54" s="3">
        <v>33</v>
      </c>
      <c r="J54" s="2">
        <v>133</v>
      </c>
      <c r="K54" s="3">
        <f t="shared" si="0"/>
        <v>4389</v>
      </c>
      <c r="L54" s="3">
        <v>2062.83</v>
      </c>
    </row>
    <row r="55" spans="1:12" x14ac:dyDescent="0.25">
      <c r="A55" t="s">
        <v>27</v>
      </c>
      <c r="B55">
        <v>1189833</v>
      </c>
      <c r="C55" s="1">
        <v>44201</v>
      </c>
      <c r="D55" t="s">
        <v>57</v>
      </c>
      <c r="E55" t="s">
        <v>58</v>
      </c>
      <c r="F55" t="s">
        <v>59</v>
      </c>
      <c r="G55" t="s">
        <v>41</v>
      </c>
      <c r="H55" t="s">
        <v>35</v>
      </c>
      <c r="I55" s="3">
        <v>43</v>
      </c>
      <c r="J55" s="2">
        <v>122</v>
      </c>
      <c r="K55" s="3">
        <f t="shared" si="0"/>
        <v>5246</v>
      </c>
      <c r="L55" s="3">
        <v>2255.7799999999997</v>
      </c>
    </row>
    <row r="56" spans="1:12" x14ac:dyDescent="0.25">
      <c r="A56" t="s">
        <v>11</v>
      </c>
      <c r="B56">
        <v>1197831</v>
      </c>
      <c r="C56" s="1">
        <v>44201</v>
      </c>
      <c r="D56" t="s">
        <v>52</v>
      </c>
      <c r="E56" t="s">
        <v>64</v>
      </c>
      <c r="F56" t="s">
        <v>65</v>
      </c>
      <c r="G56" t="s">
        <v>41</v>
      </c>
      <c r="H56" t="s">
        <v>16</v>
      </c>
      <c r="I56" s="3">
        <v>34</v>
      </c>
      <c r="J56" s="2">
        <v>143</v>
      </c>
      <c r="K56" s="3">
        <f t="shared" si="0"/>
        <v>4862</v>
      </c>
      <c r="L56" s="3">
        <v>1944.8000000000002</v>
      </c>
    </row>
    <row r="57" spans="1:12" x14ac:dyDescent="0.25">
      <c r="A57" t="s">
        <v>19</v>
      </c>
      <c r="B57">
        <v>1185732</v>
      </c>
      <c r="C57" s="1">
        <v>44202</v>
      </c>
      <c r="D57" t="s">
        <v>57</v>
      </c>
      <c r="E57" t="s">
        <v>76</v>
      </c>
      <c r="F57" t="s">
        <v>77</v>
      </c>
      <c r="G57" t="s">
        <v>18</v>
      </c>
      <c r="H57" t="s">
        <v>38</v>
      </c>
      <c r="I57" s="3">
        <v>30.000000000000004</v>
      </c>
      <c r="J57" s="2">
        <v>450</v>
      </c>
      <c r="K57" s="3">
        <f t="shared" si="0"/>
        <v>13500.000000000002</v>
      </c>
      <c r="L57" s="3">
        <v>9450.0000000000036</v>
      </c>
    </row>
    <row r="58" spans="1:12" x14ac:dyDescent="0.25">
      <c r="A58" t="s">
        <v>19</v>
      </c>
      <c r="B58">
        <v>1185732</v>
      </c>
      <c r="C58" s="1">
        <v>44202</v>
      </c>
      <c r="D58" t="s">
        <v>57</v>
      </c>
      <c r="E58" t="s">
        <v>76</v>
      </c>
      <c r="F58" t="s">
        <v>77</v>
      </c>
      <c r="G58" t="s">
        <v>18</v>
      </c>
      <c r="H58" t="s">
        <v>35</v>
      </c>
      <c r="I58" s="3">
        <v>20.000000000000007</v>
      </c>
      <c r="J58" s="2">
        <v>250</v>
      </c>
      <c r="K58" s="3">
        <f t="shared" si="0"/>
        <v>5000.0000000000018</v>
      </c>
      <c r="L58" s="3">
        <v>3500.0000000000014</v>
      </c>
    </row>
    <row r="59" spans="1:12" x14ac:dyDescent="0.25">
      <c r="A59" t="s">
        <v>19</v>
      </c>
      <c r="B59">
        <v>1185732</v>
      </c>
      <c r="C59" s="1">
        <v>44202</v>
      </c>
      <c r="D59" t="s">
        <v>57</v>
      </c>
      <c r="E59" t="s">
        <v>76</v>
      </c>
      <c r="F59" t="s">
        <v>77</v>
      </c>
      <c r="G59" t="s">
        <v>18</v>
      </c>
      <c r="H59" t="s">
        <v>37</v>
      </c>
      <c r="I59" s="3">
        <v>25.000000000000007</v>
      </c>
      <c r="J59" s="2">
        <v>100</v>
      </c>
      <c r="K59" s="3">
        <f t="shared" si="0"/>
        <v>2500.0000000000009</v>
      </c>
      <c r="L59" s="3">
        <v>1750.0000000000007</v>
      </c>
    </row>
    <row r="60" spans="1:12" x14ac:dyDescent="0.25">
      <c r="A60" t="s">
        <v>19</v>
      </c>
      <c r="B60">
        <v>1185732</v>
      </c>
      <c r="C60" s="1">
        <v>44202</v>
      </c>
      <c r="D60" t="s">
        <v>57</v>
      </c>
      <c r="E60" t="s">
        <v>76</v>
      </c>
      <c r="F60" t="s">
        <v>77</v>
      </c>
      <c r="G60" t="s">
        <v>18</v>
      </c>
      <c r="H60" t="s">
        <v>17</v>
      </c>
      <c r="I60" s="3">
        <v>30.000000000000004</v>
      </c>
      <c r="J60" s="2">
        <v>250</v>
      </c>
      <c r="K60" s="3">
        <f t="shared" si="0"/>
        <v>7500.0000000000009</v>
      </c>
      <c r="L60" s="3">
        <v>4875.0000000000018</v>
      </c>
    </row>
    <row r="61" spans="1:12" x14ac:dyDescent="0.25">
      <c r="A61" t="s">
        <v>26</v>
      </c>
      <c r="B61">
        <v>1185732</v>
      </c>
      <c r="C61" s="1">
        <v>44202</v>
      </c>
      <c r="D61" t="s">
        <v>32</v>
      </c>
      <c r="E61" t="s">
        <v>46</v>
      </c>
      <c r="F61" t="s">
        <v>47</v>
      </c>
      <c r="G61" t="s">
        <v>41</v>
      </c>
      <c r="H61" t="s">
        <v>17</v>
      </c>
      <c r="I61" s="3">
        <v>35</v>
      </c>
      <c r="J61" s="2">
        <v>725</v>
      </c>
      <c r="K61" s="3">
        <f t="shared" si="0"/>
        <v>25375</v>
      </c>
      <c r="L61" s="3">
        <v>16493.75</v>
      </c>
    </row>
    <row r="62" spans="1:12" x14ac:dyDescent="0.25">
      <c r="A62" t="s">
        <v>26</v>
      </c>
      <c r="B62">
        <v>1185732</v>
      </c>
      <c r="C62" s="1">
        <v>44202</v>
      </c>
      <c r="D62" t="s">
        <v>32</v>
      </c>
      <c r="E62" t="s">
        <v>46</v>
      </c>
      <c r="F62" t="s">
        <v>47</v>
      </c>
      <c r="G62" t="s">
        <v>41</v>
      </c>
      <c r="H62" t="s">
        <v>22</v>
      </c>
      <c r="I62" s="3">
        <v>45</v>
      </c>
      <c r="J62" s="2">
        <v>625</v>
      </c>
      <c r="K62" s="3">
        <f t="shared" si="0"/>
        <v>28125</v>
      </c>
      <c r="L62" s="3">
        <v>18281.25</v>
      </c>
    </row>
    <row r="63" spans="1:12" x14ac:dyDescent="0.25">
      <c r="A63" t="s">
        <v>26</v>
      </c>
      <c r="B63">
        <v>1185732</v>
      </c>
      <c r="C63" s="1">
        <v>44202</v>
      </c>
      <c r="D63" t="s">
        <v>32</v>
      </c>
      <c r="E63" t="s">
        <v>46</v>
      </c>
      <c r="F63" t="s">
        <v>47</v>
      </c>
      <c r="G63" t="s">
        <v>41</v>
      </c>
      <c r="H63" t="s">
        <v>35</v>
      </c>
      <c r="I63" s="3">
        <v>25.000000000000007</v>
      </c>
      <c r="J63" s="2">
        <v>725</v>
      </c>
      <c r="K63" s="3">
        <f t="shared" si="0"/>
        <v>18125.000000000004</v>
      </c>
      <c r="L63" s="3">
        <v>10875.000000000004</v>
      </c>
    </row>
    <row r="64" spans="1:12" x14ac:dyDescent="0.25">
      <c r="A64" t="s">
        <v>11</v>
      </c>
      <c r="B64">
        <v>1128299</v>
      </c>
      <c r="C64" s="1">
        <v>44202</v>
      </c>
      <c r="D64" t="s">
        <v>12</v>
      </c>
      <c r="E64" t="s">
        <v>13</v>
      </c>
      <c r="F64" t="s">
        <v>14</v>
      </c>
      <c r="G64" t="s">
        <v>15</v>
      </c>
      <c r="H64" t="s">
        <v>38</v>
      </c>
      <c r="I64" s="3">
        <v>60</v>
      </c>
      <c r="J64" s="2">
        <v>975</v>
      </c>
      <c r="K64" s="3">
        <f t="shared" si="0"/>
        <v>58500</v>
      </c>
      <c r="L64" s="3">
        <v>35100</v>
      </c>
    </row>
    <row r="65" spans="1:12" x14ac:dyDescent="0.25">
      <c r="A65" t="s">
        <v>27</v>
      </c>
      <c r="B65">
        <v>1189833</v>
      </c>
      <c r="C65" s="1">
        <v>44202</v>
      </c>
      <c r="D65" t="s">
        <v>57</v>
      </c>
      <c r="E65" t="s">
        <v>58</v>
      </c>
      <c r="F65" t="s">
        <v>59</v>
      </c>
      <c r="G65" t="s">
        <v>15</v>
      </c>
      <c r="H65" t="s">
        <v>37</v>
      </c>
      <c r="I65" s="3">
        <v>45</v>
      </c>
      <c r="J65" s="2">
        <v>300</v>
      </c>
      <c r="K65" s="3">
        <f t="shared" si="0"/>
        <v>13500</v>
      </c>
      <c r="L65" s="3">
        <v>8100</v>
      </c>
    </row>
    <row r="66" spans="1:12" x14ac:dyDescent="0.25">
      <c r="A66" t="s">
        <v>26</v>
      </c>
      <c r="B66">
        <v>1185732</v>
      </c>
      <c r="C66" s="1">
        <v>44202</v>
      </c>
      <c r="D66" t="s">
        <v>32</v>
      </c>
      <c r="E66" t="s">
        <v>46</v>
      </c>
      <c r="F66" t="s">
        <v>47</v>
      </c>
      <c r="G66" t="s">
        <v>41</v>
      </c>
      <c r="H66" t="s">
        <v>38</v>
      </c>
      <c r="I66" s="3">
        <v>35</v>
      </c>
      <c r="J66" s="2">
        <v>925</v>
      </c>
      <c r="K66" s="3">
        <f t="shared" si="0"/>
        <v>32375</v>
      </c>
      <c r="L66" s="3">
        <v>19425</v>
      </c>
    </row>
    <row r="67" spans="1:12" x14ac:dyDescent="0.25">
      <c r="A67" t="s">
        <v>26</v>
      </c>
      <c r="B67">
        <v>1185732</v>
      </c>
      <c r="C67" s="1">
        <v>44202</v>
      </c>
      <c r="D67" t="s">
        <v>32</v>
      </c>
      <c r="E67" t="s">
        <v>46</v>
      </c>
      <c r="F67" t="s">
        <v>47</v>
      </c>
      <c r="G67" t="s">
        <v>41</v>
      </c>
      <c r="H67" t="s">
        <v>37</v>
      </c>
      <c r="I67" s="3">
        <v>30</v>
      </c>
      <c r="J67" s="2">
        <v>575</v>
      </c>
      <c r="K67" s="3">
        <f t="shared" ref="K67:K130" si="1">I67*J67</f>
        <v>17250</v>
      </c>
      <c r="L67" s="3">
        <v>10350</v>
      </c>
    </row>
    <row r="68" spans="1:12" x14ac:dyDescent="0.25">
      <c r="A68" t="s">
        <v>19</v>
      </c>
      <c r="B68">
        <v>1185732</v>
      </c>
      <c r="C68" s="1">
        <v>44202</v>
      </c>
      <c r="D68" t="s">
        <v>57</v>
      </c>
      <c r="E68" t="s">
        <v>76</v>
      </c>
      <c r="F68" t="s">
        <v>77</v>
      </c>
      <c r="G68" t="s">
        <v>18</v>
      </c>
      <c r="H68" t="s">
        <v>16</v>
      </c>
      <c r="I68" s="3">
        <v>30.000000000000004</v>
      </c>
      <c r="J68" s="2">
        <v>250</v>
      </c>
      <c r="K68" s="3">
        <f t="shared" si="1"/>
        <v>7500.0000000000009</v>
      </c>
      <c r="L68" s="3">
        <v>4500.0000000000009</v>
      </c>
    </row>
    <row r="69" spans="1:12" x14ac:dyDescent="0.25">
      <c r="A69" t="s">
        <v>26</v>
      </c>
      <c r="B69">
        <v>1185732</v>
      </c>
      <c r="C69" s="1">
        <v>44202</v>
      </c>
      <c r="D69" t="s">
        <v>32</v>
      </c>
      <c r="E69" t="s">
        <v>46</v>
      </c>
      <c r="F69" t="s">
        <v>47</v>
      </c>
      <c r="G69" t="s">
        <v>41</v>
      </c>
      <c r="H69" t="s">
        <v>16</v>
      </c>
      <c r="I69" s="3">
        <v>35</v>
      </c>
      <c r="J69" s="2">
        <v>725</v>
      </c>
      <c r="K69" s="3">
        <f t="shared" si="1"/>
        <v>25375</v>
      </c>
      <c r="L69" s="3">
        <v>12687.5</v>
      </c>
    </row>
    <row r="70" spans="1:12" x14ac:dyDescent="0.25">
      <c r="A70" t="s">
        <v>19</v>
      </c>
      <c r="B70">
        <v>1185732</v>
      </c>
      <c r="C70" s="1">
        <v>44202</v>
      </c>
      <c r="D70" t="s">
        <v>57</v>
      </c>
      <c r="E70" t="s">
        <v>76</v>
      </c>
      <c r="F70" t="s">
        <v>77</v>
      </c>
      <c r="G70" t="s">
        <v>18</v>
      </c>
      <c r="H70" t="s">
        <v>22</v>
      </c>
      <c r="I70" s="3">
        <v>40</v>
      </c>
      <c r="J70" s="2">
        <v>150</v>
      </c>
      <c r="K70" s="3">
        <f t="shared" si="1"/>
        <v>6000</v>
      </c>
      <c r="L70" s="3">
        <v>3000</v>
      </c>
    </row>
    <row r="71" spans="1:12" x14ac:dyDescent="0.25">
      <c r="A71" t="s">
        <v>11</v>
      </c>
      <c r="B71">
        <v>1128299</v>
      </c>
      <c r="C71" s="1">
        <v>44202</v>
      </c>
      <c r="D71" t="s">
        <v>12</v>
      </c>
      <c r="E71" t="s">
        <v>13</v>
      </c>
      <c r="F71" t="s">
        <v>14</v>
      </c>
      <c r="G71" t="s">
        <v>15</v>
      </c>
      <c r="H71" t="s">
        <v>38</v>
      </c>
      <c r="I71" s="3">
        <v>41</v>
      </c>
      <c r="J71" s="2">
        <v>341</v>
      </c>
      <c r="K71" s="3">
        <f t="shared" si="1"/>
        <v>13981</v>
      </c>
      <c r="L71" s="3">
        <v>7969.1699999999992</v>
      </c>
    </row>
    <row r="72" spans="1:12" x14ac:dyDescent="0.25">
      <c r="A72" t="s">
        <v>19</v>
      </c>
      <c r="B72">
        <v>1185732</v>
      </c>
      <c r="C72" s="1">
        <v>44202</v>
      </c>
      <c r="D72" t="s">
        <v>57</v>
      </c>
      <c r="E72" t="s">
        <v>76</v>
      </c>
      <c r="F72" t="s">
        <v>77</v>
      </c>
      <c r="G72" t="s">
        <v>41</v>
      </c>
      <c r="H72" t="s">
        <v>37</v>
      </c>
      <c r="I72" s="3">
        <v>24</v>
      </c>
      <c r="J72" s="2">
        <v>26</v>
      </c>
      <c r="K72" s="3">
        <f t="shared" si="1"/>
        <v>624</v>
      </c>
      <c r="L72" s="3">
        <v>343.20000000000005</v>
      </c>
    </row>
    <row r="73" spans="1:12" x14ac:dyDescent="0.25">
      <c r="A73" t="s">
        <v>19</v>
      </c>
      <c r="B73">
        <v>1185732</v>
      </c>
      <c r="C73" s="1">
        <v>44202</v>
      </c>
      <c r="D73" t="s">
        <v>57</v>
      </c>
      <c r="E73" t="s">
        <v>76</v>
      </c>
      <c r="F73" t="s">
        <v>77</v>
      </c>
      <c r="G73" t="s">
        <v>41</v>
      </c>
      <c r="H73" t="s">
        <v>38</v>
      </c>
      <c r="I73" s="3">
        <v>27</v>
      </c>
      <c r="J73" s="2">
        <v>113</v>
      </c>
      <c r="K73" s="3">
        <f t="shared" si="1"/>
        <v>3051</v>
      </c>
      <c r="L73" s="3">
        <v>1678.0500000000002</v>
      </c>
    </row>
    <row r="74" spans="1:12" x14ac:dyDescent="0.25">
      <c r="A74" t="s">
        <v>19</v>
      </c>
      <c r="B74">
        <v>1185732</v>
      </c>
      <c r="C74" s="1">
        <v>44202</v>
      </c>
      <c r="D74" t="s">
        <v>57</v>
      </c>
      <c r="E74" t="s">
        <v>76</v>
      </c>
      <c r="F74" t="s">
        <v>77</v>
      </c>
      <c r="G74" t="s">
        <v>41</v>
      </c>
      <c r="H74" t="s">
        <v>35</v>
      </c>
      <c r="I74" s="3">
        <v>19</v>
      </c>
      <c r="J74" s="2">
        <v>68</v>
      </c>
      <c r="K74" s="3">
        <f t="shared" si="1"/>
        <v>1292</v>
      </c>
      <c r="L74" s="3">
        <v>710.6</v>
      </c>
    </row>
    <row r="75" spans="1:12" x14ac:dyDescent="0.25">
      <c r="A75" t="s">
        <v>26</v>
      </c>
      <c r="B75">
        <v>1185732</v>
      </c>
      <c r="C75" s="1">
        <v>44202</v>
      </c>
      <c r="D75" t="s">
        <v>32</v>
      </c>
      <c r="E75" t="s">
        <v>46</v>
      </c>
      <c r="F75" t="s">
        <v>47</v>
      </c>
      <c r="G75" t="s">
        <v>41</v>
      </c>
      <c r="H75" t="s">
        <v>22</v>
      </c>
      <c r="I75" s="3">
        <v>42</v>
      </c>
      <c r="J75" s="2">
        <v>156</v>
      </c>
      <c r="K75" s="3">
        <f t="shared" si="1"/>
        <v>6552</v>
      </c>
      <c r="L75" s="3">
        <v>3538.0800000000004</v>
      </c>
    </row>
    <row r="76" spans="1:12" x14ac:dyDescent="0.25">
      <c r="A76" t="s">
        <v>19</v>
      </c>
      <c r="B76">
        <v>1185732</v>
      </c>
      <c r="C76" s="1">
        <v>44202</v>
      </c>
      <c r="D76" t="s">
        <v>57</v>
      </c>
      <c r="E76" t="s">
        <v>76</v>
      </c>
      <c r="F76" t="s">
        <v>77</v>
      </c>
      <c r="G76" t="s">
        <v>41</v>
      </c>
      <c r="H76" t="s">
        <v>17</v>
      </c>
      <c r="I76" s="3">
        <v>29</v>
      </c>
      <c r="J76" s="2">
        <v>70</v>
      </c>
      <c r="K76" s="3">
        <f t="shared" si="1"/>
        <v>2030</v>
      </c>
      <c r="L76" s="3">
        <v>1096.2</v>
      </c>
    </row>
    <row r="77" spans="1:12" x14ac:dyDescent="0.25">
      <c r="A77" t="s">
        <v>11</v>
      </c>
      <c r="B77">
        <v>1128299</v>
      </c>
      <c r="C77" s="1">
        <v>44202</v>
      </c>
      <c r="D77" t="s">
        <v>12</v>
      </c>
      <c r="E77" t="s">
        <v>13</v>
      </c>
      <c r="F77" t="s">
        <v>14</v>
      </c>
      <c r="G77" t="s">
        <v>41</v>
      </c>
      <c r="H77" t="s">
        <v>38</v>
      </c>
      <c r="I77" s="3">
        <v>56</v>
      </c>
      <c r="J77" s="2">
        <v>273</v>
      </c>
      <c r="K77" s="3">
        <f t="shared" si="1"/>
        <v>15288</v>
      </c>
      <c r="L77" s="3">
        <v>7644</v>
      </c>
    </row>
    <row r="78" spans="1:12" x14ac:dyDescent="0.25">
      <c r="A78" t="s">
        <v>26</v>
      </c>
      <c r="B78">
        <v>1185732</v>
      </c>
      <c r="C78" s="1">
        <v>44202</v>
      </c>
      <c r="D78" t="s">
        <v>32</v>
      </c>
      <c r="E78" t="s">
        <v>46</v>
      </c>
      <c r="F78" t="s">
        <v>47</v>
      </c>
      <c r="G78" t="s">
        <v>41</v>
      </c>
      <c r="H78" t="s">
        <v>38</v>
      </c>
      <c r="I78" s="3">
        <v>33</v>
      </c>
      <c r="J78" s="2">
        <v>231</v>
      </c>
      <c r="K78" s="3">
        <f t="shared" si="1"/>
        <v>7623</v>
      </c>
      <c r="L78" s="3">
        <v>3811.5</v>
      </c>
    </row>
    <row r="79" spans="1:12" x14ac:dyDescent="0.25">
      <c r="A79" t="s">
        <v>26</v>
      </c>
      <c r="B79">
        <v>1185732</v>
      </c>
      <c r="C79" s="1">
        <v>44202</v>
      </c>
      <c r="D79" t="s">
        <v>32</v>
      </c>
      <c r="E79" t="s">
        <v>46</v>
      </c>
      <c r="F79" t="s">
        <v>47</v>
      </c>
      <c r="G79" t="s">
        <v>41</v>
      </c>
      <c r="H79" t="s">
        <v>17</v>
      </c>
      <c r="I79" s="3">
        <v>34</v>
      </c>
      <c r="J79" s="2">
        <v>181</v>
      </c>
      <c r="K79" s="3">
        <f t="shared" si="1"/>
        <v>6154</v>
      </c>
      <c r="L79" s="3">
        <v>3077</v>
      </c>
    </row>
    <row r="80" spans="1:12" x14ac:dyDescent="0.25">
      <c r="A80" t="s">
        <v>19</v>
      </c>
      <c r="B80">
        <v>1185732</v>
      </c>
      <c r="C80" s="1">
        <v>44202</v>
      </c>
      <c r="D80" t="s">
        <v>57</v>
      </c>
      <c r="E80" t="s">
        <v>76</v>
      </c>
      <c r="F80" t="s">
        <v>77</v>
      </c>
      <c r="G80" t="s">
        <v>41</v>
      </c>
      <c r="H80" t="s">
        <v>16</v>
      </c>
      <c r="I80" s="3">
        <v>28</v>
      </c>
      <c r="J80" s="2">
        <v>75</v>
      </c>
      <c r="K80" s="3">
        <f t="shared" si="1"/>
        <v>2100</v>
      </c>
      <c r="L80" s="3">
        <v>1008</v>
      </c>
    </row>
    <row r="81" spans="1:12" x14ac:dyDescent="0.25">
      <c r="A81" t="s">
        <v>26</v>
      </c>
      <c r="B81">
        <v>1185732</v>
      </c>
      <c r="C81" s="1">
        <v>44202</v>
      </c>
      <c r="D81" t="s">
        <v>32</v>
      </c>
      <c r="E81" t="s">
        <v>46</v>
      </c>
      <c r="F81" t="s">
        <v>47</v>
      </c>
      <c r="G81" t="s">
        <v>41</v>
      </c>
      <c r="H81" t="s">
        <v>35</v>
      </c>
      <c r="I81" s="3">
        <v>24</v>
      </c>
      <c r="J81" s="2">
        <v>189</v>
      </c>
      <c r="K81" s="3">
        <f t="shared" si="1"/>
        <v>4536</v>
      </c>
      <c r="L81" s="3">
        <v>2086.56</v>
      </c>
    </row>
    <row r="82" spans="1:12" x14ac:dyDescent="0.25">
      <c r="A82" t="s">
        <v>27</v>
      </c>
      <c r="B82">
        <v>1189833</v>
      </c>
      <c r="C82" s="1">
        <v>44202</v>
      </c>
      <c r="D82" t="s">
        <v>57</v>
      </c>
      <c r="E82" t="s">
        <v>58</v>
      </c>
      <c r="F82" t="s">
        <v>59</v>
      </c>
      <c r="G82" t="s">
        <v>41</v>
      </c>
      <c r="H82" t="s">
        <v>37</v>
      </c>
      <c r="I82" s="3">
        <v>44</v>
      </c>
      <c r="J82" s="2">
        <v>81</v>
      </c>
      <c r="K82" s="3">
        <f t="shared" si="1"/>
        <v>3564</v>
      </c>
      <c r="L82" s="3">
        <v>1603.8000000000002</v>
      </c>
    </row>
    <row r="83" spans="1:12" x14ac:dyDescent="0.25">
      <c r="A83" t="s">
        <v>26</v>
      </c>
      <c r="B83">
        <v>1185732</v>
      </c>
      <c r="C83" s="1">
        <v>44202</v>
      </c>
      <c r="D83" t="s">
        <v>32</v>
      </c>
      <c r="E83" t="s">
        <v>46</v>
      </c>
      <c r="F83" t="s">
        <v>47</v>
      </c>
      <c r="G83" t="s">
        <v>41</v>
      </c>
      <c r="H83" t="s">
        <v>37</v>
      </c>
      <c r="I83" s="3">
        <v>29</v>
      </c>
      <c r="J83" s="2">
        <v>173</v>
      </c>
      <c r="K83" s="3">
        <f t="shared" si="1"/>
        <v>5017</v>
      </c>
      <c r="L83" s="3">
        <v>2257.6499999999996</v>
      </c>
    </row>
    <row r="84" spans="1:12" x14ac:dyDescent="0.25">
      <c r="A84" t="s">
        <v>19</v>
      </c>
      <c r="B84">
        <v>1185732</v>
      </c>
      <c r="C84" s="1">
        <v>44202</v>
      </c>
      <c r="D84" t="s">
        <v>57</v>
      </c>
      <c r="E84" t="s">
        <v>76</v>
      </c>
      <c r="F84" t="s">
        <v>77</v>
      </c>
      <c r="G84" t="s">
        <v>41</v>
      </c>
      <c r="H84" t="s">
        <v>22</v>
      </c>
      <c r="I84" s="3">
        <v>38</v>
      </c>
      <c r="J84" s="2">
        <v>42</v>
      </c>
      <c r="K84" s="3">
        <f t="shared" si="1"/>
        <v>1596</v>
      </c>
      <c r="L84" s="3">
        <v>590.52</v>
      </c>
    </row>
    <row r="85" spans="1:12" x14ac:dyDescent="0.25">
      <c r="A85" t="s">
        <v>26</v>
      </c>
      <c r="B85">
        <v>1185732</v>
      </c>
      <c r="C85" s="1">
        <v>44202</v>
      </c>
      <c r="D85" t="s">
        <v>32</v>
      </c>
      <c r="E85" t="s">
        <v>46</v>
      </c>
      <c r="F85" t="s">
        <v>47</v>
      </c>
      <c r="G85" t="s">
        <v>41</v>
      </c>
      <c r="H85" t="s">
        <v>16</v>
      </c>
      <c r="I85" s="3">
        <v>34</v>
      </c>
      <c r="J85" s="2">
        <v>196</v>
      </c>
      <c r="K85" s="3">
        <f t="shared" si="1"/>
        <v>6664</v>
      </c>
      <c r="L85" s="3">
        <v>2399.04</v>
      </c>
    </row>
    <row r="86" spans="1:12" x14ac:dyDescent="0.25">
      <c r="A86" t="s">
        <v>11</v>
      </c>
      <c r="B86">
        <v>1128299</v>
      </c>
      <c r="C86" s="1">
        <v>44203</v>
      </c>
      <c r="D86" t="s">
        <v>12</v>
      </c>
      <c r="E86" t="s">
        <v>13</v>
      </c>
      <c r="F86" t="s">
        <v>14</v>
      </c>
      <c r="G86" t="s">
        <v>15</v>
      </c>
      <c r="H86" t="s">
        <v>17</v>
      </c>
      <c r="I86" s="3">
        <v>65</v>
      </c>
      <c r="J86" s="2">
        <v>825</v>
      </c>
      <c r="K86" s="3">
        <f t="shared" si="1"/>
        <v>53625</v>
      </c>
      <c r="L86" s="3">
        <v>40218.75</v>
      </c>
    </row>
    <row r="87" spans="1:12" x14ac:dyDescent="0.25">
      <c r="A87" t="s">
        <v>26</v>
      </c>
      <c r="B87">
        <v>1185732</v>
      </c>
      <c r="C87" s="1">
        <v>44203</v>
      </c>
      <c r="D87" t="s">
        <v>29</v>
      </c>
      <c r="E87" t="s">
        <v>91</v>
      </c>
      <c r="F87" t="s">
        <v>92</v>
      </c>
      <c r="G87" t="s">
        <v>18</v>
      </c>
      <c r="H87" t="s">
        <v>35</v>
      </c>
      <c r="I87" s="3">
        <v>30.000000000000004</v>
      </c>
      <c r="J87" s="2">
        <v>300</v>
      </c>
      <c r="K87" s="3">
        <f t="shared" si="1"/>
        <v>9000.0000000000018</v>
      </c>
      <c r="L87" s="3">
        <v>6300.0000000000018</v>
      </c>
    </row>
    <row r="88" spans="1:12" x14ac:dyDescent="0.25">
      <c r="A88" t="s">
        <v>26</v>
      </c>
      <c r="B88">
        <v>1185732</v>
      </c>
      <c r="C88" s="1">
        <v>44203</v>
      </c>
      <c r="D88" t="s">
        <v>29</v>
      </c>
      <c r="E88" t="s">
        <v>91</v>
      </c>
      <c r="F88" t="s">
        <v>92</v>
      </c>
      <c r="G88" t="s">
        <v>18</v>
      </c>
      <c r="H88" t="s">
        <v>37</v>
      </c>
      <c r="I88" s="3">
        <v>35</v>
      </c>
      <c r="J88" s="2">
        <v>150</v>
      </c>
      <c r="K88" s="3">
        <f t="shared" si="1"/>
        <v>5250</v>
      </c>
      <c r="L88" s="3">
        <v>3675</v>
      </c>
    </row>
    <row r="89" spans="1:12" x14ac:dyDescent="0.25">
      <c r="A89" t="s">
        <v>26</v>
      </c>
      <c r="B89">
        <v>1185732</v>
      </c>
      <c r="C89" s="1">
        <v>44203</v>
      </c>
      <c r="D89" t="s">
        <v>29</v>
      </c>
      <c r="E89" t="s">
        <v>91</v>
      </c>
      <c r="F89" t="s">
        <v>92</v>
      </c>
      <c r="G89" t="s">
        <v>18</v>
      </c>
      <c r="H89" t="s">
        <v>22</v>
      </c>
      <c r="I89" s="3">
        <v>50</v>
      </c>
      <c r="J89" s="2">
        <v>200</v>
      </c>
      <c r="K89" s="3">
        <f t="shared" si="1"/>
        <v>10000</v>
      </c>
      <c r="L89" s="3">
        <v>7000</v>
      </c>
    </row>
    <row r="90" spans="1:12" x14ac:dyDescent="0.25">
      <c r="A90" t="s">
        <v>26</v>
      </c>
      <c r="B90">
        <v>1185732</v>
      </c>
      <c r="C90" s="1">
        <v>44203</v>
      </c>
      <c r="D90" t="s">
        <v>29</v>
      </c>
      <c r="E90" t="s">
        <v>91</v>
      </c>
      <c r="F90" t="s">
        <v>92</v>
      </c>
      <c r="G90" t="s">
        <v>18</v>
      </c>
      <c r="H90" t="s">
        <v>16</v>
      </c>
      <c r="I90" s="3">
        <v>40</v>
      </c>
      <c r="J90" s="2">
        <v>300</v>
      </c>
      <c r="K90" s="3">
        <f t="shared" si="1"/>
        <v>12000</v>
      </c>
      <c r="L90" s="3">
        <v>7800</v>
      </c>
    </row>
    <row r="91" spans="1:12" x14ac:dyDescent="0.25">
      <c r="A91" t="s">
        <v>26</v>
      </c>
      <c r="B91">
        <v>1185732</v>
      </c>
      <c r="C91" s="1">
        <v>44203</v>
      </c>
      <c r="D91" t="s">
        <v>29</v>
      </c>
      <c r="E91" t="s">
        <v>91</v>
      </c>
      <c r="F91" t="s">
        <v>92</v>
      </c>
      <c r="G91" t="s">
        <v>18</v>
      </c>
      <c r="H91" t="s">
        <v>38</v>
      </c>
      <c r="I91" s="3">
        <v>40</v>
      </c>
      <c r="J91" s="2">
        <v>500</v>
      </c>
      <c r="K91" s="3">
        <f t="shared" si="1"/>
        <v>20000</v>
      </c>
      <c r="L91" s="3">
        <v>12000</v>
      </c>
    </row>
    <row r="92" spans="1:12" x14ac:dyDescent="0.25">
      <c r="A92" t="s">
        <v>26</v>
      </c>
      <c r="B92">
        <v>1185732</v>
      </c>
      <c r="C92" s="1">
        <v>44203</v>
      </c>
      <c r="D92" t="s">
        <v>29</v>
      </c>
      <c r="E92" t="s">
        <v>91</v>
      </c>
      <c r="F92" t="s">
        <v>92</v>
      </c>
      <c r="G92" t="s">
        <v>18</v>
      </c>
      <c r="H92" t="s">
        <v>17</v>
      </c>
      <c r="I92" s="3">
        <v>40</v>
      </c>
      <c r="J92" s="2">
        <v>300</v>
      </c>
      <c r="K92" s="3">
        <f t="shared" si="1"/>
        <v>12000</v>
      </c>
      <c r="L92" s="3">
        <v>7200</v>
      </c>
    </row>
    <row r="93" spans="1:12" x14ac:dyDescent="0.25">
      <c r="A93" t="s">
        <v>27</v>
      </c>
      <c r="B93">
        <v>1189833</v>
      </c>
      <c r="C93" s="1">
        <v>44203</v>
      </c>
      <c r="D93" t="s">
        <v>57</v>
      </c>
      <c r="E93" t="s">
        <v>58</v>
      </c>
      <c r="F93" t="s">
        <v>59</v>
      </c>
      <c r="G93" t="s">
        <v>15</v>
      </c>
      <c r="H93" t="s">
        <v>22</v>
      </c>
      <c r="I93" s="3">
        <v>50</v>
      </c>
      <c r="J93" s="2">
        <v>225</v>
      </c>
      <c r="K93" s="3">
        <f t="shared" si="1"/>
        <v>11250</v>
      </c>
      <c r="L93" s="3">
        <v>4499.9999999999982</v>
      </c>
    </row>
    <row r="94" spans="1:12" x14ac:dyDescent="0.25">
      <c r="A94" t="s">
        <v>11</v>
      </c>
      <c r="B94">
        <v>1128299</v>
      </c>
      <c r="C94" s="1">
        <v>44203</v>
      </c>
      <c r="D94" t="s">
        <v>12</v>
      </c>
      <c r="E94" t="s">
        <v>13</v>
      </c>
      <c r="F94" t="s">
        <v>14</v>
      </c>
      <c r="G94" t="s">
        <v>15</v>
      </c>
      <c r="H94" t="s">
        <v>17</v>
      </c>
      <c r="I94" s="3">
        <v>50</v>
      </c>
      <c r="J94" s="2">
        <v>256</v>
      </c>
      <c r="K94" s="3">
        <f t="shared" si="1"/>
        <v>12800</v>
      </c>
      <c r="L94" s="3">
        <v>8960</v>
      </c>
    </row>
    <row r="95" spans="1:12" x14ac:dyDescent="0.25">
      <c r="A95" t="s">
        <v>11</v>
      </c>
      <c r="B95">
        <v>1128299</v>
      </c>
      <c r="C95" s="1">
        <v>44203</v>
      </c>
      <c r="D95" t="s">
        <v>12</v>
      </c>
      <c r="E95" t="s">
        <v>13</v>
      </c>
      <c r="F95" t="s">
        <v>14</v>
      </c>
      <c r="G95" t="s">
        <v>41</v>
      </c>
      <c r="H95" t="s">
        <v>17</v>
      </c>
      <c r="I95" s="3">
        <v>63</v>
      </c>
      <c r="J95" s="2">
        <v>248</v>
      </c>
      <c r="K95" s="3">
        <f t="shared" si="1"/>
        <v>15624</v>
      </c>
      <c r="L95" s="3">
        <v>9843.119999999999</v>
      </c>
    </row>
    <row r="96" spans="1:12" x14ac:dyDescent="0.25">
      <c r="A96" t="s">
        <v>26</v>
      </c>
      <c r="B96">
        <v>1185732</v>
      </c>
      <c r="C96" s="1">
        <v>44203</v>
      </c>
      <c r="D96" t="s">
        <v>29</v>
      </c>
      <c r="E96" t="s">
        <v>91</v>
      </c>
      <c r="F96" t="s">
        <v>92</v>
      </c>
      <c r="G96" t="s">
        <v>41</v>
      </c>
      <c r="H96" t="s">
        <v>35</v>
      </c>
      <c r="I96" s="3">
        <v>28</v>
      </c>
      <c r="J96" s="2">
        <v>90</v>
      </c>
      <c r="K96" s="3">
        <f t="shared" si="1"/>
        <v>2520</v>
      </c>
      <c r="L96" s="3">
        <v>1512</v>
      </c>
    </row>
    <row r="97" spans="1:12" x14ac:dyDescent="0.25">
      <c r="A97" t="s">
        <v>26</v>
      </c>
      <c r="B97">
        <v>1185732</v>
      </c>
      <c r="C97" s="1">
        <v>44203</v>
      </c>
      <c r="D97" t="s">
        <v>29</v>
      </c>
      <c r="E97" t="s">
        <v>91</v>
      </c>
      <c r="F97" t="s">
        <v>92</v>
      </c>
      <c r="G97" t="s">
        <v>41</v>
      </c>
      <c r="H97" t="s">
        <v>22</v>
      </c>
      <c r="I97" s="3">
        <v>49</v>
      </c>
      <c r="J97" s="2">
        <v>60</v>
      </c>
      <c r="K97" s="3">
        <f t="shared" si="1"/>
        <v>2940</v>
      </c>
      <c r="L97" s="3">
        <v>1734.6000000000001</v>
      </c>
    </row>
    <row r="98" spans="1:12" x14ac:dyDescent="0.25">
      <c r="A98" t="s">
        <v>26</v>
      </c>
      <c r="B98">
        <v>1185732</v>
      </c>
      <c r="C98" s="1">
        <v>44203</v>
      </c>
      <c r="D98" t="s">
        <v>29</v>
      </c>
      <c r="E98" t="s">
        <v>91</v>
      </c>
      <c r="F98" t="s">
        <v>92</v>
      </c>
      <c r="G98" t="s">
        <v>41</v>
      </c>
      <c r="H98" t="s">
        <v>37</v>
      </c>
      <c r="I98" s="3">
        <v>33</v>
      </c>
      <c r="J98" s="2">
        <v>42</v>
      </c>
      <c r="K98" s="3">
        <f t="shared" si="1"/>
        <v>1386</v>
      </c>
      <c r="L98" s="3">
        <v>776.16</v>
      </c>
    </row>
    <row r="99" spans="1:12" x14ac:dyDescent="0.25">
      <c r="A99" t="s">
        <v>26</v>
      </c>
      <c r="B99">
        <v>1185732</v>
      </c>
      <c r="C99" s="1">
        <v>44203</v>
      </c>
      <c r="D99" t="s">
        <v>29</v>
      </c>
      <c r="E99" t="s">
        <v>91</v>
      </c>
      <c r="F99" t="s">
        <v>92</v>
      </c>
      <c r="G99" t="s">
        <v>41</v>
      </c>
      <c r="H99" t="s">
        <v>16</v>
      </c>
      <c r="I99" s="3">
        <v>37</v>
      </c>
      <c r="J99" s="2">
        <v>81</v>
      </c>
      <c r="K99" s="3">
        <f t="shared" si="1"/>
        <v>2997</v>
      </c>
      <c r="L99" s="3">
        <v>1498.5</v>
      </c>
    </row>
    <row r="100" spans="1:12" x14ac:dyDescent="0.25">
      <c r="A100" t="s">
        <v>26</v>
      </c>
      <c r="B100">
        <v>1185732</v>
      </c>
      <c r="C100" s="1">
        <v>44203</v>
      </c>
      <c r="D100" t="s">
        <v>29</v>
      </c>
      <c r="E100" t="s">
        <v>91</v>
      </c>
      <c r="F100" t="s">
        <v>92</v>
      </c>
      <c r="G100" t="s">
        <v>41</v>
      </c>
      <c r="H100" t="s">
        <v>38</v>
      </c>
      <c r="I100" s="3">
        <v>38</v>
      </c>
      <c r="J100" s="2">
        <v>125</v>
      </c>
      <c r="K100" s="3">
        <f t="shared" si="1"/>
        <v>4750</v>
      </c>
      <c r="L100" s="3">
        <v>2327.5</v>
      </c>
    </row>
    <row r="101" spans="1:12" x14ac:dyDescent="0.25">
      <c r="A101" t="s">
        <v>26</v>
      </c>
      <c r="B101">
        <v>1185732</v>
      </c>
      <c r="C101" s="1">
        <v>44203</v>
      </c>
      <c r="D101" t="s">
        <v>29</v>
      </c>
      <c r="E101" t="s">
        <v>91</v>
      </c>
      <c r="F101" t="s">
        <v>92</v>
      </c>
      <c r="G101" t="s">
        <v>41</v>
      </c>
      <c r="H101" t="s">
        <v>17</v>
      </c>
      <c r="I101" s="3">
        <v>37</v>
      </c>
      <c r="J101" s="2">
        <v>87</v>
      </c>
      <c r="K101" s="3">
        <f t="shared" si="1"/>
        <v>3219</v>
      </c>
      <c r="L101" s="3">
        <v>1545.12</v>
      </c>
    </row>
    <row r="102" spans="1:12" x14ac:dyDescent="0.25">
      <c r="A102" t="s">
        <v>27</v>
      </c>
      <c r="B102">
        <v>1189833</v>
      </c>
      <c r="C102" s="1">
        <v>44203</v>
      </c>
      <c r="D102" t="s">
        <v>57</v>
      </c>
      <c r="E102" t="s">
        <v>58</v>
      </c>
      <c r="F102" t="s">
        <v>59</v>
      </c>
      <c r="G102" t="s">
        <v>41</v>
      </c>
      <c r="H102" t="s">
        <v>22</v>
      </c>
      <c r="I102" s="3">
        <v>48</v>
      </c>
      <c r="J102" s="2">
        <v>59</v>
      </c>
      <c r="K102" s="3">
        <f t="shared" si="1"/>
        <v>2832</v>
      </c>
      <c r="L102" s="3">
        <v>792.95999999999981</v>
      </c>
    </row>
    <row r="103" spans="1:12" x14ac:dyDescent="0.25">
      <c r="A103" t="s">
        <v>27</v>
      </c>
      <c r="B103">
        <v>1189833</v>
      </c>
      <c r="C103" s="1">
        <v>44204</v>
      </c>
      <c r="D103" t="s">
        <v>57</v>
      </c>
      <c r="E103" t="s">
        <v>58</v>
      </c>
      <c r="F103" t="s">
        <v>59</v>
      </c>
      <c r="G103" t="s">
        <v>15</v>
      </c>
      <c r="H103" t="s">
        <v>16</v>
      </c>
      <c r="I103" s="3">
        <v>45</v>
      </c>
      <c r="J103" s="2">
        <v>425</v>
      </c>
      <c r="K103" s="3">
        <f t="shared" si="1"/>
        <v>19125</v>
      </c>
      <c r="L103" s="3">
        <v>14343.75</v>
      </c>
    </row>
    <row r="104" spans="1:12" x14ac:dyDescent="0.25">
      <c r="A104" t="s">
        <v>11</v>
      </c>
      <c r="B104">
        <v>1128299</v>
      </c>
      <c r="C104" s="1">
        <v>44204</v>
      </c>
      <c r="D104" t="s">
        <v>12</v>
      </c>
      <c r="E104" t="s">
        <v>13</v>
      </c>
      <c r="F104" t="s">
        <v>14</v>
      </c>
      <c r="G104" t="s">
        <v>15</v>
      </c>
      <c r="H104" t="s">
        <v>35</v>
      </c>
      <c r="I104" s="3">
        <v>65</v>
      </c>
      <c r="J104" s="2">
        <v>825</v>
      </c>
      <c r="K104" s="3">
        <f t="shared" si="1"/>
        <v>53625</v>
      </c>
      <c r="L104" s="3">
        <v>32175</v>
      </c>
    </row>
    <row r="105" spans="1:12" x14ac:dyDescent="0.25">
      <c r="A105" t="s">
        <v>27</v>
      </c>
      <c r="B105">
        <v>1189833</v>
      </c>
      <c r="C105" s="1">
        <v>44204</v>
      </c>
      <c r="D105" t="s">
        <v>57</v>
      </c>
      <c r="E105" t="s">
        <v>58</v>
      </c>
      <c r="F105" t="s">
        <v>59</v>
      </c>
      <c r="G105" t="s">
        <v>41</v>
      </c>
      <c r="H105" t="s">
        <v>16</v>
      </c>
      <c r="I105" s="3">
        <v>43</v>
      </c>
      <c r="J105" s="2">
        <v>119</v>
      </c>
      <c r="K105" s="3">
        <f t="shared" si="1"/>
        <v>5117</v>
      </c>
      <c r="L105" s="3">
        <v>3223.71</v>
      </c>
    </row>
    <row r="106" spans="1:12" x14ac:dyDescent="0.25">
      <c r="A106" t="s">
        <v>11</v>
      </c>
      <c r="B106">
        <v>1128299</v>
      </c>
      <c r="C106" s="1">
        <v>44204</v>
      </c>
      <c r="D106" t="s">
        <v>12</v>
      </c>
      <c r="E106" t="s">
        <v>13</v>
      </c>
      <c r="F106" t="s">
        <v>14</v>
      </c>
      <c r="G106" t="s">
        <v>15</v>
      </c>
      <c r="H106" t="s">
        <v>35</v>
      </c>
      <c r="I106" s="3">
        <v>42</v>
      </c>
      <c r="J106" s="2">
        <v>281</v>
      </c>
      <c r="K106" s="3">
        <f t="shared" si="1"/>
        <v>11802</v>
      </c>
      <c r="L106" s="3">
        <v>6491.0999999999995</v>
      </c>
    </row>
    <row r="107" spans="1:12" x14ac:dyDescent="0.25">
      <c r="A107" t="s">
        <v>11</v>
      </c>
      <c r="B107">
        <v>1128299</v>
      </c>
      <c r="C107" s="1">
        <v>44204</v>
      </c>
      <c r="D107" t="s">
        <v>12</v>
      </c>
      <c r="E107" t="s">
        <v>13</v>
      </c>
      <c r="F107" t="s">
        <v>14</v>
      </c>
      <c r="G107" t="s">
        <v>41</v>
      </c>
      <c r="H107" t="s">
        <v>35</v>
      </c>
      <c r="I107" s="3">
        <v>64</v>
      </c>
      <c r="J107" s="2">
        <v>206</v>
      </c>
      <c r="K107" s="3">
        <f t="shared" si="1"/>
        <v>13184</v>
      </c>
      <c r="L107" s="3">
        <v>5932.7999999999993</v>
      </c>
    </row>
    <row r="108" spans="1:12" x14ac:dyDescent="0.25">
      <c r="A108" t="s">
        <v>19</v>
      </c>
      <c r="B108">
        <v>1185732</v>
      </c>
      <c r="C108" s="1">
        <v>44205</v>
      </c>
      <c r="D108" t="s">
        <v>32</v>
      </c>
      <c r="E108" t="s">
        <v>44</v>
      </c>
      <c r="F108" t="s">
        <v>45</v>
      </c>
      <c r="G108" t="s">
        <v>41</v>
      </c>
      <c r="H108" t="s">
        <v>35</v>
      </c>
      <c r="I108" s="3">
        <v>30.000000000000004</v>
      </c>
      <c r="J108" s="2">
        <v>825</v>
      </c>
      <c r="K108" s="3">
        <f t="shared" si="1"/>
        <v>24750.000000000004</v>
      </c>
      <c r="L108" s="3">
        <v>18562.500000000004</v>
      </c>
    </row>
    <row r="109" spans="1:12" x14ac:dyDescent="0.25">
      <c r="A109" t="s">
        <v>26</v>
      </c>
      <c r="B109">
        <v>1185732</v>
      </c>
      <c r="C109" s="1">
        <v>44205</v>
      </c>
      <c r="D109" t="s">
        <v>57</v>
      </c>
      <c r="E109" t="s">
        <v>74</v>
      </c>
      <c r="F109" t="s">
        <v>75</v>
      </c>
      <c r="G109" t="s">
        <v>41</v>
      </c>
      <c r="H109" t="s">
        <v>35</v>
      </c>
      <c r="I109" s="3">
        <v>25.000000000000007</v>
      </c>
      <c r="J109" s="2">
        <v>275</v>
      </c>
      <c r="K109" s="3">
        <f t="shared" si="1"/>
        <v>6875.0000000000018</v>
      </c>
      <c r="L109" s="3">
        <v>4812.5000000000018</v>
      </c>
    </row>
    <row r="110" spans="1:12" x14ac:dyDescent="0.25">
      <c r="A110" t="s">
        <v>26</v>
      </c>
      <c r="B110">
        <v>1185732</v>
      </c>
      <c r="C110" s="1">
        <v>44205</v>
      </c>
      <c r="D110" t="s">
        <v>57</v>
      </c>
      <c r="E110" t="s">
        <v>74</v>
      </c>
      <c r="F110" t="s">
        <v>75</v>
      </c>
      <c r="G110" t="s">
        <v>41</v>
      </c>
      <c r="H110" t="s">
        <v>37</v>
      </c>
      <c r="I110" s="3">
        <v>30.000000000000004</v>
      </c>
      <c r="J110" s="2">
        <v>125</v>
      </c>
      <c r="K110" s="3">
        <f t="shared" si="1"/>
        <v>3750.0000000000005</v>
      </c>
      <c r="L110" s="3">
        <v>2625.0000000000009</v>
      </c>
    </row>
    <row r="111" spans="1:12" x14ac:dyDescent="0.25">
      <c r="A111" t="s">
        <v>19</v>
      </c>
      <c r="B111">
        <v>1185732</v>
      </c>
      <c r="C111" s="1">
        <v>44205</v>
      </c>
      <c r="D111" t="s">
        <v>32</v>
      </c>
      <c r="E111" t="s">
        <v>44</v>
      </c>
      <c r="F111" t="s">
        <v>45</v>
      </c>
      <c r="G111" t="s">
        <v>41</v>
      </c>
      <c r="H111" t="s">
        <v>37</v>
      </c>
      <c r="I111" s="3">
        <v>35</v>
      </c>
      <c r="J111" s="2">
        <v>675</v>
      </c>
      <c r="K111" s="3">
        <f t="shared" si="1"/>
        <v>23625</v>
      </c>
      <c r="L111" s="3">
        <v>16537.5</v>
      </c>
    </row>
    <row r="112" spans="1:12" x14ac:dyDescent="0.25">
      <c r="A112" t="s">
        <v>26</v>
      </c>
      <c r="B112">
        <v>1185732</v>
      </c>
      <c r="C112" s="1">
        <v>44205</v>
      </c>
      <c r="D112" t="s">
        <v>57</v>
      </c>
      <c r="E112" t="s">
        <v>74</v>
      </c>
      <c r="F112" t="s">
        <v>75</v>
      </c>
      <c r="G112" t="s">
        <v>41</v>
      </c>
      <c r="H112" t="s">
        <v>17</v>
      </c>
      <c r="I112" s="3">
        <v>35</v>
      </c>
      <c r="J112" s="2">
        <v>275</v>
      </c>
      <c r="K112" s="3">
        <f t="shared" si="1"/>
        <v>9625</v>
      </c>
      <c r="L112" s="3">
        <v>6737.5</v>
      </c>
    </row>
    <row r="113" spans="1:12" x14ac:dyDescent="0.25">
      <c r="A113" t="s">
        <v>11</v>
      </c>
      <c r="B113">
        <v>1128299</v>
      </c>
      <c r="C113" s="1">
        <v>44205</v>
      </c>
      <c r="D113" t="s">
        <v>12</v>
      </c>
      <c r="E113" t="s">
        <v>13</v>
      </c>
      <c r="F113" t="s">
        <v>14</v>
      </c>
      <c r="G113" t="s">
        <v>15</v>
      </c>
      <c r="H113" t="s">
        <v>37</v>
      </c>
      <c r="I113" s="3">
        <v>60</v>
      </c>
      <c r="J113" s="2">
        <v>700</v>
      </c>
      <c r="K113" s="3">
        <f t="shared" si="1"/>
        <v>42000</v>
      </c>
      <c r="L113" s="3">
        <v>27300</v>
      </c>
    </row>
    <row r="114" spans="1:12" x14ac:dyDescent="0.25">
      <c r="A114" t="s">
        <v>19</v>
      </c>
      <c r="B114">
        <v>1185732</v>
      </c>
      <c r="C114" s="1">
        <v>44205</v>
      </c>
      <c r="D114" t="s">
        <v>32</v>
      </c>
      <c r="E114" t="s">
        <v>44</v>
      </c>
      <c r="F114" t="s">
        <v>45</v>
      </c>
      <c r="G114" t="s">
        <v>41</v>
      </c>
      <c r="H114" t="s">
        <v>17</v>
      </c>
      <c r="I114" s="3">
        <v>40</v>
      </c>
      <c r="J114" s="2">
        <v>825</v>
      </c>
      <c r="K114" s="3">
        <f t="shared" si="1"/>
        <v>33000</v>
      </c>
      <c r="L114" s="3">
        <v>21450</v>
      </c>
    </row>
    <row r="115" spans="1:12" x14ac:dyDescent="0.25">
      <c r="A115" t="s">
        <v>19</v>
      </c>
      <c r="B115">
        <v>1185732</v>
      </c>
      <c r="C115" s="1">
        <v>44205</v>
      </c>
      <c r="D115" t="s">
        <v>32</v>
      </c>
      <c r="E115" t="s">
        <v>44</v>
      </c>
      <c r="F115" t="s">
        <v>45</v>
      </c>
      <c r="G115" t="s">
        <v>41</v>
      </c>
      <c r="H115" t="s">
        <v>22</v>
      </c>
      <c r="I115" s="3">
        <v>50</v>
      </c>
      <c r="J115" s="2">
        <v>725</v>
      </c>
      <c r="K115" s="3">
        <f t="shared" si="1"/>
        <v>36250</v>
      </c>
      <c r="L115" s="3">
        <v>23562.5</v>
      </c>
    </row>
    <row r="116" spans="1:12" x14ac:dyDescent="0.25">
      <c r="A116" t="s">
        <v>26</v>
      </c>
      <c r="B116">
        <v>1185732</v>
      </c>
      <c r="C116" s="1">
        <v>44205</v>
      </c>
      <c r="D116" t="s">
        <v>57</v>
      </c>
      <c r="E116" t="s">
        <v>74</v>
      </c>
      <c r="F116" t="s">
        <v>75</v>
      </c>
      <c r="G116" t="s">
        <v>41</v>
      </c>
      <c r="H116" t="s">
        <v>38</v>
      </c>
      <c r="I116" s="3">
        <v>35</v>
      </c>
      <c r="J116" s="2">
        <v>475</v>
      </c>
      <c r="K116" s="3">
        <f t="shared" si="1"/>
        <v>16625</v>
      </c>
      <c r="L116" s="3">
        <v>10806.25</v>
      </c>
    </row>
    <row r="117" spans="1:12" x14ac:dyDescent="0.25">
      <c r="A117" t="s">
        <v>26</v>
      </c>
      <c r="B117">
        <v>1185732</v>
      </c>
      <c r="C117" s="1">
        <v>44205</v>
      </c>
      <c r="D117" t="s">
        <v>57</v>
      </c>
      <c r="E117" t="s">
        <v>74</v>
      </c>
      <c r="F117" t="s">
        <v>75</v>
      </c>
      <c r="G117" t="s">
        <v>41</v>
      </c>
      <c r="H117" t="s">
        <v>22</v>
      </c>
      <c r="I117" s="3">
        <v>44.999999999999993</v>
      </c>
      <c r="J117" s="2">
        <v>175</v>
      </c>
      <c r="K117" s="3">
        <f t="shared" si="1"/>
        <v>7874.9999999999991</v>
      </c>
      <c r="L117" s="3">
        <v>5118.7499999999991</v>
      </c>
    </row>
    <row r="118" spans="1:12" x14ac:dyDescent="0.25">
      <c r="A118" t="s">
        <v>26</v>
      </c>
      <c r="B118">
        <v>1185732</v>
      </c>
      <c r="C118" s="1">
        <v>44205</v>
      </c>
      <c r="D118" t="s">
        <v>57</v>
      </c>
      <c r="E118" t="s">
        <v>74</v>
      </c>
      <c r="F118" t="s">
        <v>75</v>
      </c>
      <c r="G118" t="s">
        <v>41</v>
      </c>
      <c r="H118" t="s">
        <v>16</v>
      </c>
      <c r="I118" s="3">
        <v>35</v>
      </c>
      <c r="J118" s="2">
        <v>275</v>
      </c>
      <c r="K118" s="3">
        <f t="shared" si="1"/>
        <v>9625</v>
      </c>
      <c r="L118" s="3">
        <v>5775</v>
      </c>
    </row>
    <row r="119" spans="1:12" x14ac:dyDescent="0.25">
      <c r="A119" t="s">
        <v>27</v>
      </c>
      <c r="B119">
        <v>1189833</v>
      </c>
      <c r="C119" s="1">
        <v>44205</v>
      </c>
      <c r="D119" t="s">
        <v>57</v>
      </c>
      <c r="E119" t="s">
        <v>58</v>
      </c>
      <c r="F119" t="s">
        <v>59</v>
      </c>
      <c r="G119" t="s">
        <v>15</v>
      </c>
      <c r="H119" t="s">
        <v>38</v>
      </c>
      <c r="I119" s="3">
        <v>35</v>
      </c>
      <c r="J119" s="2">
        <v>575</v>
      </c>
      <c r="K119" s="3">
        <f t="shared" si="1"/>
        <v>20125</v>
      </c>
      <c r="L119" s="3">
        <v>11068.75</v>
      </c>
    </row>
    <row r="120" spans="1:12" x14ac:dyDescent="0.25">
      <c r="A120" t="s">
        <v>19</v>
      </c>
      <c r="B120">
        <v>1185732</v>
      </c>
      <c r="C120" s="1">
        <v>44205</v>
      </c>
      <c r="D120" t="s">
        <v>32</v>
      </c>
      <c r="E120" t="s">
        <v>44</v>
      </c>
      <c r="F120" t="s">
        <v>45</v>
      </c>
      <c r="G120" t="s">
        <v>41</v>
      </c>
      <c r="H120" t="s">
        <v>38</v>
      </c>
      <c r="I120" s="3">
        <v>40</v>
      </c>
      <c r="J120" s="2">
        <v>1025</v>
      </c>
      <c r="K120" s="3">
        <f t="shared" si="1"/>
        <v>41000</v>
      </c>
      <c r="L120" s="3">
        <v>22550</v>
      </c>
    </row>
    <row r="121" spans="1:12" x14ac:dyDescent="0.25">
      <c r="A121" t="s">
        <v>19</v>
      </c>
      <c r="B121">
        <v>1185732</v>
      </c>
      <c r="C121" s="1">
        <v>44205</v>
      </c>
      <c r="D121" t="s">
        <v>32</v>
      </c>
      <c r="E121" t="s">
        <v>44</v>
      </c>
      <c r="F121" t="s">
        <v>45</v>
      </c>
      <c r="G121" t="s">
        <v>41</v>
      </c>
      <c r="H121" t="s">
        <v>16</v>
      </c>
      <c r="I121" s="3">
        <v>40</v>
      </c>
      <c r="J121" s="2">
        <v>825</v>
      </c>
      <c r="K121" s="3">
        <f t="shared" si="1"/>
        <v>33000</v>
      </c>
      <c r="L121" s="3">
        <v>16500</v>
      </c>
    </row>
    <row r="122" spans="1:12" x14ac:dyDescent="0.25">
      <c r="A122" t="s">
        <v>19</v>
      </c>
      <c r="B122">
        <v>1185732</v>
      </c>
      <c r="C122" s="1">
        <v>44205</v>
      </c>
      <c r="D122" t="s">
        <v>32</v>
      </c>
      <c r="E122" t="s">
        <v>44</v>
      </c>
      <c r="F122" t="s">
        <v>45</v>
      </c>
      <c r="G122" t="s">
        <v>15</v>
      </c>
      <c r="H122" t="s">
        <v>35</v>
      </c>
      <c r="I122" s="3">
        <v>24</v>
      </c>
      <c r="J122" s="2">
        <v>264</v>
      </c>
      <c r="K122" s="3">
        <f t="shared" si="1"/>
        <v>6336</v>
      </c>
      <c r="L122" s="3">
        <v>4308.4799999999996</v>
      </c>
    </row>
    <row r="123" spans="1:12" x14ac:dyDescent="0.25">
      <c r="A123" t="s">
        <v>19</v>
      </c>
      <c r="B123">
        <v>1185732</v>
      </c>
      <c r="C123" s="1">
        <v>44205</v>
      </c>
      <c r="D123" t="s">
        <v>32</v>
      </c>
      <c r="E123" t="s">
        <v>44</v>
      </c>
      <c r="F123" t="s">
        <v>45</v>
      </c>
      <c r="G123" t="s">
        <v>15</v>
      </c>
      <c r="H123" t="s">
        <v>37</v>
      </c>
      <c r="I123" s="3">
        <v>25</v>
      </c>
      <c r="J123" s="2">
        <v>209</v>
      </c>
      <c r="K123" s="3">
        <f t="shared" si="1"/>
        <v>5225</v>
      </c>
      <c r="L123" s="3">
        <v>3396.25</v>
      </c>
    </row>
    <row r="124" spans="1:12" x14ac:dyDescent="0.25">
      <c r="A124" t="s">
        <v>19</v>
      </c>
      <c r="B124">
        <v>1185732</v>
      </c>
      <c r="C124" s="1">
        <v>44205</v>
      </c>
      <c r="D124" t="s">
        <v>32</v>
      </c>
      <c r="E124" t="s">
        <v>44</v>
      </c>
      <c r="F124" t="s">
        <v>45</v>
      </c>
      <c r="G124" t="s">
        <v>15</v>
      </c>
      <c r="H124" t="s">
        <v>22</v>
      </c>
      <c r="I124" s="3">
        <v>35</v>
      </c>
      <c r="J124" s="2">
        <v>247</v>
      </c>
      <c r="K124" s="3">
        <f t="shared" si="1"/>
        <v>8645</v>
      </c>
      <c r="L124" s="3">
        <v>5273.4500000000007</v>
      </c>
    </row>
    <row r="125" spans="1:12" x14ac:dyDescent="0.25">
      <c r="A125" t="s">
        <v>19</v>
      </c>
      <c r="B125">
        <v>1185732</v>
      </c>
      <c r="C125" s="1">
        <v>44205</v>
      </c>
      <c r="D125" t="s">
        <v>32</v>
      </c>
      <c r="E125" t="s">
        <v>44</v>
      </c>
      <c r="F125" t="s">
        <v>45</v>
      </c>
      <c r="G125" t="s">
        <v>41</v>
      </c>
      <c r="H125" t="s">
        <v>35</v>
      </c>
      <c r="I125" s="3">
        <v>29</v>
      </c>
      <c r="J125" s="2">
        <v>248</v>
      </c>
      <c r="K125" s="3">
        <f t="shared" si="1"/>
        <v>7192</v>
      </c>
      <c r="L125" s="3">
        <v>4387.12</v>
      </c>
    </row>
    <row r="126" spans="1:12" x14ac:dyDescent="0.25">
      <c r="A126" t="s">
        <v>26</v>
      </c>
      <c r="B126">
        <v>1185732</v>
      </c>
      <c r="C126" s="1">
        <v>44205</v>
      </c>
      <c r="D126" t="s">
        <v>57</v>
      </c>
      <c r="E126" t="s">
        <v>74</v>
      </c>
      <c r="F126" t="s">
        <v>75</v>
      </c>
      <c r="G126" t="s">
        <v>41</v>
      </c>
      <c r="H126" t="s">
        <v>35</v>
      </c>
      <c r="I126" s="3">
        <v>25</v>
      </c>
      <c r="J126" s="2">
        <v>74</v>
      </c>
      <c r="K126" s="3">
        <f t="shared" si="1"/>
        <v>1850</v>
      </c>
      <c r="L126" s="3">
        <v>1110</v>
      </c>
    </row>
    <row r="127" spans="1:12" x14ac:dyDescent="0.25">
      <c r="A127" t="s">
        <v>19</v>
      </c>
      <c r="B127">
        <v>1185732</v>
      </c>
      <c r="C127" s="1">
        <v>44205</v>
      </c>
      <c r="D127" t="s">
        <v>32</v>
      </c>
      <c r="E127" t="s">
        <v>44</v>
      </c>
      <c r="F127" t="s">
        <v>45</v>
      </c>
      <c r="G127" t="s">
        <v>15</v>
      </c>
      <c r="H127" t="s">
        <v>17</v>
      </c>
      <c r="I127" s="3">
        <v>30</v>
      </c>
      <c r="J127" s="2">
        <v>256</v>
      </c>
      <c r="K127" s="3">
        <f t="shared" si="1"/>
        <v>7680</v>
      </c>
      <c r="L127" s="3">
        <v>4608</v>
      </c>
    </row>
    <row r="128" spans="1:12" x14ac:dyDescent="0.25">
      <c r="A128" t="s">
        <v>11</v>
      </c>
      <c r="B128">
        <v>1128299</v>
      </c>
      <c r="C128" s="1">
        <v>44205</v>
      </c>
      <c r="D128" t="s">
        <v>12</v>
      </c>
      <c r="E128" t="s">
        <v>13</v>
      </c>
      <c r="F128" t="s">
        <v>14</v>
      </c>
      <c r="G128" t="s">
        <v>15</v>
      </c>
      <c r="H128" t="s">
        <v>37</v>
      </c>
      <c r="I128" s="3">
        <v>41</v>
      </c>
      <c r="J128" s="2">
        <v>224</v>
      </c>
      <c r="K128" s="3">
        <f t="shared" si="1"/>
        <v>9184</v>
      </c>
      <c r="L128" s="3">
        <v>5418.56</v>
      </c>
    </row>
    <row r="129" spans="1:12" x14ac:dyDescent="0.25">
      <c r="A129" t="s">
        <v>19</v>
      </c>
      <c r="B129">
        <v>1185732</v>
      </c>
      <c r="C129" s="1">
        <v>44205</v>
      </c>
      <c r="D129" t="s">
        <v>32</v>
      </c>
      <c r="E129" t="s">
        <v>44</v>
      </c>
      <c r="F129" t="s">
        <v>45</v>
      </c>
      <c r="G129" t="s">
        <v>41</v>
      </c>
      <c r="H129" t="s">
        <v>37</v>
      </c>
      <c r="I129" s="3">
        <v>34</v>
      </c>
      <c r="J129" s="2">
        <v>203</v>
      </c>
      <c r="K129" s="3">
        <f t="shared" si="1"/>
        <v>6902</v>
      </c>
      <c r="L129" s="3">
        <v>3865.12</v>
      </c>
    </row>
    <row r="130" spans="1:12" x14ac:dyDescent="0.25">
      <c r="A130" t="s">
        <v>26</v>
      </c>
      <c r="B130">
        <v>1185732</v>
      </c>
      <c r="C130" s="1">
        <v>44205</v>
      </c>
      <c r="D130" t="s">
        <v>57</v>
      </c>
      <c r="E130" t="s">
        <v>74</v>
      </c>
      <c r="F130" t="s">
        <v>75</v>
      </c>
      <c r="G130" t="s">
        <v>41</v>
      </c>
      <c r="H130" t="s">
        <v>17</v>
      </c>
      <c r="I130" s="3">
        <v>32</v>
      </c>
      <c r="J130" s="2">
        <v>74</v>
      </c>
      <c r="K130" s="3">
        <f t="shared" si="1"/>
        <v>2368</v>
      </c>
      <c r="L130" s="3">
        <v>1326.08</v>
      </c>
    </row>
    <row r="131" spans="1:12" x14ac:dyDescent="0.25">
      <c r="A131" t="s">
        <v>19</v>
      </c>
      <c r="B131">
        <v>1185732</v>
      </c>
      <c r="C131" s="1">
        <v>44205</v>
      </c>
      <c r="D131" t="s">
        <v>32</v>
      </c>
      <c r="E131" t="s">
        <v>44</v>
      </c>
      <c r="F131" t="s">
        <v>45</v>
      </c>
      <c r="G131" t="s">
        <v>41</v>
      </c>
      <c r="H131" t="s">
        <v>17</v>
      </c>
      <c r="I131" s="3">
        <v>37</v>
      </c>
      <c r="J131" s="2">
        <v>206</v>
      </c>
      <c r="K131" s="3">
        <f t="shared" ref="K131:K194" si="2">I131*J131</f>
        <v>7622</v>
      </c>
      <c r="L131" s="3">
        <v>4192.1000000000004</v>
      </c>
    </row>
    <row r="132" spans="1:12" x14ac:dyDescent="0.25">
      <c r="A132" t="s">
        <v>26</v>
      </c>
      <c r="B132">
        <v>1185732</v>
      </c>
      <c r="C132" s="1">
        <v>44205</v>
      </c>
      <c r="D132" t="s">
        <v>57</v>
      </c>
      <c r="E132" t="s">
        <v>74</v>
      </c>
      <c r="F132" t="s">
        <v>75</v>
      </c>
      <c r="G132" t="s">
        <v>41</v>
      </c>
      <c r="H132" t="s">
        <v>38</v>
      </c>
      <c r="I132" s="3">
        <v>33</v>
      </c>
      <c r="J132" s="2">
        <v>128</v>
      </c>
      <c r="K132" s="3">
        <f t="shared" si="2"/>
        <v>4224</v>
      </c>
      <c r="L132" s="3">
        <v>2323.2000000000003</v>
      </c>
    </row>
    <row r="133" spans="1:12" x14ac:dyDescent="0.25">
      <c r="A133" t="s">
        <v>26</v>
      </c>
      <c r="B133">
        <v>1185732</v>
      </c>
      <c r="C133" s="1">
        <v>44205</v>
      </c>
      <c r="D133" t="s">
        <v>57</v>
      </c>
      <c r="E133" t="s">
        <v>74</v>
      </c>
      <c r="F133" t="s">
        <v>75</v>
      </c>
      <c r="G133" t="s">
        <v>41</v>
      </c>
      <c r="H133" t="s">
        <v>37</v>
      </c>
      <c r="I133" s="3">
        <v>28</v>
      </c>
      <c r="J133" s="2">
        <v>33</v>
      </c>
      <c r="K133" s="3">
        <f t="shared" si="2"/>
        <v>924</v>
      </c>
      <c r="L133" s="3">
        <v>508.20000000000005</v>
      </c>
    </row>
    <row r="134" spans="1:12" x14ac:dyDescent="0.25">
      <c r="A134" t="s">
        <v>19</v>
      </c>
      <c r="B134">
        <v>1185732</v>
      </c>
      <c r="C134" s="1">
        <v>44205</v>
      </c>
      <c r="D134" t="s">
        <v>32</v>
      </c>
      <c r="E134" t="s">
        <v>44</v>
      </c>
      <c r="F134" t="s">
        <v>45</v>
      </c>
      <c r="G134" t="s">
        <v>41</v>
      </c>
      <c r="H134" t="s">
        <v>22</v>
      </c>
      <c r="I134" s="3">
        <v>47</v>
      </c>
      <c r="J134" s="2">
        <v>189</v>
      </c>
      <c r="K134" s="3">
        <f t="shared" si="2"/>
        <v>8883</v>
      </c>
      <c r="L134" s="3">
        <v>4707.99</v>
      </c>
    </row>
    <row r="135" spans="1:12" x14ac:dyDescent="0.25">
      <c r="A135" t="s">
        <v>19</v>
      </c>
      <c r="B135">
        <v>1185732</v>
      </c>
      <c r="C135" s="1">
        <v>44205</v>
      </c>
      <c r="D135" t="s">
        <v>32</v>
      </c>
      <c r="E135" t="s">
        <v>44</v>
      </c>
      <c r="F135" t="s">
        <v>45</v>
      </c>
      <c r="G135" t="s">
        <v>15</v>
      </c>
      <c r="H135" t="s">
        <v>38</v>
      </c>
      <c r="I135" s="3">
        <v>26</v>
      </c>
      <c r="J135" s="2">
        <v>349</v>
      </c>
      <c r="K135" s="3">
        <f t="shared" si="2"/>
        <v>9074</v>
      </c>
      <c r="L135" s="3">
        <v>4809.2199999999993</v>
      </c>
    </row>
    <row r="136" spans="1:12" x14ac:dyDescent="0.25">
      <c r="A136" t="s">
        <v>11</v>
      </c>
      <c r="B136">
        <v>1128299</v>
      </c>
      <c r="C136" s="1">
        <v>44205</v>
      </c>
      <c r="D136" t="s">
        <v>12</v>
      </c>
      <c r="E136" t="s">
        <v>13</v>
      </c>
      <c r="F136" t="s">
        <v>14</v>
      </c>
      <c r="G136" t="s">
        <v>41</v>
      </c>
      <c r="H136" t="s">
        <v>37</v>
      </c>
      <c r="I136" s="3">
        <v>59</v>
      </c>
      <c r="J136" s="2">
        <v>210</v>
      </c>
      <c r="K136" s="3">
        <f t="shared" si="2"/>
        <v>12390</v>
      </c>
      <c r="L136" s="3">
        <v>6318.9000000000005</v>
      </c>
    </row>
    <row r="137" spans="1:12" x14ac:dyDescent="0.25">
      <c r="A137" t="s">
        <v>26</v>
      </c>
      <c r="B137">
        <v>1185732</v>
      </c>
      <c r="C137" s="1">
        <v>44205</v>
      </c>
      <c r="D137" t="s">
        <v>57</v>
      </c>
      <c r="E137" t="s">
        <v>74</v>
      </c>
      <c r="F137" t="s">
        <v>75</v>
      </c>
      <c r="G137" t="s">
        <v>41</v>
      </c>
      <c r="H137" t="s">
        <v>22</v>
      </c>
      <c r="I137" s="3">
        <v>43</v>
      </c>
      <c r="J137" s="2">
        <v>49</v>
      </c>
      <c r="K137" s="3">
        <f t="shared" si="2"/>
        <v>2107</v>
      </c>
      <c r="L137" s="3">
        <v>1074.57</v>
      </c>
    </row>
    <row r="138" spans="1:12" x14ac:dyDescent="0.25">
      <c r="A138" t="s">
        <v>26</v>
      </c>
      <c r="B138">
        <v>1185732</v>
      </c>
      <c r="C138" s="1">
        <v>44205</v>
      </c>
      <c r="D138" t="s">
        <v>57</v>
      </c>
      <c r="E138" t="s">
        <v>74</v>
      </c>
      <c r="F138" t="s">
        <v>75</v>
      </c>
      <c r="G138" t="s">
        <v>41</v>
      </c>
      <c r="H138" t="s">
        <v>16</v>
      </c>
      <c r="I138" s="3">
        <v>33</v>
      </c>
      <c r="J138" s="2">
        <v>72</v>
      </c>
      <c r="K138" s="3">
        <f t="shared" si="2"/>
        <v>2376</v>
      </c>
      <c r="L138" s="3">
        <v>1164.24</v>
      </c>
    </row>
    <row r="139" spans="1:12" x14ac:dyDescent="0.25">
      <c r="A139" t="s">
        <v>19</v>
      </c>
      <c r="B139">
        <v>1185732</v>
      </c>
      <c r="C139" s="1">
        <v>44205</v>
      </c>
      <c r="D139" t="s">
        <v>32</v>
      </c>
      <c r="E139" t="s">
        <v>44</v>
      </c>
      <c r="F139" t="s">
        <v>45</v>
      </c>
      <c r="G139" t="s">
        <v>15</v>
      </c>
      <c r="H139" t="s">
        <v>16</v>
      </c>
      <c r="I139" s="3">
        <v>30</v>
      </c>
      <c r="J139" s="2">
        <v>281</v>
      </c>
      <c r="K139" s="3">
        <f t="shared" si="2"/>
        <v>8430</v>
      </c>
      <c r="L139" s="3">
        <v>3962.0999999999995</v>
      </c>
    </row>
    <row r="140" spans="1:12" x14ac:dyDescent="0.25">
      <c r="A140" t="s">
        <v>27</v>
      </c>
      <c r="B140">
        <v>1189833</v>
      </c>
      <c r="C140" s="1">
        <v>44205</v>
      </c>
      <c r="D140" t="s">
        <v>57</v>
      </c>
      <c r="E140" t="s">
        <v>58</v>
      </c>
      <c r="F140" t="s">
        <v>59</v>
      </c>
      <c r="G140" t="s">
        <v>41</v>
      </c>
      <c r="H140" t="s">
        <v>38</v>
      </c>
      <c r="I140" s="3">
        <v>32</v>
      </c>
      <c r="J140" s="2">
        <v>173</v>
      </c>
      <c r="K140" s="3">
        <f t="shared" si="2"/>
        <v>5536</v>
      </c>
      <c r="L140" s="3">
        <v>2491.1999999999998</v>
      </c>
    </row>
    <row r="141" spans="1:12" x14ac:dyDescent="0.25">
      <c r="A141" t="s">
        <v>19</v>
      </c>
      <c r="B141">
        <v>1185732</v>
      </c>
      <c r="C141" s="1">
        <v>44205</v>
      </c>
      <c r="D141" t="s">
        <v>32</v>
      </c>
      <c r="E141" t="s">
        <v>44</v>
      </c>
      <c r="F141" t="s">
        <v>45</v>
      </c>
      <c r="G141" t="s">
        <v>41</v>
      </c>
      <c r="H141" t="s">
        <v>38</v>
      </c>
      <c r="I141" s="3">
        <v>39</v>
      </c>
      <c r="J141" s="2">
        <v>256</v>
      </c>
      <c r="K141" s="3">
        <f t="shared" si="2"/>
        <v>9984</v>
      </c>
      <c r="L141" s="3">
        <v>4193.2799999999988</v>
      </c>
    </row>
    <row r="142" spans="1:12" x14ac:dyDescent="0.25">
      <c r="A142" t="s">
        <v>19</v>
      </c>
      <c r="B142">
        <v>1185732</v>
      </c>
      <c r="C142" s="1">
        <v>44205</v>
      </c>
      <c r="D142" t="s">
        <v>32</v>
      </c>
      <c r="E142" t="s">
        <v>44</v>
      </c>
      <c r="F142" t="s">
        <v>45</v>
      </c>
      <c r="G142" t="s">
        <v>41</v>
      </c>
      <c r="H142" t="s">
        <v>16</v>
      </c>
      <c r="I142" s="3">
        <v>37</v>
      </c>
      <c r="J142" s="2">
        <v>239</v>
      </c>
      <c r="K142" s="3">
        <f t="shared" si="2"/>
        <v>8843</v>
      </c>
      <c r="L142" s="3">
        <v>3537.2</v>
      </c>
    </row>
    <row r="143" spans="1:12" x14ac:dyDescent="0.25">
      <c r="A143" t="s">
        <v>19</v>
      </c>
      <c r="B143">
        <v>1128299</v>
      </c>
      <c r="C143" s="1">
        <v>44206</v>
      </c>
      <c r="D143" t="s">
        <v>12</v>
      </c>
      <c r="E143" t="s">
        <v>24</v>
      </c>
      <c r="F143" t="s">
        <v>25</v>
      </c>
      <c r="G143" t="s">
        <v>15</v>
      </c>
      <c r="H143" t="s">
        <v>22</v>
      </c>
      <c r="I143" s="3">
        <v>50</v>
      </c>
      <c r="J143" s="2">
        <v>175</v>
      </c>
      <c r="K143" s="3">
        <f t="shared" si="2"/>
        <v>8750</v>
      </c>
      <c r="L143" s="3">
        <v>7437.5</v>
      </c>
    </row>
    <row r="144" spans="1:12" x14ac:dyDescent="0.25">
      <c r="A144" t="s">
        <v>11</v>
      </c>
      <c r="B144">
        <v>1128299</v>
      </c>
      <c r="C144" s="1">
        <v>44206</v>
      </c>
      <c r="D144" t="s">
        <v>29</v>
      </c>
      <c r="E144" t="s">
        <v>30</v>
      </c>
      <c r="F144" t="s">
        <v>31</v>
      </c>
      <c r="G144" t="s">
        <v>15</v>
      </c>
      <c r="H144" t="s">
        <v>17</v>
      </c>
      <c r="I144" s="3">
        <v>45</v>
      </c>
      <c r="J144" s="2">
        <v>375</v>
      </c>
      <c r="K144" s="3">
        <f t="shared" si="2"/>
        <v>16875</v>
      </c>
      <c r="L144" s="3">
        <v>13500</v>
      </c>
    </row>
    <row r="145" spans="1:12" x14ac:dyDescent="0.25">
      <c r="A145" t="s">
        <v>19</v>
      </c>
      <c r="B145">
        <v>1128299</v>
      </c>
      <c r="C145" s="1">
        <v>44206</v>
      </c>
      <c r="D145" t="s">
        <v>12</v>
      </c>
      <c r="E145" t="s">
        <v>24</v>
      </c>
      <c r="F145" t="s">
        <v>25</v>
      </c>
      <c r="G145" t="s">
        <v>15</v>
      </c>
      <c r="H145" t="s">
        <v>17</v>
      </c>
      <c r="I145" s="3">
        <v>45</v>
      </c>
      <c r="J145" s="2">
        <v>375</v>
      </c>
      <c r="K145" s="3">
        <f t="shared" si="2"/>
        <v>16875</v>
      </c>
      <c r="L145" s="3">
        <v>13500</v>
      </c>
    </row>
    <row r="146" spans="1:12" x14ac:dyDescent="0.25">
      <c r="A146" t="s">
        <v>11</v>
      </c>
      <c r="B146">
        <v>1128299</v>
      </c>
      <c r="C146" s="1">
        <v>44206</v>
      </c>
      <c r="D146" t="s">
        <v>29</v>
      </c>
      <c r="E146" t="s">
        <v>30</v>
      </c>
      <c r="F146" t="s">
        <v>31</v>
      </c>
      <c r="G146" t="s">
        <v>15</v>
      </c>
      <c r="H146" t="s">
        <v>38</v>
      </c>
      <c r="I146" s="3">
        <v>35</v>
      </c>
      <c r="J146" s="2">
        <v>375</v>
      </c>
      <c r="K146" s="3">
        <f t="shared" si="2"/>
        <v>13125</v>
      </c>
      <c r="L146" s="3">
        <v>9843.75</v>
      </c>
    </row>
    <row r="147" spans="1:12" x14ac:dyDescent="0.25">
      <c r="A147" t="s">
        <v>11</v>
      </c>
      <c r="B147">
        <v>1128299</v>
      </c>
      <c r="C147" s="1">
        <v>44206</v>
      </c>
      <c r="D147" t="s">
        <v>29</v>
      </c>
      <c r="E147" t="s">
        <v>30</v>
      </c>
      <c r="F147" t="s">
        <v>31</v>
      </c>
      <c r="G147" t="s">
        <v>15</v>
      </c>
      <c r="H147" t="s">
        <v>35</v>
      </c>
      <c r="I147" s="3">
        <v>45</v>
      </c>
      <c r="J147" s="2">
        <v>375</v>
      </c>
      <c r="K147" s="3">
        <f t="shared" si="2"/>
        <v>16875</v>
      </c>
      <c r="L147" s="3">
        <v>12656.25</v>
      </c>
    </row>
    <row r="148" spans="1:12" x14ac:dyDescent="0.25">
      <c r="A148" t="s">
        <v>11</v>
      </c>
      <c r="B148">
        <v>1128299</v>
      </c>
      <c r="C148" s="1">
        <v>44206</v>
      </c>
      <c r="D148" t="s">
        <v>29</v>
      </c>
      <c r="E148" t="s">
        <v>30</v>
      </c>
      <c r="F148" t="s">
        <v>31</v>
      </c>
      <c r="G148" t="s">
        <v>15</v>
      </c>
      <c r="H148" t="s">
        <v>37</v>
      </c>
      <c r="I148" s="3">
        <v>45</v>
      </c>
      <c r="J148" s="2">
        <v>225</v>
      </c>
      <c r="K148" s="3">
        <f t="shared" si="2"/>
        <v>10125</v>
      </c>
      <c r="L148" s="3">
        <v>7593.75</v>
      </c>
    </row>
    <row r="149" spans="1:12" x14ac:dyDescent="0.25">
      <c r="A149" t="s">
        <v>19</v>
      </c>
      <c r="B149">
        <v>1128299</v>
      </c>
      <c r="C149" s="1">
        <v>44206</v>
      </c>
      <c r="D149" t="s">
        <v>12</v>
      </c>
      <c r="E149" t="s">
        <v>24</v>
      </c>
      <c r="F149" t="s">
        <v>25</v>
      </c>
      <c r="G149" t="s">
        <v>15</v>
      </c>
      <c r="H149" t="s">
        <v>38</v>
      </c>
      <c r="I149" s="3">
        <v>35</v>
      </c>
      <c r="J149" s="2">
        <v>375</v>
      </c>
      <c r="K149" s="3">
        <f t="shared" si="2"/>
        <v>13125</v>
      </c>
      <c r="L149" s="3">
        <v>9843.75</v>
      </c>
    </row>
    <row r="150" spans="1:12" x14ac:dyDescent="0.25">
      <c r="A150" t="s">
        <v>19</v>
      </c>
      <c r="B150">
        <v>1128299</v>
      </c>
      <c r="C150" s="1">
        <v>44206</v>
      </c>
      <c r="D150" t="s">
        <v>12</v>
      </c>
      <c r="E150" t="s">
        <v>24</v>
      </c>
      <c r="F150" t="s">
        <v>25</v>
      </c>
      <c r="G150" t="s">
        <v>15</v>
      </c>
      <c r="H150" t="s">
        <v>35</v>
      </c>
      <c r="I150" s="3">
        <v>45</v>
      </c>
      <c r="J150" s="2">
        <v>375</v>
      </c>
      <c r="K150" s="3">
        <f t="shared" si="2"/>
        <v>16875</v>
      </c>
      <c r="L150" s="3">
        <v>12656.25</v>
      </c>
    </row>
    <row r="151" spans="1:12" x14ac:dyDescent="0.25">
      <c r="A151" t="s">
        <v>19</v>
      </c>
      <c r="B151">
        <v>1128299</v>
      </c>
      <c r="C151" s="1">
        <v>44206</v>
      </c>
      <c r="D151" t="s">
        <v>12</v>
      </c>
      <c r="E151" t="s">
        <v>24</v>
      </c>
      <c r="F151" t="s">
        <v>25</v>
      </c>
      <c r="G151" t="s">
        <v>15</v>
      </c>
      <c r="H151" t="s">
        <v>37</v>
      </c>
      <c r="I151" s="3">
        <v>45</v>
      </c>
      <c r="J151" s="2">
        <v>225</v>
      </c>
      <c r="K151" s="3">
        <f t="shared" si="2"/>
        <v>10125</v>
      </c>
      <c r="L151" s="3">
        <v>7593.75</v>
      </c>
    </row>
    <row r="152" spans="1:12" x14ac:dyDescent="0.25">
      <c r="A152" t="s">
        <v>27</v>
      </c>
      <c r="B152">
        <v>1189833</v>
      </c>
      <c r="C152" s="1">
        <v>44206</v>
      </c>
      <c r="D152" t="s">
        <v>57</v>
      </c>
      <c r="E152" t="s">
        <v>58</v>
      </c>
      <c r="F152" t="s">
        <v>59</v>
      </c>
      <c r="G152" t="s">
        <v>15</v>
      </c>
      <c r="H152" t="s">
        <v>17</v>
      </c>
      <c r="I152" s="3">
        <v>45</v>
      </c>
      <c r="J152" s="2">
        <v>425</v>
      </c>
      <c r="K152" s="3">
        <f t="shared" si="2"/>
        <v>19125</v>
      </c>
      <c r="L152" s="3">
        <v>13387.5</v>
      </c>
    </row>
    <row r="153" spans="1:12" x14ac:dyDescent="0.25">
      <c r="A153" t="s">
        <v>11</v>
      </c>
      <c r="B153">
        <v>1185732</v>
      </c>
      <c r="C153" s="1">
        <v>44206</v>
      </c>
      <c r="D153" t="s">
        <v>57</v>
      </c>
      <c r="E153" t="s">
        <v>85</v>
      </c>
      <c r="F153" t="s">
        <v>86</v>
      </c>
      <c r="G153" t="s">
        <v>18</v>
      </c>
      <c r="H153" t="s">
        <v>22</v>
      </c>
      <c r="I153" s="3">
        <v>44.999999999999993</v>
      </c>
      <c r="J153" s="2">
        <v>200</v>
      </c>
      <c r="K153" s="3">
        <f t="shared" si="2"/>
        <v>8999.9999999999982</v>
      </c>
      <c r="L153" s="3">
        <v>6299.9999999999982</v>
      </c>
    </row>
    <row r="154" spans="1:12" x14ac:dyDescent="0.25">
      <c r="A154" t="s">
        <v>27</v>
      </c>
      <c r="B154">
        <v>1185732</v>
      </c>
      <c r="C154" s="1">
        <v>44206</v>
      </c>
      <c r="D154" t="s">
        <v>29</v>
      </c>
      <c r="E154" t="s">
        <v>89</v>
      </c>
      <c r="F154" t="s">
        <v>90</v>
      </c>
      <c r="G154" t="s">
        <v>18</v>
      </c>
      <c r="H154" t="s">
        <v>22</v>
      </c>
      <c r="I154" s="3">
        <v>45</v>
      </c>
      <c r="J154" s="2">
        <v>175</v>
      </c>
      <c r="K154" s="3">
        <f t="shared" si="2"/>
        <v>7875</v>
      </c>
      <c r="L154" s="3">
        <v>5512.5</v>
      </c>
    </row>
    <row r="155" spans="1:12" x14ac:dyDescent="0.25">
      <c r="A155" t="s">
        <v>19</v>
      </c>
      <c r="B155">
        <v>1185732</v>
      </c>
      <c r="C155" s="1">
        <v>44206</v>
      </c>
      <c r="D155" t="s">
        <v>29</v>
      </c>
      <c r="E155" t="s">
        <v>93</v>
      </c>
      <c r="F155" t="s">
        <v>94</v>
      </c>
      <c r="G155" t="s">
        <v>18</v>
      </c>
      <c r="H155" t="s">
        <v>22</v>
      </c>
      <c r="I155" s="3">
        <v>45</v>
      </c>
      <c r="J155" s="2">
        <v>125</v>
      </c>
      <c r="K155" s="3">
        <f t="shared" si="2"/>
        <v>5625</v>
      </c>
      <c r="L155" s="3">
        <v>3937.5</v>
      </c>
    </row>
    <row r="156" spans="1:12" x14ac:dyDescent="0.25">
      <c r="A156" t="s">
        <v>11</v>
      </c>
      <c r="B156">
        <v>1185732</v>
      </c>
      <c r="C156" s="1">
        <v>44206</v>
      </c>
      <c r="D156" t="s">
        <v>57</v>
      </c>
      <c r="E156" t="s">
        <v>85</v>
      </c>
      <c r="F156" t="s">
        <v>86</v>
      </c>
      <c r="G156" t="s">
        <v>18</v>
      </c>
      <c r="H156" t="s">
        <v>35</v>
      </c>
      <c r="I156" s="3">
        <v>25.000000000000007</v>
      </c>
      <c r="J156" s="2">
        <v>300</v>
      </c>
      <c r="K156" s="3">
        <f t="shared" si="2"/>
        <v>7500.0000000000018</v>
      </c>
      <c r="L156" s="3">
        <v>4875.0000000000018</v>
      </c>
    </row>
    <row r="157" spans="1:12" x14ac:dyDescent="0.25">
      <c r="A157" t="s">
        <v>11</v>
      </c>
      <c r="B157">
        <v>1185732</v>
      </c>
      <c r="C157" s="1">
        <v>44206</v>
      </c>
      <c r="D157" t="s">
        <v>57</v>
      </c>
      <c r="E157" t="s">
        <v>85</v>
      </c>
      <c r="F157" t="s">
        <v>86</v>
      </c>
      <c r="G157" t="s">
        <v>18</v>
      </c>
      <c r="H157" t="s">
        <v>37</v>
      </c>
      <c r="I157" s="3">
        <v>30.000000000000004</v>
      </c>
      <c r="J157" s="2">
        <v>150</v>
      </c>
      <c r="K157" s="3">
        <f t="shared" si="2"/>
        <v>4500.0000000000009</v>
      </c>
      <c r="L157" s="3">
        <v>2925.0000000000009</v>
      </c>
    </row>
    <row r="158" spans="1:12" x14ac:dyDescent="0.25">
      <c r="A158" t="s">
        <v>27</v>
      </c>
      <c r="B158">
        <v>1185732</v>
      </c>
      <c r="C158" s="1">
        <v>44206</v>
      </c>
      <c r="D158" t="s">
        <v>29</v>
      </c>
      <c r="E158" t="s">
        <v>89</v>
      </c>
      <c r="F158" t="s">
        <v>90</v>
      </c>
      <c r="G158" t="s">
        <v>18</v>
      </c>
      <c r="H158" t="s">
        <v>38</v>
      </c>
      <c r="I158" s="3">
        <v>35</v>
      </c>
      <c r="J158" s="2">
        <v>475</v>
      </c>
      <c r="K158" s="3">
        <f t="shared" si="2"/>
        <v>16625</v>
      </c>
      <c r="L158" s="3">
        <v>10806.25</v>
      </c>
    </row>
    <row r="159" spans="1:12" x14ac:dyDescent="0.25">
      <c r="A159" t="s">
        <v>27</v>
      </c>
      <c r="B159">
        <v>1185732</v>
      </c>
      <c r="C159" s="1">
        <v>44206</v>
      </c>
      <c r="D159" t="s">
        <v>29</v>
      </c>
      <c r="E159" t="s">
        <v>89</v>
      </c>
      <c r="F159" t="s">
        <v>90</v>
      </c>
      <c r="G159" t="s">
        <v>18</v>
      </c>
      <c r="H159" t="s">
        <v>17</v>
      </c>
      <c r="I159" s="3">
        <v>35</v>
      </c>
      <c r="J159" s="2">
        <v>275</v>
      </c>
      <c r="K159" s="3">
        <f t="shared" si="2"/>
        <v>9625</v>
      </c>
      <c r="L159" s="3">
        <v>6256.25</v>
      </c>
    </row>
    <row r="160" spans="1:12" x14ac:dyDescent="0.25">
      <c r="A160" t="s">
        <v>19</v>
      </c>
      <c r="B160">
        <v>1185732</v>
      </c>
      <c r="C160" s="1">
        <v>44206</v>
      </c>
      <c r="D160" t="s">
        <v>29</v>
      </c>
      <c r="E160" t="s">
        <v>93</v>
      </c>
      <c r="F160" t="s">
        <v>94</v>
      </c>
      <c r="G160" t="s">
        <v>18</v>
      </c>
      <c r="H160" t="s">
        <v>38</v>
      </c>
      <c r="I160" s="3">
        <v>35</v>
      </c>
      <c r="J160" s="2">
        <v>425</v>
      </c>
      <c r="K160" s="3">
        <f t="shared" si="2"/>
        <v>14875</v>
      </c>
      <c r="L160" s="3">
        <v>9668.75</v>
      </c>
    </row>
    <row r="161" spans="1:12" x14ac:dyDescent="0.25">
      <c r="A161" t="s">
        <v>19</v>
      </c>
      <c r="B161">
        <v>1185732</v>
      </c>
      <c r="C161" s="1">
        <v>44206</v>
      </c>
      <c r="D161" t="s">
        <v>29</v>
      </c>
      <c r="E161" t="s">
        <v>93</v>
      </c>
      <c r="F161" t="s">
        <v>94</v>
      </c>
      <c r="G161" t="s">
        <v>18</v>
      </c>
      <c r="H161" t="s">
        <v>17</v>
      </c>
      <c r="I161" s="3">
        <v>35</v>
      </c>
      <c r="J161" s="2">
        <v>225</v>
      </c>
      <c r="K161" s="3">
        <f t="shared" si="2"/>
        <v>7875</v>
      </c>
      <c r="L161" s="3">
        <v>5118.75</v>
      </c>
    </row>
    <row r="162" spans="1:12" x14ac:dyDescent="0.25">
      <c r="A162" t="s">
        <v>19</v>
      </c>
      <c r="B162">
        <v>1128299</v>
      </c>
      <c r="C162" s="1">
        <v>44206</v>
      </c>
      <c r="D162" t="s">
        <v>12</v>
      </c>
      <c r="E162" t="s">
        <v>24</v>
      </c>
      <c r="F162" t="s">
        <v>25</v>
      </c>
      <c r="G162" t="s">
        <v>15</v>
      </c>
      <c r="H162" t="s">
        <v>16</v>
      </c>
      <c r="I162" s="3">
        <v>45</v>
      </c>
      <c r="J162" s="2">
        <v>425</v>
      </c>
      <c r="K162" s="3">
        <f t="shared" si="2"/>
        <v>19125</v>
      </c>
      <c r="L162" s="3">
        <v>11475</v>
      </c>
    </row>
    <row r="163" spans="1:12" x14ac:dyDescent="0.25">
      <c r="A163" t="s">
        <v>11</v>
      </c>
      <c r="B163">
        <v>1185732</v>
      </c>
      <c r="C163" s="1">
        <v>44206</v>
      </c>
      <c r="D163" t="s">
        <v>57</v>
      </c>
      <c r="E163" t="s">
        <v>85</v>
      </c>
      <c r="F163" t="s">
        <v>86</v>
      </c>
      <c r="G163" t="s">
        <v>18</v>
      </c>
      <c r="H163" t="s">
        <v>38</v>
      </c>
      <c r="I163" s="3">
        <v>35</v>
      </c>
      <c r="J163" s="2">
        <v>500</v>
      </c>
      <c r="K163" s="3">
        <f t="shared" si="2"/>
        <v>17500</v>
      </c>
      <c r="L163" s="3">
        <v>10500</v>
      </c>
    </row>
    <row r="164" spans="1:12" x14ac:dyDescent="0.25">
      <c r="A164" t="s">
        <v>11</v>
      </c>
      <c r="B164">
        <v>1185732</v>
      </c>
      <c r="C164" s="1">
        <v>44206</v>
      </c>
      <c r="D164" t="s">
        <v>57</v>
      </c>
      <c r="E164" t="s">
        <v>85</v>
      </c>
      <c r="F164" t="s">
        <v>86</v>
      </c>
      <c r="G164" t="s">
        <v>18</v>
      </c>
      <c r="H164" t="s">
        <v>17</v>
      </c>
      <c r="I164" s="3">
        <v>35</v>
      </c>
      <c r="J164" s="2">
        <v>300</v>
      </c>
      <c r="K164" s="3">
        <f t="shared" si="2"/>
        <v>10500</v>
      </c>
      <c r="L164" s="3">
        <v>6300</v>
      </c>
    </row>
    <row r="165" spans="1:12" x14ac:dyDescent="0.25">
      <c r="A165" t="s">
        <v>11</v>
      </c>
      <c r="B165">
        <v>1185732</v>
      </c>
      <c r="C165" s="1">
        <v>44206</v>
      </c>
      <c r="D165" t="s">
        <v>57</v>
      </c>
      <c r="E165" t="s">
        <v>85</v>
      </c>
      <c r="F165" t="s">
        <v>86</v>
      </c>
      <c r="G165" t="s">
        <v>18</v>
      </c>
      <c r="H165" t="s">
        <v>16</v>
      </c>
      <c r="I165" s="3">
        <v>35</v>
      </c>
      <c r="J165" s="2">
        <v>300</v>
      </c>
      <c r="K165" s="3">
        <f t="shared" si="2"/>
        <v>10500</v>
      </c>
      <c r="L165" s="3">
        <v>6300</v>
      </c>
    </row>
    <row r="166" spans="1:12" x14ac:dyDescent="0.25">
      <c r="A166" t="s">
        <v>27</v>
      </c>
      <c r="B166">
        <v>1185732</v>
      </c>
      <c r="C166" s="1">
        <v>44206</v>
      </c>
      <c r="D166" t="s">
        <v>29</v>
      </c>
      <c r="E166" t="s">
        <v>89</v>
      </c>
      <c r="F166" t="s">
        <v>90</v>
      </c>
      <c r="G166" t="s">
        <v>18</v>
      </c>
      <c r="H166" t="s">
        <v>35</v>
      </c>
      <c r="I166" s="3">
        <v>25.000000000000007</v>
      </c>
      <c r="J166" s="2">
        <v>275</v>
      </c>
      <c r="K166" s="3">
        <f t="shared" si="2"/>
        <v>6875.0000000000018</v>
      </c>
      <c r="L166" s="3">
        <v>4125.0000000000009</v>
      </c>
    </row>
    <row r="167" spans="1:12" x14ac:dyDescent="0.25">
      <c r="A167" t="s">
        <v>27</v>
      </c>
      <c r="B167">
        <v>1185732</v>
      </c>
      <c r="C167" s="1">
        <v>44206</v>
      </c>
      <c r="D167" t="s">
        <v>29</v>
      </c>
      <c r="E167" t="s">
        <v>89</v>
      </c>
      <c r="F167" t="s">
        <v>90</v>
      </c>
      <c r="G167" t="s">
        <v>18</v>
      </c>
      <c r="H167" t="s">
        <v>37</v>
      </c>
      <c r="I167" s="3">
        <v>30</v>
      </c>
      <c r="J167" s="2">
        <v>125</v>
      </c>
      <c r="K167" s="3">
        <f t="shared" si="2"/>
        <v>3750</v>
      </c>
      <c r="L167" s="3">
        <v>2250</v>
      </c>
    </row>
    <row r="168" spans="1:12" x14ac:dyDescent="0.25">
      <c r="A168" t="s">
        <v>27</v>
      </c>
      <c r="B168">
        <v>1185732</v>
      </c>
      <c r="C168" s="1">
        <v>44206</v>
      </c>
      <c r="D168" t="s">
        <v>29</v>
      </c>
      <c r="E168" t="s">
        <v>89</v>
      </c>
      <c r="F168" t="s">
        <v>90</v>
      </c>
      <c r="G168" t="s">
        <v>18</v>
      </c>
      <c r="H168" t="s">
        <v>16</v>
      </c>
      <c r="I168" s="3">
        <v>35</v>
      </c>
      <c r="J168" s="2">
        <v>275</v>
      </c>
      <c r="K168" s="3">
        <f t="shared" si="2"/>
        <v>9625</v>
      </c>
      <c r="L168" s="3">
        <v>5775</v>
      </c>
    </row>
    <row r="169" spans="1:12" x14ac:dyDescent="0.25">
      <c r="A169" t="s">
        <v>19</v>
      </c>
      <c r="B169">
        <v>1185732</v>
      </c>
      <c r="C169" s="1">
        <v>44206</v>
      </c>
      <c r="D169" t="s">
        <v>29</v>
      </c>
      <c r="E169" t="s">
        <v>93</v>
      </c>
      <c r="F169" t="s">
        <v>94</v>
      </c>
      <c r="G169" t="s">
        <v>18</v>
      </c>
      <c r="H169" t="s">
        <v>35</v>
      </c>
      <c r="I169" s="3">
        <v>25.000000000000007</v>
      </c>
      <c r="J169" s="2">
        <v>225</v>
      </c>
      <c r="K169" s="3">
        <f t="shared" si="2"/>
        <v>5625.0000000000018</v>
      </c>
      <c r="L169" s="3">
        <v>3375.0000000000009</v>
      </c>
    </row>
    <row r="170" spans="1:12" x14ac:dyDescent="0.25">
      <c r="A170" t="s">
        <v>19</v>
      </c>
      <c r="B170">
        <v>1185732</v>
      </c>
      <c r="C170" s="1">
        <v>44206</v>
      </c>
      <c r="D170" t="s">
        <v>29</v>
      </c>
      <c r="E170" t="s">
        <v>93</v>
      </c>
      <c r="F170" t="s">
        <v>94</v>
      </c>
      <c r="G170" t="s">
        <v>18</v>
      </c>
      <c r="H170" t="s">
        <v>37</v>
      </c>
      <c r="I170" s="3">
        <v>30</v>
      </c>
      <c r="J170" s="2">
        <v>75</v>
      </c>
      <c r="K170" s="3">
        <f t="shared" si="2"/>
        <v>2250</v>
      </c>
      <c r="L170" s="3">
        <v>1350</v>
      </c>
    </row>
    <row r="171" spans="1:12" x14ac:dyDescent="0.25">
      <c r="A171" t="s">
        <v>19</v>
      </c>
      <c r="B171">
        <v>1185732</v>
      </c>
      <c r="C171" s="1">
        <v>44206</v>
      </c>
      <c r="D171" t="s">
        <v>29</v>
      </c>
      <c r="E171" t="s">
        <v>93</v>
      </c>
      <c r="F171" t="s">
        <v>94</v>
      </c>
      <c r="G171" t="s">
        <v>18</v>
      </c>
      <c r="H171" t="s">
        <v>16</v>
      </c>
      <c r="I171" s="3">
        <v>35</v>
      </c>
      <c r="J171" s="2">
        <v>225</v>
      </c>
      <c r="K171" s="3">
        <f t="shared" si="2"/>
        <v>7875</v>
      </c>
      <c r="L171" s="3">
        <v>4725</v>
      </c>
    </row>
    <row r="172" spans="1:12" x14ac:dyDescent="0.25">
      <c r="A172" t="s">
        <v>11</v>
      </c>
      <c r="B172">
        <v>1128299</v>
      </c>
      <c r="C172" s="1">
        <v>44206</v>
      </c>
      <c r="D172" t="s">
        <v>12</v>
      </c>
      <c r="E172" t="s">
        <v>13</v>
      </c>
      <c r="F172" t="s">
        <v>14</v>
      </c>
      <c r="G172" t="s">
        <v>15</v>
      </c>
      <c r="H172" t="s">
        <v>22</v>
      </c>
      <c r="I172" s="3">
        <v>65</v>
      </c>
      <c r="J172" s="2">
        <v>575</v>
      </c>
      <c r="K172" s="3">
        <f t="shared" si="2"/>
        <v>37375</v>
      </c>
      <c r="L172" s="3">
        <v>16818.749999999996</v>
      </c>
    </row>
    <row r="173" spans="1:12" x14ac:dyDescent="0.25">
      <c r="A173" t="s">
        <v>19</v>
      </c>
      <c r="B173">
        <v>1128299</v>
      </c>
      <c r="C173" s="1">
        <v>44206</v>
      </c>
      <c r="D173" t="s">
        <v>12</v>
      </c>
      <c r="E173" t="s">
        <v>24</v>
      </c>
      <c r="F173" t="s">
        <v>25</v>
      </c>
      <c r="G173" t="s">
        <v>41</v>
      </c>
      <c r="H173" t="s">
        <v>22</v>
      </c>
      <c r="I173" s="3">
        <v>46</v>
      </c>
      <c r="J173" s="2">
        <v>46</v>
      </c>
      <c r="K173" s="3">
        <f t="shared" si="2"/>
        <v>2116</v>
      </c>
      <c r="L173" s="3">
        <v>1481.2</v>
      </c>
    </row>
    <row r="174" spans="1:12" x14ac:dyDescent="0.25">
      <c r="A174" t="s">
        <v>11</v>
      </c>
      <c r="B174">
        <v>1128299</v>
      </c>
      <c r="C174" s="1">
        <v>44206</v>
      </c>
      <c r="D174" t="s">
        <v>29</v>
      </c>
      <c r="E174" t="s">
        <v>30</v>
      </c>
      <c r="F174" t="s">
        <v>31</v>
      </c>
      <c r="G174" t="s">
        <v>41</v>
      </c>
      <c r="H174" t="s">
        <v>17</v>
      </c>
      <c r="I174" s="3">
        <v>41</v>
      </c>
      <c r="J174" s="2">
        <v>109</v>
      </c>
      <c r="K174" s="3">
        <f t="shared" si="2"/>
        <v>4469</v>
      </c>
      <c r="L174" s="3">
        <v>2994.23</v>
      </c>
    </row>
    <row r="175" spans="1:12" x14ac:dyDescent="0.25">
      <c r="A175" t="s">
        <v>19</v>
      </c>
      <c r="B175">
        <v>1128299</v>
      </c>
      <c r="C175" s="1">
        <v>44206</v>
      </c>
      <c r="D175" t="s">
        <v>12</v>
      </c>
      <c r="E175" t="s">
        <v>24</v>
      </c>
      <c r="F175" t="s">
        <v>25</v>
      </c>
      <c r="G175" t="s">
        <v>41</v>
      </c>
      <c r="H175" t="s">
        <v>17</v>
      </c>
      <c r="I175" s="3">
        <v>43</v>
      </c>
      <c r="J175" s="2">
        <v>109</v>
      </c>
      <c r="K175" s="3">
        <f t="shared" si="2"/>
        <v>4687</v>
      </c>
      <c r="L175" s="3">
        <v>3140.29</v>
      </c>
    </row>
    <row r="176" spans="1:12" x14ac:dyDescent="0.25">
      <c r="A176" t="s">
        <v>11</v>
      </c>
      <c r="B176">
        <v>1128299</v>
      </c>
      <c r="C176" s="1">
        <v>44206</v>
      </c>
      <c r="D176" t="s">
        <v>29</v>
      </c>
      <c r="E176" t="s">
        <v>30</v>
      </c>
      <c r="F176" t="s">
        <v>31</v>
      </c>
      <c r="G176" t="s">
        <v>41</v>
      </c>
      <c r="H176" t="s">
        <v>38</v>
      </c>
      <c r="I176" s="3">
        <v>33</v>
      </c>
      <c r="J176" s="2">
        <v>98</v>
      </c>
      <c r="K176" s="3">
        <f t="shared" si="2"/>
        <v>3234</v>
      </c>
      <c r="L176" s="3">
        <v>2102.1000000000004</v>
      </c>
    </row>
    <row r="177" spans="1:12" x14ac:dyDescent="0.25">
      <c r="A177" t="s">
        <v>19</v>
      </c>
      <c r="B177">
        <v>1128299</v>
      </c>
      <c r="C177" s="1">
        <v>44206</v>
      </c>
      <c r="D177" t="s">
        <v>12</v>
      </c>
      <c r="E177" t="s">
        <v>24</v>
      </c>
      <c r="F177" t="s">
        <v>25</v>
      </c>
      <c r="G177" t="s">
        <v>41</v>
      </c>
      <c r="H177" t="s">
        <v>37</v>
      </c>
      <c r="I177" s="3">
        <v>43</v>
      </c>
      <c r="J177" s="2">
        <v>56</v>
      </c>
      <c r="K177" s="3">
        <f t="shared" si="2"/>
        <v>2408</v>
      </c>
      <c r="L177" s="3">
        <v>1565.2</v>
      </c>
    </row>
    <row r="178" spans="1:12" x14ac:dyDescent="0.25">
      <c r="A178" t="s">
        <v>19</v>
      </c>
      <c r="B178">
        <v>1185732</v>
      </c>
      <c r="C178" s="1">
        <v>44206</v>
      </c>
      <c r="D178" t="s">
        <v>29</v>
      </c>
      <c r="E178" t="s">
        <v>93</v>
      </c>
      <c r="F178" t="s">
        <v>94</v>
      </c>
      <c r="G178" t="s">
        <v>15</v>
      </c>
      <c r="H178" t="s">
        <v>22</v>
      </c>
      <c r="I178" s="3">
        <v>34</v>
      </c>
      <c r="J178" s="2">
        <v>44</v>
      </c>
      <c r="K178" s="3">
        <f t="shared" si="2"/>
        <v>1496</v>
      </c>
      <c r="L178" s="3">
        <v>957.44</v>
      </c>
    </row>
    <row r="179" spans="1:12" x14ac:dyDescent="0.25">
      <c r="A179" t="s">
        <v>19</v>
      </c>
      <c r="B179">
        <v>1128299</v>
      </c>
      <c r="C179" s="1">
        <v>44206</v>
      </c>
      <c r="D179" t="s">
        <v>12</v>
      </c>
      <c r="E179" t="s">
        <v>24</v>
      </c>
      <c r="F179" t="s">
        <v>25</v>
      </c>
      <c r="G179" t="s">
        <v>41</v>
      </c>
      <c r="H179" t="s">
        <v>35</v>
      </c>
      <c r="I179" s="3">
        <v>41</v>
      </c>
      <c r="J179" s="2">
        <v>113</v>
      </c>
      <c r="K179" s="3">
        <f t="shared" si="2"/>
        <v>4633</v>
      </c>
      <c r="L179" s="3">
        <v>2965.12</v>
      </c>
    </row>
    <row r="180" spans="1:12" x14ac:dyDescent="0.25">
      <c r="A180" t="s">
        <v>19</v>
      </c>
      <c r="B180">
        <v>1128299</v>
      </c>
      <c r="C180" s="1">
        <v>44206</v>
      </c>
      <c r="D180" t="s">
        <v>12</v>
      </c>
      <c r="E180" t="s">
        <v>24</v>
      </c>
      <c r="F180" t="s">
        <v>25</v>
      </c>
      <c r="G180" t="s">
        <v>41</v>
      </c>
      <c r="H180" t="s">
        <v>38</v>
      </c>
      <c r="I180" s="3">
        <v>33</v>
      </c>
      <c r="J180" s="2">
        <v>109</v>
      </c>
      <c r="K180" s="3">
        <f t="shared" si="2"/>
        <v>3597</v>
      </c>
      <c r="L180" s="3">
        <v>2230.14</v>
      </c>
    </row>
    <row r="181" spans="1:12" x14ac:dyDescent="0.25">
      <c r="A181" t="s">
        <v>11</v>
      </c>
      <c r="B181">
        <v>1128299</v>
      </c>
      <c r="C181" s="1">
        <v>44206</v>
      </c>
      <c r="D181" t="s">
        <v>29</v>
      </c>
      <c r="E181" t="s">
        <v>30</v>
      </c>
      <c r="F181" t="s">
        <v>31</v>
      </c>
      <c r="G181" t="s">
        <v>41</v>
      </c>
      <c r="H181" t="s">
        <v>37</v>
      </c>
      <c r="I181" s="3">
        <v>43</v>
      </c>
      <c r="J181" s="2">
        <v>59</v>
      </c>
      <c r="K181" s="3">
        <f t="shared" si="2"/>
        <v>2537</v>
      </c>
      <c r="L181" s="3">
        <v>1547.57</v>
      </c>
    </row>
    <row r="182" spans="1:12" x14ac:dyDescent="0.25">
      <c r="A182" t="s">
        <v>11</v>
      </c>
      <c r="B182">
        <v>1128299</v>
      </c>
      <c r="C182" s="1">
        <v>44206</v>
      </c>
      <c r="D182" t="s">
        <v>29</v>
      </c>
      <c r="E182" t="s">
        <v>30</v>
      </c>
      <c r="F182" t="s">
        <v>31</v>
      </c>
      <c r="G182" t="s">
        <v>41</v>
      </c>
      <c r="H182" t="s">
        <v>35</v>
      </c>
      <c r="I182" s="3">
        <v>43</v>
      </c>
      <c r="J182" s="2">
        <v>101</v>
      </c>
      <c r="K182" s="3">
        <f t="shared" si="2"/>
        <v>4343</v>
      </c>
      <c r="L182" s="3">
        <v>2605.8000000000002</v>
      </c>
    </row>
    <row r="183" spans="1:12" x14ac:dyDescent="0.25">
      <c r="A183" t="s">
        <v>19</v>
      </c>
      <c r="B183">
        <v>1185732</v>
      </c>
      <c r="C183" s="1">
        <v>44206</v>
      </c>
      <c r="D183" t="s">
        <v>29</v>
      </c>
      <c r="E183" t="s">
        <v>93</v>
      </c>
      <c r="F183" t="s">
        <v>94</v>
      </c>
      <c r="G183" t="s">
        <v>15</v>
      </c>
      <c r="H183" t="s">
        <v>17</v>
      </c>
      <c r="I183" s="3">
        <v>28</v>
      </c>
      <c r="J183" s="2">
        <v>79</v>
      </c>
      <c r="K183" s="3">
        <f t="shared" si="2"/>
        <v>2212</v>
      </c>
      <c r="L183" s="3">
        <v>1327.2</v>
      </c>
    </row>
    <row r="184" spans="1:12" x14ac:dyDescent="0.25">
      <c r="A184" t="s">
        <v>19</v>
      </c>
      <c r="B184">
        <v>1185732</v>
      </c>
      <c r="C184" s="1">
        <v>44206</v>
      </c>
      <c r="D184" t="s">
        <v>29</v>
      </c>
      <c r="E184" t="s">
        <v>93</v>
      </c>
      <c r="F184" t="s">
        <v>94</v>
      </c>
      <c r="G184" t="s">
        <v>41</v>
      </c>
      <c r="H184" t="s">
        <v>22</v>
      </c>
      <c r="I184" s="3">
        <v>44</v>
      </c>
      <c r="J184" s="2">
        <v>33</v>
      </c>
      <c r="K184" s="3">
        <f t="shared" si="2"/>
        <v>1452</v>
      </c>
      <c r="L184" s="3">
        <v>871.19999999999993</v>
      </c>
    </row>
    <row r="185" spans="1:12" x14ac:dyDescent="0.25">
      <c r="A185" t="s">
        <v>27</v>
      </c>
      <c r="B185">
        <v>1185732</v>
      </c>
      <c r="C185" s="1">
        <v>44206</v>
      </c>
      <c r="D185" t="s">
        <v>29</v>
      </c>
      <c r="E185" t="s">
        <v>89</v>
      </c>
      <c r="F185" t="s">
        <v>90</v>
      </c>
      <c r="G185" t="s">
        <v>41</v>
      </c>
      <c r="H185" t="s">
        <v>22</v>
      </c>
      <c r="I185" s="3">
        <v>41</v>
      </c>
      <c r="J185" s="2">
        <v>47</v>
      </c>
      <c r="K185" s="3">
        <f t="shared" si="2"/>
        <v>1927</v>
      </c>
      <c r="L185" s="3">
        <v>1156.1999999999998</v>
      </c>
    </row>
    <row r="186" spans="1:12" x14ac:dyDescent="0.25">
      <c r="A186" t="s">
        <v>27</v>
      </c>
      <c r="B186">
        <v>1189833</v>
      </c>
      <c r="C186" s="1">
        <v>44206</v>
      </c>
      <c r="D186" t="s">
        <v>57</v>
      </c>
      <c r="E186" t="s">
        <v>58</v>
      </c>
      <c r="F186" t="s">
        <v>59</v>
      </c>
      <c r="G186" t="s">
        <v>41</v>
      </c>
      <c r="H186" t="s">
        <v>17</v>
      </c>
      <c r="I186" s="3">
        <v>41</v>
      </c>
      <c r="J186" s="2">
        <v>115</v>
      </c>
      <c r="K186" s="3">
        <f t="shared" si="2"/>
        <v>4715</v>
      </c>
      <c r="L186" s="3">
        <v>2781.8500000000004</v>
      </c>
    </row>
    <row r="187" spans="1:12" x14ac:dyDescent="0.25">
      <c r="A187" t="s">
        <v>19</v>
      </c>
      <c r="B187">
        <v>1185732</v>
      </c>
      <c r="C187" s="1">
        <v>44206</v>
      </c>
      <c r="D187" t="s">
        <v>29</v>
      </c>
      <c r="E187" t="s">
        <v>93</v>
      </c>
      <c r="F187" t="s">
        <v>94</v>
      </c>
      <c r="G187" t="s">
        <v>15</v>
      </c>
      <c r="H187" t="s">
        <v>38</v>
      </c>
      <c r="I187" s="3">
        <v>23</v>
      </c>
      <c r="J187" s="2">
        <v>149</v>
      </c>
      <c r="K187" s="3">
        <f t="shared" si="2"/>
        <v>3427</v>
      </c>
      <c r="L187" s="3">
        <v>1987.66</v>
      </c>
    </row>
    <row r="188" spans="1:12" x14ac:dyDescent="0.25">
      <c r="A188" t="s">
        <v>19</v>
      </c>
      <c r="B188">
        <v>1185732</v>
      </c>
      <c r="C188" s="1">
        <v>44206</v>
      </c>
      <c r="D188" t="s">
        <v>29</v>
      </c>
      <c r="E188" t="s">
        <v>93</v>
      </c>
      <c r="F188" t="s">
        <v>94</v>
      </c>
      <c r="G188" t="s">
        <v>15</v>
      </c>
      <c r="H188" t="s">
        <v>35</v>
      </c>
      <c r="I188" s="3">
        <v>19</v>
      </c>
      <c r="J188" s="2">
        <v>72</v>
      </c>
      <c r="K188" s="3">
        <f t="shared" si="2"/>
        <v>1368</v>
      </c>
      <c r="L188" s="3">
        <v>793.43999999999994</v>
      </c>
    </row>
    <row r="189" spans="1:12" x14ac:dyDescent="0.25">
      <c r="A189" t="s">
        <v>11</v>
      </c>
      <c r="B189">
        <v>1185732</v>
      </c>
      <c r="C189" s="1">
        <v>44206</v>
      </c>
      <c r="D189" t="s">
        <v>57</v>
      </c>
      <c r="E189" t="s">
        <v>85</v>
      </c>
      <c r="F189" t="s">
        <v>86</v>
      </c>
      <c r="G189" t="s">
        <v>41</v>
      </c>
      <c r="H189" t="s">
        <v>22</v>
      </c>
      <c r="I189" s="3">
        <v>41</v>
      </c>
      <c r="J189" s="2">
        <v>58</v>
      </c>
      <c r="K189" s="3">
        <f t="shared" si="2"/>
        <v>2378</v>
      </c>
      <c r="L189" s="3">
        <v>1331.68</v>
      </c>
    </row>
    <row r="190" spans="1:12" x14ac:dyDescent="0.25">
      <c r="A190" t="s">
        <v>11</v>
      </c>
      <c r="B190">
        <v>1185732</v>
      </c>
      <c r="C190" s="1">
        <v>44206</v>
      </c>
      <c r="D190" t="s">
        <v>57</v>
      </c>
      <c r="E190" t="s">
        <v>85</v>
      </c>
      <c r="F190" t="s">
        <v>86</v>
      </c>
      <c r="G190" t="s">
        <v>41</v>
      </c>
      <c r="H190" t="s">
        <v>35</v>
      </c>
      <c r="I190" s="3">
        <v>24</v>
      </c>
      <c r="J190" s="2">
        <v>87</v>
      </c>
      <c r="K190" s="3">
        <f t="shared" si="2"/>
        <v>2088</v>
      </c>
      <c r="L190" s="3">
        <v>1148.4000000000001</v>
      </c>
    </row>
    <row r="191" spans="1:12" x14ac:dyDescent="0.25">
      <c r="A191" t="s">
        <v>19</v>
      </c>
      <c r="B191">
        <v>1185732</v>
      </c>
      <c r="C191" s="1">
        <v>44206</v>
      </c>
      <c r="D191" t="s">
        <v>29</v>
      </c>
      <c r="E191" t="s">
        <v>93</v>
      </c>
      <c r="F191" t="s">
        <v>94</v>
      </c>
      <c r="G191" t="s">
        <v>41</v>
      </c>
      <c r="H191" t="s">
        <v>17</v>
      </c>
      <c r="I191" s="3">
        <v>34</v>
      </c>
      <c r="J191" s="2">
        <v>63</v>
      </c>
      <c r="K191" s="3">
        <f t="shared" si="2"/>
        <v>2142</v>
      </c>
      <c r="L191" s="3">
        <v>1178.1000000000001</v>
      </c>
    </row>
    <row r="192" spans="1:12" x14ac:dyDescent="0.25">
      <c r="A192" t="s">
        <v>19</v>
      </c>
      <c r="B192">
        <v>1185732</v>
      </c>
      <c r="C192" s="1">
        <v>44206</v>
      </c>
      <c r="D192" t="s">
        <v>29</v>
      </c>
      <c r="E192" t="s">
        <v>93</v>
      </c>
      <c r="F192" t="s">
        <v>94</v>
      </c>
      <c r="G192" t="s">
        <v>41</v>
      </c>
      <c r="H192" t="s">
        <v>38</v>
      </c>
      <c r="I192" s="3">
        <v>34</v>
      </c>
      <c r="J192" s="2">
        <v>115</v>
      </c>
      <c r="K192" s="3">
        <f t="shared" si="2"/>
        <v>3910</v>
      </c>
      <c r="L192" s="3">
        <v>2111.4</v>
      </c>
    </row>
    <row r="193" spans="1:12" x14ac:dyDescent="0.25">
      <c r="A193" t="s">
        <v>19</v>
      </c>
      <c r="B193">
        <v>1185732</v>
      </c>
      <c r="C193" s="1">
        <v>44206</v>
      </c>
      <c r="D193" t="s">
        <v>29</v>
      </c>
      <c r="E193" t="s">
        <v>93</v>
      </c>
      <c r="F193" t="s">
        <v>94</v>
      </c>
      <c r="G193" t="s">
        <v>15</v>
      </c>
      <c r="H193" t="s">
        <v>37</v>
      </c>
      <c r="I193" s="3">
        <v>24</v>
      </c>
      <c r="J193" s="2">
        <v>24</v>
      </c>
      <c r="K193" s="3">
        <f t="shared" si="2"/>
        <v>576</v>
      </c>
      <c r="L193" s="3">
        <v>311.03999999999996</v>
      </c>
    </row>
    <row r="194" spans="1:12" x14ac:dyDescent="0.25">
      <c r="A194" t="s">
        <v>27</v>
      </c>
      <c r="B194">
        <v>1185732</v>
      </c>
      <c r="C194" s="1">
        <v>44206</v>
      </c>
      <c r="D194" t="s">
        <v>29</v>
      </c>
      <c r="E194" t="s">
        <v>89</v>
      </c>
      <c r="F194" t="s">
        <v>90</v>
      </c>
      <c r="G194" t="s">
        <v>41</v>
      </c>
      <c r="H194" t="s">
        <v>17</v>
      </c>
      <c r="I194" s="3">
        <v>33</v>
      </c>
      <c r="J194" s="2">
        <v>77</v>
      </c>
      <c r="K194" s="3">
        <f t="shared" si="2"/>
        <v>2541</v>
      </c>
      <c r="L194" s="3">
        <v>1346.73</v>
      </c>
    </row>
    <row r="195" spans="1:12" x14ac:dyDescent="0.25">
      <c r="A195" t="s">
        <v>19</v>
      </c>
      <c r="B195">
        <v>1185732</v>
      </c>
      <c r="C195" s="1">
        <v>44206</v>
      </c>
      <c r="D195" t="s">
        <v>29</v>
      </c>
      <c r="E195" t="s">
        <v>93</v>
      </c>
      <c r="F195" t="s">
        <v>94</v>
      </c>
      <c r="G195" t="s">
        <v>15</v>
      </c>
      <c r="H195" t="s">
        <v>16</v>
      </c>
      <c r="I195" s="3">
        <v>26</v>
      </c>
      <c r="J195" s="2">
        <v>72</v>
      </c>
      <c r="K195" s="3">
        <f t="shared" ref="K195:K258" si="3">I195*J195</f>
        <v>1872</v>
      </c>
      <c r="L195" s="3">
        <v>992.16</v>
      </c>
    </row>
    <row r="196" spans="1:12" x14ac:dyDescent="0.25">
      <c r="A196" t="s">
        <v>11</v>
      </c>
      <c r="B196">
        <v>1185732</v>
      </c>
      <c r="C196" s="1">
        <v>44206</v>
      </c>
      <c r="D196" t="s">
        <v>57</v>
      </c>
      <c r="E196" t="s">
        <v>85</v>
      </c>
      <c r="F196" t="s">
        <v>86</v>
      </c>
      <c r="G196" t="s">
        <v>41</v>
      </c>
      <c r="H196" t="s">
        <v>37</v>
      </c>
      <c r="I196" s="3">
        <v>28</v>
      </c>
      <c r="J196" s="2">
        <v>44</v>
      </c>
      <c r="K196" s="3">
        <f t="shared" si="3"/>
        <v>1232</v>
      </c>
      <c r="L196" s="3">
        <v>640.64</v>
      </c>
    </row>
    <row r="197" spans="1:12" x14ac:dyDescent="0.25">
      <c r="A197" t="s">
        <v>11</v>
      </c>
      <c r="B197">
        <v>1185732</v>
      </c>
      <c r="C197" s="1">
        <v>44206</v>
      </c>
      <c r="D197" t="s">
        <v>57</v>
      </c>
      <c r="E197" t="s">
        <v>85</v>
      </c>
      <c r="F197" t="s">
        <v>86</v>
      </c>
      <c r="G197" t="s">
        <v>41</v>
      </c>
      <c r="H197" t="s">
        <v>16</v>
      </c>
      <c r="I197" s="3">
        <v>32</v>
      </c>
      <c r="J197" s="2">
        <v>84</v>
      </c>
      <c r="K197" s="3">
        <f t="shared" si="3"/>
        <v>2688</v>
      </c>
      <c r="L197" s="3">
        <v>1344</v>
      </c>
    </row>
    <row r="198" spans="1:12" x14ac:dyDescent="0.25">
      <c r="A198" t="s">
        <v>27</v>
      </c>
      <c r="B198">
        <v>1185732</v>
      </c>
      <c r="C198" s="1">
        <v>44206</v>
      </c>
      <c r="D198" t="s">
        <v>29</v>
      </c>
      <c r="E198" t="s">
        <v>89</v>
      </c>
      <c r="F198" t="s">
        <v>90</v>
      </c>
      <c r="G198" t="s">
        <v>41</v>
      </c>
      <c r="H198" t="s">
        <v>38</v>
      </c>
      <c r="I198" s="3">
        <v>32</v>
      </c>
      <c r="J198" s="2">
        <v>138</v>
      </c>
      <c r="K198" s="3">
        <f t="shared" si="3"/>
        <v>4416</v>
      </c>
      <c r="L198" s="3">
        <v>2208</v>
      </c>
    </row>
    <row r="199" spans="1:12" x14ac:dyDescent="0.25">
      <c r="A199" t="s">
        <v>27</v>
      </c>
      <c r="B199">
        <v>1185732</v>
      </c>
      <c r="C199" s="1">
        <v>44206</v>
      </c>
      <c r="D199" t="s">
        <v>29</v>
      </c>
      <c r="E199" t="s">
        <v>89</v>
      </c>
      <c r="F199" t="s">
        <v>90</v>
      </c>
      <c r="G199" t="s">
        <v>41</v>
      </c>
      <c r="H199" t="s">
        <v>37</v>
      </c>
      <c r="I199" s="3">
        <v>27</v>
      </c>
      <c r="J199" s="2">
        <v>38</v>
      </c>
      <c r="K199" s="3">
        <f t="shared" si="3"/>
        <v>1026</v>
      </c>
      <c r="L199" s="3">
        <v>513</v>
      </c>
    </row>
    <row r="200" spans="1:12" x14ac:dyDescent="0.25">
      <c r="A200" t="s">
        <v>11</v>
      </c>
      <c r="B200">
        <v>1185732</v>
      </c>
      <c r="C200" s="1">
        <v>44206</v>
      </c>
      <c r="D200" t="s">
        <v>57</v>
      </c>
      <c r="E200" t="s">
        <v>85</v>
      </c>
      <c r="F200" t="s">
        <v>86</v>
      </c>
      <c r="G200" t="s">
        <v>41</v>
      </c>
      <c r="H200" t="s">
        <v>17</v>
      </c>
      <c r="I200" s="3">
        <v>32</v>
      </c>
      <c r="J200" s="2">
        <v>78</v>
      </c>
      <c r="K200" s="3">
        <f t="shared" si="3"/>
        <v>2496</v>
      </c>
      <c r="L200" s="3">
        <v>1223.04</v>
      </c>
    </row>
    <row r="201" spans="1:12" x14ac:dyDescent="0.25">
      <c r="A201" t="s">
        <v>27</v>
      </c>
      <c r="B201">
        <v>1185732</v>
      </c>
      <c r="C201" s="1">
        <v>44206</v>
      </c>
      <c r="D201" t="s">
        <v>29</v>
      </c>
      <c r="E201" t="s">
        <v>89</v>
      </c>
      <c r="F201" t="s">
        <v>90</v>
      </c>
      <c r="G201" t="s">
        <v>41</v>
      </c>
      <c r="H201" t="s">
        <v>35</v>
      </c>
      <c r="I201" s="3">
        <v>24</v>
      </c>
      <c r="J201" s="2">
        <v>72</v>
      </c>
      <c r="K201" s="3">
        <f t="shared" si="3"/>
        <v>1728</v>
      </c>
      <c r="L201" s="3">
        <v>846.72</v>
      </c>
    </row>
    <row r="202" spans="1:12" x14ac:dyDescent="0.25">
      <c r="A202" t="s">
        <v>11</v>
      </c>
      <c r="B202">
        <v>1185732</v>
      </c>
      <c r="C202" s="1">
        <v>44206</v>
      </c>
      <c r="D202" t="s">
        <v>57</v>
      </c>
      <c r="E202" t="s">
        <v>85</v>
      </c>
      <c r="F202" t="s">
        <v>86</v>
      </c>
      <c r="G202" t="s">
        <v>41</v>
      </c>
      <c r="H202" t="s">
        <v>38</v>
      </c>
      <c r="I202" s="3">
        <v>32</v>
      </c>
      <c r="J202" s="2">
        <v>140</v>
      </c>
      <c r="K202" s="3">
        <f t="shared" si="3"/>
        <v>4480</v>
      </c>
      <c r="L202" s="3">
        <v>2150.4</v>
      </c>
    </row>
    <row r="203" spans="1:12" x14ac:dyDescent="0.25">
      <c r="A203" t="s">
        <v>19</v>
      </c>
      <c r="B203">
        <v>1185732</v>
      </c>
      <c r="C203" s="1">
        <v>44206</v>
      </c>
      <c r="D203" t="s">
        <v>29</v>
      </c>
      <c r="E203" t="s">
        <v>93</v>
      </c>
      <c r="F203" t="s">
        <v>94</v>
      </c>
      <c r="G203" t="s">
        <v>41</v>
      </c>
      <c r="H203" t="s">
        <v>37</v>
      </c>
      <c r="I203" s="3">
        <v>29</v>
      </c>
      <c r="J203" s="2">
        <v>20</v>
      </c>
      <c r="K203" s="3">
        <f t="shared" si="3"/>
        <v>580</v>
      </c>
      <c r="L203" s="3">
        <v>272.59999999999997</v>
      </c>
    </row>
    <row r="204" spans="1:12" x14ac:dyDescent="0.25">
      <c r="A204" t="s">
        <v>19</v>
      </c>
      <c r="B204">
        <v>1128299</v>
      </c>
      <c r="C204" s="1">
        <v>44206</v>
      </c>
      <c r="D204" t="s">
        <v>12</v>
      </c>
      <c r="E204" t="s">
        <v>24</v>
      </c>
      <c r="F204" t="s">
        <v>25</v>
      </c>
      <c r="G204" t="s">
        <v>41</v>
      </c>
      <c r="H204" t="s">
        <v>16</v>
      </c>
      <c r="I204" s="3">
        <v>42</v>
      </c>
      <c r="J204" s="2">
        <v>123</v>
      </c>
      <c r="K204" s="3">
        <f t="shared" si="3"/>
        <v>5166</v>
      </c>
      <c r="L204" s="3">
        <v>2376.3599999999997</v>
      </c>
    </row>
    <row r="205" spans="1:12" x14ac:dyDescent="0.25">
      <c r="A205" t="s">
        <v>19</v>
      </c>
      <c r="B205">
        <v>1185732</v>
      </c>
      <c r="C205" s="1">
        <v>44206</v>
      </c>
      <c r="D205" t="s">
        <v>29</v>
      </c>
      <c r="E205" t="s">
        <v>93</v>
      </c>
      <c r="F205" t="s">
        <v>94</v>
      </c>
      <c r="G205" t="s">
        <v>41</v>
      </c>
      <c r="H205" t="s">
        <v>16</v>
      </c>
      <c r="I205" s="3">
        <v>33</v>
      </c>
      <c r="J205" s="2">
        <v>63</v>
      </c>
      <c r="K205" s="3">
        <f t="shared" si="3"/>
        <v>2079</v>
      </c>
      <c r="L205" s="3">
        <v>956.33999999999992</v>
      </c>
    </row>
    <row r="206" spans="1:12" x14ac:dyDescent="0.25">
      <c r="A206" t="s">
        <v>27</v>
      </c>
      <c r="B206">
        <v>1185732</v>
      </c>
      <c r="C206" s="1">
        <v>44206</v>
      </c>
      <c r="D206" t="s">
        <v>29</v>
      </c>
      <c r="E206" t="s">
        <v>89</v>
      </c>
      <c r="F206" t="s">
        <v>90</v>
      </c>
      <c r="G206" t="s">
        <v>41</v>
      </c>
      <c r="H206" t="s">
        <v>16</v>
      </c>
      <c r="I206" s="3">
        <v>33</v>
      </c>
      <c r="J206" s="2">
        <v>69</v>
      </c>
      <c r="K206" s="3">
        <f t="shared" si="3"/>
        <v>2277</v>
      </c>
      <c r="L206" s="3">
        <v>1024.6499999999999</v>
      </c>
    </row>
    <row r="207" spans="1:12" x14ac:dyDescent="0.25">
      <c r="A207" t="s">
        <v>19</v>
      </c>
      <c r="B207">
        <v>1185732</v>
      </c>
      <c r="C207" s="1">
        <v>44206</v>
      </c>
      <c r="D207" t="s">
        <v>29</v>
      </c>
      <c r="E207" t="s">
        <v>93</v>
      </c>
      <c r="F207" t="s">
        <v>94</v>
      </c>
      <c r="G207" t="s">
        <v>41</v>
      </c>
      <c r="H207" t="s">
        <v>35</v>
      </c>
      <c r="I207" s="3">
        <v>24</v>
      </c>
      <c r="J207" s="2">
        <v>63</v>
      </c>
      <c r="K207" s="3">
        <f t="shared" si="3"/>
        <v>1512</v>
      </c>
      <c r="L207" s="3">
        <v>680.4</v>
      </c>
    </row>
    <row r="208" spans="1:12" x14ac:dyDescent="0.25">
      <c r="A208" t="s">
        <v>11</v>
      </c>
      <c r="B208">
        <v>1128299</v>
      </c>
      <c r="C208" s="1">
        <v>44206</v>
      </c>
      <c r="D208" t="s">
        <v>12</v>
      </c>
      <c r="E208" t="s">
        <v>13</v>
      </c>
      <c r="F208" t="s">
        <v>14</v>
      </c>
      <c r="G208" t="s">
        <v>15</v>
      </c>
      <c r="H208" t="s">
        <v>22</v>
      </c>
      <c r="I208" s="3">
        <v>44</v>
      </c>
      <c r="J208" s="2">
        <v>196</v>
      </c>
      <c r="K208" s="3">
        <f t="shared" si="3"/>
        <v>8624</v>
      </c>
      <c r="L208" s="3">
        <v>3363.3599999999988</v>
      </c>
    </row>
    <row r="209" spans="1:12" x14ac:dyDescent="0.25">
      <c r="A209" t="s">
        <v>11</v>
      </c>
      <c r="B209">
        <v>1128299</v>
      </c>
      <c r="C209" s="1">
        <v>44206</v>
      </c>
      <c r="D209" t="s">
        <v>12</v>
      </c>
      <c r="E209" t="s">
        <v>13</v>
      </c>
      <c r="F209" t="s">
        <v>14</v>
      </c>
      <c r="G209" t="s">
        <v>41</v>
      </c>
      <c r="H209" t="s">
        <v>22</v>
      </c>
      <c r="I209" s="3">
        <v>62</v>
      </c>
      <c r="J209" s="2">
        <v>155</v>
      </c>
      <c r="K209" s="3">
        <f t="shared" si="3"/>
        <v>9610</v>
      </c>
      <c r="L209" s="3">
        <v>3267.3999999999996</v>
      </c>
    </row>
    <row r="210" spans="1:12" x14ac:dyDescent="0.25">
      <c r="A210" t="s">
        <v>11</v>
      </c>
      <c r="B210">
        <v>1128299</v>
      </c>
      <c r="C210" s="1">
        <v>44207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s="3">
        <v>80</v>
      </c>
      <c r="J210" s="2">
        <v>875</v>
      </c>
      <c r="K210" s="3">
        <f t="shared" si="3"/>
        <v>70000</v>
      </c>
      <c r="L210" s="3">
        <v>56000</v>
      </c>
    </row>
    <row r="211" spans="1:12" x14ac:dyDescent="0.25">
      <c r="A211" t="s">
        <v>11</v>
      </c>
      <c r="B211">
        <v>1185732</v>
      </c>
      <c r="C211" s="1">
        <v>44207</v>
      </c>
      <c r="D211" t="s">
        <v>57</v>
      </c>
      <c r="E211" t="s">
        <v>106</v>
      </c>
      <c r="F211" t="s">
        <v>107</v>
      </c>
      <c r="G211" t="s">
        <v>18</v>
      </c>
      <c r="H211" t="s">
        <v>35</v>
      </c>
      <c r="I211" s="3">
        <v>15.000000000000002</v>
      </c>
      <c r="J211" s="2">
        <v>475</v>
      </c>
      <c r="K211" s="3">
        <f t="shared" si="3"/>
        <v>7125.0000000000009</v>
      </c>
      <c r="L211" s="3">
        <v>4631.2500000000018</v>
      </c>
    </row>
    <row r="212" spans="1:12" x14ac:dyDescent="0.25">
      <c r="A212" t="s">
        <v>11</v>
      </c>
      <c r="B212">
        <v>1185732</v>
      </c>
      <c r="C212" s="1">
        <v>44207</v>
      </c>
      <c r="D212" t="s">
        <v>57</v>
      </c>
      <c r="E212" t="s">
        <v>106</v>
      </c>
      <c r="F212" t="s">
        <v>107</v>
      </c>
      <c r="G212" t="s">
        <v>18</v>
      </c>
      <c r="H212" t="s">
        <v>17</v>
      </c>
      <c r="I212" s="3">
        <v>25</v>
      </c>
      <c r="J212" s="2">
        <v>475</v>
      </c>
      <c r="K212" s="3">
        <f t="shared" si="3"/>
        <v>11875</v>
      </c>
      <c r="L212" s="3">
        <v>7718.75</v>
      </c>
    </row>
    <row r="213" spans="1:12" x14ac:dyDescent="0.25">
      <c r="A213" t="s">
        <v>11</v>
      </c>
      <c r="B213">
        <v>1185732</v>
      </c>
      <c r="C213" s="1">
        <v>44207</v>
      </c>
      <c r="D213" t="s">
        <v>57</v>
      </c>
      <c r="E213" t="s">
        <v>106</v>
      </c>
      <c r="F213" t="s">
        <v>107</v>
      </c>
      <c r="G213" t="s">
        <v>18</v>
      </c>
      <c r="H213" t="s">
        <v>22</v>
      </c>
      <c r="I213" s="3">
        <v>35</v>
      </c>
      <c r="J213" s="2">
        <v>375</v>
      </c>
      <c r="K213" s="3">
        <f t="shared" si="3"/>
        <v>13125</v>
      </c>
      <c r="L213" s="3">
        <v>8531.25</v>
      </c>
    </row>
    <row r="214" spans="1:12" x14ac:dyDescent="0.25">
      <c r="A214" t="s">
        <v>11</v>
      </c>
      <c r="B214">
        <v>1185732</v>
      </c>
      <c r="C214" s="1">
        <v>44207</v>
      </c>
      <c r="D214" t="s">
        <v>57</v>
      </c>
      <c r="E214" t="s">
        <v>106</v>
      </c>
      <c r="F214" t="s">
        <v>107</v>
      </c>
      <c r="G214" t="s">
        <v>18</v>
      </c>
      <c r="H214" t="s">
        <v>38</v>
      </c>
      <c r="I214" s="3">
        <v>25</v>
      </c>
      <c r="J214" s="2">
        <v>675</v>
      </c>
      <c r="K214" s="3">
        <f t="shared" si="3"/>
        <v>16875</v>
      </c>
      <c r="L214" s="3">
        <v>10125</v>
      </c>
    </row>
    <row r="215" spans="1:12" x14ac:dyDescent="0.25">
      <c r="A215" t="s">
        <v>11</v>
      </c>
      <c r="B215">
        <v>1185732</v>
      </c>
      <c r="C215" s="1">
        <v>44207</v>
      </c>
      <c r="D215" t="s">
        <v>57</v>
      </c>
      <c r="E215" t="s">
        <v>106</v>
      </c>
      <c r="F215" t="s">
        <v>107</v>
      </c>
      <c r="G215" t="s">
        <v>18</v>
      </c>
      <c r="H215" t="s">
        <v>37</v>
      </c>
      <c r="I215" s="3">
        <v>20.000000000000007</v>
      </c>
      <c r="J215" s="2">
        <v>325</v>
      </c>
      <c r="K215" s="3">
        <f t="shared" si="3"/>
        <v>6500.0000000000027</v>
      </c>
      <c r="L215" s="3">
        <v>3900.0000000000014</v>
      </c>
    </row>
    <row r="216" spans="1:12" x14ac:dyDescent="0.25">
      <c r="A216" t="s">
        <v>27</v>
      </c>
      <c r="B216">
        <v>1189833</v>
      </c>
      <c r="C216" s="1">
        <v>44207</v>
      </c>
      <c r="D216" t="s">
        <v>57</v>
      </c>
      <c r="E216" t="s">
        <v>58</v>
      </c>
      <c r="F216" t="s">
        <v>59</v>
      </c>
      <c r="G216" t="s">
        <v>15</v>
      </c>
      <c r="H216" t="s">
        <v>35</v>
      </c>
      <c r="I216" s="3">
        <v>45</v>
      </c>
      <c r="J216" s="2">
        <v>425</v>
      </c>
      <c r="K216" s="3">
        <f t="shared" si="3"/>
        <v>19125</v>
      </c>
      <c r="L216" s="3">
        <v>10518.75</v>
      </c>
    </row>
    <row r="217" spans="1:12" x14ac:dyDescent="0.25">
      <c r="A217" t="s">
        <v>11</v>
      </c>
      <c r="B217">
        <v>1185732</v>
      </c>
      <c r="C217" s="1">
        <v>44207</v>
      </c>
      <c r="D217" t="s">
        <v>57</v>
      </c>
      <c r="E217" t="s">
        <v>106</v>
      </c>
      <c r="F217" t="s">
        <v>107</v>
      </c>
      <c r="G217" t="s">
        <v>18</v>
      </c>
      <c r="H217" t="s">
        <v>16</v>
      </c>
      <c r="I217" s="3">
        <v>25</v>
      </c>
      <c r="J217" s="2">
        <v>475</v>
      </c>
      <c r="K217" s="3">
        <f t="shared" si="3"/>
        <v>11875</v>
      </c>
      <c r="L217" s="3">
        <v>5937.5</v>
      </c>
    </row>
    <row r="218" spans="1:12" x14ac:dyDescent="0.25">
      <c r="A218" t="s">
        <v>11</v>
      </c>
      <c r="B218">
        <v>1128299</v>
      </c>
      <c r="C218" s="1">
        <v>44207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s="3">
        <v>60</v>
      </c>
      <c r="J218" s="2">
        <v>306</v>
      </c>
      <c r="K218" s="3">
        <f t="shared" si="3"/>
        <v>18360</v>
      </c>
      <c r="L218" s="3">
        <v>13586.4</v>
      </c>
    </row>
    <row r="219" spans="1:12" x14ac:dyDescent="0.25">
      <c r="A219" t="s">
        <v>11</v>
      </c>
      <c r="B219">
        <v>1128299</v>
      </c>
      <c r="C219" s="1">
        <v>44207</v>
      </c>
      <c r="D219" t="s">
        <v>12</v>
      </c>
      <c r="E219" t="s">
        <v>13</v>
      </c>
      <c r="F219" t="s">
        <v>14</v>
      </c>
      <c r="G219" t="s">
        <v>41</v>
      </c>
      <c r="H219" t="s">
        <v>16</v>
      </c>
      <c r="I219" s="3">
        <v>72</v>
      </c>
      <c r="J219" s="2">
        <v>219</v>
      </c>
      <c r="K219" s="3">
        <f t="shared" si="3"/>
        <v>15768</v>
      </c>
      <c r="L219" s="3">
        <v>10249.200000000001</v>
      </c>
    </row>
    <row r="220" spans="1:12" x14ac:dyDescent="0.25">
      <c r="A220" t="s">
        <v>11</v>
      </c>
      <c r="B220">
        <v>1185732</v>
      </c>
      <c r="C220" s="1">
        <v>44207</v>
      </c>
      <c r="D220" t="s">
        <v>57</v>
      </c>
      <c r="E220" t="s">
        <v>106</v>
      </c>
      <c r="F220" t="s">
        <v>107</v>
      </c>
      <c r="G220" t="s">
        <v>41</v>
      </c>
      <c r="H220" t="s">
        <v>17</v>
      </c>
      <c r="I220" s="3">
        <v>23</v>
      </c>
      <c r="J220" s="2">
        <v>133</v>
      </c>
      <c r="K220" s="3">
        <f t="shared" si="3"/>
        <v>3059</v>
      </c>
      <c r="L220" s="3">
        <v>1621.27</v>
      </c>
    </row>
    <row r="221" spans="1:12" x14ac:dyDescent="0.25">
      <c r="A221" t="s">
        <v>11</v>
      </c>
      <c r="B221">
        <v>1185732</v>
      </c>
      <c r="C221" s="1">
        <v>44207</v>
      </c>
      <c r="D221" t="s">
        <v>57</v>
      </c>
      <c r="E221" t="s">
        <v>106</v>
      </c>
      <c r="F221" t="s">
        <v>107</v>
      </c>
      <c r="G221" t="s">
        <v>41</v>
      </c>
      <c r="H221" t="s">
        <v>35</v>
      </c>
      <c r="I221" s="3">
        <v>14</v>
      </c>
      <c r="J221" s="2">
        <v>143</v>
      </c>
      <c r="K221" s="3">
        <f t="shared" si="3"/>
        <v>2002</v>
      </c>
      <c r="L221" s="3">
        <v>1061.06</v>
      </c>
    </row>
    <row r="222" spans="1:12" x14ac:dyDescent="0.25">
      <c r="A222" t="s">
        <v>11</v>
      </c>
      <c r="B222">
        <v>1185732</v>
      </c>
      <c r="C222" s="1">
        <v>44207</v>
      </c>
      <c r="D222" t="s">
        <v>57</v>
      </c>
      <c r="E222" t="s">
        <v>106</v>
      </c>
      <c r="F222" t="s">
        <v>107</v>
      </c>
      <c r="G222" t="s">
        <v>41</v>
      </c>
      <c r="H222" t="s">
        <v>22</v>
      </c>
      <c r="I222" s="3">
        <v>33</v>
      </c>
      <c r="J222" s="2">
        <v>98</v>
      </c>
      <c r="K222" s="3">
        <f t="shared" si="3"/>
        <v>3234</v>
      </c>
      <c r="L222" s="3">
        <v>1714.02</v>
      </c>
    </row>
    <row r="223" spans="1:12" x14ac:dyDescent="0.25">
      <c r="A223" t="s">
        <v>11</v>
      </c>
      <c r="B223">
        <v>1185732</v>
      </c>
      <c r="C223" s="1">
        <v>44207</v>
      </c>
      <c r="D223" t="s">
        <v>57</v>
      </c>
      <c r="E223" t="s">
        <v>106</v>
      </c>
      <c r="F223" t="s">
        <v>107</v>
      </c>
      <c r="G223" t="s">
        <v>41</v>
      </c>
      <c r="H223" t="s">
        <v>37</v>
      </c>
      <c r="I223" s="3">
        <v>18</v>
      </c>
      <c r="J223" s="2">
        <v>88</v>
      </c>
      <c r="K223" s="3">
        <f t="shared" si="3"/>
        <v>1584</v>
      </c>
      <c r="L223" s="3">
        <v>760.31999999999994</v>
      </c>
    </row>
    <row r="224" spans="1:12" x14ac:dyDescent="0.25">
      <c r="A224" t="s">
        <v>11</v>
      </c>
      <c r="B224">
        <v>1185732</v>
      </c>
      <c r="C224" s="1">
        <v>44207</v>
      </c>
      <c r="D224" t="s">
        <v>57</v>
      </c>
      <c r="E224" t="s">
        <v>106</v>
      </c>
      <c r="F224" t="s">
        <v>107</v>
      </c>
      <c r="G224" t="s">
        <v>41</v>
      </c>
      <c r="H224" t="s">
        <v>38</v>
      </c>
      <c r="I224" s="3">
        <v>23</v>
      </c>
      <c r="J224" s="2">
        <v>196</v>
      </c>
      <c r="K224" s="3">
        <f t="shared" si="3"/>
        <v>4508</v>
      </c>
      <c r="L224" s="3">
        <v>2028.6</v>
      </c>
    </row>
    <row r="225" spans="1:12" x14ac:dyDescent="0.25">
      <c r="A225" t="s">
        <v>27</v>
      </c>
      <c r="B225">
        <v>1189833</v>
      </c>
      <c r="C225" s="1">
        <v>44207</v>
      </c>
      <c r="D225" t="s">
        <v>57</v>
      </c>
      <c r="E225" t="s">
        <v>58</v>
      </c>
      <c r="F225" t="s">
        <v>59</v>
      </c>
      <c r="G225" t="s">
        <v>41</v>
      </c>
      <c r="H225" t="s">
        <v>35</v>
      </c>
      <c r="I225" s="3">
        <v>42</v>
      </c>
      <c r="J225" s="2">
        <v>128</v>
      </c>
      <c r="K225" s="3">
        <f t="shared" si="3"/>
        <v>5376</v>
      </c>
      <c r="L225" s="3">
        <v>2311.6799999999998</v>
      </c>
    </row>
    <row r="226" spans="1:12" x14ac:dyDescent="0.25">
      <c r="A226" t="s">
        <v>11</v>
      </c>
      <c r="B226">
        <v>1185732</v>
      </c>
      <c r="C226" s="1">
        <v>44207</v>
      </c>
      <c r="D226" t="s">
        <v>57</v>
      </c>
      <c r="E226" t="s">
        <v>106</v>
      </c>
      <c r="F226" t="s">
        <v>107</v>
      </c>
      <c r="G226" t="s">
        <v>41</v>
      </c>
      <c r="H226" t="s">
        <v>16</v>
      </c>
      <c r="I226" s="3">
        <v>24</v>
      </c>
      <c r="J226" s="2">
        <v>138</v>
      </c>
      <c r="K226" s="3">
        <f t="shared" si="3"/>
        <v>3312</v>
      </c>
      <c r="L226" s="3">
        <v>1192.3200000000002</v>
      </c>
    </row>
    <row r="227" spans="1:12" x14ac:dyDescent="0.25">
      <c r="A227" t="s">
        <v>11</v>
      </c>
      <c r="B227">
        <v>1185732</v>
      </c>
      <c r="C227" s="1">
        <v>44208</v>
      </c>
      <c r="D227" t="s">
        <v>32</v>
      </c>
      <c r="E227" t="s">
        <v>33</v>
      </c>
      <c r="F227" t="s">
        <v>34</v>
      </c>
      <c r="G227" t="s">
        <v>18</v>
      </c>
      <c r="H227" t="s">
        <v>35</v>
      </c>
      <c r="I227" s="3">
        <v>35</v>
      </c>
      <c r="J227" s="2">
        <v>650</v>
      </c>
      <c r="K227" s="3">
        <f t="shared" si="3"/>
        <v>22750</v>
      </c>
      <c r="L227" s="3">
        <v>17062.5</v>
      </c>
    </row>
    <row r="228" spans="1:12" x14ac:dyDescent="0.25">
      <c r="A228" t="s">
        <v>11</v>
      </c>
      <c r="B228">
        <v>1185732</v>
      </c>
      <c r="C228" s="1">
        <v>44208</v>
      </c>
      <c r="D228" t="s">
        <v>32</v>
      </c>
      <c r="E228" t="s">
        <v>33</v>
      </c>
      <c r="F228" t="s">
        <v>34</v>
      </c>
      <c r="G228" t="s">
        <v>18</v>
      </c>
      <c r="H228" t="s">
        <v>37</v>
      </c>
      <c r="I228" s="3">
        <v>40</v>
      </c>
      <c r="J228" s="2">
        <v>500</v>
      </c>
      <c r="K228" s="3">
        <f t="shared" si="3"/>
        <v>20000</v>
      </c>
      <c r="L228" s="3">
        <v>14000</v>
      </c>
    </row>
    <row r="229" spans="1:12" x14ac:dyDescent="0.25">
      <c r="A229" t="s">
        <v>19</v>
      </c>
      <c r="B229">
        <v>1185732</v>
      </c>
      <c r="C229" s="1">
        <v>44208</v>
      </c>
      <c r="D229" t="s">
        <v>57</v>
      </c>
      <c r="E229" t="s">
        <v>72</v>
      </c>
      <c r="F229" t="s">
        <v>73</v>
      </c>
      <c r="G229" t="s">
        <v>41</v>
      </c>
      <c r="H229" t="s">
        <v>17</v>
      </c>
      <c r="I229" s="3">
        <v>40</v>
      </c>
      <c r="J229" s="2">
        <v>275</v>
      </c>
      <c r="K229" s="3">
        <f t="shared" si="3"/>
        <v>11000</v>
      </c>
      <c r="L229" s="3">
        <v>7700</v>
      </c>
    </row>
    <row r="230" spans="1:12" x14ac:dyDescent="0.25">
      <c r="A230" t="s">
        <v>19</v>
      </c>
      <c r="B230">
        <v>1185732</v>
      </c>
      <c r="C230" s="1">
        <v>44208</v>
      </c>
      <c r="D230" t="s">
        <v>57</v>
      </c>
      <c r="E230" t="s">
        <v>72</v>
      </c>
      <c r="F230" t="s">
        <v>73</v>
      </c>
      <c r="G230" t="s">
        <v>41</v>
      </c>
      <c r="H230" t="s">
        <v>35</v>
      </c>
      <c r="I230" s="3">
        <v>30.000000000000004</v>
      </c>
      <c r="J230" s="2">
        <v>275</v>
      </c>
      <c r="K230" s="3">
        <f t="shared" si="3"/>
        <v>8250.0000000000018</v>
      </c>
      <c r="L230" s="3">
        <v>5775.0000000000018</v>
      </c>
    </row>
    <row r="231" spans="1:12" x14ac:dyDescent="0.25">
      <c r="A231" t="s">
        <v>19</v>
      </c>
      <c r="B231">
        <v>1185732</v>
      </c>
      <c r="C231" s="1">
        <v>44208</v>
      </c>
      <c r="D231" t="s">
        <v>57</v>
      </c>
      <c r="E231" t="s">
        <v>72</v>
      </c>
      <c r="F231" t="s">
        <v>73</v>
      </c>
      <c r="G231" t="s">
        <v>41</v>
      </c>
      <c r="H231" t="s">
        <v>37</v>
      </c>
      <c r="I231" s="3">
        <v>35</v>
      </c>
      <c r="J231" s="2">
        <v>125</v>
      </c>
      <c r="K231" s="3">
        <f t="shared" si="3"/>
        <v>4375</v>
      </c>
      <c r="L231" s="3">
        <v>3062.5</v>
      </c>
    </row>
    <row r="232" spans="1:12" x14ac:dyDescent="0.25">
      <c r="A232" t="s">
        <v>11</v>
      </c>
      <c r="B232">
        <v>1185732</v>
      </c>
      <c r="C232" s="1">
        <v>44208</v>
      </c>
      <c r="D232" t="s">
        <v>32</v>
      </c>
      <c r="E232" t="s">
        <v>33</v>
      </c>
      <c r="F232" t="s">
        <v>34</v>
      </c>
      <c r="G232" t="s">
        <v>18</v>
      </c>
      <c r="H232" t="s">
        <v>22</v>
      </c>
      <c r="I232" s="3">
        <v>55.000000000000007</v>
      </c>
      <c r="J232" s="2">
        <v>550</v>
      </c>
      <c r="K232" s="3">
        <f t="shared" si="3"/>
        <v>30250.000000000004</v>
      </c>
      <c r="L232" s="3">
        <v>19662.500000000007</v>
      </c>
    </row>
    <row r="233" spans="1:12" x14ac:dyDescent="0.25">
      <c r="A233" t="s">
        <v>11</v>
      </c>
      <c r="B233">
        <v>1128299</v>
      </c>
      <c r="C233" s="1">
        <v>44208</v>
      </c>
      <c r="D233" t="s">
        <v>12</v>
      </c>
      <c r="E233" t="s">
        <v>13</v>
      </c>
      <c r="F233" t="s">
        <v>14</v>
      </c>
      <c r="G233" t="s">
        <v>15</v>
      </c>
      <c r="H233" t="s">
        <v>38</v>
      </c>
      <c r="I233" s="3">
        <v>60</v>
      </c>
      <c r="J233" s="2">
        <v>1025</v>
      </c>
      <c r="K233" s="3">
        <f t="shared" si="3"/>
        <v>61500</v>
      </c>
      <c r="L233" s="3">
        <v>39975</v>
      </c>
    </row>
    <row r="234" spans="1:12" x14ac:dyDescent="0.25">
      <c r="A234" t="s">
        <v>11</v>
      </c>
      <c r="B234">
        <v>1185732</v>
      </c>
      <c r="C234" s="1">
        <v>44208</v>
      </c>
      <c r="D234" t="s">
        <v>32</v>
      </c>
      <c r="E234" t="s">
        <v>33</v>
      </c>
      <c r="F234" t="s">
        <v>34</v>
      </c>
      <c r="G234" t="s">
        <v>18</v>
      </c>
      <c r="H234" t="s">
        <v>17</v>
      </c>
      <c r="I234" s="3">
        <v>45</v>
      </c>
      <c r="J234" s="2">
        <v>650</v>
      </c>
      <c r="K234" s="3">
        <f t="shared" si="3"/>
        <v>29250</v>
      </c>
      <c r="L234" s="3">
        <v>19012.5</v>
      </c>
    </row>
    <row r="235" spans="1:12" x14ac:dyDescent="0.25">
      <c r="A235" t="s">
        <v>19</v>
      </c>
      <c r="B235">
        <v>1185732</v>
      </c>
      <c r="C235" s="1">
        <v>44208</v>
      </c>
      <c r="D235" t="s">
        <v>57</v>
      </c>
      <c r="E235" t="s">
        <v>72</v>
      </c>
      <c r="F235" t="s">
        <v>73</v>
      </c>
      <c r="G235" t="s">
        <v>41</v>
      </c>
      <c r="H235" t="s">
        <v>38</v>
      </c>
      <c r="I235" s="3">
        <v>40</v>
      </c>
      <c r="J235" s="2">
        <v>475</v>
      </c>
      <c r="K235" s="3">
        <f t="shared" si="3"/>
        <v>19000</v>
      </c>
      <c r="L235" s="3">
        <v>12350</v>
      </c>
    </row>
    <row r="236" spans="1:12" x14ac:dyDescent="0.25">
      <c r="A236" t="s">
        <v>19</v>
      </c>
      <c r="B236">
        <v>1185732</v>
      </c>
      <c r="C236" s="1">
        <v>44208</v>
      </c>
      <c r="D236" t="s">
        <v>57</v>
      </c>
      <c r="E236" t="s">
        <v>72</v>
      </c>
      <c r="F236" t="s">
        <v>73</v>
      </c>
      <c r="G236" t="s">
        <v>41</v>
      </c>
      <c r="H236" t="s">
        <v>22</v>
      </c>
      <c r="I236" s="3">
        <v>49.999999999999993</v>
      </c>
      <c r="J236" s="2">
        <v>175</v>
      </c>
      <c r="K236" s="3">
        <f t="shared" si="3"/>
        <v>8749.9999999999982</v>
      </c>
      <c r="L236" s="3">
        <v>5687.4999999999991</v>
      </c>
    </row>
    <row r="237" spans="1:12" x14ac:dyDescent="0.25">
      <c r="A237" t="s">
        <v>27</v>
      </c>
      <c r="B237">
        <v>1189833</v>
      </c>
      <c r="C237" s="1">
        <v>44208</v>
      </c>
      <c r="D237" t="s">
        <v>57</v>
      </c>
      <c r="E237" t="s">
        <v>58</v>
      </c>
      <c r="F237" t="s">
        <v>59</v>
      </c>
      <c r="G237" t="s">
        <v>15</v>
      </c>
      <c r="H237" t="s">
        <v>37</v>
      </c>
      <c r="I237" s="3">
        <v>45</v>
      </c>
      <c r="J237" s="2">
        <v>325</v>
      </c>
      <c r="K237" s="3">
        <f t="shared" si="3"/>
        <v>14625</v>
      </c>
      <c r="L237" s="3">
        <v>8775</v>
      </c>
    </row>
    <row r="238" spans="1:12" x14ac:dyDescent="0.25">
      <c r="A238" t="s">
        <v>19</v>
      </c>
      <c r="B238">
        <v>1185732</v>
      </c>
      <c r="C238" s="1">
        <v>44208</v>
      </c>
      <c r="D238" t="s">
        <v>57</v>
      </c>
      <c r="E238" t="s">
        <v>72</v>
      </c>
      <c r="F238" t="s">
        <v>73</v>
      </c>
      <c r="G238" t="s">
        <v>41</v>
      </c>
      <c r="H238" t="s">
        <v>16</v>
      </c>
      <c r="I238" s="3">
        <v>40</v>
      </c>
      <c r="J238" s="2">
        <v>275</v>
      </c>
      <c r="K238" s="3">
        <f t="shared" si="3"/>
        <v>11000</v>
      </c>
      <c r="L238" s="3">
        <v>6600</v>
      </c>
    </row>
    <row r="239" spans="1:12" x14ac:dyDescent="0.25">
      <c r="A239" t="s">
        <v>11</v>
      </c>
      <c r="B239">
        <v>1185732</v>
      </c>
      <c r="C239" s="1">
        <v>44208</v>
      </c>
      <c r="D239" t="s">
        <v>32</v>
      </c>
      <c r="E239" t="s">
        <v>33</v>
      </c>
      <c r="F239" t="s">
        <v>34</v>
      </c>
      <c r="G239" t="s">
        <v>18</v>
      </c>
      <c r="H239" t="s">
        <v>38</v>
      </c>
      <c r="I239" s="3">
        <v>45</v>
      </c>
      <c r="J239" s="2">
        <v>850</v>
      </c>
      <c r="K239" s="3">
        <f t="shared" si="3"/>
        <v>38250</v>
      </c>
      <c r="L239" s="3">
        <v>21037.5</v>
      </c>
    </row>
    <row r="240" spans="1:12" x14ac:dyDescent="0.25">
      <c r="A240" t="s">
        <v>11</v>
      </c>
      <c r="B240">
        <v>1185732</v>
      </c>
      <c r="C240" s="1">
        <v>44208</v>
      </c>
      <c r="D240" t="s">
        <v>32</v>
      </c>
      <c r="E240" t="s">
        <v>33</v>
      </c>
      <c r="F240" t="s">
        <v>34</v>
      </c>
      <c r="G240" t="s">
        <v>18</v>
      </c>
      <c r="H240" t="s">
        <v>16</v>
      </c>
      <c r="I240" s="3">
        <v>45</v>
      </c>
      <c r="J240" s="2">
        <v>650</v>
      </c>
      <c r="K240" s="3">
        <f t="shared" si="3"/>
        <v>29250</v>
      </c>
      <c r="L240" s="3">
        <v>14625</v>
      </c>
    </row>
    <row r="241" spans="1:12" x14ac:dyDescent="0.25">
      <c r="A241" t="s">
        <v>11</v>
      </c>
      <c r="B241">
        <v>1185732</v>
      </c>
      <c r="C241" s="1">
        <v>44208</v>
      </c>
      <c r="D241" t="s">
        <v>32</v>
      </c>
      <c r="E241" t="s">
        <v>33</v>
      </c>
      <c r="F241" t="s">
        <v>34</v>
      </c>
      <c r="G241" t="s">
        <v>15</v>
      </c>
      <c r="H241" t="s">
        <v>35</v>
      </c>
      <c r="I241" s="3">
        <v>26</v>
      </c>
      <c r="J241" s="2">
        <v>202</v>
      </c>
      <c r="K241" s="3">
        <f t="shared" si="3"/>
        <v>5252</v>
      </c>
      <c r="L241" s="3">
        <v>3728.92</v>
      </c>
    </row>
    <row r="242" spans="1:12" x14ac:dyDescent="0.25">
      <c r="A242" t="s">
        <v>11</v>
      </c>
      <c r="B242">
        <v>1185732</v>
      </c>
      <c r="C242" s="1">
        <v>44208</v>
      </c>
      <c r="D242" t="s">
        <v>32</v>
      </c>
      <c r="E242" t="s">
        <v>33</v>
      </c>
      <c r="F242" t="s">
        <v>34</v>
      </c>
      <c r="G242" t="s">
        <v>15</v>
      </c>
      <c r="H242" t="s">
        <v>37</v>
      </c>
      <c r="I242" s="3">
        <v>30</v>
      </c>
      <c r="J242" s="2">
        <v>170</v>
      </c>
      <c r="K242" s="3">
        <f t="shared" si="3"/>
        <v>5100</v>
      </c>
      <c r="L242" s="3">
        <v>3213</v>
      </c>
    </row>
    <row r="243" spans="1:12" x14ac:dyDescent="0.25">
      <c r="A243" t="s">
        <v>11</v>
      </c>
      <c r="B243">
        <v>1185732</v>
      </c>
      <c r="C243" s="1">
        <v>44208</v>
      </c>
      <c r="D243" t="s">
        <v>32</v>
      </c>
      <c r="E243" t="s">
        <v>33</v>
      </c>
      <c r="F243" t="s">
        <v>34</v>
      </c>
      <c r="G243" t="s">
        <v>41</v>
      </c>
      <c r="H243" t="s">
        <v>35</v>
      </c>
      <c r="I243" s="3">
        <v>32</v>
      </c>
      <c r="J243" s="2">
        <v>169</v>
      </c>
      <c r="K243" s="3">
        <f t="shared" si="3"/>
        <v>5408</v>
      </c>
      <c r="L243" s="3">
        <v>3352.96</v>
      </c>
    </row>
    <row r="244" spans="1:12" x14ac:dyDescent="0.25">
      <c r="A244" t="s">
        <v>11</v>
      </c>
      <c r="B244">
        <v>1128299</v>
      </c>
      <c r="C244" s="1">
        <v>44208</v>
      </c>
      <c r="D244" t="s">
        <v>12</v>
      </c>
      <c r="E244" t="s">
        <v>13</v>
      </c>
      <c r="F244" t="s">
        <v>14</v>
      </c>
      <c r="G244" t="s">
        <v>15</v>
      </c>
      <c r="H244" t="s">
        <v>38</v>
      </c>
      <c r="I244" s="3">
        <v>41</v>
      </c>
      <c r="J244" s="2">
        <v>338</v>
      </c>
      <c r="K244" s="3">
        <f t="shared" si="3"/>
        <v>13858</v>
      </c>
      <c r="L244" s="3">
        <v>8591.9599999999991</v>
      </c>
    </row>
    <row r="245" spans="1:12" x14ac:dyDescent="0.25">
      <c r="A245" t="s">
        <v>11</v>
      </c>
      <c r="B245">
        <v>1185732</v>
      </c>
      <c r="C245" s="1">
        <v>44208</v>
      </c>
      <c r="D245" t="s">
        <v>32</v>
      </c>
      <c r="E245" t="s">
        <v>33</v>
      </c>
      <c r="F245" t="s">
        <v>34</v>
      </c>
      <c r="G245" t="s">
        <v>15</v>
      </c>
      <c r="H245" t="s">
        <v>17</v>
      </c>
      <c r="I245" s="3">
        <v>36</v>
      </c>
      <c r="J245" s="2">
        <v>221</v>
      </c>
      <c r="K245" s="3">
        <f t="shared" si="3"/>
        <v>7956</v>
      </c>
      <c r="L245" s="3">
        <v>4773.6000000000004</v>
      </c>
    </row>
    <row r="246" spans="1:12" x14ac:dyDescent="0.25">
      <c r="A246" t="s">
        <v>19</v>
      </c>
      <c r="B246">
        <v>1185732</v>
      </c>
      <c r="C246" s="1">
        <v>44208</v>
      </c>
      <c r="D246" t="s">
        <v>57</v>
      </c>
      <c r="E246" t="s">
        <v>72</v>
      </c>
      <c r="F246" t="s">
        <v>73</v>
      </c>
      <c r="G246" t="s">
        <v>41</v>
      </c>
      <c r="H246" t="s">
        <v>17</v>
      </c>
      <c r="I246" s="3">
        <v>37</v>
      </c>
      <c r="J246" s="2">
        <v>80</v>
      </c>
      <c r="K246" s="3">
        <f t="shared" si="3"/>
        <v>2960</v>
      </c>
      <c r="L246" s="3">
        <v>1776</v>
      </c>
    </row>
    <row r="247" spans="1:12" x14ac:dyDescent="0.25">
      <c r="A247" t="s">
        <v>19</v>
      </c>
      <c r="B247">
        <v>1185732</v>
      </c>
      <c r="C247" s="1">
        <v>44208</v>
      </c>
      <c r="D247" t="s">
        <v>57</v>
      </c>
      <c r="E247" t="s">
        <v>72</v>
      </c>
      <c r="F247" t="s">
        <v>73</v>
      </c>
      <c r="G247" t="s">
        <v>41</v>
      </c>
      <c r="H247" t="s">
        <v>37</v>
      </c>
      <c r="I247" s="3">
        <v>34</v>
      </c>
      <c r="J247" s="2">
        <v>36</v>
      </c>
      <c r="K247" s="3">
        <f t="shared" si="3"/>
        <v>1224</v>
      </c>
      <c r="L247" s="3">
        <v>734.4</v>
      </c>
    </row>
    <row r="248" spans="1:12" x14ac:dyDescent="0.25">
      <c r="A248" t="s">
        <v>11</v>
      </c>
      <c r="B248">
        <v>1185732</v>
      </c>
      <c r="C248" s="1">
        <v>44208</v>
      </c>
      <c r="D248" t="s">
        <v>32</v>
      </c>
      <c r="E248" t="s">
        <v>33</v>
      </c>
      <c r="F248" t="s">
        <v>34</v>
      </c>
      <c r="G248" t="s">
        <v>41</v>
      </c>
      <c r="H248" t="s">
        <v>37</v>
      </c>
      <c r="I248" s="3">
        <v>37</v>
      </c>
      <c r="J248" s="2">
        <v>145</v>
      </c>
      <c r="K248" s="3">
        <f t="shared" si="3"/>
        <v>5365</v>
      </c>
      <c r="L248" s="3">
        <v>3165.35</v>
      </c>
    </row>
    <row r="249" spans="1:12" x14ac:dyDescent="0.25">
      <c r="A249" t="s">
        <v>11</v>
      </c>
      <c r="B249">
        <v>1185732</v>
      </c>
      <c r="C249" s="1">
        <v>44208</v>
      </c>
      <c r="D249" t="s">
        <v>32</v>
      </c>
      <c r="E249" t="s">
        <v>33</v>
      </c>
      <c r="F249" t="s">
        <v>34</v>
      </c>
      <c r="G249" t="s">
        <v>15</v>
      </c>
      <c r="H249" t="s">
        <v>22</v>
      </c>
      <c r="I249" s="3">
        <v>36</v>
      </c>
      <c r="J249" s="2">
        <v>193</v>
      </c>
      <c r="K249" s="3">
        <f t="shared" si="3"/>
        <v>6948</v>
      </c>
      <c r="L249" s="3">
        <v>4099.32</v>
      </c>
    </row>
    <row r="250" spans="1:12" x14ac:dyDescent="0.25">
      <c r="A250" t="s">
        <v>19</v>
      </c>
      <c r="B250">
        <v>1185732</v>
      </c>
      <c r="C250" s="1">
        <v>44208</v>
      </c>
      <c r="D250" t="s">
        <v>57</v>
      </c>
      <c r="E250" t="s">
        <v>72</v>
      </c>
      <c r="F250" t="s">
        <v>73</v>
      </c>
      <c r="G250" t="s">
        <v>41</v>
      </c>
      <c r="H250" t="s">
        <v>35</v>
      </c>
      <c r="I250" s="3">
        <v>27</v>
      </c>
      <c r="J250" s="2">
        <v>83</v>
      </c>
      <c r="K250" s="3">
        <f t="shared" si="3"/>
        <v>2241</v>
      </c>
      <c r="L250" s="3">
        <v>1254.96</v>
      </c>
    </row>
    <row r="251" spans="1:12" x14ac:dyDescent="0.25">
      <c r="A251" t="s">
        <v>11</v>
      </c>
      <c r="B251">
        <v>1185732</v>
      </c>
      <c r="C251" s="1">
        <v>44208</v>
      </c>
      <c r="D251" t="s">
        <v>32</v>
      </c>
      <c r="E251" t="s">
        <v>33</v>
      </c>
      <c r="F251" t="s">
        <v>34</v>
      </c>
      <c r="G251" t="s">
        <v>41</v>
      </c>
      <c r="H251" t="s">
        <v>22</v>
      </c>
      <c r="I251" s="3">
        <v>51</v>
      </c>
      <c r="J251" s="2">
        <v>165</v>
      </c>
      <c r="K251" s="3">
        <f t="shared" si="3"/>
        <v>8415</v>
      </c>
      <c r="L251" s="3">
        <v>4628.25</v>
      </c>
    </row>
    <row r="252" spans="1:12" x14ac:dyDescent="0.25">
      <c r="A252" t="s">
        <v>11</v>
      </c>
      <c r="B252">
        <v>1128299</v>
      </c>
      <c r="C252" s="1">
        <v>44208</v>
      </c>
      <c r="D252" t="s">
        <v>12</v>
      </c>
      <c r="E252" t="s">
        <v>13</v>
      </c>
      <c r="F252" t="s">
        <v>14</v>
      </c>
      <c r="G252" t="s">
        <v>41</v>
      </c>
      <c r="H252" t="s">
        <v>38</v>
      </c>
      <c r="I252" s="3">
        <v>56</v>
      </c>
      <c r="J252" s="2">
        <v>277</v>
      </c>
      <c r="K252" s="3">
        <f t="shared" si="3"/>
        <v>15512</v>
      </c>
      <c r="L252" s="3">
        <v>8531.5999999999985</v>
      </c>
    </row>
    <row r="253" spans="1:12" x14ac:dyDescent="0.25">
      <c r="A253" t="s">
        <v>19</v>
      </c>
      <c r="B253">
        <v>1185732</v>
      </c>
      <c r="C253" s="1">
        <v>44208</v>
      </c>
      <c r="D253" t="s">
        <v>57</v>
      </c>
      <c r="E253" t="s">
        <v>72</v>
      </c>
      <c r="F253" t="s">
        <v>73</v>
      </c>
      <c r="G253" t="s">
        <v>41</v>
      </c>
      <c r="H253" t="s">
        <v>22</v>
      </c>
      <c r="I253" s="3">
        <v>48</v>
      </c>
      <c r="J253" s="2">
        <v>44</v>
      </c>
      <c r="K253" s="3">
        <f t="shared" si="3"/>
        <v>2112</v>
      </c>
      <c r="L253" s="3">
        <v>1119.3600000000001</v>
      </c>
    </row>
    <row r="254" spans="1:12" x14ac:dyDescent="0.25">
      <c r="A254" t="s">
        <v>11</v>
      </c>
      <c r="B254">
        <v>1185732</v>
      </c>
      <c r="C254" s="1">
        <v>44208</v>
      </c>
      <c r="D254" t="s">
        <v>32</v>
      </c>
      <c r="E254" t="s">
        <v>33</v>
      </c>
      <c r="F254" t="s">
        <v>34</v>
      </c>
      <c r="G254" t="s">
        <v>41</v>
      </c>
      <c r="H254" t="s">
        <v>17</v>
      </c>
      <c r="I254" s="3">
        <v>44</v>
      </c>
      <c r="J254" s="2">
        <v>189</v>
      </c>
      <c r="K254" s="3">
        <f t="shared" si="3"/>
        <v>8316</v>
      </c>
      <c r="L254" s="3">
        <v>4407.4799999999996</v>
      </c>
    </row>
    <row r="255" spans="1:12" x14ac:dyDescent="0.25">
      <c r="A255" t="s">
        <v>19</v>
      </c>
      <c r="B255">
        <v>1185732</v>
      </c>
      <c r="C255" s="1">
        <v>44208</v>
      </c>
      <c r="D255" t="s">
        <v>57</v>
      </c>
      <c r="E255" t="s">
        <v>72</v>
      </c>
      <c r="F255" t="s">
        <v>73</v>
      </c>
      <c r="G255" t="s">
        <v>41</v>
      </c>
      <c r="H255" t="s">
        <v>38</v>
      </c>
      <c r="I255" s="3">
        <v>38</v>
      </c>
      <c r="J255" s="2">
        <v>138</v>
      </c>
      <c r="K255" s="3">
        <f t="shared" si="3"/>
        <v>5244</v>
      </c>
      <c r="L255" s="3">
        <v>2674.44</v>
      </c>
    </row>
    <row r="256" spans="1:12" x14ac:dyDescent="0.25">
      <c r="A256" t="s">
        <v>11</v>
      </c>
      <c r="B256">
        <v>1185732</v>
      </c>
      <c r="C256" s="1">
        <v>44208</v>
      </c>
      <c r="D256" t="s">
        <v>32</v>
      </c>
      <c r="E256" t="s">
        <v>33</v>
      </c>
      <c r="F256" t="s">
        <v>34</v>
      </c>
      <c r="G256" t="s">
        <v>15</v>
      </c>
      <c r="H256" t="s">
        <v>38</v>
      </c>
      <c r="I256" s="3">
        <v>30</v>
      </c>
      <c r="J256" s="2">
        <v>272</v>
      </c>
      <c r="K256" s="3">
        <f t="shared" si="3"/>
        <v>8160</v>
      </c>
      <c r="L256" s="3">
        <v>3998.3999999999996</v>
      </c>
    </row>
    <row r="257" spans="1:12" x14ac:dyDescent="0.25">
      <c r="A257" t="s">
        <v>27</v>
      </c>
      <c r="B257">
        <v>1189833</v>
      </c>
      <c r="C257" s="1">
        <v>44208</v>
      </c>
      <c r="D257" t="s">
        <v>57</v>
      </c>
      <c r="E257" t="s">
        <v>58</v>
      </c>
      <c r="F257" t="s">
        <v>59</v>
      </c>
      <c r="G257" t="s">
        <v>41</v>
      </c>
      <c r="H257" t="s">
        <v>37</v>
      </c>
      <c r="I257" s="3">
        <v>44</v>
      </c>
      <c r="J257" s="2">
        <v>91</v>
      </c>
      <c r="K257" s="3">
        <f t="shared" si="3"/>
        <v>4004</v>
      </c>
      <c r="L257" s="3">
        <v>1881.88</v>
      </c>
    </row>
    <row r="258" spans="1:12" x14ac:dyDescent="0.25">
      <c r="A258" t="s">
        <v>11</v>
      </c>
      <c r="B258">
        <v>1185732</v>
      </c>
      <c r="C258" s="1">
        <v>44208</v>
      </c>
      <c r="D258" t="s">
        <v>32</v>
      </c>
      <c r="E258" t="s">
        <v>33</v>
      </c>
      <c r="F258" t="s">
        <v>34</v>
      </c>
      <c r="G258" t="s">
        <v>41</v>
      </c>
      <c r="H258" t="s">
        <v>38</v>
      </c>
      <c r="I258" s="3">
        <v>41</v>
      </c>
      <c r="J258" s="2">
        <v>255</v>
      </c>
      <c r="K258" s="3">
        <f t="shared" si="3"/>
        <v>10455</v>
      </c>
      <c r="L258" s="3">
        <v>4704.7499999999991</v>
      </c>
    </row>
    <row r="259" spans="1:12" x14ac:dyDescent="0.25">
      <c r="A259" t="s">
        <v>19</v>
      </c>
      <c r="B259">
        <v>1185732</v>
      </c>
      <c r="C259" s="1">
        <v>44208</v>
      </c>
      <c r="D259" t="s">
        <v>57</v>
      </c>
      <c r="E259" t="s">
        <v>72</v>
      </c>
      <c r="F259" t="s">
        <v>73</v>
      </c>
      <c r="G259" t="s">
        <v>41</v>
      </c>
      <c r="H259" t="s">
        <v>16</v>
      </c>
      <c r="I259" s="3">
        <v>37</v>
      </c>
      <c r="J259" s="2">
        <v>72</v>
      </c>
      <c r="K259" s="3">
        <f t="shared" ref="K259:K322" si="4">I259*J259</f>
        <v>2664</v>
      </c>
      <c r="L259" s="3">
        <v>1198.8</v>
      </c>
    </row>
    <row r="260" spans="1:12" x14ac:dyDescent="0.25">
      <c r="A260" t="s">
        <v>11</v>
      </c>
      <c r="B260">
        <v>1185732</v>
      </c>
      <c r="C260" s="1">
        <v>44208</v>
      </c>
      <c r="D260" t="s">
        <v>32</v>
      </c>
      <c r="E260" t="s">
        <v>33</v>
      </c>
      <c r="F260" t="s">
        <v>34</v>
      </c>
      <c r="G260" t="s">
        <v>15</v>
      </c>
      <c r="H260" t="s">
        <v>16</v>
      </c>
      <c r="I260" s="3">
        <v>35</v>
      </c>
      <c r="J260" s="2">
        <v>221</v>
      </c>
      <c r="K260" s="3">
        <f t="shared" si="4"/>
        <v>7735</v>
      </c>
      <c r="L260" s="3">
        <v>3480.75</v>
      </c>
    </row>
    <row r="261" spans="1:12" x14ac:dyDescent="0.25">
      <c r="A261" t="s">
        <v>11</v>
      </c>
      <c r="B261">
        <v>1185732</v>
      </c>
      <c r="C261" s="1">
        <v>44208</v>
      </c>
      <c r="D261" t="s">
        <v>32</v>
      </c>
      <c r="E261" t="s">
        <v>33</v>
      </c>
      <c r="F261" t="s">
        <v>34</v>
      </c>
      <c r="G261" t="s">
        <v>41</v>
      </c>
      <c r="H261" t="s">
        <v>16</v>
      </c>
      <c r="I261" s="3">
        <v>44</v>
      </c>
      <c r="J261" s="2">
        <v>176</v>
      </c>
      <c r="K261" s="3">
        <f t="shared" si="4"/>
        <v>7744</v>
      </c>
      <c r="L261" s="3">
        <v>2710.3999999999996</v>
      </c>
    </row>
    <row r="262" spans="1:12" x14ac:dyDescent="0.25">
      <c r="A262" t="s">
        <v>11</v>
      </c>
      <c r="B262">
        <v>1128299</v>
      </c>
      <c r="C262" s="1">
        <v>44209</v>
      </c>
      <c r="D262" t="s">
        <v>12</v>
      </c>
      <c r="E262" t="s">
        <v>13</v>
      </c>
      <c r="F262" t="s">
        <v>14</v>
      </c>
      <c r="G262" t="s">
        <v>15</v>
      </c>
      <c r="H262" t="s">
        <v>17</v>
      </c>
      <c r="I262" s="3">
        <v>65</v>
      </c>
      <c r="J262" s="2">
        <v>875</v>
      </c>
      <c r="K262" s="3">
        <f t="shared" si="4"/>
        <v>56875</v>
      </c>
      <c r="L262" s="3">
        <v>45500</v>
      </c>
    </row>
    <row r="263" spans="1:12" x14ac:dyDescent="0.25">
      <c r="A263" t="s">
        <v>26</v>
      </c>
      <c r="B263">
        <v>1128299</v>
      </c>
      <c r="C263" s="1">
        <v>44209</v>
      </c>
      <c r="D263" t="s">
        <v>12</v>
      </c>
      <c r="E263" t="s">
        <v>42</v>
      </c>
      <c r="F263" t="s">
        <v>43</v>
      </c>
      <c r="G263" t="s">
        <v>41</v>
      </c>
      <c r="H263" t="s">
        <v>16</v>
      </c>
      <c r="I263" s="3">
        <v>40</v>
      </c>
      <c r="J263" s="2">
        <v>450</v>
      </c>
      <c r="K263" s="3">
        <f t="shared" si="4"/>
        <v>18000</v>
      </c>
      <c r="L263" s="3">
        <v>13500</v>
      </c>
    </row>
    <row r="264" spans="1:12" x14ac:dyDescent="0.25">
      <c r="A264" t="s">
        <v>26</v>
      </c>
      <c r="B264">
        <v>1128299</v>
      </c>
      <c r="C264" s="1">
        <v>44209</v>
      </c>
      <c r="D264" t="s">
        <v>12</v>
      </c>
      <c r="E264" t="s">
        <v>42</v>
      </c>
      <c r="F264" t="s">
        <v>43</v>
      </c>
      <c r="G264" t="s">
        <v>41</v>
      </c>
      <c r="H264" t="s">
        <v>22</v>
      </c>
      <c r="I264" s="3">
        <v>45.000000000000014</v>
      </c>
      <c r="J264" s="2">
        <v>250</v>
      </c>
      <c r="K264" s="3">
        <f t="shared" si="4"/>
        <v>11250.000000000004</v>
      </c>
      <c r="L264" s="3">
        <v>7312.5000000000027</v>
      </c>
    </row>
    <row r="265" spans="1:12" x14ac:dyDescent="0.25">
      <c r="A265" t="s">
        <v>26</v>
      </c>
      <c r="B265">
        <v>1128299</v>
      </c>
      <c r="C265" s="1">
        <v>44209</v>
      </c>
      <c r="D265" t="s">
        <v>12</v>
      </c>
      <c r="E265" t="s">
        <v>42</v>
      </c>
      <c r="F265" t="s">
        <v>43</v>
      </c>
      <c r="G265" t="s">
        <v>41</v>
      </c>
      <c r="H265" t="s">
        <v>35</v>
      </c>
      <c r="I265" s="3">
        <v>40</v>
      </c>
      <c r="J265" s="2">
        <v>450</v>
      </c>
      <c r="K265" s="3">
        <f t="shared" si="4"/>
        <v>18000</v>
      </c>
      <c r="L265" s="3">
        <v>11700</v>
      </c>
    </row>
    <row r="266" spans="1:12" x14ac:dyDescent="0.25">
      <c r="A266" t="s">
        <v>36</v>
      </c>
      <c r="B266">
        <v>1185732</v>
      </c>
      <c r="C266" s="1">
        <v>44209</v>
      </c>
      <c r="D266" t="s">
        <v>32</v>
      </c>
      <c r="E266" t="s">
        <v>108</v>
      </c>
      <c r="F266" t="s">
        <v>109</v>
      </c>
      <c r="G266" t="s">
        <v>41</v>
      </c>
      <c r="H266" t="s">
        <v>17</v>
      </c>
      <c r="I266" s="3">
        <v>35</v>
      </c>
      <c r="J266" s="2">
        <v>575</v>
      </c>
      <c r="K266" s="3">
        <f t="shared" si="4"/>
        <v>20125</v>
      </c>
      <c r="L266" s="3">
        <v>13081.25</v>
      </c>
    </row>
    <row r="267" spans="1:12" x14ac:dyDescent="0.25">
      <c r="A267" t="s">
        <v>36</v>
      </c>
      <c r="B267">
        <v>1185732</v>
      </c>
      <c r="C267" s="1">
        <v>44209</v>
      </c>
      <c r="D267" t="s">
        <v>32</v>
      </c>
      <c r="E267" t="s">
        <v>108</v>
      </c>
      <c r="F267" t="s">
        <v>109</v>
      </c>
      <c r="G267" t="s">
        <v>41</v>
      </c>
      <c r="H267" t="s">
        <v>22</v>
      </c>
      <c r="I267" s="3">
        <v>45</v>
      </c>
      <c r="J267" s="2">
        <v>475</v>
      </c>
      <c r="K267" s="3">
        <f t="shared" si="4"/>
        <v>21375</v>
      </c>
      <c r="L267" s="3">
        <v>13893.75</v>
      </c>
    </row>
    <row r="268" spans="1:12" x14ac:dyDescent="0.25">
      <c r="A268" t="s">
        <v>26</v>
      </c>
      <c r="B268">
        <v>1128299</v>
      </c>
      <c r="C268" s="1">
        <v>44209</v>
      </c>
      <c r="D268" t="s">
        <v>12</v>
      </c>
      <c r="E268" t="s">
        <v>42</v>
      </c>
      <c r="F268" t="s">
        <v>43</v>
      </c>
      <c r="G268" t="s">
        <v>41</v>
      </c>
      <c r="H268" t="s">
        <v>17</v>
      </c>
      <c r="I268" s="3">
        <v>40</v>
      </c>
      <c r="J268" s="2">
        <v>450</v>
      </c>
      <c r="K268" s="3">
        <f t="shared" si="4"/>
        <v>18000</v>
      </c>
      <c r="L268" s="3">
        <v>10800</v>
      </c>
    </row>
    <row r="269" spans="1:12" x14ac:dyDescent="0.25">
      <c r="A269" t="s">
        <v>26</v>
      </c>
      <c r="B269">
        <v>1128299</v>
      </c>
      <c r="C269" s="1">
        <v>44209</v>
      </c>
      <c r="D269" t="s">
        <v>12</v>
      </c>
      <c r="E269" t="s">
        <v>42</v>
      </c>
      <c r="F269" t="s">
        <v>43</v>
      </c>
      <c r="G269" t="s">
        <v>41</v>
      </c>
      <c r="H269" t="s">
        <v>37</v>
      </c>
      <c r="I269" s="3">
        <v>40</v>
      </c>
      <c r="J269" s="2">
        <v>300</v>
      </c>
      <c r="K269" s="3">
        <f t="shared" si="4"/>
        <v>12000</v>
      </c>
      <c r="L269" s="3">
        <v>7200</v>
      </c>
    </row>
    <row r="270" spans="1:12" x14ac:dyDescent="0.25">
      <c r="A270" t="s">
        <v>36</v>
      </c>
      <c r="B270">
        <v>1185732</v>
      </c>
      <c r="C270" s="1">
        <v>44209</v>
      </c>
      <c r="D270" t="s">
        <v>32</v>
      </c>
      <c r="E270" t="s">
        <v>108</v>
      </c>
      <c r="F270" t="s">
        <v>109</v>
      </c>
      <c r="G270" t="s">
        <v>41</v>
      </c>
      <c r="H270" t="s">
        <v>38</v>
      </c>
      <c r="I270" s="3">
        <v>35</v>
      </c>
      <c r="J270" s="2">
        <v>775</v>
      </c>
      <c r="K270" s="3">
        <f t="shared" si="4"/>
        <v>27125</v>
      </c>
      <c r="L270" s="3">
        <v>16275</v>
      </c>
    </row>
    <row r="271" spans="1:12" x14ac:dyDescent="0.25">
      <c r="A271" t="s">
        <v>36</v>
      </c>
      <c r="B271">
        <v>1185732</v>
      </c>
      <c r="C271" s="1">
        <v>44209</v>
      </c>
      <c r="D271" t="s">
        <v>32</v>
      </c>
      <c r="E271" t="s">
        <v>108</v>
      </c>
      <c r="F271" t="s">
        <v>109</v>
      </c>
      <c r="G271" t="s">
        <v>41</v>
      </c>
      <c r="H271" t="s">
        <v>35</v>
      </c>
      <c r="I271" s="3">
        <v>25.000000000000007</v>
      </c>
      <c r="J271" s="2">
        <v>575</v>
      </c>
      <c r="K271" s="3">
        <f t="shared" si="4"/>
        <v>14375.000000000004</v>
      </c>
      <c r="L271" s="3">
        <v>8625.0000000000018</v>
      </c>
    </row>
    <row r="272" spans="1:12" x14ac:dyDescent="0.25">
      <c r="A272" t="s">
        <v>36</v>
      </c>
      <c r="B272">
        <v>1185732</v>
      </c>
      <c r="C272" s="1">
        <v>44209</v>
      </c>
      <c r="D272" t="s">
        <v>32</v>
      </c>
      <c r="E272" t="s">
        <v>108</v>
      </c>
      <c r="F272" t="s">
        <v>109</v>
      </c>
      <c r="G272" t="s">
        <v>41</v>
      </c>
      <c r="H272" t="s">
        <v>37</v>
      </c>
      <c r="I272" s="3">
        <v>30</v>
      </c>
      <c r="J272" s="2">
        <v>425</v>
      </c>
      <c r="K272" s="3">
        <f t="shared" si="4"/>
        <v>12750</v>
      </c>
      <c r="L272" s="3">
        <v>7650</v>
      </c>
    </row>
    <row r="273" spans="1:12" x14ac:dyDescent="0.25">
      <c r="A273" t="s">
        <v>26</v>
      </c>
      <c r="B273">
        <v>1128299</v>
      </c>
      <c r="C273" s="1">
        <v>44209</v>
      </c>
      <c r="D273" t="s">
        <v>12</v>
      </c>
      <c r="E273" t="s">
        <v>42</v>
      </c>
      <c r="F273" t="s">
        <v>43</v>
      </c>
      <c r="G273" t="s">
        <v>41</v>
      </c>
      <c r="H273" t="s">
        <v>38</v>
      </c>
      <c r="I273" s="3">
        <v>29.999999999999993</v>
      </c>
      <c r="J273" s="2">
        <v>450</v>
      </c>
      <c r="K273" s="3">
        <f t="shared" si="4"/>
        <v>13499.999999999996</v>
      </c>
      <c r="L273" s="3">
        <v>8099.9999999999973</v>
      </c>
    </row>
    <row r="274" spans="1:12" x14ac:dyDescent="0.25">
      <c r="A274" t="s">
        <v>36</v>
      </c>
      <c r="B274">
        <v>1185732</v>
      </c>
      <c r="C274" s="1">
        <v>44209</v>
      </c>
      <c r="D274" t="s">
        <v>32</v>
      </c>
      <c r="E274" t="s">
        <v>108</v>
      </c>
      <c r="F274" t="s">
        <v>109</v>
      </c>
      <c r="G274" t="s">
        <v>41</v>
      </c>
      <c r="H274" t="s">
        <v>16</v>
      </c>
      <c r="I274" s="3">
        <v>35</v>
      </c>
      <c r="J274" s="2">
        <v>575</v>
      </c>
      <c r="K274" s="3">
        <f t="shared" si="4"/>
        <v>20125</v>
      </c>
      <c r="L274" s="3">
        <v>10062.5</v>
      </c>
    </row>
    <row r="275" spans="1:12" x14ac:dyDescent="0.25">
      <c r="A275" t="s">
        <v>27</v>
      </c>
      <c r="B275">
        <v>1189833</v>
      </c>
      <c r="C275" s="1">
        <v>44209</v>
      </c>
      <c r="D275" t="s">
        <v>57</v>
      </c>
      <c r="E275" t="s">
        <v>58</v>
      </c>
      <c r="F275" t="s">
        <v>59</v>
      </c>
      <c r="G275" t="s">
        <v>15</v>
      </c>
      <c r="H275" t="s">
        <v>22</v>
      </c>
      <c r="I275" s="3">
        <v>50</v>
      </c>
      <c r="J275" s="2">
        <v>200</v>
      </c>
      <c r="K275" s="3">
        <f t="shared" si="4"/>
        <v>10000</v>
      </c>
      <c r="L275" s="3">
        <v>3999.9999999999991</v>
      </c>
    </row>
    <row r="276" spans="1:12" x14ac:dyDescent="0.25">
      <c r="A276" t="s">
        <v>11</v>
      </c>
      <c r="B276">
        <v>1128299</v>
      </c>
      <c r="C276" s="1">
        <v>44209</v>
      </c>
      <c r="D276" t="s">
        <v>12</v>
      </c>
      <c r="E276" t="s">
        <v>13</v>
      </c>
      <c r="F276" t="s">
        <v>14</v>
      </c>
      <c r="G276" t="s">
        <v>15</v>
      </c>
      <c r="H276" t="s">
        <v>17</v>
      </c>
      <c r="I276" s="3">
        <v>49</v>
      </c>
      <c r="J276" s="2">
        <v>263</v>
      </c>
      <c r="K276" s="3">
        <f t="shared" si="4"/>
        <v>12887</v>
      </c>
      <c r="L276" s="3">
        <v>9794.119999999999</v>
      </c>
    </row>
    <row r="277" spans="1:12" x14ac:dyDescent="0.25">
      <c r="A277" t="s">
        <v>26</v>
      </c>
      <c r="B277">
        <v>1128299</v>
      </c>
      <c r="C277" s="1">
        <v>44209</v>
      </c>
      <c r="D277" t="s">
        <v>12</v>
      </c>
      <c r="E277" t="s">
        <v>42</v>
      </c>
      <c r="F277" t="s">
        <v>43</v>
      </c>
      <c r="G277" t="s">
        <v>15</v>
      </c>
      <c r="H277" t="s">
        <v>16</v>
      </c>
      <c r="I277" s="3">
        <v>28</v>
      </c>
      <c r="J277" s="2">
        <v>140</v>
      </c>
      <c r="K277" s="3">
        <f t="shared" si="4"/>
        <v>3920</v>
      </c>
      <c r="L277" s="3">
        <v>2665.6</v>
      </c>
    </row>
    <row r="278" spans="1:12" x14ac:dyDescent="0.25">
      <c r="A278" t="s">
        <v>11</v>
      </c>
      <c r="B278">
        <v>1128299</v>
      </c>
      <c r="C278" s="1">
        <v>44209</v>
      </c>
      <c r="D278" t="s">
        <v>12</v>
      </c>
      <c r="E278" t="s">
        <v>13</v>
      </c>
      <c r="F278" t="s">
        <v>14</v>
      </c>
      <c r="G278" t="s">
        <v>41</v>
      </c>
      <c r="H278" t="s">
        <v>17</v>
      </c>
      <c r="I278" s="3">
        <v>59</v>
      </c>
      <c r="J278" s="2">
        <v>245</v>
      </c>
      <c r="K278" s="3">
        <f t="shared" si="4"/>
        <v>14455</v>
      </c>
      <c r="L278" s="3">
        <v>9540.2999999999993</v>
      </c>
    </row>
    <row r="279" spans="1:12" x14ac:dyDescent="0.25">
      <c r="A279" t="s">
        <v>26</v>
      </c>
      <c r="B279">
        <v>1128299</v>
      </c>
      <c r="C279" s="1">
        <v>44209</v>
      </c>
      <c r="D279" t="s">
        <v>12</v>
      </c>
      <c r="E279" t="s">
        <v>42</v>
      </c>
      <c r="F279" t="s">
        <v>43</v>
      </c>
      <c r="G279" t="s">
        <v>41</v>
      </c>
      <c r="H279" t="s">
        <v>16</v>
      </c>
      <c r="I279" s="3">
        <v>36</v>
      </c>
      <c r="J279" s="2">
        <v>117</v>
      </c>
      <c r="K279" s="3">
        <f t="shared" si="4"/>
        <v>4212</v>
      </c>
      <c r="L279" s="3">
        <v>2569.3199999999997</v>
      </c>
    </row>
    <row r="280" spans="1:12" x14ac:dyDescent="0.25">
      <c r="A280" t="s">
        <v>26</v>
      </c>
      <c r="B280">
        <v>1128299</v>
      </c>
      <c r="C280" s="1">
        <v>44209</v>
      </c>
      <c r="D280" t="s">
        <v>12</v>
      </c>
      <c r="E280" t="s">
        <v>42</v>
      </c>
      <c r="F280" t="s">
        <v>43</v>
      </c>
      <c r="G280" t="s">
        <v>15</v>
      </c>
      <c r="H280" t="s">
        <v>22</v>
      </c>
      <c r="I280" s="3">
        <v>35</v>
      </c>
      <c r="J280" s="2">
        <v>75</v>
      </c>
      <c r="K280" s="3">
        <f t="shared" si="4"/>
        <v>2625</v>
      </c>
      <c r="L280" s="3">
        <v>1575</v>
      </c>
    </row>
    <row r="281" spans="1:12" x14ac:dyDescent="0.25">
      <c r="A281" t="s">
        <v>26</v>
      </c>
      <c r="B281">
        <v>1128299</v>
      </c>
      <c r="C281" s="1">
        <v>44209</v>
      </c>
      <c r="D281" t="s">
        <v>12</v>
      </c>
      <c r="E281" t="s">
        <v>42</v>
      </c>
      <c r="F281" t="s">
        <v>43</v>
      </c>
      <c r="G281" t="s">
        <v>15</v>
      </c>
      <c r="H281" t="s">
        <v>35</v>
      </c>
      <c r="I281" s="3">
        <v>32</v>
      </c>
      <c r="J281" s="2">
        <v>140</v>
      </c>
      <c r="K281" s="3">
        <f t="shared" si="4"/>
        <v>4480</v>
      </c>
      <c r="L281" s="3">
        <v>2598.4</v>
      </c>
    </row>
    <row r="282" spans="1:12" x14ac:dyDescent="0.25">
      <c r="A282" t="s">
        <v>26</v>
      </c>
      <c r="B282">
        <v>1128299</v>
      </c>
      <c r="C282" s="1">
        <v>44209</v>
      </c>
      <c r="D282" t="s">
        <v>12</v>
      </c>
      <c r="E282" t="s">
        <v>42</v>
      </c>
      <c r="F282" t="s">
        <v>43</v>
      </c>
      <c r="G282" t="s">
        <v>15</v>
      </c>
      <c r="H282" t="s">
        <v>37</v>
      </c>
      <c r="I282" s="3">
        <v>28</v>
      </c>
      <c r="J282" s="2">
        <v>99</v>
      </c>
      <c r="K282" s="3">
        <f t="shared" si="4"/>
        <v>2772</v>
      </c>
      <c r="L282" s="3">
        <v>1607.76</v>
      </c>
    </row>
    <row r="283" spans="1:12" x14ac:dyDescent="0.25">
      <c r="A283" t="s">
        <v>26</v>
      </c>
      <c r="B283">
        <v>1128299</v>
      </c>
      <c r="C283" s="1">
        <v>44209</v>
      </c>
      <c r="D283" t="s">
        <v>12</v>
      </c>
      <c r="E283" t="s">
        <v>42</v>
      </c>
      <c r="F283" t="s">
        <v>43</v>
      </c>
      <c r="G283" t="s">
        <v>41</v>
      </c>
      <c r="H283" t="s">
        <v>35</v>
      </c>
      <c r="I283" s="3">
        <v>38</v>
      </c>
      <c r="J283" s="2">
        <v>126</v>
      </c>
      <c r="K283" s="3">
        <f t="shared" si="4"/>
        <v>4788</v>
      </c>
      <c r="L283" s="3">
        <v>2633.4</v>
      </c>
    </row>
    <row r="284" spans="1:12" x14ac:dyDescent="0.25">
      <c r="A284" t="s">
        <v>26</v>
      </c>
      <c r="B284">
        <v>1128299</v>
      </c>
      <c r="C284" s="1">
        <v>44209</v>
      </c>
      <c r="D284" t="s">
        <v>12</v>
      </c>
      <c r="E284" t="s">
        <v>42</v>
      </c>
      <c r="F284" t="s">
        <v>43</v>
      </c>
      <c r="G284" t="s">
        <v>41</v>
      </c>
      <c r="H284" t="s">
        <v>22</v>
      </c>
      <c r="I284" s="3">
        <v>41</v>
      </c>
      <c r="J284" s="2">
        <v>63</v>
      </c>
      <c r="K284" s="3">
        <f t="shared" si="4"/>
        <v>2583</v>
      </c>
      <c r="L284" s="3">
        <v>1420.65</v>
      </c>
    </row>
    <row r="285" spans="1:12" x14ac:dyDescent="0.25">
      <c r="A285" t="s">
        <v>26</v>
      </c>
      <c r="B285">
        <v>1128299</v>
      </c>
      <c r="C285" s="1">
        <v>44209</v>
      </c>
      <c r="D285" t="s">
        <v>12</v>
      </c>
      <c r="E285" t="s">
        <v>42</v>
      </c>
      <c r="F285" t="s">
        <v>43</v>
      </c>
      <c r="G285" t="s">
        <v>15</v>
      </c>
      <c r="H285" t="s">
        <v>38</v>
      </c>
      <c r="I285" s="3">
        <v>24</v>
      </c>
      <c r="J285" s="2">
        <v>149</v>
      </c>
      <c r="K285" s="3">
        <f t="shared" si="4"/>
        <v>3576</v>
      </c>
      <c r="L285" s="3">
        <v>1931.04</v>
      </c>
    </row>
    <row r="286" spans="1:12" x14ac:dyDescent="0.25">
      <c r="A286" t="s">
        <v>26</v>
      </c>
      <c r="B286">
        <v>1128299</v>
      </c>
      <c r="C286" s="1">
        <v>44209</v>
      </c>
      <c r="D286" t="s">
        <v>12</v>
      </c>
      <c r="E286" t="s">
        <v>42</v>
      </c>
      <c r="F286" t="s">
        <v>43</v>
      </c>
      <c r="G286" t="s">
        <v>15</v>
      </c>
      <c r="H286" t="s">
        <v>17</v>
      </c>
      <c r="I286" s="3">
        <v>27</v>
      </c>
      <c r="J286" s="2">
        <v>140</v>
      </c>
      <c r="K286" s="3">
        <f t="shared" si="4"/>
        <v>3780</v>
      </c>
      <c r="L286" s="3">
        <v>2003.3999999999999</v>
      </c>
    </row>
    <row r="287" spans="1:12" x14ac:dyDescent="0.25">
      <c r="A287" t="s">
        <v>26</v>
      </c>
      <c r="B287">
        <v>1128299</v>
      </c>
      <c r="C287" s="1">
        <v>44209</v>
      </c>
      <c r="D287" t="s">
        <v>12</v>
      </c>
      <c r="E287" t="s">
        <v>42</v>
      </c>
      <c r="F287" t="s">
        <v>43</v>
      </c>
      <c r="G287" t="s">
        <v>41</v>
      </c>
      <c r="H287" t="s">
        <v>37</v>
      </c>
      <c r="I287" s="3">
        <v>39</v>
      </c>
      <c r="J287" s="2">
        <v>75</v>
      </c>
      <c r="K287" s="3">
        <f t="shared" si="4"/>
        <v>2925</v>
      </c>
      <c r="L287" s="3">
        <v>1462.5</v>
      </c>
    </row>
    <row r="288" spans="1:12" x14ac:dyDescent="0.25">
      <c r="A288" t="s">
        <v>36</v>
      </c>
      <c r="B288">
        <v>1185732</v>
      </c>
      <c r="C288" s="1">
        <v>44209</v>
      </c>
      <c r="D288" t="s">
        <v>32</v>
      </c>
      <c r="E288" t="s">
        <v>108</v>
      </c>
      <c r="F288" t="s">
        <v>109</v>
      </c>
      <c r="G288" t="s">
        <v>41</v>
      </c>
      <c r="H288" t="s">
        <v>17</v>
      </c>
      <c r="I288" s="3">
        <v>33</v>
      </c>
      <c r="J288" s="2">
        <v>150</v>
      </c>
      <c r="K288" s="3">
        <f t="shared" si="4"/>
        <v>4950</v>
      </c>
      <c r="L288" s="3">
        <v>2475</v>
      </c>
    </row>
    <row r="289" spans="1:12" x14ac:dyDescent="0.25">
      <c r="A289" t="s">
        <v>36</v>
      </c>
      <c r="B289">
        <v>1185732</v>
      </c>
      <c r="C289" s="1">
        <v>44209</v>
      </c>
      <c r="D289" t="s">
        <v>32</v>
      </c>
      <c r="E289" t="s">
        <v>108</v>
      </c>
      <c r="F289" t="s">
        <v>109</v>
      </c>
      <c r="G289" t="s">
        <v>41</v>
      </c>
      <c r="H289" t="s">
        <v>22</v>
      </c>
      <c r="I289" s="3">
        <v>44</v>
      </c>
      <c r="J289" s="2">
        <v>128</v>
      </c>
      <c r="K289" s="3">
        <f t="shared" si="4"/>
        <v>5632</v>
      </c>
      <c r="L289" s="3">
        <v>2816</v>
      </c>
    </row>
    <row r="290" spans="1:12" x14ac:dyDescent="0.25">
      <c r="A290" t="s">
        <v>26</v>
      </c>
      <c r="B290">
        <v>1128299</v>
      </c>
      <c r="C290" s="1">
        <v>44209</v>
      </c>
      <c r="D290" t="s">
        <v>12</v>
      </c>
      <c r="E290" t="s">
        <v>42</v>
      </c>
      <c r="F290" t="s">
        <v>43</v>
      </c>
      <c r="G290" t="s">
        <v>41</v>
      </c>
      <c r="H290" t="s">
        <v>38</v>
      </c>
      <c r="I290" s="3">
        <v>29</v>
      </c>
      <c r="J290" s="2">
        <v>131</v>
      </c>
      <c r="K290" s="3">
        <f t="shared" si="4"/>
        <v>3799</v>
      </c>
      <c r="L290" s="3">
        <v>1861.51</v>
      </c>
    </row>
    <row r="291" spans="1:12" x14ac:dyDescent="0.25">
      <c r="A291" t="s">
        <v>26</v>
      </c>
      <c r="B291">
        <v>1128299</v>
      </c>
      <c r="C291" s="1">
        <v>44209</v>
      </c>
      <c r="D291" t="s">
        <v>12</v>
      </c>
      <c r="E291" t="s">
        <v>42</v>
      </c>
      <c r="F291" t="s">
        <v>43</v>
      </c>
      <c r="G291" t="s">
        <v>41</v>
      </c>
      <c r="H291" t="s">
        <v>17</v>
      </c>
      <c r="I291" s="3">
        <v>39</v>
      </c>
      <c r="J291" s="2">
        <v>135</v>
      </c>
      <c r="K291" s="3">
        <f t="shared" si="4"/>
        <v>5265</v>
      </c>
      <c r="L291" s="3">
        <v>2579.85</v>
      </c>
    </row>
    <row r="292" spans="1:12" x14ac:dyDescent="0.25">
      <c r="A292" t="s">
        <v>36</v>
      </c>
      <c r="B292">
        <v>1185732</v>
      </c>
      <c r="C292" s="1">
        <v>44209</v>
      </c>
      <c r="D292" t="s">
        <v>32</v>
      </c>
      <c r="E292" t="s">
        <v>108</v>
      </c>
      <c r="F292" t="s">
        <v>109</v>
      </c>
      <c r="G292" t="s">
        <v>41</v>
      </c>
      <c r="H292" t="s">
        <v>38</v>
      </c>
      <c r="I292" s="3">
        <v>32</v>
      </c>
      <c r="J292" s="2">
        <v>194</v>
      </c>
      <c r="K292" s="3">
        <f t="shared" si="4"/>
        <v>6208</v>
      </c>
      <c r="L292" s="3">
        <v>2979.8399999999997</v>
      </c>
    </row>
    <row r="293" spans="1:12" x14ac:dyDescent="0.25">
      <c r="A293" t="s">
        <v>36</v>
      </c>
      <c r="B293">
        <v>1185732</v>
      </c>
      <c r="C293" s="1">
        <v>44209</v>
      </c>
      <c r="D293" t="s">
        <v>32</v>
      </c>
      <c r="E293" t="s">
        <v>108</v>
      </c>
      <c r="F293" t="s">
        <v>109</v>
      </c>
      <c r="G293" t="s">
        <v>41</v>
      </c>
      <c r="H293" t="s">
        <v>37</v>
      </c>
      <c r="I293" s="3">
        <v>29</v>
      </c>
      <c r="J293" s="2">
        <v>123</v>
      </c>
      <c r="K293" s="3">
        <f t="shared" si="4"/>
        <v>3567</v>
      </c>
      <c r="L293" s="3">
        <v>1712.1599999999999</v>
      </c>
    </row>
    <row r="294" spans="1:12" x14ac:dyDescent="0.25">
      <c r="A294" t="s">
        <v>36</v>
      </c>
      <c r="B294">
        <v>1185732</v>
      </c>
      <c r="C294" s="1">
        <v>44209</v>
      </c>
      <c r="D294" t="s">
        <v>32</v>
      </c>
      <c r="E294" t="s">
        <v>108</v>
      </c>
      <c r="F294" t="s">
        <v>109</v>
      </c>
      <c r="G294" t="s">
        <v>41</v>
      </c>
      <c r="H294" t="s">
        <v>35</v>
      </c>
      <c r="I294" s="3">
        <v>24</v>
      </c>
      <c r="J294" s="2">
        <v>167</v>
      </c>
      <c r="K294" s="3">
        <f t="shared" si="4"/>
        <v>4008</v>
      </c>
      <c r="L294" s="3">
        <v>1843.6799999999998</v>
      </c>
    </row>
    <row r="295" spans="1:12" x14ac:dyDescent="0.25">
      <c r="A295" t="s">
        <v>36</v>
      </c>
      <c r="B295">
        <v>1185732</v>
      </c>
      <c r="C295" s="1">
        <v>44209</v>
      </c>
      <c r="D295" t="s">
        <v>32</v>
      </c>
      <c r="E295" t="s">
        <v>108</v>
      </c>
      <c r="F295" t="s">
        <v>109</v>
      </c>
      <c r="G295" t="s">
        <v>41</v>
      </c>
      <c r="H295" t="s">
        <v>16</v>
      </c>
      <c r="I295" s="3">
        <v>32</v>
      </c>
      <c r="J295" s="2">
        <v>173</v>
      </c>
      <c r="K295" s="3">
        <f t="shared" si="4"/>
        <v>5536</v>
      </c>
      <c r="L295" s="3">
        <v>1937.6</v>
      </c>
    </row>
    <row r="296" spans="1:12" x14ac:dyDescent="0.25">
      <c r="A296" t="s">
        <v>27</v>
      </c>
      <c r="B296">
        <v>1189833</v>
      </c>
      <c r="C296" s="1">
        <v>44209</v>
      </c>
      <c r="D296" t="s">
        <v>57</v>
      </c>
      <c r="E296" t="s">
        <v>58</v>
      </c>
      <c r="F296" t="s">
        <v>59</v>
      </c>
      <c r="G296" t="s">
        <v>41</v>
      </c>
      <c r="H296" t="s">
        <v>22</v>
      </c>
      <c r="I296" s="3">
        <v>48</v>
      </c>
      <c r="J296" s="2">
        <v>60</v>
      </c>
      <c r="K296" s="3">
        <f t="shared" si="4"/>
        <v>2880</v>
      </c>
      <c r="L296" s="3">
        <v>835.19999999999982</v>
      </c>
    </row>
    <row r="297" spans="1:12" x14ac:dyDescent="0.25">
      <c r="A297" t="s">
        <v>27</v>
      </c>
      <c r="B297">
        <v>1189833</v>
      </c>
      <c r="C297" s="1">
        <v>44210</v>
      </c>
      <c r="D297" t="s">
        <v>57</v>
      </c>
      <c r="E297" t="s">
        <v>58</v>
      </c>
      <c r="F297" t="s">
        <v>59</v>
      </c>
      <c r="G297" t="s">
        <v>15</v>
      </c>
      <c r="H297" t="s">
        <v>16</v>
      </c>
      <c r="I297" s="3">
        <v>45</v>
      </c>
      <c r="J297" s="2">
        <v>400</v>
      </c>
      <c r="K297" s="3">
        <f t="shared" si="4"/>
        <v>18000</v>
      </c>
      <c r="L297" s="3">
        <v>13500</v>
      </c>
    </row>
    <row r="298" spans="1:12" x14ac:dyDescent="0.25">
      <c r="A298" t="s">
        <v>27</v>
      </c>
      <c r="B298">
        <v>1185732</v>
      </c>
      <c r="C298" s="1">
        <v>44210</v>
      </c>
      <c r="D298" t="s">
        <v>29</v>
      </c>
      <c r="E298" t="s">
        <v>60</v>
      </c>
      <c r="F298" t="s">
        <v>61</v>
      </c>
      <c r="G298" t="s">
        <v>18</v>
      </c>
      <c r="H298" t="s">
        <v>16</v>
      </c>
      <c r="I298" s="3">
        <v>40</v>
      </c>
      <c r="J298" s="2">
        <v>600</v>
      </c>
      <c r="K298" s="3">
        <f t="shared" si="4"/>
        <v>24000</v>
      </c>
      <c r="L298" s="3">
        <v>18000</v>
      </c>
    </row>
    <row r="299" spans="1:12" x14ac:dyDescent="0.25">
      <c r="A299" t="s">
        <v>27</v>
      </c>
      <c r="B299">
        <v>1185732</v>
      </c>
      <c r="C299" s="1">
        <v>44210</v>
      </c>
      <c r="D299" t="s">
        <v>29</v>
      </c>
      <c r="E299" t="s">
        <v>60</v>
      </c>
      <c r="F299" t="s">
        <v>61</v>
      </c>
      <c r="G299" t="s">
        <v>18</v>
      </c>
      <c r="H299" t="s">
        <v>17</v>
      </c>
      <c r="I299" s="3">
        <v>40</v>
      </c>
      <c r="J299" s="2">
        <v>600</v>
      </c>
      <c r="K299" s="3">
        <f t="shared" si="4"/>
        <v>24000</v>
      </c>
      <c r="L299" s="3">
        <v>16800</v>
      </c>
    </row>
    <row r="300" spans="1:12" x14ac:dyDescent="0.25">
      <c r="A300" t="s">
        <v>27</v>
      </c>
      <c r="B300">
        <v>1185732</v>
      </c>
      <c r="C300" s="1">
        <v>44210</v>
      </c>
      <c r="D300" t="s">
        <v>29</v>
      </c>
      <c r="E300" t="s">
        <v>60</v>
      </c>
      <c r="F300" t="s">
        <v>61</v>
      </c>
      <c r="G300" t="s">
        <v>18</v>
      </c>
      <c r="H300" t="s">
        <v>22</v>
      </c>
      <c r="I300" s="3">
        <v>50</v>
      </c>
      <c r="J300" s="2">
        <v>500</v>
      </c>
      <c r="K300" s="3">
        <f t="shared" si="4"/>
        <v>25000</v>
      </c>
      <c r="L300" s="3">
        <v>17500</v>
      </c>
    </row>
    <row r="301" spans="1:12" x14ac:dyDescent="0.25">
      <c r="A301" t="s">
        <v>27</v>
      </c>
      <c r="B301">
        <v>1185732</v>
      </c>
      <c r="C301" s="1">
        <v>44210</v>
      </c>
      <c r="D301" t="s">
        <v>29</v>
      </c>
      <c r="E301" t="s">
        <v>60</v>
      </c>
      <c r="F301" t="s">
        <v>61</v>
      </c>
      <c r="G301" t="s">
        <v>18</v>
      </c>
      <c r="H301" t="s">
        <v>35</v>
      </c>
      <c r="I301" s="3">
        <v>30.000000000000004</v>
      </c>
      <c r="J301" s="2">
        <v>600</v>
      </c>
      <c r="K301" s="3">
        <f t="shared" si="4"/>
        <v>18000.000000000004</v>
      </c>
      <c r="L301" s="3">
        <v>11700.000000000004</v>
      </c>
    </row>
    <row r="302" spans="1:12" x14ac:dyDescent="0.25">
      <c r="A302" t="s">
        <v>11</v>
      </c>
      <c r="B302">
        <v>1128299</v>
      </c>
      <c r="C302" s="1">
        <v>44210</v>
      </c>
      <c r="D302" t="s">
        <v>12</v>
      </c>
      <c r="E302" t="s">
        <v>13</v>
      </c>
      <c r="F302" t="s">
        <v>14</v>
      </c>
      <c r="G302" t="s">
        <v>15</v>
      </c>
      <c r="H302" t="s">
        <v>35</v>
      </c>
      <c r="I302" s="3">
        <v>65</v>
      </c>
      <c r="J302" s="2">
        <v>825</v>
      </c>
      <c r="K302" s="3">
        <f t="shared" si="4"/>
        <v>53625</v>
      </c>
      <c r="L302" s="3">
        <v>34856.25</v>
      </c>
    </row>
    <row r="303" spans="1:12" x14ac:dyDescent="0.25">
      <c r="A303" t="s">
        <v>27</v>
      </c>
      <c r="B303">
        <v>1185732</v>
      </c>
      <c r="C303" s="1">
        <v>44210</v>
      </c>
      <c r="D303" t="s">
        <v>29</v>
      </c>
      <c r="E303" t="s">
        <v>60</v>
      </c>
      <c r="F303" t="s">
        <v>61</v>
      </c>
      <c r="G303" t="s">
        <v>18</v>
      </c>
      <c r="H303" t="s">
        <v>37</v>
      </c>
      <c r="I303" s="3">
        <v>35</v>
      </c>
      <c r="J303" s="2">
        <v>450</v>
      </c>
      <c r="K303" s="3">
        <f t="shared" si="4"/>
        <v>15750</v>
      </c>
      <c r="L303" s="3">
        <v>10237.5</v>
      </c>
    </row>
    <row r="304" spans="1:12" x14ac:dyDescent="0.25">
      <c r="A304" t="s">
        <v>36</v>
      </c>
      <c r="B304">
        <v>1185732</v>
      </c>
      <c r="C304" s="1">
        <v>44210</v>
      </c>
      <c r="D304" t="s">
        <v>29</v>
      </c>
      <c r="E304" t="s">
        <v>50</v>
      </c>
      <c r="F304" t="s">
        <v>51</v>
      </c>
      <c r="G304" t="s">
        <v>18</v>
      </c>
      <c r="H304" t="s">
        <v>35</v>
      </c>
      <c r="I304" s="3">
        <v>35</v>
      </c>
      <c r="J304" s="2">
        <v>325</v>
      </c>
      <c r="K304" s="3">
        <f t="shared" si="4"/>
        <v>11375</v>
      </c>
      <c r="L304" s="3">
        <v>7393.75</v>
      </c>
    </row>
    <row r="305" spans="1:12" x14ac:dyDescent="0.25">
      <c r="A305" t="s">
        <v>36</v>
      </c>
      <c r="B305">
        <v>1185732</v>
      </c>
      <c r="C305" s="1">
        <v>44210</v>
      </c>
      <c r="D305" t="s">
        <v>29</v>
      </c>
      <c r="E305" t="s">
        <v>50</v>
      </c>
      <c r="F305" t="s">
        <v>51</v>
      </c>
      <c r="G305" t="s">
        <v>18</v>
      </c>
      <c r="H305" t="s">
        <v>37</v>
      </c>
      <c r="I305" s="3">
        <v>40</v>
      </c>
      <c r="J305" s="2">
        <v>175</v>
      </c>
      <c r="K305" s="3">
        <f t="shared" si="4"/>
        <v>7000</v>
      </c>
      <c r="L305" s="3">
        <v>4550</v>
      </c>
    </row>
    <row r="306" spans="1:12" x14ac:dyDescent="0.25">
      <c r="A306" t="s">
        <v>36</v>
      </c>
      <c r="B306">
        <v>1185732</v>
      </c>
      <c r="C306" s="1">
        <v>44210</v>
      </c>
      <c r="D306" t="s">
        <v>29</v>
      </c>
      <c r="E306" t="s">
        <v>50</v>
      </c>
      <c r="F306" t="s">
        <v>51</v>
      </c>
      <c r="G306" t="s">
        <v>18</v>
      </c>
      <c r="H306" t="s">
        <v>22</v>
      </c>
      <c r="I306" s="3">
        <v>55.000000000000007</v>
      </c>
      <c r="J306" s="2">
        <v>225</v>
      </c>
      <c r="K306" s="3">
        <f t="shared" si="4"/>
        <v>12375.000000000002</v>
      </c>
      <c r="L306" s="3">
        <v>8043.7500000000018</v>
      </c>
    </row>
    <row r="307" spans="1:12" x14ac:dyDescent="0.25">
      <c r="A307" t="s">
        <v>36</v>
      </c>
      <c r="B307">
        <v>1185732</v>
      </c>
      <c r="C307" s="1">
        <v>44210</v>
      </c>
      <c r="D307" t="s">
        <v>29</v>
      </c>
      <c r="E307" t="s">
        <v>50</v>
      </c>
      <c r="F307" t="s">
        <v>51</v>
      </c>
      <c r="G307" t="s">
        <v>18</v>
      </c>
      <c r="H307" t="s">
        <v>16</v>
      </c>
      <c r="I307" s="3">
        <v>45</v>
      </c>
      <c r="J307" s="2">
        <v>325</v>
      </c>
      <c r="K307" s="3">
        <f t="shared" si="4"/>
        <v>14625</v>
      </c>
      <c r="L307" s="3">
        <v>8775</v>
      </c>
    </row>
    <row r="308" spans="1:12" x14ac:dyDescent="0.25">
      <c r="A308" t="s">
        <v>36</v>
      </c>
      <c r="B308">
        <v>1185732</v>
      </c>
      <c r="C308" s="1">
        <v>44210</v>
      </c>
      <c r="D308" t="s">
        <v>29</v>
      </c>
      <c r="E308" t="s">
        <v>50</v>
      </c>
      <c r="F308" t="s">
        <v>51</v>
      </c>
      <c r="G308" t="s">
        <v>18</v>
      </c>
      <c r="H308" t="s">
        <v>38</v>
      </c>
      <c r="I308" s="3">
        <v>45</v>
      </c>
      <c r="J308" s="2">
        <v>525</v>
      </c>
      <c r="K308" s="3">
        <f t="shared" si="4"/>
        <v>23625</v>
      </c>
      <c r="L308" s="3">
        <v>12993.75</v>
      </c>
    </row>
    <row r="309" spans="1:12" x14ac:dyDescent="0.25">
      <c r="A309" t="s">
        <v>36</v>
      </c>
      <c r="B309">
        <v>1185732</v>
      </c>
      <c r="C309" s="1">
        <v>44210</v>
      </c>
      <c r="D309" t="s">
        <v>29</v>
      </c>
      <c r="E309" t="s">
        <v>50</v>
      </c>
      <c r="F309" t="s">
        <v>51</v>
      </c>
      <c r="G309" t="s">
        <v>18</v>
      </c>
      <c r="H309" t="s">
        <v>17</v>
      </c>
      <c r="I309" s="3">
        <v>45</v>
      </c>
      <c r="J309" s="2">
        <v>325</v>
      </c>
      <c r="K309" s="3">
        <f t="shared" si="4"/>
        <v>14625</v>
      </c>
      <c r="L309" s="3">
        <v>8043.75</v>
      </c>
    </row>
    <row r="310" spans="1:12" x14ac:dyDescent="0.25">
      <c r="A310" t="s">
        <v>27</v>
      </c>
      <c r="B310">
        <v>1185732</v>
      </c>
      <c r="C310" s="1">
        <v>44210</v>
      </c>
      <c r="D310" t="s">
        <v>29</v>
      </c>
      <c r="E310" t="s">
        <v>60</v>
      </c>
      <c r="F310" t="s">
        <v>61</v>
      </c>
      <c r="G310" t="s">
        <v>18</v>
      </c>
      <c r="H310" t="s">
        <v>38</v>
      </c>
      <c r="I310" s="3">
        <v>40</v>
      </c>
      <c r="J310" s="2">
        <v>800</v>
      </c>
      <c r="K310" s="3">
        <f t="shared" si="4"/>
        <v>32000</v>
      </c>
      <c r="L310" s="3">
        <v>16000</v>
      </c>
    </row>
    <row r="311" spans="1:12" x14ac:dyDescent="0.25">
      <c r="A311" t="s">
        <v>36</v>
      </c>
      <c r="B311">
        <v>1185732</v>
      </c>
      <c r="C311" s="1">
        <v>44210</v>
      </c>
      <c r="D311" t="s">
        <v>29</v>
      </c>
      <c r="E311" t="s">
        <v>50</v>
      </c>
      <c r="F311" t="s">
        <v>51</v>
      </c>
      <c r="G311" t="s">
        <v>15</v>
      </c>
      <c r="H311" t="s">
        <v>37</v>
      </c>
      <c r="I311" s="3">
        <v>29</v>
      </c>
      <c r="J311" s="2">
        <v>53</v>
      </c>
      <c r="K311" s="3">
        <f t="shared" si="4"/>
        <v>1537</v>
      </c>
      <c r="L311" s="3">
        <v>937.57</v>
      </c>
    </row>
    <row r="312" spans="1:12" x14ac:dyDescent="0.25">
      <c r="A312" t="s">
        <v>27</v>
      </c>
      <c r="B312">
        <v>1189833</v>
      </c>
      <c r="C312" s="1">
        <v>44210</v>
      </c>
      <c r="D312" t="s">
        <v>57</v>
      </c>
      <c r="E312" t="s">
        <v>58</v>
      </c>
      <c r="F312" t="s">
        <v>59</v>
      </c>
      <c r="G312" t="s">
        <v>41</v>
      </c>
      <c r="H312" t="s">
        <v>16</v>
      </c>
      <c r="I312" s="3">
        <v>42</v>
      </c>
      <c r="J312" s="2">
        <v>112</v>
      </c>
      <c r="K312" s="3">
        <f t="shared" si="4"/>
        <v>4704</v>
      </c>
      <c r="L312" s="3">
        <v>2869.4399999999996</v>
      </c>
    </row>
    <row r="313" spans="1:12" x14ac:dyDescent="0.25">
      <c r="A313" t="s">
        <v>36</v>
      </c>
      <c r="B313">
        <v>1185732</v>
      </c>
      <c r="C313" s="1">
        <v>44210</v>
      </c>
      <c r="D313" t="s">
        <v>29</v>
      </c>
      <c r="E313" t="s">
        <v>50</v>
      </c>
      <c r="F313" t="s">
        <v>51</v>
      </c>
      <c r="G313" t="s">
        <v>15</v>
      </c>
      <c r="H313" t="s">
        <v>35</v>
      </c>
      <c r="I313" s="3">
        <v>27</v>
      </c>
      <c r="J313" s="2">
        <v>101</v>
      </c>
      <c r="K313" s="3">
        <f t="shared" si="4"/>
        <v>2727</v>
      </c>
      <c r="L313" s="3">
        <v>1636.2</v>
      </c>
    </row>
    <row r="314" spans="1:12" x14ac:dyDescent="0.25">
      <c r="A314" t="s">
        <v>27</v>
      </c>
      <c r="B314">
        <v>1185732</v>
      </c>
      <c r="C314" s="1">
        <v>44210</v>
      </c>
      <c r="D314" t="s">
        <v>29</v>
      </c>
      <c r="E314" t="s">
        <v>60</v>
      </c>
      <c r="F314" t="s">
        <v>61</v>
      </c>
      <c r="G314" t="s">
        <v>41</v>
      </c>
      <c r="H314" t="s">
        <v>16</v>
      </c>
      <c r="I314" s="3">
        <v>38</v>
      </c>
      <c r="J314" s="2">
        <v>156</v>
      </c>
      <c r="K314" s="3">
        <f t="shared" si="4"/>
        <v>5928</v>
      </c>
      <c r="L314" s="3">
        <v>3556.7999999999997</v>
      </c>
    </row>
    <row r="315" spans="1:12" x14ac:dyDescent="0.25">
      <c r="A315" t="s">
        <v>11</v>
      </c>
      <c r="B315">
        <v>1128299</v>
      </c>
      <c r="C315" s="1">
        <v>44210</v>
      </c>
      <c r="D315" t="s">
        <v>12</v>
      </c>
      <c r="E315" t="s">
        <v>13</v>
      </c>
      <c r="F315" t="s">
        <v>14</v>
      </c>
      <c r="G315" t="s">
        <v>15</v>
      </c>
      <c r="H315" t="s">
        <v>35</v>
      </c>
      <c r="I315" s="3">
        <v>46</v>
      </c>
      <c r="J315" s="2">
        <v>264</v>
      </c>
      <c r="K315" s="3">
        <f t="shared" si="4"/>
        <v>12144</v>
      </c>
      <c r="L315" s="3">
        <v>7286.4</v>
      </c>
    </row>
    <row r="316" spans="1:12" x14ac:dyDescent="0.25">
      <c r="A316" t="s">
        <v>36</v>
      </c>
      <c r="B316">
        <v>1185732</v>
      </c>
      <c r="C316" s="1">
        <v>44210</v>
      </c>
      <c r="D316" t="s">
        <v>29</v>
      </c>
      <c r="E316" t="s">
        <v>50</v>
      </c>
      <c r="F316" t="s">
        <v>51</v>
      </c>
      <c r="G316" t="s">
        <v>15</v>
      </c>
      <c r="H316" t="s">
        <v>22</v>
      </c>
      <c r="I316" s="3">
        <v>37</v>
      </c>
      <c r="J316" s="2">
        <v>70</v>
      </c>
      <c r="K316" s="3">
        <f t="shared" si="4"/>
        <v>2590</v>
      </c>
      <c r="L316" s="3">
        <v>1528.1000000000001</v>
      </c>
    </row>
    <row r="317" spans="1:12" x14ac:dyDescent="0.25">
      <c r="A317" t="s">
        <v>36</v>
      </c>
      <c r="B317">
        <v>1185732</v>
      </c>
      <c r="C317" s="1">
        <v>44210</v>
      </c>
      <c r="D317" t="s">
        <v>29</v>
      </c>
      <c r="E317" t="s">
        <v>50</v>
      </c>
      <c r="F317" t="s">
        <v>51</v>
      </c>
      <c r="G317" t="s">
        <v>15</v>
      </c>
      <c r="H317" t="s">
        <v>16</v>
      </c>
      <c r="I317" s="3">
        <v>34</v>
      </c>
      <c r="J317" s="2">
        <v>104</v>
      </c>
      <c r="K317" s="3">
        <f t="shared" si="4"/>
        <v>3536</v>
      </c>
      <c r="L317" s="3">
        <v>2015.5200000000002</v>
      </c>
    </row>
    <row r="318" spans="1:12" x14ac:dyDescent="0.25">
      <c r="A318" t="s">
        <v>27</v>
      </c>
      <c r="B318">
        <v>1185732</v>
      </c>
      <c r="C318" s="1">
        <v>44210</v>
      </c>
      <c r="D318" t="s">
        <v>29</v>
      </c>
      <c r="E318" t="s">
        <v>60</v>
      </c>
      <c r="F318" t="s">
        <v>61</v>
      </c>
      <c r="G318" t="s">
        <v>41</v>
      </c>
      <c r="H318" t="s">
        <v>17</v>
      </c>
      <c r="I318" s="3">
        <v>39</v>
      </c>
      <c r="J318" s="2">
        <v>156</v>
      </c>
      <c r="K318" s="3">
        <f t="shared" si="4"/>
        <v>6084</v>
      </c>
      <c r="L318" s="3">
        <v>3346.2000000000003</v>
      </c>
    </row>
    <row r="319" spans="1:12" x14ac:dyDescent="0.25">
      <c r="A319" t="s">
        <v>27</v>
      </c>
      <c r="B319">
        <v>1185732</v>
      </c>
      <c r="C319" s="1">
        <v>44210</v>
      </c>
      <c r="D319" t="s">
        <v>29</v>
      </c>
      <c r="E319" t="s">
        <v>60</v>
      </c>
      <c r="F319" t="s">
        <v>61</v>
      </c>
      <c r="G319" t="s">
        <v>41</v>
      </c>
      <c r="H319" t="s">
        <v>22</v>
      </c>
      <c r="I319" s="3">
        <v>49</v>
      </c>
      <c r="J319" s="2">
        <v>145</v>
      </c>
      <c r="K319" s="3">
        <f t="shared" si="4"/>
        <v>7105</v>
      </c>
      <c r="L319" s="3">
        <v>3907.7500000000005</v>
      </c>
    </row>
    <row r="320" spans="1:12" x14ac:dyDescent="0.25">
      <c r="A320" t="s">
        <v>36</v>
      </c>
      <c r="B320">
        <v>1185732</v>
      </c>
      <c r="C320" s="1">
        <v>44210</v>
      </c>
      <c r="D320" t="s">
        <v>29</v>
      </c>
      <c r="E320" t="s">
        <v>50</v>
      </c>
      <c r="F320" t="s">
        <v>51</v>
      </c>
      <c r="G320" t="s">
        <v>41</v>
      </c>
      <c r="H320" t="s">
        <v>35</v>
      </c>
      <c r="I320" s="3">
        <v>32</v>
      </c>
      <c r="J320" s="2">
        <v>91</v>
      </c>
      <c r="K320" s="3">
        <f t="shared" si="4"/>
        <v>2912</v>
      </c>
      <c r="L320" s="3">
        <v>1601.6000000000001</v>
      </c>
    </row>
    <row r="321" spans="1:12" x14ac:dyDescent="0.25">
      <c r="A321" t="s">
        <v>11</v>
      </c>
      <c r="B321">
        <v>1128299</v>
      </c>
      <c r="C321" s="1">
        <v>44210</v>
      </c>
      <c r="D321" t="s">
        <v>12</v>
      </c>
      <c r="E321" t="s">
        <v>13</v>
      </c>
      <c r="F321" t="s">
        <v>14</v>
      </c>
      <c r="G321" t="s">
        <v>41</v>
      </c>
      <c r="H321" t="s">
        <v>35</v>
      </c>
      <c r="I321" s="3">
        <v>62</v>
      </c>
      <c r="J321" s="2">
        <v>248</v>
      </c>
      <c r="K321" s="3">
        <f t="shared" si="4"/>
        <v>15376</v>
      </c>
      <c r="L321" s="3">
        <v>8303.0400000000009</v>
      </c>
    </row>
    <row r="322" spans="1:12" x14ac:dyDescent="0.25">
      <c r="A322" t="s">
        <v>27</v>
      </c>
      <c r="B322">
        <v>1185732</v>
      </c>
      <c r="C322" s="1">
        <v>44210</v>
      </c>
      <c r="D322" t="s">
        <v>29</v>
      </c>
      <c r="E322" t="s">
        <v>60</v>
      </c>
      <c r="F322" t="s">
        <v>61</v>
      </c>
      <c r="G322" t="s">
        <v>41</v>
      </c>
      <c r="H322" t="s">
        <v>37</v>
      </c>
      <c r="I322" s="3">
        <v>34</v>
      </c>
      <c r="J322" s="2">
        <v>131</v>
      </c>
      <c r="K322" s="3">
        <f t="shared" si="4"/>
        <v>4454</v>
      </c>
      <c r="L322" s="3">
        <v>2360.6200000000003</v>
      </c>
    </row>
    <row r="323" spans="1:12" x14ac:dyDescent="0.25">
      <c r="A323" t="s">
        <v>36</v>
      </c>
      <c r="B323">
        <v>1185732</v>
      </c>
      <c r="C323" s="1">
        <v>44210</v>
      </c>
      <c r="D323" t="s">
        <v>29</v>
      </c>
      <c r="E323" t="s">
        <v>50</v>
      </c>
      <c r="F323" t="s">
        <v>51</v>
      </c>
      <c r="G323" t="s">
        <v>41</v>
      </c>
      <c r="H323" t="s">
        <v>22</v>
      </c>
      <c r="I323" s="3">
        <v>52</v>
      </c>
      <c r="J323" s="2">
        <v>68</v>
      </c>
      <c r="K323" s="3">
        <f t="shared" ref="K323:K386" si="5">I323*J323</f>
        <v>3536</v>
      </c>
      <c r="L323" s="3">
        <v>1874.0800000000002</v>
      </c>
    </row>
    <row r="324" spans="1:12" x14ac:dyDescent="0.25">
      <c r="A324" t="s">
        <v>27</v>
      </c>
      <c r="B324">
        <v>1185732</v>
      </c>
      <c r="C324" s="1">
        <v>44210</v>
      </c>
      <c r="D324" t="s">
        <v>29</v>
      </c>
      <c r="E324" t="s">
        <v>60</v>
      </c>
      <c r="F324" t="s">
        <v>61</v>
      </c>
      <c r="G324" t="s">
        <v>41</v>
      </c>
      <c r="H324" t="s">
        <v>35</v>
      </c>
      <c r="I324" s="3">
        <v>29</v>
      </c>
      <c r="J324" s="2">
        <v>168</v>
      </c>
      <c r="K324" s="3">
        <f t="shared" si="5"/>
        <v>4872</v>
      </c>
      <c r="L324" s="3">
        <v>2533.44</v>
      </c>
    </row>
    <row r="325" spans="1:12" x14ac:dyDescent="0.25">
      <c r="A325" t="s">
        <v>36</v>
      </c>
      <c r="B325">
        <v>1185732</v>
      </c>
      <c r="C325" s="1">
        <v>44210</v>
      </c>
      <c r="D325" t="s">
        <v>29</v>
      </c>
      <c r="E325" t="s">
        <v>50</v>
      </c>
      <c r="F325" t="s">
        <v>51</v>
      </c>
      <c r="G325" t="s">
        <v>41</v>
      </c>
      <c r="H325" t="s">
        <v>37</v>
      </c>
      <c r="I325" s="3">
        <v>39</v>
      </c>
      <c r="J325" s="2">
        <v>44</v>
      </c>
      <c r="K325" s="3">
        <f t="shared" si="5"/>
        <v>1716</v>
      </c>
      <c r="L325" s="3">
        <v>875.16</v>
      </c>
    </row>
    <row r="326" spans="1:12" x14ac:dyDescent="0.25">
      <c r="A326" t="s">
        <v>36</v>
      </c>
      <c r="B326">
        <v>1185732</v>
      </c>
      <c r="C326" s="1">
        <v>44210</v>
      </c>
      <c r="D326" t="s">
        <v>29</v>
      </c>
      <c r="E326" t="s">
        <v>50</v>
      </c>
      <c r="F326" t="s">
        <v>51</v>
      </c>
      <c r="G326" t="s">
        <v>15</v>
      </c>
      <c r="H326" t="s">
        <v>17</v>
      </c>
      <c r="I326" s="3">
        <v>36</v>
      </c>
      <c r="J326" s="2">
        <v>107</v>
      </c>
      <c r="K326" s="3">
        <f t="shared" si="5"/>
        <v>3852</v>
      </c>
      <c r="L326" s="3">
        <v>1964.52</v>
      </c>
    </row>
    <row r="327" spans="1:12" x14ac:dyDescent="0.25">
      <c r="A327" t="s">
        <v>36</v>
      </c>
      <c r="B327">
        <v>1185732</v>
      </c>
      <c r="C327" s="1">
        <v>44210</v>
      </c>
      <c r="D327" t="s">
        <v>29</v>
      </c>
      <c r="E327" t="s">
        <v>50</v>
      </c>
      <c r="F327" t="s">
        <v>51</v>
      </c>
      <c r="G327" t="s">
        <v>41</v>
      </c>
      <c r="H327" t="s">
        <v>16</v>
      </c>
      <c r="I327" s="3">
        <v>44</v>
      </c>
      <c r="J327" s="2">
        <v>98</v>
      </c>
      <c r="K327" s="3">
        <f t="shared" si="5"/>
        <v>4312</v>
      </c>
      <c r="L327" s="3">
        <v>2112.88</v>
      </c>
    </row>
    <row r="328" spans="1:12" x14ac:dyDescent="0.25">
      <c r="A328" t="s">
        <v>36</v>
      </c>
      <c r="B328">
        <v>1185732</v>
      </c>
      <c r="C328" s="1">
        <v>44210</v>
      </c>
      <c r="D328" t="s">
        <v>29</v>
      </c>
      <c r="E328" t="s">
        <v>50</v>
      </c>
      <c r="F328" t="s">
        <v>51</v>
      </c>
      <c r="G328" t="s">
        <v>15</v>
      </c>
      <c r="H328" t="s">
        <v>38</v>
      </c>
      <c r="I328" s="3">
        <v>35</v>
      </c>
      <c r="J328" s="2">
        <v>179</v>
      </c>
      <c r="K328" s="3">
        <f t="shared" si="5"/>
        <v>6265</v>
      </c>
      <c r="L328" s="3">
        <v>3007.2</v>
      </c>
    </row>
    <row r="329" spans="1:12" x14ac:dyDescent="0.25">
      <c r="A329" t="s">
        <v>36</v>
      </c>
      <c r="B329">
        <v>1185732</v>
      </c>
      <c r="C329" s="1">
        <v>44210</v>
      </c>
      <c r="D329" t="s">
        <v>29</v>
      </c>
      <c r="E329" t="s">
        <v>50</v>
      </c>
      <c r="F329" t="s">
        <v>51</v>
      </c>
      <c r="G329" t="s">
        <v>41</v>
      </c>
      <c r="H329" t="s">
        <v>38</v>
      </c>
      <c r="I329" s="3">
        <v>44</v>
      </c>
      <c r="J329" s="2">
        <v>152</v>
      </c>
      <c r="K329" s="3">
        <f t="shared" si="5"/>
        <v>6688</v>
      </c>
      <c r="L329" s="3">
        <v>3009.6</v>
      </c>
    </row>
    <row r="330" spans="1:12" x14ac:dyDescent="0.25">
      <c r="A330" t="s">
        <v>36</v>
      </c>
      <c r="B330">
        <v>1185732</v>
      </c>
      <c r="C330" s="1">
        <v>44210</v>
      </c>
      <c r="D330" t="s">
        <v>29</v>
      </c>
      <c r="E330" t="s">
        <v>50</v>
      </c>
      <c r="F330" t="s">
        <v>51</v>
      </c>
      <c r="G330" t="s">
        <v>41</v>
      </c>
      <c r="H330" t="s">
        <v>17</v>
      </c>
      <c r="I330" s="3">
        <v>42</v>
      </c>
      <c r="J330" s="2">
        <v>94</v>
      </c>
      <c r="K330" s="3">
        <f t="shared" si="5"/>
        <v>3948</v>
      </c>
      <c r="L330" s="3">
        <v>1579.2000000000003</v>
      </c>
    </row>
    <row r="331" spans="1:12" x14ac:dyDescent="0.25">
      <c r="A331" t="s">
        <v>27</v>
      </c>
      <c r="B331">
        <v>1185732</v>
      </c>
      <c r="C331" s="1">
        <v>44210</v>
      </c>
      <c r="D331" t="s">
        <v>29</v>
      </c>
      <c r="E331" t="s">
        <v>60</v>
      </c>
      <c r="F331" t="s">
        <v>61</v>
      </c>
      <c r="G331" t="s">
        <v>41</v>
      </c>
      <c r="H331" t="s">
        <v>38</v>
      </c>
      <c r="I331" s="3">
        <v>39</v>
      </c>
      <c r="J331" s="2">
        <v>216</v>
      </c>
      <c r="K331" s="3">
        <f t="shared" si="5"/>
        <v>8424</v>
      </c>
      <c r="L331" s="3">
        <v>3116.88</v>
      </c>
    </row>
    <row r="332" spans="1:12" x14ac:dyDescent="0.25">
      <c r="A332" t="s">
        <v>11</v>
      </c>
      <c r="B332">
        <v>1128299</v>
      </c>
      <c r="C332" s="1">
        <v>44211</v>
      </c>
      <c r="D332" t="s">
        <v>12</v>
      </c>
      <c r="E332" t="s">
        <v>13</v>
      </c>
      <c r="F332" t="s">
        <v>14</v>
      </c>
      <c r="G332" t="s">
        <v>15</v>
      </c>
      <c r="H332" t="s">
        <v>37</v>
      </c>
      <c r="I332" s="3">
        <v>60</v>
      </c>
      <c r="J332" s="2">
        <v>725</v>
      </c>
      <c r="K332" s="3">
        <f t="shared" si="5"/>
        <v>43500</v>
      </c>
      <c r="L332" s="3">
        <v>30450</v>
      </c>
    </row>
    <row r="333" spans="1:12" x14ac:dyDescent="0.25">
      <c r="A333" t="s">
        <v>27</v>
      </c>
      <c r="B333">
        <v>1189833</v>
      </c>
      <c r="C333" s="1">
        <v>44211</v>
      </c>
      <c r="D333" t="s">
        <v>57</v>
      </c>
      <c r="E333" t="s">
        <v>58</v>
      </c>
      <c r="F333" t="s">
        <v>59</v>
      </c>
      <c r="G333" t="s">
        <v>15</v>
      </c>
      <c r="H333" t="s">
        <v>38</v>
      </c>
      <c r="I333" s="3">
        <v>45</v>
      </c>
      <c r="J333" s="2">
        <v>575</v>
      </c>
      <c r="K333" s="3">
        <f t="shared" si="5"/>
        <v>25875</v>
      </c>
      <c r="L333" s="3">
        <v>14231.25</v>
      </c>
    </row>
    <row r="334" spans="1:12" x14ac:dyDescent="0.25">
      <c r="A334" t="s">
        <v>11</v>
      </c>
      <c r="B334">
        <v>1128299</v>
      </c>
      <c r="C334" s="1">
        <v>44211</v>
      </c>
      <c r="D334" t="s">
        <v>12</v>
      </c>
      <c r="E334" t="s">
        <v>13</v>
      </c>
      <c r="F334" t="s">
        <v>14</v>
      </c>
      <c r="G334" t="s">
        <v>15</v>
      </c>
      <c r="H334" t="s">
        <v>37</v>
      </c>
      <c r="I334" s="3">
        <v>46</v>
      </c>
      <c r="J334" s="2">
        <v>247</v>
      </c>
      <c r="K334" s="3">
        <f t="shared" si="5"/>
        <v>11362</v>
      </c>
      <c r="L334" s="3">
        <v>7271.68</v>
      </c>
    </row>
    <row r="335" spans="1:12" x14ac:dyDescent="0.25">
      <c r="A335" t="s">
        <v>11</v>
      </c>
      <c r="B335">
        <v>1128299</v>
      </c>
      <c r="C335" s="1">
        <v>44211</v>
      </c>
      <c r="D335" t="s">
        <v>12</v>
      </c>
      <c r="E335" t="s">
        <v>13</v>
      </c>
      <c r="F335" t="s">
        <v>14</v>
      </c>
      <c r="G335" t="s">
        <v>41</v>
      </c>
      <c r="H335" t="s">
        <v>37</v>
      </c>
      <c r="I335" s="3">
        <v>55</v>
      </c>
      <c r="J335" s="2">
        <v>218</v>
      </c>
      <c r="K335" s="3">
        <f t="shared" si="5"/>
        <v>11990</v>
      </c>
      <c r="L335" s="3">
        <v>7194</v>
      </c>
    </row>
    <row r="336" spans="1:12" x14ac:dyDescent="0.25">
      <c r="A336" t="s">
        <v>27</v>
      </c>
      <c r="B336">
        <v>1189833</v>
      </c>
      <c r="C336" s="1">
        <v>44211</v>
      </c>
      <c r="D336" t="s">
        <v>57</v>
      </c>
      <c r="E336" t="s">
        <v>58</v>
      </c>
      <c r="F336" t="s">
        <v>59</v>
      </c>
      <c r="G336" t="s">
        <v>41</v>
      </c>
      <c r="H336" t="s">
        <v>38</v>
      </c>
      <c r="I336" s="3">
        <v>44</v>
      </c>
      <c r="J336" s="2">
        <v>161</v>
      </c>
      <c r="K336" s="3">
        <f t="shared" si="5"/>
        <v>7084</v>
      </c>
      <c r="L336" s="3">
        <v>2904.4399999999996</v>
      </c>
    </row>
    <row r="337" spans="1:12" x14ac:dyDescent="0.25">
      <c r="A337" t="s">
        <v>27</v>
      </c>
      <c r="B337">
        <v>1189833</v>
      </c>
      <c r="C337" s="1">
        <v>44212</v>
      </c>
      <c r="D337" t="s">
        <v>57</v>
      </c>
      <c r="E337" t="s">
        <v>58</v>
      </c>
      <c r="F337" t="s">
        <v>59</v>
      </c>
      <c r="G337" t="s">
        <v>15</v>
      </c>
      <c r="H337" t="s">
        <v>17</v>
      </c>
      <c r="I337" s="3">
        <v>45</v>
      </c>
      <c r="J337" s="2">
        <v>375</v>
      </c>
      <c r="K337" s="3">
        <f t="shared" si="5"/>
        <v>16875</v>
      </c>
      <c r="L337" s="3">
        <v>11812.5</v>
      </c>
    </row>
    <row r="338" spans="1:12" x14ac:dyDescent="0.25">
      <c r="A338" t="s">
        <v>27</v>
      </c>
      <c r="B338">
        <v>1197831</v>
      </c>
      <c r="C338" s="1">
        <v>44212</v>
      </c>
      <c r="D338" t="s">
        <v>52</v>
      </c>
      <c r="E338" t="s">
        <v>116</v>
      </c>
      <c r="F338" t="s">
        <v>117</v>
      </c>
      <c r="G338" t="s">
        <v>41</v>
      </c>
      <c r="H338" t="s">
        <v>17</v>
      </c>
      <c r="I338" s="3">
        <v>25.000000000000007</v>
      </c>
      <c r="J338" s="2">
        <v>350</v>
      </c>
      <c r="K338" s="3">
        <f t="shared" si="5"/>
        <v>8750.0000000000018</v>
      </c>
      <c r="L338" s="3">
        <v>5687.5000000000018</v>
      </c>
    </row>
    <row r="339" spans="1:12" x14ac:dyDescent="0.25">
      <c r="A339" t="s">
        <v>27</v>
      </c>
      <c r="B339">
        <v>1197831</v>
      </c>
      <c r="C339" s="1">
        <v>44212</v>
      </c>
      <c r="D339" t="s">
        <v>52</v>
      </c>
      <c r="E339" t="s">
        <v>116</v>
      </c>
      <c r="F339" t="s">
        <v>117</v>
      </c>
      <c r="G339" t="s">
        <v>41</v>
      </c>
      <c r="H339" t="s">
        <v>16</v>
      </c>
      <c r="I339" s="3">
        <v>25.000000000000007</v>
      </c>
      <c r="J339" s="2">
        <v>350</v>
      </c>
      <c r="K339" s="3">
        <f t="shared" si="5"/>
        <v>8750.0000000000018</v>
      </c>
      <c r="L339" s="3">
        <v>5687.5000000000018</v>
      </c>
    </row>
    <row r="340" spans="1:12" x14ac:dyDescent="0.25">
      <c r="A340" t="s">
        <v>27</v>
      </c>
      <c r="B340">
        <v>1197831</v>
      </c>
      <c r="C340" s="1">
        <v>44212</v>
      </c>
      <c r="D340" t="s">
        <v>52</v>
      </c>
      <c r="E340" t="s">
        <v>116</v>
      </c>
      <c r="F340" t="s">
        <v>117</v>
      </c>
      <c r="G340" t="s">
        <v>41</v>
      </c>
      <c r="H340" t="s">
        <v>38</v>
      </c>
      <c r="I340" s="3">
        <v>25.000000000000007</v>
      </c>
      <c r="J340" s="2">
        <v>550</v>
      </c>
      <c r="K340" s="3">
        <f t="shared" si="5"/>
        <v>13750.000000000004</v>
      </c>
      <c r="L340" s="3">
        <v>8937.5000000000036</v>
      </c>
    </row>
    <row r="341" spans="1:12" x14ac:dyDescent="0.25">
      <c r="A341" t="s">
        <v>27</v>
      </c>
      <c r="B341">
        <v>1197831</v>
      </c>
      <c r="C341" s="1">
        <v>44212</v>
      </c>
      <c r="D341" t="s">
        <v>52</v>
      </c>
      <c r="E341" t="s">
        <v>116</v>
      </c>
      <c r="F341" t="s">
        <v>117</v>
      </c>
      <c r="G341" t="s">
        <v>41</v>
      </c>
      <c r="H341" t="s">
        <v>37</v>
      </c>
      <c r="I341" s="3">
        <v>20</v>
      </c>
      <c r="J341" s="2">
        <v>200</v>
      </c>
      <c r="K341" s="3">
        <f t="shared" si="5"/>
        <v>4000</v>
      </c>
      <c r="L341" s="3">
        <v>2600</v>
      </c>
    </row>
    <row r="342" spans="1:12" x14ac:dyDescent="0.25">
      <c r="A342" t="s">
        <v>27</v>
      </c>
      <c r="B342">
        <v>1197831</v>
      </c>
      <c r="C342" s="1">
        <v>44212</v>
      </c>
      <c r="D342" t="s">
        <v>52</v>
      </c>
      <c r="E342" t="s">
        <v>116</v>
      </c>
      <c r="F342" t="s">
        <v>117</v>
      </c>
      <c r="G342" t="s">
        <v>41</v>
      </c>
      <c r="H342" t="s">
        <v>22</v>
      </c>
      <c r="I342" s="3">
        <v>35</v>
      </c>
      <c r="J342" s="2">
        <v>250</v>
      </c>
      <c r="K342" s="3">
        <f t="shared" si="5"/>
        <v>8750</v>
      </c>
      <c r="L342" s="3">
        <v>5687.5</v>
      </c>
    </row>
    <row r="343" spans="1:12" x14ac:dyDescent="0.25">
      <c r="A343" t="s">
        <v>27</v>
      </c>
      <c r="B343">
        <v>1197831</v>
      </c>
      <c r="C343" s="1">
        <v>44212</v>
      </c>
      <c r="D343" t="s">
        <v>52</v>
      </c>
      <c r="E343" t="s">
        <v>116</v>
      </c>
      <c r="F343" t="s">
        <v>117</v>
      </c>
      <c r="G343" t="s">
        <v>41</v>
      </c>
      <c r="H343" t="s">
        <v>35</v>
      </c>
      <c r="I343" s="3">
        <v>15.000000000000007</v>
      </c>
      <c r="J343" s="2">
        <v>350</v>
      </c>
      <c r="K343" s="3">
        <f t="shared" si="5"/>
        <v>5250.0000000000027</v>
      </c>
      <c r="L343" s="3">
        <v>3412.5000000000014</v>
      </c>
    </row>
    <row r="344" spans="1:12" x14ac:dyDescent="0.25">
      <c r="A344" t="s">
        <v>11</v>
      </c>
      <c r="B344">
        <v>1128299</v>
      </c>
      <c r="C344" s="1">
        <v>44212</v>
      </c>
      <c r="D344" t="s">
        <v>12</v>
      </c>
      <c r="E344" t="s">
        <v>13</v>
      </c>
      <c r="F344" t="s">
        <v>14</v>
      </c>
      <c r="G344" t="s">
        <v>15</v>
      </c>
      <c r="H344" t="s">
        <v>22</v>
      </c>
      <c r="I344" s="3">
        <v>65</v>
      </c>
      <c r="J344" s="2">
        <v>775</v>
      </c>
      <c r="K344" s="3">
        <f t="shared" si="5"/>
        <v>50375</v>
      </c>
      <c r="L344" s="3">
        <v>25187.5</v>
      </c>
    </row>
    <row r="345" spans="1:12" x14ac:dyDescent="0.25">
      <c r="A345" t="s">
        <v>27</v>
      </c>
      <c r="B345">
        <v>1197831</v>
      </c>
      <c r="C345" s="1">
        <v>44212</v>
      </c>
      <c r="D345" t="s">
        <v>52</v>
      </c>
      <c r="E345" t="s">
        <v>116</v>
      </c>
      <c r="F345" t="s">
        <v>117</v>
      </c>
      <c r="G345" t="s">
        <v>15</v>
      </c>
      <c r="H345" t="s">
        <v>16</v>
      </c>
      <c r="I345" s="3">
        <v>17</v>
      </c>
      <c r="J345" s="2">
        <v>119</v>
      </c>
      <c r="K345" s="3">
        <f t="shared" si="5"/>
        <v>2023</v>
      </c>
      <c r="L345" s="3">
        <v>1274.49</v>
      </c>
    </row>
    <row r="346" spans="1:12" x14ac:dyDescent="0.25">
      <c r="A346" t="s">
        <v>27</v>
      </c>
      <c r="B346">
        <v>1197831</v>
      </c>
      <c r="C346" s="1">
        <v>44212</v>
      </c>
      <c r="D346" t="s">
        <v>52</v>
      </c>
      <c r="E346" t="s">
        <v>116</v>
      </c>
      <c r="F346" t="s">
        <v>117</v>
      </c>
      <c r="G346" t="s">
        <v>15</v>
      </c>
      <c r="H346" t="s">
        <v>38</v>
      </c>
      <c r="I346" s="3">
        <v>17</v>
      </c>
      <c r="J346" s="2">
        <v>176</v>
      </c>
      <c r="K346" s="3">
        <f t="shared" si="5"/>
        <v>2992</v>
      </c>
      <c r="L346" s="3">
        <v>1855.04</v>
      </c>
    </row>
    <row r="347" spans="1:12" x14ac:dyDescent="0.25">
      <c r="A347" t="s">
        <v>27</v>
      </c>
      <c r="B347">
        <v>1197831</v>
      </c>
      <c r="C347" s="1">
        <v>44212</v>
      </c>
      <c r="D347" t="s">
        <v>52</v>
      </c>
      <c r="E347" t="s">
        <v>116</v>
      </c>
      <c r="F347" t="s">
        <v>117</v>
      </c>
      <c r="G347" t="s">
        <v>15</v>
      </c>
      <c r="H347" t="s">
        <v>17</v>
      </c>
      <c r="I347" s="3">
        <v>16</v>
      </c>
      <c r="J347" s="2">
        <v>105</v>
      </c>
      <c r="K347" s="3">
        <f t="shared" si="5"/>
        <v>1680</v>
      </c>
      <c r="L347" s="3">
        <v>1041.5999999999999</v>
      </c>
    </row>
    <row r="348" spans="1:12" x14ac:dyDescent="0.25">
      <c r="A348" t="s">
        <v>27</v>
      </c>
      <c r="B348">
        <v>1197831</v>
      </c>
      <c r="C348" s="1">
        <v>44212</v>
      </c>
      <c r="D348" t="s">
        <v>52</v>
      </c>
      <c r="E348" t="s">
        <v>116</v>
      </c>
      <c r="F348" t="s">
        <v>117</v>
      </c>
      <c r="G348" t="s">
        <v>15</v>
      </c>
      <c r="H348" t="s">
        <v>35</v>
      </c>
      <c r="I348" s="3">
        <v>12</v>
      </c>
      <c r="J348" s="2">
        <v>116</v>
      </c>
      <c r="K348" s="3">
        <f t="shared" si="5"/>
        <v>1392</v>
      </c>
      <c r="L348" s="3">
        <v>835.2</v>
      </c>
    </row>
    <row r="349" spans="1:12" x14ac:dyDescent="0.25">
      <c r="A349" t="s">
        <v>27</v>
      </c>
      <c r="B349">
        <v>1197831</v>
      </c>
      <c r="C349" s="1">
        <v>44212</v>
      </c>
      <c r="D349" t="s">
        <v>52</v>
      </c>
      <c r="E349" t="s">
        <v>116</v>
      </c>
      <c r="F349" t="s">
        <v>117</v>
      </c>
      <c r="G349" t="s">
        <v>15</v>
      </c>
      <c r="H349" t="s">
        <v>37</v>
      </c>
      <c r="I349" s="3">
        <v>16</v>
      </c>
      <c r="J349" s="2">
        <v>70</v>
      </c>
      <c r="K349" s="3">
        <f t="shared" si="5"/>
        <v>1120</v>
      </c>
      <c r="L349" s="3">
        <v>672</v>
      </c>
    </row>
    <row r="350" spans="1:12" x14ac:dyDescent="0.25">
      <c r="A350" t="s">
        <v>27</v>
      </c>
      <c r="B350">
        <v>1197831</v>
      </c>
      <c r="C350" s="1">
        <v>44212</v>
      </c>
      <c r="D350" t="s">
        <v>52</v>
      </c>
      <c r="E350" t="s">
        <v>116</v>
      </c>
      <c r="F350" t="s">
        <v>117</v>
      </c>
      <c r="G350" t="s">
        <v>15</v>
      </c>
      <c r="H350" t="s">
        <v>22</v>
      </c>
      <c r="I350" s="3">
        <v>28</v>
      </c>
      <c r="J350" s="2">
        <v>88</v>
      </c>
      <c r="K350" s="3">
        <f t="shared" si="5"/>
        <v>2464</v>
      </c>
      <c r="L350" s="3">
        <v>1453.7600000000002</v>
      </c>
    </row>
    <row r="351" spans="1:12" x14ac:dyDescent="0.25">
      <c r="A351" t="s">
        <v>27</v>
      </c>
      <c r="B351">
        <v>1189833</v>
      </c>
      <c r="C351" s="1">
        <v>44212</v>
      </c>
      <c r="D351" t="s">
        <v>57</v>
      </c>
      <c r="E351" t="s">
        <v>58</v>
      </c>
      <c r="F351" t="s">
        <v>59</v>
      </c>
      <c r="G351" t="s">
        <v>41</v>
      </c>
      <c r="H351" t="s">
        <v>17</v>
      </c>
      <c r="I351" s="3">
        <v>43</v>
      </c>
      <c r="J351" s="2">
        <v>101</v>
      </c>
      <c r="K351" s="3">
        <f t="shared" si="5"/>
        <v>4343</v>
      </c>
      <c r="L351" s="3">
        <v>2388.65</v>
      </c>
    </row>
    <row r="352" spans="1:12" x14ac:dyDescent="0.25">
      <c r="A352" t="s">
        <v>27</v>
      </c>
      <c r="B352">
        <v>1197831</v>
      </c>
      <c r="C352" s="1">
        <v>44212</v>
      </c>
      <c r="D352" t="s">
        <v>52</v>
      </c>
      <c r="E352" t="s">
        <v>116</v>
      </c>
      <c r="F352" t="s">
        <v>117</v>
      </c>
      <c r="G352" t="s">
        <v>41</v>
      </c>
      <c r="H352" t="s">
        <v>22</v>
      </c>
      <c r="I352" s="3">
        <v>33</v>
      </c>
      <c r="J352" s="2">
        <v>65</v>
      </c>
      <c r="K352" s="3">
        <f t="shared" si="5"/>
        <v>2145</v>
      </c>
      <c r="L352" s="3">
        <v>1115.4000000000001</v>
      </c>
    </row>
    <row r="353" spans="1:12" x14ac:dyDescent="0.25">
      <c r="A353" t="s">
        <v>27</v>
      </c>
      <c r="B353">
        <v>1197831</v>
      </c>
      <c r="C353" s="1">
        <v>44212</v>
      </c>
      <c r="D353" t="s">
        <v>52</v>
      </c>
      <c r="E353" t="s">
        <v>116</v>
      </c>
      <c r="F353" t="s">
        <v>117</v>
      </c>
      <c r="G353" t="s">
        <v>41</v>
      </c>
      <c r="H353" t="s">
        <v>35</v>
      </c>
      <c r="I353" s="3">
        <v>14</v>
      </c>
      <c r="J353" s="2">
        <v>88</v>
      </c>
      <c r="K353" s="3">
        <f t="shared" si="5"/>
        <v>1232</v>
      </c>
      <c r="L353" s="3">
        <v>640.64</v>
      </c>
    </row>
    <row r="354" spans="1:12" x14ac:dyDescent="0.25">
      <c r="A354" t="s">
        <v>27</v>
      </c>
      <c r="B354">
        <v>1197831</v>
      </c>
      <c r="C354" s="1">
        <v>44212</v>
      </c>
      <c r="D354" t="s">
        <v>52</v>
      </c>
      <c r="E354" t="s">
        <v>116</v>
      </c>
      <c r="F354" t="s">
        <v>117</v>
      </c>
      <c r="G354" t="s">
        <v>41</v>
      </c>
      <c r="H354" t="s">
        <v>38</v>
      </c>
      <c r="I354" s="3">
        <v>23</v>
      </c>
      <c r="J354" s="2">
        <v>149</v>
      </c>
      <c r="K354" s="3">
        <f t="shared" si="5"/>
        <v>3427</v>
      </c>
      <c r="L354" s="3">
        <v>1747.77</v>
      </c>
    </row>
    <row r="355" spans="1:12" x14ac:dyDescent="0.25">
      <c r="A355" t="s">
        <v>27</v>
      </c>
      <c r="B355">
        <v>1197831</v>
      </c>
      <c r="C355" s="1">
        <v>44212</v>
      </c>
      <c r="D355" t="s">
        <v>52</v>
      </c>
      <c r="E355" t="s">
        <v>116</v>
      </c>
      <c r="F355" t="s">
        <v>117</v>
      </c>
      <c r="G355" t="s">
        <v>41</v>
      </c>
      <c r="H355" t="s">
        <v>17</v>
      </c>
      <c r="I355" s="3">
        <v>23</v>
      </c>
      <c r="J355" s="2">
        <v>91</v>
      </c>
      <c r="K355" s="3">
        <f t="shared" si="5"/>
        <v>2093</v>
      </c>
      <c r="L355" s="3">
        <v>1067.43</v>
      </c>
    </row>
    <row r="356" spans="1:12" x14ac:dyDescent="0.25">
      <c r="A356" t="s">
        <v>27</v>
      </c>
      <c r="B356">
        <v>1197831</v>
      </c>
      <c r="C356" s="1">
        <v>44212</v>
      </c>
      <c r="D356" t="s">
        <v>52</v>
      </c>
      <c r="E356" t="s">
        <v>116</v>
      </c>
      <c r="F356" t="s">
        <v>117</v>
      </c>
      <c r="G356" t="s">
        <v>41</v>
      </c>
      <c r="H356" t="s">
        <v>37</v>
      </c>
      <c r="I356" s="3">
        <v>19</v>
      </c>
      <c r="J356" s="2">
        <v>56</v>
      </c>
      <c r="K356" s="3">
        <f t="shared" si="5"/>
        <v>1064</v>
      </c>
      <c r="L356" s="3">
        <v>542.64</v>
      </c>
    </row>
    <row r="357" spans="1:12" x14ac:dyDescent="0.25">
      <c r="A357" t="s">
        <v>27</v>
      </c>
      <c r="B357">
        <v>1197831</v>
      </c>
      <c r="C357" s="1">
        <v>44212</v>
      </c>
      <c r="D357" t="s">
        <v>52</v>
      </c>
      <c r="E357" t="s">
        <v>116</v>
      </c>
      <c r="F357" t="s">
        <v>117</v>
      </c>
      <c r="G357" t="s">
        <v>41</v>
      </c>
      <c r="H357" t="s">
        <v>16</v>
      </c>
      <c r="I357" s="3">
        <v>23</v>
      </c>
      <c r="J357" s="2">
        <v>102</v>
      </c>
      <c r="K357" s="3">
        <f t="shared" si="5"/>
        <v>2346</v>
      </c>
      <c r="L357" s="3">
        <v>1173</v>
      </c>
    </row>
    <row r="358" spans="1:12" x14ac:dyDescent="0.25">
      <c r="A358" t="s">
        <v>11</v>
      </c>
      <c r="B358">
        <v>1128299</v>
      </c>
      <c r="C358" s="1">
        <v>44212</v>
      </c>
      <c r="D358" t="s">
        <v>12</v>
      </c>
      <c r="E358" t="s">
        <v>13</v>
      </c>
      <c r="F358" t="s">
        <v>14</v>
      </c>
      <c r="G358" t="s">
        <v>15</v>
      </c>
      <c r="H358" t="s">
        <v>22</v>
      </c>
      <c r="I358" s="3">
        <v>44</v>
      </c>
      <c r="J358" s="2">
        <v>240</v>
      </c>
      <c r="K358" s="3">
        <f t="shared" si="5"/>
        <v>10560</v>
      </c>
      <c r="L358" s="3">
        <v>4646.3999999999996</v>
      </c>
    </row>
    <row r="359" spans="1:12" x14ac:dyDescent="0.25">
      <c r="A359" t="s">
        <v>11</v>
      </c>
      <c r="B359">
        <v>1128299</v>
      </c>
      <c r="C359" s="1">
        <v>44212</v>
      </c>
      <c r="D359" t="s">
        <v>12</v>
      </c>
      <c r="E359" t="s">
        <v>13</v>
      </c>
      <c r="F359" t="s">
        <v>14</v>
      </c>
      <c r="G359" t="s">
        <v>41</v>
      </c>
      <c r="H359" t="s">
        <v>22</v>
      </c>
      <c r="I359" s="3">
        <v>64</v>
      </c>
      <c r="J359" s="2">
        <v>233</v>
      </c>
      <c r="K359" s="3">
        <f t="shared" si="5"/>
        <v>14912</v>
      </c>
      <c r="L359" s="3">
        <v>5368.32</v>
      </c>
    </row>
    <row r="360" spans="1:12" x14ac:dyDescent="0.25">
      <c r="A360" t="s">
        <v>11</v>
      </c>
      <c r="B360">
        <v>1128299</v>
      </c>
      <c r="C360" s="1">
        <v>44213</v>
      </c>
      <c r="D360" t="s">
        <v>12</v>
      </c>
      <c r="E360" t="s">
        <v>13</v>
      </c>
      <c r="F360" t="s">
        <v>14</v>
      </c>
      <c r="G360" t="s">
        <v>15</v>
      </c>
      <c r="H360" t="s">
        <v>16</v>
      </c>
      <c r="I360" s="3">
        <v>80</v>
      </c>
      <c r="J360" s="2">
        <v>775</v>
      </c>
      <c r="K360" s="3">
        <f t="shared" si="5"/>
        <v>62000</v>
      </c>
      <c r="L360" s="3">
        <v>52700</v>
      </c>
    </row>
    <row r="361" spans="1:12" x14ac:dyDescent="0.25">
      <c r="A361" t="s">
        <v>26</v>
      </c>
      <c r="B361">
        <v>1128299</v>
      </c>
      <c r="C361" s="1">
        <v>44213</v>
      </c>
      <c r="D361" t="s">
        <v>12</v>
      </c>
      <c r="E361" t="s">
        <v>20</v>
      </c>
      <c r="F361" t="s">
        <v>21</v>
      </c>
      <c r="G361" t="s">
        <v>15</v>
      </c>
      <c r="H361" t="s">
        <v>22</v>
      </c>
      <c r="I361" s="3">
        <v>55.000000000000007</v>
      </c>
      <c r="J361" s="2">
        <v>225</v>
      </c>
      <c r="K361" s="3">
        <f t="shared" si="5"/>
        <v>12375.000000000002</v>
      </c>
      <c r="L361" s="3">
        <v>9900.0000000000018</v>
      </c>
    </row>
    <row r="362" spans="1:12" x14ac:dyDescent="0.25">
      <c r="A362" t="s">
        <v>26</v>
      </c>
      <c r="B362">
        <v>1185732</v>
      </c>
      <c r="C362" s="1">
        <v>44213</v>
      </c>
      <c r="D362" t="s">
        <v>29</v>
      </c>
      <c r="E362" t="s">
        <v>48</v>
      </c>
      <c r="F362" t="s">
        <v>49</v>
      </c>
      <c r="G362" t="s">
        <v>18</v>
      </c>
      <c r="H362" t="s">
        <v>35</v>
      </c>
      <c r="I362" s="3">
        <v>30.000000000000004</v>
      </c>
      <c r="J362" s="2">
        <v>250</v>
      </c>
      <c r="K362" s="3">
        <f t="shared" si="5"/>
        <v>7500.0000000000009</v>
      </c>
      <c r="L362" s="3">
        <v>5625.0000000000018</v>
      </c>
    </row>
    <row r="363" spans="1:12" x14ac:dyDescent="0.25">
      <c r="A363" t="s">
        <v>26</v>
      </c>
      <c r="B363">
        <v>1128299</v>
      </c>
      <c r="C363" s="1">
        <v>44213</v>
      </c>
      <c r="D363" t="s">
        <v>12</v>
      </c>
      <c r="E363" t="s">
        <v>20</v>
      </c>
      <c r="F363" t="s">
        <v>21</v>
      </c>
      <c r="G363" t="s">
        <v>15</v>
      </c>
      <c r="H363" t="s">
        <v>17</v>
      </c>
      <c r="I363" s="3">
        <v>50</v>
      </c>
      <c r="J363" s="2">
        <v>425</v>
      </c>
      <c r="K363" s="3">
        <f t="shared" si="5"/>
        <v>21250</v>
      </c>
      <c r="L363" s="3">
        <v>15937.5</v>
      </c>
    </row>
    <row r="364" spans="1:12" x14ac:dyDescent="0.25">
      <c r="A364" t="s">
        <v>26</v>
      </c>
      <c r="B364">
        <v>1185732</v>
      </c>
      <c r="C364" s="1">
        <v>44213</v>
      </c>
      <c r="D364" t="s">
        <v>29</v>
      </c>
      <c r="E364" t="s">
        <v>48</v>
      </c>
      <c r="F364" t="s">
        <v>49</v>
      </c>
      <c r="G364" t="s">
        <v>18</v>
      </c>
      <c r="H364" t="s">
        <v>37</v>
      </c>
      <c r="I364" s="3">
        <v>35</v>
      </c>
      <c r="J364" s="2">
        <v>100</v>
      </c>
      <c r="K364" s="3">
        <f t="shared" si="5"/>
        <v>3500</v>
      </c>
      <c r="L364" s="3">
        <v>2625</v>
      </c>
    </row>
    <row r="365" spans="1:12" x14ac:dyDescent="0.25">
      <c r="A365" t="s">
        <v>26</v>
      </c>
      <c r="B365">
        <v>1185732</v>
      </c>
      <c r="C365" s="1">
        <v>44213</v>
      </c>
      <c r="D365" t="s">
        <v>29</v>
      </c>
      <c r="E365" t="s">
        <v>48</v>
      </c>
      <c r="F365" t="s">
        <v>49</v>
      </c>
      <c r="G365" t="s">
        <v>18</v>
      </c>
      <c r="H365" t="s">
        <v>22</v>
      </c>
      <c r="I365" s="3">
        <v>50</v>
      </c>
      <c r="J365" s="2">
        <v>150</v>
      </c>
      <c r="K365" s="3">
        <f t="shared" si="5"/>
        <v>7500</v>
      </c>
      <c r="L365" s="3">
        <v>5625</v>
      </c>
    </row>
    <row r="366" spans="1:12" x14ac:dyDescent="0.25">
      <c r="A366" t="s">
        <v>26</v>
      </c>
      <c r="B366">
        <v>1128299</v>
      </c>
      <c r="C366" s="1">
        <v>44213</v>
      </c>
      <c r="D366" t="s">
        <v>12</v>
      </c>
      <c r="E366" t="s">
        <v>20</v>
      </c>
      <c r="F366" t="s">
        <v>21</v>
      </c>
      <c r="G366" t="s">
        <v>15</v>
      </c>
      <c r="H366" t="s">
        <v>38</v>
      </c>
      <c r="I366" s="3">
        <v>40</v>
      </c>
      <c r="J366" s="2">
        <v>425</v>
      </c>
      <c r="K366" s="3">
        <f t="shared" si="5"/>
        <v>17000</v>
      </c>
      <c r="L366" s="3">
        <v>11900</v>
      </c>
    </row>
    <row r="367" spans="1:12" x14ac:dyDescent="0.25">
      <c r="A367" t="s">
        <v>26</v>
      </c>
      <c r="B367">
        <v>1128299</v>
      </c>
      <c r="C367" s="1">
        <v>44213</v>
      </c>
      <c r="D367" t="s">
        <v>12</v>
      </c>
      <c r="E367" t="s">
        <v>20</v>
      </c>
      <c r="F367" t="s">
        <v>21</v>
      </c>
      <c r="G367" t="s">
        <v>15</v>
      </c>
      <c r="H367" t="s">
        <v>35</v>
      </c>
      <c r="I367" s="3">
        <v>50</v>
      </c>
      <c r="J367" s="2">
        <v>425</v>
      </c>
      <c r="K367" s="3">
        <f t="shared" si="5"/>
        <v>21250</v>
      </c>
      <c r="L367" s="3">
        <v>14875</v>
      </c>
    </row>
    <row r="368" spans="1:12" x14ac:dyDescent="0.25">
      <c r="A368" t="s">
        <v>26</v>
      </c>
      <c r="B368">
        <v>1128299</v>
      </c>
      <c r="C368" s="1">
        <v>44213</v>
      </c>
      <c r="D368" t="s">
        <v>12</v>
      </c>
      <c r="E368" t="s">
        <v>20</v>
      </c>
      <c r="F368" t="s">
        <v>21</v>
      </c>
      <c r="G368" t="s">
        <v>15</v>
      </c>
      <c r="H368" t="s">
        <v>37</v>
      </c>
      <c r="I368" s="3">
        <v>50</v>
      </c>
      <c r="J368" s="2">
        <v>275</v>
      </c>
      <c r="K368" s="3">
        <f t="shared" si="5"/>
        <v>13750</v>
      </c>
      <c r="L368" s="3">
        <v>9625</v>
      </c>
    </row>
    <row r="369" spans="1:12" x14ac:dyDescent="0.25">
      <c r="A369" t="s">
        <v>19</v>
      </c>
      <c r="B369">
        <v>1185732</v>
      </c>
      <c r="C369" s="1">
        <v>44213</v>
      </c>
      <c r="D369" t="s">
        <v>29</v>
      </c>
      <c r="E369" t="s">
        <v>87</v>
      </c>
      <c r="F369" t="s">
        <v>88</v>
      </c>
      <c r="G369" t="s">
        <v>18</v>
      </c>
      <c r="H369" t="s">
        <v>22</v>
      </c>
      <c r="I369" s="3">
        <v>50</v>
      </c>
      <c r="J369" s="2">
        <v>225</v>
      </c>
      <c r="K369" s="3">
        <f t="shared" si="5"/>
        <v>11250</v>
      </c>
      <c r="L369" s="3">
        <v>7875</v>
      </c>
    </row>
    <row r="370" spans="1:12" x14ac:dyDescent="0.25">
      <c r="A370" t="s">
        <v>26</v>
      </c>
      <c r="B370">
        <v>1185732</v>
      </c>
      <c r="C370" s="1">
        <v>44213</v>
      </c>
      <c r="D370" t="s">
        <v>29</v>
      </c>
      <c r="E370" t="s">
        <v>48</v>
      </c>
      <c r="F370" t="s">
        <v>49</v>
      </c>
      <c r="G370" t="s">
        <v>18</v>
      </c>
      <c r="H370" t="s">
        <v>38</v>
      </c>
      <c r="I370" s="3">
        <v>40</v>
      </c>
      <c r="J370" s="2">
        <v>450</v>
      </c>
      <c r="K370" s="3">
        <f t="shared" si="5"/>
        <v>18000</v>
      </c>
      <c r="L370" s="3">
        <v>12600</v>
      </c>
    </row>
    <row r="371" spans="1:12" x14ac:dyDescent="0.25">
      <c r="A371" t="s">
        <v>26</v>
      </c>
      <c r="B371">
        <v>1185732</v>
      </c>
      <c r="C371" s="1">
        <v>44213</v>
      </c>
      <c r="D371" t="s">
        <v>29</v>
      </c>
      <c r="E371" t="s">
        <v>48</v>
      </c>
      <c r="F371" t="s">
        <v>49</v>
      </c>
      <c r="G371" t="s">
        <v>18</v>
      </c>
      <c r="H371" t="s">
        <v>17</v>
      </c>
      <c r="I371" s="3">
        <v>40</v>
      </c>
      <c r="J371" s="2">
        <v>250</v>
      </c>
      <c r="K371" s="3">
        <f t="shared" si="5"/>
        <v>10000</v>
      </c>
      <c r="L371" s="3">
        <v>7000</v>
      </c>
    </row>
    <row r="372" spans="1:12" x14ac:dyDescent="0.25">
      <c r="A372" t="s">
        <v>26</v>
      </c>
      <c r="B372">
        <v>1185732</v>
      </c>
      <c r="C372" s="1">
        <v>44213</v>
      </c>
      <c r="D372" t="s">
        <v>29</v>
      </c>
      <c r="E372" t="s">
        <v>48</v>
      </c>
      <c r="F372" t="s">
        <v>49</v>
      </c>
      <c r="G372" t="s">
        <v>18</v>
      </c>
      <c r="H372" t="s">
        <v>16</v>
      </c>
      <c r="I372" s="3">
        <v>40</v>
      </c>
      <c r="J372" s="2">
        <v>250</v>
      </c>
      <c r="K372" s="3">
        <f t="shared" si="5"/>
        <v>10000</v>
      </c>
      <c r="L372" s="3">
        <v>7000</v>
      </c>
    </row>
    <row r="373" spans="1:12" x14ac:dyDescent="0.25">
      <c r="A373" t="s">
        <v>11</v>
      </c>
      <c r="B373">
        <v>1128299</v>
      </c>
      <c r="C373" s="1">
        <v>44213</v>
      </c>
      <c r="D373" t="s">
        <v>12</v>
      </c>
      <c r="E373" t="s">
        <v>84</v>
      </c>
      <c r="F373" t="s">
        <v>31</v>
      </c>
      <c r="G373" t="s">
        <v>18</v>
      </c>
      <c r="H373" t="s">
        <v>16</v>
      </c>
      <c r="I373" s="3">
        <v>45</v>
      </c>
      <c r="J373" s="2">
        <v>450</v>
      </c>
      <c r="K373" s="3">
        <f t="shared" si="5"/>
        <v>20250</v>
      </c>
      <c r="L373" s="3">
        <v>13162.5</v>
      </c>
    </row>
    <row r="374" spans="1:12" x14ac:dyDescent="0.25">
      <c r="A374" t="s">
        <v>19</v>
      </c>
      <c r="B374">
        <v>1185732</v>
      </c>
      <c r="C374" s="1">
        <v>44213</v>
      </c>
      <c r="D374" t="s">
        <v>29</v>
      </c>
      <c r="E374" t="s">
        <v>87</v>
      </c>
      <c r="F374" t="s">
        <v>88</v>
      </c>
      <c r="G374" t="s">
        <v>18</v>
      </c>
      <c r="H374" t="s">
        <v>38</v>
      </c>
      <c r="I374" s="3">
        <v>40</v>
      </c>
      <c r="J374" s="2">
        <v>525</v>
      </c>
      <c r="K374" s="3">
        <f t="shared" si="5"/>
        <v>21000</v>
      </c>
      <c r="L374" s="3">
        <v>13650</v>
      </c>
    </row>
    <row r="375" spans="1:12" x14ac:dyDescent="0.25">
      <c r="A375" t="s">
        <v>19</v>
      </c>
      <c r="B375">
        <v>1185732</v>
      </c>
      <c r="C375" s="1">
        <v>44213</v>
      </c>
      <c r="D375" t="s">
        <v>29</v>
      </c>
      <c r="E375" t="s">
        <v>87</v>
      </c>
      <c r="F375" t="s">
        <v>88</v>
      </c>
      <c r="G375" t="s">
        <v>18</v>
      </c>
      <c r="H375" t="s">
        <v>17</v>
      </c>
      <c r="I375" s="3">
        <v>40</v>
      </c>
      <c r="J375" s="2">
        <v>325</v>
      </c>
      <c r="K375" s="3">
        <f t="shared" si="5"/>
        <v>13000</v>
      </c>
      <c r="L375" s="3">
        <v>8450</v>
      </c>
    </row>
    <row r="376" spans="1:12" x14ac:dyDescent="0.25">
      <c r="A376" t="s">
        <v>11</v>
      </c>
      <c r="B376">
        <v>1128299</v>
      </c>
      <c r="C376" s="1">
        <v>44213</v>
      </c>
      <c r="D376" t="s">
        <v>12</v>
      </c>
      <c r="E376" t="s">
        <v>84</v>
      </c>
      <c r="F376" t="s">
        <v>31</v>
      </c>
      <c r="G376" t="s">
        <v>18</v>
      </c>
      <c r="H376" t="s">
        <v>38</v>
      </c>
      <c r="I376" s="3">
        <v>35</v>
      </c>
      <c r="J376" s="2">
        <v>400</v>
      </c>
      <c r="K376" s="3">
        <f t="shared" si="5"/>
        <v>14000</v>
      </c>
      <c r="L376" s="3">
        <v>8400</v>
      </c>
    </row>
    <row r="377" spans="1:12" x14ac:dyDescent="0.25">
      <c r="A377" t="s">
        <v>11</v>
      </c>
      <c r="B377">
        <v>1128299</v>
      </c>
      <c r="C377" s="1">
        <v>44213</v>
      </c>
      <c r="D377" t="s">
        <v>12</v>
      </c>
      <c r="E377" t="s">
        <v>84</v>
      </c>
      <c r="F377" t="s">
        <v>31</v>
      </c>
      <c r="G377" t="s">
        <v>18</v>
      </c>
      <c r="H377" t="s">
        <v>17</v>
      </c>
      <c r="I377" s="3">
        <v>45</v>
      </c>
      <c r="J377" s="2">
        <v>400</v>
      </c>
      <c r="K377" s="3">
        <f t="shared" si="5"/>
        <v>18000</v>
      </c>
      <c r="L377" s="3">
        <v>10800</v>
      </c>
    </row>
    <row r="378" spans="1:12" x14ac:dyDescent="0.25">
      <c r="A378" t="s">
        <v>11</v>
      </c>
      <c r="B378">
        <v>1128299</v>
      </c>
      <c r="C378" s="1">
        <v>44213</v>
      </c>
      <c r="D378" t="s">
        <v>12</v>
      </c>
      <c r="E378" t="s">
        <v>84</v>
      </c>
      <c r="F378" t="s">
        <v>31</v>
      </c>
      <c r="G378" t="s">
        <v>18</v>
      </c>
      <c r="H378" t="s">
        <v>35</v>
      </c>
      <c r="I378" s="3">
        <v>45</v>
      </c>
      <c r="J378" s="2">
        <v>400</v>
      </c>
      <c r="K378" s="3">
        <f t="shared" si="5"/>
        <v>18000</v>
      </c>
      <c r="L378" s="3">
        <v>10800</v>
      </c>
    </row>
    <row r="379" spans="1:12" x14ac:dyDescent="0.25">
      <c r="A379" t="s">
        <v>11</v>
      </c>
      <c r="B379">
        <v>1128299</v>
      </c>
      <c r="C379" s="1">
        <v>44213</v>
      </c>
      <c r="D379" t="s">
        <v>12</v>
      </c>
      <c r="E379" t="s">
        <v>84</v>
      </c>
      <c r="F379" t="s">
        <v>31</v>
      </c>
      <c r="G379" t="s">
        <v>18</v>
      </c>
      <c r="H379" t="s">
        <v>37</v>
      </c>
      <c r="I379" s="3">
        <v>45</v>
      </c>
      <c r="J379" s="2">
        <v>250</v>
      </c>
      <c r="K379" s="3">
        <f t="shared" si="5"/>
        <v>11250</v>
      </c>
      <c r="L379" s="3">
        <v>6750</v>
      </c>
    </row>
    <row r="380" spans="1:12" x14ac:dyDescent="0.25">
      <c r="A380" t="s">
        <v>11</v>
      </c>
      <c r="B380">
        <v>1185732</v>
      </c>
      <c r="C380" s="1">
        <v>44213</v>
      </c>
      <c r="D380" t="s">
        <v>57</v>
      </c>
      <c r="E380" t="s">
        <v>103</v>
      </c>
      <c r="F380" t="s">
        <v>104</v>
      </c>
      <c r="G380" t="s">
        <v>18</v>
      </c>
      <c r="H380" t="s">
        <v>38</v>
      </c>
      <c r="I380" s="3">
        <v>35</v>
      </c>
      <c r="J380" s="2">
        <v>500</v>
      </c>
      <c r="K380" s="3">
        <f t="shared" si="5"/>
        <v>17500</v>
      </c>
      <c r="L380" s="3">
        <v>10500</v>
      </c>
    </row>
    <row r="381" spans="1:12" x14ac:dyDescent="0.25">
      <c r="A381" t="s">
        <v>11</v>
      </c>
      <c r="B381">
        <v>1185732</v>
      </c>
      <c r="C381" s="1">
        <v>44213</v>
      </c>
      <c r="D381" t="s">
        <v>57</v>
      </c>
      <c r="E381" t="s">
        <v>103</v>
      </c>
      <c r="F381" t="s">
        <v>104</v>
      </c>
      <c r="G381" t="s">
        <v>18</v>
      </c>
      <c r="H381" t="s">
        <v>17</v>
      </c>
      <c r="I381" s="3">
        <v>35</v>
      </c>
      <c r="J381" s="2">
        <v>300</v>
      </c>
      <c r="K381" s="3">
        <f t="shared" si="5"/>
        <v>10500</v>
      </c>
      <c r="L381" s="3">
        <v>6300</v>
      </c>
    </row>
    <row r="382" spans="1:12" x14ac:dyDescent="0.25">
      <c r="A382" t="s">
        <v>11</v>
      </c>
      <c r="B382">
        <v>1185732</v>
      </c>
      <c r="C382" s="1">
        <v>44213</v>
      </c>
      <c r="D382" t="s">
        <v>57</v>
      </c>
      <c r="E382" t="s">
        <v>103</v>
      </c>
      <c r="F382" t="s">
        <v>104</v>
      </c>
      <c r="G382" t="s">
        <v>18</v>
      </c>
      <c r="H382" t="s">
        <v>35</v>
      </c>
      <c r="I382" s="3">
        <v>25.000000000000007</v>
      </c>
      <c r="J382" s="2">
        <v>300</v>
      </c>
      <c r="K382" s="3">
        <f t="shared" si="5"/>
        <v>7500.0000000000018</v>
      </c>
      <c r="L382" s="3">
        <v>4500.0000000000009</v>
      </c>
    </row>
    <row r="383" spans="1:12" x14ac:dyDescent="0.25">
      <c r="A383" t="s">
        <v>11</v>
      </c>
      <c r="B383">
        <v>1185732</v>
      </c>
      <c r="C383" s="1">
        <v>44213</v>
      </c>
      <c r="D383" t="s">
        <v>57</v>
      </c>
      <c r="E383" t="s">
        <v>103</v>
      </c>
      <c r="F383" t="s">
        <v>104</v>
      </c>
      <c r="G383" t="s">
        <v>18</v>
      </c>
      <c r="H383" t="s">
        <v>37</v>
      </c>
      <c r="I383" s="3">
        <v>30.000000000000004</v>
      </c>
      <c r="J383" s="2">
        <v>150</v>
      </c>
      <c r="K383" s="3">
        <f t="shared" si="5"/>
        <v>4500.0000000000009</v>
      </c>
      <c r="L383" s="3">
        <v>2700.0000000000005</v>
      </c>
    </row>
    <row r="384" spans="1:12" x14ac:dyDescent="0.25">
      <c r="A384" t="s">
        <v>11</v>
      </c>
      <c r="B384">
        <v>1185732</v>
      </c>
      <c r="C384" s="1">
        <v>44213</v>
      </c>
      <c r="D384" t="s">
        <v>57</v>
      </c>
      <c r="E384" t="s">
        <v>103</v>
      </c>
      <c r="F384" t="s">
        <v>104</v>
      </c>
      <c r="G384" t="s">
        <v>18</v>
      </c>
      <c r="H384" t="s">
        <v>22</v>
      </c>
      <c r="I384" s="3">
        <v>44.999999999999993</v>
      </c>
      <c r="J384" s="2">
        <v>200</v>
      </c>
      <c r="K384" s="3">
        <f t="shared" si="5"/>
        <v>8999.9999999999982</v>
      </c>
      <c r="L384" s="3">
        <v>5399.9999999999991</v>
      </c>
    </row>
    <row r="385" spans="1:12" x14ac:dyDescent="0.25">
      <c r="A385" t="s">
        <v>11</v>
      </c>
      <c r="B385">
        <v>1185732</v>
      </c>
      <c r="C385" s="1">
        <v>44213</v>
      </c>
      <c r="D385" t="s">
        <v>57</v>
      </c>
      <c r="E385" t="s">
        <v>103</v>
      </c>
      <c r="F385" t="s">
        <v>104</v>
      </c>
      <c r="G385" t="s">
        <v>18</v>
      </c>
      <c r="H385" t="s">
        <v>16</v>
      </c>
      <c r="I385" s="3">
        <v>35</v>
      </c>
      <c r="J385" s="2">
        <v>300</v>
      </c>
      <c r="K385" s="3">
        <f t="shared" si="5"/>
        <v>10500</v>
      </c>
      <c r="L385" s="3">
        <v>6300</v>
      </c>
    </row>
    <row r="386" spans="1:12" x14ac:dyDescent="0.25">
      <c r="A386" t="s">
        <v>19</v>
      </c>
      <c r="B386">
        <v>1185732</v>
      </c>
      <c r="C386" s="1">
        <v>44213</v>
      </c>
      <c r="D386" t="s">
        <v>29</v>
      </c>
      <c r="E386" t="s">
        <v>87</v>
      </c>
      <c r="F386" t="s">
        <v>88</v>
      </c>
      <c r="G386" t="s">
        <v>18</v>
      </c>
      <c r="H386" t="s">
        <v>35</v>
      </c>
      <c r="I386" s="3">
        <v>30.000000000000004</v>
      </c>
      <c r="J386" s="2">
        <v>325</v>
      </c>
      <c r="K386" s="3">
        <f t="shared" si="5"/>
        <v>9750.0000000000018</v>
      </c>
      <c r="L386" s="3">
        <v>5850.0000000000009</v>
      </c>
    </row>
    <row r="387" spans="1:12" x14ac:dyDescent="0.25">
      <c r="A387" t="s">
        <v>19</v>
      </c>
      <c r="B387">
        <v>1185732</v>
      </c>
      <c r="C387" s="1">
        <v>44213</v>
      </c>
      <c r="D387" t="s">
        <v>29</v>
      </c>
      <c r="E387" t="s">
        <v>87</v>
      </c>
      <c r="F387" t="s">
        <v>88</v>
      </c>
      <c r="G387" t="s">
        <v>18</v>
      </c>
      <c r="H387" t="s">
        <v>37</v>
      </c>
      <c r="I387" s="3">
        <v>35</v>
      </c>
      <c r="J387" s="2">
        <v>175</v>
      </c>
      <c r="K387" s="3">
        <f t="shared" ref="K387:K450" si="6">I387*J387</f>
        <v>6125</v>
      </c>
      <c r="L387" s="3">
        <v>3675</v>
      </c>
    </row>
    <row r="388" spans="1:12" x14ac:dyDescent="0.25">
      <c r="A388" t="s">
        <v>19</v>
      </c>
      <c r="B388">
        <v>1185732</v>
      </c>
      <c r="C388" s="1">
        <v>44213</v>
      </c>
      <c r="D388" t="s">
        <v>29</v>
      </c>
      <c r="E388" t="s">
        <v>87</v>
      </c>
      <c r="F388" t="s">
        <v>88</v>
      </c>
      <c r="G388" t="s">
        <v>18</v>
      </c>
      <c r="H388" t="s">
        <v>16</v>
      </c>
      <c r="I388" s="3">
        <v>40</v>
      </c>
      <c r="J388" s="2">
        <v>325</v>
      </c>
      <c r="K388" s="3">
        <f t="shared" si="6"/>
        <v>13000</v>
      </c>
      <c r="L388" s="3">
        <v>7800</v>
      </c>
    </row>
    <row r="389" spans="1:12" x14ac:dyDescent="0.25">
      <c r="A389" t="s">
        <v>27</v>
      </c>
      <c r="B389">
        <v>1189833</v>
      </c>
      <c r="C389" s="1">
        <v>44213</v>
      </c>
      <c r="D389" t="s">
        <v>57</v>
      </c>
      <c r="E389" t="s">
        <v>58</v>
      </c>
      <c r="F389" t="s">
        <v>59</v>
      </c>
      <c r="G389" t="s">
        <v>15</v>
      </c>
      <c r="H389" t="s">
        <v>35</v>
      </c>
      <c r="I389" s="3">
        <v>45</v>
      </c>
      <c r="J389" s="2">
        <v>400</v>
      </c>
      <c r="K389" s="3">
        <f t="shared" si="6"/>
        <v>18000</v>
      </c>
      <c r="L389" s="3">
        <v>9900</v>
      </c>
    </row>
    <row r="390" spans="1:12" x14ac:dyDescent="0.25">
      <c r="A390" t="s">
        <v>26</v>
      </c>
      <c r="B390">
        <v>1128299</v>
      </c>
      <c r="C390" s="1">
        <v>44213</v>
      </c>
      <c r="D390" t="s">
        <v>12</v>
      </c>
      <c r="E390" t="s">
        <v>20</v>
      </c>
      <c r="F390" t="s">
        <v>21</v>
      </c>
      <c r="G390" t="s">
        <v>15</v>
      </c>
      <c r="H390" t="s">
        <v>16</v>
      </c>
      <c r="I390" s="3">
        <v>50</v>
      </c>
      <c r="J390" s="2">
        <v>475</v>
      </c>
      <c r="K390" s="3">
        <f t="shared" si="6"/>
        <v>23750</v>
      </c>
      <c r="L390" s="3">
        <v>13062.5</v>
      </c>
    </row>
    <row r="391" spans="1:12" x14ac:dyDescent="0.25">
      <c r="A391" t="s">
        <v>11</v>
      </c>
      <c r="B391">
        <v>1128299</v>
      </c>
      <c r="C391" s="1">
        <v>44213</v>
      </c>
      <c r="D391" t="s">
        <v>12</v>
      </c>
      <c r="E391" t="s">
        <v>84</v>
      </c>
      <c r="F391" t="s">
        <v>31</v>
      </c>
      <c r="G391" t="s">
        <v>18</v>
      </c>
      <c r="H391" t="s">
        <v>22</v>
      </c>
      <c r="I391" s="3">
        <v>50.000000000000014</v>
      </c>
      <c r="J391" s="2">
        <v>200</v>
      </c>
      <c r="K391" s="3">
        <f t="shared" si="6"/>
        <v>10000.000000000004</v>
      </c>
      <c r="L391" s="3">
        <v>5500.0000000000018</v>
      </c>
    </row>
    <row r="392" spans="1:12" x14ac:dyDescent="0.25">
      <c r="A392" t="s">
        <v>11</v>
      </c>
      <c r="B392">
        <v>1128299</v>
      </c>
      <c r="C392" s="1">
        <v>44213</v>
      </c>
      <c r="D392" t="s">
        <v>12</v>
      </c>
      <c r="E392" t="s">
        <v>13</v>
      </c>
      <c r="F392" t="s">
        <v>14</v>
      </c>
      <c r="G392" t="s">
        <v>15</v>
      </c>
      <c r="H392" t="s">
        <v>16</v>
      </c>
      <c r="I392" s="3">
        <v>56</v>
      </c>
      <c r="J392" s="2">
        <v>264</v>
      </c>
      <c r="K392" s="3">
        <f t="shared" si="6"/>
        <v>14784</v>
      </c>
      <c r="L392" s="3">
        <v>11975.039999999999</v>
      </c>
    </row>
    <row r="393" spans="1:12" x14ac:dyDescent="0.25">
      <c r="A393" t="s">
        <v>26</v>
      </c>
      <c r="B393">
        <v>1185732</v>
      </c>
      <c r="C393" s="1">
        <v>44213</v>
      </c>
      <c r="D393" t="s">
        <v>29</v>
      </c>
      <c r="E393" t="s">
        <v>48</v>
      </c>
      <c r="F393" t="s">
        <v>49</v>
      </c>
      <c r="G393" t="s">
        <v>15</v>
      </c>
      <c r="H393" t="s">
        <v>35</v>
      </c>
      <c r="I393" s="3">
        <v>22</v>
      </c>
      <c r="J393" s="2">
        <v>75</v>
      </c>
      <c r="K393" s="3">
        <f t="shared" si="6"/>
        <v>1650</v>
      </c>
      <c r="L393" s="3">
        <v>1171.5</v>
      </c>
    </row>
    <row r="394" spans="1:12" x14ac:dyDescent="0.25">
      <c r="A394" t="s">
        <v>11</v>
      </c>
      <c r="B394">
        <v>1128299</v>
      </c>
      <c r="C394" s="1">
        <v>44213</v>
      </c>
      <c r="D394" t="s">
        <v>12</v>
      </c>
      <c r="E394" t="s">
        <v>13</v>
      </c>
      <c r="F394" t="s">
        <v>14</v>
      </c>
      <c r="G394" t="s">
        <v>41</v>
      </c>
      <c r="H394" t="s">
        <v>16</v>
      </c>
      <c r="I394" s="3">
        <v>72</v>
      </c>
      <c r="J394" s="2">
        <v>233</v>
      </c>
      <c r="K394" s="3">
        <f t="shared" si="6"/>
        <v>16776</v>
      </c>
      <c r="L394" s="3">
        <v>11910.96</v>
      </c>
    </row>
    <row r="395" spans="1:12" x14ac:dyDescent="0.25">
      <c r="A395" t="s">
        <v>26</v>
      </c>
      <c r="B395">
        <v>1128299</v>
      </c>
      <c r="C395" s="1">
        <v>44213</v>
      </c>
      <c r="D395" t="s">
        <v>12</v>
      </c>
      <c r="E395" t="s">
        <v>20</v>
      </c>
      <c r="F395" t="s">
        <v>21</v>
      </c>
      <c r="G395" t="s">
        <v>41</v>
      </c>
      <c r="H395" t="s">
        <v>22</v>
      </c>
      <c r="I395" s="3">
        <v>54</v>
      </c>
      <c r="J395" s="2">
        <v>68</v>
      </c>
      <c r="K395" s="3">
        <f t="shared" si="6"/>
        <v>3672</v>
      </c>
      <c r="L395" s="3">
        <v>2570.3999999999996</v>
      </c>
    </row>
    <row r="396" spans="1:12" x14ac:dyDescent="0.25">
      <c r="A396" t="s">
        <v>26</v>
      </c>
      <c r="B396">
        <v>1185732</v>
      </c>
      <c r="C396" s="1">
        <v>44213</v>
      </c>
      <c r="D396" t="s">
        <v>29</v>
      </c>
      <c r="E396" t="s">
        <v>48</v>
      </c>
      <c r="F396" t="s">
        <v>49</v>
      </c>
      <c r="G396" t="s">
        <v>15</v>
      </c>
      <c r="H396" t="s">
        <v>37</v>
      </c>
      <c r="I396" s="3">
        <v>25</v>
      </c>
      <c r="J396" s="2">
        <v>33</v>
      </c>
      <c r="K396" s="3">
        <f t="shared" si="6"/>
        <v>825</v>
      </c>
      <c r="L396" s="3">
        <v>569.25</v>
      </c>
    </row>
    <row r="397" spans="1:12" x14ac:dyDescent="0.25">
      <c r="A397" t="s">
        <v>26</v>
      </c>
      <c r="B397">
        <v>1185732</v>
      </c>
      <c r="C397" s="1">
        <v>44213</v>
      </c>
      <c r="D397" t="s">
        <v>29</v>
      </c>
      <c r="E397" t="s">
        <v>48</v>
      </c>
      <c r="F397" t="s">
        <v>49</v>
      </c>
      <c r="G397" t="s">
        <v>15</v>
      </c>
      <c r="H397" t="s">
        <v>22</v>
      </c>
      <c r="I397" s="3">
        <v>39</v>
      </c>
      <c r="J397" s="2">
        <v>47</v>
      </c>
      <c r="K397" s="3">
        <f t="shared" si="6"/>
        <v>1833</v>
      </c>
      <c r="L397" s="3">
        <v>1246.44</v>
      </c>
    </row>
    <row r="398" spans="1:12" x14ac:dyDescent="0.25">
      <c r="A398" t="s">
        <v>26</v>
      </c>
      <c r="B398">
        <v>1185732</v>
      </c>
      <c r="C398" s="1">
        <v>44213</v>
      </c>
      <c r="D398" t="s">
        <v>29</v>
      </c>
      <c r="E398" t="s">
        <v>48</v>
      </c>
      <c r="F398" t="s">
        <v>49</v>
      </c>
      <c r="G398" t="s">
        <v>15</v>
      </c>
      <c r="H398" t="s">
        <v>38</v>
      </c>
      <c r="I398" s="3">
        <v>28</v>
      </c>
      <c r="J398" s="2">
        <v>140</v>
      </c>
      <c r="K398" s="3">
        <f t="shared" si="6"/>
        <v>3920</v>
      </c>
      <c r="L398" s="3">
        <v>2626.4</v>
      </c>
    </row>
    <row r="399" spans="1:12" x14ac:dyDescent="0.25">
      <c r="A399" t="s">
        <v>26</v>
      </c>
      <c r="B399">
        <v>1185732</v>
      </c>
      <c r="C399" s="1">
        <v>44213</v>
      </c>
      <c r="D399" t="s">
        <v>29</v>
      </c>
      <c r="E399" t="s">
        <v>48</v>
      </c>
      <c r="F399" t="s">
        <v>49</v>
      </c>
      <c r="G399" t="s">
        <v>15</v>
      </c>
      <c r="H399" t="s">
        <v>17</v>
      </c>
      <c r="I399" s="3">
        <v>28</v>
      </c>
      <c r="J399" s="2">
        <v>88</v>
      </c>
      <c r="K399" s="3">
        <f t="shared" si="6"/>
        <v>2464</v>
      </c>
      <c r="L399" s="3">
        <v>1626.2400000000002</v>
      </c>
    </row>
    <row r="400" spans="1:12" x14ac:dyDescent="0.25">
      <c r="A400" t="s">
        <v>26</v>
      </c>
      <c r="B400">
        <v>1185732</v>
      </c>
      <c r="C400" s="1">
        <v>44213</v>
      </c>
      <c r="D400" t="s">
        <v>29</v>
      </c>
      <c r="E400" t="s">
        <v>48</v>
      </c>
      <c r="F400" t="s">
        <v>49</v>
      </c>
      <c r="G400" t="s">
        <v>15</v>
      </c>
      <c r="H400" t="s">
        <v>16</v>
      </c>
      <c r="I400" s="3">
        <v>26</v>
      </c>
      <c r="J400" s="2">
        <v>83</v>
      </c>
      <c r="K400" s="3">
        <f t="shared" si="6"/>
        <v>2158</v>
      </c>
      <c r="L400" s="3">
        <v>1424.2800000000002</v>
      </c>
    </row>
    <row r="401" spans="1:12" x14ac:dyDescent="0.25">
      <c r="A401" t="s">
        <v>26</v>
      </c>
      <c r="B401">
        <v>1128299</v>
      </c>
      <c r="C401" s="1">
        <v>44213</v>
      </c>
      <c r="D401" t="s">
        <v>12</v>
      </c>
      <c r="E401" t="s">
        <v>20</v>
      </c>
      <c r="F401" t="s">
        <v>21</v>
      </c>
      <c r="G401" t="s">
        <v>41</v>
      </c>
      <c r="H401" t="s">
        <v>17</v>
      </c>
      <c r="I401" s="3">
        <v>48</v>
      </c>
      <c r="J401" s="2">
        <v>123</v>
      </c>
      <c r="K401" s="3">
        <f t="shared" si="6"/>
        <v>5904</v>
      </c>
      <c r="L401" s="3">
        <v>3837.6</v>
      </c>
    </row>
    <row r="402" spans="1:12" x14ac:dyDescent="0.25">
      <c r="A402" t="s">
        <v>26</v>
      </c>
      <c r="B402">
        <v>1185732</v>
      </c>
      <c r="C402" s="1">
        <v>44213</v>
      </c>
      <c r="D402" t="s">
        <v>29</v>
      </c>
      <c r="E402" t="s">
        <v>48</v>
      </c>
      <c r="F402" t="s">
        <v>49</v>
      </c>
      <c r="G402" t="s">
        <v>41</v>
      </c>
      <c r="H402" t="s">
        <v>35</v>
      </c>
      <c r="I402" s="3">
        <v>27</v>
      </c>
      <c r="J402" s="2">
        <v>73</v>
      </c>
      <c r="K402" s="3">
        <f t="shared" si="6"/>
        <v>1971</v>
      </c>
      <c r="L402" s="3">
        <v>1261.44</v>
      </c>
    </row>
    <row r="403" spans="1:12" x14ac:dyDescent="0.25">
      <c r="A403" t="s">
        <v>26</v>
      </c>
      <c r="B403">
        <v>1185732</v>
      </c>
      <c r="C403" s="1">
        <v>44213</v>
      </c>
      <c r="D403" t="s">
        <v>29</v>
      </c>
      <c r="E403" t="s">
        <v>48</v>
      </c>
      <c r="F403" t="s">
        <v>49</v>
      </c>
      <c r="G403" t="s">
        <v>41</v>
      </c>
      <c r="H403" t="s">
        <v>37</v>
      </c>
      <c r="I403" s="3">
        <v>34</v>
      </c>
      <c r="J403" s="2">
        <v>26</v>
      </c>
      <c r="K403" s="3">
        <f t="shared" si="6"/>
        <v>884</v>
      </c>
      <c r="L403" s="3">
        <v>548.07999999999993</v>
      </c>
    </row>
    <row r="404" spans="1:12" x14ac:dyDescent="0.25">
      <c r="A404" t="s">
        <v>26</v>
      </c>
      <c r="B404">
        <v>1185732</v>
      </c>
      <c r="C404" s="1">
        <v>44213</v>
      </c>
      <c r="D404" t="s">
        <v>29</v>
      </c>
      <c r="E404" t="s">
        <v>48</v>
      </c>
      <c r="F404" t="s">
        <v>49</v>
      </c>
      <c r="G404" t="s">
        <v>41</v>
      </c>
      <c r="H404" t="s">
        <v>22</v>
      </c>
      <c r="I404" s="3">
        <v>48</v>
      </c>
      <c r="J404" s="2">
        <v>41</v>
      </c>
      <c r="K404" s="3">
        <f t="shared" si="6"/>
        <v>1968</v>
      </c>
      <c r="L404" s="3">
        <v>1200.48</v>
      </c>
    </row>
    <row r="405" spans="1:12" x14ac:dyDescent="0.25">
      <c r="A405" t="s">
        <v>11</v>
      </c>
      <c r="B405">
        <v>1128299</v>
      </c>
      <c r="C405" s="1">
        <v>44213</v>
      </c>
      <c r="D405" t="s">
        <v>12</v>
      </c>
      <c r="E405" t="s">
        <v>84</v>
      </c>
      <c r="F405" t="s">
        <v>31</v>
      </c>
      <c r="G405" t="s">
        <v>15</v>
      </c>
      <c r="H405" t="s">
        <v>16</v>
      </c>
      <c r="I405" s="3">
        <v>34</v>
      </c>
      <c r="J405" s="2">
        <v>140</v>
      </c>
      <c r="K405" s="3">
        <f t="shared" si="6"/>
        <v>4760</v>
      </c>
      <c r="L405" s="3">
        <v>2856</v>
      </c>
    </row>
    <row r="406" spans="1:12" x14ac:dyDescent="0.25">
      <c r="A406" t="s">
        <v>26</v>
      </c>
      <c r="B406">
        <v>1128299</v>
      </c>
      <c r="C406" s="1">
        <v>44213</v>
      </c>
      <c r="D406" t="s">
        <v>12</v>
      </c>
      <c r="E406" t="s">
        <v>20</v>
      </c>
      <c r="F406" t="s">
        <v>21</v>
      </c>
      <c r="G406" t="s">
        <v>41</v>
      </c>
      <c r="H406" t="s">
        <v>35</v>
      </c>
      <c r="I406" s="3">
        <v>45</v>
      </c>
      <c r="J406" s="2">
        <v>123</v>
      </c>
      <c r="K406" s="3">
        <f t="shared" si="6"/>
        <v>5535</v>
      </c>
      <c r="L406" s="3">
        <v>3265.65</v>
      </c>
    </row>
    <row r="407" spans="1:12" x14ac:dyDescent="0.25">
      <c r="A407" t="s">
        <v>26</v>
      </c>
      <c r="B407">
        <v>1185732</v>
      </c>
      <c r="C407" s="1">
        <v>44213</v>
      </c>
      <c r="D407" t="s">
        <v>29</v>
      </c>
      <c r="E407" t="s">
        <v>48</v>
      </c>
      <c r="F407" t="s">
        <v>49</v>
      </c>
      <c r="G407" t="s">
        <v>41</v>
      </c>
      <c r="H407" t="s">
        <v>16</v>
      </c>
      <c r="I407" s="3">
        <v>38</v>
      </c>
      <c r="J407" s="2">
        <v>70</v>
      </c>
      <c r="K407" s="3">
        <f t="shared" si="6"/>
        <v>2660</v>
      </c>
      <c r="L407" s="3">
        <v>1569.4</v>
      </c>
    </row>
    <row r="408" spans="1:12" x14ac:dyDescent="0.25">
      <c r="A408" t="s">
        <v>19</v>
      </c>
      <c r="B408">
        <v>1185732</v>
      </c>
      <c r="C408" s="1">
        <v>44213</v>
      </c>
      <c r="D408" t="s">
        <v>29</v>
      </c>
      <c r="E408" t="s">
        <v>87</v>
      </c>
      <c r="F408" t="s">
        <v>88</v>
      </c>
      <c r="G408" t="s">
        <v>41</v>
      </c>
      <c r="H408" t="s">
        <v>22</v>
      </c>
      <c r="I408" s="3">
        <v>49</v>
      </c>
      <c r="J408" s="2">
        <v>59</v>
      </c>
      <c r="K408" s="3">
        <f t="shared" si="6"/>
        <v>2891</v>
      </c>
      <c r="L408" s="3">
        <v>1676.78</v>
      </c>
    </row>
    <row r="409" spans="1:12" x14ac:dyDescent="0.25">
      <c r="A409" t="s">
        <v>11</v>
      </c>
      <c r="B409">
        <v>1128299</v>
      </c>
      <c r="C409" s="1">
        <v>44213</v>
      </c>
      <c r="D409" t="s">
        <v>12</v>
      </c>
      <c r="E409" t="s">
        <v>84</v>
      </c>
      <c r="F409" t="s">
        <v>31</v>
      </c>
      <c r="G409" t="s">
        <v>15</v>
      </c>
      <c r="H409" t="s">
        <v>38</v>
      </c>
      <c r="I409" s="3">
        <v>28</v>
      </c>
      <c r="J409" s="2">
        <v>120</v>
      </c>
      <c r="K409" s="3">
        <f t="shared" si="6"/>
        <v>3360</v>
      </c>
      <c r="L409" s="3">
        <v>1948.8</v>
      </c>
    </row>
    <row r="410" spans="1:12" x14ac:dyDescent="0.25">
      <c r="A410" t="s">
        <v>11</v>
      </c>
      <c r="B410">
        <v>1128299</v>
      </c>
      <c r="C410" s="1">
        <v>44213</v>
      </c>
      <c r="D410" t="s">
        <v>12</v>
      </c>
      <c r="E410" t="s">
        <v>84</v>
      </c>
      <c r="F410" t="s">
        <v>31</v>
      </c>
      <c r="G410" t="s">
        <v>15</v>
      </c>
      <c r="H410" t="s">
        <v>35</v>
      </c>
      <c r="I410" s="3">
        <v>33</v>
      </c>
      <c r="J410" s="2">
        <v>128</v>
      </c>
      <c r="K410" s="3">
        <f t="shared" si="6"/>
        <v>4224</v>
      </c>
      <c r="L410" s="3">
        <v>2407.6800000000003</v>
      </c>
    </row>
    <row r="411" spans="1:12" x14ac:dyDescent="0.25">
      <c r="A411" t="s">
        <v>26</v>
      </c>
      <c r="B411">
        <v>1128299</v>
      </c>
      <c r="C411" s="1">
        <v>44213</v>
      </c>
      <c r="D411" t="s">
        <v>12</v>
      </c>
      <c r="E411" t="s">
        <v>20</v>
      </c>
      <c r="F411" t="s">
        <v>21</v>
      </c>
      <c r="G411" t="s">
        <v>41</v>
      </c>
      <c r="H411" t="s">
        <v>38</v>
      </c>
      <c r="I411" s="3">
        <v>38</v>
      </c>
      <c r="J411" s="2">
        <v>115</v>
      </c>
      <c r="K411" s="3">
        <f t="shared" si="6"/>
        <v>4370</v>
      </c>
      <c r="L411" s="3">
        <v>2490.9</v>
      </c>
    </row>
    <row r="412" spans="1:12" x14ac:dyDescent="0.25">
      <c r="A412" t="s">
        <v>26</v>
      </c>
      <c r="B412">
        <v>1185732</v>
      </c>
      <c r="C412" s="1">
        <v>44213</v>
      </c>
      <c r="D412" t="s">
        <v>29</v>
      </c>
      <c r="E412" t="s">
        <v>48</v>
      </c>
      <c r="F412" t="s">
        <v>49</v>
      </c>
      <c r="G412" t="s">
        <v>41</v>
      </c>
      <c r="H412" t="s">
        <v>38</v>
      </c>
      <c r="I412" s="3">
        <v>38</v>
      </c>
      <c r="J412" s="2">
        <v>126</v>
      </c>
      <c r="K412" s="3">
        <f t="shared" si="6"/>
        <v>4788</v>
      </c>
      <c r="L412" s="3">
        <v>2729.16</v>
      </c>
    </row>
    <row r="413" spans="1:12" x14ac:dyDescent="0.25">
      <c r="A413" t="s">
        <v>11</v>
      </c>
      <c r="B413">
        <v>1128299</v>
      </c>
      <c r="C413" s="1">
        <v>44213</v>
      </c>
      <c r="D413" t="s">
        <v>12</v>
      </c>
      <c r="E413" t="s">
        <v>84</v>
      </c>
      <c r="F413" t="s">
        <v>31</v>
      </c>
      <c r="G413" t="s">
        <v>15</v>
      </c>
      <c r="H413" t="s">
        <v>17</v>
      </c>
      <c r="I413" s="3">
        <v>31</v>
      </c>
      <c r="J413" s="2">
        <v>124</v>
      </c>
      <c r="K413" s="3">
        <f t="shared" si="6"/>
        <v>3844</v>
      </c>
      <c r="L413" s="3">
        <v>2152.6400000000003</v>
      </c>
    </row>
    <row r="414" spans="1:12" x14ac:dyDescent="0.25">
      <c r="A414" t="s">
        <v>26</v>
      </c>
      <c r="B414">
        <v>1185732</v>
      </c>
      <c r="C414" s="1">
        <v>44213</v>
      </c>
      <c r="D414" t="s">
        <v>29</v>
      </c>
      <c r="E414" t="s">
        <v>48</v>
      </c>
      <c r="F414" t="s">
        <v>49</v>
      </c>
      <c r="G414" t="s">
        <v>41</v>
      </c>
      <c r="H414" t="s">
        <v>17</v>
      </c>
      <c r="I414" s="3">
        <v>38</v>
      </c>
      <c r="J414" s="2">
        <v>68</v>
      </c>
      <c r="K414" s="3">
        <f t="shared" si="6"/>
        <v>2584</v>
      </c>
      <c r="L414" s="3">
        <v>1447.04</v>
      </c>
    </row>
    <row r="415" spans="1:12" x14ac:dyDescent="0.25">
      <c r="A415" t="s">
        <v>26</v>
      </c>
      <c r="B415">
        <v>1128299</v>
      </c>
      <c r="C415" s="1">
        <v>44213</v>
      </c>
      <c r="D415" t="s">
        <v>12</v>
      </c>
      <c r="E415" t="s">
        <v>20</v>
      </c>
      <c r="F415" t="s">
        <v>21</v>
      </c>
      <c r="G415" t="s">
        <v>41</v>
      </c>
      <c r="H415" t="s">
        <v>37</v>
      </c>
      <c r="I415" s="3">
        <v>47</v>
      </c>
      <c r="J415" s="2">
        <v>77</v>
      </c>
      <c r="K415" s="3">
        <f t="shared" si="6"/>
        <v>3619</v>
      </c>
      <c r="L415" s="3">
        <v>1990.4500000000003</v>
      </c>
    </row>
    <row r="416" spans="1:12" x14ac:dyDescent="0.25">
      <c r="A416" t="s">
        <v>19</v>
      </c>
      <c r="B416">
        <v>1185732</v>
      </c>
      <c r="C416" s="1">
        <v>44213</v>
      </c>
      <c r="D416" t="s">
        <v>29</v>
      </c>
      <c r="E416" t="s">
        <v>87</v>
      </c>
      <c r="F416" t="s">
        <v>88</v>
      </c>
      <c r="G416" t="s">
        <v>41</v>
      </c>
      <c r="H416" t="s">
        <v>38</v>
      </c>
      <c r="I416" s="3">
        <v>36</v>
      </c>
      <c r="J416" s="2">
        <v>137</v>
      </c>
      <c r="K416" s="3">
        <f t="shared" si="6"/>
        <v>4932</v>
      </c>
      <c r="L416" s="3">
        <v>2712.6000000000004</v>
      </c>
    </row>
    <row r="417" spans="1:12" x14ac:dyDescent="0.25">
      <c r="A417" t="s">
        <v>11</v>
      </c>
      <c r="B417">
        <v>1128299</v>
      </c>
      <c r="C417" s="1">
        <v>44213</v>
      </c>
      <c r="D417" t="s">
        <v>12</v>
      </c>
      <c r="E417" t="s">
        <v>84</v>
      </c>
      <c r="F417" t="s">
        <v>31</v>
      </c>
      <c r="G417" t="s">
        <v>15</v>
      </c>
      <c r="H417" t="s">
        <v>37</v>
      </c>
      <c r="I417" s="3">
        <v>34</v>
      </c>
      <c r="J417" s="2">
        <v>78</v>
      </c>
      <c r="K417" s="3">
        <f t="shared" si="6"/>
        <v>2652</v>
      </c>
      <c r="L417" s="3">
        <v>1432.0800000000002</v>
      </c>
    </row>
    <row r="418" spans="1:12" x14ac:dyDescent="0.25">
      <c r="A418" t="s">
        <v>11</v>
      </c>
      <c r="B418">
        <v>1128299</v>
      </c>
      <c r="C418" s="1">
        <v>44213</v>
      </c>
      <c r="D418" t="s">
        <v>12</v>
      </c>
      <c r="E418" t="s">
        <v>84</v>
      </c>
      <c r="F418" t="s">
        <v>31</v>
      </c>
      <c r="G418" t="s">
        <v>41</v>
      </c>
      <c r="H418" t="s">
        <v>16</v>
      </c>
      <c r="I418" s="3">
        <v>41</v>
      </c>
      <c r="J418" s="2">
        <v>122</v>
      </c>
      <c r="K418" s="3">
        <f t="shared" si="6"/>
        <v>5002</v>
      </c>
      <c r="L418" s="3">
        <v>2601.04</v>
      </c>
    </row>
    <row r="419" spans="1:12" x14ac:dyDescent="0.25">
      <c r="A419" t="s">
        <v>11</v>
      </c>
      <c r="B419">
        <v>1185732</v>
      </c>
      <c r="C419" s="1">
        <v>44213</v>
      </c>
      <c r="D419" t="s">
        <v>57</v>
      </c>
      <c r="E419" t="s">
        <v>103</v>
      </c>
      <c r="F419" t="s">
        <v>104</v>
      </c>
      <c r="G419" t="s">
        <v>41</v>
      </c>
      <c r="H419" t="s">
        <v>16</v>
      </c>
      <c r="I419" s="3">
        <v>34</v>
      </c>
      <c r="J419" s="2">
        <v>75</v>
      </c>
      <c r="K419" s="3">
        <f t="shared" si="6"/>
        <v>2550</v>
      </c>
      <c r="L419" s="3">
        <v>1275</v>
      </c>
    </row>
    <row r="420" spans="1:12" x14ac:dyDescent="0.25">
      <c r="A420" t="s">
        <v>19</v>
      </c>
      <c r="B420">
        <v>1185732</v>
      </c>
      <c r="C420" s="1">
        <v>44213</v>
      </c>
      <c r="D420" t="s">
        <v>29</v>
      </c>
      <c r="E420" t="s">
        <v>87</v>
      </c>
      <c r="F420" t="s">
        <v>88</v>
      </c>
      <c r="G420" t="s">
        <v>41</v>
      </c>
      <c r="H420" t="s">
        <v>17</v>
      </c>
      <c r="I420" s="3">
        <v>38</v>
      </c>
      <c r="J420" s="2">
        <v>81</v>
      </c>
      <c r="K420" s="3">
        <f t="shared" si="6"/>
        <v>3078</v>
      </c>
      <c r="L420" s="3">
        <v>1539</v>
      </c>
    </row>
    <row r="421" spans="1:12" x14ac:dyDescent="0.25">
      <c r="A421" t="s">
        <v>11</v>
      </c>
      <c r="B421">
        <v>1128299</v>
      </c>
      <c r="C421" s="1">
        <v>44213</v>
      </c>
      <c r="D421" t="s">
        <v>12</v>
      </c>
      <c r="E421" t="s">
        <v>84</v>
      </c>
      <c r="F421" t="s">
        <v>31</v>
      </c>
      <c r="G421" t="s">
        <v>41</v>
      </c>
      <c r="H421" t="s">
        <v>38</v>
      </c>
      <c r="I421" s="3">
        <v>33</v>
      </c>
      <c r="J421" s="2">
        <v>100</v>
      </c>
      <c r="K421" s="3">
        <f t="shared" si="6"/>
        <v>3300</v>
      </c>
      <c r="L421" s="3">
        <v>1617</v>
      </c>
    </row>
    <row r="422" spans="1:12" x14ac:dyDescent="0.25">
      <c r="A422" t="s">
        <v>11</v>
      </c>
      <c r="B422">
        <v>1185732</v>
      </c>
      <c r="C422" s="1">
        <v>44213</v>
      </c>
      <c r="D422" t="s">
        <v>57</v>
      </c>
      <c r="E422" t="s">
        <v>103</v>
      </c>
      <c r="F422" t="s">
        <v>104</v>
      </c>
      <c r="G422" t="s">
        <v>41</v>
      </c>
      <c r="H422" t="s">
        <v>22</v>
      </c>
      <c r="I422" s="3">
        <v>41</v>
      </c>
      <c r="J422" s="2">
        <v>54</v>
      </c>
      <c r="K422" s="3">
        <f t="shared" si="6"/>
        <v>2214</v>
      </c>
      <c r="L422" s="3">
        <v>1084.8599999999999</v>
      </c>
    </row>
    <row r="423" spans="1:12" x14ac:dyDescent="0.25">
      <c r="A423" t="s">
        <v>19</v>
      </c>
      <c r="B423">
        <v>1185732</v>
      </c>
      <c r="C423" s="1">
        <v>44213</v>
      </c>
      <c r="D423" t="s">
        <v>29</v>
      </c>
      <c r="E423" t="s">
        <v>87</v>
      </c>
      <c r="F423" t="s">
        <v>88</v>
      </c>
      <c r="G423" t="s">
        <v>41</v>
      </c>
      <c r="H423" t="s">
        <v>16</v>
      </c>
      <c r="I423" s="3">
        <v>36</v>
      </c>
      <c r="J423" s="2">
        <v>81</v>
      </c>
      <c r="K423" s="3">
        <f t="shared" si="6"/>
        <v>2916</v>
      </c>
      <c r="L423" s="3">
        <v>1428.84</v>
      </c>
    </row>
    <row r="424" spans="1:12" x14ac:dyDescent="0.25">
      <c r="A424" t="s">
        <v>11</v>
      </c>
      <c r="B424">
        <v>1128299</v>
      </c>
      <c r="C424" s="1">
        <v>44213</v>
      </c>
      <c r="D424" t="s">
        <v>12</v>
      </c>
      <c r="E424" t="s">
        <v>84</v>
      </c>
      <c r="F424" t="s">
        <v>31</v>
      </c>
      <c r="G424" t="s">
        <v>15</v>
      </c>
      <c r="H424" t="s">
        <v>22</v>
      </c>
      <c r="I424" s="3">
        <v>33</v>
      </c>
      <c r="J424" s="2">
        <v>68</v>
      </c>
      <c r="K424" s="3">
        <f t="shared" si="6"/>
        <v>2244</v>
      </c>
      <c r="L424" s="3">
        <v>1099.56</v>
      </c>
    </row>
    <row r="425" spans="1:12" x14ac:dyDescent="0.25">
      <c r="A425" t="s">
        <v>11</v>
      </c>
      <c r="B425">
        <v>1185732</v>
      </c>
      <c r="C425" s="1">
        <v>44213</v>
      </c>
      <c r="D425" t="s">
        <v>57</v>
      </c>
      <c r="E425" t="s">
        <v>103</v>
      </c>
      <c r="F425" t="s">
        <v>104</v>
      </c>
      <c r="G425" t="s">
        <v>41</v>
      </c>
      <c r="H425" t="s">
        <v>38</v>
      </c>
      <c r="I425" s="3">
        <v>32</v>
      </c>
      <c r="J425" s="2">
        <v>125</v>
      </c>
      <c r="K425" s="3">
        <f t="shared" si="6"/>
        <v>4000</v>
      </c>
      <c r="L425" s="3">
        <v>1920</v>
      </c>
    </row>
    <row r="426" spans="1:12" x14ac:dyDescent="0.25">
      <c r="A426" t="s">
        <v>19</v>
      </c>
      <c r="B426">
        <v>1185732</v>
      </c>
      <c r="C426" s="1">
        <v>44213</v>
      </c>
      <c r="D426" t="s">
        <v>29</v>
      </c>
      <c r="E426" t="s">
        <v>87</v>
      </c>
      <c r="F426" t="s">
        <v>88</v>
      </c>
      <c r="G426" t="s">
        <v>41</v>
      </c>
      <c r="H426" t="s">
        <v>35</v>
      </c>
      <c r="I426" s="3">
        <v>29</v>
      </c>
      <c r="J426" s="2">
        <v>91</v>
      </c>
      <c r="K426" s="3">
        <f t="shared" si="6"/>
        <v>2639</v>
      </c>
      <c r="L426" s="3">
        <v>1240.33</v>
      </c>
    </row>
    <row r="427" spans="1:12" x14ac:dyDescent="0.25">
      <c r="A427" t="s">
        <v>11</v>
      </c>
      <c r="B427">
        <v>1128299</v>
      </c>
      <c r="C427" s="1">
        <v>44213</v>
      </c>
      <c r="D427" t="s">
        <v>12</v>
      </c>
      <c r="E427" t="s">
        <v>84</v>
      </c>
      <c r="F427" t="s">
        <v>31</v>
      </c>
      <c r="G427" t="s">
        <v>41</v>
      </c>
      <c r="H427" t="s">
        <v>17</v>
      </c>
      <c r="I427" s="3">
        <v>42</v>
      </c>
      <c r="J427" s="2">
        <v>100</v>
      </c>
      <c r="K427" s="3">
        <f t="shared" si="6"/>
        <v>4200</v>
      </c>
      <c r="L427" s="3">
        <v>1932</v>
      </c>
    </row>
    <row r="428" spans="1:12" x14ac:dyDescent="0.25">
      <c r="A428" t="s">
        <v>11</v>
      </c>
      <c r="B428">
        <v>1128299</v>
      </c>
      <c r="C428" s="1">
        <v>44213</v>
      </c>
      <c r="D428" t="s">
        <v>12</v>
      </c>
      <c r="E428" t="s">
        <v>84</v>
      </c>
      <c r="F428" t="s">
        <v>31</v>
      </c>
      <c r="G428" t="s">
        <v>41</v>
      </c>
      <c r="H428" t="s">
        <v>35</v>
      </c>
      <c r="I428" s="3">
        <v>43</v>
      </c>
      <c r="J428" s="2">
        <v>112</v>
      </c>
      <c r="K428" s="3">
        <f t="shared" si="6"/>
        <v>4816</v>
      </c>
      <c r="L428" s="3">
        <v>2215.3599999999997</v>
      </c>
    </row>
    <row r="429" spans="1:12" x14ac:dyDescent="0.25">
      <c r="A429" t="s">
        <v>11</v>
      </c>
      <c r="B429">
        <v>1185732</v>
      </c>
      <c r="C429" s="1">
        <v>44213</v>
      </c>
      <c r="D429" t="s">
        <v>57</v>
      </c>
      <c r="E429" t="s">
        <v>103</v>
      </c>
      <c r="F429" t="s">
        <v>104</v>
      </c>
      <c r="G429" t="s">
        <v>41</v>
      </c>
      <c r="H429" t="s">
        <v>37</v>
      </c>
      <c r="I429" s="3">
        <v>29</v>
      </c>
      <c r="J429" s="2">
        <v>45</v>
      </c>
      <c r="K429" s="3">
        <f t="shared" si="6"/>
        <v>1305</v>
      </c>
      <c r="L429" s="3">
        <v>600.29999999999995</v>
      </c>
    </row>
    <row r="430" spans="1:12" x14ac:dyDescent="0.25">
      <c r="A430" t="s">
        <v>11</v>
      </c>
      <c r="B430">
        <v>1128299</v>
      </c>
      <c r="C430" s="1">
        <v>44213</v>
      </c>
      <c r="D430" t="s">
        <v>12</v>
      </c>
      <c r="E430" t="s">
        <v>84</v>
      </c>
      <c r="F430" t="s">
        <v>31</v>
      </c>
      <c r="G430" t="s">
        <v>41</v>
      </c>
      <c r="H430" t="s">
        <v>37</v>
      </c>
      <c r="I430" s="3">
        <v>41</v>
      </c>
      <c r="J430" s="2">
        <v>68</v>
      </c>
      <c r="K430" s="3">
        <f t="shared" si="6"/>
        <v>2788</v>
      </c>
      <c r="L430" s="3">
        <v>1254.6000000000001</v>
      </c>
    </row>
    <row r="431" spans="1:12" x14ac:dyDescent="0.25">
      <c r="A431" t="s">
        <v>11</v>
      </c>
      <c r="B431">
        <v>1185732</v>
      </c>
      <c r="C431" s="1">
        <v>44213</v>
      </c>
      <c r="D431" t="s">
        <v>57</v>
      </c>
      <c r="E431" t="s">
        <v>103</v>
      </c>
      <c r="F431" t="s">
        <v>104</v>
      </c>
      <c r="G431" t="s">
        <v>41</v>
      </c>
      <c r="H431" t="s">
        <v>17</v>
      </c>
      <c r="I431" s="3">
        <v>32</v>
      </c>
      <c r="J431" s="2">
        <v>75</v>
      </c>
      <c r="K431" s="3">
        <f t="shared" si="6"/>
        <v>2400</v>
      </c>
      <c r="L431" s="3">
        <v>1080</v>
      </c>
    </row>
    <row r="432" spans="1:12" x14ac:dyDescent="0.25">
      <c r="A432" t="s">
        <v>11</v>
      </c>
      <c r="B432">
        <v>1185732</v>
      </c>
      <c r="C432" s="1">
        <v>44213</v>
      </c>
      <c r="D432" t="s">
        <v>57</v>
      </c>
      <c r="E432" t="s">
        <v>103</v>
      </c>
      <c r="F432" t="s">
        <v>104</v>
      </c>
      <c r="G432" t="s">
        <v>41</v>
      </c>
      <c r="H432" t="s">
        <v>35</v>
      </c>
      <c r="I432" s="3">
        <v>25</v>
      </c>
      <c r="J432" s="2">
        <v>87</v>
      </c>
      <c r="K432" s="3">
        <f t="shared" si="6"/>
        <v>2175</v>
      </c>
      <c r="L432" s="3">
        <v>978.75</v>
      </c>
    </row>
    <row r="433" spans="1:12" x14ac:dyDescent="0.25">
      <c r="A433" t="s">
        <v>19</v>
      </c>
      <c r="B433">
        <v>1185732</v>
      </c>
      <c r="C433" s="1">
        <v>44213</v>
      </c>
      <c r="D433" t="s">
        <v>29</v>
      </c>
      <c r="E433" t="s">
        <v>87</v>
      </c>
      <c r="F433" t="s">
        <v>88</v>
      </c>
      <c r="G433" t="s">
        <v>41</v>
      </c>
      <c r="H433" t="s">
        <v>37</v>
      </c>
      <c r="I433" s="3">
        <v>32</v>
      </c>
      <c r="J433" s="2">
        <v>47</v>
      </c>
      <c r="K433" s="3">
        <f t="shared" si="6"/>
        <v>1504</v>
      </c>
      <c r="L433" s="3">
        <v>676.8</v>
      </c>
    </row>
    <row r="434" spans="1:12" x14ac:dyDescent="0.25">
      <c r="A434" t="s">
        <v>26</v>
      </c>
      <c r="B434">
        <v>1128299</v>
      </c>
      <c r="C434" s="1">
        <v>44213</v>
      </c>
      <c r="D434" t="s">
        <v>12</v>
      </c>
      <c r="E434" t="s">
        <v>20</v>
      </c>
      <c r="F434" t="s">
        <v>21</v>
      </c>
      <c r="G434" t="s">
        <v>41</v>
      </c>
      <c r="H434" t="s">
        <v>16</v>
      </c>
      <c r="I434" s="3">
        <v>49</v>
      </c>
      <c r="J434" s="2">
        <v>124</v>
      </c>
      <c r="K434" s="3">
        <f t="shared" si="6"/>
        <v>6076</v>
      </c>
      <c r="L434" s="3">
        <v>2491.1599999999994</v>
      </c>
    </row>
    <row r="435" spans="1:12" x14ac:dyDescent="0.25">
      <c r="A435" t="s">
        <v>11</v>
      </c>
      <c r="B435">
        <v>1128299</v>
      </c>
      <c r="C435" s="1">
        <v>44213</v>
      </c>
      <c r="D435" t="s">
        <v>12</v>
      </c>
      <c r="E435" t="s">
        <v>84</v>
      </c>
      <c r="F435" t="s">
        <v>31</v>
      </c>
      <c r="G435" t="s">
        <v>41</v>
      </c>
      <c r="H435" t="s">
        <v>22</v>
      </c>
      <c r="I435" s="3">
        <v>46</v>
      </c>
      <c r="J435" s="2">
        <v>58</v>
      </c>
      <c r="K435" s="3">
        <f t="shared" si="6"/>
        <v>2668</v>
      </c>
      <c r="L435" s="3">
        <v>1093.8799999999999</v>
      </c>
    </row>
    <row r="436" spans="1:12" x14ac:dyDescent="0.25">
      <c r="A436" t="s">
        <v>27</v>
      </c>
      <c r="B436">
        <v>1189833</v>
      </c>
      <c r="C436" s="1">
        <v>44213</v>
      </c>
      <c r="D436" t="s">
        <v>57</v>
      </c>
      <c r="E436" t="s">
        <v>58</v>
      </c>
      <c r="F436" t="s">
        <v>59</v>
      </c>
      <c r="G436" t="s">
        <v>41</v>
      </c>
      <c r="H436" t="s">
        <v>35</v>
      </c>
      <c r="I436" s="3">
        <v>44</v>
      </c>
      <c r="J436" s="2">
        <v>120</v>
      </c>
      <c r="K436" s="3">
        <f t="shared" si="6"/>
        <v>5280</v>
      </c>
      <c r="L436" s="3">
        <v>2112</v>
      </c>
    </row>
    <row r="437" spans="1:12" x14ac:dyDescent="0.25">
      <c r="A437" t="s">
        <v>11</v>
      </c>
      <c r="B437">
        <v>1128299</v>
      </c>
      <c r="C437" s="1">
        <v>44214</v>
      </c>
      <c r="D437" t="s">
        <v>12</v>
      </c>
      <c r="E437" t="s">
        <v>13</v>
      </c>
      <c r="F437" t="s">
        <v>14</v>
      </c>
      <c r="G437" t="s">
        <v>15</v>
      </c>
      <c r="H437" t="s">
        <v>38</v>
      </c>
      <c r="I437" s="3">
        <v>65</v>
      </c>
      <c r="J437" s="2">
        <v>975</v>
      </c>
      <c r="K437" s="3">
        <f t="shared" si="6"/>
        <v>63375</v>
      </c>
      <c r="L437" s="3">
        <v>41193.75</v>
      </c>
    </row>
    <row r="438" spans="1:12" x14ac:dyDescent="0.25">
      <c r="A438" t="s">
        <v>19</v>
      </c>
      <c r="B438">
        <v>1185732</v>
      </c>
      <c r="C438" s="1">
        <v>44214</v>
      </c>
      <c r="D438" t="s">
        <v>57</v>
      </c>
      <c r="E438" t="s">
        <v>70</v>
      </c>
      <c r="F438" t="s">
        <v>71</v>
      </c>
      <c r="G438" t="s">
        <v>18</v>
      </c>
      <c r="H438" t="s">
        <v>17</v>
      </c>
      <c r="I438" s="3">
        <v>30</v>
      </c>
      <c r="J438" s="2">
        <v>425</v>
      </c>
      <c r="K438" s="3">
        <f t="shared" si="6"/>
        <v>12750</v>
      </c>
      <c r="L438" s="3">
        <v>8287.5</v>
      </c>
    </row>
    <row r="439" spans="1:12" x14ac:dyDescent="0.25">
      <c r="A439" t="s">
        <v>19</v>
      </c>
      <c r="B439">
        <v>1185732</v>
      </c>
      <c r="C439" s="1">
        <v>44214</v>
      </c>
      <c r="D439" t="s">
        <v>57</v>
      </c>
      <c r="E439" t="s">
        <v>70</v>
      </c>
      <c r="F439" t="s">
        <v>71</v>
      </c>
      <c r="G439" t="s">
        <v>18</v>
      </c>
      <c r="H439" t="s">
        <v>35</v>
      </c>
      <c r="I439" s="3">
        <v>20</v>
      </c>
      <c r="J439" s="2">
        <v>425</v>
      </c>
      <c r="K439" s="3">
        <f t="shared" si="6"/>
        <v>8500</v>
      </c>
      <c r="L439" s="3">
        <v>5525</v>
      </c>
    </row>
    <row r="440" spans="1:12" x14ac:dyDescent="0.25">
      <c r="A440" t="s">
        <v>19</v>
      </c>
      <c r="B440">
        <v>1185732</v>
      </c>
      <c r="C440" s="1">
        <v>44214</v>
      </c>
      <c r="D440" t="s">
        <v>57</v>
      </c>
      <c r="E440" t="s">
        <v>70</v>
      </c>
      <c r="F440" t="s">
        <v>71</v>
      </c>
      <c r="G440" t="s">
        <v>18</v>
      </c>
      <c r="H440" t="s">
        <v>22</v>
      </c>
      <c r="I440" s="3">
        <v>40</v>
      </c>
      <c r="J440" s="2">
        <v>325</v>
      </c>
      <c r="K440" s="3">
        <f t="shared" si="6"/>
        <v>13000</v>
      </c>
      <c r="L440" s="3">
        <v>8450</v>
      </c>
    </row>
    <row r="441" spans="1:12" x14ac:dyDescent="0.25">
      <c r="A441" t="s">
        <v>27</v>
      </c>
      <c r="B441">
        <v>1189833</v>
      </c>
      <c r="C441" s="1">
        <v>44214</v>
      </c>
      <c r="D441" t="s">
        <v>57</v>
      </c>
      <c r="E441" t="s">
        <v>58</v>
      </c>
      <c r="F441" t="s">
        <v>59</v>
      </c>
      <c r="G441" t="s">
        <v>15</v>
      </c>
      <c r="H441" t="s">
        <v>37</v>
      </c>
      <c r="I441" s="3">
        <v>40</v>
      </c>
      <c r="J441" s="2">
        <v>300</v>
      </c>
      <c r="K441" s="3">
        <f t="shared" si="6"/>
        <v>12000</v>
      </c>
      <c r="L441" s="3">
        <v>7200</v>
      </c>
    </row>
    <row r="442" spans="1:12" x14ac:dyDescent="0.25">
      <c r="A442" t="s">
        <v>19</v>
      </c>
      <c r="B442">
        <v>1185732</v>
      </c>
      <c r="C442" s="1">
        <v>44214</v>
      </c>
      <c r="D442" t="s">
        <v>57</v>
      </c>
      <c r="E442" t="s">
        <v>70</v>
      </c>
      <c r="F442" t="s">
        <v>71</v>
      </c>
      <c r="G442" t="s">
        <v>18</v>
      </c>
      <c r="H442" t="s">
        <v>38</v>
      </c>
      <c r="I442" s="3">
        <v>30</v>
      </c>
      <c r="J442" s="2">
        <v>625</v>
      </c>
      <c r="K442" s="3">
        <f t="shared" si="6"/>
        <v>18750</v>
      </c>
      <c r="L442" s="3">
        <v>11250</v>
      </c>
    </row>
    <row r="443" spans="1:12" x14ac:dyDescent="0.25">
      <c r="A443" t="s">
        <v>19</v>
      </c>
      <c r="B443">
        <v>1185732</v>
      </c>
      <c r="C443" s="1">
        <v>44214</v>
      </c>
      <c r="D443" t="s">
        <v>57</v>
      </c>
      <c r="E443" t="s">
        <v>70</v>
      </c>
      <c r="F443" t="s">
        <v>71</v>
      </c>
      <c r="G443" t="s">
        <v>18</v>
      </c>
      <c r="H443" t="s">
        <v>37</v>
      </c>
      <c r="I443" s="3">
        <v>25.000000000000007</v>
      </c>
      <c r="J443" s="2">
        <v>275</v>
      </c>
      <c r="K443" s="3">
        <f t="shared" si="6"/>
        <v>6875.0000000000018</v>
      </c>
      <c r="L443" s="3">
        <v>4125.0000000000009</v>
      </c>
    </row>
    <row r="444" spans="1:12" x14ac:dyDescent="0.25">
      <c r="A444" t="s">
        <v>19</v>
      </c>
      <c r="B444">
        <v>1185732</v>
      </c>
      <c r="C444" s="1">
        <v>44214</v>
      </c>
      <c r="D444" t="s">
        <v>57</v>
      </c>
      <c r="E444" t="s">
        <v>70</v>
      </c>
      <c r="F444" t="s">
        <v>71</v>
      </c>
      <c r="G444" t="s">
        <v>18</v>
      </c>
      <c r="H444" t="s">
        <v>16</v>
      </c>
      <c r="I444" s="3">
        <v>30</v>
      </c>
      <c r="J444" s="2">
        <v>425</v>
      </c>
      <c r="K444" s="3">
        <f t="shared" si="6"/>
        <v>12750</v>
      </c>
      <c r="L444" s="3">
        <v>6375</v>
      </c>
    </row>
    <row r="445" spans="1:12" x14ac:dyDescent="0.25">
      <c r="A445" t="s">
        <v>11</v>
      </c>
      <c r="B445">
        <v>1128299</v>
      </c>
      <c r="C445" s="1">
        <v>44214</v>
      </c>
      <c r="D445" t="s">
        <v>12</v>
      </c>
      <c r="E445" t="s">
        <v>13</v>
      </c>
      <c r="F445" t="s">
        <v>14</v>
      </c>
      <c r="G445" t="s">
        <v>15</v>
      </c>
      <c r="H445" t="s">
        <v>38</v>
      </c>
      <c r="I445" s="3">
        <v>45</v>
      </c>
      <c r="J445" s="2">
        <v>302</v>
      </c>
      <c r="K445" s="3">
        <f t="shared" si="6"/>
        <v>13590</v>
      </c>
      <c r="L445" s="3">
        <v>8154</v>
      </c>
    </row>
    <row r="446" spans="1:12" x14ac:dyDescent="0.25">
      <c r="A446" t="s">
        <v>19</v>
      </c>
      <c r="B446">
        <v>1185732</v>
      </c>
      <c r="C446" s="1">
        <v>44214</v>
      </c>
      <c r="D446" t="s">
        <v>57</v>
      </c>
      <c r="E446" t="s">
        <v>70</v>
      </c>
      <c r="F446" t="s">
        <v>71</v>
      </c>
      <c r="G446" t="s">
        <v>41</v>
      </c>
      <c r="H446" t="s">
        <v>35</v>
      </c>
      <c r="I446" s="3">
        <v>19</v>
      </c>
      <c r="J446" s="2">
        <v>123</v>
      </c>
      <c r="K446" s="3">
        <f t="shared" si="6"/>
        <v>2337</v>
      </c>
      <c r="L446" s="3">
        <v>1285.3500000000001</v>
      </c>
    </row>
    <row r="447" spans="1:12" x14ac:dyDescent="0.25">
      <c r="A447" t="s">
        <v>11</v>
      </c>
      <c r="B447">
        <v>1128299</v>
      </c>
      <c r="C447" s="1">
        <v>44214</v>
      </c>
      <c r="D447" t="s">
        <v>12</v>
      </c>
      <c r="E447" t="s">
        <v>13</v>
      </c>
      <c r="F447" t="s">
        <v>14</v>
      </c>
      <c r="G447" t="s">
        <v>41</v>
      </c>
      <c r="H447" t="s">
        <v>38</v>
      </c>
      <c r="I447" s="3">
        <v>62</v>
      </c>
      <c r="J447" s="2">
        <v>273</v>
      </c>
      <c r="K447" s="3">
        <f t="shared" si="6"/>
        <v>16926</v>
      </c>
      <c r="L447" s="3">
        <v>9140.0400000000009</v>
      </c>
    </row>
    <row r="448" spans="1:12" x14ac:dyDescent="0.25">
      <c r="A448" t="s">
        <v>19</v>
      </c>
      <c r="B448">
        <v>1185732</v>
      </c>
      <c r="C448" s="1">
        <v>44214</v>
      </c>
      <c r="D448" t="s">
        <v>57</v>
      </c>
      <c r="E448" t="s">
        <v>70</v>
      </c>
      <c r="F448" t="s">
        <v>71</v>
      </c>
      <c r="G448" t="s">
        <v>41</v>
      </c>
      <c r="H448" t="s">
        <v>17</v>
      </c>
      <c r="I448" s="3">
        <v>29</v>
      </c>
      <c r="J448" s="2">
        <v>123</v>
      </c>
      <c r="K448" s="3">
        <f t="shared" si="6"/>
        <v>3567</v>
      </c>
      <c r="L448" s="3">
        <v>1890.51</v>
      </c>
    </row>
    <row r="449" spans="1:12" x14ac:dyDescent="0.25">
      <c r="A449" t="s">
        <v>19</v>
      </c>
      <c r="B449">
        <v>1185732</v>
      </c>
      <c r="C449" s="1">
        <v>44214</v>
      </c>
      <c r="D449" t="s">
        <v>57</v>
      </c>
      <c r="E449" t="s">
        <v>70</v>
      </c>
      <c r="F449" t="s">
        <v>71</v>
      </c>
      <c r="G449" t="s">
        <v>41</v>
      </c>
      <c r="H449" t="s">
        <v>22</v>
      </c>
      <c r="I449" s="3">
        <v>39</v>
      </c>
      <c r="J449" s="2">
        <v>98</v>
      </c>
      <c r="K449" s="3">
        <f t="shared" si="6"/>
        <v>3822</v>
      </c>
      <c r="L449" s="3">
        <v>1949.22</v>
      </c>
    </row>
    <row r="450" spans="1:12" x14ac:dyDescent="0.25">
      <c r="A450" t="s">
        <v>27</v>
      </c>
      <c r="B450">
        <v>1189833</v>
      </c>
      <c r="C450" s="1">
        <v>44214</v>
      </c>
      <c r="D450" t="s">
        <v>57</v>
      </c>
      <c r="E450" t="s">
        <v>58</v>
      </c>
      <c r="F450" t="s">
        <v>59</v>
      </c>
      <c r="G450" t="s">
        <v>41</v>
      </c>
      <c r="H450" t="s">
        <v>37</v>
      </c>
      <c r="I450" s="3">
        <v>36</v>
      </c>
      <c r="J450" s="2">
        <v>78</v>
      </c>
      <c r="K450" s="3">
        <f t="shared" si="6"/>
        <v>2808</v>
      </c>
      <c r="L450" s="3">
        <v>1404</v>
      </c>
    </row>
    <row r="451" spans="1:12" x14ac:dyDescent="0.25">
      <c r="A451" t="s">
        <v>19</v>
      </c>
      <c r="B451">
        <v>1185732</v>
      </c>
      <c r="C451" s="1">
        <v>44214</v>
      </c>
      <c r="D451" t="s">
        <v>57</v>
      </c>
      <c r="E451" t="s">
        <v>70</v>
      </c>
      <c r="F451" t="s">
        <v>71</v>
      </c>
      <c r="G451" t="s">
        <v>41</v>
      </c>
      <c r="H451" t="s">
        <v>38</v>
      </c>
      <c r="I451" s="3">
        <v>27</v>
      </c>
      <c r="J451" s="2">
        <v>156</v>
      </c>
      <c r="K451" s="3">
        <f t="shared" ref="K451:K514" si="7">I451*J451</f>
        <v>4212</v>
      </c>
      <c r="L451" s="3">
        <v>2106</v>
      </c>
    </row>
    <row r="452" spans="1:12" x14ac:dyDescent="0.25">
      <c r="A452" t="s">
        <v>19</v>
      </c>
      <c r="B452">
        <v>1185732</v>
      </c>
      <c r="C452" s="1">
        <v>44214</v>
      </c>
      <c r="D452" t="s">
        <v>57</v>
      </c>
      <c r="E452" t="s">
        <v>70</v>
      </c>
      <c r="F452" t="s">
        <v>71</v>
      </c>
      <c r="G452" t="s">
        <v>41</v>
      </c>
      <c r="H452" t="s">
        <v>37</v>
      </c>
      <c r="I452" s="3">
        <v>24</v>
      </c>
      <c r="J452" s="2">
        <v>77</v>
      </c>
      <c r="K452" s="3">
        <f t="shared" si="7"/>
        <v>1848</v>
      </c>
      <c r="L452" s="3">
        <v>887.04</v>
      </c>
    </row>
    <row r="453" spans="1:12" x14ac:dyDescent="0.25">
      <c r="A453" t="s">
        <v>19</v>
      </c>
      <c r="B453">
        <v>1185732</v>
      </c>
      <c r="C453" s="1">
        <v>44214</v>
      </c>
      <c r="D453" t="s">
        <v>57</v>
      </c>
      <c r="E453" t="s">
        <v>70</v>
      </c>
      <c r="F453" t="s">
        <v>71</v>
      </c>
      <c r="G453" t="s">
        <v>41</v>
      </c>
      <c r="H453" t="s">
        <v>16</v>
      </c>
      <c r="I453" s="3">
        <v>29</v>
      </c>
      <c r="J453" s="2">
        <v>123</v>
      </c>
      <c r="K453" s="3">
        <f t="shared" si="7"/>
        <v>3567</v>
      </c>
      <c r="L453" s="3">
        <v>1319.79</v>
      </c>
    </row>
    <row r="454" spans="1:12" x14ac:dyDescent="0.25">
      <c r="A454" t="s">
        <v>11</v>
      </c>
      <c r="B454">
        <v>1128299</v>
      </c>
      <c r="C454" s="1">
        <v>44215</v>
      </c>
      <c r="D454" t="s">
        <v>12</v>
      </c>
      <c r="E454" t="s">
        <v>13</v>
      </c>
      <c r="F454" t="s">
        <v>14</v>
      </c>
      <c r="G454" t="s">
        <v>15</v>
      </c>
      <c r="H454" t="s">
        <v>17</v>
      </c>
      <c r="I454" s="3">
        <v>70</v>
      </c>
      <c r="J454" s="2">
        <v>925</v>
      </c>
      <c r="K454" s="3">
        <f t="shared" si="7"/>
        <v>64750</v>
      </c>
      <c r="L454" s="3">
        <v>51800</v>
      </c>
    </row>
    <row r="455" spans="1:12" x14ac:dyDescent="0.25">
      <c r="A455" t="s">
        <v>26</v>
      </c>
      <c r="B455">
        <v>1185732</v>
      </c>
      <c r="C455" s="1">
        <v>44215</v>
      </c>
      <c r="D455" t="s">
        <v>32</v>
      </c>
      <c r="E455" t="s">
        <v>82</v>
      </c>
      <c r="F455" t="s">
        <v>83</v>
      </c>
      <c r="G455" t="s">
        <v>18</v>
      </c>
      <c r="H455" t="s">
        <v>35</v>
      </c>
      <c r="I455" s="3">
        <v>25</v>
      </c>
      <c r="J455" s="2">
        <v>550</v>
      </c>
      <c r="K455" s="3">
        <f t="shared" si="7"/>
        <v>13750</v>
      </c>
      <c r="L455" s="3">
        <v>9625</v>
      </c>
    </row>
    <row r="456" spans="1:12" x14ac:dyDescent="0.25">
      <c r="A456" t="s">
        <v>26</v>
      </c>
      <c r="B456">
        <v>1185732</v>
      </c>
      <c r="C456" s="1">
        <v>44215</v>
      </c>
      <c r="D456" t="s">
        <v>32</v>
      </c>
      <c r="E456" t="s">
        <v>82</v>
      </c>
      <c r="F456" t="s">
        <v>83</v>
      </c>
      <c r="G456" t="s">
        <v>18</v>
      </c>
      <c r="H456" t="s">
        <v>37</v>
      </c>
      <c r="I456" s="3">
        <v>29.999999999999993</v>
      </c>
      <c r="J456" s="2">
        <v>400</v>
      </c>
      <c r="K456" s="3">
        <f t="shared" si="7"/>
        <v>11999.999999999996</v>
      </c>
      <c r="L456" s="3">
        <v>7799.9999999999982</v>
      </c>
    </row>
    <row r="457" spans="1:12" x14ac:dyDescent="0.25">
      <c r="A457" t="s">
        <v>26</v>
      </c>
      <c r="B457">
        <v>1185732</v>
      </c>
      <c r="C457" s="1">
        <v>44215</v>
      </c>
      <c r="D457" t="s">
        <v>32</v>
      </c>
      <c r="E457" t="s">
        <v>82</v>
      </c>
      <c r="F457" t="s">
        <v>83</v>
      </c>
      <c r="G457" t="s">
        <v>18</v>
      </c>
      <c r="H457" t="s">
        <v>22</v>
      </c>
      <c r="I457" s="3">
        <v>45.000000000000007</v>
      </c>
      <c r="J457" s="2">
        <v>450</v>
      </c>
      <c r="K457" s="3">
        <f t="shared" si="7"/>
        <v>20250.000000000004</v>
      </c>
      <c r="L457" s="3">
        <v>12150.000000000004</v>
      </c>
    </row>
    <row r="458" spans="1:12" x14ac:dyDescent="0.25">
      <c r="A458" t="s">
        <v>26</v>
      </c>
      <c r="B458">
        <v>1185732</v>
      </c>
      <c r="C458" s="1">
        <v>44215</v>
      </c>
      <c r="D458" t="s">
        <v>32</v>
      </c>
      <c r="E458" t="s">
        <v>82</v>
      </c>
      <c r="F458" t="s">
        <v>83</v>
      </c>
      <c r="G458" t="s">
        <v>18</v>
      </c>
      <c r="H458" t="s">
        <v>17</v>
      </c>
      <c r="I458" s="3">
        <v>35</v>
      </c>
      <c r="J458" s="2">
        <v>550</v>
      </c>
      <c r="K458" s="3">
        <f t="shared" si="7"/>
        <v>19250</v>
      </c>
      <c r="L458" s="3">
        <v>11550</v>
      </c>
    </row>
    <row r="459" spans="1:12" x14ac:dyDescent="0.25">
      <c r="A459" t="s">
        <v>26</v>
      </c>
      <c r="B459">
        <v>1185732</v>
      </c>
      <c r="C459" s="1">
        <v>44215</v>
      </c>
      <c r="D459" t="s">
        <v>32</v>
      </c>
      <c r="E459" t="s">
        <v>82</v>
      </c>
      <c r="F459" t="s">
        <v>83</v>
      </c>
      <c r="G459" t="s">
        <v>18</v>
      </c>
      <c r="H459" t="s">
        <v>38</v>
      </c>
      <c r="I459" s="3">
        <v>35</v>
      </c>
      <c r="J459" s="2">
        <v>750</v>
      </c>
      <c r="K459" s="3">
        <f t="shared" si="7"/>
        <v>26250</v>
      </c>
      <c r="L459" s="3">
        <v>13125</v>
      </c>
    </row>
    <row r="460" spans="1:12" x14ac:dyDescent="0.25">
      <c r="A460" t="s">
        <v>26</v>
      </c>
      <c r="B460">
        <v>1185732</v>
      </c>
      <c r="C460" s="1">
        <v>44215</v>
      </c>
      <c r="D460" t="s">
        <v>32</v>
      </c>
      <c r="E460" t="s">
        <v>82</v>
      </c>
      <c r="F460" t="s">
        <v>83</v>
      </c>
      <c r="G460" t="s">
        <v>18</v>
      </c>
      <c r="H460" t="s">
        <v>16</v>
      </c>
      <c r="I460" s="3">
        <v>35</v>
      </c>
      <c r="J460" s="2">
        <v>550</v>
      </c>
      <c r="K460" s="3">
        <f t="shared" si="7"/>
        <v>19250</v>
      </c>
      <c r="L460" s="3">
        <v>8662.4999999999982</v>
      </c>
    </row>
    <row r="461" spans="1:12" x14ac:dyDescent="0.25">
      <c r="A461" t="s">
        <v>27</v>
      </c>
      <c r="B461">
        <v>1189833</v>
      </c>
      <c r="C461" s="1">
        <v>44215</v>
      </c>
      <c r="D461" t="s">
        <v>57</v>
      </c>
      <c r="E461" t="s">
        <v>58</v>
      </c>
      <c r="F461" t="s">
        <v>59</v>
      </c>
      <c r="G461" t="s">
        <v>15</v>
      </c>
      <c r="H461" t="s">
        <v>22</v>
      </c>
      <c r="I461" s="3">
        <v>45</v>
      </c>
      <c r="J461" s="2">
        <v>200</v>
      </c>
      <c r="K461" s="3">
        <f t="shared" si="7"/>
        <v>9000</v>
      </c>
      <c r="L461" s="3">
        <v>3599.9999999999991</v>
      </c>
    </row>
    <row r="462" spans="1:12" x14ac:dyDescent="0.25">
      <c r="A462" t="s">
        <v>11</v>
      </c>
      <c r="B462">
        <v>1128299</v>
      </c>
      <c r="C462" s="1">
        <v>44215</v>
      </c>
      <c r="D462" t="s">
        <v>12</v>
      </c>
      <c r="E462" t="s">
        <v>13</v>
      </c>
      <c r="F462" t="s">
        <v>14</v>
      </c>
      <c r="G462" t="s">
        <v>15</v>
      </c>
      <c r="H462" t="s">
        <v>17</v>
      </c>
      <c r="I462" s="3">
        <v>47</v>
      </c>
      <c r="J462" s="2">
        <v>278</v>
      </c>
      <c r="K462" s="3">
        <f t="shared" si="7"/>
        <v>13066</v>
      </c>
      <c r="L462" s="3">
        <v>10191.48</v>
      </c>
    </row>
    <row r="463" spans="1:12" x14ac:dyDescent="0.25">
      <c r="A463" t="s">
        <v>11</v>
      </c>
      <c r="B463">
        <v>1128299</v>
      </c>
      <c r="C463" s="1">
        <v>44215</v>
      </c>
      <c r="D463" t="s">
        <v>12</v>
      </c>
      <c r="E463" t="s">
        <v>13</v>
      </c>
      <c r="F463" t="s">
        <v>14</v>
      </c>
      <c r="G463" t="s">
        <v>41</v>
      </c>
      <c r="H463" t="s">
        <v>17</v>
      </c>
      <c r="I463" s="3">
        <v>66</v>
      </c>
      <c r="J463" s="2">
        <v>259</v>
      </c>
      <c r="K463" s="3">
        <f t="shared" si="7"/>
        <v>17094</v>
      </c>
      <c r="L463" s="3">
        <v>11965.8</v>
      </c>
    </row>
    <row r="464" spans="1:12" x14ac:dyDescent="0.25">
      <c r="A464" t="s">
        <v>26</v>
      </c>
      <c r="B464">
        <v>1185732</v>
      </c>
      <c r="C464" s="1">
        <v>44215</v>
      </c>
      <c r="D464" t="s">
        <v>32</v>
      </c>
      <c r="E464" t="s">
        <v>82</v>
      </c>
      <c r="F464" t="s">
        <v>83</v>
      </c>
      <c r="G464" t="s">
        <v>15</v>
      </c>
      <c r="H464" t="s">
        <v>35</v>
      </c>
      <c r="I464" s="3">
        <v>18</v>
      </c>
      <c r="J464" s="2">
        <v>176</v>
      </c>
      <c r="K464" s="3">
        <f t="shared" si="7"/>
        <v>3168</v>
      </c>
      <c r="L464" s="3">
        <v>2154.2399999999998</v>
      </c>
    </row>
    <row r="465" spans="1:12" x14ac:dyDescent="0.25">
      <c r="A465" t="s">
        <v>26</v>
      </c>
      <c r="B465">
        <v>1185732</v>
      </c>
      <c r="C465" s="1">
        <v>44215</v>
      </c>
      <c r="D465" t="s">
        <v>32</v>
      </c>
      <c r="E465" t="s">
        <v>82</v>
      </c>
      <c r="F465" t="s">
        <v>83</v>
      </c>
      <c r="G465" t="s">
        <v>41</v>
      </c>
      <c r="H465" t="s">
        <v>35</v>
      </c>
      <c r="I465" s="3">
        <v>23</v>
      </c>
      <c r="J465" s="2">
        <v>149</v>
      </c>
      <c r="K465" s="3">
        <f t="shared" si="7"/>
        <v>3427</v>
      </c>
      <c r="L465" s="3">
        <v>2056.1999999999998</v>
      </c>
    </row>
    <row r="466" spans="1:12" x14ac:dyDescent="0.25">
      <c r="A466" t="s">
        <v>26</v>
      </c>
      <c r="B466">
        <v>1185732</v>
      </c>
      <c r="C466" s="1">
        <v>44215</v>
      </c>
      <c r="D466" t="s">
        <v>32</v>
      </c>
      <c r="E466" t="s">
        <v>82</v>
      </c>
      <c r="F466" t="s">
        <v>83</v>
      </c>
      <c r="G466" t="s">
        <v>15</v>
      </c>
      <c r="H466" t="s">
        <v>37</v>
      </c>
      <c r="I466" s="3">
        <v>21</v>
      </c>
      <c r="J466" s="2">
        <v>136</v>
      </c>
      <c r="K466" s="3">
        <f t="shared" si="7"/>
        <v>2856</v>
      </c>
      <c r="L466" s="3">
        <v>1656.48</v>
      </c>
    </row>
    <row r="467" spans="1:12" x14ac:dyDescent="0.25">
      <c r="A467" t="s">
        <v>26</v>
      </c>
      <c r="B467">
        <v>1185732</v>
      </c>
      <c r="C467" s="1">
        <v>44215</v>
      </c>
      <c r="D467" t="s">
        <v>32</v>
      </c>
      <c r="E467" t="s">
        <v>82</v>
      </c>
      <c r="F467" t="s">
        <v>83</v>
      </c>
      <c r="G467" t="s">
        <v>15</v>
      </c>
      <c r="H467" t="s">
        <v>22</v>
      </c>
      <c r="I467" s="3">
        <v>30</v>
      </c>
      <c r="J467" s="2">
        <v>140</v>
      </c>
      <c r="K467" s="3">
        <f t="shared" si="7"/>
        <v>4200</v>
      </c>
      <c r="L467" s="3">
        <v>2310</v>
      </c>
    </row>
    <row r="468" spans="1:12" x14ac:dyDescent="0.25">
      <c r="A468" t="s">
        <v>26</v>
      </c>
      <c r="B468">
        <v>1185732</v>
      </c>
      <c r="C468" s="1">
        <v>44215</v>
      </c>
      <c r="D468" t="s">
        <v>32</v>
      </c>
      <c r="E468" t="s">
        <v>82</v>
      </c>
      <c r="F468" t="s">
        <v>83</v>
      </c>
      <c r="G468" t="s">
        <v>15</v>
      </c>
      <c r="H468" t="s">
        <v>17</v>
      </c>
      <c r="I468" s="3">
        <v>28</v>
      </c>
      <c r="J468" s="2">
        <v>187</v>
      </c>
      <c r="K468" s="3">
        <f t="shared" si="7"/>
        <v>5236</v>
      </c>
      <c r="L468" s="3">
        <v>2775.08</v>
      </c>
    </row>
    <row r="469" spans="1:12" x14ac:dyDescent="0.25">
      <c r="A469" t="s">
        <v>26</v>
      </c>
      <c r="B469">
        <v>1185732</v>
      </c>
      <c r="C469" s="1">
        <v>44215</v>
      </c>
      <c r="D469" t="s">
        <v>32</v>
      </c>
      <c r="E469" t="s">
        <v>82</v>
      </c>
      <c r="F469" t="s">
        <v>83</v>
      </c>
      <c r="G469" t="s">
        <v>41</v>
      </c>
      <c r="H469" t="s">
        <v>37</v>
      </c>
      <c r="I469" s="3">
        <v>29</v>
      </c>
      <c r="J469" s="2">
        <v>116</v>
      </c>
      <c r="K469" s="3">
        <f t="shared" si="7"/>
        <v>3364</v>
      </c>
      <c r="L469" s="3">
        <v>1682</v>
      </c>
    </row>
    <row r="470" spans="1:12" x14ac:dyDescent="0.25">
      <c r="A470" t="s">
        <v>26</v>
      </c>
      <c r="B470">
        <v>1185732</v>
      </c>
      <c r="C470" s="1">
        <v>44215</v>
      </c>
      <c r="D470" t="s">
        <v>32</v>
      </c>
      <c r="E470" t="s">
        <v>82</v>
      </c>
      <c r="F470" t="s">
        <v>83</v>
      </c>
      <c r="G470" t="s">
        <v>41</v>
      </c>
      <c r="H470" t="s">
        <v>17</v>
      </c>
      <c r="I470" s="3">
        <v>34</v>
      </c>
      <c r="J470" s="2">
        <v>154</v>
      </c>
      <c r="K470" s="3">
        <f t="shared" si="7"/>
        <v>5236</v>
      </c>
      <c r="L470" s="3">
        <v>2565.64</v>
      </c>
    </row>
    <row r="471" spans="1:12" x14ac:dyDescent="0.25">
      <c r="A471" t="s">
        <v>26</v>
      </c>
      <c r="B471">
        <v>1185732</v>
      </c>
      <c r="C471" s="1">
        <v>44215</v>
      </c>
      <c r="D471" t="s">
        <v>32</v>
      </c>
      <c r="E471" t="s">
        <v>82</v>
      </c>
      <c r="F471" t="s">
        <v>83</v>
      </c>
      <c r="G471" t="s">
        <v>41</v>
      </c>
      <c r="H471" t="s">
        <v>22</v>
      </c>
      <c r="I471" s="3">
        <v>43</v>
      </c>
      <c r="J471" s="2">
        <v>122</v>
      </c>
      <c r="K471" s="3">
        <f t="shared" si="7"/>
        <v>5246</v>
      </c>
      <c r="L471" s="3">
        <v>2518.08</v>
      </c>
    </row>
    <row r="472" spans="1:12" x14ac:dyDescent="0.25">
      <c r="A472" t="s">
        <v>26</v>
      </c>
      <c r="B472">
        <v>1185732</v>
      </c>
      <c r="C472" s="1">
        <v>44215</v>
      </c>
      <c r="D472" t="s">
        <v>32</v>
      </c>
      <c r="E472" t="s">
        <v>82</v>
      </c>
      <c r="F472" t="s">
        <v>83</v>
      </c>
      <c r="G472" t="s">
        <v>15</v>
      </c>
      <c r="H472" t="s">
        <v>38</v>
      </c>
      <c r="I472" s="3">
        <v>23</v>
      </c>
      <c r="J472" s="2">
        <v>233</v>
      </c>
      <c r="K472" s="3">
        <f t="shared" si="7"/>
        <v>5359</v>
      </c>
      <c r="L472" s="3">
        <v>2572.3199999999997</v>
      </c>
    </row>
    <row r="473" spans="1:12" x14ac:dyDescent="0.25">
      <c r="A473" t="s">
        <v>26</v>
      </c>
      <c r="B473">
        <v>1185732</v>
      </c>
      <c r="C473" s="1">
        <v>44215</v>
      </c>
      <c r="D473" t="s">
        <v>32</v>
      </c>
      <c r="E473" t="s">
        <v>82</v>
      </c>
      <c r="F473" t="s">
        <v>83</v>
      </c>
      <c r="G473" t="s">
        <v>15</v>
      </c>
      <c r="H473" t="s">
        <v>16</v>
      </c>
      <c r="I473" s="3">
        <v>25</v>
      </c>
      <c r="J473" s="2">
        <v>193</v>
      </c>
      <c r="K473" s="3">
        <f t="shared" si="7"/>
        <v>4825</v>
      </c>
      <c r="L473" s="3">
        <v>2026.4999999999995</v>
      </c>
    </row>
    <row r="474" spans="1:12" x14ac:dyDescent="0.25">
      <c r="A474" t="s">
        <v>26</v>
      </c>
      <c r="B474">
        <v>1185732</v>
      </c>
      <c r="C474" s="1">
        <v>44215</v>
      </c>
      <c r="D474" t="s">
        <v>32</v>
      </c>
      <c r="E474" t="s">
        <v>82</v>
      </c>
      <c r="F474" t="s">
        <v>83</v>
      </c>
      <c r="G474" t="s">
        <v>41</v>
      </c>
      <c r="H474" t="s">
        <v>38</v>
      </c>
      <c r="I474" s="3">
        <v>34</v>
      </c>
      <c r="J474" s="2">
        <v>203</v>
      </c>
      <c r="K474" s="3">
        <f t="shared" si="7"/>
        <v>6902</v>
      </c>
      <c r="L474" s="3">
        <v>2691.7799999999997</v>
      </c>
    </row>
    <row r="475" spans="1:12" x14ac:dyDescent="0.25">
      <c r="A475" t="s">
        <v>26</v>
      </c>
      <c r="B475">
        <v>1185732</v>
      </c>
      <c r="C475" s="1">
        <v>44215</v>
      </c>
      <c r="D475" t="s">
        <v>32</v>
      </c>
      <c r="E475" t="s">
        <v>82</v>
      </c>
      <c r="F475" t="s">
        <v>83</v>
      </c>
      <c r="G475" t="s">
        <v>41</v>
      </c>
      <c r="H475" t="s">
        <v>16</v>
      </c>
      <c r="I475" s="3">
        <v>33</v>
      </c>
      <c r="J475" s="2">
        <v>138</v>
      </c>
      <c r="K475" s="3">
        <f t="shared" si="7"/>
        <v>4554</v>
      </c>
      <c r="L475" s="3">
        <v>1457.2799999999997</v>
      </c>
    </row>
    <row r="476" spans="1:12" x14ac:dyDescent="0.25">
      <c r="A476" t="s">
        <v>27</v>
      </c>
      <c r="B476">
        <v>1189833</v>
      </c>
      <c r="C476" s="1">
        <v>44215</v>
      </c>
      <c r="D476" t="s">
        <v>57</v>
      </c>
      <c r="E476" t="s">
        <v>58</v>
      </c>
      <c r="F476" t="s">
        <v>59</v>
      </c>
      <c r="G476" t="s">
        <v>41</v>
      </c>
      <c r="H476" t="s">
        <v>22</v>
      </c>
      <c r="I476" s="3">
        <v>44</v>
      </c>
      <c r="J476" s="2">
        <v>56</v>
      </c>
      <c r="K476" s="3">
        <f t="shared" si="7"/>
        <v>2464</v>
      </c>
      <c r="L476" s="3">
        <v>640.63999999999965</v>
      </c>
    </row>
    <row r="477" spans="1:12" x14ac:dyDescent="0.25">
      <c r="A477" t="s">
        <v>27</v>
      </c>
      <c r="B477">
        <v>1189833</v>
      </c>
      <c r="C477" s="1">
        <v>44216</v>
      </c>
      <c r="D477" t="s">
        <v>57</v>
      </c>
      <c r="E477" t="s">
        <v>58</v>
      </c>
      <c r="F477" t="s">
        <v>59</v>
      </c>
      <c r="G477" t="s">
        <v>15</v>
      </c>
      <c r="H477" t="s">
        <v>16</v>
      </c>
      <c r="I477" s="3">
        <v>60</v>
      </c>
      <c r="J477" s="2">
        <v>375</v>
      </c>
      <c r="K477" s="3">
        <f t="shared" si="7"/>
        <v>22500</v>
      </c>
      <c r="L477" s="3">
        <v>16875</v>
      </c>
    </row>
    <row r="478" spans="1:12" x14ac:dyDescent="0.25">
      <c r="A478" t="s">
        <v>19</v>
      </c>
      <c r="B478">
        <v>1185732</v>
      </c>
      <c r="C478" s="1">
        <v>44216</v>
      </c>
      <c r="D478" t="s">
        <v>32</v>
      </c>
      <c r="E478" t="s">
        <v>120</v>
      </c>
      <c r="F478" t="s">
        <v>121</v>
      </c>
      <c r="G478" t="s">
        <v>41</v>
      </c>
      <c r="H478" t="s">
        <v>17</v>
      </c>
      <c r="I478" s="3">
        <v>30.000000000000004</v>
      </c>
      <c r="J478" s="2">
        <v>525</v>
      </c>
      <c r="K478" s="3">
        <f t="shared" si="7"/>
        <v>15750.000000000002</v>
      </c>
      <c r="L478" s="3">
        <v>10237.500000000004</v>
      </c>
    </row>
    <row r="479" spans="1:12" x14ac:dyDescent="0.25">
      <c r="A479" t="s">
        <v>11</v>
      </c>
      <c r="B479">
        <v>1128299</v>
      </c>
      <c r="C479" s="1">
        <v>44216</v>
      </c>
      <c r="D479" t="s">
        <v>12</v>
      </c>
      <c r="E479" t="s">
        <v>13</v>
      </c>
      <c r="F479" t="s">
        <v>14</v>
      </c>
      <c r="G479" t="s">
        <v>15</v>
      </c>
      <c r="H479" t="s">
        <v>35</v>
      </c>
      <c r="I479" s="3">
        <v>65</v>
      </c>
      <c r="J479" s="2">
        <v>800</v>
      </c>
      <c r="K479" s="3">
        <f t="shared" si="7"/>
        <v>52000</v>
      </c>
      <c r="L479" s="3">
        <v>33800</v>
      </c>
    </row>
    <row r="480" spans="1:12" x14ac:dyDescent="0.25">
      <c r="A480" t="s">
        <v>19</v>
      </c>
      <c r="B480">
        <v>1185732</v>
      </c>
      <c r="C480" s="1">
        <v>44216</v>
      </c>
      <c r="D480" t="s">
        <v>32</v>
      </c>
      <c r="E480" t="s">
        <v>120</v>
      </c>
      <c r="F480" t="s">
        <v>121</v>
      </c>
      <c r="G480" t="s">
        <v>41</v>
      </c>
      <c r="H480" t="s">
        <v>22</v>
      </c>
      <c r="I480" s="3">
        <v>40</v>
      </c>
      <c r="J480" s="2">
        <v>425</v>
      </c>
      <c r="K480" s="3">
        <f t="shared" si="7"/>
        <v>17000</v>
      </c>
      <c r="L480" s="3">
        <v>11050</v>
      </c>
    </row>
    <row r="481" spans="1:12" x14ac:dyDescent="0.25">
      <c r="A481" t="s">
        <v>19</v>
      </c>
      <c r="B481">
        <v>1185732</v>
      </c>
      <c r="C481" s="1">
        <v>44216</v>
      </c>
      <c r="D481" t="s">
        <v>32</v>
      </c>
      <c r="E481" t="s">
        <v>120</v>
      </c>
      <c r="F481" t="s">
        <v>121</v>
      </c>
      <c r="G481" t="s">
        <v>41</v>
      </c>
      <c r="H481" t="s">
        <v>38</v>
      </c>
      <c r="I481" s="3">
        <v>30.000000000000004</v>
      </c>
      <c r="J481" s="2">
        <v>725</v>
      </c>
      <c r="K481" s="3">
        <f t="shared" si="7"/>
        <v>21750.000000000004</v>
      </c>
      <c r="L481" s="3">
        <v>13050.000000000002</v>
      </c>
    </row>
    <row r="482" spans="1:12" x14ac:dyDescent="0.25">
      <c r="A482" t="s">
        <v>19</v>
      </c>
      <c r="B482">
        <v>1185732</v>
      </c>
      <c r="C482" s="1">
        <v>44216</v>
      </c>
      <c r="D482" t="s">
        <v>32</v>
      </c>
      <c r="E482" t="s">
        <v>120</v>
      </c>
      <c r="F482" t="s">
        <v>121</v>
      </c>
      <c r="G482" t="s">
        <v>41</v>
      </c>
      <c r="H482" t="s">
        <v>35</v>
      </c>
      <c r="I482" s="3">
        <v>20.000000000000007</v>
      </c>
      <c r="J482" s="2">
        <v>525</v>
      </c>
      <c r="K482" s="3">
        <f t="shared" si="7"/>
        <v>10500.000000000004</v>
      </c>
      <c r="L482" s="3">
        <v>6300.0000000000018</v>
      </c>
    </row>
    <row r="483" spans="1:12" x14ac:dyDescent="0.25">
      <c r="A483" t="s">
        <v>19</v>
      </c>
      <c r="B483">
        <v>1185732</v>
      </c>
      <c r="C483" s="1">
        <v>44216</v>
      </c>
      <c r="D483" t="s">
        <v>32</v>
      </c>
      <c r="E483" t="s">
        <v>120</v>
      </c>
      <c r="F483" t="s">
        <v>121</v>
      </c>
      <c r="G483" t="s">
        <v>41</v>
      </c>
      <c r="H483" t="s">
        <v>37</v>
      </c>
      <c r="I483" s="3">
        <v>25</v>
      </c>
      <c r="J483" s="2">
        <v>375</v>
      </c>
      <c r="K483" s="3">
        <f t="shared" si="7"/>
        <v>9375</v>
      </c>
      <c r="L483" s="3">
        <v>5625</v>
      </c>
    </row>
    <row r="484" spans="1:12" x14ac:dyDescent="0.25">
      <c r="A484" t="s">
        <v>19</v>
      </c>
      <c r="B484">
        <v>1185732</v>
      </c>
      <c r="C484" s="1">
        <v>44216</v>
      </c>
      <c r="D484" t="s">
        <v>32</v>
      </c>
      <c r="E484" t="s">
        <v>120</v>
      </c>
      <c r="F484" t="s">
        <v>121</v>
      </c>
      <c r="G484" t="s">
        <v>41</v>
      </c>
      <c r="H484" t="s">
        <v>16</v>
      </c>
      <c r="I484" s="3">
        <v>30.000000000000004</v>
      </c>
      <c r="J484" s="2">
        <v>525</v>
      </c>
      <c r="K484" s="3">
        <f t="shared" si="7"/>
        <v>15750.000000000002</v>
      </c>
      <c r="L484" s="3">
        <v>7875.0000000000018</v>
      </c>
    </row>
    <row r="485" spans="1:12" x14ac:dyDescent="0.25">
      <c r="A485" t="s">
        <v>11</v>
      </c>
      <c r="B485">
        <v>1128299</v>
      </c>
      <c r="C485" s="1">
        <v>44216</v>
      </c>
      <c r="D485" t="s">
        <v>12</v>
      </c>
      <c r="E485" t="s">
        <v>13</v>
      </c>
      <c r="F485" t="s">
        <v>14</v>
      </c>
      <c r="G485" t="s">
        <v>15</v>
      </c>
      <c r="H485" t="s">
        <v>35</v>
      </c>
      <c r="I485" s="3">
        <v>51</v>
      </c>
      <c r="J485" s="2">
        <v>248</v>
      </c>
      <c r="K485" s="3">
        <f t="shared" si="7"/>
        <v>12648</v>
      </c>
      <c r="L485" s="3">
        <v>7715.28</v>
      </c>
    </row>
    <row r="486" spans="1:12" x14ac:dyDescent="0.25">
      <c r="A486" t="s">
        <v>27</v>
      </c>
      <c r="B486">
        <v>1189833</v>
      </c>
      <c r="C486" s="1">
        <v>44216</v>
      </c>
      <c r="D486" t="s">
        <v>57</v>
      </c>
      <c r="E486" t="s">
        <v>58</v>
      </c>
      <c r="F486" t="s">
        <v>59</v>
      </c>
      <c r="G486" t="s">
        <v>41</v>
      </c>
      <c r="H486" t="s">
        <v>16</v>
      </c>
      <c r="I486" s="3">
        <v>55</v>
      </c>
      <c r="J486" s="2">
        <v>101</v>
      </c>
      <c r="K486" s="3">
        <f t="shared" si="7"/>
        <v>5555</v>
      </c>
      <c r="L486" s="3">
        <v>3388.5499999999997</v>
      </c>
    </row>
    <row r="487" spans="1:12" x14ac:dyDescent="0.25">
      <c r="A487" t="s">
        <v>19</v>
      </c>
      <c r="B487">
        <v>1185732</v>
      </c>
      <c r="C487" s="1">
        <v>44216</v>
      </c>
      <c r="D487" t="s">
        <v>32</v>
      </c>
      <c r="E487" t="s">
        <v>120</v>
      </c>
      <c r="F487" t="s">
        <v>121</v>
      </c>
      <c r="G487" t="s">
        <v>41</v>
      </c>
      <c r="H487" t="s">
        <v>17</v>
      </c>
      <c r="I487" s="3">
        <v>29</v>
      </c>
      <c r="J487" s="2">
        <v>142</v>
      </c>
      <c r="K487" s="3">
        <f t="shared" si="7"/>
        <v>4118</v>
      </c>
      <c r="L487" s="3">
        <v>2264.9</v>
      </c>
    </row>
    <row r="488" spans="1:12" x14ac:dyDescent="0.25">
      <c r="A488" t="s">
        <v>11</v>
      </c>
      <c r="B488">
        <v>1128299</v>
      </c>
      <c r="C488" s="1">
        <v>44216</v>
      </c>
      <c r="D488" t="s">
        <v>12</v>
      </c>
      <c r="E488" t="s">
        <v>13</v>
      </c>
      <c r="F488" t="s">
        <v>14</v>
      </c>
      <c r="G488" t="s">
        <v>41</v>
      </c>
      <c r="H488" t="s">
        <v>35</v>
      </c>
      <c r="I488" s="3">
        <v>60</v>
      </c>
      <c r="J488" s="2">
        <v>200</v>
      </c>
      <c r="K488" s="3">
        <f t="shared" si="7"/>
        <v>12000</v>
      </c>
      <c r="L488" s="3">
        <v>6360</v>
      </c>
    </row>
    <row r="489" spans="1:12" x14ac:dyDescent="0.25">
      <c r="A489" t="s">
        <v>19</v>
      </c>
      <c r="B489">
        <v>1185732</v>
      </c>
      <c r="C489" s="1">
        <v>44216</v>
      </c>
      <c r="D489" t="s">
        <v>32</v>
      </c>
      <c r="E489" t="s">
        <v>120</v>
      </c>
      <c r="F489" t="s">
        <v>121</v>
      </c>
      <c r="G489" t="s">
        <v>41</v>
      </c>
      <c r="H489" t="s">
        <v>22</v>
      </c>
      <c r="I489" s="3">
        <v>38</v>
      </c>
      <c r="J489" s="2">
        <v>115</v>
      </c>
      <c r="K489" s="3">
        <f t="shared" si="7"/>
        <v>4370</v>
      </c>
      <c r="L489" s="3">
        <v>2272.4</v>
      </c>
    </row>
    <row r="490" spans="1:12" x14ac:dyDescent="0.25">
      <c r="A490" t="s">
        <v>19</v>
      </c>
      <c r="B490">
        <v>1185732</v>
      </c>
      <c r="C490" s="1">
        <v>44216</v>
      </c>
      <c r="D490" t="s">
        <v>32</v>
      </c>
      <c r="E490" t="s">
        <v>120</v>
      </c>
      <c r="F490" t="s">
        <v>121</v>
      </c>
      <c r="G490" t="s">
        <v>41</v>
      </c>
      <c r="H490" t="s">
        <v>37</v>
      </c>
      <c r="I490" s="3">
        <v>23</v>
      </c>
      <c r="J490" s="2">
        <v>101</v>
      </c>
      <c r="K490" s="3">
        <f t="shared" si="7"/>
        <v>2323</v>
      </c>
      <c r="L490" s="3">
        <v>1091.81</v>
      </c>
    </row>
    <row r="491" spans="1:12" x14ac:dyDescent="0.25">
      <c r="A491" t="s">
        <v>19</v>
      </c>
      <c r="B491">
        <v>1185732</v>
      </c>
      <c r="C491" s="1">
        <v>44216</v>
      </c>
      <c r="D491" t="s">
        <v>32</v>
      </c>
      <c r="E491" t="s">
        <v>120</v>
      </c>
      <c r="F491" t="s">
        <v>121</v>
      </c>
      <c r="G491" t="s">
        <v>41</v>
      </c>
      <c r="H491" t="s">
        <v>38</v>
      </c>
      <c r="I491" s="3">
        <v>29</v>
      </c>
      <c r="J491" s="2">
        <v>189</v>
      </c>
      <c r="K491" s="3">
        <f t="shared" si="7"/>
        <v>5481</v>
      </c>
      <c r="L491" s="3">
        <v>2521.2599999999998</v>
      </c>
    </row>
    <row r="492" spans="1:12" x14ac:dyDescent="0.25">
      <c r="A492" t="s">
        <v>19</v>
      </c>
      <c r="B492">
        <v>1185732</v>
      </c>
      <c r="C492" s="1">
        <v>44216</v>
      </c>
      <c r="D492" t="s">
        <v>32</v>
      </c>
      <c r="E492" t="s">
        <v>120</v>
      </c>
      <c r="F492" t="s">
        <v>121</v>
      </c>
      <c r="G492" t="s">
        <v>41</v>
      </c>
      <c r="H492" t="s">
        <v>35</v>
      </c>
      <c r="I492" s="3">
        <v>18</v>
      </c>
      <c r="J492" s="2">
        <v>158</v>
      </c>
      <c r="K492" s="3">
        <f t="shared" si="7"/>
        <v>2844</v>
      </c>
      <c r="L492" s="3">
        <v>1279.8</v>
      </c>
    </row>
    <row r="493" spans="1:12" x14ac:dyDescent="0.25">
      <c r="A493" t="s">
        <v>19</v>
      </c>
      <c r="B493">
        <v>1185732</v>
      </c>
      <c r="C493" s="1">
        <v>44216</v>
      </c>
      <c r="D493" t="s">
        <v>32</v>
      </c>
      <c r="E493" t="s">
        <v>120</v>
      </c>
      <c r="F493" t="s">
        <v>121</v>
      </c>
      <c r="G493" t="s">
        <v>41</v>
      </c>
      <c r="H493" t="s">
        <v>16</v>
      </c>
      <c r="I493" s="3">
        <v>29</v>
      </c>
      <c r="J493" s="2">
        <v>158</v>
      </c>
      <c r="K493" s="3">
        <f t="shared" si="7"/>
        <v>4582</v>
      </c>
      <c r="L493" s="3">
        <v>1741.1599999999999</v>
      </c>
    </row>
    <row r="494" spans="1:12" x14ac:dyDescent="0.25">
      <c r="A494" t="s">
        <v>36</v>
      </c>
      <c r="B494">
        <v>1185732</v>
      </c>
      <c r="C494" s="1">
        <v>44217</v>
      </c>
      <c r="D494" t="s">
        <v>29</v>
      </c>
      <c r="E494" t="s">
        <v>80</v>
      </c>
      <c r="F494" t="s">
        <v>81</v>
      </c>
      <c r="G494" t="s">
        <v>18</v>
      </c>
      <c r="H494" t="s">
        <v>22</v>
      </c>
      <c r="I494" s="3">
        <v>60.000000000000007</v>
      </c>
      <c r="J494" s="2">
        <v>225</v>
      </c>
      <c r="K494" s="3">
        <f t="shared" si="7"/>
        <v>13500.000000000002</v>
      </c>
      <c r="L494" s="3">
        <v>9450.0000000000036</v>
      </c>
    </row>
    <row r="495" spans="1:12" x14ac:dyDescent="0.25">
      <c r="A495" t="s">
        <v>11</v>
      </c>
      <c r="B495">
        <v>1128299</v>
      </c>
      <c r="C495" s="1">
        <v>44217</v>
      </c>
      <c r="D495" t="s">
        <v>12</v>
      </c>
      <c r="E495" t="s">
        <v>13</v>
      </c>
      <c r="F495" t="s">
        <v>14</v>
      </c>
      <c r="G495" t="s">
        <v>15</v>
      </c>
      <c r="H495" t="s">
        <v>37</v>
      </c>
      <c r="I495" s="3">
        <v>65</v>
      </c>
      <c r="J495" s="2">
        <v>750</v>
      </c>
      <c r="K495" s="3">
        <f t="shared" si="7"/>
        <v>48750</v>
      </c>
      <c r="L495" s="3">
        <v>34125</v>
      </c>
    </row>
    <row r="496" spans="1:12" x14ac:dyDescent="0.25">
      <c r="A496" t="s">
        <v>36</v>
      </c>
      <c r="B496">
        <v>1185732</v>
      </c>
      <c r="C496" s="1">
        <v>44217</v>
      </c>
      <c r="D496" t="s">
        <v>29</v>
      </c>
      <c r="E496" t="s">
        <v>80</v>
      </c>
      <c r="F496" t="s">
        <v>81</v>
      </c>
      <c r="G496" t="s">
        <v>18</v>
      </c>
      <c r="H496" t="s">
        <v>35</v>
      </c>
      <c r="I496" s="3">
        <v>40</v>
      </c>
      <c r="J496" s="2">
        <v>325</v>
      </c>
      <c r="K496" s="3">
        <f t="shared" si="7"/>
        <v>13000</v>
      </c>
      <c r="L496" s="3">
        <v>9100</v>
      </c>
    </row>
    <row r="497" spans="1:12" x14ac:dyDescent="0.25">
      <c r="A497" t="s">
        <v>36</v>
      </c>
      <c r="B497">
        <v>1185732</v>
      </c>
      <c r="C497" s="1">
        <v>44217</v>
      </c>
      <c r="D497" t="s">
        <v>29</v>
      </c>
      <c r="E497" t="s">
        <v>80</v>
      </c>
      <c r="F497" t="s">
        <v>81</v>
      </c>
      <c r="G497" t="s">
        <v>18</v>
      </c>
      <c r="H497" t="s">
        <v>37</v>
      </c>
      <c r="I497" s="3">
        <v>44.999999999999993</v>
      </c>
      <c r="J497" s="2">
        <v>175</v>
      </c>
      <c r="K497" s="3">
        <f t="shared" si="7"/>
        <v>7874.9999999999991</v>
      </c>
      <c r="L497" s="3">
        <v>5512.4999999999982</v>
      </c>
    </row>
    <row r="498" spans="1:12" x14ac:dyDescent="0.25">
      <c r="A498" t="s">
        <v>36</v>
      </c>
      <c r="B498">
        <v>1185732</v>
      </c>
      <c r="C498" s="1">
        <v>44217</v>
      </c>
      <c r="D498" t="s">
        <v>29</v>
      </c>
      <c r="E498" t="s">
        <v>80</v>
      </c>
      <c r="F498" t="s">
        <v>81</v>
      </c>
      <c r="G498" t="s">
        <v>18</v>
      </c>
      <c r="H498" t="s">
        <v>16</v>
      </c>
      <c r="I498" s="3">
        <v>50</v>
      </c>
      <c r="J498" s="2">
        <v>325</v>
      </c>
      <c r="K498" s="3">
        <f t="shared" si="7"/>
        <v>16250</v>
      </c>
      <c r="L498" s="3">
        <v>10562.5</v>
      </c>
    </row>
    <row r="499" spans="1:12" x14ac:dyDescent="0.25">
      <c r="A499" t="s">
        <v>36</v>
      </c>
      <c r="B499">
        <v>1185732</v>
      </c>
      <c r="C499" s="1">
        <v>44217</v>
      </c>
      <c r="D499" t="s">
        <v>29</v>
      </c>
      <c r="E499" t="s">
        <v>80</v>
      </c>
      <c r="F499" t="s">
        <v>81</v>
      </c>
      <c r="G499" t="s">
        <v>18</v>
      </c>
      <c r="H499" t="s">
        <v>38</v>
      </c>
      <c r="I499" s="3">
        <v>50</v>
      </c>
      <c r="J499" s="2">
        <v>525</v>
      </c>
      <c r="K499" s="3">
        <f t="shared" si="7"/>
        <v>26250</v>
      </c>
      <c r="L499" s="3">
        <v>15750</v>
      </c>
    </row>
    <row r="500" spans="1:12" x14ac:dyDescent="0.25">
      <c r="A500" t="s">
        <v>36</v>
      </c>
      <c r="B500">
        <v>1185732</v>
      </c>
      <c r="C500" s="1">
        <v>44217</v>
      </c>
      <c r="D500" t="s">
        <v>29</v>
      </c>
      <c r="E500" t="s">
        <v>80</v>
      </c>
      <c r="F500" t="s">
        <v>81</v>
      </c>
      <c r="G500" t="s">
        <v>18</v>
      </c>
      <c r="H500" t="s">
        <v>17</v>
      </c>
      <c r="I500" s="3">
        <v>50</v>
      </c>
      <c r="J500" s="2">
        <v>325</v>
      </c>
      <c r="K500" s="3">
        <f t="shared" si="7"/>
        <v>16250</v>
      </c>
      <c r="L500" s="3">
        <v>9750</v>
      </c>
    </row>
    <row r="501" spans="1:12" x14ac:dyDescent="0.25">
      <c r="A501" t="s">
        <v>27</v>
      </c>
      <c r="B501">
        <v>1189833</v>
      </c>
      <c r="C501" s="1">
        <v>44217</v>
      </c>
      <c r="D501" t="s">
        <v>57</v>
      </c>
      <c r="E501" t="s">
        <v>58</v>
      </c>
      <c r="F501" t="s">
        <v>59</v>
      </c>
      <c r="G501" t="s">
        <v>15</v>
      </c>
      <c r="H501" t="s">
        <v>38</v>
      </c>
      <c r="I501" s="3">
        <v>40</v>
      </c>
      <c r="J501" s="2">
        <v>575</v>
      </c>
      <c r="K501" s="3">
        <f t="shared" si="7"/>
        <v>23000</v>
      </c>
      <c r="L501" s="3">
        <v>12650</v>
      </c>
    </row>
    <row r="502" spans="1:12" x14ac:dyDescent="0.25">
      <c r="A502" t="s">
        <v>36</v>
      </c>
      <c r="B502">
        <v>1185732</v>
      </c>
      <c r="C502" s="1">
        <v>44217</v>
      </c>
      <c r="D502" t="s">
        <v>29</v>
      </c>
      <c r="E502" t="s">
        <v>80</v>
      </c>
      <c r="F502" t="s">
        <v>81</v>
      </c>
      <c r="G502" t="s">
        <v>15</v>
      </c>
      <c r="H502" t="s">
        <v>37</v>
      </c>
      <c r="I502" s="3">
        <v>36</v>
      </c>
      <c r="J502" s="2">
        <v>60</v>
      </c>
      <c r="K502" s="3">
        <f t="shared" si="7"/>
        <v>2160</v>
      </c>
      <c r="L502" s="3">
        <v>1468.8</v>
      </c>
    </row>
    <row r="503" spans="1:12" x14ac:dyDescent="0.25">
      <c r="A503" t="s">
        <v>36</v>
      </c>
      <c r="B503">
        <v>1185732</v>
      </c>
      <c r="C503" s="1">
        <v>44217</v>
      </c>
      <c r="D503" t="s">
        <v>29</v>
      </c>
      <c r="E503" t="s">
        <v>80</v>
      </c>
      <c r="F503" t="s">
        <v>81</v>
      </c>
      <c r="G503" t="s">
        <v>15</v>
      </c>
      <c r="H503" t="s">
        <v>22</v>
      </c>
      <c r="I503" s="3">
        <v>43</v>
      </c>
      <c r="J503" s="2">
        <v>74</v>
      </c>
      <c r="K503" s="3">
        <f t="shared" si="7"/>
        <v>3182</v>
      </c>
      <c r="L503" s="3">
        <v>2131.94</v>
      </c>
    </row>
    <row r="504" spans="1:12" x14ac:dyDescent="0.25">
      <c r="A504" t="s">
        <v>11</v>
      </c>
      <c r="B504">
        <v>1128299</v>
      </c>
      <c r="C504" s="1">
        <v>44217</v>
      </c>
      <c r="D504" t="s">
        <v>12</v>
      </c>
      <c r="E504" t="s">
        <v>13</v>
      </c>
      <c r="F504" t="s">
        <v>14</v>
      </c>
      <c r="G504" t="s">
        <v>15</v>
      </c>
      <c r="H504" t="s">
        <v>37</v>
      </c>
      <c r="I504" s="3">
        <v>52</v>
      </c>
      <c r="J504" s="2">
        <v>255</v>
      </c>
      <c r="K504" s="3">
        <f t="shared" si="7"/>
        <v>13260</v>
      </c>
      <c r="L504" s="3">
        <v>8751.6</v>
      </c>
    </row>
    <row r="505" spans="1:12" x14ac:dyDescent="0.25">
      <c r="A505" t="s">
        <v>36</v>
      </c>
      <c r="B505">
        <v>1185732</v>
      </c>
      <c r="C505" s="1">
        <v>44217</v>
      </c>
      <c r="D505" t="s">
        <v>29</v>
      </c>
      <c r="E505" t="s">
        <v>80</v>
      </c>
      <c r="F505" t="s">
        <v>81</v>
      </c>
      <c r="G505" t="s">
        <v>15</v>
      </c>
      <c r="H505" t="s">
        <v>35</v>
      </c>
      <c r="I505" s="3">
        <v>28</v>
      </c>
      <c r="J505" s="2">
        <v>101</v>
      </c>
      <c r="K505" s="3">
        <f t="shared" si="7"/>
        <v>2828</v>
      </c>
      <c r="L505" s="3">
        <v>1809.92</v>
      </c>
    </row>
    <row r="506" spans="1:12" x14ac:dyDescent="0.25">
      <c r="A506" t="s">
        <v>36</v>
      </c>
      <c r="B506">
        <v>1185732</v>
      </c>
      <c r="C506" s="1">
        <v>44217</v>
      </c>
      <c r="D506" t="s">
        <v>29</v>
      </c>
      <c r="E506" t="s">
        <v>80</v>
      </c>
      <c r="F506" t="s">
        <v>81</v>
      </c>
      <c r="G506" t="s">
        <v>41</v>
      </c>
      <c r="H506" t="s">
        <v>37</v>
      </c>
      <c r="I506" s="3">
        <v>43</v>
      </c>
      <c r="J506" s="2">
        <v>46</v>
      </c>
      <c r="K506" s="3">
        <f t="shared" si="7"/>
        <v>1978</v>
      </c>
      <c r="L506" s="3">
        <v>1186.8</v>
      </c>
    </row>
    <row r="507" spans="1:12" x14ac:dyDescent="0.25">
      <c r="A507" t="s">
        <v>36</v>
      </c>
      <c r="B507">
        <v>1185732</v>
      </c>
      <c r="C507" s="1">
        <v>44217</v>
      </c>
      <c r="D507" t="s">
        <v>29</v>
      </c>
      <c r="E507" t="s">
        <v>80</v>
      </c>
      <c r="F507" t="s">
        <v>81</v>
      </c>
      <c r="G507" t="s">
        <v>15</v>
      </c>
      <c r="H507" t="s">
        <v>16</v>
      </c>
      <c r="I507" s="3">
        <v>35</v>
      </c>
      <c r="J507" s="2">
        <v>101</v>
      </c>
      <c r="K507" s="3">
        <f t="shared" si="7"/>
        <v>3535</v>
      </c>
      <c r="L507" s="3">
        <v>2121</v>
      </c>
    </row>
    <row r="508" spans="1:12" x14ac:dyDescent="0.25">
      <c r="A508" t="s">
        <v>11</v>
      </c>
      <c r="B508">
        <v>1128299</v>
      </c>
      <c r="C508" s="1">
        <v>44217</v>
      </c>
      <c r="D508" t="s">
        <v>12</v>
      </c>
      <c r="E508" t="s">
        <v>13</v>
      </c>
      <c r="F508" t="s">
        <v>14</v>
      </c>
      <c r="G508" t="s">
        <v>41</v>
      </c>
      <c r="H508" t="s">
        <v>37</v>
      </c>
      <c r="I508" s="3">
        <v>59</v>
      </c>
      <c r="J508" s="2">
        <v>188</v>
      </c>
      <c r="K508" s="3">
        <f t="shared" si="7"/>
        <v>11092</v>
      </c>
      <c r="L508" s="3">
        <v>6544.2800000000007</v>
      </c>
    </row>
    <row r="509" spans="1:12" x14ac:dyDescent="0.25">
      <c r="A509" t="s">
        <v>36</v>
      </c>
      <c r="B509">
        <v>1185732</v>
      </c>
      <c r="C509" s="1">
        <v>44217</v>
      </c>
      <c r="D509" t="s">
        <v>29</v>
      </c>
      <c r="E509" t="s">
        <v>80</v>
      </c>
      <c r="F509" t="s">
        <v>81</v>
      </c>
      <c r="G509" t="s">
        <v>15</v>
      </c>
      <c r="H509" t="s">
        <v>38</v>
      </c>
      <c r="I509" s="3">
        <v>34</v>
      </c>
      <c r="J509" s="2">
        <v>173</v>
      </c>
      <c r="K509" s="3">
        <f t="shared" si="7"/>
        <v>5882</v>
      </c>
      <c r="L509" s="3">
        <v>3352.74</v>
      </c>
    </row>
    <row r="510" spans="1:12" x14ac:dyDescent="0.25">
      <c r="A510" t="s">
        <v>36</v>
      </c>
      <c r="B510">
        <v>1185732</v>
      </c>
      <c r="C510" s="1">
        <v>44217</v>
      </c>
      <c r="D510" t="s">
        <v>29</v>
      </c>
      <c r="E510" t="s">
        <v>80</v>
      </c>
      <c r="F510" t="s">
        <v>81</v>
      </c>
      <c r="G510" t="s">
        <v>15</v>
      </c>
      <c r="H510" t="s">
        <v>17</v>
      </c>
      <c r="I510" s="3">
        <v>39</v>
      </c>
      <c r="J510" s="2">
        <v>111</v>
      </c>
      <c r="K510" s="3">
        <f t="shared" si="7"/>
        <v>4329</v>
      </c>
      <c r="L510" s="3">
        <v>2467.5299999999997</v>
      </c>
    </row>
    <row r="511" spans="1:12" x14ac:dyDescent="0.25">
      <c r="A511" t="s">
        <v>36</v>
      </c>
      <c r="B511">
        <v>1185732</v>
      </c>
      <c r="C511" s="1">
        <v>44217</v>
      </c>
      <c r="D511" t="s">
        <v>29</v>
      </c>
      <c r="E511" t="s">
        <v>80</v>
      </c>
      <c r="F511" t="s">
        <v>81</v>
      </c>
      <c r="G511" t="s">
        <v>41</v>
      </c>
      <c r="H511" t="s">
        <v>22</v>
      </c>
      <c r="I511" s="3">
        <v>59</v>
      </c>
      <c r="J511" s="2">
        <v>56</v>
      </c>
      <c r="K511" s="3">
        <f t="shared" si="7"/>
        <v>3304</v>
      </c>
      <c r="L511" s="3">
        <v>1850.24</v>
      </c>
    </row>
    <row r="512" spans="1:12" x14ac:dyDescent="0.25">
      <c r="A512" t="s">
        <v>36</v>
      </c>
      <c r="B512">
        <v>1185732</v>
      </c>
      <c r="C512" s="1">
        <v>44217</v>
      </c>
      <c r="D512" t="s">
        <v>29</v>
      </c>
      <c r="E512" t="s">
        <v>80</v>
      </c>
      <c r="F512" t="s">
        <v>81</v>
      </c>
      <c r="G512" t="s">
        <v>41</v>
      </c>
      <c r="H512" t="s">
        <v>16</v>
      </c>
      <c r="I512" s="3">
        <v>49</v>
      </c>
      <c r="J512" s="2">
        <v>88</v>
      </c>
      <c r="K512" s="3">
        <f t="shared" si="7"/>
        <v>4312</v>
      </c>
      <c r="L512" s="3">
        <v>2371.6000000000004</v>
      </c>
    </row>
    <row r="513" spans="1:12" x14ac:dyDescent="0.25">
      <c r="A513" t="s">
        <v>36</v>
      </c>
      <c r="B513">
        <v>1185732</v>
      </c>
      <c r="C513" s="1">
        <v>44217</v>
      </c>
      <c r="D513" t="s">
        <v>29</v>
      </c>
      <c r="E513" t="s">
        <v>80</v>
      </c>
      <c r="F513" t="s">
        <v>81</v>
      </c>
      <c r="G513" t="s">
        <v>41</v>
      </c>
      <c r="H513" t="s">
        <v>35</v>
      </c>
      <c r="I513" s="3">
        <v>38</v>
      </c>
      <c r="J513" s="2">
        <v>81</v>
      </c>
      <c r="K513" s="3">
        <f t="shared" si="7"/>
        <v>3078</v>
      </c>
      <c r="L513" s="3">
        <v>1692.9</v>
      </c>
    </row>
    <row r="514" spans="1:12" x14ac:dyDescent="0.25">
      <c r="A514" t="s">
        <v>36</v>
      </c>
      <c r="B514">
        <v>1185732</v>
      </c>
      <c r="C514" s="1">
        <v>44217</v>
      </c>
      <c r="D514" t="s">
        <v>29</v>
      </c>
      <c r="E514" t="s">
        <v>80</v>
      </c>
      <c r="F514" t="s">
        <v>81</v>
      </c>
      <c r="G514" t="s">
        <v>41</v>
      </c>
      <c r="H514" t="s">
        <v>17</v>
      </c>
      <c r="I514" s="3">
        <v>45</v>
      </c>
      <c r="J514" s="2">
        <v>91</v>
      </c>
      <c r="K514" s="3">
        <f t="shared" si="7"/>
        <v>4095</v>
      </c>
      <c r="L514" s="3">
        <v>1924.65</v>
      </c>
    </row>
    <row r="515" spans="1:12" x14ac:dyDescent="0.25">
      <c r="A515" t="s">
        <v>36</v>
      </c>
      <c r="B515">
        <v>1185732</v>
      </c>
      <c r="C515" s="1">
        <v>44217</v>
      </c>
      <c r="D515" t="s">
        <v>29</v>
      </c>
      <c r="E515" t="s">
        <v>80</v>
      </c>
      <c r="F515" t="s">
        <v>81</v>
      </c>
      <c r="G515" t="s">
        <v>41</v>
      </c>
      <c r="H515" t="s">
        <v>38</v>
      </c>
      <c r="I515" s="3">
        <v>49</v>
      </c>
      <c r="J515" s="2">
        <v>131</v>
      </c>
      <c r="K515" s="3">
        <f t="shared" ref="K515:K578" si="8">I515*J515</f>
        <v>6419</v>
      </c>
      <c r="L515" s="3">
        <v>2888.5499999999997</v>
      </c>
    </row>
    <row r="516" spans="1:12" x14ac:dyDescent="0.25">
      <c r="A516" t="s">
        <v>27</v>
      </c>
      <c r="B516">
        <v>1189833</v>
      </c>
      <c r="C516" s="1">
        <v>44217</v>
      </c>
      <c r="D516" t="s">
        <v>57</v>
      </c>
      <c r="E516" t="s">
        <v>58</v>
      </c>
      <c r="F516" t="s">
        <v>59</v>
      </c>
      <c r="G516" t="s">
        <v>41</v>
      </c>
      <c r="H516" t="s">
        <v>38</v>
      </c>
      <c r="I516" s="3">
        <v>39</v>
      </c>
      <c r="J516" s="2">
        <v>150</v>
      </c>
      <c r="K516" s="3">
        <f t="shared" si="8"/>
        <v>5850</v>
      </c>
      <c r="L516" s="3">
        <v>2515.4999999999995</v>
      </c>
    </row>
    <row r="517" spans="1:12" x14ac:dyDescent="0.25">
      <c r="A517" t="s">
        <v>27</v>
      </c>
      <c r="B517">
        <v>1189833</v>
      </c>
      <c r="C517" s="1">
        <v>44218</v>
      </c>
      <c r="D517" t="s">
        <v>57</v>
      </c>
      <c r="E517" t="s">
        <v>58</v>
      </c>
      <c r="F517" t="s">
        <v>59</v>
      </c>
      <c r="G517" t="s">
        <v>15</v>
      </c>
      <c r="H517" t="s">
        <v>17</v>
      </c>
      <c r="I517" s="3">
        <v>45</v>
      </c>
      <c r="J517" s="2">
        <v>425</v>
      </c>
      <c r="K517" s="3">
        <f t="shared" si="8"/>
        <v>19125</v>
      </c>
      <c r="L517" s="3">
        <v>13387.5</v>
      </c>
    </row>
    <row r="518" spans="1:12" x14ac:dyDescent="0.25">
      <c r="A518" t="s">
        <v>36</v>
      </c>
      <c r="B518">
        <v>1185732</v>
      </c>
      <c r="C518" s="1">
        <v>44218</v>
      </c>
      <c r="D518" t="s">
        <v>57</v>
      </c>
      <c r="E518" t="s">
        <v>110</v>
      </c>
      <c r="F518" t="s">
        <v>111</v>
      </c>
      <c r="G518" t="s">
        <v>41</v>
      </c>
      <c r="H518" t="s">
        <v>17</v>
      </c>
      <c r="I518" s="3">
        <v>40</v>
      </c>
      <c r="J518" s="2">
        <v>300</v>
      </c>
      <c r="K518" s="3">
        <f t="shared" si="8"/>
        <v>12000</v>
      </c>
      <c r="L518" s="3">
        <v>7800</v>
      </c>
    </row>
    <row r="519" spans="1:12" x14ac:dyDescent="0.25">
      <c r="A519" t="s">
        <v>36</v>
      </c>
      <c r="B519">
        <v>1185732</v>
      </c>
      <c r="C519" s="1">
        <v>44218</v>
      </c>
      <c r="D519" t="s">
        <v>57</v>
      </c>
      <c r="E519" t="s">
        <v>110</v>
      </c>
      <c r="F519" t="s">
        <v>111</v>
      </c>
      <c r="G519" t="s">
        <v>41</v>
      </c>
      <c r="H519" t="s">
        <v>22</v>
      </c>
      <c r="I519" s="3">
        <v>49.999999999999993</v>
      </c>
      <c r="J519" s="2">
        <v>200</v>
      </c>
      <c r="K519" s="3">
        <f t="shared" si="8"/>
        <v>9999.9999999999982</v>
      </c>
      <c r="L519" s="3">
        <v>6499.9999999999991</v>
      </c>
    </row>
    <row r="520" spans="1:12" x14ac:dyDescent="0.25">
      <c r="A520" t="s">
        <v>36</v>
      </c>
      <c r="B520">
        <v>1185732</v>
      </c>
      <c r="C520" s="1">
        <v>44218</v>
      </c>
      <c r="D520" t="s">
        <v>57</v>
      </c>
      <c r="E520" t="s">
        <v>110</v>
      </c>
      <c r="F520" t="s">
        <v>111</v>
      </c>
      <c r="G520" t="s">
        <v>41</v>
      </c>
      <c r="H520" t="s">
        <v>38</v>
      </c>
      <c r="I520" s="3">
        <v>40</v>
      </c>
      <c r="J520" s="2">
        <v>500</v>
      </c>
      <c r="K520" s="3">
        <f t="shared" si="8"/>
        <v>20000</v>
      </c>
      <c r="L520" s="3">
        <v>12000</v>
      </c>
    </row>
    <row r="521" spans="1:12" x14ac:dyDescent="0.25">
      <c r="A521" t="s">
        <v>36</v>
      </c>
      <c r="B521">
        <v>1185732</v>
      </c>
      <c r="C521" s="1">
        <v>44218</v>
      </c>
      <c r="D521" t="s">
        <v>57</v>
      </c>
      <c r="E521" t="s">
        <v>110</v>
      </c>
      <c r="F521" t="s">
        <v>111</v>
      </c>
      <c r="G521" t="s">
        <v>41</v>
      </c>
      <c r="H521" t="s">
        <v>35</v>
      </c>
      <c r="I521" s="3">
        <v>30.000000000000004</v>
      </c>
      <c r="J521" s="2">
        <v>300</v>
      </c>
      <c r="K521" s="3">
        <f t="shared" si="8"/>
        <v>9000.0000000000018</v>
      </c>
      <c r="L521" s="3">
        <v>5400.0000000000009</v>
      </c>
    </row>
    <row r="522" spans="1:12" x14ac:dyDescent="0.25">
      <c r="A522" t="s">
        <v>36</v>
      </c>
      <c r="B522">
        <v>1185732</v>
      </c>
      <c r="C522" s="1">
        <v>44218</v>
      </c>
      <c r="D522" t="s">
        <v>57</v>
      </c>
      <c r="E522" t="s">
        <v>110</v>
      </c>
      <c r="F522" t="s">
        <v>111</v>
      </c>
      <c r="G522" t="s">
        <v>41</v>
      </c>
      <c r="H522" t="s">
        <v>37</v>
      </c>
      <c r="I522" s="3">
        <v>35</v>
      </c>
      <c r="J522" s="2">
        <v>150</v>
      </c>
      <c r="K522" s="3">
        <f t="shared" si="8"/>
        <v>5250</v>
      </c>
      <c r="L522" s="3">
        <v>3150</v>
      </c>
    </row>
    <row r="523" spans="1:12" x14ac:dyDescent="0.25">
      <c r="A523" t="s">
        <v>36</v>
      </c>
      <c r="B523">
        <v>1185732</v>
      </c>
      <c r="C523" s="1">
        <v>44218</v>
      </c>
      <c r="D523" t="s">
        <v>57</v>
      </c>
      <c r="E523" t="s">
        <v>110</v>
      </c>
      <c r="F523" t="s">
        <v>111</v>
      </c>
      <c r="G523" t="s">
        <v>41</v>
      </c>
      <c r="H523" t="s">
        <v>16</v>
      </c>
      <c r="I523" s="3">
        <v>40</v>
      </c>
      <c r="J523" s="2">
        <v>300</v>
      </c>
      <c r="K523" s="3">
        <f t="shared" si="8"/>
        <v>12000</v>
      </c>
      <c r="L523" s="3">
        <v>7200</v>
      </c>
    </row>
    <row r="524" spans="1:12" x14ac:dyDescent="0.25">
      <c r="A524" t="s">
        <v>11</v>
      </c>
      <c r="B524">
        <v>1128299</v>
      </c>
      <c r="C524" s="1">
        <v>44218</v>
      </c>
      <c r="D524" t="s">
        <v>12</v>
      </c>
      <c r="E524" t="s">
        <v>13</v>
      </c>
      <c r="F524" t="s">
        <v>14</v>
      </c>
      <c r="G524" t="s">
        <v>15</v>
      </c>
      <c r="H524" t="s">
        <v>22</v>
      </c>
      <c r="I524" s="3">
        <v>75</v>
      </c>
      <c r="J524" s="2">
        <v>750</v>
      </c>
      <c r="K524" s="3">
        <f t="shared" si="8"/>
        <v>56250</v>
      </c>
      <c r="L524" s="3">
        <v>28125</v>
      </c>
    </row>
    <row r="525" spans="1:12" x14ac:dyDescent="0.25">
      <c r="A525" t="s">
        <v>27</v>
      </c>
      <c r="B525">
        <v>1189833</v>
      </c>
      <c r="C525" s="1">
        <v>44218</v>
      </c>
      <c r="D525" t="s">
        <v>57</v>
      </c>
      <c r="E525" t="s">
        <v>58</v>
      </c>
      <c r="F525" t="s">
        <v>59</v>
      </c>
      <c r="G525" t="s">
        <v>41</v>
      </c>
      <c r="H525" t="s">
        <v>17</v>
      </c>
      <c r="I525" s="3">
        <v>41</v>
      </c>
      <c r="J525" s="2">
        <v>106</v>
      </c>
      <c r="K525" s="3">
        <f t="shared" si="8"/>
        <v>4346</v>
      </c>
      <c r="L525" s="3">
        <v>2433.7600000000002</v>
      </c>
    </row>
    <row r="526" spans="1:12" x14ac:dyDescent="0.25">
      <c r="A526" t="s">
        <v>36</v>
      </c>
      <c r="B526">
        <v>1185732</v>
      </c>
      <c r="C526" s="1">
        <v>44218</v>
      </c>
      <c r="D526" t="s">
        <v>57</v>
      </c>
      <c r="E526" t="s">
        <v>110</v>
      </c>
      <c r="F526" t="s">
        <v>111</v>
      </c>
      <c r="G526" t="s">
        <v>41</v>
      </c>
      <c r="H526" t="s">
        <v>17</v>
      </c>
      <c r="I526" s="3">
        <v>38</v>
      </c>
      <c r="J526" s="2">
        <v>78</v>
      </c>
      <c r="K526" s="3">
        <f t="shared" si="8"/>
        <v>2964</v>
      </c>
      <c r="L526" s="3">
        <v>1570.92</v>
      </c>
    </row>
    <row r="527" spans="1:12" x14ac:dyDescent="0.25">
      <c r="A527" t="s">
        <v>36</v>
      </c>
      <c r="B527">
        <v>1185732</v>
      </c>
      <c r="C527" s="1">
        <v>44218</v>
      </c>
      <c r="D527" t="s">
        <v>57</v>
      </c>
      <c r="E527" t="s">
        <v>110</v>
      </c>
      <c r="F527" t="s">
        <v>111</v>
      </c>
      <c r="G527" t="s">
        <v>41</v>
      </c>
      <c r="H527" t="s">
        <v>22</v>
      </c>
      <c r="I527" s="3">
        <v>46</v>
      </c>
      <c r="J527" s="2">
        <v>52</v>
      </c>
      <c r="K527" s="3">
        <f t="shared" si="8"/>
        <v>2392</v>
      </c>
      <c r="L527" s="3">
        <v>1267.76</v>
      </c>
    </row>
    <row r="528" spans="1:12" x14ac:dyDescent="0.25">
      <c r="A528" t="s">
        <v>36</v>
      </c>
      <c r="B528">
        <v>1185732</v>
      </c>
      <c r="C528" s="1">
        <v>44218</v>
      </c>
      <c r="D528" t="s">
        <v>57</v>
      </c>
      <c r="E528" t="s">
        <v>110</v>
      </c>
      <c r="F528" t="s">
        <v>111</v>
      </c>
      <c r="G528" t="s">
        <v>41</v>
      </c>
      <c r="H528" t="s">
        <v>37</v>
      </c>
      <c r="I528" s="3">
        <v>34</v>
      </c>
      <c r="J528" s="2">
        <v>42</v>
      </c>
      <c r="K528" s="3">
        <f t="shared" si="8"/>
        <v>1428</v>
      </c>
      <c r="L528" s="3">
        <v>714</v>
      </c>
    </row>
    <row r="529" spans="1:12" x14ac:dyDescent="0.25">
      <c r="A529" t="s">
        <v>36</v>
      </c>
      <c r="B529">
        <v>1185732</v>
      </c>
      <c r="C529" s="1">
        <v>44218</v>
      </c>
      <c r="D529" t="s">
        <v>57</v>
      </c>
      <c r="E529" t="s">
        <v>110</v>
      </c>
      <c r="F529" t="s">
        <v>111</v>
      </c>
      <c r="G529" t="s">
        <v>41</v>
      </c>
      <c r="H529" t="s">
        <v>35</v>
      </c>
      <c r="I529" s="3">
        <v>28</v>
      </c>
      <c r="J529" s="2">
        <v>75</v>
      </c>
      <c r="K529" s="3">
        <f t="shared" si="8"/>
        <v>2100</v>
      </c>
      <c r="L529" s="3">
        <v>1008</v>
      </c>
    </row>
    <row r="530" spans="1:12" x14ac:dyDescent="0.25">
      <c r="A530" t="s">
        <v>36</v>
      </c>
      <c r="B530">
        <v>1185732</v>
      </c>
      <c r="C530" s="1">
        <v>44218</v>
      </c>
      <c r="D530" t="s">
        <v>57</v>
      </c>
      <c r="E530" t="s">
        <v>110</v>
      </c>
      <c r="F530" t="s">
        <v>111</v>
      </c>
      <c r="G530" t="s">
        <v>41</v>
      </c>
      <c r="H530" t="s">
        <v>38</v>
      </c>
      <c r="I530" s="3">
        <v>37</v>
      </c>
      <c r="J530" s="2">
        <v>135</v>
      </c>
      <c r="K530" s="3">
        <f t="shared" si="8"/>
        <v>4995</v>
      </c>
      <c r="L530" s="3">
        <v>2297.6999999999998</v>
      </c>
    </row>
    <row r="531" spans="1:12" x14ac:dyDescent="0.25">
      <c r="A531" t="s">
        <v>36</v>
      </c>
      <c r="B531">
        <v>1185732</v>
      </c>
      <c r="C531" s="1">
        <v>44218</v>
      </c>
      <c r="D531" t="s">
        <v>57</v>
      </c>
      <c r="E531" t="s">
        <v>110</v>
      </c>
      <c r="F531" t="s">
        <v>111</v>
      </c>
      <c r="G531" t="s">
        <v>41</v>
      </c>
      <c r="H531" t="s">
        <v>16</v>
      </c>
      <c r="I531" s="3">
        <v>37</v>
      </c>
      <c r="J531" s="2">
        <v>81</v>
      </c>
      <c r="K531" s="3">
        <f t="shared" si="8"/>
        <v>2997</v>
      </c>
      <c r="L531" s="3">
        <v>1378.62</v>
      </c>
    </row>
    <row r="532" spans="1:12" x14ac:dyDescent="0.25">
      <c r="A532" t="s">
        <v>11</v>
      </c>
      <c r="B532">
        <v>1128299</v>
      </c>
      <c r="C532" s="1">
        <v>44218</v>
      </c>
      <c r="D532" t="s">
        <v>12</v>
      </c>
      <c r="E532" t="s">
        <v>13</v>
      </c>
      <c r="F532" t="s">
        <v>14</v>
      </c>
      <c r="G532" t="s">
        <v>15</v>
      </c>
      <c r="H532" t="s">
        <v>22</v>
      </c>
      <c r="I532" s="3">
        <v>59</v>
      </c>
      <c r="J532" s="2">
        <v>263</v>
      </c>
      <c r="K532" s="3">
        <f t="shared" si="8"/>
        <v>15517</v>
      </c>
      <c r="L532" s="3">
        <v>6672.3099999999995</v>
      </c>
    </row>
    <row r="533" spans="1:12" x14ac:dyDescent="0.25">
      <c r="A533" t="s">
        <v>11</v>
      </c>
      <c r="B533">
        <v>1128299</v>
      </c>
      <c r="C533" s="1">
        <v>44218</v>
      </c>
      <c r="D533" t="s">
        <v>12</v>
      </c>
      <c r="E533" t="s">
        <v>13</v>
      </c>
      <c r="F533" t="s">
        <v>14</v>
      </c>
      <c r="G533" t="s">
        <v>41</v>
      </c>
      <c r="H533" t="s">
        <v>22</v>
      </c>
      <c r="I533" s="3">
        <v>69</v>
      </c>
      <c r="J533" s="2">
        <v>188</v>
      </c>
      <c r="K533" s="3">
        <f t="shared" si="8"/>
        <v>12972</v>
      </c>
      <c r="L533" s="3">
        <v>5059.08</v>
      </c>
    </row>
    <row r="534" spans="1:12" x14ac:dyDescent="0.25">
      <c r="A534" t="s">
        <v>11</v>
      </c>
      <c r="B534">
        <v>1128299</v>
      </c>
      <c r="C534" s="1">
        <v>44219</v>
      </c>
      <c r="D534" t="s">
        <v>12</v>
      </c>
      <c r="E534" t="s">
        <v>13</v>
      </c>
      <c r="F534" t="s">
        <v>14</v>
      </c>
      <c r="G534" t="s">
        <v>15</v>
      </c>
      <c r="H534" t="s">
        <v>16</v>
      </c>
      <c r="I534" s="3">
        <v>80</v>
      </c>
      <c r="J534" s="2">
        <v>725</v>
      </c>
      <c r="K534" s="3">
        <f t="shared" si="8"/>
        <v>58000</v>
      </c>
      <c r="L534" s="3">
        <v>49300</v>
      </c>
    </row>
    <row r="535" spans="1:12" x14ac:dyDescent="0.25">
      <c r="A535" t="s">
        <v>19</v>
      </c>
      <c r="B535">
        <v>1128299</v>
      </c>
      <c r="C535" s="1">
        <v>44219</v>
      </c>
      <c r="D535" t="s">
        <v>12</v>
      </c>
      <c r="E535" t="s">
        <v>66</v>
      </c>
      <c r="F535" t="s">
        <v>67</v>
      </c>
      <c r="G535" t="s">
        <v>41</v>
      </c>
      <c r="H535" t="s">
        <v>16</v>
      </c>
      <c r="I535" s="3">
        <v>40</v>
      </c>
      <c r="J535" s="2">
        <v>425</v>
      </c>
      <c r="K535" s="3">
        <f t="shared" si="8"/>
        <v>17000</v>
      </c>
      <c r="L535" s="3">
        <v>12750</v>
      </c>
    </row>
    <row r="536" spans="1:12" x14ac:dyDescent="0.25">
      <c r="A536" t="s">
        <v>19</v>
      </c>
      <c r="B536">
        <v>1128299</v>
      </c>
      <c r="C536" s="1">
        <v>44219</v>
      </c>
      <c r="D536" t="s">
        <v>12</v>
      </c>
      <c r="E536" t="s">
        <v>66</v>
      </c>
      <c r="F536" t="s">
        <v>67</v>
      </c>
      <c r="G536" t="s">
        <v>41</v>
      </c>
      <c r="H536" t="s">
        <v>22</v>
      </c>
      <c r="I536" s="3">
        <v>45.000000000000007</v>
      </c>
      <c r="J536" s="2">
        <v>225</v>
      </c>
      <c r="K536" s="3">
        <f t="shared" si="8"/>
        <v>10125.000000000002</v>
      </c>
      <c r="L536" s="3">
        <v>7087.5000000000018</v>
      </c>
    </row>
    <row r="537" spans="1:12" x14ac:dyDescent="0.25">
      <c r="A537" t="s">
        <v>26</v>
      </c>
      <c r="B537">
        <v>1197831</v>
      </c>
      <c r="C537" s="1">
        <v>44219</v>
      </c>
      <c r="D537" t="s">
        <v>52</v>
      </c>
      <c r="E537" t="s">
        <v>112</v>
      </c>
      <c r="F537" t="s">
        <v>113</v>
      </c>
      <c r="G537" t="s">
        <v>41</v>
      </c>
      <c r="H537" t="s">
        <v>17</v>
      </c>
      <c r="I537" s="3">
        <v>25.000000000000007</v>
      </c>
      <c r="J537" s="2">
        <v>450</v>
      </c>
      <c r="K537" s="3">
        <f t="shared" si="8"/>
        <v>11250.000000000004</v>
      </c>
      <c r="L537" s="3">
        <v>7312.5000000000027</v>
      </c>
    </row>
    <row r="538" spans="1:12" x14ac:dyDescent="0.25">
      <c r="A538" t="s">
        <v>11</v>
      </c>
      <c r="B538">
        <v>1197831</v>
      </c>
      <c r="C538" s="1">
        <v>44219</v>
      </c>
      <c r="D538" t="s">
        <v>52</v>
      </c>
      <c r="E538" t="s">
        <v>114</v>
      </c>
      <c r="F538" t="s">
        <v>115</v>
      </c>
      <c r="G538" t="s">
        <v>41</v>
      </c>
      <c r="H538" t="s">
        <v>17</v>
      </c>
      <c r="I538" s="3">
        <v>25.000000000000007</v>
      </c>
      <c r="J538" s="2">
        <v>375</v>
      </c>
      <c r="K538" s="3">
        <f t="shared" si="8"/>
        <v>9375.0000000000018</v>
      </c>
      <c r="L538" s="3">
        <v>6093.7500000000018</v>
      </c>
    </row>
    <row r="539" spans="1:12" x14ac:dyDescent="0.25">
      <c r="A539" t="s">
        <v>19</v>
      </c>
      <c r="B539">
        <v>1128299</v>
      </c>
      <c r="C539" s="1">
        <v>44219</v>
      </c>
      <c r="D539" t="s">
        <v>12</v>
      </c>
      <c r="E539" t="s">
        <v>66</v>
      </c>
      <c r="F539" t="s">
        <v>67</v>
      </c>
      <c r="G539" t="s">
        <v>41</v>
      </c>
      <c r="H539" t="s">
        <v>38</v>
      </c>
      <c r="I539" s="3">
        <v>29.999999999999993</v>
      </c>
      <c r="J539" s="2">
        <v>425</v>
      </c>
      <c r="K539" s="3">
        <f t="shared" si="8"/>
        <v>12749.999999999996</v>
      </c>
      <c r="L539" s="3">
        <v>8287.4999999999982</v>
      </c>
    </row>
    <row r="540" spans="1:12" x14ac:dyDescent="0.25">
      <c r="A540" t="s">
        <v>19</v>
      </c>
      <c r="B540">
        <v>1128299</v>
      </c>
      <c r="C540" s="1">
        <v>44219</v>
      </c>
      <c r="D540" t="s">
        <v>12</v>
      </c>
      <c r="E540" t="s">
        <v>66</v>
      </c>
      <c r="F540" t="s">
        <v>67</v>
      </c>
      <c r="G540" t="s">
        <v>41</v>
      </c>
      <c r="H540" t="s">
        <v>35</v>
      </c>
      <c r="I540" s="3">
        <v>40</v>
      </c>
      <c r="J540" s="2">
        <v>425</v>
      </c>
      <c r="K540" s="3">
        <f t="shared" si="8"/>
        <v>17000</v>
      </c>
      <c r="L540" s="3">
        <v>11050</v>
      </c>
    </row>
    <row r="541" spans="1:12" x14ac:dyDescent="0.25">
      <c r="A541" t="s">
        <v>19</v>
      </c>
      <c r="B541">
        <v>1128299</v>
      </c>
      <c r="C541" s="1">
        <v>44219</v>
      </c>
      <c r="D541" t="s">
        <v>12</v>
      </c>
      <c r="E541" t="s">
        <v>66</v>
      </c>
      <c r="F541" t="s">
        <v>67</v>
      </c>
      <c r="G541" t="s">
        <v>41</v>
      </c>
      <c r="H541" t="s">
        <v>37</v>
      </c>
      <c r="I541" s="3">
        <v>40</v>
      </c>
      <c r="J541" s="2">
        <v>275</v>
      </c>
      <c r="K541" s="3">
        <f t="shared" si="8"/>
        <v>11000</v>
      </c>
      <c r="L541" s="3">
        <v>7150</v>
      </c>
    </row>
    <row r="542" spans="1:12" x14ac:dyDescent="0.25">
      <c r="A542" t="s">
        <v>26</v>
      </c>
      <c r="B542">
        <v>1197831</v>
      </c>
      <c r="C542" s="1">
        <v>44219</v>
      </c>
      <c r="D542" t="s">
        <v>52</v>
      </c>
      <c r="E542" t="s">
        <v>112</v>
      </c>
      <c r="F542" t="s">
        <v>113</v>
      </c>
      <c r="G542" t="s">
        <v>41</v>
      </c>
      <c r="H542" t="s">
        <v>22</v>
      </c>
      <c r="I542" s="3">
        <v>35</v>
      </c>
      <c r="J542" s="2">
        <v>350</v>
      </c>
      <c r="K542" s="3">
        <f t="shared" si="8"/>
        <v>12250</v>
      </c>
      <c r="L542" s="3">
        <v>7962.5</v>
      </c>
    </row>
    <row r="543" spans="1:12" x14ac:dyDescent="0.25">
      <c r="A543" t="s">
        <v>11</v>
      </c>
      <c r="B543">
        <v>1197831</v>
      </c>
      <c r="C543" s="1">
        <v>44219</v>
      </c>
      <c r="D543" t="s">
        <v>52</v>
      </c>
      <c r="E543" t="s">
        <v>114</v>
      </c>
      <c r="F543" t="s">
        <v>115</v>
      </c>
      <c r="G543" t="s">
        <v>41</v>
      </c>
      <c r="H543" t="s">
        <v>22</v>
      </c>
      <c r="I543" s="3">
        <v>35</v>
      </c>
      <c r="J543" s="2">
        <v>275</v>
      </c>
      <c r="K543" s="3">
        <f t="shared" si="8"/>
        <v>9625</v>
      </c>
      <c r="L543" s="3">
        <v>6256.25</v>
      </c>
    </row>
    <row r="544" spans="1:12" x14ac:dyDescent="0.25">
      <c r="A544" t="s">
        <v>11</v>
      </c>
      <c r="B544">
        <v>1197831</v>
      </c>
      <c r="C544" s="1">
        <v>44219</v>
      </c>
      <c r="D544" t="s">
        <v>52</v>
      </c>
      <c r="E544" t="s">
        <v>114</v>
      </c>
      <c r="F544" t="s">
        <v>115</v>
      </c>
      <c r="G544" t="s">
        <v>41</v>
      </c>
      <c r="H544" t="s">
        <v>16</v>
      </c>
      <c r="I544" s="3">
        <v>25.000000000000007</v>
      </c>
      <c r="J544" s="2">
        <v>375</v>
      </c>
      <c r="K544" s="3">
        <f t="shared" si="8"/>
        <v>9375.0000000000018</v>
      </c>
      <c r="L544" s="3">
        <v>5625.0000000000018</v>
      </c>
    </row>
    <row r="545" spans="1:12" x14ac:dyDescent="0.25">
      <c r="A545" t="s">
        <v>19</v>
      </c>
      <c r="B545">
        <v>1128299</v>
      </c>
      <c r="C545" s="1">
        <v>44219</v>
      </c>
      <c r="D545" t="s">
        <v>12</v>
      </c>
      <c r="E545" t="s">
        <v>66</v>
      </c>
      <c r="F545" t="s">
        <v>67</v>
      </c>
      <c r="G545" t="s">
        <v>41</v>
      </c>
      <c r="H545" t="s">
        <v>17</v>
      </c>
      <c r="I545" s="3">
        <v>40</v>
      </c>
      <c r="J545" s="2">
        <v>425</v>
      </c>
      <c r="K545" s="3">
        <f t="shared" si="8"/>
        <v>17000</v>
      </c>
      <c r="L545" s="3">
        <v>10200</v>
      </c>
    </row>
    <row r="546" spans="1:12" x14ac:dyDescent="0.25">
      <c r="A546" t="s">
        <v>26</v>
      </c>
      <c r="B546">
        <v>1197831</v>
      </c>
      <c r="C546" s="1">
        <v>44219</v>
      </c>
      <c r="D546" t="s">
        <v>52</v>
      </c>
      <c r="E546" t="s">
        <v>112</v>
      </c>
      <c r="F546" t="s">
        <v>113</v>
      </c>
      <c r="G546" t="s">
        <v>41</v>
      </c>
      <c r="H546" t="s">
        <v>38</v>
      </c>
      <c r="I546" s="3">
        <v>25.000000000000007</v>
      </c>
      <c r="J546" s="2">
        <v>650</v>
      </c>
      <c r="K546" s="3">
        <f t="shared" si="8"/>
        <v>16250.000000000005</v>
      </c>
      <c r="L546" s="3">
        <v>9750.0000000000036</v>
      </c>
    </row>
    <row r="547" spans="1:12" x14ac:dyDescent="0.25">
      <c r="A547" t="s">
        <v>26</v>
      </c>
      <c r="B547">
        <v>1197831</v>
      </c>
      <c r="C547" s="1">
        <v>44219</v>
      </c>
      <c r="D547" t="s">
        <v>52</v>
      </c>
      <c r="E547" t="s">
        <v>112</v>
      </c>
      <c r="F547" t="s">
        <v>113</v>
      </c>
      <c r="G547" t="s">
        <v>41</v>
      </c>
      <c r="H547" t="s">
        <v>37</v>
      </c>
      <c r="I547" s="3">
        <v>20</v>
      </c>
      <c r="J547" s="2">
        <v>300</v>
      </c>
      <c r="K547" s="3">
        <f t="shared" si="8"/>
        <v>6000</v>
      </c>
      <c r="L547" s="3">
        <v>3600</v>
      </c>
    </row>
    <row r="548" spans="1:12" x14ac:dyDescent="0.25">
      <c r="A548" t="s">
        <v>26</v>
      </c>
      <c r="B548">
        <v>1197831</v>
      </c>
      <c r="C548" s="1">
        <v>44219</v>
      </c>
      <c r="D548" t="s">
        <v>52</v>
      </c>
      <c r="E548" t="s">
        <v>112</v>
      </c>
      <c r="F548" t="s">
        <v>113</v>
      </c>
      <c r="G548" t="s">
        <v>41</v>
      </c>
      <c r="H548" t="s">
        <v>16</v>
      </c>
      <c r="I548" s="3">
        <v>25.000000000000007</v>
      </c>
      <c r="J548" s="2">
        <v>450</v>
      </c>
      <c r="K548" s="3">
        <f t="shared" si="8"/>
        <v>11250.000000000004</v>
      </c>
      <c r="L548" s="3">
        <v>6750.0000000000018</v>
      </c>
    </row>
    <row r="549" spans="1:12" x14ac:dyDescent="0.25">
      <c r="A549" t="s">
        <v>11</v>
      </c>
      <c r="B549">
        <v>1197831</v>
      </c>
      <c r="C549" s="1">
        <v>44219</v>
      </c>
      <c r="D549" t="s">
        <v>52</v>
      </c>
      <c r="E549" t="s">
        <v>114</v>
      </c>
      <c r="F549" t="s">
        <v>115</v>
      </c>
      <c r="G549" t="s">
        <v>41</v>
      </c>
      <c r="H549" t="s">
        <v>38</v>
      </c>
      <c r="I549" s="3">
        <v>25.000000000000007</v>
      </c>
      <c r="J549" s="2">
        <v>575</v>
      </c>
      <c r="K549" s="3">
        <f t="shared" si="8"/>
        <v>14375.000000000004</v>
      </c>
      <c r="L549" s="3">
        <v>8625.0000000000018</v>
      </c>
    </row>
    <row r="550" spans="1:12" x14ac:dyDescent="0.25">
      <c r="A550" t="s">
        <v>11</v>
      </c>
      <c r="B550">
        <v>1197831</v>
      </c>
      <c r="C550" s="1">
        <v>44219</v>
      </c>
      <c r="D550" t="s">
        <v>52</v>
      </c>
      <c r="E550" t="s">
        <v>114</v>
      </c>
      <c r="F550" t="s">
        <v>115</v>
      </c>
      <c r="G550" t="s">
        <v>41</v>
      </c>
      <c r="H550" t="s">
        <v>37</v>
      </c>
      <c r="I550" s="3">
        <v>20</v>
      </c>
      <c r="J550" s="2">
        <v>225</v>
      </c>
      <c r="K550" s="3">
        <f t="shared" si="8"/>
        <v>4500</v>
      </c>
      <c r="L550" s="3">
        <v>2700</v>
      </c>
    </row>
    <row r="551" spans="1:12" x14ac:dyDescent="0.25">
      <c r="A551" t="s">
        <v>26</v>
      </c>
      <c r="B551">
        <v>1197831</v>
      </c>
      <c r="C551" s="1">
        <v>44219</v>
      </c>
      <c r="D551" t="s">
        <v>52</v>
      </c>
      <c r="E551" t="s">
        <v>112</v>
      </c>
      <c r="F551" t="s">
        <v>113</v>
      </c>
      <c r="G551" t="s">
        <v>41</v>
      </c>
      <c r="H551" t="s">
        <v>35</v>
      </c>
      <c r="I551" s="3">
        <v>15.000000000000007</v>
      </c>
      <c r="J551" s="2">
        <v>450</v>
      </c>
      <c r="K551" s="3">
        <f t="shared" si="8"/>
        <v>6750.0000000000036</v>
      </c>
      <c r="L551" s="3">
        <v>4050.0000000000014</v>
      </c>
    </row>
    <row r="552" spans="1:12" x14ac:dyDescent="0.25">
      <c r="A552" t="s">
        <v>11</v>
      </c>
      <c r="B552">
        <v>1197831</v>
      </c>
      <c r="C552" s="1">
        <v>44219</v>
      </c>
      <c r="D552" t="s">
        <v>52</v>
      </c>
      <c r="E552" t="s">
        <v>114</v>
      </c>
      <c r="F552" t="s">
        <v>115</v>
      </c>
      <c r="G552" t="s">
        <v>41</v>
      </c>
      <c r="H552" t="s">
        <v>35</v>
      </c>
      <c r="I552" s="3">
        <v>15.000000000000007</v>
      </c>
      <c r="J552" s="2">
        <v>375</v>
      </c>
      <c r="K552" s="3">
        <f t="shared" si="8"/>
        <v>5625.0000000000027</v>
      </c>
      <c r="L552" s="3">
        <v>3375.0000000000014</v>
      </c>
    </row>
    <row r="553" spans="1:12" x14ac:dyDescent="0.25">
      <c r="A553" t="s">
        <v>27</v>
      </c>
      <c r="B553">
        <v>1189833</v>
      </c>
      <c r="C553" s="1">
        <v>44219</v>
      </c>
      <c r="D553" t="s">
        <v>57</v>
      </c>
      <c r="E553" t="s">
        <v>58</v>
      </c>
      <c r="F553" t="s">
        <v>59</v>
      </c>
      <c r="G553" t="s">
        <v>15</v>
      </c>
      <c r="H553" t="s">
        <v>35</v>
      </c>
      <c r="I553" s="3">
        <v>45</v>
      </c>
      <c r="J553" s="2">
        <v>425</v>
      </c>
      <c r="K553" s="3">
        <f t="shared" si="8"/>
        <v>19125</v>
      </c>
      <c r="L553" s="3">
        <v>10518.75</v>
      </c>
    </row>
    <row r="554" spans="1:12" x14ac:dyDescent="0.25">
      <c r="A554" t="s">
        <v>11</v>
      </c>
      <c r="B554">
        <v>1128299</v>
      </c>
      <c r="C554" s="1">
        <v>44219</v>
      </c>
      <c r="D554" t="s">
        <v>12</v>
      </c>
      <c r="E554" t="s">
        <v>13</v>
      </c>
      <c r="F554" t="s">
        <v>14</v>
      </c>
      <c r="G554" t="s">
        <v>15</v>
      </c>
      <c r="H554" t="s">
        <v>16</v>
      </c>
      <c r="I554" s="3">
        <v>60</v>
      </c>
      <c r="J554" s="2">
        <v>254</v>
      </c>
      <c r="K554" s="3">
        <f t="shared" si="8"/>
        <v>15240</v>
      </c>
      <c r="L554" s="3">
        <v>11887.199999999999</v>
      </c>
    </row>
    <row r="555" spans="1:12" x14ac:dyDescent="0.25">
      <c r="A555" t="s">
        <v>11</v>
      </c>
      <c r="B555">
        <v>1128299</v>
      </c>
      <c r="C555" s="1">
        <v>44219</v>
      </c>
      <c r="D555" t="s">
        <v>12</v>
      </c>
      <c r="E555" t="s">
        <v>13</v>
      </c>
      <c r="F555" t="s">
        <v>14</v>
      </c>
      <c r="G555" t="s">
        <v>41</v>
      </c>
      <c r="H555" t="s">
        <v>16</v>
      </c>
      <c r="I555" s="3">
        <v>76</v>
      </c>
      <c r="J555" s="2">
        <v>181</v>
      </c>
      <c r="K555" s="3">
        <f t="shared" si="8"/>
        <v>13756</v>
      </c>
      <c r="L555" s="3">
        <v>10317</v>
      </c>
    </row>
    <row r="556" spans="1:12" x14ac:dyDescent="0.25">
      <c r="A556" t="s">
        <v>19</v>
      </c>
      <c r="B556">
        <v>1128299</v>
      </c>
      <c r="C556" s="1">
        <v>44219</v>
      </c>
      <c r="D556" t="s">
        <v>12</v>
      </c>
      <c r="E556" t="s">
        <v>66</v>
      </c>
      <c r="F556" t="s">
        <v>67</v>
      </c>
      <c r="G556" t="s">
        <v>15</v>
      </c>
      <c r="H556" t="s">
        <v>16</v>
      </c>
      <c r="I556" s="3">
        <v>27</v>
      </c>
      <c r="J556" s="2">
        <v>140</v>
      </c>
      <c r="K556" s="3">
        <f t="shared" si="8"/>
        <v>3780</v>
      </c>
      <c r="L556" s="3">
        <v>2759.4</v>
      </c>
    </row>
    <row r="557" spans="1:12" x14ac:dyDescent="0.25">
      <c r="A557" t="s">
        <v>19</v>
      </c>
      <c r="B557">
        <v>1128299</v>
      </c>
      <c r="C557" s="1">
        <v>44219</v>
      </c>
      <c r="D557" t="s">
        <v>12</v>
      </c>
      <c r="E557" t="s">
        <v>66</v>
      </c>
      <c r="F557" t="s">
        <v>67</v>
      </c>
      <c r="G557" t="s">
        <v>15</v>
      </c>
      <c r="H557" t="s">
        <v>22</v>
      </c>
      <c r="I557" s="3">
        <v>35</v>
      </c>
      <c r="J557" s="2">
        <v>68</v>
      </c>
      <c r="K557" s="3">
        <f t="shared" si="8"/>
        <v>2380</v>
      </c>
      <c r="L557" s="3">
        <v>1570.8000000000002</v>
      </c>
    </row>
    <row r="558" spans="1:12" x14ac:dyDescent="0.25">
      <c r="A558" t="s">
        <v>19</v>
      </c>
      <c r="B558">
        <v>1128299</v>
      </c>
      <c r="C558" s="1">
        <v>44219</v>
      </c>
      <c r="D558" t="s">
        <v>12</v>
      </c>
      <c r="E558" t="s">
        <v>66</v>
      </c>
      <c r="F558" t="s">
        <v>67</v>
      </c>
      <c r="G558" t="s">
        <v>41</v>
      </c>
      <c r="H558" t="s">
        <v>16</v>
      </c>
      <c r="I558" s="3">
        <v>36</v>
      </c>
      <c r="J558" s="2">
        <v>111</v>
      </c>
      <c r="K558" s="3">
        <f t="shared" si="8"/>
        <v>3996</v>
      </c>
      <c r="L558" s="3">
        <v>2597.4</v>
      </c>
    </row>
    <row r="559" spans="1:12" x14ac:dyDescent="0.25">
      <c r="A559" t="s">
        <v>19</v>
      </c>
      <c r="B559">
        <v>1128299</v>
      </c>
      <c r="C559" s="1">
        <v>44219</v>
      </c>
      <c r="D559" t="s">
        <v>12</v>
      </c>
      <c r="E559" t="s">
        <v>66</v>
      </c>
      <c r="F559" t="s">
        <v>67</v>
      </c>
      <c r="G559" t="s">
        <v>15</v>
      </c>
      <c r="H559" t="s">
        <v>37</v>
      </c>
      <c r="I559" s="3">
        <v>30</v>
      </c>
      <c r="J559" s="2">
        <v>88</v>
      </c>
      <c r="K559" s="3">
        <f t="shared" si="8"/>
        <v>2640</v>
      </c>
      <c r="L559" s="3">
        <v>1663.2</v>
      </c>
    </row>
    <row r="560" spans="1:12" x14ac:dyDescent="0.25">
      <c r="A560" t="s">
        <v>11</v>
      </c>
      <c r="B560">
        <v>1197831</v>
      </c>
      <c r="C560" s="1">
        <v>44219</v>
      </c>
      <c r="D560" t="s">
        <v>52</v>
      </c>
      <c r="E560" t="s">
        <v>114</v>
      </c>
      <c r="F560" t="s">
        <v>115</v>
      </c>
      <c r="G560" t="s">
        <v>15</v>
      </c>
      <c r="H560" t="s">
        <v>17</v>
      </c>
      <c r="I560" s="3">
        <v>18</v>
      </c>
      <c r="J560" s="2">
        <v>124</v>
      </c>
      <c r="K560" s="3">
        <f t="shared" si="8"/>
        <v>2232</v>
      </c>
      <c r="L560" s="3">
        <v>1383.8400000000001</v>
      </c>
    </row>
    <row r="561" spans="1:12" x14ac:dyDescent="0.25">
      <c r="A561" t="s">
        <v>26</v>
      </c>
      <c r="B561">
        <v>1197831</v>
      </c>
      <c r="C561" s="1">
        <v>44219</v>
      </c>
      <c r="D561" t="s">
        <v>52</v>
      </c>
      <c r="E561" t="s">
        <v>112</v>
      </c>
      <c r="F561" t="s">
        <v>113</v>
      </c>
      <c r="G561" t="s">
        <v>15</v>
      </c>
      <c r="H561" t="s">
        <v>22</v>
      </c>
      <c r="I561" s="3">
        <v>26</v>
      </c>
      <c r="J561" s="2">
        <v>123</v>
      </c>
      <c r="K561" s="3">
        <f t="shared" si="8"/>
        <v>3198</v>
      </c>
      <c r="L561" s="3">
        <v>1982.76</v>
      </c>
    </row>
    <row r="562" spans="1:12" x14ac:dyDescent="0.25">
      <c r="A562" t="s">
        <v>19</v>
      </c>
      <c r="B562">
        <v>1128299</v>
      </c>
      <c r="C562" s="1">
        <v>44219</v>
      </c>
      <c r="D562" t="s">
        <v>12</v>
      </c>
      <c r="E562" t="s">
        <v>66</v>
      </c>
      <c r="F562" t="s">
        <v>67</v>
      </c>
      <c r="G562" t="s">
        <v>15</v>
      </c>
      <c r="H562" t="s">
        <v>35</v>
      </c>
      <c r="I562" s="3">
        <v>31</v>
      </c>
      <c r="J562" s="2">
        <v>145</v>
      </c>
      <c r="K562" s="3">
        <f t="shared" si="8"/>
        <v>4495</v>
      </c>
      <c r="L562" s="3">
        <v>2741.9500000000003</v>
      </c>
    </row>
    <row r="563" spans="1:12" x14ac:dyDescent="0.25">
      <c r="A563" t="s">
        <v>19</v>
      </c>
      <c r="B563">
        <v>1128299</v>
      </c>
      <c r="C563" s="1">
        <v>44219</v>
      </c>
      <c r="D563" t="s">
        <v>12</v>
      </c>
      <c r="E563" t="s">
        <v>66</v>
      </c>
      <c r="F563" t="s">
        <v>67</v>
      </c>
      <c r="G563" t="s">
        <v>15</v>
      </c>
      <c r="H563" t="s">
        <v>38</v>
      </c>
      <c r="I563" s="3">
        <v>23</v>
      </c>
      <c r="J563" s="2">
        <v>136</v>
      </c>
      <c r="K563" s="3">
        <f t="shared" si="8"/>
        <v>3128</v>
      </c>
      <c r="L563" s="3">
        <v>1876.8000000000002</v>
      </c>
    </row>
    <row r="564" spans="1:12" x14ac:dyDescent="0.25">
      <c r="A564" t="s">
        <v>26</v>
      </c>
      <c r="B564">
        <v>1197831</v>
      </c>
      <c r="C564" s="1">
        <v>44219</v>
      </c>
      <c r="D564" t="s">
        <v>52</v>
      </c>
      <c r="E564" t="s">
        <v>112</v>
      </c>
      <c r="F564" t="s">
        <v>113</v>
      </c>
      <c r="G564" t="s">
        <v>15</v>
      </c>
      <c r="H564" t="s">
        <v>17</v>
      </c>
      <c r="I564" s="3">
        <v>18</v>
      </c>
      <c r="J564" s="2">
        <v>135</v>
      </c>
      <c r="K564" s="3">
        <f t="shared" si="8"/>
        <v>2430</v>
      </c>
      <c r="L564" s="3">
        <v>1458</v>
      </c>
    </row>
    <row r="565" spans="1:12" x14ac:dyDescent="0.25">
      <c r="A565" t="s">
        <v>11</v>
      </c>
      <c r="B565">
        <v>1197831</v>
      </c>
      <c r="C565" s="1">
        <v>44219</v>
      </c>
      <c r="D565" t="s">
        <v>52</v>
      </c>
      <c r="E565" t="s">
        <v>114</v>
      </c>
      <c r="F565" t="s">
        <v>115</v>
      </c>
      <c r="G565" t="s">
        <v>15</v>
      </c>
      <c r="H565" t="s">
        <v>22</v>
      </c>
      <c r="I565" s="3">
        <v>23</v>
      </c>
      <c r="J565" s="2">
        <v>91</v>
      </c>
      <c r="K565" s="3">
        <f t="shared" si="8"/>
        <v>2093</v>
      </c>
      <c r="L565" s="3">
        <v>1234.8699999999999</v>
      </c>
    </row>
    <row r="566" spans="1:12" x14ac:dyDescent="0.25">
      <c r="A566" t="s">
        <v>19</v>
      </c>
      <c r="B566">
        <v>1128299</v>
      </c>
      <c r="C566" s="1">
        <v>44219</v>
      </c>
      <c r="D566" t="s">
        <v>12</v>
      </c>
      <c r="E566" t="s">
        <v>66</v>
      </c>
      <c r="F566" t="s">
        <v>67</v>
      </c>
      <c r="G566" t="s">
        <v>15</v>
      </c>
      <c r="H566" t="s">
        <v>17</v>
      </c>
      <c r="I566" s="3">
        <v>30</v>
      </c>
      <c r="J566" s="2">
        <v>140</v>
      </c>
      <c r="K566" s="3">
        <f t="shared" si="8"/>
        <v>4200</v>
      </c>
      <c r="L566" s="3">
        <v>2394</v>
      </c>
    </row>
    <row r="567" spans="1:12" x14ac:dyDescent="0.25">
      <c r="A567" t="s">
        <v>26</v>
      </c>
      <c r="B567">
        <v>1197831</v>
      </c>
      <c r="C567" s="1">
        <v>44219</v>
      </c>
      <c r="D567" t="s">
        <v>52</v>
      </c>
      <c r="E567" t="s">
        <v>112</v>
      </c>
      <c r="F567" t="s">
        <v>113</v>
      </c>
      <c r="G567" t="s">
        <v>15</v>
      </c>
      <c r="H567" t="s">
        <v>16</v>
      </c>
      <c r="I567" s="3">
        <v>18</v>
      </c>
      <c r="J567" s="2">
        <v>158</v>
      </c>
      <c r="K567" s="3">
        <f t="shared" si="8"/>
        <v>2844</v>
      </c>
      <c r="L567" s="3">
        <v>1621.08</v>
      </c>
    </row>
    <row r="568" spans="1:12" x14ac:dyDescent="0.25">
      <c r="A568" t="s">
        <v>11</v>
      </c>
      <c r="B568">
        <v>1197831</v>
      </c>
      <c r="C568" s="1">
        <v>44219</v>
      </c>
      <c r="D568" t="s">
        <v>52</v>
      </c>
      <c r="E568" t="s">
        <v>114</v>
      </c>
      <c r="F568" t="s">
        <v>115</v>
      </c>
      <c r="G568" t="s">
        <v>15</v>
      </c>
      <c r="H568" t="s">
        <v>35</v>
      </c>
      <c r="I568" s="3">
        <v>10</v>
      </c>
      <c r="J568" s="2">
        <v>131</v>
      </c>
      <c r="K568" s="3">
        <f t="shared" si="8"/>
        <v>1310</v>
      </c>
      <c r="L568" s="3">
        <v>746.69999999999993</v>
      </c>
    </row>
    <row r="569" spans="1:12" x14ac:dyDescent="0.25">
      <c r="A569" t="s">
        <v>11</v>
      </c>
      <c r="B569">
        <v>1197831</v>
      </c>
      <c r="C569" s="1">
        <v>44219</v>
      </c>
      <c r="D569" t="s">
        <v>52</v>
      </c>
      <c r="E569" t="s">
        <v>114</v>
      </c>
      <c r="F569" t="s">
        <v>115</v>
      </c>
      <c r="G569" t="s">
        <v>15</v>
      </c>
      <c r="H569" t="s">
        <v>37</v>
      </c>
      <c r="I569" s="3">
        <v>13</v>
      </c>
      <c r="J569" s="2">
        <v>74</v>
      </c>
      <c r="K569" s="3">
        <f t="shared" si="8"/>
        <v>962</v>
      </c>
      <c r="L569" s="3">
        <v>548.33999999999992</v>
      </c>
    </row>
    <row r="570" spans="1:12" x14ac:dyDescent="0.25">
      <c r="A570" t="s">
        <v>26</v>
      </c>
      <c r="B570">
        <v>1197831</v>
      </c>
      <c r="C570" s="1">
        <v>44219</v>
      </c>
      <c r="D570" t="s">
        <v>52</v>
      </c>
      <c r="E570" t="s">
        <v>112</v>
      </c>
      <c r="F570" t="s">
        <v>113</v>
      </c>
      <c r="G570" t="s">
        <v>15</v>
      </c>
      <c r="H570" t="s">
        <v>38</v>
      </c>
      <c r="I570" s="3">
        <v>17</v>
      </c>
      <c r="J570" s="2">
        <v>215</v>
      </c>
      <c r="K570" s="3">
        <f t="shared" si="8"/>
        <v>3655</v>
      </c>
      <c r="L570" s="3">
        <v>2046.8</v>
      </c>
    </row>
    <row r="571" spans="1:12" x14ac:dyDescent="0.25">
      <c r="A571" t="s">
        <v>26</v>
      </c>
      <c r="B571">
        <v>1197831</v>
      </c>
      <c r="C571" s="1">
        <v>44219</v>
      </c>
      <c r="D571" t="s">
        <v>52</v>
      </c>
      <c r="E571" t="s">
        <v>112</v>
      </c>
      <c r="F571" t="s">
        <v>113</v>
      </c>
      <c r="G571" t="s">
        <v>15</v>
      </c>
      <c r="H571" t="s">
        <v>35</v>
      </c>
      <c r="I571" s="3">
        <v>11</v>
      </c>
      <c r="J571" s="2">
        <v>140</v>
      </c>
      <c r="K571" s="3">
        <f t="shared" si="8"/>
        <v>1540</v>
      </c>
      <c r="L571" s="3">
        <v>862.4</v>
      </c>
    </row>
    <row r="572" spans="1:12" x14ac:dyDescent="0.25">
      <c r="A572" t="s">
        <v>11</v>
      </c>
      <c r="B572">
        <v>1197831</v>
      </c>
      <c r="C572" s="1">
        <v>44219</v>
      </c>
      <c r="D572" t="s">
        <v>52</v>
      </c>
      <c r="E572" t="s">
        <v>114</v>
      </c>
      <c r="F572" t="s">
        <v>115</v>
      </c>
      <c r="G572" t="s">
        <v>41</v>
      </c>
      <c r="H572" t="s">
        <v>17</v>
      </c>
      <c r="I572" s="3">
        <v>25</v>
      </c>
      <c r="J572" s="2">
        <v>109</v>
      </c>
      <c r="K572" s="3">
        <f t="shared" si="8"/>
        <v>2725</v>
      </c>
      <c r="L572" s="3">
        <v>1498.7500000000002</v>
      </c>
    </row>
    <row r="573" spans="1:12" x14ac:dyDescent="0.25">
      <c r="A573" t="s">
        <v>19</v>
      </c>
      <c r="B573">
        <v>1128299</v>
      </c>
      <c r="C573" s="1">
        <v>44219</v>
      </c>
      <c r="D573" t="s">
        <v>12</v>
      </c>
      <c r="E573" t="s">
        <v>66</v>
      </c>
      <c r="F573" t="s">
        <v>67</v>
      </c>
      <c r="G573" t="s">
        <v>41</v>
      </c>
      <c r="H573" t="s">
        <v>22</v>
      </c>
      <c r="I573" s="3">
        <v>42</v>
      </c>
      <c r="J573" s="2">
        <v>63</v>
      </c>
      <c r="K573" s="3">
        <f t="shared" si="8"/>
        <v>2646</v>
      </c>
      <c r="L573" s="3">
        <v>1455.3000000000002</v>
      </c>
    </row>
    <row r="574" spans="1:12" x14ac:dyDescent="0.25">
      <c r="A574" t="s">
        <v>26</v>
      </c>
      <c r="B574">
        <v>1197831</v>
      </c>
      <c r="C574" s="1">
        <v>44219</v>
      </c>
      <c r="D574" t="s">
        <v>52</v>
      </c>
      <c r="E574" t="s">
        <v>112</v>
      </c>
      <c r="F574" t="s">
        <v>113</v>
      </c>
      <c r="G574" t="s">
        <v>41</v>
      </c>
      <c r="H574" t="s">
        <v>17</v>
      </c>
      <c r="I574" s="3">
        <v>25</v>
      </c>
      <c r="J574" s="2">
        <v>131</v>
      </c>
      <c r="K574" s="3">
        <f t="shared" si="8"/>
        <v>3275</v>
      </c>
      <c r="L574" s="3">
        <v>1801.2500000000002</v>
      </c>
    </row>
    <row r="575" spans="1:12" x14ac:dyDescent="0.25">
      <c r="A575" t="s">
        <v>11</v>
      </c>
      <c r="B575">
        <v>1197831</v>
      </c>
      <c r="C575" s="1">
        <v>44219</v>
      </c>
      <c r="D575" t="s">
        <v>52</v>
      </c>
      <c r="E575" t="s">
        <v>114</v>
      </c>
      <c r="F575" t="s">
        <v>115</v>
      </c>
      <c r="G575" t="s">
        <v>15</v>
      </c>
      <c r="H575" t="s">
        <v>16</v>
      </c>
      <c r="I575" s="3">
        <v>18</v>
      </c>
      <c r="J575" s="2">
        <v>124</v>
      </c>
      <c r="K575" s="3">
        <f t="shared" si="8"/>
        <v>2232</v>
      </c>
      <c r="L575" s="3">
        <v>1227.5999999999999</v>
      </c>
    </row>
    <row r="576" spans="1:12" x14ac:dyDescent="0.25">
      <c r="A576" t="s">
        <v>19</v>
      </c>
      <c r="B576">
        <v>1128299</v>
      </c>
      <c r="C576" s="1">
        <v>44219</v>
      </c>
      <c r="D576" t="s">
        <v>12</v>
      </c>
      <c r="E576" t="s">
        <v>66</v>
      </c>
      <c r="F576" t="s">
        <v>67</v>
      </c>
      <c r="G576" t="s">
        <v>41</v>
      </c>
      <c r="H576" t="s">
        <v>37</v>
      </c>
      <c r="I576" s="3">
        <v>38</v>
      </c>
      <c r="J576" s="2">
        <v>77</v>
      </c>
      <c r="K576" s="3">
        <f t="shared" si="8"/>
        <v>2926</v>
      </c>
      <c r="L576" s="3">
        <v>1580.0400000000002</v>
      </c>
    </row>
    <row r="577" spans="1:12" x14ac:dyDescent="0.25">
      <c r="A577" t="s">
        <v>26</v>
      </c>
      <c r="B577">
        <v>1197831</v>
      </c>
      <c r="C577" s="1">
        <v>44219</v>
      </c>
      <c r="D577" t="s">
        <v>52</v>
      </c>
      <c r="E577" t="s">
        <v>112</v>
      </c>
      <c r="F577" t="s">
        <v>113</v>
      </c>
      <c r="G577" t="s">
        <v>15</v>
      </c>
      <c r="H577" t="s">
        <v>37</v>
      </c>
      <c r="I577" s="3">
        <v>13</v>
      </c>
      <c r="J577" s="2">
        <v>102</v>
      </c>
      <c r="K577" s="3">
        <f t="shared" si="8"/>
        <v>1326</v>
      </c>
      <c r="L577" s="3">
        <v>702.78</v>
      </c>
    </row>
    <row r="578" spans="1:12" x14ac:dyDescent="0.25">
      <c r="A578" t="s">
        <v>11</v>
      </c>
      <c r="B578">
        <v>1197831</v>
      </c>
      <c r="C578" s="1">
        <v>44219</v>
      </c>
      <c r="D578" t="s">
        <v>52</v>
      </c>
      <c r="E578" t="s">
        <v>114</v>
      </c>
      <c r="F578" t="s">
        <v>115</v>
      </c>
      <c r="G578" t="s">
        <v>15</v>
      </c>
      <c r="H578" t="s">
        <v>38</v>
      </c>
      <c r="I578" s="3">
        <v>17</v>
      </c>
      <c r="J578" s="2">
        <v>178</v>
      </c>
      <c r="K578" s="3">
        <f t="shared" si="8"/>
        <v>3026</v>
      </c>
      <c r="L578" s="3">
        <v>1603.78</v>
      </c>
    </row>
    <row r="579" spans="1:12" x14ac:dyDescent="0.25">
      <c r="A579" t="s">
        <v>19</v>
      </c>
      <c r="B579">
        <v>1128299</v>
      </c>
      <c r="C579" s="1">
        <v>44219</v>
      </c>
      <c r="D579" t="s">
        <v>12</v>
      </c>
      <c r="E579" t="s">
        <v>66</v>
      </c>
      <c r="F579" t="s">
        <v>67</v>
      </c>
      <c r="G579" t="s">
        <v>41</v>
      </c>
      <c r="H579" t="s">
        <v>38</v>
      </c>
      <c r="I579" s="3">
        <v>29</v>
      </c>
      <c r="J579" s="2">
        <v>119</v>
      </c>
      <c r="K579" s="3">
        <f t="shared" ref="K579:K642" si="9">I579*J579</f>
        <v>3451</v>
      </c>
      <c r="L579" s="3">
        <v>1794.52</v>
      </c>
    </row>
    <row r="580" spans="1:12" x14ac:dyDescent="0.25">
      <c r="A580" t="s">
        <v>26</v>
      </c>
      <c r="B580">
        <v>1197831</v>
      </c>
      <c r="C580" s="1">
        <v>44219</v>
      </c>
      <c r="D580" t="s">
        <v>52</v>
      </c>
      <c r="E580" t="s">
        <v>112</v>
      </c>
      <c r="F580" t="s">
        <v>113</v>
      </c>
      <c r="G580" t="s">
        <v>41</v>
      </c>
      <c r="H580" t="s">
        <v>22</v>
      </c>
      <c r="I580" s="3">
        <v>34</v>
      </c>
      <c r="J580" s="2">
        <v>95</v>
      </c>
      <c r="K580" s="3">
        <f t="shared" si="9"/>
        <v>3230</v>
      </c>
      <c r="L580" s="3">
        <v>1679.6000000000001</v>
      </c>
    </row>
    <row r="581" spans="1:12" x14ac:dyDescent="0.25">
      <c r="A581" t="s">
        <v>19</v>
      </c>
      <c r="B581">
        <v>1128299</v>
      </c>
      <c r="C581" s="1">
        <v>44219</v>
      </c>
      <c r="D581" t="s">
        <v>12</v>
      </c>
      <c r="E581" t="s">
        <v>66</v>
      </c>
      <c r="F581" t="s">
        <v>67</v>
      </c>
      <c r="G581" t="s">
        <v>41</v>
      </c>
      <c r="H581" t="s">
        <v>35</v>
      </c>
      <c r="I581" s="3">
        <v>37</v>
      </c>
      <c r="J581" s="2">
        <v>106</v>
      </c>
      <c r="K581" s="3">
        <f t="shared" si="9"/>
        <v>3922</v>
      </c>
      <c r="L581" s="3">
        <v>2000.22</v>
      </c>
    </row>
    <row r="582" spans="1:12" x14ac:dyDescent="0.25">
      <c r="A582" t="s">
        <v>11</v>
      </c>
      <c r="B582">
        <v>1197831</v>
      </c>
      <c r="C582" s="1">
        <v>44219</v>
      </c>
      <c r="D582" t="s">
        <v>52</v>
      </c>
      <c r="E582" t="s">
        <v>114</v>
      </c>
      <c r="F582" t="s">
        <v>115</v>
      </c>
      <c r="G582" t="s">
        <v>41</v>
      </c>
      <c r="H582" t="s">
        <v>22</v>
      </c>
      <c r="I582" s="3">
        <v>33</v>
      </c>
      <c r="J582" s="2">
        <v>80</v>
      </c>
      <c r="K582" s="3">
        <f t="shared" si="9"/>
        <v>2640</v>
      </c>
      <c r="L582" s="3">
        <v>1320</v>
      </c>
    </row>
    <row r="583" spans="1:12" x14ac:dyDescent="0.25">
      <c r="A583" t="s">
        <v>19</v>
      </c>
      <c r="B583">
        <v>1128299</v>
      </c>
      <c r="C583" s="1">
        <v>44219</v>
      </c>
      <c r="D583" t="s">
        <v>12</v>
      </c>
      <c r="E583" t="s">
        <v>66</v>
      </c>
      <c r="F583" t="s">
        <v>67</v>
      </c>
      <c r="G583" t="s">
        <v>41</v>
      </c>
      <c r="H583" t="s">
        <v>17</v>
      </c>
      <c r="I583" s="3">
        <v>37</v>
      </c>
      <c r="J583" s="2">
        <v>106</v>
      </c>
      <c r="K583" s="3">
        <f t="shared" si="9"/>
        <v>3922</v>
      </c>
      <c r="L583" s="3">
        <v>1921.78</v>
      </c>
    </row>
    <row r="584" spans="1:12" x14ac:dyDescent="0.25">
      <c r="A584" t="s">
        <v>26</v>
      </c>
      <c r="B584">
        <v>1197831</v>
      </c>
      <c r="C584" s="1">
        <v>44219</v>
      </c>
      <c r="D584" t="s">
        <v>52</v>
      </c>
      <c r="E584" t="s">
        <v>112</v>
      </c>
      <c r="F584" t="s">
        <v>113</v>
      </c>
      <c r="G584" t="s">
        <v>41</v>
      </c>
      <c r="H584" t="s">
        <v>38</v>
      </c>
      <c r="I584" s="3">
        <v>24</v>
      </c>
      <c r="J584" s="2">
        <v>176</v>
      </c>
      <c r="K584" s="3">
        <f t="shared" si="9"/>
        <v>4224</v>
      </c>
      <c r="L584" s="3">
        <v>2069.7599999999998</v>
      </c>
    </row>
    <row r="585" spans="1:12" x14ac:dyDescent="0.25">
      <c r="A585" t="s">
        <v>26</v>
      </c>
      <c r="B585">
        <v>1197831</v>
      </c>
      <c r="C585" s="1">
        <v>44219</v>
      </c>
      <c r="D585" t="s">
        <v>52</v>
      </c>
      <c r="E585" t="s">
        <v>112</v>
      </c>
      <c r="F585" t="s">
        <v>113</v>
      </c>
      <c r="G585" t="s">
        <v>41</v>
      </c>
      <c r="H585" t="s">
        <v>35</v>
      </c>
      <c r="I585" s="3">
        <v>14</v>
      </c>
      <c r="J585" s="2">
        <v>117</v>
      </c>
      <c r="K585" s="3">
        <f t="shared" si="9"/>
        <v>1638</v>
      </c>
      <c r="L585" s="3">
        <v>802.62</v>
      </c>
    </row>
    <row r="586" spans="1:12" x14ac:dyDescent="0.25">
      <c r="A586" t="s">
        <v>26</v>
      </c>
      <c r="B586">
        <v>1197831</v>
      </c>
      <c r="C586" s="1">
        <v>44219</v>
      </c>
      <c r="D586" t="s">
        <v>52</v>
      </c>
      <c r="E586" t="s">
        <v>112</v>
      </c>
      <c r="F586" t="s">
        <v>113</v>
      </c>
      <c r="G586" t="s">
        <v>41</v>
      </c>
      <c r="H586" t="s">
        <v>16</v>
      </c>
      <c r="I586" s="3">
        <v>23</v>
      </c>
      <c r="J586" s="2">
        <v>122</v>
      </c>
      <c r="K586" s="3">
        <f t="shared" si="9"/>
        <v>2806</v>
      </c>
      <c r="L586" s="3">
        <v>1346.8799999999999</v>
      </c>
    </row>
    <row r="587" spans="1:12" x14ac:dyDescent="0.25">
      <c r="A587" t="s">
        <v>11</v>
      </c>
      <c r="B587">
        <v>1197831</v>
      </c>
      <c r="C587" s="1">
        <v>44219</v>
      </c>
      <c r="D587" t="s">
        <v>52</v>
      </c>
      <c r="E587" t="s">
        <v>114</v>
      </c>
      <c r="F587" t="s">
        <v>115</v>
      </c>
      <c r="G587" t="s">
        <v>41</v>
      </c>
      <c r="H587" t="s">
        <v>16</v>
      </c>
      <c r="I587" s="3">
        <v>23</v>
      </c>
      <c r="J587" s="2">
        <v>101</v>
      </c>
      <c r="K587" s="3">
        <f t="shared" si="9"/>
        <v>2323</v>
      </c>
      <c r="L587" s="3">
        <v>1115.04</v>
      </c>
    </row>
    <row r="588" spans="1:12" x14ac:dyDescent="0.25">
      <c r="A588" t="s">
        <v>26</v>
      </c>
      <c r="B588">
        <v>1197831</v>
      </c>
      <c r="C588" s="1">
        <v>44219</v>
      </c>
      <c r="D588" t="s">
        <v>52</v>
      </c>
      <c r="E588" t="s">
        <v>112</v>
      </c>
      <c r="F588" t="s">
        <v>113</v>
      </c>
      <c r="G588" t="s">
        <v>41</v>
      </c>
      <c r="H588" t="s">
        <v>37</v>
      </c>
      <c r="I588" s="3">
        <v>19</v>
      </c>
      <c r="J588" s="2">
        <v>78</v>
      </c>
      <c r="K588" s="3">
        <f t="shared" si="9"/>
        <v>1482</v>
      </c>
      <c r="L588" s="3">
        <v>696.54</v>
      </c>
    </row>
    <row r="589" spans="1:12" x14ac:dyDescent="0.25">
      <c r="A589" t="s">
        <v>11</v>
      </c>
      <c r="B589">
        <v>1197831</v>
      </c>
      <c r="C589" s="1">
        <v>44219</v>
      </c>
      <c r="D589" t="s">
        <v>52</v>
      </c>
      <c r="E589" t="s">
        <v>114</v>
      </c>
      <c r="F589" t="s">
        <v>115</v>
      </c>
      <c r="G589" t="s">
        <v>41</v>
      </c>
      <c r="H589" t="s">
        <v>38</v>
      </c>
      <c r="I589" s="3">
        <v>24</v>
      </c>
      <c r="J589" s="2">
        <v>167</v>
      </c>
      <c r="K589" s="3">
        <f t="shared" si="9"/>
        <v>4008</v>
      </c>
      <c r="L589" s="3">
        <v>1883.7599999999998</v>
      </c>
    </row>
    <row r="590" spans="1:12" x14ac:dyDescent="0.25">
      <c r="A590" t="s">
        <v>27</v>
      </c>
      <c r="B590">
        <v>1189833</v>
      </c>
      <c r="C590" s="1">
        <v>44219</v>
      </c>
      <c r="D590" t="s">
        <v>57</v>
      </c>
      <c r="E590" t="s">
        <v>58</v>
      </c>
      <c r="F590" t="s">
        <v>59</v>
      </c>
      <c r="G590" t="s">
        <v>41</v>
      </c>
      <c r="H590" t="s">
        <v>35</v>
      </c>
      <c r="I590" s="3">
        <v>44</v>
      </c>
      <c r="J590" s="2">
        <v>111</v>
      </c>
      <c r="K590" s="3">
        <f t="shared" si="9"/>
        <v>4884</v>
      </c>
      <c r="L590" s="3">
        <v>2197.7999999999997</v>
      </c>
    </row>
    <row r="591" spans="1:12" x14ac:dyDescent="0.25">
      <c r="A591" t="s">
        <v>11</v>
      </c>
      <c r="B591">
        <v>1197831</v>
      </c>
      <c r="C591" s="1">
        <v>44219</v>
      </c>
      <c r="D591" t="s">
        <v>52</v>
      </c>
      <c r="E591" t="s">
        <v>114</v>
      </c>
      <c r="F591" t="s">
        <v>115</v>
      </c>
      <c r="G591" t="s">
        <v>41</v>
      </c>
      <c r="H591" t="s">
        <v>35</v>
      </c>
      <c r="I591" s="3">
        <v>15</v>
      </c>
      <c r="J591" s="2">
        <v>98</v>
      </c>
      <c r="K591" s="3">
        <f t="shared" si="9"/>
        <v>1470</v>
      </c>
      <c r="L591" s="3">
        <v>661.49999999999989</v>
      </c>
    </row>
    <row r="592" spans="1:12" x14ac:dyDescent="0.25">
      <c r="A592" t="s">
        <v>11</v>
      </c>
      <c r="B592">
        <v>1197831</v>
      </c>
      <c r="C592" s="1">
        <v>44219</v>
      </c>
      <c r="D592" t="s">
        <v>52</v>
      </c>
      <c r="E592" t="s">
        <v>114</v>
      </c>
      <c r="F592" t="s">
        <v>115</v>
      </c>
      <c r="G592" t="s">
        <v>41</v>
      </c>
      <c r="H592" t="s">
        <v>37</v>
      </c>
      <c r="I592" s="3">
        <v>18</v>
      </c>
      <c r="J592" s="2">
        <v>65</v>
      </c>
      <c r="K592" s="3">
        <f t="shared" si="9"/>
        <v>1170</v>
      </c>
      <c r="L592" s="3">
        <v>526.5</v>
      </c>
    </row>
    <row r="593" spans="1:12" x14ac:dyDescent="0.25">
      <c r="A593" t="s">
        <v>19</v>
      </c>
      <c r="B593">
        <v>1185732</v>
      </c>
      <c r="C593" s="1">
        <v>44220</v>
      </c>
      <c r="D593" t="s">
        <v>29</v>
      </c>
      <c r="E593" t="s">
        <v>68</v>
      </c>
      <c r="F593" t="s">
        <v>69</v>
      </c>
      <c r="G593" t="s">
        <v>15</v>
      </c>
      <c r="H593" t="s">
        <v>35</v>
      </c>
      <c r="I593" s="3">
        <v>45</v>
      </c>
      <c r="J593" s="2">
        <v>300</v>
      </c>
      <c r="K593" s="3">
        <f t="shared" si="9"/>
        <v>13500</v>
      </c>
      <c r="L593" s="3">
        <v>10125</v>
      </c>
    </row>
    <row r="594" spans="1:12" x14ac:dyDescent="0.25">
      <c r="A594" t="s">
        <v>19</v>
      </c>
      <c r="B594">
        <v>1185732</v>
      </c>
      <c r="C594" s="1">
        <v>44220</v>
      </c>
      <c r="D594" t="s">
        <v>29</v>
      </c>
      <c r="E594" t="s">
        <v>68</v>
      </c>
      <c r="F594" t="s">
        <v>69</v>
      </c>
      <c r="G594" t="s">
        <v>15</v>
      </c>
      <c r="H594" t="s">
        <v>22</v>
      </c>
      <c r="I594" s="3">
        <v>65.000000000000014</v>
      </c>
      <c r="J594" s="2">
        <v>200</v>
      </c>
      <c r="K594" s="3">
        <f t="shared" si="9"/>
        <v>13000.000000000004</v>
      </c>
      <c r="L594" s="3">
        <v>9750.0000000000036</v>
      </c>
    </row>
    <row r="595" spans="1:12" x14ac:dyDescent="0.25">
      <c r="A595" t="s">
        <v>19</v>
      </c>
      <c r="B595">
        <v>1185732</v>
      </c>
      <c r="C595" s="1">
        <v>44220</v>
      </c>
      <c r="D595" t="s">
        <v>29</v>
      </c>
      <c r="E595" t="s">
        <v>68</v>
      </c>
      <c r="F595" t="s">
        <v>69</v>
      </c>
      <c r="G595" t="s">
        <v>15</v>
      </c>
      <c r="H595" t="s">
        <v>37</v>
      </c>
      <c r="I595" s="3">
        <v>49.999999999999993</v>
      </c>
      <c r="J595" s="2">
        <v>150</v>
      </c>
      <c r="K595" s="3">
        <f t="shared" si="9"/>
        <v>7499.9999999999991</v>
      </c>
      <c r="L595" s="3">
        <v>5624.9999999999982</v>
      </c>
    </row>
    <row r="596" spans="1:12" x14ac:dyDescent="0.25">
      <c r="A596" t="s">
        <v>36</v>
      </c>
      <c r="B596">
        <v>1185732</v>
      </c>
      <c r="C596" s="1">
        <v>44220</v>
      </c>
      <c r="D596" t="s">
        <v>12</v>
      </c>
      <c r="E596" t="s">
        <v>24</v>
      </c>
      <c r="F596" t="s">
        <v>25</v>
      </c>
      <c r="G596" t="s">
        <v>15</v>
      </c>
      <c r="H596" t="s">
        <v>16</v>
      </c>
      <c r="I596" s="3">
        <v>55.000000000000007</v>
      </c>
      <c r="J596" s="2">
        <v>300</v>
      </c>
      <c r="K596" s="3">
        <f t="shared" si="9"/>
        <v>16500.000000000004</v>
      </c>
      <c r="L596" s="3">
        <v>11550.000000000004</v>
      </c>
    </row>
    <row r="597" spans="1:12" x14ac:dyDescent="0.25">
      <c r="A597" t="s">
        <v>19</v>
      </c>
      <c r="B597">
        <v>1128299</v>
      </c>
      <c r="C597" s="1">
        <v>44220</v>
      </c>
      <c r="D597" t="s">
        <v>12</v>
      </c>
      <c r="E597" t="s">
        <v>62</v>
      </c>
      <c r="F597" t="s">
        <v>63</v>
      </c>
      <c r="G597" t="s">
        <v>18</v>
      </c>
      <c r="H597" t="s">
        <v>16</v>
      </c>
      <c r="I597" s="3">
        <v>40</v>
      </c>
      <c r="J597" s="2">
        <v>400</v>
      </c>
      <c r="K597" s="3">
        <f t="shared" si="9"/>
        <v>16000</v>
      </c>
      <c r="L597" s="3">
        <v>11200</v>
      </c>
    </row>
    <row r="598" spans="1:12" x14ac:dyDescent="0.25">
      <c r="A598" t="s">
        <v>11</v>
      </c>
      <c r="B598">
        <v>1128299</v>
      </c>
      <c r="C598" s="1">
        <v>44220</v>
      </c>
      <c r="D598" t="s">
        <v>12</v>
      </c>
      <c r="E598" t="s">
        <v>101</v>
      </c>
      <c r="F598" t="s">
        <v>102</v>
      </c>
      <c r="G598" t="s">
        <v>18</v>
      </c>
      <c r="H598" t="s">
        <v>16</v>
      </c>
      <c r="I598" s="3">
        <v>40</v>
      </c>
      <c r="J598" s="2">
        <v>400</v>
      </c>
      <c r="K598" s="3">
        <f t="shared" si="9"/>
        <v>16000</v>
      </c>
      <c r="L598" s="3">
        <v>11200</v>
      </c>
    </row>
    <row r="599" spans="1:12" x14ac:dyDescent="0.25">
      <c r="A599" t="s">
        <v>19</v>
      </c>
      <c r="B599">
        <v>1185732</v>
      </c>
      <c r="C599" s="1">
        <v>44220</v>
      </c>
      <c r="D599" t="s">
        <v>29</v>
      </c>
      <c r="E599" t="s">
        <v>105</v>
      </c>
      <c r="F599" t="s">
        <v>47</v>
      </c>
      <c r="G599" t="s">
        <v>18</v>
      </c>
      <c r="H599" t="s">
        <v>22</v>
      </c>
      <c r="I599" s="3">
        <v>45</v>
      </c>
      <c r="J599" s="2">
        <v>125</v>
      </c>
      <c r="K599" s="3">
        <f t="shared" si="9"/>
        <v>5625</v>
      </c>
      <c r="L599" s="3">
        <v>3937.5</v>
      </c>
    </row>
    <row r="600" spans="1:12" x14ac:dyDescent="0.25">
      <c r="A600" t="s">
        <v>19</v>
      </c>
      <c r="B600">
        <v>1185732</v>
      </c>
      <c r="C600" s="1">
        <v>44220</v>
      </c>
      <c r="D600" t="s">
        <v>29</v>
      </c>
      <c r="E600" t="s">
        <v>105</v>
      </c>
      <c r="F600" t="s">
        <v>47</v>
      </c>
      <c r="G600" t="s">
        <v>18</v>
      </c>
      <c r="H600" t="s">
        <v>16</v>
      </c>
      <c r="I600" s="3">
        <v>35</v>
      </c>
      <c r="J600" s="2">
        <v>225</v>
      </c>
      <c r="K600" s="3">
        <f t="shared" si="9"/>
        <v>7875</v>
      </c>
      <c r="L600" s="3">
        <v>5512.5</v>
      </c>
    </row>
    <row r="601" spans="1:12" x14ac:dyDescent="0.25">
      <c r="A601" t="s">
        <v>19</v>
      </c>
      <c r="B601">
        <v>1185732</v>
      </c>
      <c r="C601" s="1">
        <v>44220</v>
      </c>
      <c r="D601" t="s">
        <v>29</v>
      </c>
      <c r="E601" t="s">
        <v>68</v>
      </c>
      <c r="F601" t="s">
        <v>69</v>
      </c>
      <c r="G601" t="s">
        <v>15</v>
      </c>
      <c r="H601" t="s">
        <v>16</v>
      </c>
      <c r="I601" s="3">
        <v>55.000000000000007</v>
      </c>
      <c r="J601" s="2">
        <v>300</v>
      </c>
      <c r="K601" s="3">
        <f t="shared" si="9"/>
        <v>16500.000000000004</v>
      </c>
      <c r="L601" s="3">
        <v>11550.000000000004</v>
      </c>
    </row>
    <row r="602" spans="1:12" x14ac:dyDescent="0.25">
      <c r="A602" t="s">
        <v>11</v>
      </c>
      <c r="B602">
        <v>1128299</v>
      </c>
      <c r="C602" s="1">
        <v>44220</v>
      </c>
      <c r="D602" t="s">
        <v>12</v>
      </c>
      <c r="E602" t="s">
        <v>13</v>
      </c>
      <c r="F602" t="s">
        <v>14</v>
      </c>
      <c r="G602" t="s">
        <v>15</v>
      </c>
      <c r="H602" t="s">
        <v>38</v>
      </c>
      <c r="I602" s="3">
        <v>55.000000000000007</v>
      </c>
      <c r="J602" s="2">
        <v>925</v>
      </c>
      <c r="K602" s="3">
        <f t="shared" si="9"/>
        <v>50875.000000000007</v>
      </c>
      <c r="L602" s="3">
        <v>35612.5</v>
      </c>
    </row>
    <row r="603" spans="1:12" x14ac:dyDescent="0.25">
      <c r="A603" t="s">
        <v>19</v>
      </c>
      <c r="B603">
        <v>1185732</v>
      </c>
      <c r="C603" s="1">
        <v>44220</v>
      </c>
      <c r="D603" t="s">
        <v>29</v>
      </c>
      <c r="E603" t="s">
        <v>105</v>
      </c>
      <c r="F603" t="s">
        <v>47</v>
      </c>
      <c r="G603" t="s">
        <v>18</v>
      </c>
      <c r="H603" t="s">
        <v>35</v>
      </c>
      <c r="I603" s="3">
        <v>25.000000000000007</v>
      </c>
      <c r="J603" s="2">
        <v>225</v>
      </c>
      <c r="K603" s="3">
        <f t="shared" si="9"/>
        <v>5625.0000000000018</v>
      </c>
      <c r="L603" s="3">
        <v>3656.2500000000014</v>
      </c>
    </row>
    <row r="604" spans="1:12" x14ac:dyDescent="0.25">
      <c r="A604" t="s">
        <v>19</v>
      </c>
      <c r="B604">
        <v>1128299</v>
      </c>
      <c r="C604" s="1">
        <v>44220</v>
      </c>
      <c r="D604" t="s">
        <v>12</v>
      </c>
      <c r="E604" t="s">
        <v>62</v>
      </c>
      <c r="F604" t="s">
        <v>63</v>
      </c>
      <c r="G604" t="s">
        <v>18</v>
      </c>
      <c r="H604" t="s">
        <v>38</v>
      </c>
      <c r="I604" s="3">
        <v>30.000000000000004</v>
      </c>
      <c r="J604" s="2">
        <v>350</v>
      </c>
      <c r="K604" s="3">
        <f t="shared" si="9"/>
        <v>10500.000000000002</v>
      </c>
      <c r="L604" s="3">
        <v>6825.0000000000018</v>
      </c>
    </row>
    <row r="605" spans="1:12" x14ac:dyDescent="0.25">
      <c r="A605" t="s">
        <v>19</v>
      </c>
      <c r="B605">
        <v>1128299</v>
      </c>
      <c r="C605" s="1">
        <v>44220</v>
      </c>
      <c r="D605" t="s">
        <v>12</v>
      </c>
      <c r="E605" t="s">
        <v>62</v>
      </c>
      <c r="F605" t="s">
        <v>63</v>
      </c>
      <c r="G605" t="s">
        <v>18</v>
      </c>
      <c r="H605" t="s">
        <v>17</v>
      </c>
      <c r="I605" s="3">
        <v>40</v>
      </c>
      <c r="J605" s="2">
        <v>350</v>
      </c>
      <c r="K605" s="3">
        <f t="shared" si="9"/>
        <v>14000</v>
      </c>
      <c r="L605" s="3">
        <v>9100</v>
      </c>
    </row>
    <row r="606" spans="1:12" x14ac:dyDescent="0.25">
      <c r="A606" t="s">
        <v>19</v>
      </c>
      <c r="B606">
        <v>1128299</v>
      </c>
      <c r="C606" s="1">
        <v>44220</v>
      </c>
      <c r="D606" t="s">
        <v>12</v>
      </c>
      <c r="E606" t="s">
        <v>62</v>
      </c>
      <c r="F606" t="s">
        <v>63</v>
      </c>
      <c r="G606" t="s">
        <v>18</v>
      </c>
      <c r="H606" t="s">
        <v>35</v>
      </c>
      <c r="I606" s="3">
        <v>40</v>
      </c>
      <c r="J606" s="2">
        <v>350</v>
      </c>
      <c r="K606" s="3">
        <f t="shared" si="9"/>
        <v>14000</v>
      </c>
      <c r="L606" s="3">
        <v>9100</v>
      </c>
    </row>
    <row r="607" spans="1:12" x14ac:dyDescent="0.25">
      <c r="A607" t="s">
        <v>19</v>
      </c>
      <c r="B607">
        <v>1128299</v>
      </c>
      <c r="C607" s="1">
        <v>44220</v>
      </c>
      <c r="D607" t="s">
        <v>12</v>
      </c>
      <c r="E607" t="s">
        <v>62</v>
      </c>
      <c r="F607" t="s">
        <v>63</v>
      </c>
      <c r="G607" t="s">
        <v>18</v>
      </c>
      <c r="H607" t="s">
        <v>37</v>
      </c>
      <c r="I607" s="3">
        <v>40</v>
      </c>
      <c r="J607" s="2">
        <v>200</v>
      </c>
      <c r="K607" s="3">
        <f t="shared" si="9"/>
        <v>8000</v>
      </c>
      <c r="L607" s="3">
        <v>5200</v>
      </c>
    </row>
    <row r="608" spans="1:12" x14ac:dyDescent="0.25">
      <c r="A608" t="s">
        <v>11</v>
      </c>
      <c r="B608">
        <v>1128299</v>
      </c>
      <c r="C608" s="1">
        <v>44220</v>
      </c>
      <c r="D608" t="s">
        <v>12</v>
      </c>
      <c r="E608" t="s">
        <v>101</v>
      </c>
      <c r="F608" t="s">
        <v>102</v>
      </c>
      <c r="G608" t="s">
        <v>18</v>
      </c>
      <c r="H608" t="s">
        <v>38</v>
      </c>
      <c r="I608" s="3">
        <v>30.000000000000004</v>
      </c>
      <c r="J608" s="2">
        <v>350</v>
      </c>
      <c r="K608" s="3">
        <f t="shared" si="9"/>
        <v>10500.000000000002</v>
      </c>
      <c r="L608" s="3">
        <v>6825.0000000000018</v>
      </c>
    </row>
    <row r="609" spans="1:12" x14ac:dyDescent="0.25">
      <c r="A609" t="s">
        <v>11</v>
      </c>
      <c r="B609">
        <v>1128299</v>
      </c>
      <c r="C609" s="1">
        <v>44220</v>
      </c>
      <c r="D609" t="s">
        <v>12</v>
      </c>
      <c r="E609" t="s">
        <v>101</v>
      </c>
      <c r="F609" t="s">
        <v>102</v>
      </c>
      <c r="G609" t="s">
        <v>18</v>
      </c>
      <c r="H609" t="s">
        <v>17</v>
      </c>
      <c r="I609" s="3">
        <v>40</v>
      </c>
      <c r="J609" s="2">
        <v>350</v>
      </c>
      <c r="K609" s="3">
        <f t="shared" si="9"/>
        <v>14000</v>
      </c>
      <c r="L609" s="3">
        <v>9100</v>
      </c>
    </row>
    <row r="610" spans="1:12" x14ac:dyDescent="0.25">
      <c r="A610" t="s">
        <v>11</v>
      </c>
      <c r="B610">
        <v>1128299</v>
      </c>
      <c r="C610" s="1">
        <v>44220</v>
      </c>
      <c r="D610" t="s">
        <v>12</v>
      </c>
      <c r="E610" t="s">
        <v>101</v>
      </c>
      <c r="F610" t="s">
        <v>102</v>
      </c>
      <c r="G610" t="s">
        <v>18</v>
      </c>
      <c r="H610" t="s">
        <v>35</v>
      </c>
      <c r="I610" s="3">
        <v>40</v>
      </c>
      <c r="J610" s="2">
        <v>350</v>
      </c>
      <c r="K610" s="3">
        <f t="shared" si="9"/>
        <v>14000</v>
      </c>
      <c r="L610" s="3">
        <v>9100</v>
      </c>
    </row>
    <row r="611" spans="1:12" x14ac:dyDescent="0.25">
      <c r="A611" t="s">
        <v>11</v>
      </c>
      <c r="B611">
        <v>1128299</v>
      </c>
      <c r="C611" s="1">
        <v>44220</v>
      </c>
      <c r="D611" t="s">
        <v>12</v>
      </c>
      <c r="E611" t="s">
        <v>101</v>
      </c>
      <c r="F611" t="s">
        <v>102</v>
      </c>
      <c r="G611" t="s">
        <v>18</v>
      </c>
      <c r="H611" t="s">
        <v>37</v>
      </c>
      <c r="I611" s="3">
        <v>40</v>
      </c>
      <c r="J611" s="2">
        <v>200</v>
      </c>
      <c r="K611" s="3">
        <f t="shared" si="9"/>
        <v>8000</v>
      </c>
      <c r="L611" s="3">
        <v>5200</v>
      </c>
    </row>
    <row r="612" spans="1:12" x14ac:dyDescent="0.25">
      <c r="A612" t="s">
        <v>19</v>
      </c>
      <c r="B612">
        <v>1185732</v>
      </c>
      <c r="C612" s="1">
        <v>44220</v>
      </c>
      <c r="D612" t="s">
        <v>29</v>
      </c>
      <c r="E612" t="s">
        <v>105</v>
      </c>
      <c r="F612" t="s">
        <v>47</v>
      </c>
      <c r="G612" t="s">
        <v>18</v>
      </c>
      <c r="H612" t="s">
        <v>17</v>
      </c>
      <c r="I612" s="3">
        <v>35</v>
      </c>
      <c r="J612" s="2">
        <v>225</v>
      </c>
      <c r="K612" s="3">
        <f t="shared" si="9"/>
        <v>7875</v>
      </c>
      <c r="L612" s="3">
        <v>5118.75</v>
      </c>
    </row>
    <row r="613" spans="1:12" x14ac:dyDescent="0.25">
      <c r="A613" t="s">
        <v>19</v>
      </c>
      <c r="B613">
        <v>1185732</v>
      </c>
      <c r="C613" s="1">
        <v>44220</v>
      </c>
      <c r="D613" t="s">
        <v>29</v>
      </c>
      <c r="E613" t="s">
        <v>105</v>
      </c>
      <c r="F613" t="s">
        <v>47</v>
      </c>
      <c r="G613" t="s">
        <v>18</v>
      </c>
      <c r="H613" t="s">
        <v>37</v>
      </c>
      <c r="I613" s="3">
        <v>30</v>
      </c>
      <c r="J613" s="2">
        <v>75</v>
      </c>
      <c r="K613" s="3">
        <f t="shared" si="9"/>
        <v>2250</v>
      </c>
      <c r="L613" s="3">
        <v>1462.5</v>
      </c>
    </row>
    <row r="614" spans="1:12" x14ac:dyDescent="0.25">
      <c r="A614" t="s">
        <v>19</v>
      </c>
      <c r="B614">
        <v>1185732</v>
      </c>
      <c r="C614" s="1">
        <v>44220</v>
      </c>
      <c r="D614" t="s">
        <v>29</v>
      </c>
      <c r="E614" t="s">
        <v>68</v>
      </c>
      <c r="F614" t="s">
        <v>69</v>
      </c>
      <c r="G614" t="s">
        <v>15</v>
      </c>
      <c r="H614" t="s">
        <v>38</v>
      </c>
      <c r="I614" s="3">
        <v>55.000000000000007</v>
      </c>
      <c r="J614" s="2">
        <v>500</v>
      </c>
      <c r="K614" s="3">
        <f t="shared" si="9"/>
        <v>27500.000000000004</v>
      </c>
      <c r="L614" s="3">
        <v>17875.000000000004</v>
      </c>
    </row>
    <row r="615" spans="1:12" x14ac:dyDescent="0.25">
      <c r="A615" t="s">
        <v>19</v>
      </c>
      <c r="B615">
        <v>1185732</v>
      </c>
      <c r="C615" s="1">
        <v>44220</v>
      </c>
      <c r="D615" t="s">
        <v>29</v>
      </c>
      <c r="E615" t="s">
        <v>68</v>
      </c>
      <c r="F615" t="s">
        <v>69</v>
      </c>
      <c r="G615" t="s">
        <v>15</v>
      </c>
      <c r="H615" t="s">
        <v>17</v>
      </c>
      <c r="I615" s="3">
        <v>55.000000000000007</v>
      </c>
      <c r="J615" s="2">
        <v>300</v>
      </c>
      <c r="K615" s="3">
        <f t="shared" si="9"/>
        <v>16500.000000000004</v>
      </c>
      <c r="L615" s="3">
        <v>10725.000000000002</v>
      </c>
    </row>
    <row r="616" spans="1:12" x14ac:dyDescent="0.25">
      <c r="A616" t="s">
        <v>27</v>
      </c>
      <c r="B616">
        <v>1189833</v>
      </c>
      <c r="C616" s="1">
        <v>44220</v>
      </c>
      <c r="D616" t="s">
        <v>57</v>
      </c>
      <c r="E616" t="s">
        <v>58</v>
      </c>
      <c r="F616" t="s">
        <v>59</v>
      </c>
      <c r="G616" t="s">
        <v>15</v>
      </c>
      <c r="H616" t="s">
        <v>37</v>
      </c>
      <c r="I616" s="3">
        <v>40</v>
      </c>
      <c r="J616" s="2">
        <v>325</v>
      </c>
      <c r="K616" s="3">
        <f t="shared" si="9"/>
        <v>13000</v>
      </c>
      <c r="L616" s="3">
        <v>7800</v>
      </c>
    </row>
    <row r="617" spans="1:12" x14ac:dyDescent="0.25">
      <c r="A617" t="s">
        <v>19</v>
      </c>
      <c r="B617">
        <v>1128299</v>
      </c>
      <c r="C617" s="1">
        <v>44220</v>
      </c>
      <c r="D617" t="s">
        <v>12</v>
      </c>
      <c r="E617" t="s">
        <v>62</v>
      </c>
      <c r="F617" t="s">
        <v>63</v>
      </c>
      <c r="G617" t="s">
        <v>18</v>
      </c>
      <c r="H617" t="s">
        <v>22</v>
      </c>
      <c r="I617" s="3">
        <v>45.000000000000007</v>
      </c>
      <c r="J617" s="2">
        <v>150</v>
      </c>
      <c r="K617" s="3">
        <f t="shared" si="9"/>
        <v>6750.0000000000009</v>
      </c>
      <c r="L617" s="3">
        <v>4050.0000000000009</v>
      </c>
    </row>
    <row r="618" spans="1:12" x14ac:dyDescent="0.25">
      <c r="A618" t="s">
        <v>11</v>
      </c>
      <c r="B618">
        <v>1128299</v>
      </c>
      <c r="C618" s="1">
        <v>44220</v>
      </c>
      <c r="D618" t="s">
        <v>12</v>
      </c>
      <c r="E618" t="s">
        <v>101</v>
      </c>
      <c r="F618" t="s">
        <v>102</v>
      </c>
      <c r="G618" t="s">
        <v>18</v>
      </c>
      <c r="H618" t="s">
        <v>22</v>
      </c>
      <c r="I618" s="3">
        <v>45.000000000000007</v>
      </c>
      <c r="J618" s="2">
        <v>150</v>
      </c>
      <c r="K618" s="3">
        <f t="shared" si="9"/>
        <v>6750.0000000000009</v>
      </c>
      <c r="L618" s="3">
        <v>4050.0000000000009</v>
      </c>
    </row>
    <row r="619" spans="1:12" x14ac:dyDescent="0.25">
      <c r="A619" t="s">
        <v>19</v>
      </c>
      <c r="B619">
        <v>1185732</v>
      </c>
      <c r="C619" s="1">
        <v>44220</v>
      </c>
      <c r="D619" t="s">
        <v>29</v>
      </c>
      <c r="E619" t="s">
        <v>105</v>
      </c>
      <c r="F619" t="s">
        <v>47</v>
      </c>
      <c r="G619" t="s">
        <v>18</v>
      </c>
      <c r="H619" t="s">
        <v>38</v>
      </c>
      <c r="I619" s="3">
        <v>35</v>
      </c>
      <c r="J619" s="2">
        <v>425</v>
      </c>
      <c r="K619" s="3">
        <f t="shared" si="9"/>
        <v>14875</v>
      </c>
      <c r="L619" s="3">
        <v>8925</v>
      </c>
    </row>
    <row r="620" spans="1:12" x14ac:dyDescent="0.25">
      <c r="A620" t="s">
        <v>19</v>
      </c>
      <c r="B620">
        <v>1185732</v>
      </c>
      <c r="C620" s="1">
        <v>44220</v>
      </c>
      <c r="D620" t="s">
        <v>29</v>
      </c>
      <c r="E620" t="s">
        <v>68</v>
      </c>
      <c r="F620" t="s">
        <v>69</v>
      </c>
      <c r="G620" t="s">
        <v>15</v>
      </c>
      <c r="H620" t="s">
        <v>35</v>
      </c>
      <c r="I620" s="3">
        <v>35</v>
      </c>
      <c r="J620" s="2">
        <v>99</v>
      </c>
      <c r="K620" s="3">
        <f t="shared" si="9"/>
        <v>3465</v>
      </c>
      <c r="L620" s="3">
        <v>2529.4499999999998</v>
      </c>
    </row>
    <row r="621" spans="1:12" x14ac:dyDescent="0.25">
      <c r="A621" t="s">
        <v>19</v>
      </c>
      <c r="B621">
        <v>1185732</v>
      </c>
      <c r="C621" s="1">
        <v>44220</v>
      </c>
      <c r="D621" t="s">
        <v>29</v>
      </c>
      <c r="E621" t="s">
        <v>68</v>
      </c>
      <c r="F621" t="s">
        <v>69</v>
      </c>
      <c r="G621" t="s">
        <v>15</v>
      </c>
      <c r="H621" t="s">
        <v>37</v>
      </c>
      <c r="I621" s="3">
        <v>33</v>
      </c>
      <c r="J621" s="2">
        <v>51</v>
      </c>
      <c r="K621" s="3">
        <f t="shared" si="9"/>
        <v>1683</v>
      </c>
      <c r="L621" s="3">
        <v>1211.76</v>
      </c>
    </row>
    <row r="622" spans="1:12" x14ac:dyDescent="0.25">
      <c r="A622" t="s">
        <v>19</v>
      </c>
      <c r="B622">
        <v>1185732</v>
      </c>
      <c r="C622" s="1">
        <v>44220</v>
      </c>
      <c r="D622" t="s">
        <v>29</v>
      </c>
      <c r="E622" t="s">
        <v>68</v>
      </c>
      <c r="F622" t="s">
        <v>69</v>
      </c>
      <c r="G622" t="s">
        <v>15</v>
      </c>
      <c r="H622" t="s">
        <v>22</v>
      </c>
      <c r="I622" s="3">
        <v>50</v>
      </c>
      <c r="J622" s="2">
        <v>64</v>
      </c>
      <c r="K622" s="3">
        <f t="shared" si="9"/>
        <v>3200</v>
      </c>
      <c r="L622" s="3">
        <v>2304</v>
      </c>
    </row>
    <row r="623" spans="1:12" x14ac:dyDescent="0.25">
      <c r="A623" t="s">
        <v>19</v>
      </c>
      <c r="B623">
        <v>1185732</v>
      </c>
      <c r="C623" s="1">
        <v>44220</v>
      </c>
      <c r="D623" t="s">
        <v>29</v>
      </c>
      <c r="E623" t="s">
        <v>68</v>
      </c>
      <c r="F623" t="s">
        <v>69</v>
      </c>
      <c r="G623" t="s">
        <v>15</v>
      </c>
      <c r="H623" t="s">
        <v>16</v>
      </c>
      <c r="I623" s="3">
        <v>41</v>
      </c>
      <c r="J623" s="2">
        <v>105</v>
      </c>
      <c r="K623" s="3">
        <f t="shared" si="9"/>
        <v>4305</v>
      </c>
      <c r="L623" s="3">
        <v>2927.3999999999996</v>
      </c>
    </row>
    <row r="624" spans="1:12" x14ac:dyDescent="0.25">
      <c r="A624" t="s">
        <v>11</v>
      </c>
      <c r="B624">
        <v>1128299</v>
      </c>
      <c r="C624" s="1">
        <v>44220</v>
      </c>
      <c r="D624" t="s">
        <v>12</v>
      </c>
      <c r="E624" t="s">
        <v>101</v>
      </c>
      <c r="F624" t="s">
        <v>102</v>
      </c>
      <c r="G624" t="s">
        <v>15</v>
      </c>
      <c r="H624" t="s">
        <v>16</v>
      </c>
      <c r="I624" s="3">
        <v>28</v>
      </c>
      <c r="J624" s="2">
        <v>132</v>
      </c>
      <c r="K624" s="3">
        <f t="shared" si="9"/>
        <v>3696</v>
      </c>
      <c r="L624" s="3">
        <v>2439.36</v>
      </c>
    </row>
    <row r="625" spans="1:12" x14ac:dyDescent="0.25">
      <c r="A625" t="s">
        <v>19</v>
      </c>
      <c r="B625">
        <v>1185732</v>
      </c>
      <c r="C625" s="1">
        <v>44220</v>
      </c>
      <c r="D625" t="s">
        <v>29</v>
      </c>
      <c r="E625" t="s">
        <v>68</v>
      </c>
      <c r="F625" t="s">
        <v>69</v>
      </c>
      <c r="G625" t="s">
        <v>41</v>
      </c>
      <c r="H625" t="s">
        <v>35</v>
      </c>
      <c r="I625" s="3">
        <v>44</v>
      </c>
      <c r="J625" s="2">
        <v>90</v>
      </c>
      <c r="K625" s="3">
        <f t="shared" si="9"/>
        <v>3960</v>
      </c>
      <c r="L625" s="3">
        <v>2574</v>
      </c>
    </row>
    <row r="626" spans="1:12" x14ac:dyDescent="0.25">
      <c r="A626" t="s">
        <v>11</v>
      </c>
      <c r="B626">
        <v>1128299</v>
      </c>
      <c r="C626" s="1">
        <v>44220</v>
      </c>
      <c r="D626" t="s">
        <v>12</v>
      </c>
      <c r="E626" t="s">
        <v>13</v>
      </c>
      <c r="F626" t="s">
        <v>14</v>
      </c>
      <c r="G626" t="s">
        <v>15</v>
      </c>
      <c r="H626" t="s">
        <v>38</v>
      </c>
      <c r="I626" s="3">
        <v>40</v>
      </c>
      <c r="J626" s="2">
        <v>287</v>
      </c>
      <c r="K626" s="3">
        <f t="shared" si="9"/>
        <v>11480</v>
      </c>
      <c r="L626" s="3">
        <v>7462</v>
      </c>
    </row>
    <row r="627" spans="1:12" x14ac:dyDescent="0.25">
      <c r="A627" t="s">
        <v>19</v>
      </c>
      <c r="B627">
        <v>1185732</v>
      </c>
      <c r="C627" s="1">
        <v>44220</v>
      </c>
      <c r="D627" t="s">
        <v>29</v>
      </c>
      <c r="E627" t="s">
        <v>68</v>
      </c>
      <c r="F627" t="s">
        <v>69</v>
      </c>
      <c r="G627" t="s">
        <v>41</v>
      </c>
      <c r="H627" t="s">
        <v>37</v>
      </c>
      <c r="I627" s="3">
        <v>49</v>
      </c>
      <c r="J627" s="2">
        <v>39</v>
      </c>
      <c r="K627" s="3">
        <f t="shared" si="9"/>
        <v>1911</v>
      </c>
      <c r="L627" s="3">
        <v>1203.93</v>
      </c>
    </row>
    <row r="628" spans="1:12" x14ac:dyDescent="0.25">
      <c r="A628" t="s">
        <v>19</v>
      </c>
      <c r="B628">
        <v>1185732</v>
      </c>
      <c r="C628" s="1">
        <v>44220</v>
      </c>
      <c r="D628" t="s">
        <v>29</v>
      </c>
      <c r="E628" t="s">
        <v>68</v>
      </c>
      <c r="F628" t="s">
        <v>69</v>
      </c>
      <c r="G628" t="s">
        <v>41</v>
      </c>
      <c r="H628" t="s">
        <v>22</v>
      </c>
      <c r="I628" s="3">
        <v>60</v>
      </c>
      <c r="J628" s="2">
        <v>54</v>
      </c>
      <c r="K628" s="3">
        <f t="shared" si="9"/>
        <v>3240</v>
      </c>
      <c r="L628" s="3">
        <v>2041.2</v>
      </c>
    </row>
    <row r="629" spans="1:12" x14ac:dyDescent="0.25">
      <c r="A629" t="s">
        <v>11</v>
      </c>
      <c r="B629">
        <v>1128299</v>
      </c>
      <c r="C629" s="1">
        <v>44220</v>
      </c>
      <c r="D629" t="s">
        <v>12</v>
      </c>
      <c r="E629" t="s">
        <v>101</v>
      </c>
      <c r="F629" t="s">
        <v>102</v>
      </c>
      <c r="G629" t="s">
        <v>15</v>
      </c>
      <c r="H629" t="s">
        <v>38</v>
      </c>
      <c r="I629" s="3">
        <v>24</v>
      </c>
      <c r="J629" s="2">
        <v>109</v>
      </c>
      <c r="K629" s="3">
        <f t="shared" si="9"/>
        <v>2616</v>
      </c>
      <c r="L629" s="3">
        <v>1648.08</v>
      </c>
    </row>
    <row r="630" spans="1:12" x14ac:dyDescent="0.25">
      <c r="A630" t="s">
        <v>19</v>
      </c>
      <c r="B630">
        <v>1185732</v>
      </c>
      <c r="C630" s="1">
        <v>44220</v>
      </c>
      <c r="D630" t="s">
        <v>29</v>
      </c>
      <c r="E630" t="s">
        <v>68</v>
      </c>
      <c r="F630" t="s">
        <v>69</v>
      </c>
      <c r="G630" t="s">
        <v>15</v>
      </c>
      <c r="H630" t="s">
        <v>38</v>
      </c>
      <c r="I630" s="3">
        <v>36</v>
      </c>
      <c r="J630" s="2">
        <v>165</v>
      </c>
      <c r="K630" s="3">
        <f t="shared" si="9"/>
        <v>5940</v>
      </c>
      <c r="L630" s="3">
        <v>3742.2</v>
      </c>
    </row>
    <row r="631" spans="1:12" x14ac:dyDescent="0.25">
      <c r="A631" t="s">
        <v>11</v>
      </c>
      <c r="B631">
        <v>1128299</v>
      </c>
      <c r="C631" s="1">
        <v>44220</v>
      </c>
      <c r="D631" t="s">
        <v>12</v>
      </c>
      <c r="E631" t="s">
        <v>101</v>
      </c>
      <c r="F631" t="s">
        <v>102</v>
      </c>
      <c r="G631" t="s">
        <v>15</v>
      </c>
      <c r="H631" t="s">
        <v>37</v>
      </c>
      <c r="I631" s="3">
        <v>30</v>
      </c>
      <c r="J631" s="2">
        <v>68</v>
      </c>
      <c r="K631" s="3">
        <f t="shared" si="9"/>
        <v>2040</v>
      </c>
      <c r="L631" s="3">
        <v>1264.8</v>
      </c>
    </row>
    <row r="632" spans="1:12" x14ac:dyDescent="0.25">
      <c r="A632" t="s">
        <v>11</v>
      </c>
      <c r="B632">
        <v>1128299</v>
      </c>
      <c r="C632" s="1">
        <v>44220</v>
      </c>
      <c r="D632" t="s">
        <v>12</v>
      </c>
      <c r="E632" t="s">
        <v>101</v>
      </c>
      <c r="F632" t="s">
        <v>102</v>
      </c>
      <c r="G632" t="s">
        <v>15</v>
      </c>
      <c r="H632" t="s">
        <v>35</v>
      </c>
      <c r="I632" s="3">
        <v>31</v>
      </c>
      <c r="J632" s="2">
        <v>105</v>
      </c>
      <c r="K632" s="3">
        <f t="shared" si="9"/>
        <v>3255</v>
      </c>
      <c r="L632" s="3">
        <v>1985.5500000000002</v>
      </c>
    </row>
    <row r="633" spans="1:12" x14ac:dyDescent="0.25">
      <c r="A633" t="s">
        <v>19</v>
      </c>
      <c r="B633">
        <v>1185732</v>
      </c>
      <c r="C633" s="1">
        <v>44220</v>
      </c>
      <c r="D633" t="s">
        <v>29</v>
      </c>
      <c r="E633" t="s">
        <v>68</v>
      </c>
      <c r="F633" t="s">
        <v>69</v>
      </c>
      <c r="G633" t="s">
        <v>15</v>
      </c>
      <c r="H633" t="s">
        <v>17</v>
      </c>
      <c r="I633" s="3">
        <v>36</v>
      </c>
      <c r="J633" s="2">
        <v>93</v>
      </c>
      <c r="K633" s="3">
        <f t="shared" si="9"/>
        <v>3348</v>
      </c>
      <c r="L633" s="3">
        <v>2008.8</v>
      </c>
    </row>
    <row r="634" spans="1:12" x14ac:dyDescent="0.25">
      <c r="A634" t="s">
        <v>19</v>
      </c>
      <c r="B634">
        <v>1185732</v>
      </c>
      <c r="C634" s="1">
        <v>44220</v>
      </c>
      <c r="D634" t="s">
        <v>29</v>
      </c>
      <c r="E634" t="s">
        <v>105</v>
      </c>
      <c r="F634" t="s">
        <v>47</v>
      </c>
      <c r="G634" t="s">
        <v>41</v>
      </c>
      <c r="H634" t="s">
        <v>16</v>
      </c>
      <c r="I634" s="3">
        <v>33</v>
      </c>
      <c r="J634" s="2">
        <v>59</v>
      </c>
      <c r="K634" s="3">
        <f t="shared" si="9"/>
        <v>1947</v>
      </c>
      <c r="L634" s="3">
        <v>1168.1999999999998</v>
      </c>
    </row>
    <row r="635" spans="1:12" x14ac:dyDescent="0.25">
      <c r="A635" t="s">
        <v>11</v>
      </c>
      <c r="B635">
        <v>1128299</v>
      </c>
      <c r="C635" s="1">
        <v>44220</v>
      </c>
      <c r="D635" t="s">
        <v>12</v>
      </c>
      <c r="E635" t="s">
        <v>101</v>
      </c>
      <c r="F635" t="s">
        <v>102</v>
      </c>
      <c r="G635" t="s">
        <v>15</v>
      </c>
      <c r="H635" t="s">
        <v>17</v>
      </c>
      <c r="I635" s="3">
        <v>29</v>
      </c>
      <c r="J635" s="2">
        <v>123</v>
      </c>
      <c r="K635" s="3">
        <f t="shared" si="9"/>
        <v>3567</v>
      </c>
      <c r="L635" s="3">
        <v>2140.1999999999998</v>
      </c>
    </row>
    <row r="636" spans="1:12" x14ac:dyDescent="0.25">
      <c r="A636" t="s">
        <v>36</v>
      </c>
      <c r="B636">
        <v>1185732</v>
      </c>
      <c r="C636" s="1">
        <v>44220</v>
      </c>
      <c r="D636" t="s">
        <v>12</v>
      </c>
      <c r="E636" t="s">
        <v>24</v>
      </c>
      <c r="F636" t="s">
        <v>25</v>
      </c>
      <c r="G636" t="s">
        <v>41</v>
      </c>
      <c r="H636" t="s">
        <v>16</v>
      </c>
      <c r="I636" s="3">
        <v>52</v>
      </c>
      <c r="J636" s="2">
        <v>84</v>
      </c>
      <c r="K636" s="3">
        <f t="shared" si="9"/>
        <v>4368</v>
      </c>
      <c r="L636" s="3">
        <v>2577.12</v>
      </c>
    </row>
    <row r="637" spans="1:12" x14ac:dyDescent="0.25">
      <c r="A637" t="s">
        <v>11</v>
      </c>
      <c r="B637">
        <v>1128299</v>
      </c>
      <c r="C637" s="1">
        <v>44220</v>
      </c>
      <c r="D637" t="s">
        <v>12</v>
      </c>
      <c r="E637" t="s">
        <v>13</v>
      </c>
      <c r="F637" t="s">
        <v>14</v>
      </c>
      <c r="G637" t="s">
        <v>41</v>
      </c>
      <c r="H637" t="s">
        <v>38</v>
      </c>
      <c r="I637" s="3">
        <v>51</v>
      </c>
      <c r="J637" s="2">
        <v>241</v>
      </c>
      <c r="K637" s="3">
        <f t="shared" si="9"/>
        <v>12291</v>
      </c>
      <c r="L637" s="3">
        <v>7128.78</v>
      </c>
    </row>
    <row r="638" spans="1:12" x14ac:dyDescent="0.25">
      <c r="A638" t="s">
        <v>11</v>
      </c>
      <c r="B638">
        <v>1128299</v>
      </c>
      <c r="C638" s="1">
        <v>44220</v>
      </c>
      <c r="D638" t="s">
        <v>12</v>
      </c>
      <c r="E638" t="s">
        <v>101</v>
      </c>
      <c r="F638" t="s">
        <v>102</v>
      </c>
      <c r="G638" t="s">
        <v>41</v>
      </c>
      <c r="H638" t="s">
        <v>16</v>
      </c>
      <c r="I638" s="3">
        <v>39</v>
      </c>
      <c r="J638" s="2">
        <v>108</v>
      </c>
      <c r="K638" s="3">
        <f t="shared" si="9"/>
        <v>4212</v>
      </c>
      <c r="L638" s="3">
        <v>2400.84</v>
      </c>
    </row>
    <row r="639" spans="1:12" x14ac:dyDescent="0.25">
      <c r="A639" t="s">
        <v>19</v>
      </c>
      <c r="B639">
        <v>1185732</v>
      </c>
      <c r="C639" s="1">
        <v>44220</v>
      </c>
      <c r="D639" t="s">
        <v>29</v>
      </c>
      <c r="E639" t="s">
        <v>105</v>
      </c>
      <c r="F639" t="s">
        <v>47</v>
      </c>
      <c r="G639" t="s">
        <v>41</v>
      </c>
      <c r="H639" t="s">
        <v>22</v>
      </c>
      <c r="I639" s="3">
        <v>42</v>
      </c>
      <c r="J639" s="2">
        <v>33</v>
      </c>
      <c r="K639" s="3">
        <f t="shared" si="9"/>
        <v>1386</v>
      </c>
      <c r="L639" s="3">
        <v>790.02</v>
      </c>
    </row>
    <row r="640" spans="1:12" x14ac:dyDescent="0.25">
      <c r="A640" t="s">
        <v>19</v>
      </c>
      <c r="B640">
        <v>1185732</v>
      </c>
      <c r="C640" s="1">
        <v>44220</v>
      </c>
      <c r="D640" t="s">
        <v>29</v>
      </c>
      <c r="E640" t="s">
        <v>68</v>
      </c>
      <c r="F640" t="s">
        <v>69</v>
      </c>
      <c r="G640" t="s">
        <v>41</v>
      </c>
      <c r="H640" t="s">
        <v>16</v>
      </c>
      <c r="I640" s="3">
        <v>54</v>
      </c>
      <c r="J640" s="2">
        <v>78</v>
      </c>
      <c r="K640" s="3">
        <f t="shared" si="9"/>
        <v>4212</v>
      </c>
      <c r="L640" s="3">
        <v>2316.6000000000004</v>
      </c>
    </row>
    <row r="641" spans="1:12" x14ac:dyDescent="0.25">
      <c r="A641" t="s">
        <v>19</v>
      </c>
      <c r="B641">
        <v>1128299</v>
      </c>
      <c r="C641" s="1">
        <v>44220</v>
      </c>
      <c r="D641" t="s">
        <v>12</v>
      </c>
      <c r="E641" t="s">
        <v>62</v>
      </c>
      <c r="F641" t="s">
        <v>63</v>
      </c>
      <c r="G641" t="s">
        <v>41</v>
      </c>
      <c r="H641" t="s">
        <v>16</v>
      </c>
      <c r="I641" s="3">
        <v>38</v>
      </c>
      <c r="J641" s="2">
        <v>116</v>
      </c>
      <c r="K641" s="3">
        <f t="shared" si="9"/>
        <v>4408</v>
      </c>
      <c r="L641" s="3">
        <v>2424.4</v>
      </c>
    </row>
    <row r="642" spans="1:12" x14ac:dyDescent="0.25">
      <c r="A642" t="s">
        <v>19</v>
      </c>
      <c r="B642">
        <v>1128299</v>
      </c>
      <c r="C642" s="1">
        <v>44220</v>
      </c>
      <c r="D642" t="s">
        <v>12</v>
      </c>
      <c r="E642" t="s">
        <v>62</v>
      </c>
      <c r="F642" t="s">
        <v>63</v>
      </c>
      <c r="G642" t="s">
        <v>41</v>
      </c>
      <c r="H642" t="s">
        <v>35</v>
      </c>
      <c r="I642" s="3">
        <v>39</v>
      </c>
      <c r="J642" s="2">
        <v>91</v>
      </c>
      <c r="K642" s="3">
        <f t="shared" si="9"/>
        <v>3549</v>
      </c>
      <c r="L642" s="3">
        <v>1951.95</v>
      </c>
    </row>
    <row r="643" spans="1:12" x14ac:dyDescent="0.25">
      <c r="A643" t="s">
        <v>19</v>
      </c>
      <c r="B643">
        <v>1128299</v>
      </c>
      <c r="C643" s="1">
        <v>44220</v>
      </c>
      <c r="D643" t="s">
        <v>12</v>
      </c>
      <c r="E643" t="s">
        <v>62</v>
      </c>
      <c r="F643" t="s">
        <v>63</v>
      </c>
      <c r="G643" t="s">
        <v>41</v>
      </c>
      <c r="H643" t="s">
        <v>38</v>
      </c>
      <c r="I643" s="3">
        <v>29</v>
      </c>
      <c r="J643" s="2">
        <v>91</v>
      </c>
      <c r="K643" s="3">
        <f t="shared" ref="K643:K706" si="10">I643*J643</f>
        <v>2639</v>
      </c>
      <c r="L643" s="3">
        <v>1425.0600000000002</v>
      </c>
    </row>
    <row r="644" spans="1:12" x14ac:dyDescent="0.25">
      <c r="A644" t="s">
        <v>19</v>
      </c>
      <c r="B644">
        <v>1128299</v>
      </c>
      <c r="C644" s="1">
        <v>44220</v>
      </c>
      <c r="D644" t="s">
        <v>12</v>
      </c>
      <c r="E644" t="s">
        <v>62</v>
      </c>
      <c r="F644" t="s">
        <v>63</v>
      </c>
      <c r="G644" t="s">
        <v>41</v>
      </c>
      <c r="H644" t="s">
        <v>17</v>
      </c>
      <c r="I644" s="3">
        <v>36</v>
      </c>
      <c r="J644" s="2">
        <v>105</v>
      </c>
      <c r="K644" s="3">
        <f t="shared" si="10"/>
        <v>3780</v>
      </c>
      <c r="L644" s="3">
        <v>2041.2</v>
      </c>
    </row>
    <row r="645" spans="1:12" x14ac:dyDescent="0.25">
      <c r="A645" t="s">
        <v>11</v>
      </c>
      <c r="B645">
        <v>1128299</v>
      </c>
      <c r="C645" s="1">
        <v>44220</v>
      </c>
      <c r="D645" t="s">
        <v>12</v>
      </c>
      <c r="E645" t="s">
        <v>101</v>
      </c>
      <c r="F645" t="s">
        <v>102</v>
      </c>
      <c r="G645" t="s">
        <v>41</v>
      </c>
      <c r="H645" t="s">
        <v>37</v>
      </c>
      <c r="I645" s="3">
        <v>39</v>
      </c>
      <c r="J645" s="2">
        <v>58</v>
      </c>
      <c r="K645" s="3">
        <f t="shared" si="10"/>
        <v>2262</v>
      </c>
      <c r="L645" s="3">
        <v>1221.48</v>
      </c>
    </row>
    <row r="646" spans="1:12" x14ac:dyDescent="0.25">
      <c r="A646" t="s">
        <v>19</v>
      </c>
      <c r="B646">
        <v>1185732</v>
      </c>
      <c r="C646" s="1">
        <v>44220</v>
      </c>
      <c r="D646" t="s">
        <v>29</v>
      </c>
      <c r="E646" t="s">
        <v>105</v>
      </c>
      <c r="F646" t="s">
        <v>47</v>
      </c>
      <c r="G646" t="s">
        <v>41</v>
      </c>
      <c r="H646" t="s">
        <v>35</v>
      </c>
      <c r="I646" s="3">
        <v>24</v>
      </c>
      <c r="J646" s="2">
        <v>63</v>
      </c>
      <c r="K646" s="3">
        <f t="shared" si="10"/>
        <v>1512</v>
      </c>
      <c r="L646" s="3">
        <v>816.48</v>
      </c>
    </row>
    <row r="647" spans="1:12" x14ac:dyDescent="0.25">
      <c r="A647" t="s">
        <v>19</v>
      </c>
      <c r="B647">
        <v>1185732</v>
      </c>
      <c r="C647" s="1">
        <v>44220</v>
      </c>
      <c r="D647" t="s">
        <v>29</v>
      </c>
      <c r="E647" t="s">
        <v>68</v>
      </c>
      <c r="F647" t="s">
        <v>69</v>
      </c>
      <c r="G647" t="s">
        <v>41</v>
      </c>
      <c r="H647" t="s">
        <v>38</v>
      </c>
      <c r="I647" s="3">
        <v>52</v>
      </c>
      <c r="J647" s="2">
        <v>145</v>
      </c>
      <c r="K647" s="3">
        <f t="shared" si="10"/>
        <v>7540</v>
      </c>
      <c r="L647" s="3">
        <v>4071.6</v>
      </c>
    </row>
    <row r="648" spans="1:12" x14ac:dyDescent="0.25">
      <c r="A648" t="s">
        <v>11</v>
      </c>
      <c r="B648">
        <v>1128299</v>
      </c>
      <c r="C648" s="1">
        <v>44220</v>
      </c>
      <c r="D648" t="s">
        <v>12</v>
      </c>
      <c r="E648" t="s">
        <v>101</v>
      </c>
      <c r="F648" t="s">
        <v>102</v>
      </c>
      <c r="G648" t="s">
        <v>15</v>
      </c>
      <c r="H648" t="s">
        <v>22</v>
      </c>
      <c r="I648" s="3">
        <v>35</v>
      </c>
      <c r="J648" s="2">
        <v>53</v>
      </c>
      <c r="K648" s="3">
        <f t="shared" si="10"/>
        <v>1855</v>
      </c>
      <c r="L648" s="3">
        <v>1001.6999999999999</v>
      </c>
    </row>
    <row r="649" spans="1:12" x14ac:dyDescent="0.25">
      <c r="A649" t="s">
        <v>19</v>
      </c>
      <c r="B649">
        <v>1185732</v>
      </c>
      <c r="C649" s="1">
        <v>44220</v>
      </c>
      <c r="D649" t="s">
        <v>29</v>
      </c>
      <c r="E649" t="s">
        <v>105</v>
      </c>
      <c r="F649" t="s">
        <v>47</v>
      </c>
      <c r="G649" t="s">
        <v>41</v>
      </c>
      <c r="H649" t="s">
        <v>17</v>
      </c>
      <c r="I649" s="3">
        <v>34</v>
      </c>
      <c r="J649" s="2">
        <v>68</v>
      </c>
      <c r="K649" s="3">
        <f t="shared" si="10"/>
        <v>2312</v>
      </c>
      <c r="L649" s="3">
        <v>1225.3600000000001</v>
      </c>
    </row>
    <row r="650" spans="1:12" x14ac:dyDescent="0.25">
      <c r="A650" t="s">
        <v>19</v>
      </c>
      <c r="B650">
        <v>1185732</v>
      </c>
      <c r="C650" s="1">
        <v>44220</v>
      </c>
      <c r="D650" t="s">
        <v>29</v>
      </c>
      <c r="E650" t="s">
        <v>68</v>
      </c>
      <c r="F650" t="s">
        <v>69</v>
      </c>
      <c r="G650" t="s">
        <v>41</v>
      </c>
      <c r="H650" t="s">
        <v>17</v>
      </c>
      <c r="I650" s="3">
        <v>50</v>
      </c>
      <c r="J650" s="2">
        <v>84</v>
      </c>
      <c r="K650" s="3">
        <f t="shared" si="10"/>
        <v>4200</v>
      </c>
      <c r="L650" s="3">
        <v>2226</v>
      </c>
    </row>
    <row r="651" spans="1:12" x14ac:dyDescent="0.25">
      <c r="A651" t="s">
        <v>19</v>
      </c>
      <c r="B651">
        <v>1128299</v>
      </c>
      <c r="C651" s="1">
        <v>44220</v>
      </c>
      <c r="D651" t="s">
        <v>12</v>
      </c>
      <c r="E651" t="s">
        <v>62</v>
      </c>
      <c r="F651" t="s">
        <v>63</v>
      </c>
      <c r="G651" t="s">
        <v>41</v>
      </c>
      <c r="H651" t="s">
        <v>37</v>
      </c>
      <c r="I651" s="3">
        <v>38</v>
      </c>
      <c r="J651" s="2">
        <v>54</v>
      </c>
      <c r="K651" s="3">
        <f t="shared" si="10"/>
        <v>2052</v>
      </c>
      <c r="L651" s="3">
        <v>1087.56</v>
      </c>
    </row>
    <row r="652" spans="1:12" x14ac:dyDescent="0.25">
      <c r="A652" t="s">
        <v>11</v>
      </c>
      <c r="B652">
        <v>1128299</v>
      </c>
      <c r="C652" s="1">
        <v>44220</v>
      </c>
      <c r="D652" t="s">
        <v>12</v>
      </c>
      <c r="E652" t="s">
        <v>101</v>
      </c>
      <c r="F652" t="s">
        <v>102</v>
      </c>
      <c r="G652" t="s">
        <v>41</v>
      </c>
      <c r="H652" t="s">
        <v>38</v>
      </c>
      <c r="I652" s="3">
        <v>27</v>
      </c>
      <c r="J652" s="2">
        <v>98</v>
      </c>
      <c r="K652" s="3">
        <f t="shared" si="10"/>
        <v>2646</v>
      </c>
      <c r="L652" s="3">
        <v>1375.92</v>
      </c>
    </row>
    <row r="653" spans="1:12" x14ac:dyDescent="0.25">
      <c r="A653" t="s">
        <v>11</v>
      </c>
      <c r="B653">
        <v>1128299</v>
      </c>
      <c r="C653" s="1">
        <v>44220</v>
      </c>
      <c r="D653" t="s">
        <v>12</v>
      </c>
      <c r="E653" t="s">
        <v>101</v>
      </c>
      <c r="F653" t="s">
        <v>102</v>
      </c>
      <c r="G653" t="s">
        <v>41</v>
      </c>
      <c r="H653" t="s">
        <v>35</v>
      </c>
      <c r="I653" s="3">
        <v>39</v>
      </c>
      <c r="J653" s="2">
        <v>105</v>
      </c>
      <c r="K653" s="3">
        <f t="shared" si="10"/>
        <v>4095</v>
      </c>
      <c r="L653" s="3">
        <v>2129.4</v>
      </c>
    </row>
    <row r="654" spans="1:12" x14ac:dyDescent="0.25">
      <c r="A654" t="s">
        <v>11</v>
      </c>
      <c r="B654">
        <v>1128299</v>
      </c>
      <c r="C654" s="1">
        <v>44220</v>
      </c>
      <c r="D654" t="s">
        <v>12</v>
      </c>
      <c r="E654" t="s">
        <v>101</v>
      </c>
      <c r="F654" t="s">
        <v>102</v>
      </c>
      <c r="G654" t="s">
        <v>41</v>
      </c>
      <c r="H654" t="s">
        <v>17</v>
      </c>
      <c r="I654" s="3">
        <v>39</v>
      </c>
      <c r="J654" s="2">
        <v>105</v>
      </c>
      <c r="K654" s="3">
        <f t="shared" si="10"/>
        <v>4095</v>
      </c>
      <c r="L654" s="3">
        <v>2088.4499999999998</v>
      </c>
    </row>
    <row r="655" spans="1:12" x14ac:dyDescent="0.25">
      <c r="A655" t="s">
        <v>19</v>
      </c>
      <c r="B655">
        <v>1185732</v>
      </c>
      <c r="C655" s="1">
        <v>44220</v>
      </c>
      <c r="D655" t="s">
        <v>29</v>
      </c>
      <c r="E655" t="s">
        <v>105</v>
      </c>
      <c r="F655" t="s">
        <v>47</v>
      </c>
      <c r="G655" t="s">
        <v>41</v>
      </c>
      <c r="H655" t="s">
        <v>38</v>
      </c>
      <c r="I655" s="3">
        <v>33</v>
      </c>
      <c r="J655" s="2">
        <v>106</v>
      </c>
      <c r="K655" s="3">
        <f t="shared" si="10"/>
        <v>3498</v>
      </c>
      <c r="L655" s="3">
        <v>1749</v>
      </c>
    </row>
    <row r="656" spans="1:12" x14ac:dyDescent="0.25">
      <c r="A656" t="s">
        <v>19</v>
      </c>
      <c r="B656">
        <v>1185732</v>
      </c>
      <c r="C656" s="1">
        <v>44220</v>
      </c>
      <c r="D656" t="s">
        <v>29</v>
      </c>
      <c r="E656" t="s">
        <v>105</v>
      </c>
      <c r="F656" t="s">
        <v>47</v>
      </c>
      <c r="G656" t="s">
        <v>41</v>
      </c>
      <c r="H656" t="s">
        <v>37</v>
      </c>
      <c r="I656" s="3">
        <v>28</v>
      </c>
      <c r="J656" s="2">
        <v>20</v>
      </c>
      <c r="K656" s="3">
        <f t="shared" si="10"/>
        <v>560</v>
      </c>
      <c r="L656" s="3">
        <v>280</v>
      </c>
    </row>
    <row r="657" spans="1:12" x14ac:dyDescent="0.25">
      <c r="A657" t="s">
        <v>19</v>
      </c>
      <c r="B657">
        <v>1128299</v>
      </c>
      <c r="C657" s="1">
        <v>44220</v>
      </c>
      <c r="D657" t="s">
        <v>12</v>
      </c>
      <c r="E657" t="s">
        <v>62</v>
      </c>
      <c r="F657" t="s">
        <v>63</v>
      </c>
      <c r="G657" t="s">
        <v>41</v>
      </c>
      <c r="H657" t="s">
        <v>22</v>
      </c>
      <c r="I657" s="3">
        <v>42</v>
      </c>
      <c r="J657" s="2">
        <v>45</v>
      </c>
      <c r="K657" s="3">
        <f t="shared" si="10"/>
        <v>1890</v>
      </c>
      <c r="L657" s="3">
        <v>926.1</v>
      </c>
    </row>
    <row r="658" spans="1:12" x14ac:dyDescent="0.25">
      <c r="A658" t="s">
        <v>27</v>
      </c>
      <c r="B658">
        <v>1189833</v>
      </c>
      <c r="C658" s="1">
        <v>44220</v>
      </c>
      <c r="D658" t="s">
        <v>57</v>
      </c>
      <c r="E658" t="s">
        <v>58</v>
      </c>
      <c r="F658" t="s">
        <v>59</v>
      </c>
      <c r="G658" t="s">
        <v>41</v>
      </c>
      <c r="H658" t="s">
        <v>37</v>
      </c>
      <c r="I658" s="3">
        <v>38</v>
      </c>
      <c r="J658" s="2">
        <v>88</v>
      </c>
      <c r="K658" s="3">
        <f t="shared" si="10"/>
        <v>3344</v>
      </c>
      <c r="L658" s="3">
        <v>1571.6799999999998</v>
      </c>
    </row>
    <row r="659" spans="1:12" x14ac:dyDescent="0.25">
      <c r="A659" t="s">
        <v>11</v>
      </c>
      <c r="B659">
        <v>1128299</v>
      </c>
      <c r="C659" s="1">
        <v>44220</v>
      </c>
      <c r="D659" t="s">
        <v>12</v>
      </c>
      <c r="E659" t="s">
        <v>101</v>
      </c>
      <c r="F659" t="s">
        <v>102</v>
      </c>
      <c r="G659" t="s">
        <v>41</v>
      </c>
      <c r="H659" t="s">
        <v>22</v>
      </c>
      <c r="I659" s="3">
        <v>42</v>
      </c>
      <c r="J659" s="2">
        <v>44</v>
      </c>
      <c r="K659" s="3">
        <f t="shared" si="10"/>
        <v>1848</v>
      </c>
      <c r="L659" s="3">
        <v>831.59999999999991</v>
      </c>
    </row>
    <row r="660" spans="1:12" x14ac:dyDescent="0.25">
      <c r="A660" t="s">
        <v>11</v>
      </c>
      <c r="B660">
        <v>1128299</v>
      </c>
      <c r="C660" s="1">
        <v>44221</v>
      </c>
      <c r="D660" t="s">
        <v>12</v>
      </c>
      <c r="E660" t="s">
        <v>13</v>
      </c>
      <c r="F660" t="s">
        <v>14</v>
      </c>
      <c r="G660" t="s">
        <v>15</v>
      </c>
      <c r="H660" t="s">
        <v>17</v>
      </c>
      <c r="I660" s="3">
        <v>60.000000000000007</v>
      </c>
      <c r="J660" s="2">
        <v>925</v>
      </c>
      <c r="K660" s="3">
        <f t="shared" si="10"/>
        <v>55500.000000000007</v>
      </c>
      <c r="L660" s="3">
        <v>47175.000000000015</v>
      </c>
    </row>
    <row r="661" spans="1:12" x14ac:dyDescent="0.25">
      <c r="A661" t="s">
        <v>27</v>
      </c>
      <c r="B661">
        <v>1189833</v>
      </c>
      <c r="C661" s="1">
        <v>44221</v>
      </c>
      <c r="D661" t="s">
        <v>57</v>
      </c>
      <c r="E661" t="s">
        <v>58</v>
      </c>
      <c r="F661" t="s">
        <v>59</v>
      </c>
      <c r="G661" t="s">
        <v>15</v>
      </c>
      <c r="H661" t="s">
        <v>22</v>
      </c>
      <c r="I661" s="3">
        <v>45</v>
      </c>
      <c r="J661" s="2">
        <v>225</v>
      </c>
      <c r="K661" s="3">
        <f t="shared" si="10"/>
        <v>10125</v>
      </c>
      <c r="L661" s="3">
        <v>4049.9999999999991</v>
      </c>
    </row>
    <row r="662" spans="1:12" x14ac:dyDescent="0.25">
      <c r="A662" t="s">
        <v>11</v>
      </c>
      <c r="B662">
        <v>1128299</v>
      </c>
      <c r="C662" s="1">
        <v>44221</v>
      </c>
      <c r="D662" t="s">
        <v>12</v>
      </c>
      <c r="E662" t="s">
        <v>13</v>
      </c>
      <c r="F662" t="s">
        <v>14</v>
      </c>
      <c r="G662" t="s">
        <v>15</v>
      </c>
      <c r="H662" t="s">
        <v>17</v>
      </c>
      <c r="I662" s="3">
        <v>42</v>
      </c>
      <c r="J662" s="2">
        <v>287</v>
      </c>
      <c r="K662" s="3">
        <f t="shared" si="10"/>
        <v>12054</v>
      </c>
      <c r="L662" s="3">
        <v>10004.82</v>
      </c>
    </row>
    <row r="663" spans="1:12" x14ac:dyDescent="0.25">
      <c r="A663" t="s">
        <v>11</v>
      </c>
      <c r="B663">
        <v>1128299</v>
      </c>
      <c r="C663" s="1">
        <v>44221</v>
      </c>
      <c r="D663" t="s">
        <v>12</v>
      </c>
      <c r="E663" t="s">
        <v>13</v>
      </c>
      <c r="F663" t="s">
        <v>14</v>
      </c>
      <c r="G663" t="s">
        <v>41</v>
      </c>
      <c r="H663" t="s">
        <v>17</v>
      </c>
      <c r="I663" s="3">
        <v>56</v>
      </c>
      <c r="J663" s="2">
        <v>268</v>
      </c>
      <c r="K663" s="3">
        <f t="shared" si="10"/>
        <v>15008</v>
      </c>
      <c r="L663" s="3">
        <v>10805.759999999998</v>
      </c>
    </row>
    <row r="664" spans="1:12" x14ac:dyDescent="0.25">
      <c r="A664" t="s">
        <v>27</v>
      </c>
      <c r="B664">
        <v>1189833</v>
      </c>
      <c r="C664" s="1">
        <v>44221</v>
      </c>
      <c r="D664" t="s">
        <v>57</v>
      </c>
      <c r="E664" t="s">
        <v>58</v>
      </c>
      <c r="F664" t="s">
        <v>59</v>
      </c>
      <c r="G664" t="s">
        <v>41</v>
      </c>
      <c r="H664" t="s">
        <v>22</v>
      </c>
      <c r="I664" s="3">
        <v>41</v>
      </c>
      <c r="J664" s="2">
        <v>61</v>
      </c>
      <c r="K664" s="3">
        <f t="shared" si="10"/>
        <v>2501</v>
      </c>
      <c r="L664" s="3">
        <v>650.25999999999976</v>
      </c>
    </row>
    <row r="665" spans="1:12" x14ac:dyDescent="0.25">
      <c r="A665" t="s">
        <v>27</v>
      </c>
      <c r="B665">
        <v>1189833</v>
      </c>
      <c r="C665" s="1">
        <v>44222</v>
      </c>
      <c r="D665" t="s">
        <v>57</v>
      </c>
      <c r="E665" t="s">
        <v>58</v>
      </c>
      <c r="F665" t="s">
        <v>59</v>
      </c>
      <c r="G665" t="s">
        <v>15</v>
      </c>
      <c r="H665" t="s">
        <v>16</v>
      </c>
      <c r="I665" s="3">
        <v>60</v>
      </c>
      <c r="J665" s="2">
        <v>400</v>
      </c>
      <c r="K665" s="3">
        <f t="shared" si="10"/>
        <v>24000</v>
      </c>
      <c r="L665" s="3">
        <v>18000</v>
      </c>
    </row>
    <row r="666" spans="1:12" x14ac:dyDescent="0.25">
      <c r="A666" t="s">
        <v>27</v>
      </c>
      <c r="B666">
        <v>1128299</v>
      </c>
      <c r="C666" s="1">
        <v>44222</v>
      </c>
      <c r="D666" t="s">
        <v>12</v>
      </c>
      <c r="E666" t="s">
        <v>39</v>
      </c>
      <c r="F666" t="s">
        <v>40</v>
      </c>
      <c r="G666" t="s">
        <v>41</v>
      </c>
      <c r="H666" t="s">
        <v>16</v>
      </c>
      <c r="I666" s="3">
        <v>45</v>
      </c>
      <c r="J666" s="2">
        <v>475</v>
      </c>
      <c r="K666" s="3">
        <f t="shared" si="10"/>
        <v>21375</v>
      </c>
      <c r="L666" s="3">
        <v>16031.25</v>
      </c>
    </row>
    <row r="667" spans="1:12" x14ac:dyDescent="0.25">
      <c r="A667" t="s">
        <v>27</v>
      </c>
      <c r="B667">
        <v>1128299</v>
      </c>
      <c r="C667" s="1">
        <v>44222</v>
      </c>
      <c r="D667" t="s">
        <v>12</v>
      </c>
      <c r="E667" t="s">
        <v>39</v>
      </c>
      <c r="F667" t="s">
        <v>40</v>
      </c>
      <c r="G667" t="s">
        <v>41</v>
      </c>
      <c r="H667" t="s">
        <v>22</v>
      </c>
      <c r="I667" s="3">
        <v>50.000000000000014</v>
      </c>
      <c r="J667" s="2">
        <v>275</v>
      </c>
      <c r="K667" s="3">
        <f t="shared" si="10"/>
        <v>13750.000000000004</v>
      </c>
      <c r="L667" s="3">
        <v>9625.0000000000036</v>
      </c>
    </row>
    <row r="668" spans="1:12" x14ac:dyDescent="0.25">
      <c r="A668" t="s">
        <v>11</v>
      </c>
      <c r="B668">
        <v>1128299</v>
      </c>
      <c r="C668" s="1">
        <v>44222</v>
      </c>
      <c r="D668" t="s">
        <v>12</v>
      </c>
      <c r="E668" t="s">
        <v>13</v>
      </c>
      <c r="F668" t="s">
        <v>14</v>
      </c>
      <c r="G668" t="s">
        <v>15</v>
      </c>
      <c r="H668" t="s">
        <v>35</v>
      </c>
      <c r="I668" s="3">
        <v>55.000000000000007</v>
      </c>
      <c r="J668" s="2">
        <v>775</v>
      </c>
      <c r="K668" s="3">
        <f t="shared" si="10"/>
        <v>42625.000000000007</v>
      </c>
      <c r="L668" s="3">
        <v>29837.5</v>
      </c>
    </row>
    <row r="669" spans="1:12" x14ac:dyDescent="0.25">
      <c r="A669" t="s">
        <v>27</v>
      </c>
      <c r="B669">
        <v>1128299</v>
      </c>
      <c r="C669" s="1">
        <v>44222</v>
      </c>
      <c r="D669" t="s">
        <v>12</v>
      </c>
      <c r="E669" t="s">
        <v>39</v>
      </c>
      <c r="F669" t="s">
        <v>40</v>
      </c>
      <c r="G669" t="s">
        <v>41</v>
      </c>
      <c r="H669" t="s">
        <v>38</v>
      </c>
      <c r="I669" s="3">
        <v>34.999999999999993</v>
      </c>
      <c r="J669" s="2">
        <v>475</v>
      </c>
      <c r="K669" s="3">
        <f t="shared" si="10"/>
        <v>16624.999999999996</v>
      </c>
      <c r="L669" s="3">
        <v>10806.249999999998</v>
      </c>
    </row>
    <row r="670" spans="1:12" x14ac:dyDescent="0.25">
      <c r="A670" t="s">
        <v>27</v>
      </c>
      <c r="B670">
        <v>1128299</v>
      </c>
      <c r="C670" s="1">
        <v>44222</v>
      </c>
      <c r="D670" t="s">
        <v>12</v>
      </c>
      <c r="E670" t="s">
        <v>39</v>
      </c>
      <c r="F670" t="s">
        <v>40</v>
      </c>
      <c r="G670" t="s">
        <v>41</v>
      </c>
      <c r="H670" t="s">
        <v>35</v>
      </c>
      <c r="I670" s="3">
        <v>45</v>
      </c>
      <c r="J670" s="2">
        <v>475</v>
      </c>
      <c r="K670" s="3">
        <f t="shared" si="10"/>
        <v>21375</v>
      </c>
      <c r="L670" s="3">
        <v>13893.75</v>
      </c>
    </row>
    <row r="671" spans="1:12" x14ac:dyDescent="0.25">
      <c r="A671" t="s">
        <v>27</v>
      </c>
      <c r="B671">
        <v>1128299</v>
      </c>
      <c r="C671" s="1">
        <v>44222</v>
      </c>
      <c r="D671" t="s">
        <v>12</v>
      </c>
      <c r="E671" t="s">
        <v>39</v>
      </c>
      <c r="F671" t="s">
        <v>40</v>
      </c>
      <c r="G671" t="s">
        <v>41</v>
      </c>
      <c r="H671" t="s">
        <v>37</v>
      </c>
      <c r="I671" s="3">
        <v>45</v>
      </c>
      <c r="J671" s="2">
        <v>325</v>
      </c>
      <c r="K671" s="3">
        <f t="shared" si="10"/>
        <v>14625</v>
      </c>
      <c r="L671" s="3">
        <v>9506.25</v>
      </c>
    </row>
    <row r="672" spans="1:12" x14ac:dyDescent="0.25">
      <c r="A672" t="s">
        <v>27</v>
      </c>
      <c r="B672">
        <v>1128299</v>
      </c>
      <c r="C672" s="1">
        <v>44222</v>
      </c>
      <c r="D672" t="s">
        <v>12</v>
      </c>
      <c r="E672" t="s">
        <v>39</v>
      </c>
      <c r="F672" t="s">
        <v>40</v>
      </c>
      <c r="G672" t="s">
        <v>41</v>
      </c>
      <c r="H672" t="s">
        <v>17</v>
      </c>
      <c r="I672" s="3">
        <v>45</v>
      </c>
      <c r="J672" s="2">
        <v>475</v>
      </c>
      <c r="K672" s="3">
        <f t="shared" si="10"/>
        <v>21375</v>
      </c>
      <c r="L672" s="3">
        <v>12825</v>
      </c>
    </row>
    <row r="673" spans="1:12" x14ac:dyDescent="0.25">
      <c r="A673" t="s">
        <v>27</v>
      </c>
      <c r="B673">
        <v>1128299</v>
      </c>
      <c r="C673" s="1">
        <v>44222</v>
      </c>
      <c r="D673" t="s">
        <v>12</v>
      </c>
      <c r="E673" t="s">
        <v>39</v>
      </c>
      <c r="F673" t="s">
        <v>40</v>
      </c>
      <c r="G673" t="s">
        <v>15</v>
      </c>
      <c r="H673" t="s">
        <v>16</v>
      </c>
      <c r="I673" s="3">
        <v>36</v>
      </c>
      <c r="J673" s="2">
        <v>166</v>
      </c>
      <c r="K673" s="3">
        <f t="shared" si="10"/>
        <v>5976</v>
      </c>
      <c r="L673" s="3">
        <v>4362.4799999999996</v>
      </c>
    </row>
    <row r="674" spans="1:12" x14ac:dyDescent="0.25">
      <c r="A674" t="s">
        <v>11</v>
      </c>
      <c r="B674">
        <v>1128299</v>
      </c>
      <c r="C674" s="1">
        <v>44222</v>
      </c>
      <c r="D674" t="s">
        <v>12</v>
      </c>
      <c r="E674" t="s">
        <v>13</v>
      </c>
      <c r="F674" t="s">
        <v>14</v>
      </c>
      <c r="G674" t="s">
        <v>15</v>
      </c>
      <c r="H674" t="s">
        <v>35</v>
      </c>
      <c r="I674" s="3">
        <v>39</v>
      </c>
      <c r="J674" s="2">
        <v>248</v>
      </c>
      <c r="K674" s="3">
        <f t="shared" si="10"/>
        <v>9672</v>
      </c>
      <c r="L674" s="3">
        <v>6383.52</v>
      </c>
    </row>
    <row r="675" spans="1:12" x14ac:dyDescent="0.25">
      <c r="A675" t="s">
        <v>27</v>
      </c>
      <c r="B675">
        <v>1128299</v>
      </c>
      <c r="C675" s="1">
        <v>44222</v>
      </c>
      <c r="D675" t="s">
        <v>12</v>
      </c>
      <c r="E675" t="s">
        <v>39</v>
      </c>
      <c r="F675" t="s">
        <v>40</v>
      </c>
      <c r="G675" t="s">
        <v>41</v>
      </c>
      <c r="H675" t="s">
        <v>16</v>
      </c>
      <c r="I675" s="3">
        <v>42</v>
      </c>
      <c r="J675" s="2">
        <v>128</v>
      </c>
      <c r="K675" s="3">
        <f t="shared" si="10"/>
        <v>5376</v>
      </c>
      <c r="L675" s="3">
        <v>3440.6400000000003</v>
      </c>
    </row>
    <row r="676" spans="1:12" x14ac:dyDescent="0.25">
      <c r="A676" t="s">
        <v>27</v>
      </c>
      <c r="B676">
        <v>1128299</v>
      </c>
      <c r="C676" s="1">
        <v>44222</v>
      </c>
      <c r="D676" t="s">
        <v>12</v>
      </c>
      <c r="E676" t="s">
        <v>39</v>
      </c>
      <c r="F676" t="s">
        <v>40</v>
      </c>
      <c r="G676" t="s">
        <v>15</v>
      </c>
      <c r="H676" t="s">
        <v>22</v>
      </c>
      <c r="I676" s="3">
        <v>33</v>
      </c>
      <c r="J676" s="2">
        <v>94</v>
      </c>
      <c r="K676" s="3">
        <f t="shared" si="10"/>
        <v>3102</v>
      </c>
      <c r="L676" s="3">
        <v>1954.26</v>
      </c>
    </row>
    <row r="677" spans="1:12" x14ac:dyDescent="0.25">
      <c r="A677" t="s">
        <v>27</v>
      </c>
      <c r="B677">
        <v>1189833</v>
      </c>
      <c r="C677" s="1">
        <v>44222</v>
      </c>
      <c r="D677" t="s">
        <v>57</v>
      </c>
      <c r="E677" t="s">
        <v>58</v>
      </c>
      <c r="F677" t="s">
        <v>59</v>
      </c>
      <c r="G677" t="s">
        <v>41</v>
      </c>
      <c r="H677" t="s">
        <v>16</v>
      </c>
      <c r="I677" s="3">
        <v>59</v>
      </c>
      <c r="J677" s="2">
        <v>108</v>
      </c>
      <c r="K677" s="3">
        <f t="shared" si="10"/>
        <v>6372</v>
      </c>
      <c r="L677" s="3">
        <v>3950.64</v>
      </c>
    </row>
    <row r="678" spans="1:12" x14ac:dyDescent="0.25">
      <c r="A678" t="s">
        <v>27</v>
      </c>
      <c r="B678">
        <v>1128299</v>
      </c>
      <c r="C678" s="1">
        <v>44222</v>
      </c>
      <c r="D678" t="s">
        <v>12</v>
      </c>
      <c r="E678" t="s">
        <v>39</v>
      </c>
      <c r="F678" t="s">
        <v>40</v>
      </c>
      <c r="G678" t="s">
        <v>15</v>
      </c>
      <c r="H678" t="s">
        <v>37</v>
      </c>
      <c r="I678" s="3">
        <v>30</v>
      </c>
      <c r="J678" s="2">
        <v>101</v>
      </c>
      <c r="K678" s="3">
        <f t="shared" si="10"/>
        <v>3030</v>
      </c>
      <c r="L678" s="3">
        <v>1878.6</v>
      </c>
    </row>
    <row r="679" spans="1:12" x14ac:dyDescent="0.25">
      <c r="A679" t="s">
        <v>27</v>
      </c>
      <c r="B679">
        <v>1128299</v>
      </c>
      <c r="C679" s="1">
        <v>44222</v>
      </c>
      <c r="D679" t="s">
        <v>12</v>
      </c>
      <c r="E679" t="s">
        <v>39</v>
      </c>
      <c r="F679" t="s">
        <v>40</v>
      </c>
      <c r="G679" t="s">
        <v>15</v>
      </c>
      <c r="H679" t="s">
        <v>35</v>
      </c>
      <c r="I679" s="3">
        <v>32</v>
      </c>
      <c r="J679" s="2">
        <v>157</v>
      </c>
      <c r="K679" s="3">
        <f t="shared" si="10"/>
        <v>5024</v>
      </c>
      <c r="L679" s="3">
        <v>3064.6400000000003</v>
      </c>
    </row>
    <row r="680" spans="1:12" x14ac:dyDescent="0.25">
      <c r="A680" t="s">
        <v>11</v>
      </c>
      <c r="B680">
        <v>1128299</v>
      </c>
      <c r="C680" s="1">
        <v>44222</v>
      </c>
      <c r="D680" t="s">
        <v>12</v>
      </c>
      <c r="E680" t="s">
        <v>13</v>
      </c>
      <c r="F680" t="s">
        <v>14</v>
      </c>
      <c r="G680" t="s">
        <v>41</v>
      </c>
      <c r="H680" t="s">
        <v>35</v>
      </c>
      <c r="I680" s="3">
        <v>52</v>
      </c>
      <c r="J680" s="2">
        <v>225</v>
      </c>
      <c r="K680" s="3">
        <f t="shared" si="10"/>
        <v>11700</v>
      </c>
      <c r="L680" s="3">
        <v>7020</v>
      </c>
    </row>
    <row r="681" spans="1:12" x14ac:dyDescent="0.25">
      <c r="A681" t="s">
        <v>27</v>
      </c>
      <c r="B681">
        <v>1128299</v>
      </c>
      <c r="C681" s="1">
        <v>44222</v>
      </c>
      <c r="D681" t="s">
        <v>12</v>
      </c>
      <c r="E681" t="s">
        <v>39</v>
      </c>
      <c r="F681" t="s">
        <v>40</v>
      </c>
      <c r="G681" t="s">
        <v>41</v>
      </c>
      <c r="H681" t="s">
        <v>22</v>
      </c>
      <c r="I681" s="3">
        <v>45</v>
      </c>
      <c r="J681" s="2">
        <v>80</v>
      </c>
      <c r="K681" s="3">
        <f t="shared" si="10"/>
        <v>3600</v>
      </c>
      <c r="L681" s="3">
        <v>2124</v>
      </c>
    </row>
    <row r="682" spans="1:12" x14ac:dyDescent="0.25">
      <c r="A682" t="s">
        <v>27</v>
      </c>
      <c r="B682">
        <v>1128299</v>
      </c>
      <c r="C682" s="1">
        <v>44222</v>
      </c>
      <c r="D682" t="s">
        <v>12</v>
      </c>
      <c r="E682" t="s">
        <v>39</v>
      </c>
      <c r="F682" t="s">
        <v>40</v>
      </c>
      <c r="G682" t="s">
        <v>15</v>
      </c>
      <c r="H682" t="s">
        <v>38</v>
      </c>
      <c r="I682" s="3">
        <v>27</v>
      </c>
      <c r="J682" s="2">
        <v>152</v>
      </c>
      <c r="K682" s="3">
        <f t="shared" si="10"/>
        <v>4104</v>
      </c>
      <c r="L682" s="3">
        <v>2421.36</v>
      </c>
    </row>
    <row r="683" spans="1:12" x14ac:dyDescent="0.25">
      <c r="A683" t="s">
        <v>27</v>
      </c>
      <c r="B683">
        <v>1128299</v>
      </c>
      <c r="C683" s="1">
        <v>44222</v>
      </c>
      <c r="D683" t="s">
        <v>12</v>
      </c>
      <c r="E683" t="s">
        <v>39</v>
      </c>
      <c r="F683" t="s">
        <v>40</v>
      </c>
      <c r="G683" t="s">
        <v>41</v>
      </c>
      <c r="H683" t="s">
        <v>35</v>
      </c>
      <c r="I683" s="3">
        <v>42</v>
      </c>
      <c r="J683" s="2">
        <v>138</v>
      </c>
      <c r="K683" s="3">
        <f t="shared" si="10"/>
        <v>5796</v>
      </c>
      <c r="L683" s="3">
        <v>3129.84</v>
      </c>
    </row>
    <row r="684" spans="1:12" x14ac:dyDescent="0.25">
      <c r="A684" t="s">
        <v>27</v>
      </c>
      <c r="B684">
        <v>1128299</v>
      </c>
      <c r="C684" s="1">
        <v>44222</v>
      </c>
      <c r="D684" t="s">
        <v>12</v>
      </c>
      <c r="E684" t="s">
        <v>39</v>
      </c>
      <c r="F684" t="s">
        <v>40</v>
      </c>
      <c r="G684" t="s">
        <v>15</v>
      </c>
      <c r="H684" t="s">
        <v>17</v>
      </c>
      <c r="I684" s="3">
        <v>30</v>
      </c>
      <c r="J684" s="2">
        <v>147</v>
      </c>
      <c r="K684" s="3">
        <f t="shared" si="10"/>
        <v>4410</v>
      </c>
      <c r="L684" s="3">
        <v>2337.2999999999997</v>
      </c>
    </row>
    <row r="685" spans="1:12" x14ac:dyDescent="0.25">
      <c r="A685" t="s">
        <v>27</v>
      </c>
      <c r="B685">
        <v>1128299</v>
      </c>
      <c r="C685" s="1">
        <v>44222</v>
      </c>
      <c r="D685" t="s">
        <v>12</v>
      </c>
      <c r="E685" t="s">
        <v>39</v>
      </c>
      <c r="F685" t="s">
        <v>40</v>
      </c>
      <c r="G685" t="s">
        <v>41</v>
      </c>
      <c r="H685" t="s">
        <v>37</v>
      </c>
      <c r="I685" s="3">
        <v>43</v>
      </c>
      <c r="J685" s="2">
        <v>85</v>
      </c>
      <c r="K685" s="3">
        <f t="shared" si="10"/>
        <v>3655</v>
      </c>
      <c r="L685" s="3">
        <v>1864.05</v>
      </c>
    </row>
    <row r="686" spans="1:12" x14ac:dyDescent="0.25">
      <c r="A686" t="s">
        <v>27</v>
      </c>
      <c r="B686">
        <v>1128299</v>
      </c>
      <c r="C686" s="1">
        <v>44222</v>
      </c>
      <c r="D686" t="s">
        <v>12</v>
      </c>
      <c r="E686" t="s">
        <v>39</v>
      </c>
      <c r="F686" t="s">
        <v>40</v>
      </c>
      <c r="G686" t="s">
        <v>41</v>
      </c>
      <c r="H686" t="s">
        <v>38</v>
      </c>
      <c r="I686" s="3">
        <v>33</v>
      </c>
      <c r="J686" s="2">
        <v>133</v>
      </c>
      <c r="K686" s="3">
        <f t="shared" si="10"/>
        <v>4389</v>
      </c>
      <c r="L686" s="3">
        <v>2238.39</v>
      </c>
    </row>
    <row r="687" spans="1:12" x14ac:dyDescent="0.25">
      <c r="A687" t="s">
        <v>27</v>
      </c>
      <c r="B687">
        <v>1128299</v>
      </c>
      <c r="C687" s="1">
        <v>44222</v>
      </c>
      <c r="D687" t="s">
        <v>12</v>
      </c>
      <c r="E687" t="s">
        <v>39</v>
      </c>
      <c r="F687" t="s">
        <v>40</v>
      </c>
      <c r="G687" t="s">
        <v>41</v>
      </c>
      <c r="H687" t="s">
        <v>17</v>
      </c>
      <c r="I687" s="3">
        <v>42</v>
      </c>
      <c r="J687" s="2">
        <v>138</v>
      </c>
      <c r="K687" s="3">
        <f t="shared" si="10"/>
        <v>5796</v>
      </c>
      <c r="L687" s="3">
        <v>2724.12</v>
      </c>
    </row>
    <row r="688" spans="1:12" x14ac:dyDescent="0.25">
      <c r="A688" t="s">
        <v>11</v>
      </c>
      <c r="B688">
        <v>1128299</v>
      </c>
      <c r="C688" s="1">
        <v>44223</v>
      </c>
      <c r="D688" t="s">
        <v>12</v>
      </c>
      <c r="E688" t="s">
        <v>13</v>
      </c>
      <c r="F688" t="s">
        <v>14</v>
      </c>
      <c r="G688" t="s">
        <v>15</v>
      </c>
      <c r="H688" t="s">
        <v>37</v>
      </c>
      <c r="I688" s="3">
        <v>55.000000000000007</v>
      </c>
      <c r="J688" s="2">
        <v>725</v>
      </c>
      <c r="K688" s="3">
        <f t="shared" si="10"/>
        <v>39875.000000000007</v>
      </c>
      <c r="L688" s="3">
        <v>29906.250000000007</v>
      </c>
    </row>
    <row r="689" spans="1:12" x14ac:dyDescent="0.25">
      <c r="A689" t="s">
        <v>27</v>
      </c>
      <c r="B689">
        <v>1189833</v>
      </c>
      <c r="C689" s="1">
        <v>44223</v>
      </c>
      <c r="D689" t="s">
        <v>57</v>
      </c>
      <c r="E689" t="s">
        <v>58</v>
      </c>
      <c r="F689" t="s">
        <v>59</v>
      </c>
      <c r="G689" t="s">
        <v>15</v>
      </c>
      <c r="H689" t="s">
        <v>38</v>
      </c>
      <c r="I689" s="3">
        <v>40</v>
      </c>
      <c r="J689" s="2">
        <v>675</v>
      </c>
      <c r="K689" s="3">
        <f t="shared" si="10"/>
        <v>27000</v>
      </c>
      <c r="L689" s="3">
        <v>14850</v>
      </c>
    </row>
    <row r="690" spans="1:12" x14ac:dyDescent="0.25">
      <c r="A690" t="s">
        <v>11</v>
      </c>
      <c r="B690">
        <v>1128299</v>
      </c>
      <c r="C690" s="1">
        <v>44223</v>
      </c>
      <c r="D690" t="s">
        <v>12</v>
      </c>
      <c r="E690" t="s">
        <v>13</v>
      </c>
      <c r="F690" t="s">
        <v>14</v>
      </c>
      <c r="G690" t="s">
        <v>15</v>
      </c>
      <c r="H690" t="s">
        <v>37</v>
      </c>
      <c r="I690" s="3">
        <v>39</v>
      </c>
      <c r="J690" s="2">
        <v>247</v>
      </c>
      <c r="K690" s="3">
        <f t="shared" si="10"/>
        <v>9633</v>
      </c>
      <c r="L690" s="3">
        <v>7032.09</v>
      </c>
    </row>
    <row r="691" spans="1:12" x14ac:dyDescent="0.25">
      <c r="A691" t="s">
        <v>11</v>
      </c>
      <c r="B691">
        <v>1128299</v>
      </c>
      <c r="C691" s="1">
        <v>44223</v>
      </c>
      <c r="D691" t="s">
        <v>12</v>
      </c>
      <c r="E691" t="s">
        <v>13</v>
      </c>
      <c r="F691" t="s">
        <v>14</v>
      </c>
      <c r="G691" t="s">
        <v>41</v>
      </c>
      <c r="H691" t="s">
        <v>37</v>
      </c>
      <c r="I691" s="3">
        <v>53</v>
      </c>
      <c r="J691" s="2">
        <v>203</v>
      </c>
      <c r="K691" s="3">
        <f t="shared" si="10"/>
        <v>10759</v>
      </c>
      <c r="L691" s="3">
        <v>6993.35</v>
      </c>
    </row>
    <row r="692" spans="1:12" x14ac:dyDescent="0.25">
      <c r="A692" t="s">
        <v>27</v>
      </c>
      <c r="B692">
        <v>1189833</v>
      </c>
      <c r="C692" s="1">
        <v>44223</v>
      </c>
      <c r="D692" t="s">
        <v>57</v>
      </c>
      <c r="E692" t="s">
        <v>58</v>
      </c>
      <c r="F692" t="s">
        <v>59</v>
      </c>
      <c r="G692" t="s">
        <v>41</v>
      </c>
      <c r="H692" t="s">
        <v>38</v>
      </c>
      <c r="I692" s="3">
        <v>36</v>
      </c>
      <c r="J692" s="2">
        <v>169</v>
      </c>
      <c r="K692" s="3">
        <f t="shared" si="10"/>
        <v>6084</v>
      </c>
      <c r="L692" s="3">
        <v>2494.4399999999996</v>
      </c>
    </row>
    <row r="693" spans="1:12" x14ac:dyDescent="0.25">
      <c r="A693" t="s">
        <v>27</v>
      </c>
      <c r="B693">
        <v>1189833</v>
      </c>
      <c r="C693" s="1">
        <v>44224</v>
      </c>
      <c r="D693" t="s">
        <v>57</v>
      </c>
      <c r="E693" t="s">
        <v>58</v>
      </c>
      <c r="F693" t="s">
        <v>59</v>
      </c>
      <c r="G693" t="s">
        <v>15</v>
      </c>
      <c r="H693" t="s">
        <v>17</v>
      </c>
      <c r="I693" s="3">
        <v>45</v>
      </c>
      <c r="J693" s="2">
        <v>525</v>
      </c>
      <c r="K693" s="3">
        <f t="shared" si="10"/>
        <v>23625</v>
      </c>
      <c r="L693" s="3">
        <v>16537.5</v>
      </c>
    </row>
    <row r="694" spans="1:12" x14ac:dyDescent="0.25">
      <c r="A694" t="s">
        <v>11</v>
      </c>
      <c r="B694">
        <v>1128299</v>
      </c>
      <c r="C694" s="1">
        <v>44224</v>
      </c>
      <c r="D694" t="s">
        <v>12</v>
      </c>
      <c r="E694" t="s">
        <v>13</v>
      </c>
      <c r="F694" t="s">
        <v>14</v>
      </c>
      <c r="G694" t="s">
        <v>15</v>
      </c>
      <c r="H694" t="s">
        <v>22</v>
      </c>
      <c r="I694" s="3">
        <v>65</v>
      </c>
      <c r="J694" s="2">
        <v>725</v>
      </c>
      <c r="K694" s="3">
        <f t="shared" si="10"/>
        <v>47125</v>
      </c>
      <c r="L694" s="3">
        <v>25918.749999999996</v>
      </c>
    </row>
    <row r="695" spans="1:12" x14ac:dyDescent="0.25">
      <c r="A695" t="s">
        <v>27</v>
      </c>
      <c r="B695">
        <v>1189833</v>
      </c>
      <c r="C695" s="1">
        <v>44224</v>
      </c>
      <c r="D695" t="s">
        <v>57</v>
      </c>
      <c r="E695" t="s">
        <v>58</v>
      </c>
      <c r="F695" t="s">
        <v>59</v>
      </c>
      <c r="G695" t="s">
        <v>41</v>
      </c>
      <c r="H695" t="s">
        <v>17</v>
      </c>
      <c r="I695" s="3">
        <v>42</v>
      </c>
      <c r="J695" s="2">
        <v>147</v>
      </c>
      <c r="K695" s="3">
        <f t="shared" si="10"/>
        <v>6174</v>
      </c>
      <c r="L695" s="3">
        <v>3642.6600000000003</v>
      </c>
    </row>
    <row r="696" spans="1:12" x14ac:dyDescent="0.25">
      <c r="A696" t="s">
        <v>11</v>
      </c>
      <c r="B696">
        <v>1128299</v>
      </c>
      <c r="C696" s="1">
        <v>44224</v>
      </c>
      <c r="D696" t="s">
        <v>12</v>
      </c>
      <c r="E696" t="s">
        <v>13</v>
      </c>
      <c r="F696" t="s">
        <v>14</v>
      </c>
      <c r="G696" t="s">
        <v>15</v>
      </c>
      <c r="H696" t="s">
        <v>22</v>
      </c>
      <c r="I696" s="3">
        <v>43</v>
      </c>
      <c r="J696" s="2">
        <v>225</v>
      </c>
      <c r="K696" s="3">
        <f t="shared" si="10"/>
        <v>9675</v>
      </c>
      <c r="L696" s="3">
        <v>5030.9999999999991</v>
      </c>
    </row>
    <row r="697" spans="1:12" x14ac:dyDescent="0.25">
      <c r="A697" t="s">
        <v>11</v>
      </c>
      <c r="B697">
        <v>1128299</v>
      </c>
      <c r="C697" s="1">
        <v>44224</v>
      </c>
      <c r="D697" t="s">
        <v>12</v>
      </c>
      <c r="E697" t="s">
        <v>13</v>
      </c>
      <c r="F697" t="s">
        <v>14</v>
      </c>
      <c r="G697" t="s">
        <v>41</v>
      </c>
      <c r="H697" t="s">
        <v>22</v>
      </c>
      <c r="I697" s="3">
        <v>63</v>
      </c>
      <c r="J697" s="2">
        <v>218</v>
      </c>
      <c r="K697" s="3">
        <f t="shared" si="10"/>
        <v>13734</v>
      </c>
      <c r="L697" s="3">
        <v>5768.2799999999988</v>
      </c>
    </row>
    <row r="698" spans="1:12" x14ac:dyDescent="0.25">
      <c r="A698" t="s">
        <v>11</v>
      </c>
      <c r="B698">
        <v>1128299</v>
      </c>
      <c r="C698" s="1">
        <v>44225</v>
      </c>
      <c r="D698" t="s">
        <v>12</v>
      </c>
      <c r="E698" t="s">
        <v>13</v>
      </c>
      <c r="F698" t="s">
        <v>14</v>
      </c>
      <c r="G698" t="s">
        <v>15</v>
      </c>
      <c r="H698" t="s">
        <v>16</v>
      </c>
      <c r="I698" s="3">
        <v>70</v>
      </c>
      <c r="J698" s="2">
        <v>775</v>
      </c>
      <c r="K698" s="3">
        <f t="shared" si="10"/>
        <v>54250</v>
      </c>
      <c r="L698" s="3">
        <v>48825</v>
      </c>
    </row>
    <row r="699" spans="1:12" x14ac:dyDescent="0.25">
      <c r="A699" t="s">
        <v>27</v>
      </c>
      <c r="B699">
        <v>1189833</v>
      </c>
      <c r="C699" s="1">
        <v>44225</v>
      </c>
      <c r="D699" t="s">
        <v>57</v>
      </c>
      <c r="E699" t="s">
        <v>58</v>
      </c>
      <c r="F699" t="s">
        <v>59</v>
      </c>
      <c r="G699" t="s">
        <v>15</v>
      </c>
      <c r="H699" t="s">
        <v>35</v>
      </c>
      <c r="I699" s="3">
        <v>45</v>
      </c>
      <c r="J699" s="2">
        <v>550</v>
      </c>
      <c r="K699" s="3">
        <f t="shared" si="10"/>
        <v>24750</v>
      </c>
      <c r="L699" s="3">
        <v>13612.5</v>
      </c>
    </row>
    <row r="700" spans="1:12" x14ac:dyDescent="0.25">
      <c r="A700" t="s">
        <v>11</v>
      </c>
      <c r="B700">
        <v>1128299</v>
      </c>
      <c r="C700" s="1">
        <v>44225</v>
      </c>
      <c r="D700" t="s">
        <v>12</v>
      </c>
      <c r="E700" t="s">
        <v>13</v>
      </c>
      <c r="F700" t="s">
        <v>14</v>
      </c>
      <c r="G700" t="s">
        <v>15</v>
      </c>
      <c r="H700" t="s">
        <v>16</v>
      </c>
      <c r="I700" s="3">
        <v>51</v>
      </c>
      <c r="J700" s="2">
        <v>264</v>
      </c>
      <c r="K700" s="3">
        <f t="shared" si="10"/>
        <v>13464</v>
      </c>
      <c r="L700" s="3">
        <v>11444.4</v>
      </c>
    </row>
    <row r="701" spans="1:12" x14ac:dyDescent="0.25">
      <c r="A701" t="s">
        <v>11</v>
      </c>
      <c r="B701">
        <v>1128299</v>
      </c>
      <c r="C701" s="1">
        <v>44225</v>
      </c>
      <c r="D701" t="s">
        <v>12</v>
      </c>
      <c r="E701" t="s">
        <v>13</v>
      </c>
      <c r="F701" t="s">
        <v>14</v>
      </c>
      <c r="G701" t="s">
        <v>41</v>
      </c>
      <c r="H701" t="s">
        <v>16</v>
      </c>
      <c r="I701" s="3">
        <v>65</v>
      </c>
      <c r="J701" s="2">
        <v>217</v>
      </c>
      <c r="K701" s="3">
        <f t="shared" si="10"/>
        <v>14105</v>
      </c>
      <c r="L701" s="3">
        <v>10719.8</v>
      </c>
    </row>
    <row r="702" spans="1:12" x14ac:dyDescent="0.25">
      <c r="A702" t="s">
        <v>27</v>
      </c>
      <c r="B702">
        <v>1189833</v>
      </c>
      <c r="C702" s="1">
        <v>44225</v>
      </c>
      <c r="D702" t="s">
        <v>57</v>
      </c>
      <c r="E702" t="s">
        <v>58</v>
      </c>
      <c r="F702" t="s">
        <v>59</v>
      </c>
      <c r="G702" t="s">
        <v>41</v>
      </c>
      <c r="H702" t="s">
        <v>35</v>
      </c>
      <c r="I702" s="3">
        <v>44</v>
      </c>
      <c r="J702" s="2">
        <v>165</v>
      </c>
      <c r="K702" s="3">
        <f t="shared" si="10"/>
        <v>7260</v>
      </c>
      <c r="L702" s="3">
        <v>3266.9999999999995</v>
      </c>
    </row>
    <row r="703" spans="1:12" x14ac:dyDescent="0.25">
      <c r="A703" t="s">
        <v>11</v>
      </c>
      <c r="B703">
        <v>1128299</v>
      </c>
      <c r="C703" s="1">
        <v>44226</v>
      </c>
      <c r="D703" t="s">
        <v>12</v>
      </c>
      <c r="E703" t="s">
        <v>13</v>
      </c>
      <c r="F703" t="s">
        <v>14</v>
      </c>
      <c r="G703" t="s">
        <v>15</v>
      </c>
      <c r="H703" t="s">
        <v>38</v>
      </c>
      <c r="I703" s="3">
        <v>55.000000000000007</v>
      </c>
      <c r="J703" s="2">
        <v>875</v>
      </c>
      <c r="K703" s="3">
        <f t="shared" si="10"/>
        <v>48125.000000000007</v>
      </c>
      <c r="L703" s="3">
        <v>33687.5</v>
      </c>
    </row>
    <row r="704" spans="1:12" x14ac:dyDescent="0.25">
      <c r="A704" t="s">
        <v>27</v>
      </c>
      <c r="B704">
        <v>1189833</v>
      </c>
      <c r="C704" s="1">
        <v>44226</v>
      </c>
      <c r="D704" t="s">
        <v>57</v>
      </c>
      <c r="E704" t="s">
        <v>58</v>
      </c>
      <c r="F704" t="s">
        <v>59</v>
      </c>
      <c r="G704" t="s">
        <v>15</v>
      </c>
      <c r="H704" t="s">
        <v>37</v>
      </c>
      <c r="I704" s="3">
        <v>40</v>
      </c>
      <c r="J704" s="2">
        <v>425</v>
      </c>
      <c r="K704" s="3">
        <f t="shared" si="10"/>
        <v>17000</v>
      </c>
      <c r="L704" s="3">
        <v>10200</v>
      </c>
    </row>
    <row r="705" spans="1:12" x14ac:dyDescent="0.25">
      <c r="A705" t="s">
        <v>11</v>
      </c>
      <c r="B705">
        <v>1128299</v>
      </c>
      <c r="C705" s="1">
        <v>44226</v>
      </c>
      <c r="D705" t="s">
        <v>12</v>
      </c>
      <c r="E705" t="s">
        <v>13</v>
      </c>
      <c r="F705" t="s">
        <v>14</v>
      </c>
      <c r="G705" t="s">
        <v>15</v>
      </c>
      <c r="H705" t="s">
        <v>38</v>
      </c>
      <c r="I705" s="3">
        <v>36</v>
      </c>
      <c r="J705" s="2">
        <v>289</v>
      </c>
      <c r="K705" s="3">
        <f t="shared" si="10"/>
        <v>10404</v>
      </c>
      <c r="L705" s="3">
        <v>6970.6799999999994</v>
      </c>
    </row>
    <row r="706" spans="1:12" x14ac:dyDescent="0.25">
      <c r="A706" t="s">
        <v>11</v>
      </c>
      <c r="B706">
        <v>1128299</v>
      </c>
      <c r="C706" s="1">
        <v>44226</v>
      </c>
      <c r="D706" t="s">
        <v>12</v>
      </c>
      <c r="E706" t="s">
        <v>13</v>
      </c>
      <c r="F706" t="s">
        <v>14</v>
      </c>
      <c r="G706" t="s">
        <v>41</v>
      </c>
      <c r="H706" t="s">
        <v>38</v>
      </c>
      <c r="I706" s="3">
        <v>51</v>
      </c>
      <c r="J706" s="2">
        <v>236</v>
      </c>
      <c r="K706" s="3">
        <f t="shared" si="10"/>
        <v>12036</v>
      </c>
      <c r="L706" s="3">
        <v>6619.7999999999993</v>
      </c>
    </row>
    <row r="707" spans="1:12" x14ac:dyDescent="0.25">
      <c r="A707" t="s">
        <v>27</v>
      </c>
      <c r="B707">
        <v>1189833</v>
      </c>
      <c r="C707" s="1">
        <v>44226</v>
      </c>
      <c r="D707" t="s">
        <v>57</v>
      </c>
      <c r="E707" t="s">
        <v>58</v>
      </c>
      <c r="F707" t="s">
        <v>59</v>
      </c>
      <c r="G707" t="s">
        <v>41</v>
      </c>
      <c r="H707" t="s">
        <v>37</v>
      </c>
      <c r="I707" s="3">
        <v>38</v>
      </c>
      <c r="J707" s="2">
        <v>106</v>
      </c>
      <c r="K707" s="3">
        <f t="shared" ref="K707:K770" si="11">I707*J707</f>
        <v>4028</v>
      </c>
      <c r="L707" s="3">
        <v>1893.1599999999999</v>
      </c>
    </row>
    <row r="708" spans="1:12" x14ac:dyDescent="0.25">
      <c r="A708" t="s">
        <v>11</v>
      </c>
      <c r="B708">
        <v>1128299</v>
      </c>
      <c r="C708" s="1">
        <v>44227</v>
      </c>
      <c r="D708" t="s">
        <v>12</v>
      </c>
      <c r="E708" t="s">
        <v>13</v>
      </c>
      <c r="F708" t="s">
        <v>14</v>
      </c>
      <c r="G708" t="s">
        <v>15</v>
      </c>
      <c r="H708" t="s">
        <v>17</v>
      </c>
      <c r="I708" s="3">
        <v>60.000000000000007</v>
      </c>
      <c r="J708" s="2">
        <v>875</v>
      </c>
      <c r="K708" s="3">
        <f t="shared" si="11"/>
        <v>52500.000000000007</v>
      </c>
      <c r="L708" s="3">
        <v>44625.000000000015</v>
      </c>
    </row>
    <row r="709" spans="1:12" x14ac:dyDescent="0.25">
      <c r="A709" t="s">
        <v>27</v>
      </c>
      <c r="B709">
        <v>1189833</v>
      </c>
      <c r="C709" s="1">
        <v>44227</v>
      </c>
      <c r="D709" t="s">
        <v>57</v>
      </c>
      <c r="E709" t="s">
        <v>58</v>
      </c>
      <c r="F709" t="s">
        <v>59</v>
      </c>
      <c r="G709" t="s">
        <v>15</v>
      </c>
      <c r="H709" t="s">
        <v>22</v>
      </c>
      <c r="I709" s="3">
        <v>45</v>
      </c>
      <c r="J709" s="2">
        <v>300</v>
      </c>
      <c r="K709" s="3">
        <f t="shared" si="11"/>
        <v>13500</v>
      </c>
      <c r="L709" s="3">
        <v>5399.9999999999982</v>
      </c>
    </row>
    <row r="710" spans="1:12" x14ac:dyDescent="0.25">
      <c r="A710" t="s">
        <v>11</v>
      </c>
      <c r="B710">
        <v>1128299</v>
      </c>
      <c r="C710" s="1">
        <v>44227</v>
      </c>
      <c r="D710" t="s">
        <v>12</v>
      </c>
      <c r="E710" t="s">
        <v>13</v>
      </c>
      <c r="F710" t="s">
        <v>14</v>
      </c>
      <c r="G710" t="s">
        <v>15</v>
      </c>
      <c r="H710" t="s">
        <v>17</v>
      </c>
      <c r="I710" s="3">
        <v>39</v>
      </c>
      <c r="J710" s="2">
        <v>280</v>
      </c>
      <c r="K710" s="3">
        <f t="shared" si="11"/>
        <v>10920</v>
      </c>
      <c r="L710" s="3">
        <v>8954.4</v>
      </c>
    </row>
    <row r="711" spans="1:12" x14ac:dyDescent="0.25">
      <c r="A711" t="s">
        <v>11</v>
      </c>
      <c r="B711">
        <v>1128299</v>
      </c>
      <c r="C711" s="1">
        <v>44227</v>
      </c>
      <c r="D711" t="s">
        <v>12</v>
      </c>
      <c r="E711" t="s">
        <v>13</v>
      </c>
      <c r="F711" t="s">
        <v>14</v>
      </c>
      <c r="G711" t="s">
        <v>41</v>
      </c>
      <c r="H711" t="s">
        <v>17</v>
      </c>
      <c r="I711" s="3">
        <v>59</v>
      </c>
      <c r="J711" s="2">
        <v>219</v>
      </c>
      <c r="K711" s="3">
        <f t="shared" si="11"/>
        <v>12921</v>
      </c>
      <c r="L711" s="3">
        <v>9173.91</v>
      </c>
    </row>
    <row r="712" spans="1:12" x14ac:dyDescent="0.25">
      <c r="A712" t="s">
        <v>27</v>
      </c>
      <c r="B712">
        <v>1189833</v>
      </c>
      <c r="C712" s="1">
        <v>44227</v>
      </c>
      <c r="D712" t="s">
        <v>57</v>
      </c>
      <c r="E712" t="s">
        <v>58</v>
      </c>
      <c r="F712" t="s">
        <v>59</v>
      </c>
      <c r="G712" t="s">
        <v>41</v>
      </c>
      <c r="H712" t="s">
        <v>22</v>
      </c>
      <c r="I712" s="3">
        <v>41</v>
      </c>
      <c r="J712" s="2">
        <v>75</v>
      </c>
      <c r="K712" s="3">
        <f t="shared" si="11"/>
        <v>3075</v>
      </c>
      <c r="L712" s="3">
        <v>799.49999999999955</v>
      </c>
    </row>
    <row r="713" spans="1:12" x14ac:dyDescent="0.25">
      <c r="A713" t="s">
        <v>27</v>
      </c>
      <c r="B713">
        <v>1189833</v>
      </c>
      <c r="C713" s="1">
        <v>44228</v>
      </c>
      <c r="D713" t="s">
        <v>57</v>
      </c>
      <c r="E713" t="s">
        <v>58</v>
      </c>
      <c r="F713" t="s">
        <v>59</v>
      </c>
      <c r="G713" t="s">
        <v>15</v>
      </c>
      <c r="H713" t="s">
        <v>16</v>
      </c>
      <c r="I713" s="3">
        <v>60</v>
      </c>
      <c r="J713" s="2">
        <v>600</v>
      </c>
      <c r="K713" s="3">
        <f t="shared" si="11"/>
        <v>36000</v>
      </c>
      <c r="L713" s="3">
        <v>27000</v>
      </c>
    </row>
    <row r="714" spans="1:12" x14ac:dyDescent="0.25">
      <c r="A714" t="s">
        <v>11</v>
      </c>
      <c r="B714">
        <v>1128299</v>
      </c>
      <c r="C714" s="1">
        <v>44228</v>
      </c>
      <c r="D714" t="s">
        <v>12</v>
      </c>
      <c r="E714" t="s">
        <v>13</v>
      </c>
      <c r="F714" t="s">
        <v>14</v>
      </c>
      <c r="G714" t="s">
        <v>15</v>
      </c>
      <c r="H714" t="s">
        <v>35</v>
      </c>
      <c r="I714" s="3">
        <v>55.000000000000007</v>
      </c>
      <c r="J714" s="2">
        <v>700</v>
      </c>
      <c r="K714" s="3">
        <f t="shared" si="11"/>
        <v>38500.000000000007</v>
      </c>
      <c r="L714" s="3">
        <v>26950</v>
      </c>
    </row>
    <row r="715" spans="1:12" x14ac:dyDescent="0.25">
      <c r="A715" t="s">
        <v>11</v>
      </c>
      <c r="B715">
        <v>1128299</v>
      </c>
      <c r="C715" s="1">
        <v>44228</v>
      </c>
      <c r="D715" t="s">
        <v>12</v>
      </c>
      <c r="E715" t="s">
        <v>13</v>
      </c>
      <c r="F715" t="s">
        <v>14</v>
      </c>
      <c r="G715" t="s">
        <v>15</v>
      </c>
      <c r="H715" t="s">
        <v>35</v>
      </c>
      <c r="I715" s="3">
        <v>42</v>
      </c>
      <c r="J715" s="2">
        <v>210</v>
      </c>
      <c r="K715" s="3">
        <f t="shared" si="11"/>
        <v>8820</v>
      </c>
      <c r="L715" s="3">
        <v>5909.4</v>
      </c>
    </row>
    <row r="716" spans="1:12" x14ac:dyDescent="0.25">
      <c r="A716" t="s">
        <v>27</v>
      </c>
      <c r="B716">
        <v>1189833</v>
      </c>
      <c r="C716" s="1">
        <v>44228</v>
      </c>
      <c r="D716" t="s">
        <v>57</v>
      </c>
      <c r="E716" t="s">
        <v>58</v>
      </c>
      <c r="F716" t="s">
        <v>59</v>
      </c>
      <c r="G716" t="s">
        <v>41</v>
      </c>
      <c r="H716" t="s">
        <v>16</v>
      </c>
      <c r="I716" s="3">
        <v>55</v>
      </c>
      <c r="J716" s="2">
        <v>150</v>
      </c>
      <c r="K716" s="3">
        <f t="shared" si="11"/>
        <v>8250</v>
      </c>
      <c r="L716" s="3">
        <v>5280</v>
      </c>
    </row>
    <row r="717" spans="1:12" x14ac:dyDescent="0.25">
      <c r="A717" t="s">
        <v>11</v>
      </c>
      <c r="B717">
        <v>1128299</v>
      </c>
      <c r="C717" s="1">
        <v>44228</v>
      </c>
      <c r="D717" t="s">
        <v>12</v>
      </c>
      <c r="E717" t="s">
        <v>13</v>
      </c>
      <c r="F717" t="s">
        <v>14</v>
      </c>
      <c r="G717" t="s">
        <v>41</v>
      </c>
      <c r="H717" t="s">
        <v>35</v>
      </c>
      <c r="I717" s="3">
        <v>50</v>
      </c>
      <c r="J717" s="2">
        <v>182</v>
      </c>
      <c r="K717" s="3">
        <f t="shared" si="11"/>
        <v>9100</v>
      </c>
      <c r="L717" s="3">
        <v>5278</v>
      </c>
    </row>
    <row r="718" spans="1:12" x14ac:dyDescent="0.25">
      <c r="A718" t="s">
        <v>11</v>
      </c>
      <c r="B718">
        <v>1128299</v>
      </c>
      <c r="C718" s="1">
        <v>44229</v>
      </c>
      <c r="D718" t="s">
        <v>12</v>
      </c>
      <c r="E718" t="s">
        <v>13</v>
      </c>
      <c r="F718" t="s">
        <v>14</v>
      </c>
      <c r="G718" t="s">
        <v>15</v>
      </c>
      <c r="H718" t="s">
        <v>37</v>
      </c>
      <c r="I718" s="3">
        <v>55.000000000000007</v>
      </c>
      <c r="J718" s="2">
        <v>675</v>
      </c>
      <c r="K718" s="3">
        <f t="shared" si="11"/>
        <v>37125.000000000007</v>
      </c>
      <c r="L718" s="3">
        <v>27843.750000000007</v>
      </c>
    </row>
    <row r="719" spans="1:12" x14ac:dyDescent="0.25">
      <c r="A719" t="s">
        <v>27</v>
      </c>
      <c r="B719">
        <v>1189833</v>
      </c>
      <c r="C719" s="1">
        <v>44229</v>
      </c>
      <c r="D719" t="s">
        <v>57</v>
      </c>
      <c r="E719" t="s">
        <v>58</v>
      </c>
      <c r="F719" t="s">
        <v>59</v>
      </c>
      <c r="G719" t="s">
        <v>15</v>
      </c>
      <c r="H719" t="s">
        <v>38</v>
      </c>
      <c r="I719" s="3">
        <v>40</v>
      </c>
      <c r="J719" s="2">
        <v>750</v>
      </c>
      <c r="K719" s="3">
        <f t="shared" si="11"/>
        <v>30000</v>
      </c>
      <c r="L719" s="3">
        <v>16500</v>
      </c>
    </row>
    <row r="720" spans="1:12" x14ac:dyDescent="0.25">
      <c r="A720" t="s">
        <v>11</v>
      </c>
      <c r="B720">
        <v>1128299</v>
      </c>
      <c r="C720" s="1">
        <v>44229</v>
      </c>
      <c r="D720" t="s">
        <v>12</v>
      </c>
      <c r="E720" t="s">
        <v>13</v>
      </c>
      <c r="F720" t="s">
        <v>14</v>
      </c>
      <c r="G720" t="s">
        <v>15</v>
      </c>
      <c r="H720" t="s">
        <v>37</v>
      </c>
      <c r="I720" s="3">
        <v>42</v>
      </c>
      <c r="J720" s="2">
        <v>223</v>
      </c>
      <c r="K720" s="3">
        <f t="shared" si="11"/>
        <v>9366</v>
      </c>
      <c r="L720" s="3">
        <v>6462.5400000000009</v>
      </c>
    </row>
    <row r="721" spans="1:12" x14ac:dyDescent="0.25">
      <c r="A721" t="s">
        <v>11</v>
      </c>
      <c r="B721">
        <v>1128299</v>
      </c>
      <c r="C721" s="1">
        <v>44229</v>
      </c>
      <c r="D721" t="s">
        <v>12</v>
      </c>
      <c r="E721" t="s">
        <v>13</v>
      </c>
      <c r="F721" t="s">
        <v>14</v>
      </c>
      <c r="G721" t="s">
        <v>41</v>
      </c>
      <c r="H721" t="s">
        <v>37</v>
      </c>
      <c r="I721" s="3">
        <v>51</v>
      </c>
      <c r="J721" s="2">
        <v>203</v>
      </c>
      <c r="K721" s="3">
        <f t="shared" si="11"/>
        <v>10353</v>
      </c>
      <c r="L721" s="3">
        <v>6625.92</v>
      </c>
    </row>
    <row r="722" spans="1:12" x14ac:dyDescent="0.25">
      <c r="A722" t="s">
        <v>27</v>
      </c>
      <c r="B722">
        <v>1189833</v>
      </c>
      <c r="C722" s="1">
        <v>44229</v>
      </c>
      <c r="D722" t="s">
        <v>57</v>
      </c>
      <c r="E722" t="s">
        <v>58</v>
      </c>
      <c r="F722" t="s">
        <v>59</v>
      </c>
      <c r="G722" t="s">
        <v>41</v>
      </c>
      <c r="H722" t="s">
        <v>38</v>
      </c>
      <c r="I722" s="3">
        <v>37</v>
      </c>
      <c r="J722" s="2">
        <v>203</v>
      </c>
      <c r="K722" s="3">
        <f t="shared" si="11"/>
        <v>7511</v>
      </c>
      <c r="L722" s="3">
        <v>3079.5099999999993</v>
      </c>
    </row>
    <row r="723" spans="1:12" x14ac:dyDescent="0.25">
      <c r="A723" t="s">
        <v>11</v>
      </c>
      <c r="B723">
        <v>1185732</v>
      </c>
      <c r="C723" s="1">
        <v>44230</v>
      </c>
      <c r="D723" t="s">
        <v>57</v>
      </c>
      <c r="E723" t="s">
        <v>78</v>
      </c>
      <c r="F723" t="s">
        <v>79</v>
      </c>
      <c r="G723" t="s">
        <v>18</v>
      </c>
      <c r="H723" t="s">
        <v>38</v>
      </c>
      <c r="I723" s="3">
        <v>30.000000000000004</v>
      </c>
      <c r="J723" s="2">
        <v>500</v>
      </c>
      <c r="K723" s="3">
        <f t="shared" si="11"/>
        <v>15000.000000000002</v>
      </c>
      <c r="L723" s="3">
        <v>10500.000000000004</v>
      </c>
    </row>
    <row r="724" spans="1:12" x14ac:dyDescent="0.25">
      <c r="A724" t="s">
        <v>11</v>
      </c>
      <c r="B724">
        <v>1185732</v>
      </c>
      <c r="C724" s="1">
        <v>44230</v>
      </c>
      <c r="D724" t="s">
        <v>57</v>
      </c>
      <c r="E724" t="s">
        <v>78</v>
      </c>
      <c r="F724" t="s">
        <v>79</v>
      </c>
      <c r="G724" t="s">
        <v>18</v>
      </c>
      <c r="H724" t="s">
        <v>35</v>
      </c>
      <c r="I724" s="3">
        <v>20.000000000000007</v>
      </c>
      <c r="J724" s="2">
        <v>200</v>
      </c>
      <c r="K724" s="3">
        <f t="shared" si="11"/>
        <v>4000.0000000000014</v>
      </c>
      <c r="L724" s="3">
        <v>2800.0000000000009</v>
      </c>
    </row>
    <row r="725" spans="1:12" x14ac:dyDescent="0.25">
      <c r="A725" t="s">
        <v>11</v>
      </c>
      <c r="B725">
        <v>1185732</v>
      </c>
      <c r="C725" s="1">
        <v>44230</v>
      </c>
      <c r="D725" t="s">
        <v>57</v>
      </c>
      <c r="E725" t="s">
        <v>85</v>
      </c>
      <c r="F725" t="s">
        <v>86</v>
      </c>
      <c r="G725" t="s">
        <v>18</v>
      </c>
      <c r="H725" t="s">
        <v>37</v>
      </c>
      <c r="I725" s="3">
        <v>25.000000000000007</v>
      </c>
      <c r="J725" s="2">
        <v>75</v>
      </c>
      <c r="K725" s="3">
        <f t="shared" si="11"/>
        <v>1875.0000000000005</v>
      </c>
      <c r="L725" s="3">
        <v>1312.5000000000005</v>
      </c>
    </row>
    <row r="726" spans="1:12" x14ac:dyDescent="0.25">
      <c r="A726" t="s">
        <v>27</v>
      </c>
      <c r="B726">
        <v>1189833</v>
      </c>
      <c r="C726" s="1">
        <v>44230</v>
      </c>
      <c r="D726" t="s">
        <v>57</v>
      </c>
      <c r="E726" t="s">
        <v>58</v>
      </c>
      <c r="F726" t="s">
        <v>59</v>
      </c>
      <c r="G726" t="s">
        <v>15</v>
      </c>
      <c r="H726" t="s">
        <v>17</v>
      </c>
      <c r="I726" s="3">
        <v>45</v>
      </c>
      <c r="J726" s="2">
        <v>600</v>
      </c>
      <c r="K726" s="3">
        <f t="shared" si="11"/>
        <v>27000</v>
      </c>
      <c r="L726" s="3">
        <v>18900</v>
      </c>
    </row>
    <row r="727" spans="1:12" x14ac:dyDescent="0.25">
      <c r="A727" t="s">
        <v>11</v>
      </c>
      <c r="B727">
        <v>1185732</v>
      </c>
      <c r="C727" s="1">
        <v>44230</v>
      </c>
      <c r="D727" t="s">
        <v>57</v>
      </c>
      <c r="E727" t="s">
        <v>78</v>
      </c>
      <c r="F727" t="s">
        <v>79</v>
      </c>
      <c r="G727" t="s">
        <v>18</v>
      </c>
      <c r="H727" t="s">
        <v>17</v>
      </c>
      <c r="I727" s="3">
        <v>30.000000000000004</v>
      </c>
      <c r="J727" s="2">
        <v>150</v>
      </c>
      <c r="K727" s="3">
        <f t="shared" si="11"/>
        <v>4500.0000000000009</v>
      </c>
      <c r="L727" s="3">
        <v>2925.0000000000009</v>
      </c>
    </row>
    <row r="728" spans="1:12" x14ac:dyDescent="0.25">
      <c r="A728" t="s">
        <v>11</v>
      </c>
      <c r="B728">
        <v>1185732</v>
      </c>
      <c r="C728" s="1">
        <v>44230</v>
      </c>
      <c r="D728" t="s">
        <v>57</v>
      </c>
      <c r="E728" t="s">
        <v>85</v>
      </c>
      <c r="F728" t="s">
        <v>86</v>
      </c>
      <c r="G728" t="s">
        <v>18</v>
      </c>
      <c r="H728" t="s">
        <v>16</v>
      </c>
      <c r="I728" s="3">
        <v>14.999999999999996</v>
      </c>
      <c r="J728" s="2">
        <v>250</v>
      </c>
      <c r="K728" s="3">
        <f t="shared" si="11"/>
        <v>3749.9999999999991</v>
      </c>
      <c r="L728" s="3">
        <v>2249.9999999999991</v>
      </c>
    </row>
    <row r="729" spans="1:12" x14ac:dyDescent="0.25">
      <c r="A729" t="s">
        <v>11</v>
      </c>
      <c r="B729">
        <v>1128299</v>
      </c>
      <c r="C729" s="1">
        <v>44230</v>
      </c>
      <c r="D729" t="s">
        <v>12</v>
      </c>
      <c r="E729" t="s">
        <v>13</v>
      </c>
      <c r="F729" t="s">
        <v>14</v>
      </c>
      <c r="G729" t="s">
        <v>15</v>
      </c>
      <c r="H729" t="s">
        <v>22</v>
      </c>
      <c r="I729" s="3">
        <v>65</v>
      </c>
      <c r="J729" s="2">
        <v>650</v>
      </c>
      <c r="K729" s="3">
        <f t="shared" si="11"/>
        <v>42250</v>
      </c>
      <c r="L729" s="3">
        <v>23237.499999999996</v>
      </c>
    </row>
    <row r="730" spans="1:12" x14ac:dyDescent="0.25">
      <c r="A730" t="s">
        <v>11</v>
      </c>
      <c r="B730">
        <v>1185732</v>
      </c>
      <c r="C730" s="1">
        <v>44230</v>
      </c>
      <c r="D730" t="s">
        <v>57</v>
      </c>
      <c r="E730" t="s">
        <v>85</v>
      </c>
      <c r="F730" t="s">
        <v>86</v>
      </c>
      <c r="G730" t="s">
        <v>18</v>
      </c>
      <c r="H730" t="s">
        <v>22</v>
      </c>
      <c r="I730" s="3">
        <v>40</v>
      </c>
      <c r="J730" s="2">
        <v>150</v>
      </c>
      <c r="K730" s="3">
        <f t="shared" si="11"/>
        <v>6000</v>
      </c>
      <c r="L730" s="3">
        <v>3000</v>
      </c>
    </row>
    <row r="731" spans="1:12" x14ac:dyDescent="0.25">
      <c r="A731" t="s">
        <v>11</v>
      </c>
      <c r="B731">
        <v>1185732</v>
      </c>
      <c r="C731" s="1">
        <v>44230</v>
      </c>
      <c r="D731" t="s">
        <v>57</v>
      </c>
      <c r="E731" t="s">
        <v>78</v>
      </c>
      <c r="F731" t="s">
        <v>79</v>
      </c>
      <c r="G731" t="s">
        <v>41</v>
      </c>
      <c r="H731" t="s">
        <v>38</v>
      </c>
      <c r="I731" s="3">
        <v>29</v>
      </c>
      <c r="J731" s="2">
        <v>140</v>
      </c>
      <c r="K731" s="3">
        <f t="shared" si="11"/>
        <v>4060</v>
      </c>
      <c r="L731" s="3">
        <v>2395.4</v>
      </c>
    </row>
    <row r="732" spans="1:12" x14ac:dyDescent="0.25">
      <c r="A732" t="s">
        <v>11</v>
      </c>
      <c r="B732">
        <v>1185732</v>
      </c>
      <c r="C732" s="1">
        <v>44230</v>
      </c>
      <c r="D732" t="s">
        <v>57</v>
      </c>
      <c r="E732" t="s">
        <v>85</v>
      </c>
      <c r="F732" t="s">
        <v>86</v>
      </c>
      <c r="G732" t="s">
        <v>41</v>
      </c>
      <c r="H732" t="s">
        <v>37</v>
      </c>
      <c r="I732" s="3">
        <v>23</v>
      </c>
      <c r="J732" s="2">
        <v>20</v>
      </c>
      <c r="K732" s="3">
        <f t="shared" si="11"/>
        <v>460</v>
      </c>
      <c r="L732" s="3">
        <v>262.20000000000005</v>
      </c>
    </row>
    <row r="733" spans="1:12" x14ac:dyDescent="0.25">
      <c r="A733" t="s">
        <v>27</v>
      </c>
      <c r="B733">
        <v>1189833</v>
      </c>
      <c r="C733" s="1">
        <v>44230</v>
      </c>
      <c r="D733" t="s">
        <v>57</v>
      </c>
      <c r="E733" t="s">
        <v>58</v>
      </c>
      <c r="F733" t="s">
        <v>59</v>
      </c>
      <c r="G733" t="s">
        <v>41</v>
      </c>
      <c r="H733" t="s">
        <v>17</v>
      </c>
      <c r="I733" s="3">
        <v>41</v>
      </c>
      <c r="J733" s="2">
        <v>156</v>
      </c>
      <c r="K733" s="3">
        <f t="shared" si="11"/>
        <v>6396</v>
      </c>
      <c r="L733" s="3">
        <v>3645.7200000000003</v>
      </c>
    </row>
    <row r="734" spans="1:12" x14ac:dyDescent="0.25">
      <c r="A734" t="s">
        <v>11</v>
      </c>
      <c r="B734">
        <v>1185732</v>
      </c>
      <c r="C734" s="1">
        <v>44230</v>
      </c>
      <c r="D734" t="s">
        <v>57</v>
      </c>
      <c r="E734" t="s">
        <v>78</v>
      </c>
      <c r="F734" t="s">
        <v>79</v>
      </c>
      <c r="G734" t="s">
        <v>41</v>
      </c>
      <c r="H734" t="s">
        <v>35</v>
      </c>
      <c r="I734" s="3">
        <v>20</v>
      </c>
      <c r="J734" s="2">
        <v>60</v>
      </c>
      <c r="K734" s="3">
        <f t="shared" si="11"/>
        <v>1200</v>
      </c>
      <c r="L734" s="3">
        <v>684</v>
      </c>
    </row>
    <row r="735" spans="1:12" x14ac:dyDescent="0.25">
      <c r="A735" t="s">
        <v>11</v>
      </c>
      <c r="B735">
        <v>1128299</v>
      </c>
      <c r="C735" s="1">
        <v>44230</v>
      </c>
      <c r="D735" t="s">
        <v>12</v>
      </c>
      <c r="E735" t="s">
        <v>13</v>
      </c>
      <c r="F735" t="s">
        <v>14</v>
      </c>
      <c r="G735" t="s">
        <v>15</v>
      </c>
      <c r="H735" t="s">
        <v>22</v>
      </c>
      <c r="I735" s="3">
        <v>50</v>
      </c>
      <c r="J735" s="2">
        <v>221</v>
      </c>
      <c r="K735" s="3">
        <f t="shared" si="11"/>
        <v>11050</v>
      </c>
      <c r="L735" s="3">
        <v>5856.4999999999991</v>
      </c>
    </row>
    <row r="736" spans="1:12" x14ac:dyDescent="0.25">
      <c r="A736" t="s">
        <v>11</v>
      </c>
      <c r="B736">
        <v>1185732</v>
      </c>
      <c r="C736" s="1">
        <v>44230</v>
      </c>
      <c r="D736" t="s">
        <v>57</v>
      </c>
      <c r="E736" t="s">
        <v>78</v>
      </c>
      <c r="F736" t="s">
        <v>79</v>
      </c>
      <c r="G736" t="s">
        <v>41</v>
      </c>
      <c r="H736" t="s">
        <v>17</v>
      </c>
      <c r="I736" s="3">
        <v>29</v>
      </c>
      <c r="J736" s="2">
        <v>39</v>
      </c>
      <c r="K736" s="3">
        <f t="shared" si="11"/>
        <v>1131</v>
      </c>
      <c r="L736" s="3">
        <v>576.81000000000006</v>
      </c>
    </row>
    <row r="737" spans="1:12" x14ac:dyDescent="0.25">
      <c r="A737" t="s">
        <v>11</v>
      </c>
      <c r="B737">
        <v>1185732</v>
      </c>
      <c r="C737" s="1">
        <v>44230</v>
      </c>
      <c r="D737" t="s">
        <v>57</v>
      </c>
      <c r="E737" t="s">
        <v>85</v>
      </c>
      <c r="F737" t="s">
        <v>86</v>
      </c>
      <c r="G737" t="s">
        <v>41</v>
      </c>
      <c r="H737" t="s">
        <v>16</v>
      </c>
      <c r="I737" s="3">
        <v>14</v>
      </c>
      <c r="J737" s="2">
        <v>65</v>
      </c>
      <c r="K737" s="3">
        <f t="shared" si="11"/>
        <v>910</v>
      </c>
      <c r="L737" s="3">
        <v>445.9</v>
      </c>
    </row>
    <row r="738" spans="1:12" x14ac:dyDescent="0.25">
      <c r="A738" t="s">
        <v>11</v>
      </c>
      <c r="B738">
        <v>1128299</v>
      </c>
      <c r="C738" s="1">
        <v>44230</v>
      </c>
      <c r="D738" t="s">
        <v>12</v>
      </c>
      <c r="E738" t="s">
        <v>13</v>
      </c>
      <c r="F738" t="s">
        <v>14</v>
      </c>
      <c r="G738" t="s">
        <v>41</v>
      </c>
      <c r="H738" t="s">
        <v>22</v>
      </c>
      <c r="I738" s="3">
        <v>59</v>
      </c>
      <c r="J738" s="2">
        <v>182</v>
      </c>
      <c r="K738" s="3">
        <f t="shared" si="11"/>
        <v>10738</v>
      </c>
      <c r="L738" s="3">
        <v>4509.9599999999991</v>
      </c>
    </row>
    <row r="739" spans="1:12" x14ac:dyDescent="0.25">
      <c r="A739" t="s">
        <v>11</v>
      </c>
      <c r="B739">
        <v>1185732</v>
      </c>
      <c r="C739" s="1">
        <v>44230</v>
      </c>
      <c r="D739" t="s">
        <v>57</v>
      </c>
      <c r="E739" t="s">
        <v>85</v>
      </c>
      <c r="F739" t="s">
        <v>86</v>
      </c>
      <c r="G739" t="s">
        <v>41</v>
      </c>
      <c r="H739" t="s">
        <v>22</v>
      </c>
      <c r="I739" s="3">
        <v>38</v>
      </c>
      <c r="J739" s="2">
        <v>38</v>
      </c>
      <c r="K739" s="3">
        <f t="shared" si="11"/>
        <v>1444</v>
      </c>
      <c r="L739" s="3">
        <v>563.16</v>
      </c>
    </row>
    <row r="740" spans="1:12" x14ac:dyDescent="0.25">
      <c r="A740" t="s">
        <v>11</v>
      </c>
      <c r="B740">
        <v>1128299</v>
      </c>
      <c r="C740" s="1">
        <v>44231</v>
      </c>
      <c r="D740" t="s">
        <v>12</v>
      </c>
      <c r="E740" t="s">
        <v>13</v>
      </c>
      <c r="F740" t="s">
        <v>14</v>
      </c>
      <c r="G740" t="s">
        <v>15</v>
      </c>
      <c r="H740" t="s">
        <v>16</v>
      </c>
      <c r="I740" s="3">
        <v>70</v>
      </c>
      <c r="J740" s="2">
        <v>700</v>
      </c>
      <c r="K740" s="3">
        <f t="shared" si="11"/>
        <v>49000</v>
      </c>
      <c r="L740" s="3">
        <v>44100</v>
      </c>
    </row>
    <row r="741" spans="1:12" x14ac:dyDescent="0.25">
      <c r="A741" t="s">
        <v>19</v>
      </c>
      <c r="B741">
        <v>1197831</v>
      </c>
      <c r="C741" s="1">
        <v>44231</v>
      </c>
      <c r="D741" t="s">
        <v>12</v>
      </c>
      <c r="E741" t="s">
        <v>66</v>
      </c>
      <c r="F741" t="s">
        <v>67</v>
      </c>
      <c r="G741" t="s">
        <v>41</v>
      </c>
      <c r="H741" t="s">
        <v>22</v>
      </c>
      <c r="I741" s="3">
        <v>40</v>
      </c>
      <c r="J741" s="2">
        <v>250</v>
      </c>
      <c r="K741" s="3">
        <f t="shared" si="11"/>
        <v>10000</v>
      </c>
      <c r="L741" s="3">
        <v>7500</v>
      </c>
    </row>
    <row r="742" spans="1:12" x14ac:dyDescent="0.25">
      <c r="A742" t="s">
        <v>19</v>
      </c>
      <c r="B742">
        <v>1197831</v>
      </c>
      <c r="C742" s="1">
        <v>44231</v>
      </c>
      <c r="D742" t="s">
        <v>52</v>
      </c>
      <c r="E742" t="s">
        <v>64</v>
      </c>
      <c r="F742" t="s">
        <v>65</v>
      </c>
      <c r="G742" t="s">
        <v>41</v>
      </c>
      <c r="H742" t="s">
        <v>38</v>
      </c>
      <c r="I742" s="3">
        <v>25</v>
      </c>
      <c r="J742" s="2">
        <v>625</v>
      </c>
      <c r="K742" s="3">
        <f t="shared" si="11"/>
        <v>15625</v>
      </c>
      <c r="L742" s="3">
        <v>10937.5</v>
      </c>
    </row>
    <row r="743" spans="1:12" x14ac:dyDescent="0.25">
      <c r="A743" t="s">
        <v>19</v>
      </c>
      <c r="B743">
        <v>1197831</v>
      </c>
      <c r="C743" s="1">
        <v>44231</v>
      </c>
      <c r="D743" t="s">
        <v>52</v>
      </c>
      <c r="E743" t="s">
        <v>64</v>
      </c>
      <c r="F743" t="s">
        <v>65</v>
      </c>
      <c r="G743" t="s">
        <v>41</v>
      </c>
      <c r="H743" t="s">
        <v>17</v>
      </c>
      <c r="I743" s="3">
        <v>35</v>
      </c>
      <c r="J743" s="2">
        <v>600</v>
      </c>
      <c r="K743" s="3">
        <f t="shared" si="11"/>
        <v>21000</v>
      </c>
      <c r="L743" s="3">
        <v>14700</v>
      </c>
    </row>
    <row r="744" spans="1:12" x14ac:dyDescent="0.25">
      <c r="A744" t="s">
        <v>19</v>
      </c>
      <c r="B744">
        <v>1197831</v>
      </c>
      <c r="C744" s="1">
        <v>44231</v>
      </c>
      <c r="D744" t="s">
        <v>52</v>
      </c>
      <c r="E744" t="s">
        <v>64</v>
      </c>
      <c r="F744" t="s">
        <v>65</v>
      </c>
      <c r="G744" t="s">
        <v>41</v>
      </c>
      <c r="H744" t="s">
        <v>35</v>
      </c>
      <c r="I744" s="3">
        <v>35</v>
      </c>
      <c r="J744" s="2">
        <v>425</v>
      </c>
      <c r="K744" s="3">
        <f t="shared" si="11"/>
        <v>14875</v>
      </c>
      <c r="L744" s="3">
        <v>10412.5</v>
      </c>
    </row>
    <row r="745" spans="1:12" x14ac:dyDescent="0.25">
      <c r="A745" t="s">
        <v>26</v>
      </c>
      <c r="B745">
        <v>1185732</v>
      </c>
      <c r="C745" s="1">
        <v>44231</v>
      </c>
      <c r="D745" t="s">
        <v>32</v>
      </c>
      <c r="E745" t="s">
        <v>46</v>
      </c>
      <c r="F745" t="s">
        <v>47</v>
      </c>
      <c r="G745" t="s">
        <v>41</v>
      </c>
      <c r="H745" t="s">
        <v>17</v>
      </c>
      <c r="I745" s="3">
        <v>35</v>
      </c>
      <c r="J745" s="2">
        <v>625</v>
      </c>
      <c r="K745" s="3">
        <f t="shared" si="11"/>
        <v>21875</v>
      </c>
      <c r="L745" s="3">
        <v>14218.75</v>
      </c>
    </row>
    <row r="746" spans="1:12" x14ac:dyDescent="0.25">
      <c r="A746" t="s">
        <v>26</v>
      </c>
      <c r="B746">
        <v>1185732</v>
      </c>
      <c r="C746" s="1">
        <v>44231</v>
      </c>
      <c r="D746" t="s">
        <v>32</v>
      </c>
      <c r="E746" t="s">
        <v>108</v>
      </c>
      <c r="F746" t="s">
        <v>109</v>
      </c>
      <c r="G746" t="s">
        <v>41</v>
      </c>
      <c r="H746" t="s">
        <v>22</v>
      </c>
      <c r="I746" s="3">
        <v>45</v>
      </c>
      <c r="J746" s="2">
        <v>600</v>
      </c>
      <c r="K746" s="3">
        <f t="shared" si="11"/>
        <v>27000</v>
      </c>
      <c r="L746" s="3">
        <v>17550</v>
      </c>
    </row>
    <row r="747" spans="1:12" x14ac:dyDescent="0.25">
      <c r="A747" t="s">
        <v>26</v>
      </c>
      <c r="B747">
        <v>1185732</v>
      </c>
      <c r="C747" s="1">
        <v>44231</v>
      </c>
      <c r="D747" t="s">
        <v>32</v>
      </c>
      <c r="E747" t="s">
        <v>46</v>
      </c>
      <c r="F747" t="s">
        <v>47</v>
      </c>
      <c r="G747" t="s">
        <v>41</v>
      </c>
      <c r="H747" t="s">
        <v>35</v>
      </c>
      <c r="I747" s="3">
        <v>25.000000000000007</v>
      </c>
      <c r="J747" s="2">
        <v>675</v>
      </c>
      <c r="K747" s="3">
        <f t="shared" si="11"/>
        <v>16875.000000000004</v>
      </c>
      <c r="L747" s="3">
        <v>10125.000000000004</v>
      </c>
    </row>
    <row r="748" spans="1:12" x14ac:dyDescent="0.25">
      <c r="A748" t="s">
        <v>19</v>
      </c>
      <c r="B748">
        <v>1197831</v>
      </c>
      <c r="C748" s="1">
        <v>44231</v>
      </c>
      <c r="D748" t="s">
        <v>12</v>
      </c>
      <c r="E748" t="s">
        <v>66</v>
      </c>
      <c r="F748" t="s">
        <v>67</v>
      </c>
      <c r="G748" t="s">
        <v>41</v>
      </c>
      <c r="H748" t="s">
        <v>37</v>
      </c>
      <c r="I748" s="3">
        <v>35</v>
      </c>
      <c r="J748" s="2">
        <v>375</v>
      </c>
      <c r="K748" s="3">
        <f t="shared" si="11"/>
        <v>13125</v>
      </c>
      <c r="L748" s="3">
        <v>7875</v>
      </c>
    </row>
    <row r="749" spans="1:12" x14ac:dyDescent="0.25">
      <c r="A749" t="s">
        <v>26</v>
      </c>
      <c r="B749">
        <v>1185732</v>
      </c>
      <c r="C749" s="1">
        <v>44231</v>
      </c>
      <c r="D749" t="s">
        <v>32</v>
      </c>
      <c r="E749" t="s">
        <v>46</v>
      </c>
      <c r="F749" t="s">
        <v>47</v>
      </c>
      <c r="G749" t="s">
        <v>41</v>
      </c>
      <c r="H749" t="s">
        <v>38</v>
      </c>
      <c r="I749" s="3">
        <v>35</v>
      </c>
      <c r="J749" s="2">
        <v>975</v>
      </c>
      <c r="K749" s="3">
        <f t="shared" si="11"/>
        <v>34125</v>
      </c>
      <c r="L749" s="3">
        <v>20475</v>
      </c>
    </row>
    <row r="750" spans="1:12" x14ac:dyDescent="0.25">
      <c r="A750" t="s">
        <v>26</v>
      </c>
      <c r="B750">
        <v>1185732</v>
      </c>
      <c r="C750" s="1">
        <v>44231</v>
      </c>
      <c r="D750" t="s">
        <v>32</v>
      </c>
      <c r="E750" t="s">
        <v>108</v>
      </c>
      <c r="F750" t="s">
        <v>109</v>
      </c>
      <c r="G750" t="s">
        <v>41</v>
      </c>
      <c r="H750" t="s">
        <v>37</v>
      </c>
      <c r="I750" s="3">
        <v>30</v>
      </c>
      <c r="J750" s="2">
        <v>525</v>
      </c>
      <c r="K750" s="3">
        <f t="shared" si="11"/>
        <v>15750</v>
      </c>
      <c r="L750" s="3">
        <v>9450</v>
      </c>
    </row>
    <row r="751" spans="1:12" x14ac:dyDescent="0.25">
      <c r="A751" t="s">
        <v>27</v>
      </c>
      <c r="B751">
        <v>1189833</v>
      </c>
      <c r="C751" s="1">
        <v>44231</v>
      </c>
      <c r="D751" t="s">
        <v>57</v>
      </c>
      <c r="E751" t="s">
        <v>58</v>
      </c>
      <c r="F751" t="s">
        <v>59</v>
      </c>
      <c r="G751" t="s">
        <v>15</v>
      </c>
      <c r="H751" t="s">
        <v>35</v>
      </c>
      <c r="I751" s="3">
        <v>45</v>
      </c>
      <c r="J751" s="2">
        <v>550</v>
      </c>
      <c r="K751" s="3">
        <f t="shared" si="11"/>
        <v>24750</v>
      </c>
      <c r="L751" s="3">
        <v>13612.5</v>
      </c>
    </row>
    <row r="752" spans="1:12" x14ac:dyDescent="0.25">
      <c r="A752" t="s">
        <v>19</v>
      </c>
      <c r="B752">
        <v>1197831</v>
      </c>
      <c r="C752" s="1">
        <v>44231</v>
      </c>
      <c r="D752" t="s">
        <v>12</v>
      </c>
      <c r="E752" t="s">
        <v>66</v>
      </c>
      <c r="F752" t="s">
        <v>67</v>
      </c>
      <c r="G752" t="s">
        <v>41</v>
      </c>
      <c r="H752" t="s">
        <v>16</v>
      </c>
      <c r="I752" s="3">
        <v>35</v>
      </c>
      <c r="J752" s="2">
        <v>450</v>
      </c>
      <c r="K752" s="3">
        <f t="shared" si="11"/>
        <v>15750</v>
      </c>
      <c r="L752" s="3">
        <v>8662.5</v>
      </c>
    </row>
    <row r="753" spans="1:12" x14ac:dyDescent="0.25">
      <c r="A753" t="s">
        <v>26</v>
      </c>
      <c r="B753">
        <v>1185732</v>
      </c>
      <c r="C753" s="1">
        <v>44231</v>
      </c>
      <c r="D753" t="s">
        <v>32</v>
      </c>
      <c r="E753" t="s">
        <v>108</v>
      </c>
      <c r="F753" t="s">
        <v>109</v>
      </c>
      <c r="G753" t="s">
        <v>41</v>
      </c>
      <c r="H753" t="s">
        <v>16</v>
      </c>
      <c r="I753" s="3">
        <v>30</v>
      </c>
      <c r="J753" s="2">
        <v>700</v>
      </c>
      <c r="K753" s="3">
        <f t="shared" si="11"/>
        <v>21000</v>
      </c>
      <c r="L753" s="3">
        <v>10500</v>
      </c>
    </row>
    <row r="754" spans="1:12" x14ac:dyDescent="0.25">
      <c r="A754" t="s">
        <v>11</v>
      </c>
      <c r="B754">
        <v>1128299</v>
      </c>
      <c r="C754" s="1">
        <v>44231</v>
      </c>
      <c r="D754" t="s">
        <v>12</v>
      </c>
      <c r="E754" t="s">
        <v>13</v>
      </c>
      <c r="F754" t="s">
        <v>14</v>
      </c>
      <c r="G754" t="s">
        <v>15</v>
      </c>
      <c r="H754" t="s">
        <v>16</v>
      </c>
      <c r="I754" s="3">
        <v>46</v>
      </c>
      <c r="J754" s="2">
        <v>224</v>
      </c>
      <c r="K754" s="3">
        <f t="shared" si="11"/>
        <v>10304</v>
      </c>
      <c r="L754" s="3">
        <v>9067.52</v>
      </c>
    </row>
    <row r="755" spans="1:12" x14ac:dyDescent="0.25">
      <c r="A755" t="s">
        <v>11</v>
      </c>
      <c r="B755">
        <v>1128299</v>
      </c>
      <c r="C755" s="1">
        <v>44231</v>
      </c>
      <c r="D755" t="s">
        <v>12</v>
      </c>
      <c r="E755" t="s">
        <v>13</v>
      </c>
      <c r="F755" t="s">
        <v>14</v>
      </c>
      <c r="G755" t="s">
        <v>41</v>
      </c>
      <c r="H755" t="s">
        <v>16</v>
      </c>
      <c r="I755" s="3">
        <v>63</v>
      </c>
      <c r="J755" s="2">
        <v>196</v>
      </c>
      <c r="K755" s="3">
        <f t="shared" si="11"/>
        <v>12348</v>
      </c>
      <c r="L755" s="3">
        <v>9507.9599999999991</v>
      </c>
    </row>
    <row r="756" spans="1:12" x14ac:dyDescent="0.25">
      <c r="A756" t="s">
        <v>19</v>
      </c>
      <c r="B756">
        <v>1197831</v>
      </c>
      <c r="C756" s="1">
        <v>44231</v>
      </c>
      <c r="D756" t="s">
        <v>12</v>
      </c>
      <c r="E756" t="s">
        <v>66</v>
      </c>
      <c r="F756" t="s">
        <v>67</v>
      </c>
      <c r="G756" t="s">
        <v>15</v>
      </c>
      <c r="H756" t="s">
        <v>22</v>
      </c>
      <c r="I756" s="3">
        <v>31</v>
      </c>
      <c r="J756" s="2">
        <v>88</v>
      </c>
      <c r="K756" s="3">
        <f t="shared" si="11"/>
        <v>2728</v>
      </c>
      <c r="L756" s="3">
        <v>1909.6</v>
      </c>
    </row>
    <row r="757" spans="1:12" x14ac:dyDescent="0.25">
      <c r="A757" t="s">
        <v>19</v>
      </c>
      <c r="B757">
        <v>1197831</v>
      </c>
      <c r="C757" s="1">
        <v>44231</v>
      </c>
      <c r="D757" t="s">
        <v>52</v>
      </c>
      <c r="E757" t="s">
        <v>64</v>
      </c>
      <c r="F757" t="s">
        <v>65</v>
      </c>
      <c r="G757" t="s">
        <v>15</v>
      </c>
      <c r="H757" t="s">
        <v>38</v>
      </c>
      <c r="I757" s="3">
        <v>18</v>
      </c>
      <c r="J757" s="2">
        <v>200</v>
      </c>
      <c r="K757" s="3">
        <f t="shared" si="11"/>
        <v>3600</v>
      </c>
      <c r="L757" s="3">
        <v>2448</v>
      </c>
    </row>
    <row r="758" spans="1:12" x14ac:dyDescent="0.25">
      <c r="A758" t="s">
        <v>19</v>
      </c>
      <c r="B758">
        <v>1197831</v>
      </c>
      <c r="C758" s="1">
        <v>44231</v>
      </c>
      <c r="D758" t="s">
        <v>52</v>
      </c>
      <c r="E758" t="s">
        <v>64</v>
      </c>
      <c r="F758" t="s">
        <v>65</v>
      </c>
      <c r="G758" t="s">
        <v>15</v>
      </c>
      <c r="H758" t="s">
        <v>17</v>
      </c>
      <c r="I758" s="3">
        <v>28</v>
      </c>
      <c r="J758" s="2">
        <v>180</v>
      </c>
      <c r="K758" s="3">
        <f t="shared" si="11"/>
        <v>5040</v>
      </c>
      <c r="L758" s="3">
        <v>3376.8</v>
      </c>
    </row>
    <row r="759" spans="1:12" x14ac:dyDescent="0.25">
      <c r="A759" t="s">
        <v>19</v>
      </c>
      <c r="B759">
        <v>1197831</v>
      </c>
      <c r="C759" s="1">
        <v>44231</v>
      </c>
      <c r="D759" t="s">
        <v>52</v>
      </c>
      <c r="E759" t="s">
        <v>64</v>
      </c>
      <c r="F759" t="s">
        <v>65</v>
      </c>
      <c r="G759" t="s">
        <v>15</v>
      </c>
      <c r="H759" t="s">
        <v>35</v>
      </c>
      <c r="I759" s="3">
        <v>28</v>
      </c>
      <c r="J759" s="2">
        <v>128</v>
      </c>
      <c r="K759" s="3">
        <f t="shared" si="11"/>
        <v>3584</v>
      </c>
      <c r="L759" s="3">
        <v>2329.6000000000004</v>
      </c>
    </row>
    <row r="760" spans="1:12" x14ac:dyDescent="0.25">
      <c r="A760" t="s">
        <v>19</v>
      </c>
      <c r="B760">
        <v>1197831</v>
      </c>
      <c r="C760" s="1">
        <v>44231</v>
      </c>
      <c r="D760" t="s">
        <v>12</v>
      </c>
      <c r="E760" t="s">
        <v>66</v>
      </c>
      <c r="F760" t="s">
        <v>67</v>
      </c>
      <c r="G760" t="s">
        <v>41</v>
      </c>
      <c r="H760" t="s">
        <v>22</v>
      </c>
      <c r="I760" s="3">
        <v>39</v>
      </c>
      <c r="J760" s="2">
        <v>70</v>
      </c>
      <c r="K760" s="3">
        <f t="shared" si="11"/>
        <v>2730</v>
      </c>
      <c r="L760" s="3">
        <v>1774.5</v>
      </c>
    </row>
    <row r="761" spans="1:12" x14ac:dyDescent="0.25">
      <c r="A761" t="s">
        <v>19</v>
      </c>
      <c r="B761">
        <v>1197831</v>
      </c>
      <c r="C761" s="1">
        <v>44231</v>
      </c>
      <c r="D761" t="s">
        <v>52</v>
      </c>
      <c r="E761" t="s">
        <v>64</v>
      </c>
      <c r="F761" t="s">
        <v>65</v>
      </c>
      <c r="G761" t="s">
        <v>41</v>
      </c>
      <c r="H761" t="s">
        <v>38</v>
      </c>
      <c r="I761" s="3">
        <v>23</v>
      </c>
      <c r="J761" s="2">
        <v>163</v>
      </c>
      <c r="K761" s="3">
        <f t="shared" si="11"/>
        <v>3749</v>
      </c>
      <c r="L761" s="3">
        <v>2249.3999999999996</v>
      </c>
    </row>
    <row r="762" spans="1:12" x14ac:dyDescent="0.25">
      <c r="A762" t="s">
        <v>19</v>
      </c>
      <c r="B762">
        <v>1197831</v>
      </c>
      <c r="C762" s="1">
        <v>44231</v>
      </c>
      <c r="D762" t="s">
        <v>52</v>
      </c>
      <c r="E762" t="s">
        <v>64</v>
      </c>
      <c r="F762" t="s">
        <v>65</v>
      </c>
      <c r="G762" t="s">
        <v>41</v>
      </c>
      <c r="H762" t="s">
        <v>35</v>
      </c>
      <c r="I762" s="3">
        <v>34</v>
      </c>
      <c r="J762" s="2">
        <v>128</v>
      </c>
      <c r="K762" s="3">
        <f t="shared" si="11"/>
        <v>4352</v>
      </c>
      <c r="L762" s="3">
        <v>2567.6800000000003</v>
      </c>
    </row>
    <row r="763" spans="1:12" x14ac:dyDescent="0.25">
      <c r="A763" t="s">
        <v>19</v>
      </c>
      <c r="B763">
        <v>1197831</v>
      </c>
      <c r="C763" s="1">
        <v>44231</v>
      </c>
      <c r="D763" t="s">
        <v>52</v>
      </c>
      <c r="E763" t="s">
        <v>64</v>
      </c>
      <c r="F763" t="s">
        <v>65</v>
      </c>
      <c r="G763" t="s">
        <v>41</v>
      </c>
      <c r="H763" t="s">
        <v>17</v>
      </c>
      <c r="I763" s="3">
        <v>32</v>
      </c>
      <c r="J763" s="2">
        <v>174</v>
      </c>
      <c r="K763" s="3">
        <f t="shared" si="11"/>
        <v>5568</v>
      </c>
      <c r="L763" s="3">
        <v>3229.44</v>
      </c>
    </row>
    <row r="764" spans="1:12" x14ac:dyDescent="0.25">
      <c r="A764" t="s">
        <v>19</v>
      </c>
      <c r="B764">
        <v>1197831</v>
      </c>
      <c r="C764" s="1">
        <v>44231</v>
      </c>
      <c r="D764" t="s">
        <v>12</v>
      </c>
      <c r="E764" t="s">
        <v>66</v>
      </c>
      <c r="F764" t="s">
        <v>67</v>
      </c>
      <c r="G764" t="s">
        <v>15</v>
      </c>
      <c r="H764" t="s">
        <v>37</v>
      </c>
      <c r="I764" s="3">
        <v>27</v>
      </c>
      <c r="J764" s="2">
        <v>116</v>
      </c>
      <c r="K764" s="3">
        <f t="shared" si="11"/>
        <v>3132</v>
      </c>
      <c r="L764" s="3">
        <v>1816.56</v>
      </c>
    </row>
    <row r="765" spans="1:12" x14ac:dyDescent="0.25">
      <c r="A765" t="s">
        <v>26</v>
      </c>
      <c r="B765">
        <v>1185732</v>
      </c>
      <c r="C765" s="1">
        <v>44231</v>
      </c>
      <c r="D765" t="s">
        <v>32</v>
      </c>
      <c r="E765" t="s">
        <v>46</v>
      </c>
      <c r="F765" t="s">
        <v>47</v>
      </c>
      <c r="G765" t="s">
        <v>41</v>
      </c>
      <c r="H765" t="s">
        <v>17</v>
      </c>
      <c r="I765" s="3">
        <v>34</v>
      </c>
      <c r="J765" s="2">
        <v>188</v>
      </c>
      <c r="K765" s="3">
        <f t="shared" si="11"/>
        <v>6392</v>
      </c>
      <c r="L765" s="3">
        <v>3323.84</v>
      </c>
    </row>
    <row r="766" spans="1:12" x14ac:dyDescent="0.25">
      <c r="A766" t="s">
        <v>26</v>
      </c>
      <c r="B766">
        <v>1185732</v>
      </c>
      <c r="C766" s="1">
        <v>44231</v>
      </c>
      <c r="D766" t="s">
        <v>32</v>
      </c>
      <c r="E766" t="s">
        <v>46</v>
      </c>
      <c r="F766" t="s">
        <v>47</v>
      </c>
      <c r="G766" t="s">
        <v>41</v>
      </c>
      <c r="H766" t="s">
        <v>38</v>
      </c>
      <c r="I766" s="3">
        <v>34</v>
      </c>
      <c r="J766" s="2">
        <v>263</v>
      </c>
      <c r="K766" s="3">
        <f t="shared" si="11"/>
        <v>8942</v>
      </c>
      <c r="L766" s="3">
        <v>4471</v>
      </c>
    </row>
    <row r="767" spans="1:12" x14ac:dyDescent="0.25">
      <c r="A767" t="s">
        <v>26</v>
      </c>
      <c r="B767">
        <v>1185732</v>
      </c>
      <c r="C767" s="1">
        <v>44231</v>
      </c>
      <c r="D767" t="s">
        <v>32</v>
      </c>
      <c r="E767" t="s">
        <v>108</v>
      </c>
      <c r="F767" t="s">
        <v>109</v>
      </c>
      <c r="G767" t="s">
        <v>41</v>
      </c>
      <c r="H767" t="s">
        <v>37</v>
      </c>
      <c r="I767" s="3">
        <v>29</v>
      </c>
      <c r="J767" s="2">
        <v>142</v>
      </c>
      <c r="K767" s="3">
        <f t="shared" si="11"/>
        <v>4118</v>
      </c>
      <c r="L767" s="3">
        <v>2059</v>
      </c>
    </row>
    <row r="768" spans="1:12" x14ac:dyDescent="0.25">
      <c r="A768" t="s">
        <v>26</v>
      </c>
      <c r="B768">
        <v>1185732</v>
      </c>
      <c r="C768" s="1">
        <v>44231</v>
      </c>
      <c r="D768" t="s">
        <v>32</v>
      </c>
      <c r="E768" t="s">
        <v>108</v>
      </c>
      <c r="F768" t="s">
        <v>109</v>
      </c>
      <c r="G768" t="s">
        <v>41</v>
      </c>
      <c r="H768" t="s">
        <v>22</v>
      </c>
      <c r="I768" s="3">
        <v>44</v>
      </c>
      <c r="J768" s="2">
        <v>180</v>
      </c>
      <c r="K768" s="3">
        <f t="shared" si="11"/>
        <v>7920</v>
      </c>
      <c r="L768" s="3">
        <v>3960</v>
      </c>
    </row>
    <row r="769" spans="1:12" x14ac:dyDescent="0.25">
      <c r="A769" t="s">
        <v>19</v>
      </c>
      <c r="B769">
        <v>1197831</v>
      </c>
      <c r="C769" s="1">
        <v>44231</v>
      </c>
      <c r="D769" t="s">
        <v>12</v>
      </c>
      <c r="E769" t="s">
        <v>66</v>
      </c>
      <c r="F769" t="s">
        <v>67</v>
      </c>
      <c r="G769" t="s">
        <v>15</v>
      </c>
      <c r="H769" t="s">
        <v>16</v>
      </c>
      <c r="I769" s="3">
        <v>26</v>
      </c>
      <c r="J769" s="2">
        <v>135</v>
      </c>
      <c r="K769" s="3">
        <f t="shared" si="11"/>
        <v>3510</v>
      </c>
      <c r="L769" s="3">
        <v>1684.8</v>
      </c>
    </row>
    <row r="770" spans="1:12" x14ac:dyDescent="0.25">
      <c r="A770" t="s">
        <v>19</v>
      </c>
      <c r="B770">
        <v>1197831</v>
      </c>
      <c r="C770" s="1">
        <v>44231</v>
      </c>
      <c r="D770" t="s">
        <v>12</v>
      </c>
      <c r="E770" t="s">
        <v>66</v>
      </c>
      <c r="F770" t="s">
        <v>67</v>
      </c>
      <c r="G770" t="s">
        <v>41</v>
      </c>
      <c r="H770" t="s">
        <v>37</v>
      </c>
      <c r="I770" s="3">
        <v>32</v>
      </c>
      <c r="J770" s="2">
        <v>109</v>
      </c>
      <c r="K770" s="3">
        <f t="shared" si="11"/>
        <v>3488</v>
      </c>
      <c r="L770" s="3">
        <v>1604.4799999999998</v>
      </c>
    </row>
    <row r="771" spans="1:12" x14ac:dyDescent="0.25">
      <c r="A771" t="s">
        <v>19</v>
      </c>
      <c r="B771">
        <v>1197831</v>
      </c>
      <c r="C771" s="1">
        <v>44231</v>
      </c>
      <c r="D771" t="s">
        <v>12</v>
      </c>
      <c r="E771" t="s">
        <v>66</v>
      </c>
      <c r="F771" t="s">
        <v>67</v>
      </c>
      <c r="G771" t="s">
        <v>41</v>
      </c>
      <c r="H771" t="s">
        <v>16</v>
      </c>
      <c r="I771" s="3">
        <v>34</v>
      </c>
      <c r="J771" s="2">
        <v>131</v>
      </c>
      <c r="K771" s="3">
        <f t="shared" ref="K771:K834" si="12">I771*J771</f>
        <v>4454</v>
      </c>
      <c r="L771" s="3">
        <v>2004.2999999999997</v>
      </c>
    </row>
    <row r="772" spans="1:12" x14ac:dyDescent="0.25">
      <c r="A772" t="s">
        <v>26</v>
      </c>
      <c r="B772">
        <v>1185732</v>
      </c>
      <c r="C772" s="1">
        <v>44231</v>
      </c>
      <c r="D772" t="s">
        <v>32</v>
      </c>
      <c r="E772" t="s">
        <v>46</v>
      </c>
      <c r="F772" t="s">
        <v>47</v>
      </c>
      <c r="G772" t="s">
        <v>41</v>
      </c>
      <c r="H772" t="s">
        <v>35</v>
      </c>
      <c r="I772" s="3">
        <v>23</v>
      </c>
      <c r="J772" s="2">
        <v>169</v>
      </c>
      <c r="K772" s="3">
        <f t="shared" si="12"/>
        <v>3887</v>
      </c>
      <c r="L772" s="3">
        <v>1749.1499999999996</v>
      </c>
    </row>
    <row r="773" spans="1:12" x14ac:dyDescent="0.25">
      <c r="A773" t="s">
        <v>27</v>
      </c>
      <c r="B773">
        <v>1189833</v>
      </c>
      <c r="C773" s="1">
        <v>44231</v>
      </c>
      <c r="D773" t="s">
        <v>57</v>
      </c>
      <c r="E773" t="s">
        <v>58</v>
      </c>
      <c r="F773" t="s">
        <v>59</v>
      </c>
      <c r="G773" t="s">
        <v>41</v>
      </c>
      <c r="H773" t="s">
        <v>35</v>
      </c>
      <c r="I773" s="3">
        <v>44</v>
      </c>
      <c r="J773" s="2">
        <v>143</v>
      </c>
      <c r="K773" s="3">
        <f t="shared" si="12"/>
        <v>6292</v>
      </c>
      <c r="L773" s="3">
        <v>2579.7199999999993</v>
      </c>
    </row>
    <row r="774" spans="1:12" x14ac:dyDescent="0.25">
      <c r="A774" t="s">
        <v>26</v>
      </c>
      <c r="B774">
        <v>1185732</v>
      </c>
      <c r="C774" s="1">
        <v>44231</v>
      </c>
      <c r="D774" t="s">
        <v>32</v>
      </c>
      <c r="E774" t="s">
        <v>108</v>
      </c>
      <c r="F774" t="s">
        <v>109</v>
      </c>
      <c r="G774" t="s">
        <v>41</v>
      </c>
      <c r="H774" t="s">
        <v>16</v>
      </c>
      <c r="I774" s="3">
        <v>29</v>
      </c>
      <c r="J774" s="2">
        <v>203</v>
      </c>
      <c r="K774" s="3">
        <f t="shared" si="12"/>
        <v>5887</v>
      </c>
      <c r="L774" s="3">
        <v>2354.8000000000002</v>
      </c>
    </row>
    <row r="775" spans="1:12" x14ac:dyDescent="0.25">
      <c r="A775" t="s">
        <v>26</v>
      </c>
      <c r="B775">
        <v>1185732</v>
      </c>
      <c r="C775" s="1">
        <v>44232</v>
      </c>
      <c r="D775" t="s">
        <v>29</v>
      </c>
      <c r="E775" t="s">
        <v>91</v>
      </c>
      <c r="F775" t="s">
        <v>92</v>
      </c>
      <c r="G775" t="s">
        <v>18</v>
      </c>
      <c r="H775" t="s">
        <v>35</v>
      </c>
      <c r="I775" s="3">
        <v>30.000000000000004</v>
      </c>
      <c r="J775" s="2">
        <v>250</v>
      </c>
      <c r="K775" s="3">
        <f t="shared" si="12"/>
        <v>7500.0000000000009</v>
      </c>
      <c r="L775" s="3">
        <v>5250.0000000000018</v>
      </c>
    </row>
    <row r="776" spans="1:12" x14ac:dyDescent="0.25">
      <c r="A776" t="s">
        <v>26</v>
      </c>
      <c r="B776">
        <v>1185732</v>
      </c>
      <c r="C776" s="1">
        <v>44232</v>
      </c>
      <c r="D776" t="s">
        <v>29</v>
      </c>
      <c r="E776" t="s">
        <v>93</v>
      </c>
      <c r="F776" t="s">
        <v>94</v>
      </c>
      <c r="G776" t="s">
        <v>18</v>
      </c>
      <c r="H776" t="s">
        <v>37</v>
      </c>
      <c r="I776" s="3">
        <v>35</v>
      </c>
      <c r="J776" s="2">
        <v>125</v>
      </c>
      <c r="K776" s="3">
        <f t="shared" si="12"/>
        <v>4375</v>
      </c>
      <c r="L776" s="3">
        <v>3062.5</v>
      </c>
    </row>
    <row r="777" spans="1:12" x14ac:dyDescent="0.25">
      <c r="A777" t="s">
        <v>26</v>
      </c>
      <c r="B777">
        <v>1185732</v>
      </c>
      <c r="C777" s="1">
        <v>44232</v>
      </c>
      <c r="D777" t="s">
        <v>29</v>
      </c>
      <c r="E777" t="s">
        <v>93</v>
      </c>
      <c r="F777" t="s">
        <v>94</v>
      </c>
      <c r="G777" t="s">
        <v>18</v>
      </c>
      <c r="H777" t="s">
        <v>22</v>
      </c>
      <c r="I777" s="3">
        <v>50</v>
      </c>
      <c r="J777" s="2">
        <v>200</v>
      </c>
      <c r="K777" s="3">
        <f t="shared" si="12"/>
        <v>10000</v>
      </c>
      <c r="L777" s="3">
        <v>7000</v>
      </c>
    </row>
    <row r="778" spans="1:12" x14ac:dyDescent="0.25">
      <c r="A778" t="s">
        <v>11</v>
      </c>
      <c r="B778">
        <v>1128299</v>
      </c>
      <c r="C778" s="1">
        <v>44232</v>
      </c>
      <c r="D778" t="s">
        <v>12</v>
      </c>
      <c r="E778" t="s">
        <v>13</v>
      </c>
      <c r="F778" t="s">
        <v>14</v>
      </c>
      <c r="G778" t="s">
        <v>15</v>
      </c>
      <c r="H778" t="s">
        <v>38</v>
      </c>
      <c r="I778" s="3">
        <v>55.000000000000007</v>
      </c>
      <c r="J778" s="2">
        <v>875</v>
      </c>
      <c r="K778" s="3">
        <f t="shared" si="12"/>
        <v>48125.000000000007</v>
      </c>
      <c r="L778" s="3">
        <v>33687.5</v>
      </c>
    </row>
    <row r="779" spans="1:12" x14ac:dyDescent="0.25">
      <c r="A779" t="s">
        <v>26</v>
      </c>
      <c r="B779">
        <v>1185732</v>
      </c>
      <c r="C779" s="1">
        <v>44232</v>
      </c>
      <c r="D779" t="s">
        <v>29</v>
      </c>
      <c r="E779" t="s">
        <v>93</v>
      </c>
      <c r="F779" t="s">
        <v>94</v>
      </c>
      <c r="G779" t="s">
        <v>18</v>
      </c>
      <c r="H779" t="s">
        <v>16</v>
      </c>
      <c r="I779" s="3">
        <v>40</v>
      </c>
      <c r="J779" s="2">
        <v>300</v>
      </c>
      <c r="K779" s="3">
        <f t="shared" si="12"/>
        <v>12000</v>
      </c>
      <c r="L779" s="3">
        <v>7800</v>
      </c>
    </row>
    <row r="780" spans="1:12" x14ac:dyDescent="0.25">
      <c r="A780" t="s">
        <v>27</v>
      </c>
      <c r="B780">
        <v>1189833</v>
      </c>
      <c r="C780" s="1">
        <v>44232</v>
      </c>
      <c r="D780" t="s">
        <v>57</v>
      </c>
      <c r="E780" t="s">
        <v>58</v>
      </c>
      <c r="F780" t="s">
        <v>59</v>
      </c>
      <c r="G780" t="s">
        <v>15</v>
      </c>
      <c r="H780" t="s">
        <v>37</v>
      </c>
      <c r="I780" s="3">
        <v>40</v>
      </c>
      <c r="J780" s="2">
        <v>450</v>
      </c>
      <c r="K780" s="3">
        <f t="shared" si="12"/>
        <v>18000</v>
      </c>
      <c r="L780" s="3">
        <v>10800</v>
      </c>
    </row>
    <row r="781" spans="1:12" x14ac:dyDescent="0.25">
      <c r="A781" t="s">
        <v>26</v>
      </c>
      <c r="B781">
        <v>1185732</v>
      </c>
      <c r="C781" s="1">
        <v>44232</v>
      </c>
      <c r="D781" t="s">
        <v>29</v>
      </c>
      <c r="E781" t="s">
        <v>91</v>
      </c>
      <c r="F781" t="s">
        <v>92</v>
      </c>
      <c r="G781" t="s">
        <v>18</v>
      </c>
      <c r="H781" t="s">
        <v>38</v>
      </c>
      <c r="I781" s="3">
        <v>40</v>
      </c>
      <c r="J781" s="2">
        <v>550</v>
      </c>
      <c r="K781" s="3">
        <f t="shared" si="12"/>
        <v>22000</v>
      </c>
      <c r="L781" s="3">
        <v>13200</v>
      </c>
    </row>
    <row r="782" spans="1:12" x14ac:dyDescent="0.25">
      <c r="A782" t="s">
        <v>26</v>
      </c>
      <c r="B782">
        <v>1185732</v>
      </c>
      <c r="C782" s="1">
        <v>44232</v>
      </c>
      <c r="D782" t="s">
        <v>29</v>
      </c>
      <c r="E782" t="s">
        <v>91</v>
      </c>
      <c r="F782" t="s">
        <v>92</v>
      </c>
      <c r="G782" t="s">
        <v>18</v>
      </c>
      <c r="H782" t="s">
        <v>17</v>
      </c>
      <c r="I782" s="3">
        <v>40</v>
      </c>
      <c r="J782" s="2">
        <v>200</v>
      </c>
      <c r="K782" s="3">
        <f t="shared" si="12"/>
        <v>8000</v>
      </c>
      <c r="L782" s="3">
        <v>4800</v>
      </c>
    </row>
    <row r="783" spans="1:12" x14ac:dyDescent="0.25">
      <c r="A783" t="s">
        <v>26</v>
      </c>
      <c r="B783">
        <v>1185732</v>
      </c>
      <c r="C783" s="1">
        <v>44232</v>
      </c>
      <c r="D783" t="s">
        <v>29</v>
      </c>
      <c r="E783" t="s">
        <v>93</v>
      </c>
      <c r="F783" t="s">
        <v>94</v>
      </c>
      <c r="G783" t="s">
        <v>15</v>
      </c>
      <c r="H783" t="s">
        <v>37</v>
      </c>
      <c r="I783" s="3">
        <v>24</v>
      </c>
      <c r="J783" s="2">
        <v>39</v>
      </c>
      <c r="K783" s="3">
        <f t="shared" si="12"/>
        <v>936</v>
      </c>
      <c r="L783" s="3">
        <v>627.12000000000012</v>
      </c>
    </row>
    <row r="784" spans="1:12" x14ac:dyDescent="0.25">
      <c r="A784" t="s">
        <v>11</v>
      </c>
      <c r="B784">
        <v>1128299</v>
      </c>
      <c r="C784" s="1">
        <v>44232</v>
      </c>
      <c r="D784" t="s">
        <v>12</v>
      </c>
      <c r="E784" t="s">
        <v>13</v>
      </c>
      <c r="F784" t="s">
        <v>14</v>
      </c>
      <c r="G784" t="s">
        <v>15</v>
      </c>
      <c r="H784" t="s">
        <v>38</v>
      </c>
      <c r="I784" s="3">
        <v>39</v>
      </c>
      <c r="J784" s="2">
        <v>263</v>
      </c>
      <c r="K784" s="3">
        <f t="shared" si="12"/>
        <v>10257</v>
      </c>
      <c r="L784" s="3">
        <v>6667.0499999999993</v>
      </c>
    </row>
    <row r="785" spans="1:12" x14ac:dyDescent="0.25">
      <c r="A785" t="s">
        <v>26</v>
      </c>
      <c r="B785">
        <v>1185732</v>
      </c>
      <c r="C785" s="1">
        <v>44232</v>
      </c>
      <c r="D785" t="s">
        <v>29</v>
      </c>
      <c r="E785" t="s">
        <v>93</v>
      </c>
      <c r="F785" t="s">
        <v>94</v>
      </c>
      <c r="G785" t="s">
        <v>15</v>
      </c>
      <c r="H785" t="s">
        <v>22</v>
      </c>
      <c r="I785" s="3">
        <v>39</v>
      </c>
      <c r="J785" s="2">
        <v>66</v>
      </c>
      <c r="K785" s="3">
        <f t="shared" si="12"/>
        <v>2574</v>
      </c>
      <c r="L785" s="3">
        <v>1621.62</v>
      </c>
    </row>
    <row r="786" spans="1:12" x14ac:dyDescent="0.25">
      <c r="A786" t="s">
        <v>26</v>
      </c>
      <c r="B786">
        <v>1185732</v>
      </c>
      <c r="C786" s="1">
        <v>44232</v>
      </c>
      <c r="D786" t="s">
        <v>29</v>
      </c>
      <c r="E786" t="s">
        <v>93</v>
      </c>
      <c r="F786" t="s">
        <v>94</v>
      </c>
      <c r="G786" t="s">
        <v>15</v>
      </c>
      <c r="H786" t="s">
        <v>16</v>
      </c>
      <c r="I786" s="3">
        <v>32</v>
      </c>
      <c r="J786" s="2">
        <v>96</v>
      </c>
      <c r="K786" s="3">
        <f t="shared" si="12"/>
        <v>3072</v>
      </c>
      <c r="L786" s="3">
        <v>1873.92</v>
      </c>
    </row>
    <row r="787" spans="1:12" x14ac:dyDescent="0.25">
      <c r="A787" t="s">
        <v>26</v>
      </c>
      <c r="B787">
        <v>1185732</v>
      </c>
      <c r="C787" s="1">
        <v>44232</v>
      </c>
      <c r="D787" t="s">
        <v>29</v>
      </c>
      <c r="E787" t="s">
        <v>93</v>
      </c>
      <c r="F787" t="s">
        <v>94</v>
      </c>
      <c r="G787" t="s">
        <v>41</v>
      </c>
      <c r="H787" t="s">
        <v>22</v>
      </c>
      <c r="I787" s="3">
        <v>49</v>
      </c>
      <c r="J787" s="2">
        <v>60</v>
      </c>
      <c r="K787" s="3">
        <f t="shared" si="12"/>
        <v>2940</v>
      </c>
      <c r="L787" s="3">
        <v>1646.4</v>
      </c>
    </row>
    <row r="788" spans="1:12" x14ac:dyDescent="0.25">
      <c r="A788" t="s">
        <v>26</v>
      </c>
      <c r="B788">
        <v>1185732</v>
      </c>
      <c r="C788" s="1">
        <v>44232</v>
      </c>
      <c r="D788" t="s">
        <v>29</v>
      </c>
      <c r="E788" t="s">
        <v>93</v>
      </c>
      <c r="F788" t="s">
        <v>94</v>
      </c>
      <c r="G788" t="s">
        <v>41</v>
      </c>
      <c r="H788" t="s">
        <v>37</v>
      </c>
      <c r="I788" s="3">
        <v>32</v>
      </c>
      <c r="J788" s="2">
        <v>34</v>
      </c>
      <c r="K788" s="3">
        <f t="shared" si="12"/>
        <v>1088</v>
      </c>
      <c r="L788" s="3">
        <v>609.28</v>
      </c>
    </row>
    <row r="789" spans="1:12" x14ac:dyDescent="0.25">
      <c r="A789" t="s">
        <v>11</v>
      </c>
      <c r="B789">
        <v>1128299</v>
      </c>
      <c r="C789" s="1">
        <v>44232</v>
      </c>
      <c r="D789" t="s">
        <v>12</v>
      </c>
      <c r="E789" t="s">
        <v>13</v>
      </c>
      <c r="F789" t="s">
        <v>14</v>
      </c>
      <c r="G789" t="s">
        <v>41</v>
      </c>
      <c r="H789" t="s">
        <v>38</v>
      </c>
      <c r="I789" s="3">
        <v>52</v>
      </c>
      <c r="J789" s="2">
        <v>263</v>
      </c>
      <c r="K789" s="3">
        <f t="shared" si="12"/>
        <v>13676</v>
      </c>
      <c r="L789" s="3">
        <v>7658.5599999999995</v>
      </c>
    </row>
    <row r="790" spans="1:12" x14ac:dyDescent="0.25">
      <c r="A790" t="s">
        <v>26</v>
      </c>
      <c r="B790">
        <v>1185732</v>
      </c>
      <c r="C790" s="1">
        <v>44232</v>
      </c>
      <c r="D790" t="s">
        <v>29</v>
      </c>
      <c r="E790" t="s">
        <v>93</v>
      </c>
      <c r="F790" t="s">
        <v>94</v>
      </c>
      <c r="G790" t="s">
        <v>41</v>
      </c>
      <c r="H790" t="s">
        <v>16</v>
      </c>
      <c r="I790" s="3">
        <v>39</v>
      </c>
      <c r="J790" s="2">
        <v>84</v>
      </c>
      <c r="K790" s="3">
        <f t="shared" si="12"/>
        <v>3276</v>
      </c>
      <c r="L790" s="3">
        <v>1801.8000000000002</v>
      </c>
    </row>
    <row r="791" spans="1:12" x14ac:dyDescent="0.25">
      <c r="A791" t="s">
        <v>26</v>
      </c>
      <c r="B791">
        <v>1185732</v>
      </c>
      <c r="C791" s="1">
        <v>44232</v>
      </c>
      <c r="D791" t="s">
        <v>29</v>
      </c>
      <c r="E791" t="s">
        <v>91</v>
      </c>
      <c r="F791" t="s">
        <v>92</v>
      </c>
      <c r="G791" t="s">
        <v>41</v>
      </c>
      <c r="H791" t="s">
        <v>35</v>
      </c>
      <c r="I791" s="3">
        <v>29</v>
      </c>
      <c r="J791" s="2">
        <v>65</v>
      </c>
      <c r="K791" s="3">
        <f t="shared" si="12"/>
        <v>1885</v>
      </c>
      <c r="L791" s="3">
        <v>1036.75</v>
      </c>
    </row>
    <row r="792" spans="1:12" x14ac:dyDescent="0.25">
      <c r="A792" t="s">
        <v>26</v>
      </c>
      <c r="B792">
        <v>1185732</v>
      </c>
      <c r="C792" s="1">
        <v>44232</v>
      </c>
      <c r="D792" t="s">
        <v>29</v>
      </c>
      <c r="E792" t="s">
        <v>91</v>
      </c>
      <c r="F792" t="s">
        <v>92</v>
      </c>
      <c r="G792" t="s">
        <v>41</v>
      </c>
      <c r="H792" t="s">
        <v>38</v>
      </c>
      <c r="I792" s="3">
        <v>39</v>
      </c>
      <c r="J792" s="2">
        <v>149</v>
      </c>
      <c r="K792" s="3">
        <f t="shared" si="12"/>
        <v>5811</v>
      </c>
      <c r="L792" s="3">
        <v>2905.5</v>
      </c>
    </row>
    <row r="793" spans="1:12" x14ac:dyDescent="0.25">
      <c r="A793" t="s">
        <v>26</v>
      </c>
      <c r="B793">
        <v>1185732</v>
      </c>
      <c r="C793" s="1">
        <v>44232</v>
      </c>
      <c r="D793" t="s">
        <v>29</v>
      </c>
      <c r="E793" t="s">
        <v>91</v>
      </c>
      <c r="F793" t="s">
        <v>92</v>
      </c>
      <c r="G793" t="s">
        <v>41</v>
      </c>
      <c r="H793" t="s">
        <v>17</v>
      </c>
      <c r="I793" s="3">
        <v>37</v>
      </c>
      <c r="J793" s="2">
        <v>54</v>
      </c>
      <c r="K793" s="3">
        <f t="shared" si="12"/>
        <v>1998</v>
      </c>
      <c r="L793" s="3">
        <v>999</v>
      </c>
    </row>
    <row r="794" spans="1:12" x14ac:dyDescent="0.25">
      <c r="A794" t="s">
        <v>27</v>
      </c>
      <c r="B794">
        <v>1189833</v>
      </c>
      <c r="C794" s="1">
        <v>44232</v>
      </c>
      <c r="D794" t="s">
        <v>57</v>
      </c>
      <c r="E794" t="s">
        <v>58</v>
      </c>
      <c r="F794" t="s">
        <v>59</v>
      </c>
      <c r="G794" t="s">
        <v>41</v>
      </c>
      <c r="H794" t="s">
        <v>37</v>
      </c>
      <c r="I794" s="3">
        <v>36</v>
      </c>
      <c r="J794" s="2">
        <v>113</v>
      </c>
      <c r="K794" s="3">
        <f t="shared" si="12"/>
        <v>4068</v>
      </c>
      <c r="L794" s="3">
        <v>1911.96</v>
      </c>
    </row>
    <row r="795" spans="1:12" x14ac:dyDescent="0.25">
      <c r="A795" t="s">
        <v>11</v>
      </c>
      <c r="B795">
        <v>1128299</v>
      </c>
      <c r="C795" s="1">
        <v>44233</v>
      </c>
      <c r="D795" t="s">
        <v>12</v>
      </c>
      <c r="E795" t="s">
        <v>13</v>
      </c>
      <c r="F795" t="s">
        <v>14</v>
      </c>
      <c r="G795" t="s">
        <v>15</v>
      </c>
      <c r="H795" t="s">
        <v>17</v>
      </c>
      <c r="I795" s="3">
        <v>60.000000000000007</v>
      </c>
      <c r="J795" s="2">
        <v>875</v>
      </c>
      <c r="K795" s="3">
        <f t="shared" si="12"/>
        <v>52500.000000000007</v>
      </c>
      <c r="L795" s="3">
        <v>44625.000000000015</v>
      </c>
    </row>
    <row r="796" spans="1:12" x14ac:dyDescent="0.25">
      <c r="A796" t="s">
        <v>19</v>
      </c>
      <c r="B796">
        <v>1185732</v>
      </c>
      <c r="C796" s="1">
        <v>44233</v>
      </c>
      <c r="D796" t="s">
        <v>57</v>
      </c>
      <c r="E796" t="s">
        <v>76</v>
      </c>
      <c r="F796" t="s">
        <v>77</v>
      </c>
      <c r="G796" t="s">
        <v>18</v>
      </c>
      <c r="H796" t="s">
        <v>38</v>
      </c>
      <c r="I796" s="3">
        <v>30.000000000000004</v>
      </c>
      <c r="J796" s="2">
        <v>500</v>
      </c>
      <c r="K796" s="3">
        <f t="shared" si="12"/>
        <v>15000.000000000002</v>
      </c>
      <c r="L796" s="3">
        <v>10500.000000000004</v>
      </c>
    </row>
    <row r="797" spans="1:12" x14ac:dyDescent="0.25">
      <c r="A797" t="s">
        <v>19</v>
      </c>
      <c r="B797">
        <v>1185732</v>
      </c>
      <c r="C797" s="1">
        <v>44233</v>
      </c>
      <c r="D797" t="s">
        <v>57</v>
      </c>
      <c r="E797" t="s">
        <v>76</v>
      </c>
      <c r="F797" t="s">
        <v>77</v>
      </c>
      <c r="G797" t="s">
        <v>18</v>
      </c>
      <c r="H797" t="s">
        <v>35</v>
      </c>
      <c r="I797" s="3">
        <v>20.000000000000007</v>
      </c>
      <c r="J797" s="2">
        <v>200</v>
      </c>
      <c r="K797" s="3">
        <f t="shared" si="12"/>
        <v>4000.0000000000014</v>
      </c>
      <c r="L797" s="3">
        <v>2800.0000000000009</v>
      </c>
    </row>
    <row r="798" spans="1:12" x14ac:dyDescent="0.25">
      <c r="A798" t="s">
        <v>19</v>
      </c>
      <c r="B798">
        <v>1185732</v>
      </c>
      <c r="C798" s="1">
        <v>44233</v>
      </c>
      <c r="D798" t="s">
        <v>57</v>
      </c>
      <c r="E798" t="s">
        <v>78</v>
      </c>
      <c r="F798" t="s">
        <v>79</v>
      </c>
      <c r="G798" t="s">
        <v>18</v>
      </c>
      <c r="H798" t="s">
        <v>37</v>
      </c>
      <c r="I798" s="3">
        <v>25.000000000000007</v>
      </c>
      <c r="J798" s="2">
        <v>75</v>
      </c>
      <c r="K798" s="3">
        <f t="shared" si="12"/>
        <v>1875.0000000000005</v>
      </c>
      <c r="L798" s="3">
        <v>1312.5000000000005</v>
      </c>
    </row>
    <row r="799" spans="1:12" x14ac:dyDescent="0.25">
      <c r="A799" t="s">
        <v>19</v>
      </c>
      <c r="B799">
        <v>1185732</v>
      </c>
      <c r="C799" s="1">
        <v>44233</v>
      </c>
      <c r="D799" t="s">
        <v>57</v>
      </c>
      <c r="E799" t="s">
        <v>76</v>
      </c>
      <c r="F799" t="s">
        <v>77</v>
      </c>
      <c r="G799" t="s">
        <v>18</v>
      </c>
      <c r="H799" t="s">
        <v>17</v>
      </c>
      <c r="I799" s="3">
        <v>30.000000000000004</v>
      </c>
      <c r="J799" s="2">
        <v>150</v>
      </c>
      <c r="K799" s="3">
        <f t="shared" si="12"/>
        <v>4500.0000000000009</v>
      </c>
      <c r="L799" s="3">
        <v>2925.0000000000009</v>
      </c>
    </row>
    <row r="800" spans="1:12" x14ac:dyDescent="0.25">
      <c r="A800" t="s">
        <v>19</v>
      </c>
      <c r="B800">
        <v>1185732</v>
      </c>
      <c r="C800" s="1">
        <v>44233</v>
      </c>
      <c r="D800" t="s">
        <v>57</v>
      </c>
      <c r="E800" t="s">
        <v>78</v>
      </c>
      <c r="F800" t="s">
        <v>79</v>
      </c>
      <c r="G800" t="s">
        <v>18</v>
      </c>
      <c r="H800" t="s">
        <v>16</v>
      </c>
      <c r="I800" s="3">
        <v>14.999999999999996</v>
      </c>
      <c r="J800" s="2">
        <v>250</v>
      </c>
      <c r="K800" s="3">
        <f t="shared" si="12"/>
        <v>3749.9999999999991</v>
      </c>
      <c r="L800" s="3">
        <v>2249.9999999999991</v>
      </c>
    </row>
    <row r="801" spans="1:12" x14ac:dyDescent="0.25">
      <c r="A801" t="s">
        <v>19</v>
      </c>
      <c r="B801">
        <v>1185732</v>
      </c>
      <c r="C801" s="1">
        <v>44233</v>
      </c>
      <c r="D801" t="s">
        <v>57</v>
      </c>
      <c r="E801" t="s">
        <v>78</v>
      </c>
      <c r="F801" t="s">
        <v>79</v>
      </c>
      <c r="G801" t="s">
        <v>18</v>
      </c>
      <c r="H801" t="s">
        <v>22</v>
      </c>
      <c r="I801" s="3">
        <v>40</v>
      </c>
      <c r="J801" s="2">
        <v>150</v>
      </c>
      <c r="K801" s="3">
        <f t="shared" si="12"/>
        <v>6000</v>
      </c>
      <c r="L801" s="3">
        <v>3000</v>
      </c>
    </row>
    <row r="802" spans="1:12" x14ac:dyDescent="0.25">
      <c r="A802" t="s">
        <v>27</v>
      </c>
      <c r="B802">
        <v>1189833</v>
      </c>
      <c r="C802" s="1">
        <v>44233</v>
      </c>
      <c r="D802" t="s">
        <v>57</v>
      </c>
      <c r="E802" t="s">
        <v>58</v>
      </c>
      <c r="F802" t="s">
        <v>59</v>
      </c>
      <c r="G802" t="s">
        <v>15</v>
      </c>
      <c r="H802" t="s">
        <v>22</v>
      </c>
      <c r="I802" s="3">
        <v>45</v>
      </c>
      <c r="J802" s="2">
        <v>475</v>
      </c>
      <c r="K802" s="3">
        <f t="shared" si="12"/>
        <v>21375</v>
      </c>
      <c r="L802" s="3">
        <v>8549.9999999999982</v>
      </c>
    </row>
    <row r="803" spans="1:12" x14ac:dyDescent="0.25">
      <c r="A803" t="s">
        <v>11</v>
      </c>
      <c r="B803">
        <v>1128299</v>
      </c>
      <c r="C803" s="1">
        <v>44233</v>
      </c>
      <c r="D803" t="s">
        <v>12</v>
      </c>
      <c r="E803" t="s">
        <v>13</v>
      </c>
      <c r="F803" t="s">
        <v>14</v>
      </c>
      <c r="G803" t="s">
        <v>15</v>
      </c>
      <c r="H803" t="s">
        <v>17</v>
      </c>
      <c r="I803" s="3">
        <v>46</v>
      </c>
      <c r="J803" s="2">
        <v>306</v>
      </c>
      <c r="K803" s="3">
        <f t="shared" si="12"/>
        <v>14076</v>
      </c>
      <c r="L803" s="3">
        <v>11260.8</v>
      </c>
    </row>
    <row r="804" spans="1:12" x14ac:dyDescent="0.25">
      <c r="A804" t="s">
        <v>11</v>
      </c>
      <c r="B804">
        <v>1128299</v>
      </c>
      <c r="C804" s="1">
        <v>44233</v>
      </c>
      <c r="D804" t="s">
        <v>12</v>
      </c>
      <c r="E804" t="s">
        <v>13</v>
      </c>
      <c r="F804" t="s">
        <v>14</v>
      </c>
      <c r="G804" t="s">
        <v>41</v>
      </c>
      <c r="H804" t="s">
        <v>17</v>
      </c>
      <c r="I804" s="3">
        <v>58</v>
      </c>
      <c r="J804" s="2">
        <v>236</v>
      </c>
      <c r="K804" s="3">
        <f t="shared" si="12"/>
        <v>13688</v>
      </c>
      <c r="L804" s="3">
        <v>10266</v>
      </c>
    </row>
    <row r="805" spans="1:12" x14ac:dyDescent="0.25">
      <c r="A805" t="s">
        <v>19</v>
      </c>
      <c r="B805">
        <v>1185732</v>
      </c>
      <c r="C805" s="1">
        <v>44233</v>
      </c>
      <c r="D805" t="s">
        <v>57</v>
      </c>
      <c r="E805" t="s">
        <v>76</v>
      </c>
      <c r="F805" t="s">
        <v>77</v>
      </c>
      <c r="G805" t="s">
        <v>41</v>
      </c>
      <c r="H805" t="s">
        <v>35</v>
      </c>
      <c r="I805" s="3">
        <v>19</v>
      </c>
      <c r="J805" s="2">
        <v>56</v>
      </c>
      <c r="K805" s="3">
        <f t="shared" si="12"/>
        <v>1064</v>
      </c>
      <c r="L805" s="3">
        <v>627.76</v>
      </c>
    </row>
    <row r="806" spans="1:12" x14ac:dyDescent="0.25">
      <c r="A806" t="s">
        <v>19</v>
      </c>
      <c r="B806">
        <v>1185732</v>
      </c>
      <c r="C806" s="1">
        <v>44233</v>
      </c>
      <c r="D806" t="s">
        <v>57</v>
      </c>
      <c r="E806" t="s">
        <v>76</v>
      </c>
      <c r="F806" t="s">
        <v>77</v>
      </c>
      <c r="G806" t="s">
        <v>41</v>
      </c>
      <c r="H806" t="s">
        <v>38</v>
      </c>
      <c r="I806" s="3">
        <v>28</v>
      </c>
      <c r="J806" s="2">
        <v>145</v>
      </c>
      <c r="K806" s="3">
        <f t="shared" si="12"/>
        <v>4060</v>
      </c>
      <c r="L806" s="3">
        <v>2273.6</v>
      </c>
    </row>
    <row r="807" spans="1:12" x14ac:dyDescent="0.25">
      <c r="A807" t="s">
        <v>19</v>
      </c>
      <c r="B807">
        <v>1185732</v>
      </c>
      <c r="C807" s="1">
        <v>44233</v>
      </c>
      <c r="D807" t="s">
        <v>57</v>
      </c>
      <c r="E807" t="s">
        <v>78</v>
      </c>
      <c r="F807" t="s">
        <v>79</v>
      </c>
      <c r="G807" t="s">
        <v>41</v>
      </c>
      <c r="H807" t="s">
        <v>37</v>
      </c>
      <c r="I807" s="3">
        <v>25</v>
      </c>
      <c r="J807" s="2">
        <v>23</v>
      </c>
      <c r="K807" s="3">
        <f t="shared" si="12"/>
        <v>575</v>
      </c>
      <c r="L807" s="3">
        <v>322</v>
      </c>
    </row>
    <row r="808" spans="1:12" x14ac:dyDescent="0.25">
      <c r="A808" t="s">
        <v>19</v>
      </c>
      <c r="B808">
        <v>1185732</v>
      </c>
      <c r="C808" s="1">
        <v>44233</v>
      </c>
      <c r="D808" t="s">
        <v>57</v>
      </c>
      <c r="E808" t="s">
        <v>76</v>
      </c>
      <c r="F808" t="s">
        <v>77</v>
      </c>
      <c r="G808" t="s">
        <v>41</v>
      </c>
      <c r="H808" t="s">
        <v>17</v>
      </c>
      <c r="I808" s="3">
        <v>28</v>
      </c>
      <c r="J808" s="2">
        <v>45</v>
      </c>
      <c r="K808" s="3">
        <f t="shared" si="12"/>
        <v>1260</v>
      </c>
      <c r="L808" s="3">
        <v>680.40000000000009</v>
      </c>
    </row>
    <row r="809" spans="1:12" x14ac:dyDescent="0.25">
      <c r="A809" t="s">
        <v>19</v>
      </c>
      <c r="B809">
        <v>1185732</v>
      </c>
      <c r="C809" s="1">
        <v>44233</v>
      </c>
      <c r="D809" t="s">
        <v>57</v>
      </c>
      <c r="E809" t="s">
        <v>78</v>
      </c>
      <c r="F809" t="s">
        <v>79</v>
      </c>
      <c r="G809" t="s">
        <v>41</v>
      </c>
      <c r="H809" t="s">
        <v>16</v>
      </c>
      <c r="I809" s="3">
        <v>14</v>
      </c>
      <c r="J809" s="2">
        <v>68</v>
      </c>
      <c r="K809" s="3">
        <f t="shared" si="12"/>
        <v>952</v>
      </c>
      <c r="L809" s="3">
        <v>437.91999999999996</v>
      </c>
    </row>
    <row r="810" spans="1:12" x14ac:dyDescent="0.25">
      <c r="A810" t="s">
        <v>19</v>
      </c>
      <c r="B810">
        <v>1185732</v>
      </c>
      <c r="C810" s="1">
        <v>44233</v>
      </c>
      <c r="D810" t="s">
        <v>57</v>
      </c>
      <c r="E810" t="s">
        <v>78</v>
      </c>
      <c r="F810" t="s">
        <v>79</v>
      </c>
      <c r="G810" t="s">
        <v>41</v>
      </c>
      <c r="H810" t="s">
        <v>22</v>
      </c>
      <c r="I810" s="3">
        <v>38</v>
      </c>
      <c r="J810" s="2">
        <v>38</v>
      </c>
      <c r="K810" s="3">
        <f t="shared" si="12"/>
        <v>1444</v>
      </c>
      <c r="L810" s="3">
        <v>505.4</v>
      </c>
    </row>
    <row r="811" spans="1:12" x14ac:dyDescent="0.25">
      <c r="A811" t="s">
        <v>27</v>
      </c>
      <c r="B811">
        <v>1189833</v>
      </c>
      <c r="C811" s="1">
        <v>44233</v>
      </c>
      <c r="D811" t="s">
        <v>57</v>
      </c>
      <c r="E811" t="s">
        <v>58</v>
      </c>
      <c r="F811" t="s">
        <v>59</v>
      </c>
      <c r="G811" t="s">
        <v>41</v>
      </c>
      <c r="H811" t="s">
        <v>22</v>
      </c>
      <c r="I811" s="3">
        <v>42</v>
      </c>
      <c r="J811" s="2">
        <v>124</v>
      </c>
      <c r="K811" s="3">
        <f t="shared" si="12"/>
        <v>5208</v>
      </c>
      <c r="L811" s="3">
        <v>1562.3999999999996</v>
      </c>
    </row>
    <row r="812" spans="1:12" x14ac:dyDescent="0.25">
      <c r="A812" t="s">
        <v>27</v>
      </c>
      <c r="B812">
        <v>1189833</v>
      </c>
      <c r="C812" s="1">
        <v>44234</v>
      </c>
      <c r="D812" t="s">
        <v>57</v>
      </c>
      <c r="E812" t="s">
        <v>58</v>
      </c>
      <c r="F812" t="s">
        <v>59</v>
      </c>
      <c r="G812" t="s">
        <v>15</v>
      </c>
      <c r="H812" t="s">
        <v>16</v>
      </c>
      <c r="I812" s="3">
        <v>60</v>
      </c>
      <c r="J812" s="2">
        <v>475</v>
      </c>
      <c r="K812" s="3">
        <f t="shared" si="12"/>
        <v>28500</v>
      </c>
      <c r="L812" s="3">
        <v>21375</v>
      </c>
    </row>
    <row r="813" spans="1:12" x14ac:dyDescent="0.25">
      <c r="A813" t="s">
        <v>19</v>
      </c>
      <c r="B813">
        <v>1185732</v>
      </c>
      <c r="C813" s="1">
        <v>44234</v>
      </c>
      <c r="D813" t="s">
        <v>32</v>
      </c>
      <c r="E813" t="s">
        <v>44</v>
      </c>
      <c r="F813" t="s">
        <v>45</v>
      </c>
      <c r="G813" t="s">
        <v>41</v>
      </c>
      <c r="H813" t="s">
        <v>35</v>
      </c>
      <c r="I813" s="3">
        <v>30.000000000000004</v>
      </c>
      <c r="J813" s="2">
        <v>775</v>
      </c>
      <c r="K813" s="3">
        <f t="shared" si="12"/>
        <v>23250.000000000004</v>
      </c>
      <c r="L813" s="3">
        <v>17437.500000000004</v>
      </c>
    </row>
    <row r="814" spans="1:12" x14ac:dyDescent="0.25">
      <c r="A814" t="s">
        <v>19</v>
      </c>
      <c r="B814">
        <v>1185732</v>
      </c>
      <c r="C814" s="1">
        <v>44234</v>
      </c>
      <c r="D814" t="s">
        <v>32</v>
      </c>
      <c r="E814" t="s">
        <v>46</v>
      </c>
      <c r="F814" t="s">
        <v>47</v>
      </c>
      <c r="G814" t="s">
        <v>41</v>
      </c>
      <c r="H814" t="s">
        <v>37</v>
      </c>
      <c r="I814" s="3">
        <v>35</v>
      </c>
      <c r="J814" s="2">
        <v>625</v>
      </c>
      <c r="K814" s="3">
        <f t="shared" si="12"/>
        <v>21875</v>
      </c>
      <c r="L814" s="3">
        <v>15312.5</v>
      </c>
    </row>
    <row r="815" spans="1:12" x14ac:dyDescent="0.25">
      <c r="A815" t="s">
        <v>11</v>
      </c>
      <c r="B815">
        <v>1128299</v>
      </c>
      <c r="C815" s="1">
        <v>44234</v>
      </c>
      <c r="D815" t="s">
        <v>12</v>
      </c>
      <c r="E815" t="s">
        <v>13</v>
      </c>
      <c r="F815" t="s">
        <v>14</v>
      </c>
      <c r="G815" t="s">
        <v>15</v>
      </c>
      <c r="H815" t="s">
        <v>35</v>
      </c>
      <c r="I815" s="3">
        <v>55.000000000000007</v>
      </c>
      <c r="J815" s="2">
        <v>725</v>
      </c>
      <c r="K815" s="3">
        <f t="shared" si="12"/>
        <v>39875.000000000007</v>
      </c>
      <c r="L815" s="3">
        <v>27912.5</v>
      </c>
    </row>
    <row r="816" spans="1:12" x14ac:dyDescent="0.25">
      <c r="A816" t="s">
        <v>19</v>
      </c>
      <c r="B816">
        <v>1185732</v>
      </c>
      <c r="C816" s="1">
        <v>44234</v>
      </c>
      <c r="D816" t="s">
        <v>32</v>
      </c>
      <c r="E816" t="s">
        <v>44</v>
      </c>
      <c r="F816" t="s">
        <v>45</v>
      </c>
      <c r="G816" t="s">
        <v>41</v>
      </c>
      <c r="H816" t="s">
        <v>17</v>
      </c>
      <c r="I816" s="3">
        <v>40</v>
      </c>
      <c r="J816" s="2">
        <v>725</v>
      </c>
      <c r="K816" s="3">
        <f t="shared" si="12"/>
        <v>29000</v>
      </c>
      <c r="L816" s="3">
        <v>18850</v>
      </c>
    </row>
    <row r="817" spans="1:12" x14ac:dyDescent="0.25">
      <c r="A817" t="s">
        <v>19</v>
      </c>
      <c r="B817">
        <v>1185732</v>
      </c>
      <c r="C817" s="1">
        <v>44234</v>
      </c>
      <c r="D817" t="s">
        <v>32</v>
      </c>
      <c r="E817" t="s">
        <v>46</v>
      </c>
      <c r="F817" t="s">
        <v>47</v>
      </c>
      <c r="G817" t="s">
        <v>41</v>
      </c>
      <c r="H817" t="s">
        <v>22</v>
      </c>
      <c r="I817" s="3">
        <v>50</v>
      </c>
      <c r="J817" s="2">
        <v>700</v>
      </c>
      <c r="K817" s="3">
        <f t="shared" si="12"/>
        <v>35000</v>
      </c>
      <c r="L817" s="3">
        <v>22750</v>
      </c>
    </row>
    <row r="818" spans="1:12" x14ac:dyDescent="0.25">
      <c r="A818" t="s">
        <v>19</v>
      </c>
      <c r="B818">
        <v>1185732</v>
      </c>
      <c r="C818" s="1">
        <v>44234</v>
      </c>
      <c r="D818" t="s">
        <v>32</v>
      </c>
      <c r="E818" t="s">
        <v>44</v>
      </c>
      <c r="F818" t="s">
        <v>45</v>
      </c>
      <c r="G818" t="s">
        <v>41</v>
      </c>
      <c r="H818" t="s">
        <v>38</v>
      </c>
      <c r="I818" s="3">
        <v>40</v>
      </c>
      <c r="J818" s="2">
        <v>1075</v>
      </c>
      <c r="K818" s="3">
        <f t="shared" si="12"/>
        <v>43000</v>
      </c>
      <c r="L818" s="3">
        <v>23650</v>
      </c>
    </row>
    <row r="819" spans="1:12" x14ac:dyDescent="0.25">
      <c r="A819" t="s">
        <v>19</v>
      </c>
      <c r="B819">
        <v>1185732</v>
      </c>
      <c r="C819" s="1">
        <v>44234</v>
      </c>
      <c r="D819" t="s">
        <v>32</v>
      </c>
      <c r="E819" t="s">
        <v>46</v>
      </c>
      <c r="F819" t="s">
        <v>47</v>
      </c>
      <c r="G819" t="s">
        <v>41</v>
      </c>
      <c r="H819" t="s">
        <v>16</v>
      </c>
      <c r="I819" s="3">
        <v>35</v>
      </c>
      <c r="J819" s="2">
        <v>800</v>
      </c>
      <c r="K819" s="3">
        <f t="shared" si="12"/>
        <v>28000</v>
      </c>
      <c r="L819" s="3">
        <v>14000</v>
      </c>
    </row>
    <row r="820" spans="1:12" x14ac:dyDescent="0.25">
      <c r="A820" t="s">
        <v>19</v>
      </c>
      <c r="B820">
        <v>1185732</v>
      </c>
      <c r="C820" s="1">
        <v>44234</v>
      </c>
      <c r="D820" t="s">
        <v>32</v>
      </c>
      <c r="E820" t="s">
        <v>44</v>
      </c>
      <c r="F820" t="s">
        <v>45</v>
      </c>
      <c r="G820" t="s">
        <v>15</v>
      </c>
      <c r="H820" t="s">
        <v>35</v>
      </c>
      <c r="I820" s="3">
        <v>21</v>
      </c>
      <c r="J820" s="2">
        <v>248</v>
      </c>
      <c r="K820" s="3">
        <f t="shared" si="12"/>
        <v>5208</v>
      </c>
      <c r="L820" s="3">
        <v>3645.6000000000004</v>
      </c>
    </row>
    <row r="821" spans="1:12" x14ac:dyDescent="0.25">
      <c r="A821" t="s">
        <v>11</v>
      </c>
      <c r="B821">
        <v>1128299</v>
      </c>
      <c r="C821" s="1">
        <v>44234</v>
      </c>
      <c r="D821" t="s">
        <v>12</v>
      </c>
      <c r="E821" t="s">
        <v>13</v>
      </c>
      <c r="F821" t="s">
        <v>14</v>
      </c>
      <c r="G821" t="s">
        <v>15</v>
      </c>
      <c r="H821" t="s">
        <v>35</v>
      </c>
      <c r="I821" s="3">
        <v>40</v>
      </c>
      <c r="J821" s="2">
        <v>247</v>
      </c>
      <c r="K821" s="3">
        <f t="shared" si="12"/>
        <v>9880</v>
      </c>
      <c r="L821" s="3">
        <v>6520.7999999999993</v>
      </c>
    </row>
    <row r="822" spans="1:12" x14ac:dyDescent="0.25">
      <c r="A822" t="s">
        <v>27</v>
      </c>
      <c r="B822">
        <v>1189833</v>
      </c>
      <c r="C822" s="1">
        <v>44234</v>
      </c>
      <c r="D822" t="s">
        <v>57</v>
      </c>
      <c r="E822" t="s">
        <v>58</v>
      </c>
      <c r="F822" t="s">
        <v>59</v>
      </c>
      <c r="G822" t="s">
        <v>41</v>
      </c>
      <c r="H822" t="s">
        <v>16</v>
      </c>
      <c r="I822" s="3">
        <v>58</v>
      </c>
      <c r="J822" s="2">
        <v>143</v>
      </c>
      <c r="K822" s="3">
        <f t="shared" si="12"/>
        <v>8294</v>
      </c>
      <c r="L822" s="3">
        <v>5391.1</v>
      </c>
    </row>
    <row r="823" spans="1:12" x14ac:dyDescent="0.25">
      <c r="A823" t="s">
        <v>19</v>
      </c>
      <c r="B823">
        <v>1185732</v>
      </c>
      <c r="C823" s="1">
        <v>44234</v>
      </c>
      <c r="D823" t="s">
        <v>32</v>
      </c>
      <c r="E823" t="s">
        <v>44</v>
      </c>
      <c r="F823" t="s">
        <v>45</v>
      </c>
      <c r="G823" t="s">
        <v>41</v>
      </c>
      <c r="H823" t="s">
        <v>35</v>
      </c>
      <c r="I823" s="3">
        <v>29</v>
      </c>
      <c r="J823" s="2">
        <v>217</v>
      </c>
      <c r="K823" s="3">
        <f t="shared" si="12"/>
        <v>6293</v>
      </c>
      <c r="L823" s="3">
        <v>3964.59</v>
      </c>
    </row>
    <row r="824" spans="1:12" x14ac:dyDescent="0.25">
      <c r="A824" t="s">
        <v>19</v>
      </c>
      <c r="B824">
        <v>1185732</v>
      </c>
      <c r="C824" s="1">
        <v>44234</v>
      </c>
      <c r="D824" t="s">
        <v>32</v>
      </c>
      <c r="E824" t="s">
        <v>44</v>
      </c>
      <c r="F824" t="s">
        <v>45</v>
      </c>
      <c r="G824" t="s">
        <v>15</v>
      </c>
      <c r="H824" t="s">
        <v>17</v>
      </c>
      <c r="I824" s="3">
        <v>27</v>
      </c>
      <c r="J824" s="2">
        <v>247</v>
      </c>
      <c r="K824" s="3">
        <f t="shared" si="12"/>
        <v>6669</v>
      </c>
      <c r="L824" s="3">
        <v>4134.78</v>
      </c>
    </row>
    <row r="825" spans="1:12" x14ac:dyDescent="0.25">
      <c r="A825" t="s">
        <v>11</v>
      </c>
      <c r="B825">
        <v>1128299</v>
      </c>
      <c r="C825" s="1">
        <v>44234</v>
      </c>
      <c r="D825" t="s">
        <v>12</v>
      </c>
      <c r="E825" t="s">
        <v>13</v>
      </c>
      <c r="F825" t="s">
        <v>14</v>
      </c>
      <c r="G825" t="s">
        <v>41</v>
      </c>
      <c r="H825" t="s">
        <v>35</v>
      </c>
      <c r="I825" s="3">
        <v>50</v>
      </c>
      <c r="J825" s="2">
        <v>210</v>
      </c>
      <c r="K825" s="3">
        <f t="shared" si="12"/>
        <v>10500</v>
      </c>
      <c r="L825" s="3">
        <v>6300</v>
      </c>
    </row>
    <row r="826" spans="1:12" x14ac:dyDescent="0.25">
      <c r="A826" t="s">
        <v>19</v>
      </c>
      <c r="B826">
        <v>1185732</v>
      </c>
      <c r="C826" s="1">
        <v>44234</v>
      </c>
      <c r="D826" t="s">
        <v>32</v>
      </c>
      <c r="E826" t="s">
        <v>46</v>
      </c>
      <c r="F826" t="s">
        <v>47</v>
      </c>
      <c r="G826" t="s">
        <v>41</v>
      </c>
      <c r="H826" t="s">
        <v>37</v>
      </c>
      <c r="I826" s="3">
        <v>33</v>
      </c>
      <c r="J826" s="2">
        <v>169</v>
      </c>
      <c r="K826" s="3">
        <f t="shared" si="12"/>
        <v>5577</v>
      </c>
      <c r="L826" s="3">
        <v>3067.3500000000004</v>
      </c>
    </row>
    <row r="827" spans="1:12" x14ac:dyDescent="0.25">
      <c r="A827" t="s">
        <v>19</v>
      </c>
      <c r="B827">
        <v>1185732</v>
      </c>
      <c r="C827" s="1">
        <v>44234</v>
      </c>
      <c r="D827" t="s">
        <v>32</v>
      </c>
      <c r="E827" t="s">
        <v>44</v>
      </c>
      <c r="F827" t="s">
        <v>45</v>
      </c>
      <c r="G827" t="s">
        <v>41</v>
      </c>
      <c r="H827" t="s">
        <v>17</v>
      </c>
      <c r="I827" s="3">
        <v>39</v>
      </c>
      <c r="J827" s="2">
        <v>218</v>
      </c>
      <c r="K827" s="3">
        <f t="shared" si="12"/>
        <v>8502</v>
      </c>
      <c r="L827" s="3">
        <v>4591.08</v>
      </c>
    </row>
    <row r="828" spans="1:12" x14ac:dyDescent="0.25">
      <c r="A828" t="s">
        <v>19</v>
      </c>
      <c r="B828">
        <v>1185732</v>
      </c>
      <c r="C828" s="1">
        <v>44234</v>
      </c>
      <c r="D828" t="s">
        <v>32</v>
      </c>
      <c r="E828" t="s">
        <v>46</v>
      </c>
      <c r="F828" t="s">
        <v>47</v>
      </c>
      <c r="G828" t="s">
        <v>41</v>
      </c>
      <c r="H828" t="s">
        <v>22</v>
      </c>
      <c r="I828" s="3">
        <v>49</v>
      </c>
      <c r="J828" s="2">
        <v>189</v>
      </c>
      <c r="K828" s="3">
        <f t="shared" si="12"/>
        <v>9261</v>
      </c>
      <c r="L828" s="3">
        <v>4908.33</v>
      </c>
    </row>
    <row r="829" spans="1:12" x14ac:dyDescent="0.25">
      <c r="A829" t="s">
        <v>19</v>
      </c>
      <c r="B829">
        <v>1185732</v>
      </c>
      <c r="C829" s="1">
        <v>44234</v>
      </c>
      <c r="D829" t="s">
        <v>32</v>
      </c>
      <c r="E829" t="s">
        <v>44</v>
      </c>
      <c r="F829" t="s">
        <v>45</v>
      </c>
      <c r="G829" t="s">
        <v>15</v>
      </c>
      <c r="H829" t="s">
        <v>38</v>
      </c>
      <c r="I829" s="3">
        <v>31</v>
      </c>
      <c r="J829" s="2">
        <v>376</v>
      </c>
      <c r="K829" s="3">
        <f t="shared" si="12"/>
        <v>11656</v>
      </c>
      <c r="L829" s="3">
        <v>6061.12</v>
      </c>
    </row>
    <row r="830" spans="1:12" x14ac:dyDescent="0.25">
      <c r="A830" t="s">
        <v>19</v>
      </c>
      <c r="B830">
        <v>1185732</v>
      </c>
      <c r="C830" s="1">
        <v>44234</v>
      </c>
      <c r="D830" t="s">
        <v>32</v>
      </c>
      <c r="E830" t="s">
        <v>44</v>
      </c>
      <c r="F830" t="s">
        <v>45</v>
      </c>
      <c r="G830" t="s">
        <v>41</v>
      </c>
      <c r="H830" t="s">
        <v>38</v>
      </c>
      <c r="I830" s="3">
        <v>38</v>
      </c>
      <c r="J830" s="2">
        <v>312</v>
      </c>
      <c r="K830" s="3">
        <f t="shared" si="12"/>
        <v>11856</v>
      </c>
      <c r="L830" s="3">
        <v>4860.9599999999991</v>
      </c>
    </row>
    <row r="831" spans="1:12" x14ac:dyDescent="0.25">
      <c r="A831" t="s">
        <v>19</v>
      </c>
      <c r="B831">
        <v>1185732</v>
      </c>
      <c r="C831" s="1">
        <v>44234</v>
      </c>
      <c r="D831" t="s">
        <v>32</v>
      </c>
      <c r="E831" t="s">
        <v>46</v>
      </c>
      <c r="F831" t="s">
        <v>47</v>
      </c>
      <c r="G831" t="s">
        <v>41</v>
      </c>
      <c r="H831" t="s">
        <v>16</v>
      </c>
      <c r="I831" s="3">
        <v>34</v>
      </c>
      <c r="J831" s="2">
        <v>216</v>
      </c>
      <c r="K831" s="3">
        <f t="shared" si="12"/>
        <v>7344</v>
      </c>
      <c r="L831" s="3">
        <v>2570.3999999999996</v>
      </c>
    </row>
    <row r="832" spans="1:12" x14ac:dyDescent="0.25">
      <c r="A832" t="s">
        <v>11</v>
      </c>
      <c r="B832">
        <v>1128299</v>
      </c>
      <c r="C832" s="1">
        <v>44235</v>
      </c>
      <c r="D832" t="s">
        <v>12</v>
      </c>
      <c r="E832" t="s">
        <v>13</v>
      </c>
      <c r="F832" t="s">
        <v>14</v>
      </c>
      <c r="G832" t="s">
        <v>15</v>
      </c>
      <c r="H832" t="s">
        <v>37</v>
      </c>
      <c r="I832" s="3">
        <v>55.000000000000007</v>
      </c>
      <c r="J832" s="2">
        <v>700</v>
      </c>
      <c r="K832" s="3">
        <f t="shared" si="12"/>
        <v>38500.000000000007</v>
      </c>
      <c r="L832" s="3">
        <v>28875.000000000007</v>
      </c>
    </row>
    <row r="833" spans="1:12" x14ac:dyDescent="0.25">
      <c r="A833" t="s">
        <v>27</v>
      </c>
      <c r="B833">
        <v>1185732</v>
      </c>
      <c r="C833" s="1">
        <v>44235</v>
      </c>
      <c r="D833" t="s">
        <v>29</v>
      </c>
      <c r="E833" t="s">
        <v>91</v>
      </c>
      <c r="F833" t="s">
        <v>92</v>
      </c>
      <c r="G833" t="s">
        <v>18</v>
      </c>
      <c r="H833" t="s">
        <v>22</v>
      </c>
      <c r="I833" s="3">
        <v>45</v>
      </c>
      <c r="J833" s="2">
        <v>175</v>
      </c>
      <c r="K833" s="3">
        <f t="shared" si="12"/>
        <v>7875</v>
      </c>
      <c r="L833" s="3">
        <v>5512.5</v>
      </c>
    </row>
    <row r="834" spans="1:12" x14ac:dyDescent="0.25">
      <c r="A834" t="s">
        <v>19</v>
      </c>
      <c r="B834">
        <v>1185732</v>
      </c>
      <c r="C834" s="1">
        <v>44235</v>
      </c>
      <c r="D834" t="s">
        <v>29</v>
      </c>
      <c r="E834" t="s">
        <v>48</v>
      </c>
      <c r="F834" t="s">
        <v>49</v>
      </c>
      <c r="G834" t="s">
        <v>18</v>
      </c>
      <c r="H834" t="s">
        <v>22</v>
      </c>
      <c r="I834" s="3">
        <v>45</v>
      </c>
      <c r="J834" s="2">
        <v>125</v>
      </c>
      <c r="K834" s="3">
        <f t="shared" si="12"/>
        <v>5625</v>
      </c>
      <c r="L834" s="3">
        <v>3937.5</v>
      </c>
    </row>
    <row r="835" spans="1:12" x14ac:dyDescent="0.25">
      <c r="A835" t="s">
        <v>27</v>
      </c>
      <c r="B835">
        <v>1185732</v>
      </c>
      <c r="C835" s="1">
        <v>44235</v>
      </c>
      <c r="D835" t="s">
        <v>29</v>
      </c>
      <c r="E835" t="s">
        <v>89</v>
      </c>
      <c r="F835" t="s">
        <v>90</v>
      </c>
      <c r="G835" t="s">
        <v>18</v>
      </c>
      <c r="H835" t="s">
        <v>38</v>
      </c>
      <c r="I835" s="3">
        <v>35</v>
      </c>
      <c r="J835" s="2">
        <v>525</v>
      </c>
      <c r="K835" s="3">
        <f t="shared" ref="K835:K898" si="13">I835*J835</f>
        <v>18375</v>
      </c>
      <c r="L835" s="3">
        <v>11943.75</v>
      </c>
    </row>
    <row r="836" spans="1:12" x14ac:dyDescent="0.25">
      <c r="A836" t="s">
        <v>27</v>
      </c>
      <c r="B836">
        <v>1185732</v>
      </c>
      <c r="C836" s="1">
        <v>44235</v>
      </c>
      <c r="D836" t="s">
        <v>29</v>
      </c>
      <c r="E836" t="s">
        <v>89</v>
      </c>
      <c r="F836" t="s">
        <v>90</v>
      </c>
      <c r="G836" t="s">
        <v>18</v>
      </c>
      <c r="H836" t="s">
        <v>17</v>
      </c>
      <c r="I836" s="3">
        <v>35</v>
      </c>
      <c r="J836" s="2">
        <v>175</v>
      </c>
      <c r="K836" s="3">
        <f t="shared" si="13"/>
        <v>6125</v>
      </c>
      <c r="L836" s="3">
        <v>3981.25</v>
      </c>
    </row>
    <row r="837" spans="1:12" x14ac:dyDescent="0.25">
      <c r="A837" t="s">
        <v>19</v>
      </c>
      <c r="B837">
        <v>1185732</v>
      </c>
      <c r="C837" s="1">
        <v>44235</v>
      </c>
      <c r="D837" t="s">
        <v>29</v>
      </c>
      <c r="E837" t="s">
        <v>93</v>
      </c>
      <c r="F837" t="s">
        <v>94</v>
      </c>
      <c r="G837" t="s">
        <v>18</v>
      </c>
      <c r="H837" t="s">
        <v>38</v>
      </c>
      <c r="I837" s="3">
        <v>35</v>
      </c>
      <c r="J837" s="2">
        <v>475</v>
      </c>
      <c r="K837" s="3">
        <f t="shared" si="13"/>
        <v>16625</v>
      </c>
      <c r="L837" s="3">
        <v>10806.25</v>
      </c>
    </row>
    <row r="838" spans="1:12" x14ac:dyDescent="0.25">
      <c r="A838" t="s">
        <v>19</v>
      </c>
      <c r="B838">
        <v>1185732</v>
      </c>
      <c r="C838" s="1">
        <v>44235</v>
      </c>
      <c r="D838" t="s">
        <v>29</v>
      </c>
      <c r="E838" t="s">
        <v>93</v>
      </c>
      <c r="F838" t="s">
        <v>94</v>
      </c>
      <c r="G838" t="s">
        <v>18</v>
      </c>
      <c r="H838" t="s">
        <v>17</v>
      </c>
      <c r="I838" s="3">
        <v>35</v>
      </c>
      <c r="J838" s="2">
        <v>125</v>
      </c>
      <c r="K838" s="3">
        <f t="shared" si="13"/>
        <v>4375</v>
      </c>
      <c r="L838" s="3">
        <v>2843.75</v>
      </c>
    </row>
    <row r="839" spans="1:12" x14ac:dyDescent="0.25">
      <c r="A839" t="s">
        <v>19</v>
      </c>
      <c r="B839">
        <v>1185732</v>
      </c>
      <c r="C839" s="1">
        <v>44235</v>
      </c>
      <c r="D839" t="s">
        <v>29</v>
      </c>
      <c r="E839" t="s">
        <v>93</v>
      </c>
      <c r="F839" t="s">
        <v>94</v>
      </c>
      <c r="G839" t="s">
        <v>18</v>
      </c>
      <c r="H839" t="s">
        <v>35</v>
      </c>
      <c r="I839" s="3">
        <v>25.000000000000007</v>
      </c>
      <c r="J839" s="2">
        <v>175</v>
      </c>
      <c r="K839" s="3">
        <f t="shared" si="13"/>
        <v>4375.0000000000009</v>
      </c>
      <c r="L839" s="3">
        <v>2625.0000000000009</v>
      </c>
    </row>
    <row r="840" spans="1:12" x14ac:dyDescent="0.25">
      <c r="A840" t="s">
        <v>27</v>
      </c>
      <c r="B840">
        <v>1185732</v>
      </c>
      <c r="C840" s="1">
        <v>44235</v>
      </c>
      <c r="D840" t="s">
        <v>29</v>
      </c>
      <c r="E840" t="s">
        <v>89</v>
      </c>
      <c r="F840" t="s">
        <v>90</v>
      </c>
      <c r="G840" t="s">
        <v>18</v>
      </c>
      <c r="H840" t="s">
        <v>35</v>
      </c>
      <c r="I840" s="3">
        <v>25.000000000000007</v>
      </c>
      <c r="J840" s="2">
        <v>225</v>
      </c>
      <c r="K840" s="3">
        <f t="shared" si="13"/>
        <v>5625.0000000000018</v>
      </c>
      <c r="L840" s="3">
        <v>3375.0000000000009</v>
      </c>
    </row>
    <row r="841" spans="1:12" x14ac:dyDescent="0.25">
      <c r="A841" t="s">
        <v>27</v>
      </c>
      <c r="B841">
        <v>1185732</v>
      </c>
      <c r="C841" s="1">
        <v>44235</v>
      </c>
      <c r="D841" t="s">
        <v>29</v>
      </c>
      <c r="E841" t="s">
        <v>91</v>
      </c>
      <c r="F841" t="s">
        <v>92</v>
      </c>
      <c r="G841" t="s">
        <v>18</v>
      </c>
      <c r="H841" t="s">
        <v>37</v>
      </c>
      <c r="I841" s="3">
        <v>30</v>
      </c>
      <c r="J841" s="2">
        <v>100</v>
      </c>
      <c r="K841" s="3">
        <f t="shared" si="13"/>
        <v>3000</v>
      </c>
      <c r="L841" s="3">
        <v>1800</v>
      </c>
    </row>
    <row r="842" spans="1:12" x14ac:dyDescent="0.25">
      <c r="A842" t="s">
        <v>27</v>
      </c>
      <c r="B842">
        <v>1185732</v>
      </c>
      <c r="C842" s="1">
        <v>44235</v>
      </c>
      <c r="D842" t="s">
        <v>29</v>
      </c>
      <c r="E842" t="s">
        <v>91</v>
      </c>
      <c r="F842" t="s">
        <v>92</v>
      </c>
      <c r="G842" t="s">
        <v>18</v>
      </c>
      <c r="H842" t="s">
        <v>16</v>
      </c>
      <c r="I842" s="3">
        <v>35</v>
      </c>
      <c r="J842" s="2">
        <v>275</v>
      </c>
      <c r="K842" s="3">
        <f t="shared" si="13"/>
        <v>9625</v>
      </c>
      <c r="L842" s="3">
        <v>5775</v>
      </c>
    </row>
    <row r="843" spans="1:12" x14ac:dyDescent="0.25">
      <c r="A843" t="s">
        <v>19</v>
      </c>
      <c r="B843">
        <v>1185732</v>
      </c>
      <c r="C843" s="1">
        <v>44235</v>
      </c>
      <c r="D843" t="s">
        <v>29</v>
      </c>
      <c r="E843" t="s">
        <v>48</v>
      </c>
      <c r="F843" t="s">
        <v>49</v>
      </c>
      <c r="G843" t="s">
        <v>18</v>
      </c>
      <c r="H843" t="s">
        <v>37</v>
      </c>
      <c r="I843" s="3">
        <v>30</v>
      </c>
      <c r="J843" s="2">
        <v>50</v>
      </c>
      <c r="K843" s="3">
        <f t="shared" si="13"/>
        <v>1500</v>
      </c>
      <c r="L843" s="3">
        <v>900</v>
      </c>
    </row>
    <row r="844" spans="1:12" x14ac:dyDescent="0.25">
      <c r="A844" t="s">
        <v>19</v>
      </c>
      <c r="B844">
        <v>1185732</v>
      </c>
      <c r="C844" s="1">
        <v>44235</v>
      </c>
      <c r="D844" t="s">
        <v>29</v>
      </c>
      <c r="E844" t="s">
        <v>48</v>
      </c>
      <c r="F844" t="s">
        <v>49</v>
      </c>
      <c r="G844" t="s">
        <v>18</v>
      </c>
      <c r="H844" t="s">
        <v>16</v>
      </c>
      <c r="I844" s="3">
        <v>35</v>
      </c>
      <c r="J844" s="2">
        <v>225</v>
      </c>
      <c r="K844" s="3">
        <f t="shared" si="13"/>
        <v>7875</v>
      </c>
      <c r="L844" s="3">
        <v>4725</v>
      </c>
    </row>
    <row r="845" spans="1:12" x14ac:dyDescent="0.25">
      <c r="A845" t="s">
        <v>27</v>
      </c>
      <c r="B845">
        <v>1189833</v>
      </c>
      <c r="C845" s="1">
        <v>44235</v>
      </c>
      <c r="D845" t="s">
        <v>57</v>
      </c>
      <c r="E845" t="s">
        <v>58</v>
      </c>
      <c r="F845" t="s">
        <v>59</v>
      </c>
      <c r="G845" t="s">
        <v>15</v>
      </c>
      <c r="H845" t="s">
        <v>38</v>
      </c>
      <c r="I845" s="3">
        <v>45</v>
      </c>
      <c r="J845" s="2">
        <v>675</v>
      </c>
      <c r="K845" s="3">
        <f t="shared" si="13"/>
        <v>30375</v>
      </c>
      <c r="L845" s="3">
        <v>16706.25</v>
      </c>
    </row>
    <row r="846" spans="1:12" x14ac:dyDescent="0.25">
      <c r="A846" t="s">
        <v>11</v>
      </c>
      <c r="B846">
        <v>1128299</v>
      </c>
      <c r="C846" s="1">
        <v>44235</v>
      </c>
      <c r="D846" t="s">
        <v>12</v>
      </c>
      <c r="E846" t="s">
        <v>13</v>
      </c>
      <c r="F846" t="s">
        <v>14</v>
      </c>
      <c r="G846" t="s">
        <v>15</v>
      </c>
      <c r="H846" t="s">
        <v>37</v>
      </c>
      <c r="I846" s="3">
        <v>37</v>
      </c>
      <c r="J846" s="2">
        <v>210</v>
      </c>
      <c r="K846" s="3">
        <f t="shared" si="13"/>
        <v>7770</v>
      </c>
      <c r="L846" s="3">
        <v>5516.7000000000007</v>
      </c>
    </row>
    <row r="847" spans="1:12" x14ac:dyDescent="0.25">
      <c r="A847" t="s">
        <v>19</v>
      </c>
      <c r="B847">
        <v>1185732</v>
      </c>
      <c r="C847" s="1">
        <v>44235</v>
      </c>
      <c r="D847" t="s">
        <v>29</v>
      </c>
      <c r="E847" t="s">
        <v>48</v>
      </c>
      <c r="F847" t="s">
        <v>49</v>
      </c>
      <c r="G847" t="s">
        <v>15</v>
      </c>
      <c r="H847" t="s">
        <v>22</v>
      </c>
      <c r="I847" s="3">
        <v>34</v>
      </c>
      <c r="J847" s="2">
        <v>40</v>
      </c>
      <c r="K847" s="3">
        <f t="shared" si="13"/>
        <v>1360</v>
      </c>
      <c r="L847" s="3">
        <v>870.40000000000009</v>
      </c>
    </row>
    <row r="848" spans="1:12" x14ac:dyDescent="0.25">
      <c r="A848" t="s">
        <v>19</v>
      </c>
      <c r="B848">
        <v>1185732</v>
      </c>
      <c r="C848" s="1">
        <v>44235</v>
      </c>
      <c r="D848" t="s">
        <v>29</v>
      </c>
      <c r="E848" t="s">
        <v>93</v>
      </c>
      <c r="F848" t="s">
        <v>94</v>
      </c>
      <c r="G848" t="s">
        <v>15</v>
      </c>
      <c r="H848" t="s">
        <v>17</v>
      </c>
      <c r="I848" s="3">
        <v>24</v>
      </c>
      <c r="J848" s="2">
        <v>41</v>
      </c>
      <c r="K848" s="3">
        <f t="shared" si="13"/>
        <v>984</v>
      </c>
      <c r="L848" s="3">
        <v>600.24</v>
      </c>
    </row>
    <row r="849" spans="1:12" x14ac:dyDescent="0.25">
      <c r="A849" t="s">
        <v>19</v>
      </c>
      <c r="B849">
        <v>1185732</v>
      </c>
      <c r="C849" s="1">
        <v>44235</v>
      </c>
      <c r="D849" t="s">
        <v>29</v>
      </c>
      <c r="E849" t="s">
        <v>93</v>
      </c>
      <c r="F849" t="s">
        <v>94</v>
      </c>
      <c r="G849" t="s">
        <v>15</v>
      </c>
      <c r="H849" t="s">
        <v>38</v>
      </c>
      <c r="I849" s="3">
        <v>24</v>
      </c>
      <c r="J849" s="2">
        <v>162</v>
      </c>
      <c r="K849" s="3">
        <f t="shared" si="13"/>
        <v>3888</v>
      </c>
      <c r="L849" s="3">
        <v>2332.8000000000002</v>
      </c>
    </row>
    <row r="850" spans="1:12" x14ac:dyDescent="0.25">
      <c r="A850" t="s">
        <v>11</v>
      </c>
      <c r="B850">
        <v>1128299</v>
      </c>
      <c r="C850" s="1">
        <v>44235</v>
      </c>
      <c r="D850" t="s">
        <v>12</v>
      </c>
      <c r="E850" t="s">
        <v>13</v>
      </c>
      <c r="F850" t="s">
        <v>14</v>
      </c>
      <c r="G850" t="s">
        <v>41</v>
      </c>
      <c r="H850" t="s">
        <v>37</v>
      </c>
      <c r="I850" s="3">
        <v>53</v>
      </c>
      <c r="J850" s="2">
        <v>210</v>
      </c>
      <c r="K850" s="3">
        <f t="shared" si="13"/>
        <v>11130</v>
      </c>
      <c r="L850" s="3">
        <v>6678</v>
      </c>
    </row>
    <row r="851" spans="1:12" x14ac:dyDescent="0.25">
      <c r="A851" t="s">
        <v>27</v>
      </c>
      <c r="B851">
        <v>1185732</v>
      </c>
      <c r="C851" s="1">
        <v>44235</v>
      </c>
      <c r="D851" t="s">
        <v>29</v>
      </c>
      <c r="E851" t="s">
        <v>91</v>
      </c>
      <c r="F851" t="s">
        <v>92</v>
      </c>
      <c r="G851" t="s">
        <v>41</v>
      </c>
      <c r="H851" t="s">
        <v>22</v>
      </c>
      <c r="I851" s="3">
        <v>41</v>
      </c>
      <c r="J851" s="2">
        <v>47</v>
      </c>
      <c r="K851" s="3">
        <f t="shared" si="13"/>
        <v>1927</v>
      </c>
      <c r="L851" s="3">
        <v>1156.1999999999998</v>
      </c>
    </row>
    <row r="852" spans="1:12" x14ac:dyDescent="0.25">
      <c r="A852" t="s">
        <v>19</v>
      </c>
      <c r="B852">
        <v>1185732</v>
      </c>
      <c r="C852" s="1">
        <v>44235</v>
      </c>
      <c r="D852" t="s">
        <v>29</v>
      </c>
      <c r="E852" t="s">
        <v>48</v>
      </c>
      <c r="F852" t="s">
        <v>49</v>
      </c>
      <c r="G852" t="s">
        <v>41</v>
      </c>
      <c r="H852" t="s">
        <v>22</v>
      </c>
      <c r="I852" s="3">
        <v>41</v>
      </c>
      <c r="J852" s="2">
        <v>35</v>
      </c>
      <c r="K852" s="3">
        <f t="shared" si="13"/>
        <v>1435</v>
      </c>
      <c r="L852" s="3">
        <v>846.65000000000009</v>
      </c>
    </row>
    <row r="853" spans="1:12" x14ac:dyDescent="0.25">
      <c r="A853" t="s">
        <v>19</v>
      </c>
      <c r="B853">
        <v>1185732</v>
      </c>
      <c r="C853" s="1">
        <v>44235</v>
      </c>
      <c r="D853" t="s">
        <v>29</v>
      </c>
      <c r="E853" t="s">
        <v>93</v>
      </c>
      <c r="F853" t="s">
        <v>94</v>
      </c>
      <c r="G853" t="s">
        <v>15</v>
      </c>
      <c r="H853" t="s">
        <v>35</v>
      </c>
      <c r="I853" s="3">
        <v>18</v>
      </c>
      <c r="J853" s="2">
        <v>53</v>
      </c>
      <c r="K853" s="3">
        <f t="shared" si="13"/>
        <v>954</v>
      </c>
      <c r="L853" s="3">
        <v>543.78</v>
      </c>
    </row>
    <row r="854" spans="1:12" x14ac:dyDescent="0.25">
      <c r="A854" t="s">
        <v>19</v>
      </c>
      <c r="B854">
        <v>1185732</v>
      </c>
      <c r="C854" s="1">
        <v>44235</v>
      </c>
      <c r="D854" t="s">
        <v>29</v>
      </c>
      <c r="E854" t="s">
        <v>48</v>
      </c>
      <c r="F854" t="s">
        <v>49</v>
      </c>
      <c r="G854" t="s">
        <v>15</v>
      </c>
      <c r="H854" t="s">
        <v>37</v>
      </c>
      <c r="I854" s="3">
        <v>20</v>
      </c>
      <c r="J854" s="2">
        <v>16</v>
      </c>
      <c r="K854" s="3">
        <f t="shared" si="13"/>
        <v>320</v>
      </c>
      <c r="L854" s="3">
        <v>176</v>
      </c>
    </row>
    <row r="855" spans="1:12" x14ac:dyDescent="0.25">
      <c r="A855" t="s">
        <v>19</v>
      </c>
      <c r="B855">
        <v>1185732</v>
      </c>
      <c r="C855" s="1">
        <v>44235</v>
      </c>
      <c r="D855" t="s">
        <v>29</v>
      </c>
      <c r="E855" t="s">
        <v>93</v>
      </c>
      <c r="F855" t="s">
        <v>94</v>
      </c>
      <c r="G855" t="s">
        <v>41</v>
      </c>
      <c r="H855" t="s">
        <v>17</v>
      </c>
      <c r="I855" s="3">
        <v>34</v>
      </c>
      <c r="J855" s="2">
        <v>36</v>
      </c>
      <c r="K855" s="3">
        <f t="shared" si="13"/>
        <v>1224</v>
      </c>
      <c r="L855" s="3">
        <v>648.72</v>
      </c>
    </row>
    <row r="856" spans="1:12" x14ac:dyDescent="0.25">
      <c r="A856" t="s">
        <v>19</v>
      </c>
      <c r="B856">
        <v>1185732</v>
      </c>
      <c r="C856" s="1">
        <v>44235</v>
      </c>
      <c r="D856" t="s">
        <v>29</v>
      </c>
      <c r="E856" t="s">
        <v>48</v>
      </c>
      <c r="F856" t="s">
        <v>49</v>
      </c>
      <c r="G856" t="s">
        <v>15</v>
      </c>
      <c r="H856" t="s">
        <v>16</v>
      </c>
      <c r="I856" s="3">
        <v>27</v>
      </c>
      <c r="J856" s="2">
        <v>77</v>
      </c>
      <c r="K856" s="3">
        <f t="shared" si="13"/>
        <v>2079</v>
      </c>
      <c r="L856" s="3">
        <v>1101.8699999999999</v>
      </c>
    </row>
    <row r="857" spans="1:12" x14ac:dyDescent="0.25">
      <c r="A857" t="s">
        <v>27</v>
      </c>
      <c r="B857">
        <v>1185732</v>
      </c>
      <c r="C857" s="1">
        <v>44235</v>
      </c>
      <c r="D857" t="s">
        <v>29</v>
      </c>
      <c r="E857" t="s">
        <v>89</v>
      </c>
      <c r="F857" t="s">
        <v>90</v>
      </c>
      <c r="G857" t="s">
        <v>41</v>
      </c>
      <c r="H857" t="s">
        <v>38</v>
      </c>
      <c r="I857" s="3">
        <v>34</v>
      </c>
      <c r="J857" s="2">
        <v>147</v>
      </c>
      <c r="K857" s="3">
        <f t="shared" si="13"/>
        <v>4998</v>
      </c>
      <c r="L857" s="3">
        <v>2598.96</v>
      </c>
    </row>
    <row r="858" spans="1:12" x14ac:dyDescent="0.25">
      <c r="A858" t="s">
        <v>19</v>
      </c>
      <c r="B858">
        <v>1185732</v>
      </c>
      <c r="C858" s="1">
        <v>44235</v>
      </c>
      <c r="D858" t="s">
        <v>29</v>
      </c>
      <c r="E858" t="s">
        <v>93</v>
      </c>
      <c r="F858" t="s">
        <v>94</v>
      </c>
      <c r="G858" t="s">
        <v>41</v>
      </c>
      <c r="H858" t="s">
        <v>38</v>
      </c>
      <c r="I858" s="3">
        <v>34</v>
      </c>
      <c r="J858" s="2">
        <v>119</v>
      </c>
      <c r="K858" s="3">
        <f t="shared" si="13"/>
        <v>4046</v>
      </c>
      <c r="L858" s="3">
        <v>2063.46</v>
      </c>
    </row>
    <row r="859" spans="1:12" x14ac:dyDescent="0.25">
      <c r="A859" t="s">
        <v>27</v>
      </c>
      <c r="B859">
        <v>1185732</v>
      </c>
      <c r="C859" s="1">
        <v>44235</v>
      </c>
      <c r="D859" t="s">
        <v>29</v>
      </c>
      <c r="E859" t="s">
        <v>89</v>
      </c>
      <c r="F859" t="s">
        <v>90</v>
      </c>
      <c r="G859" t="s">
        <v>41</v>
      </c>
      <c r="H859" t="s">
        <v>17</v>
      </c>
      <c r="I859" s="3">
        <v>32</v>
      </c>
      <c r="J859" s="2">
        <v>53</v>
      </c>
      <c r="K859" s="3">
        <f t="shared" si="13"/>
        <v>1696</v>
      </c>
      <c r="L859" s="3">
        <v>848</v>
      </c>
    </row>
    <row r="860" spans="1:12" x14ac:dyDescent="0.25">
      <c r="A860" t="s">
        <v>19</v>
      </c>
      <c r="B860">
        <v>1185732</v>
      </c>
      <c r="C860" s="1">
        <v>44235</v>
      </c>
      <c r="D860" t="s">
        <v>29</v>
      </c>
      <c r="E860" t="s">
        <v>93</v>
      </c>
      <c r="F860" t="s">
        <v>94</v>
      </c>
      <c r="G860" t="s">
        <v>41</v>
      </c>
      <c r="H860" t="s">
        <v>35</v>
      </c>
      <c r="I860" s="3">
        <v>24</v>
      </c>
      <c r="J860" s="2">
        <v>49</v>
      </c>
      <c r="K860" s="3">
        <f t="shared" si="13"/>
        <v>1176</v>
      </c>
      <c r="L860" s="3">
        <v>588</v>
      </c>
    </row>
    <row r="861" spans="1:12" x14ac:dyDescent="0.25">
      <c r="A861" t="s">
        <v>27</v>
      </c>
      <c r="B861">
        <v>1185732</v>
      </c>
      <c r="C861" s="1">
        <v>44235</v>
      </c>
      <c r="D861" t="s">
        <v>29</v>
      </c>
      <c r="E861" t="s">
        <v>89</v>
      </c>
      <c r="F861" t="s">
        <v>90</v>
      </c>
      <c r="G861" t="s">
        <v>41</v>
      </c>
      <c r="H861" t="s">
        <v>35</v>
      </c>
      <c r="I861" s="3">
        <v>24</v>
      </c>
      <c r="J861" s="2">
        <v>63</v>
      </c>
      <c r="K861" s="3">
        <f t="shared" si="13"/>
        <v>1512</v>
      </c>
      <c r="L861" s="3">
        <v>740.88</v>
      </c>
    </row>
    <row r="862" spans="1:12" x14ac:dyDescent="0.25">
      <c r="A862" t="s">
        <v>27</v>
      </c>
      <c r="B862">
        <v>1185732</v>
      </c>
      <c r="C862" s="1">
        <v>44235</v>
      </c>
      <c r="D862" t="s">
        <v>29</v>
      </c>
      <c r="E862" t="s">
        <v>91</v>
      </c>
      <c r="F862" t="s">
        <v>92</v>
      </c>
      <c r="G862" t="s">
        <v>41</v>
      </c>
      <c r="H862" t="s">
        <v>37</v>
      </c>
      <c r="I862" s="3">
        <v>29</v>
      </c>
      <c r="J862" s="2">
        <v>30</v>
      </c>
      <c r="K862" s="3">
        <f t="shared" si="13"/>
        <v>870</v>
      </c>
      <c r="L862" s="3">
        <v>408.9</v>
      </c>
    </row>
    <row r="863" spans="1:12" x14ac:dyDescent="0.25">
      <c r="A863" t="s">
        <v>27</v>
      </c>
      <c r="B863">
        <v>1185732</v>
      </c>
      <c r="C863" s="1">
        <v>44235</v>
      </c>
      <c r="D863" t="s">
        <v>29</v>
      </c>
      <c r="E863" t="s">
        <v>91</v>
      </c>
      <c r="F863" t="s">
        <v>92</v>
      </c>
      <c r="G863" t="s">
        <v>41</v>
      </c>
      <c r="H863" t="s">
        <v>16</v>
      </c>
      <c r="I863" s="3">
        <v>32</v>
      </c>
      <c r="J863" s="2">
        <v>74</v>
      </c>
      <c r="K863" s="3">
        <f t="shared" si="13"/>
        <v>2368</v>
      </c>
      <c r="L863" s="3">
        <v>1112.96</v>
      </c>
    </row>
    <row r="864" spans="1:12" x14ac:dyDescent="0.25">
      <c r="A864" t="s">
        <v>19</v>
      </c>
      <c r="B864">
        <v>1185732</v>
      </c>
      <c r="C864" s="1">
        <v>44235</v>
      </c>
      <c r="D864" t="s">
        <v>29</v>
      </c>
      <c r="E864" t="s">
        <v>48</v>
      </c>
      <c r="F864" t="s">
        <v>49</v>
      </c>
      <c r="G864" t="s">
        <v>41</v>
      </c>
      <c r="H864" t="s">
        <v>16</v>
      </c>
      <c r="I864" s="3">
        <v>33</v>
      </c>
      <c r="J864" s="2">
        <v>65</v>
      </c>
      <c r="K864" s="3">
        <f t="shared" si="13"/>
        <v>2145</v>
      </c>
      <c r="L864" s="3">
        <v>1008.1499999999999</v>
      </c>
    </row>
    <row r="865" spans="1:12" x14ac:dyDescent="0.25">
      <c r="A865" t="s">
        <v>19</v>
      </c>
      <c r="B865">
        <v>1185732</v>
      </c>
      <c r="C865" s="1">
        <v>44235</v>
      </c>
      <c r="D865" t="s">
        <v>29</v>
      </c>
      <c r="E865" t="s">
        <v>48</v>
      </c>
      <c r="F865" t="s">
        <v>49</v>
      </c>
      <c r="G865" t="s">
        <v>41</v>
      </c>
      <c r="H865" t="s">
        <v>37</v>
      </c>
      <c r="I865" s="3">
        <v>29</v>
      </c>
      <c r="J865" s="2">
        <v>13</v>
      </c>
      <c r="K865" s="3">
        <f t="shared" si="13"/>
        <v>377</v>
      </c>
      <c r="L865" s="3">
        <v>173.42</v>
      </c>
    </row>
    <row r="866" spans="1:12" x14ac:dyDescent="0.25">
      <c r="A866" t="s">
        <v>27</v>
      </c>
      <c r="B866">
        <v>1189833</v>
      </c>
      <c r="C866" s="1">
        <v>44235</v>
      </c>
      <c r="D866" t="s">
        <v>57</v>
      </c>
      <c r="E866" t="s">
        <v>58</v>
      </c>
      <c r="F866" t="s">
        <v>59</v>
      </c>
      <c r="G866" t="s">
        <v>41</v>
      </c>
      <c r="H866" t="s">
        <v>38</v>
      </c>
      <c r="I866" s="3">
        <v>42</v>
      </c>
      <c r="J866" s="2">
        <v>203</v>
      </c>
      <c r="K866" s="3">
        <f t="shared" si="13"/>
        <v>8526</v>
      </c>
      <c r="L866" s="3">
        <v>3580.9199999999992</v>
      </c>
    </row>
    <row r="867" spans="1:12" x14ac:dyDescent="0.25">
      <c r="A867" t="s">
        <v>26</v>
      </c>
      <c r="B867">
        <v>1185732</v>
      </c>
      <c r="C867" s="1">
        <v>44236</v>
      </c>
      <c r="D867" t="s">
        <v>57</v>
      </c>
      <c r="E867" t="s">
        <v>74</v>
      </c>
      <c r="F867" t="s">
        <v>75</v>
      </c>
      <c r="G867" t="s">
        <v>41</v>
      </c>
      <c r="H867" t="s">
        <v>35</v>
      </c>
      <c r="I867" s="3">
        <v>25.000000000000007</v>
      </c>
      <c r="J867" s="2">
        <v>225</v>
      </c>
      <c r="K867" s="3">
        <f t="shared" si="13"/>
        <v>5625.0000000000018</v>
      </c>
      <c r="L867" s="3">
        <v>3937.5000000000014</v>
      </c>
    </row>
    <row r="868" spans="1:12" x14ac:dyDescent="0.25">
      <c r="A868" t="s">
        <v>27</v>
      </c>
      <c r="B868">
        <v>1189833</v>
      </c>
      <c r="C868" s="1">
        <v>44236</v>
      </c>
      <c r="D868" t="s">
        <v>57</v>
      </c>
      <c r="E868" t="s">
        <v>58</v>
      </c>
      <c r="F868" t="s">
        <v>59</v>
      </c>
      <c r="G868" t="s">
        <v>15</v>
      </c>
      <c r="H868" t="s">
        <v>17</v>
      </c>
      <c r="I868" s="3">
        <v>55.000000000000007</v>
      </c>
      <c r="J868" s="2">
        <v>625</v>
      </c>
      <c r="K868" s="3">
        <f t="shared" si="13"/>
        <v>34375.000000000007</v>
      </c>
      <c r="L868" s="3">
        <v>24062.500000000007</v>
      </c>
    </row>
    <row r="869" spans="1:12" x14ac:dyDescent="0.25">
      <c r="A869" t="s">
        <v>26</v>
      </c>
      <c r="B869">
        <v>1185732</v>
      </c>
      <c r="C869" s="1">
        <v>44236</v>
      </c>
      <c r="D869" t="s">
        <v>57</v>
      </c>
      <c r="E869" t="s">
        <v>74</v>
      </c>
      <c r="F869" t="s">
        <v>75</v>
      </c>
      <c r="G869" t="s">
        <v>41</v>
      </c>
      <c r="H869" t="s">
        <v>17</v>
      </c>
      <c r="I869" s="3">
        <v>35</v>
      </c>
      <c r="J869" s="2">
        <v>175</v>
      </c>
      <c r="K869" s="3">
        <f t="shared" si="13"/>
        <v>6125</v>
      </c>
      <c r="L869" s="3">
        <v>4287.5</v>
      </c>
    </row>
    <row r="870" spans="1:12" x14ac:dyDescent="0.25">
      <c r="A870" t="s">
        <v>26</v>
      </c>
      <c r="B870">
        <v>1185732</v>
      </c>
      <c r="C870" s="1">
        <v>44236</v>
      </c>
      <c r="D870" t="s">
        <v>57</v>
      </c>
      <c r="E870" t="s">
        <v>76</v>
      </c>
      <c r="F870" t="s">
        <v>77</v>
      </c>
      <c r="G870" t="s">
        <v>41</v>
      </c>
      <c r="H870" t="s">
        <v>37</v>
      </c>
      <c r="I870" s="3">
        <v>30.000000000000004</v>
      </c>
      <c r="J870" s="2">
        <v>100</v>
      </c>
      <c r="K870" s="3">
        <f t="shared" si="13"/>
        <v>3000.0000000000005</v>
      </c>
      <c r="L870" s="3">
        <v>2100.0000000000005</v>
      </c>
    </row>
    <row r="871" spans="1:12" x14ac:dyDescent="0.25">
      <c r="A871" t="s">
        <v>26</v>
      </c>
      <c r="B871">
        <v>1185732</v>
      </c>
      <c r="C871" s="1">
        <v>44236</v>
      </c>
      <c r="D871" t="s">
        <v>57</v>
      </c>
      <c r="E871" t="s">
        <v>74</v>
      </c>
      <c r="F871" t="s">
        <v>75</v>
      </c>
      <c r="G871" t="s">
        <v>41</v>
      </c>
      <c r="H871" t="s">
        <v>38</v>
      </c>
      <c r="I871" s="3">
        <v>35</v>
      </c>
      <c r="J871" s="2">
        <v>525</v>
      </c>
      <c r="K871" s="3">
        <f t="shared" si="13"/>
        <v>18375</v>
      </c>
      <c r="L871" s="3">
        <v>11943.75</v>
      </c>
    </row>
    <row r="872" spans="1:12" x14ac:dyDescent="0.25">
      <c r="A872" t="s">
        <v>26</v>
      </c>
      <c r="B872">
        <v>1185732</v>
      </c>
      <c r="C872" s="1">
        <v>44236</v>
      </c>
      <c r="D872" t="s">
        <v>57</v>
      </c>
      <c r="E872" t="s">
        <v>76</v>
      </c>
      <c r="F872" t="s">
        <v>77</v>
      </c>
      <c r="G872" t="s">
        <v>41</v>
      </c>
      <c r="H872" t="s">
        <v>22</v>
      </c>
      <c r="I872" s="3">
        <v>44.999999999999993</v>
      </c>
      <c r="J872" s="2">
        <v>175</v>
      </c>
      <c r="K872" s="3">
        <f t="shared" si="13"/>
        <v>7874.9999999999991</v>
      </c>
      <c r="L872" s="3">
        <v>5118.7499999999991</v>
      </c>
    </row>
    <row r="873" spans="1:12" x14ac:dyDescent="0.25">
      <c r="A873" t="s">
        <v>26</v>
      </c>
      <c r="B873">
        <v>1185732</v>
      </c>
      <c r="C873" s="1">
        <v>44236</v>
      </c>
      <c r="D873" t="s">
        <v>57</v>
      </c>
      <c r="E873" t="s">
        <v>76</v>
      </c>
      <c r="F873" t="s">
        <v>77</v>
      </c>
      <c r="G873" t="s">
        <v>41</v>
      </c>
      <c r="H873" t="s">
        <v>16</v>
      </c>
      <c r="I873" s="3">
        <v>24.999999999999996</v>
      </c>
      <c r="J873" s="2">
        <v>275</v>
      </c>
      <c r="K873" s="3">
        <f t="shared" si="13"/>
        <v>6874.9999999999991</v>
      </c>
      <c r="L873" s="3">
        <v>4124.9999999999982</v>
      </c>
    </row>
    <row r="874" spans="1:12" x14ac:dyDescent="0.25">
      <c r="A874" t="s">
        <v>11</v>
      </c>
      <c r="B874">
        <v>1128299</v>
      </c>
      <c r="C874" s="1">
        <v>44236</v>
      </c>
      <c r="D874" t="s">
        <v>12</v>
      </c>
      <c r="E874" t="s">
        <v>13</v>
      </c>
      <c r="F874" t="s">
        <v>14</v>
      </c>
      <c r="G874" t="s">
        <v>15</v>
      </c>
      <c r="H874" t="s">
        <v>22</v>
      </c>
      <c r="I874" s="3">
        <v>65</v>
      </c>
      <c r="J874" s="2">
        <v>650</v>
      </c>
      <c r="K874" s="3">
        <f t="shared" si="13"/>
        <v>42250</v>
      </c>
      <c r="L874" s="3">
        <v>23237.499999999996</v>
      </c>
    </row>
    <row r="875" spans="1:12" x14ac:dyDescent="0.25">
      <c r="A875" t="s">
        <v>26</v>
      </c>
      <c r="B875">
        <v>1185732</v>
      </c>
      <c r="C875" s="1">
        <v>44236</v>
      </c>
      <c r="D875" t="s">
        <v>57</v>
      </c>
      <c r="E875" t="s">
        <v>74</v>
      </c>
      <c r="F875" t="s">
        <v>75</v>
      </c>
      <c r="G875" t="s">
        <v>41</v>
      </c>
      <c r="H875" t="s">
        <v>35</v>
      </c>
      <c r="I875" s="3">
        <v>24</v>
      </c>
      <c r="J875" s="2">
        <v>68</v>
      </c>
      <c r="K875" s="3">
        <f t="shared" si="13"/>
        <v>1632</v>
      </c>
      <c r="L875" s="3">
        <v>946.56000000000006</v>
      </c>
    </row>
    <row r="876" spans="1:12" x14ac:dyDescent="0.25">
      <c r="A876" t="s">
        <v>27</v>
      </c>
      <c r="B876">
        <v>1189833</v>
      </c>
      <c r="C876" s="1">
        <v>44236</v>
      </c>
      <c r="D876" t="s">
        <v>57</v>
      </c>
      <c r="E876" t="s">
        <v>58</v>
      </c>
      <c r="F876" t="s">
        <v>59</v>
      </c>
      <c r="G876" t="s">
        <v>41</v>
      </c>
      <c r="H876" t="s">
        <v>17</v>
      </c>
      <c r="I876" s="3">
        <v>54</v>
      </c>
      <c r="J876" s="2">
        <v>188</v>
      </c>
      <c r="K876" s="3">
        <f t="shared" si="13"/>
        <v>10152</v>
      </c>
      <c r="L876" s="3">
        <v>5786.64</v>
      </c>
    </row>
    <row r="877" spans="1:12" x14ac:dyDescent="0.25">
      <c r="A877" t="s">
        <v>26</v>
      </c>
      <c r="B877">
        <v>1185732</v>
      </c>
      <c r="C877" s="1">
        <v>44236</v>
      </c>
      <c r="D877" t="s">
        <v>57</v>
      </c>
      <c r="E877" t="s">
        <v>74</v>
      </c>
      <c r="F877" t="s">
        <v>75</v>
      </c>
      <c r="G877" t="s">
        <v>41</v>
      </c>
      <c r="H877" t="s">
        <v>17</v>
      </c>
      <c r="I877" s="3">
        <v>34</v>
      </c>
      <c r="J877" s="2">
        <v>51</v>
      </c>
      <c r="K877" s="3">
        <f t="shared" si="13"/>
        <v>1734</v>
      </c>
      <c r="L877" s="3">
        <v>988.38</v>
      </c>
    </row>
    <row r="878" spans="1:12" x14ac:dyDescent="0.25">
      <c r="A878" t="s">
        <v>26</v>
      </c>
      <c r="B878">
        <v>1185732</v>
      </c>
      <c r="C878" s="1">
        <v>44236</v>
      </c>
      <c r="D878" t="s">
        <v>57</v>
      </c>
      <c r="E878" t="s">
        <v>74</v>
      </c>
      <c r="F878" t="s">
        <v>75</v>
      </c>
      <c r="G878" t="s">
        <v>41</v>
      </c>
      <c r="H878" t="s">
        <v>38</v>
      </c>
      <c r="I878" s="3">
        <v>34</v>
      </c>
      <c r="J878" s="2">
        <v>152</v>
      </c>
      <c r="K878" s="3">
        <f t="shared" si="13"/>
        <v>5168</v>
      </c>
      <c r="L878" s="3">
        <v>2842.4</v>
      </c>
    </row>
    <row r="879" spans="1:12" x14ac:dyDescent="0.25">
      <c r="A879" t="s">
        <v>26</v>
      </c>
      <c r="B879">
        <v>1185732</v>
      </c>
      <c r="C879" s="1">
        <v>44236</v>
      </c>
      <c r="D879" t="s">
        <v>57</v>
      </c>
      <c r="E879" t="s">
        <v>76</v>
      </c>
      <c r="F879" t="s">
        <v>77</v>
      </c>
      <c r="G879" t="s">
        <v>41</v>
      </c>
      <c r="H879" t="s">
        <v>37</v>
      </c>
      <c r="I879" s="3">
        <v>29</v>
      </c>
      <c r="J879" s="2">
        <v>30</v>
      </c>
      <c r="K879" s="3">
        <f t="shared" si="13"/>
        <v>870</v>
      </c>
      <c r="L879" s="3">
        <v>478.50000000000006</v>
      </c>
    </row>
    <row r="880" spans="1:12" x14ac:dyDescent="0.25">
      <c r="A880" t="s">
        <v>11</v>
      </c>
      <c r="B880">
        <v>1128299</v>
      </c>
      <c r="C880" s="1">
        <v>44236</v>
      </c>
      <c r="D880" t="s">
        <v>12</v>
      </c>
      <c r="E880" t="s">
        <v>13</v>
      </c>
      <c r="F880" t="s">
        <v>14</v>
      </c>
      <c r="G880" t="s">
        <v>15</v>
      </c>
      <c r="H880" t="s">
        <v>22</v>
      </c>
      <c r="I880" s="3">
        <v>51</v>
      </c>
      <c r="J880" s="2">
        <v>228</v>
      </c>
      <c r="K880" s="3">
        <f t="shared" si="13"/>
        <v>11628</v>
      </c>
      <c r="L880" s="3">
        <v>6162.8399999999992</v>
      </c>
    </row>
    <row r="881" spans="1:12" x14ac:dyDescent="0.25">
      <c r="A881" t="s">
        <v>26</v>
      </c>
      <c r="B881">
        <v>1185732</v>
      </c>
      <c r="C881" s="1">
        <v>44236</v>
      </c>
      <c r="D881" t="s">
        <v>57</v>
      </c>
      <c r="E881" t="s">
        <v>76</v>
      </c>
      <c r="F881" t="s">
        <v>77</v>
      </c>
      <c r="G881" t="s">
        <v>41</v>
      </c>
      <c r="H881" t="s">
        <v>22</v>
      </c>
      <c r="I881" s="3">
        <v>42</v>
      </c>
      <c r="J881" s="2">
        <v>51</v>
      </c>
      <c r="K881" s="3">
        <f t="shared" si="13"/>
        <v>2142</v>
      </c>
      <c r="L881" s="3">
        <v>1092.42</v>
      </c>
    </row>
    <row r="882" spans="1:12" x14ac:dyDescent="0.25">
      <c r="A882" t="s">
        <v>26</v>
      </c>
      <c r="B882">
        <v>1185732</v>
      </c>
      <c r="C882" s="1">
        <v>44236</v>
      </c>
      <c r="D882" t="s">
        <v>57</v>
      </c>
      <c r="E882" t="s">
        <v>76</v>
      </c>
      <c r="F882" t="s">
        <v>77</v>
      </c>
      <c r="G882" t="s">
        <v>41</v>
      </c>
      <c r="H882" t="s">
        <v>16</v>
      </c>
      <c r="I882" s="3">
        <v>23</v>
      </c>
      <c r="J882" s="2">
        <v>69</v>
      </c>
      <c r="K882" s="3">
        <f t="shared" si="13"/>
        <v>1587</v>
      </c>
      <c r="L882" s="3">
        <v>777.63</v>
      </c>
    </row>
    <row r="883" spans="1:12" x14ac:dyDescent="0.25">
      <c r="A883" t="s">
        <v>11</v>
      </c>
      <c r="B883">
        <v>1128299</v>
      </c>
      <c r="C883" s="1">
        <v>44236</v>
      </c>
      <c r="D883" t="s">
        <v>12</v>
      </c>
      <c r="E883" t="s">
        <v>13</v>
      </c>
      <c r="F883" t="s">
        <v>14</v>
      </c>
      <c r="G883" t="s">
        <v>41</v>
      </c>
      <c r="H883" t="s">
        <v>22</v>
      </c>
      <c r="I883" s="3">
        <v>63</v>
      </c>
      <c r="J883" s="2">
        <v>163</v>
      </c>
      <c r="K883" s="3">
        <f t="shared" si="13"/>
        <v>10269</v>
      </c>
      <c r="L883" s="3">
        <v>4415.6699999999992</v>
      </c>
    </row>
    <row r="884" spans="1:12" x14ac:dyDescent="0.25">
      <c r="A884" t="s">
        <v>11</v>
      </c>
      <c r="B884">
        <v>1128299</v>
      </c>
      <c r="C884" s="1">
        <v>44237</v>
      </c>
      <c r="D884" t="s">
        <v>12</v>
      </c>
      <c r="E884" t="s">
        <v>13</v>
      </c>
      <c r="F884" t="s">
        <v>14</v>
      </c>
      <c r="G884" t="s">
        <v>15</v>
      </c>
      <c r="H884" t="s">
        <v>16</v>
      </c>
      <c r="I884" s="3">
        <v>70</v>
      </c>
      <c r="J884" s="2">
        <v>775</v>
      </c>
      <c r="K884" s="3">
        <f t="shared" si="13"/>
        <v>54250</v>
      </c>
      <c r="L884" s="3">
        <v>48825</v>
      </c>
    </row>
    <row r="885" spans="1:12" x14ac:dyDescent="0.25">
      <c r="A885" t="s">
        <v>19</v>
      </c>
      <c r="B885">
        <v>1128299</v>
      </c>
      <c r="C885" s="1">
        <v>44237</v>
      </c>
      <c r="D885" t="s">
        <v>12</v>
      </c>
      <c r="E885" t="s">
        <v>20</v>
      </c>
      <c r="F885" t="s">
        <v>21</v>
      </c>
      <c r="G885" t="s">
        <v>15</v>
      </c>
      <c r="H885" t="s">
        <v>22</v>
      </c>
      <c r="I885" s="3">
        <v>50</v>
      </c>
      <c r="J885" s="2">
        <v>150</v>
      </c>
      <c r="K885" s="3">
        <f t="shared" si="13"/>
        <v>7500</v>
      </c>
      <c r="L885" s="3">
        <v>6375</v>
      </c>
    </row>
    <row r="886" spans="1:12" x14ac:dyDescent="0.25">
      <c r="A886" t="s">
        <v>19</v>
      </c>
      <c r="B886">
        <v>1128299</v>
      </c>
      <c r="C886" s="1">
        <v>44237</v>
      </c>
      <c r="D886" t="s">
        <v>12</v>
      </c>
      <c r="E886" t="s">
        <v>24</v>
      </c>
      <c r="F886" t="s">
        <v>25</v>
      </c>
      <c r="G886" t="s">
        <v>15</v>
      </c>
      <c r="H886" t="s">
        <v>17</v>
      </c>
      <c r="I886" s="3">
        <v>45</v>
      </c>
      <c r="J886" s="2">
        <v>375</v>
      </c>
      <c r="K886" s="3">
        <f t="shared" si="13"/>
        <v>16875</v>
      </c>
      <c r="L886" s="3">
        <v>13500</v>
      </c>
    </row>
    <row r="887" spans="1:12" x14ac:dyDescent="0.25">
      <c r="A887" t="s">
        <v>19</v>
      </c>
      <c r="B887">
        <v>1128299</v>
      </c>
      <c r="C887" s="1">
        <v>44237</v>
      </c>
      <c r="D887" t="s">
        <v>12</v>
      </c>
      <c r="E887" t="s">
        <v>24</v>
      </c>
      <c r="F887" t="s">
        <v>25</v>
      </c>
      <c r="G887" t="s">
        <v>15</v>
      </c>
      <c r="H887" t="s">
        <v>38</v>
      </c>
      <c r="I887" s="3">
        <v>35</v>
      </c>
      <c r="J887" s="2">
        <v>475</v>
      </c>
      <c r="K887" s="3">
        <f t="shared" si="13"/>
        <v>16625</v>
      </c>
      <c r="L887" s="3">
        <v>12468.75</v>
      </c>
    </row>
    <row r="888" spans="1:12" x14ac:dyDescent="0.25">
      <c r="A888" t="s">
        <v>19</v>
      </c>
      <c r="B888">
        <v>1128299</v>
      </c>
      <c r="C888" s="1">
        <v>44237</v>
      </c>
      <c r="D888" t="s">
        <v>12</v>
      </c>
      <c r="E888" t="s">
        <v>24</v>
      </c>
      <c r="F888" t="s">
        <v>25</v>
      </c>
      <c r="G888" t="s">
        <v>15</v>
      </c>
      <c r="H888" t="s">
        <v>35</v>
      </c>
      <c r="I888" s="3">
        <v>45</v>
      </c>
      <c r="J888" s="2">
        <v>375</v>
      </c>
      <c r="K888" s="3">
        <f t="shared" si="13"/>
        <v>16875</v>
      </c>
      <c r="L888" s="3">
        <v>12656.25</v>
      </c>
    </row>
    <row r="889" spans="1:12" x14ac:dyDescent="0.25">
      <c r="A889" t="s">
        <v>19</v>
      </c>
      <c r="B889">
        <v>1128299</v>
      </c>
      <c r="C889" s="1">
        <v>44237</v>
      </c>
      <c r="D889" t="s">
        <v>12</v>
      </c>
      <c r="E889" t="s">
        <v>20</v>
      </c>
      <c r="F889" t="s">
        <v>21</v>
      </c>
      <c r="G889" t="s">
        <v>15</v>
      </c>
      <c r="H889" t="s">
        <v>37</v>
      </c>
      <c r="I889" s="3">
        <v>45</v>
      </c>
      <c r="J889" s="2">
        <v>225</v>
      </c>
      <c r="K889" s="3">
        <f t="shared" si="13"/>
        <v>10125</v>
      </c>
      <c r="L889" s="3">
        <v>7593.75</v>
      </c>
    </row>
    <row r="890" spans="1:12" x14ac:dyDescent="0.25">
      <c r="A890" t="s">
        <v>11</v>
      </c>
      <c r="B890">
        <v>1185732</v>
      </c>
      <c r="C890" s="1">
        <v>44237</v>
      </c>
      <c r="D890" t="s">
        <v>32</v>
      </c>
      <c r="E890" t="s">
        <v>33</v>
      </c>
      <c r="F890" t="s">
        <v>34</v>
      </c>
      <c r="G890" t="s">
        <v>18</v>
      </c>
      <c r="H890" t="s">
        <v>35</v>
      </c>
      <c r="I890" s="3">
        <v>35</v>
      </c>
      <c r="J890" s="2">
        <v>600</v>
      </c>
      <c r="K890" s="3">
        <f t="shared" si="13"/>
        <v>21000</v>
      </c>
      <c r="L890" s="3">
        <v>15750</v>
      </c>
    </row>
    <row r="891" spans="1:12" x14ac:dyDescent="0.25">
      <c r="A891" t="s">
        <v>11</v>
      </c>
      <c r="B891">
        <v>1185732</v>
      </c>
      <c r="C891" s="1">
        <v>44237</v>
      </c>
      <c r="D891" t="s">
        <v>29</v>
      </c>
      <c r="E891" t="s">
        <v>60</v>
      </c>
      <c r="F891" t="s">
        <v>61</v>
      </c>
      <c r="G891" t="s">
        <v>18</v>
      </c>
      <c r="H891" t="s">
        <v>37</v>
      </c>
      <c r="I891" s="3">
        <v>40</v>
      </c>
      <c r="J891" s="2">
        <v>475</v>
      </c>
      <c r="K891" s="3">
        <f t="shared" si="13"/>
        <v>19000</v>
      </c>
      <c r="L891" s="3">
        <v>13300</v>
      </c>
    </row>
    <row r="892" spans="1:12" x14ac:dyDescent="0.25">
      <c r="A892" t="s">
        <v>11</v>
      </c>
      <c r="B892">
        <v>1185732</v>
      </c>
      <c r="C892" s="1">
        <v>44237</v>
      </c>
      <c r="D892" t="s">
        <v>57</v>
      </c>
      <c r="E892" t="s">
        <v>103</v>
      </c>
      <c r="F892" t="s">
        <v>104</v>
      </c>
      <c r="G892" t="s">
        <v>18</v>
      </c>
      <c r="H892" t="s">
        <v>22</v>
      </c>
      <c r="I892" s="3">
        <v>44.999999999999993</v>
      </c>
      <c r="J892" s="2">
        <v>200</v>
      </c>
      <c r="K892" s="3">
        <f t="shared" si="13"/>
        <v>8999.9999999999982</v>
      </c>
      <c r="L892" s="3">
        <v>6299.9999999999982</v>
      </c>
    </row>
    <row r="893" spans="1:12" x14ac:dyDescent="0.25">
      <c r="A893" t="s">
        <v>11</v>
      </c>
      <c r="B893">
        <v>1185732</v>
      </c>
      <c r="C893" s="1">
        <v>44237</v>
      </c>
      <c r="D893" t="s">
        <v>29</v>
      </c>
      <c r="E893" t="s">
        <v>60</v>
      </c>
      <c r="F893" t="s">
        <v>61</v>
      </c>
      <c r="G893" t="s">
        <v>18</v>
      </c>
      <c r="H893" t="s">
        <v>22</v>
      </c>
      <c r="I893" s="3">
        <v>55.000000000000007</v>
      </c>
      <c r="J893" s="2">
        <v>550</v>
      </c>
      <c r="K893" s="3">
        <f t="shared" si="13"/>
        <v>30250.000000000004</v>
      </c>
      <c r="L893" s="3">
        <v>19662.500000000007</v>
      </c>
    </row>
    <row r="894" spans="1:12" x14ac:dyDescent="0.25">
      <c r="A894" t="s">
        <v>11</v>
      </c>
      <c r="B894">
        <v>1185732</v>
      </c>
      <c r="C894" s="1">
        <v>44237</v>
      </c>
      <c r="D894" t="s">
        <v>57</v>
      </c>
      <c r="E894" t="s">
        <v>85</v>
      </c>
      <c r="F894" t="s">
        <v>86</v>
      </c>
      <c r="G894" t="s">
        <v>18</v>
      </c>
      <c r="H894" t="s">
        <v>35</v>
      </c>
      <c r="I894" s="3">
        <v>25.000000000000007</v>
      </c>
      <c r="J894" s="2">
        <v>250</v>
      </c>
      <c r="K894" s="3">
        <f t="shared" si="13"/>
        <v>6250.0000000000018</v>
      </c>
      <c r="L894" s="3">
        <v>4062.5000000000014</v>
      </c>
    </row>
    <row r="895" spans="1:12" x14ac:dyDescent="0.25">
      <c r="A895" t="s">
        <v>11</v>
      </c>
      <c r="B895">
        <v>1185732</v>
      </c>
      <c r="C895" s="1">
        <v>44237</v>
      </c>
      <c r="D895" t="s">
        <v>57</v>
      </c>
      <c r="E895" t="s">
        <v>103</v>
      </c>
      <c r="F895" t="s">
        <v>104</v>
      </c>
      <c r="G895" t="s">
        <v>18</v>
      </c>
      <c r="H895" t="s">
        <v>37</v>
      </c>
      <c r="I895" s="3">
        <v>30.000000000000004</v>
      </c>
      <c r="J895" s="2">
        <v>125</v>
      </c>
      <c r="K895" s="3">
        <f t="shared" si="13"/>
        <v>3750.0000000000005</v>
      </c>
      <c r="L895" s="3">
        <v>2437.5000000000009</v>
      </c>
    </row>
    <row r="896" spans="1:12" x14ac:dyDescent="0.25">
      <c r="A896" t="s">
        <v>11</v>
      </c>
      <c r="B896">
        <v>1185732</v>
      </c>
      <c r="C896" s="1">
        <v>44237</v>
      </c>
      <c r="D896" t="s">
        <v>32</v>
      </c>
      <c r="E896" t="s">
        <v>33</v>
      </c>
      <c r="F896" t="s">
        <v>34</v>
      </c>
      <c r="G896" t="s">
        <v>18</v>
      </c>
      <c r="H896" t="s">
        <v>17</v>
      </c>
      <c r="I896" s="3">
        <v>45</v>
      </c>
      <c r="J896" s="2">
        <v>550</v>
      </c>
      <c r="K896" s="3">
        <f t="shared" si="13"/>
        <v>24750</v>
      </c>
      <c r="L896" s="3">
        <v>16087.5</v>
      </c>
    </row>
    <row r="897" spans="1:12" x14ac:dyDescent="0.25">
      <c r="A897" t="s">
        <v>19</v>
      </c>
      <c r="B897">
        <v>1128299</v>
      </c>
      <c r="C897" s="1">
        <v>44237</v>
      </c>
      <c r="D897" t="s">
        <v>12</v>
      </c>
      <c r="E897" t="s">
        <v>20</v>
      </c>
      <c r="F897" t="s">
        <v>21</v>
      </c>
      <c r="G897" t="s">
        <v>15</v>
      </c>
      <c r="H897" t="s">
        <v>16</v>
      </c>
      <c r="I897" s="3">
        <v>45</v>
      </c>
      <c r="J897" s="2">
        <v>350</v>
      </c>
      <c r="K897" s="3">
        <f t="shared" si="13"/>
        <v>15750</v>
      </c>
      <c r="L897" s="3">
        <v>9450</v>
      </c>
    </row>
    <row r="898" spans="1:12" x14ac:dyDescent="0.25">
      <c r="A898" t="s">
        <v>11</v>
      </c>
      <c r="B898">
        <v>1185732</v>
      </c>
      <c r="C898" s="1">
        <v>44237</v>
      </c>
      <c r="D898" t="s">
        <v>57</v>
      </c>
      <c r="E898" t="s">
        <v>85</v>
      </c>
      <c r="F898" t="s">
        <v>86</v>
      </c>
      <c r="G898" t="s">
        <v>18</v>
      </c>
      <c r="H898" t="s">
        <v>38</v>
      </c>
      <c r="I898" s="3">
        <v>35</v>
      </c>
      <c r="J898" s="2">
        <v>550</v>
      </c>
      <c r="K898" s="3">
        <f t="shared" si="13"/>
        <v>19250</v>
      </c>
      <c r="L898" s="3">
        <v>11550</v>
      </c>
    </row>
    <row r="899" spans="1:12" x14ac:dyDescent="0.25">
      <c r="A899" t="s">
        <v>11</v>
      </c>
      <c r="B899">
        <v>1185732</v>
      </c>
      <c r="C899" s="1">
        <v>44237</v>
      </c>
      <c r="D899" t="s">
        <v>57</v>
      </c>
      <c r="E899" t="s">
        <v>85</v>
      </c>
      <c r="F899" t="s">
        <v>86</v>
      </c>
      <c r="G899" t="s">
        <v>18</v>
      </c>
      <c r="H899" t="s">
        <v>17</v>
      </c>
      <c r="I899" s="3">
        <v>35</v>
      </c>
      <c r="J899" s="2">
        <v>200</v>
      </c>
      <c r="K899" s="3">
        <f t="shared" ref="K899:K962" si="14">I899*J899</f>
        <v>7000</v>
      </c>
      <c r="L899" s="3">
        <v>4200</v>
      </c>
    </row>
    <row r="900" spans="1:12" x14ac:dyDescent="0.25">
      <c r="A900" t="s">
        <v>11</v>
      </c>
      <c r="B900">
        <v>1185732</v>
      </c>
      <c r="C900" s="1">
        <v>44237</v>
      </c>
      <c r="D900" t="s">
        <v>57</v>
      </c>
      <c r="E900" t="s">
        <v>103</v>
      </c>
      <c r="F900" t="s">
        <v>104</v>
      </c>
      <c r="G900" t="s">
        <v>18</v>
      </c>
      <c r="H900" t="s">
        <v>16</v>
      </c>
      <c r="I900" s="3">
        <v>19.999999999999996</v>
      </c>
      <c r="J900" s="2">
        <v>300</v>
      </c>
      <c r="K900" s="3">
        <f t="shared" si="14"/>
        <v>5999.9999999999991</v>
      </c>
      <c r="L900" s="3">
        <v>3599.9999999999991</v>
      </c>
    </row>
    <row r="901" spans="1:12" x14ac:dyDescent="0.25">
      <c r="A901" t="s">
        <v>27</v>
      </c>
      <c r="B901">
        <v>1189833</v>
      </c>
      <c r="C901" s="1">
        <v>44237</v>
      </c>
      <c r="D901" t="s">
        <v>57</v>
      </c>
      <c r="E901" t="s">
        <v>58</v>
      </c>
      <c r="F901" t="s">
        <v>59</v>
      </c>
      <c r="G901" t="s">
        <v>15</v>
      </c>
      <c r="H901" t="s">
        <v>35</v>
      </c>
      <c r="I901" s="3">
        <v>50</v>
      </c>
      <c r="J901" s="2">
        <v>500</v>
      </c>
      <c r="K901" s="3">
        <f t="shared" si="14"/>
        <v>25000</v>
      </c>
      <c r="L901" s="3">
        <v>13750</v>
      </c>
    </row>
    <row r="902" spans="1:12" x14ac:dyDescent="0.25">
      <c r="A902" t="s">
        <v>11</v>
      </c>
      <c r="B902">
        <v>1185732</v>
      </c>
      <c r="C902" s="1">
        <v>44237</v>
      </c>
      <c r="D902" t="s">
        <v>32</v>
      </c>
      <c r="E902" t="s">
        <v>33</v>
      </c>
      <c r="F902" t="s">
        <v>34</v>
      </c>
      <c r="G902" t="s">
        <v>18</v>
      </c>
      <c r="H902" t="s">
        <v>38</v>
      </c>
      <c r="I902" s="3">
        <v>45</v>
      </c>
      <c r="J902" s="2">
        <v>900</v>
      </c>
      <c r="K902" s="3">
        <f t="shared" si="14"/>
        <v>40500</v>
      </c>
      <c r="L902" s="3">
        <v>22275</v>
      </c>
    </row>
    <row r="903" spans="1:12" x14ac:dyDescent="0.25">
      <c r="A903" t="s">
        <v>11</v>
      </c>
      <c r="B903">
        <v>1185732</v>
      </c>
      <c r="C903" s="1">
        <v>44237</v>
      </c>
      <c r="D903" t="s">
        <v>29</v>
      </c>
      <c r="E903" t="s">
        <v>60</v>
      </c>
      <c r="F903" t="s">
        <v>61</v>
      </c>
      <c r="G903" t="s">
        <v>18</v>
      </c>
      <c r="H903" t="s">
        <v>16</v>
      </c>
      <c r="I903" s="3">
        <v>45</v>
      </c>
      <c r="J903" s="2">
        <v>650</v>
      </c>
      <c r="K903" s="3">
        <f t="shared" si="14"/>
        <v>29250</v>
      </c>
      <c r="L903" s="3">
        <v>14625</v>
      </c>
    </row>
    <row r="904" spans="1:12" x14ac:dyDescent="0.25">
      <c r="A904" t="s">
        <v>11</v>
      </c>
      <c r="B904">
        <v>1128299</v>
      </c>
      <c r="C904" s="1">
        <v>44237</v>
      </c>
      <c r="D904" t="s">
        <v>12</v>
      </c>
      <c r="E904" t="s">
        <v>13</v>
      </c>
      <c r="F904" t="s">
        <v>14</v>
      </c>
      <c r="G904" t="s">
        <v>15</v>
      </c>
      <c r="H904" t="s">
        <v>16</v>
      </c>
      <c r="I904" s="3">
        <v>56</v>
      </c>
      <c r="J904" s="2">
        <v>256</v>
      </c>
      <c r="K904" s="3">
        <f t="shared" si="14"/>
        <v>14336</v>
      </c>
      <c r="L904" s="3">
        <v>12185.599999999999</v>
      </c>
    </row>
    <row r="905" spans="1:12" x14ac:dyDescent="0.25">
      <c r="A905" t="s">
        <v>11</v>
      </c>
      <c r="B905">
        <v>1128299</v>
      </c>
      <c r="C905" s="1">
        <v>44237</v>
      </c>
      <c r="D905" t="s">
        <v>12</v>
      </c>
      <c r="E905" t="s">
        <v>13</v>
      </c>
      <c r="F905" t="s">
        <v>14</v>
      </c>
      <c r="G905" t="s">
        <v>41</v>
      </c>
      <c r="H905" t="s">
        <v>16</v>
      </c>
      <c r="I905" s="3">
        <v>67</v>
      </c>
      <c r="J905" s="2">
        <v>202</v>
      </c>
      <c r="K905" s="3">
        <f t="shared" si="14"/>
        <v>13534</v>
      </c>
      <c r="L905" s="3">
        <v>10691.86</v>
      </c>
    </row>
    <row r="906" spans="1:12" x14ac:dyDescent="0.25">
      <c r="A906" t="s">
        <v>19</v>
      </c>
      <c r="B906">
        <v>1128299</v>
      </c>
      <c r="C906" s="1">
        <v>44237</v>
      </c>
      <c r="D906" t="s">
        <v>12</v>
      </c>
      <c r="E906" t="s">
        <v>20</v>
      </c>
      <c r="F906" t="s">
        <v>21</v>
      </c>
      <c r="G906" t="s">
        <v>41</v>
      </c>
      <c r="H906" t="s">
        <v>22</v>
      </c>
      <c r="I906" s="3">
        <v>47</v>
      </c>
      <c r="J906" s="2">
        <v>38</v>
      </c>
      <c r="K906" s="3">
        <f t="shared" si="14"/>
        <v>1786</v>
      </c>
      <c r="L906" s="3">
        <v>1250.2</v>
      </c>
    </row>
    <row r="907" spans="1:12" x14ac:dyDescent="0.25">
      <c r="A907" t="s">
        <v>19</v>
      </c>
      <c r="B907">
        <v>1128299</v>
      </c>
      <c r="C907" s="1">
        <v>44237</v>
      </c>
      <c r="D907" t="s">
        <v>12</v>
      </c>
      <c r="E907" t="s">
        <v>24</v>
      </c>
      <c r="F907" t="s">
        <v>25</v>
      </c>
      <c r="G907" t="s">
        <v>41</v>
      </c>
      <c r="H907" t="s">
        <v>17</v>
      </c>
      <c r="I907" s="3">
        <v>42</v>
      </c>
      <c r="J907" s="2">
        <v>98</v>
      </c>
      <c r="K907" s="3">
        <f t="shared" si="14"/>
        <v>4116</v>
      </c>
      <c r="L907" s="3">
        <v>2798.88</v>
      </c>
    </row>
    <row r="908" spans="1:12" x14ac:dyDescent="0.25">
      <c r="A908" t="s">
        <v>11</v>
      </c>
      <c r="B908">
        <v>1185732</v>
      </c>
      <c r="C908" s="1">
        <v>44237</v>
      </c>
      <c r="D908" t="s">
        <v>32</v>
      </c>
      <c r="E908" t="s">
        <v>33</v>
      </c>
      <c r="F908" t="s">
        <v>34</v>
      </c>
      <c r="G908" t="s">
        <v>15</v>
      </c>
      <c r="H908" t="s">
        <v>35</v>
      </c>
      <c r="I908" s="3">
        <v>23</v>
      </c>
      <c r="J908" s="2">
        <v>204</v>
      </c>
      <c r="K908" s="3">
        <f t="shared" si="14"/>
        <v>4692</v>
      </c>
      <c r="L908" s="3">
        <v>3190.56</v>
      </c>
    </row>
    <row r="909" spans="1:12" x14ac:dyDescent="0.25">
      <c r="A909" t="s">
        <v>19</v>
      </c>
      <c r="B909">
        <v>1128299</v>
      </c>
      <c r="C909" s="1">
        <v>44237</v>
      </c>
      <c r="D909" t="s">
        <v>12</v>
      </c>
      <c r="E909" t="s">
        <v>24</v>
      </c>
      <c r="F909" t="s">
        <v>25</v>
      </c>
      <c r="G909" t="s">
        <v>41</v>
      </c>
      <c r="H909" t="s">
        <v>35</v>
      </c>
      <c r="I909" s="3">
        <v>44</v>
      </c>
      <c r="J909" s="2">
        <v>94</v>
      </c>
      <c r="K909" s="3">
        <f t="shared" si="14"/>
        <v>4136</v>
      </c>
      <c r="L909" s="3">
        <v>2647.04</v>
      </c>
    </row>
    <row r="910" spans="1:12" x14ac:dyDescent="0.25">
      <c r="A910" t="s">
        <v>19</v>
      </c>
      <c r="B910">
        <v>1128299</v>
      </c>
      <c r="C910" s="1">
        <v>44237</v>
      </c>
      <c r="D910" t="s">
        <v>12</v>
      </c>
      <c r="E910" t="s">
        <v>24</v>
      </c>
      <c r="F910" t="s">
        <v>25</v>
      </c>
      <c r="G910" t="s">
        <v>41</v>
      </c>
      <c r="H910" t="s">
        <v>38</v>
      </c>
      <c r="I910" s="3">
        <v>33</v>
      </c>
      <c r="J910" s="2">
        <v>143</v>
      </c>
      <c r="K910" s="3">
        <f t="shared" si="14"/>
        <v>4719</v>
      </c>
      <c r="L910" s="3">
        <v>3020.16</v>
      </c>
    </row>
    <row r="911" spans="1:12" x14ac:dyDescent="0.25">
      <c r="A911" t="s">
        <v>11</v>
      </c>
      <c r="B911">
        <v>1185732</v>
      </c>
      <c r="C911" s="1">
        <v>44237</v>
      </c>
      <c r="D911" t="s">
        <v>32</v>
      </c>
      <c r="E911" t="s">
        <v>33</v>
      </c>
      <c r="F911" t="s">
        <v>34</v>
      </c>
      <c r="G911" t="s">
        <v>41</v>
      </c>
      <c r="H911" t="s">
        <v>35</v>
      </c>
      <c r="I911" s="3">
        <v>33</v>
      </c>
      <c r="J911" s="2">
        <v>174</v>
      </c>
      <c r="K911" s="3">
        <f t="shared" si="14"/>
        <v>5742</v>
      </c>
      <c r="L911" s="3">
        <v>3617.46</v>
      </c>
    </row>
    <row r="912" spans="1:12" x14ac:dyDescent="0.25">
      <c r="A912" t="s">
        <v>19</v>
      </c>
      <c r="B912">
        <v>1128299</v>
      </c>
      <c r="C912" s="1">
        <v>44237</v>
      </c>
      <c r="D912" t="s">
        <v>12</v>
      </c>
      <c r="E912" t="s">
        <v>20</v>
      </c>
      <c r="F912" t="s">
        <v>21</v>
      </c>
      <c r="G912" t="s">
        <v>41</v>
      </c>
      <c r="H912" t="s">
        <v>37</v>
      </c>
      <c r="I912" s="3">
        <v>41</v>
      </c>
      <c r="J912" s="2">
        <v>56</v>
      </c>
      <c r="K912" s="3">
        <f t="shared" si="14"/>
        <v>2296</v>
      </c>
      <c r="L912" s="3">
        <v>1400.56</v>
      </c>
    </row>
    <row r="913" spans="1:12" x14ac:dyDescent="0.25">
      <c r="A913" t="s">
        <v>11</v>
      </c>
      <c r="B913">
        <v>1185732</v>
      </c>
      <c r="C913" s="1">
        <v>44237</v>
      </c>
      <c r="D913" t="s">
        <v>32</v>
      </c>
      <c r="E913" t="s">
        <v>33</v>
      </c>
      <c r="F913" t="s">
        <v>34</v>
      </c>
      <c r="G913" t="s">
        <v>15</v>
      </c>
      <c r="H913" t="s">
        <v>17</v>
      </c>
      <c r="I913" s="3">
        <v>31</v>
      </c>
      <c r="J913" s="2">
        <v>165</v>
      </c>
      <c r="K913" s="3">
        <f t="shared" si="14"/>
        <v>5115</v>
      </c>
      <c r="L913" s="3">
        <v>3017.85</v>
      </c>
    </row>
    <row r="914" spans="1:12" x14ac:dyDescent="0.25">
      <c r="A914" t="s">
        <v>11</v>
      </c>
      <c r="B914">
        <v>1185732</v>
      </c>
      <c r="C914" s="1">
        <v>44237</v>
      </c>
      <c r="D914" t="s">
        <v>29</v>
      </c>
      <c r="E914" t="s">
        <v>60</v>
      </c>
      <c r="F914" t="s">
        <v>61</v>
      </c>
      <c r="G914" t="s">
        <v>41</v>
      </c>
      <c r="H914" t="s">
        <v>37</v>
      </c>
      <c r="I914" s="3">
        <v>37</v>
      </c>
      <c r="J914" s="2">
        <v>133</v>
      </c>
      <c r="K914" s="3">
        <f t="shared" si="14"/>
        <v>4921</v>
      </c>
      <c r="L914" s="3">
        <v>2854.1800000000003</v>
      </c>
    </row>
    <row r="915" spans="1:12" x14ac:dyDescent="0.25">
      <c r="A915" t="s">
        <v>11</v>
      </c>
      <c r="B915">
        <v>1185732</v>
      </c>
      <c r="C915" s="1">
        <v>44237</v>
      </c>
      <c r="D915" t="s">
        <v>57</v>
      </c>
      <c r="E915" t="s">
        <v>103</v>
      </c>
      <c r="F915" t="s">
        <v>104</v>
      </c>
      <c r="G915" t="s">
        <v>41</v>
      </c>
      <c r="H915" t="s">
        <v>22</v>
      </c>
      <c r="I915" s="3">
        <v>41</v>
      </c>
      <c r="J915" s="2">
        <v>58</v>
      </c>
      <c r="K915" s="3">
        <f t="shared" si="14"/>
        <v>2378</v>
      </c>
      <c r="L915" s="3">
        <v>1331.68</v>
      </c>
    </row>
    <row r="916" spans="1:12" x14ac:dyDescent="0.25">
      <c r="A916" t="s">
        <v>11</v>
      </c>
      <c r="B916">
        <v>1185732</v>
      </c>
      <c r="C916" s="1">
        <v>44237</v>
      </c>
      <c r="D916" t="s">
        <v>29</v>
      </c>
      <c r="E916" t="s">
        <v>60</v>
      </c>
      <c r="F916" t="s">
        <v>61</v>
      </c>
      <c r="G916" t="s">
        <v>41</v>
      </c>
      <c r="H916" t="s">
        <v>22</v>
      </c>
      <c r="I916" s="3">
        <v>50</v>
      </c>
      <c r="J916" s="2">
        <v>154</v>
      </c>
      <c r="K916" s="3">
        <f t="shared" si="14"/>
        <v>7700</v>
      </c>
      <c r="L916" s="3">
        <v>4158</v>
      </c>
    </row>
    <row r="917" spans="1:12" x14ac:dyDescent="0.25">
      <c r="A917" t="s">
        <v>11</v>
      </c>
      <c r="B917">
        <v>1185732</v>
      </c>
      <c r="C917" s="1">
        <v>44237</v>
      </c>
      <c r="D917" t="s">
        <v>57</v>
      </c>
      <c r="E917" t="s">
        <v>103</v>
      </c>
      <c r="F917" t="s">
        <v>104</v>
      </c>
      <c r="G917" t="s">
        <v>41</v>
      </c>
      <c r="H917" t="s">
        <v>37</v>
      </c>
      <c r="I917" s="3">
        <v>29</v>
      </c>
      <c r="J917" s="2">
        <v>36</v>
      </c>
      <c r="K917" s="3">
        <f t="shared" si="14"/>
        <v>1044</v>
      </c>
      <c r="L917" s="3">
        <v>553.32000000000005</v>
      </c>
    </row>
    <row r="918" spans="1:12" x14ac:dyDescent="0.25">
      <c r="A918" t="s">
        <v>11</v>
      </c>
      <c r="B918">
        <v>1185732</v>
      </c>
      <c r="C918" s="1">
        <v>44237</v>
      </c>
      <c r="D918" t="s">
        <v>32</v>
      </c>
      <c r="E918" t="s">
        <v>33</v>
      </c>
      <c r="F918" t="s">
        <v>34</v>
      </c>
      <c r="G918" t="s">
        <v>15</v>
      </c>
      <c r="H918" t="s">
        <v>38</v>
      </c>
      <c r="I918" s="3">
        <v>36</v>
      </c>
      <c r="J918" s="2">
        <v>288</v>
      </c>
      <c r="K918" s="3">
        <f t="shared" si="14"/>
        <v>10368</v>
      </c>
      <c r="L918" s="3">
        <v>5495.04</v>
      </c>
    </row>
    <row r="919" spans="1:12" x14ac:dyDescent="0.25">
      <c r="A919" t="s">
        <v>11</v>
      </c>
      <c r="B919">
        <v>1185732</v>
      </c>
      <c r="C919" s="1">
        <v>44237</v>
      </c>
      <c r="D919" t="s">
        <v>32</v>
      </c>
      <c r="E919" t="s">
        <v>33</v>
      </c>
      <c r="F919" t="s">
        <v>34</v>
      </c>
      <c r="G919" t="s">
        <v>41</v>
      </c>
      <c r="H919" t="s">
        <v>17</v>
      </c>
      <c r="I919" s="3">
        <v>42</v>
      </c>
      <c r="J919" s="2">
        <v>138</v>
      </c>
      <c r="K919" s="3">
        <f t="shared" si="14"/>
        <v>5796</v>
      </c>
      <c r="L919" s="3">
        <v>2955.96</v>
      </c>
    </row>
    <row r="920" spans="1:12" x14ac:dyDescent="0.25">
      <c r="A920" t="s">
        <v>11</v>
      </c>
      <c r="B920">
        <v>1185732</v>
      </c>
      <c r="C920" s="1">
        <v>44237</v>
      </c>
      <c r="D920" t="s">
        <v>57</v>
      </c>
      <c r="E920" t="s">
        <v>85</v>
      </c>
      <c r="F920" t="s">
        <v>86</v>
      </c>
      <c r="G920" t="s">
        <v>41</v>
      </c>
      <c r="H920" t="s">
        <v>35</v>
      </c>
      <c r="I920" s="3">
        <v>24</v>
      </c>
      <c r="J920" s="2">
        <v>73</v>
      </c>
      <c r="K920" s="3">
        <f t="shared" si="14"/>
        <v>1752</v>
      </c>
      <c r="L920" s="3">
        <v>876</v>
      </c>
    </row>
    <row r="921" spans="1:12" x14ac:dyDescent="0.25">
      <c r="A921" t="s">
        <v>11</v>
      </c>
      <c r="B921">
        <v>1185732</v>
      </c>
      <c r="C921" s="1">
        <v>44237</v>
      </c>
      <c r="D921" t="s">
        <v>57</v>
      </c>
      <c r="E921" t="s">
        <v>85</v>
      </c>
      <c r="F921" t="s">
        <v>86</v>
      </c>
      <c r="G921" t="s">
        <v>41</v>
      </c>
      <c r="H921" t="s">
        <v>17</v>
      </c>
      <c r="I921" s="3">
        <v>34</v>
      </c>
      <c r="J921" s="2">
        <v>52</v>
      </c>
      <c r="K921" s="3">
        <f t="shared" si="14"/>
        <v>1768</v>
      </c>
      <c r="L921" s="3">
        <v>866.31999999999994</v>
      </c>
    </row>
    <row r="922" spans="1:12" x14ac:dyDescent="0.25">
      <c r="A922" t="s">
        <v>11</v>
      </c>
      <c r="B922">
        <v>1185732</v>
      </c>
      <c r="C922" s="1">
        <v>44237</v>
      </c>
      <c r="D922" t="s">
        <v>57</v>
      </c>
      <c r="E922" t="s">
        <v>103</v>
      </c>
      <c r="F922" t="s">
        <v>104</v>
      </c>
      <c r="G922" t="s">
        <v>41</v>
      </c>
      <c r="H922" t="s">
        <v>16</v>
      </c>
      <c r="I922" s="3">
        <v>19</v>
      </c>
      <c r="J922" s="2">
        <v>75</v>
      </c>
      <c r="K922" s="3">
        <f t="shared" si="14"/>
        <v>1425</v>
      </c>
      <c r="L922" s="3">
        <v>698.25</v>
      </c>
    </row>
    <row r="923" spans="1:12" x14ac:dyDescent="0.25">
      <c r="A923" t="s">
        <v>19</v>
      </c>
      <c r="B923">
        <v>1128299</v>
      </c>
      <c r="C923" s="1">
        <v>44237</v>
      </c>
      <c r="D923" t="s">
        <v>12</v>
      </c>
      <c r="E923" t="s">
        <v>20</v>
      </c>
      <c r="F923" t="s">
        <v>21</v>
      </c>
      <c r="G923" t="s">
        <v>41</v>
      </c>
      <c r="H923" t="s">
        <v>16</v>
      </c>
      <c r="I923" s="3">
        <v>44</v>
      </c>
      <c r="J923" s="2">
        <v>102</v>
      </c>
      <c r="K923" s="3">
        <f t="shared" si="14"/>
        <v>4488</v>
      </c>
      <c r="L923" s="3">
        <v>2019.6</v>
      </c>
    </row>
    <row r="924" spans="1:12" x14ac:dyDescent="0.25">
      <c r="A924" t="s">
        <v>11</v>
      </c>
      <c r="B924">
        <v>1185732</v>
      </c>
      <c r="C924" s="1">
        <v>44237</v>
      </c>
      <c r="D924" t="s">
        <v>32</v>
      </c>
      <c r="E924" t="s">
        <v>33</v>
      </c>
      <c r="F924" t="s">
        <v>34</v>
      </c>
      <c r="G924" t="s">
        <v>41</v>
      </c>
      <c r="H924" t="s">
        <v>38</v>
      </c>
      <c r="I924" s="3">
        <v>44</v>
      </c>
      <c r="J924" s="2">
        <v>234</v>
      </c>
      <c r="K924" s="3">
        <f t="shared" si="14"/>
        <v>10296</v>
      </c>
      <c r="L924" s="3">
        <v>4633.2</v>
      </c>
    </row>
    <row r="925" spans="1:12" x14ac:dyDescent="0.25">
      <c r="A925" t="s">
        <v>11</v>
      </c>
      <c r="B925">
        <v>1185732</v>
      </c>
      <c r="C925" s="1">
        <v>44237</v>
      </c>
      <c r="D925" t="s">
        <v>57</v>
      </c>
      <c r="E925" t="s">
        <v>85</v>
      </c>
      <c r="F925" t="s">
        <v>86</v>
      </c>
      <c r="G925" t="s">
        <v>41</v>
      </c>
      <c r="H925" t="s">
        <v>38</v>
      </c>
      <c r="I925" s="3">
        <v>34</v>
      </c>
      <c r="J925" s="2">
        <v>160</v>
      </c>
      <c r="K925" s="3">
        <f t="shared" si="14"/>
        <v>5440</v>
      </c>
      <c r="L925" s="3">
        <v>2447.9999999999995</v>
      </c>
    </row>
    <row r="926" spans="1:12" x14ac:dyDescent="0.25">
      <c r="A926" t="s">
        <v>27</v>
      </c>
      <c r="B926">
        <v>1189833</v>
      </c>
      <c r="C926" s="1">
        <v>44237</v>
      </c>
      <c r="D926" t="s">
        <v>57</v>
      </c>
      <c r="E926" t="s">
        <v>58</v>
      </c>
      <c r="F926" t="s">
        <v>59</v>
      </c>
      <c r="G926" t="s">
        <v>41</v>
      </c>
      <c r="H926" t="s">
        <v>35</v>
      </c>
      <c r="I926" s="3">
        <v>49</v>
      </c>
      <c r="J926" s="2">
        <v>130</v>
      </c>
      <c r="K926" s="3">
        <f t="shared" si="14"/>
        <v>6370</v>
      </c>
      <c r="L926" s="3">
        <v>2611.6999999999994</v>
      </c>
    </row>
    <row r="927" spans="1:12" x14ac:dyDescent="0.25">
      <c r="A927" t="s">
        <v>11</v>
      </c>
      <c r="B927">
        <v>1185732</v>
      </c>
      <c r="C927" s="1">
        <v>44237</v>
      </c>
      <c r="D927" t="s">
        <v>29</v>
      </c>
      <c r="E927" t="s">
        <v>60</v>
      </c>
      <c r="F927" t="s">
        <v>61</v>
      </c>
      <c r="G927" t="s">
        <v>41</v>
      </c>
      <c r="H927" t="s">
        <v>16</v>
      </c>
      <c r="I927" s="3">
        <v>42</v>
      </c>
      <c r="J927" s="2">
        <v>182</v>
      </c>
      <c r="K927" s="3">
        <f t="shared" si="14"/>
        <v>7644</v>
      </c>
      <c r="L927" s="3">
        <v>2751.84</v>
      </c>
    </row>
    <row r="928" spans="1:12" x14ac:dyDescent="0.25">
      <c r="A928" t="s">
        <v>11</v>
      </c>
      <c r="B928">
        <v>1128299</v>
      </c>
      <c r="C928" s="1">
        <v>44238</v>
      </c>
      <c r="D928" t="s">
        <v>12</v>
      </c>
      <c r="E928" t="s">
        <v>13</v>
      </c>
      <c r="F928" t="s">
        <v>14</v>
      </c>
      <c r="G928" t="s">
        <v>15</v>
      </c>
      <c r="H928" t="s">
        <v>38</v>
      </c>
      <c r="I928" s="3">
        <v>55.000000000000007</v>
      </c>
      <c r="J928" s="2">
        <v>975</v>
      </c>
      <c r="K928" s="3">
        <f t="shared" si="14"/>
        <v>53625.000000000007</v>
      </c>
      <c r="L928" s="3">
        <v>37537.500000000007</v>
      </c>
    </row>
    <row r="929" spans="1:12" x14ac:dyDescent="0.25">
      <c r="A929" t="s">
        <v>11</v>
      </c>
      <c r="B929">
        <v>1185732</v>
      </c>
      <c r="C929" s="1">
        <v>44238</v>
      </c>
      <c r="D929" t="s">
        <v>57</v>
      </c>
      <c r="E929" t="s">
        <v>106</v>
      </c>
      <c r="F929" t="s">
        <v>107</v>
      </c>
      <c r="G929" t="s">
        <v>18</v>
      </c>
      <c r="H929" t="s">
        <v>17</v>
      </c>
      <c r="I929" s="3">
        <v>25</v>
      </c>
      <c r="J929" s="2">
        <v>375</v>
      </c>
      <c r="K929" s="3">
        <f t="shared" si="14"/>
        <v>9375</v>
      </c>
      <c r="L929" s="3">
        <v>6093.75</v>
      </c>
    </row>
    <row r="930" spans="1:12" x14ac:dyDescent="0.25">
      <c r="A930" t="s">
        <v>11</v>
      </c>
      <c r="B930">
        <v>1185732</v>
      </c>
      <c r="C930" s="1">
        <v>44238</v>
      </c>
      <c r="D930" t="s">
        <v>57</v>
      </c>
      <c r="E930" t="s">
        <v>106</v>
      </c>
      <c r="F930" t="s">
        <v>107</v>
      </c>
      <c r="G930" t="s">
        <v>18</v>
      </c>
      <c r="H930" t="s">
        <v>35</v>
      </c>
      <c r="I930" s="3">
        <v>15.000000000000002</v>
      </c>
      <c r="J930" s="2">
        <v>425</v>
      </c>
      <c r="K930" s="3">
        <f t="shared" si="14"/>
        <v>6375.0000000000009</v>
      </c>
      <c r="L930" s="3">
        <v>4143.7500000000009</v>
      </c>
    </row>
    <row r="931" spans="1:12" x14ac:dyDescent="0.25">
      <c r="A931" t="s">
        <v>11</v>
      </c>
      <c r="B931">
        <v>1185732</v>
      </c>
      <c r="C931" s="1">
        <v>44238</v>
      </c>
      <c r="D931" t="s">
        <v>12</v>
      </c>
      <c r="E931" t="s">
        <v>101</v>
      </c>
      <c r="F931" t="s">
        <v>102</v>
      </c>
      <c r="G931" t="s">
        <v>18</v>
      </c>
      <c r="H931" t="s">
        <v>22</v>
      </c>
      <c r="I931" s="3">
        <v>35</v>
      </c>
      <c r="J931" s="2">
        <v>375</v>
      </c>
      <c r="K931" s="3">
        <f t="shared" si="14"/>
        <v>13125</v>
      </c>
      <c r="L931" s="3">
        <v>8531.25</v>
      </c>
    </row>
    <row r="932" spans="1:12" x14ac:dyDescent="0.25">
      <c r="A932" t="s">
        <v>36</v>
      </c>
      <c r="B932">
        <v>1185732</v>
      </c>
      <c r="C932" s="1">
        <v>44238</v>
      </c>
      <c r="D932" t="s">
        <v>32</v>
      </c>
      <c r="E932" t="s">
        <v>108</v>
      </c>
      <c r="F932" t="s">
        <v>109</v>
      </c>
      <c r="G932" t="s">
        <v>41</v>
      </c>
      <c r="H932" t="s">
        <v>17</v>
      </c>
      <c r="I932" s="3">
        <v>35</v>
      </c>
      <c r="J932" s="2">
        <v>475</v>
      </c>
      <c r="K932" s="3">
        <f t="shared" si="14"/>
        <v>16625</v>
      </c>
      <c r="L932" s="3">
        <v>10806.25</v>
      </c>
    </row>
    <row r="933" spans="1:12" x14ac:dyDescent="0.25">
      <c r="A933" t="s">
        <v>36</v>
      </c>
      <c r="B933">
        <v>1185732</v>
      </c>
      <c r="C933" s="1">
        <v>44238</v>
      </c>
      <c r="D933" t="s">
        <v>57</v>
      </c>
      <c r="E933" t="s">
        <v>110</v>
      </c>
      <c r="F933" t="s">
        <v>111</v>
      </c>
      <c r="G933" t="s">
        <v>41</v>
      </c>
      <c r="H933" t="s">
        <v>22</v>
      </c>
      <c r="I933" s="3">
        <v>45</v>
      </c>
      <c r="J933" s="2">
        <v>450</v>
      </c>
      <c r="K933" s="3">
        <f t="shared" si="14"/>
        <v>20250</v>
      </c>
      <c r="L933" s="3">
        <v>13162.5</v>
      </c>
    </row>
    <row r="934" spans="1:12" x14ac:dyDescent="0.25">
      <c r="A934" t="s">
        <v>11</v>
      </c>
      <c r="B934">
        <v>1185732</v>
      </c>
      <c r="C934" s="1">
        <v>44238</v>
      </c>
      <c r="D934" t="s">
        <v>12</v>
      </c>
      <c r="E934" t="s">
        <v>101</v>
      </c>
      <c r="F934" t="s">
        <v>102</v>
      </c>
      <c r="G934" t="s">
        <v>18</v>
      </c>
      <c r="H934" t="s">
        <v>37</v>
      </c>
      <c r="I934" s="3">
        <v>20.000000000000007</v>
      </c>
      <c r="J934" s="2">
        <v>300</v>
      </c>
      <c r="K934" s="3">
        <f t="shared" si="14"/>
        <v>6000.0000000000018</v>
      </c>
      <c r="L934" s="3">
        <v>3600.0000000000014</v>
      </c>
    </row>
    <row r="935" spans="1:12" x14ac:dyDescent="0.25">
      <c r="A935" t="s">
        <v>27</v>
      </c>
      <c r="B935">
        <v>1189833</v>
      </c>
      <c r="C935" s="1">
        <v>44238</v>
      </c>
      <c r="D935" t="s">
        <v>57</v>
      </c>
      <c r="E935" t="s">
        <v>58</v>
      </c>
      <c r="F935" t="s">
        <v>59</v>
      </c>
      <c r="G935" t="s">
        <v>15</v>
      </c>
      <c r="H935" t="s">
        <v>37</v>
      </c>
      <c r="I935" s="3">
        <v>45</v>
      </c>
      <c r="J935" s="2">
        <v>425</v>
      </c>
      <c r="K935" s="3">
        <f t="shared" si="14"/>
        <v>19125</v>
      </c>
      <c r="L935" s="3">
        <v>11475</v>
      </c>
    </row>
    <row r="936" spans="1:12" x14ac:dyDescent="0.25">
      <c r="A936" t="s">
        <v>11</v>
      </c>
      <c r="B936">
        <v>1185732</v>
      </c>
      <c r="C936" s="1">
        <v>44238</v>
      </c>
      <c r="D936" t="s">
        <v>57</v>
      </c>
      <c r="E936" t="s">
        <v>106</v>
      </c>
      <c r="F936" t="s">
        <v>107</v>
      </c>
      <c r="G936" t="s">
        <v>18</v>
      </c>
      <c r="H936" t="s">
        <v>38</v>
      </c>
      <c r="I936" s="3">
        <v>25</v>
      </c>
      <c r="J936" s="2">
        <v>725</v>
      </c>
      <c r="K936" s="3">
        <f t="shared" si="14"/>
        <v>18125</v>
      </c>
      <c r="L936" s="3">
        <v>10875</v>
      </c>
    </row>
    <row r="937" spans="1:12" x14ac:dyDescent="0.25">
      <c r="A937" t="s">
        <v>36</v>
      </c>
      <c r="B937">
        <v>1185732</v>
      </c>
      <c r="C937" s="1">
        <v>44238</v>
      </c>
      <c r="D937" t="s">
        <v>32</v>
      </c>
      <c r="E937" t="s">
        <v>108</v>
      </c>
      <c r="F937" t="s">
        <v>109</v>
      </c>
      <c r="G937" t="s">
        <v>41</v>
      </c>
      <c r="H937" t="s">
        <v>38</v>
      </c>
      <c r="I937" s="3">
        <v>35</v>
      </c>
      <c r="J937" s="2">
        <v>825</v>
      </c>
      <c r="K937" s="3">
        <f t="shared" si="14"/>
        <v>28875</v>
      </c>
      <c r="L937" s="3">
        <v>17325</v>
      </c>
    </row>
    <row r="938" spans="1:12" x14ac:dyDescent="0.25">
      <c r="A938" t="s">
        <v>36</v>
      </c>
      <c r="B938">
        <v>1185732</v>
      </c>
      <c r="C938" s="1">
        <v>44238</v>
      </c>
      <c r="D938" t="s">
        <v>32</v>
      </c>
      <c r="E938" t="s">
        <v>108</v>
      </c>
      <c r="F938" t="s">
        <v>109</v>
      </c>
      <c r="G938" t="s">
        <v>41</v>
      </c>
      <c r="H938" t="s">
        <v>35</v>
      </c>
      <c r="I938" s="3">
        <v>25.000000000000007</v>
      </c>
      <c r="J938" s="2">
        <v>525</v>
      </c>
      <c r="K938" s="3">
        <f t="shared" si="14"/>
        <v>13125.000000000004</v>
      </c>
      <c r="L938" s="3">
        <v>7875.0000000000018</v>
      </c>
    </row>
    <row r="939" spans="1:12" x14ac:dyDescent="0.25">
      <c r="A939" t="s">
        <v>36</v>
      </c>
      <c r="B939">
        <v>1185732</v>
      </c>
      <c r="C939" s="1">
        <v>44238</v>
      </c>
      <c r="D939" t="s">
        <v>57</v>
      </c>
      <c r="E939" t="s">
        <v>110</v>
      </c>
      <c r="F939" t="s">
        <v>111</v>
      </c>
      <c r="G939" t="s">
        <v>41</v>
      </c>
      <c r="H939" t="s">
        <v>37</v>
      </c>
      <c r="I939" s="3">
        <v>30</v>
      </c>
      <c r="J939" s="2">
        <v>375</v>
      </c>
      <c r="K939" s="3">
        <f t="shared" si="14"/>
        <v>11250</v>
      </c>
      <c r="L939" s="3">
        <v>6750</v>
      </c>
    </row>
    <row r="940" spans="1:12" x14ac:dyDescent="0.25">
      <c r="A940" t="s">
        <v>11</v>
      </c>
      <c r="B940">
        <v>1185732</v>
      </c>
      <c r="C940" s="1">
        <v>44238</v>
      </c>
      <c r="D940" t="s">
        <v>12</v>
      </c>
      <c r="E940" t="s">
        <v>101</v>
      </c>
      <c r="F940" t="s">
        <v>102</v>
      </c>
      <c r="G940" t="s">
        <v>18</v>
      </c>
      <c r="H940" t="s">
        <v>16</v>
      </c>
      <c r="I940" s="3">
        <v>25</v>
      </c>
      <c r="J940" s="2">
        <v>450</v>
      </c>
      <c r="K940" s="3">
        <f t="shared" si="14"/>
        <v>11250</v>
      </c>
      <c r="L940" s="3">
        <v>5625</v>
      </c>
    </row>
    <row r="941" spans="1:12" x14ac:dyDescent="0.25">
      <c r="A941" t="s">
        <v>36</v>
      </c>
      <c r="B941">
        <v>1185732</v>
      </c>
      <c r="C941" s="1">
        <v>44238</v>
      </c>
      <c r="D941" t="s">
        <v>57</v>
      </c>
      <c r="E941" t="s">
        <v>110</v>
      </c>
      <c r="F941" t="s">
        <v>111</v>
      </c>
      <c r="G941" t="s">
        <v>41</v>
      </c>
      <c r="H941" t="s">
        <v>16</v>
      </c>
      <c r="I941" s="3">
        <v>30</v>
      </c>
      <c r="J941" s="2">
        <v>550</v>
      </c>
      <c r="K941" s="3">
        <f t="shared" si="14"/>
        <v>16500</v>
      </c>
      <c r="L941" s="3">
        <v>8250</v>
      </c>
    </row>
    <row r="942" spans="1:12" x14ac:dyDescent="0.25">
      <c r="A942" t="s">
        <v>11</v>
      </c>
      <c r="B942">
        <v>1128299</v>
      </c>
      <c r="C942" s="1">
        <v>44238</v>
      </c>
      <c r="D942" t="s">
        <v>12</v>
      </c>
      <c r="E942" t="s">
        <v>13</v>
      </c>
      <c r="F942" t="s">
        <v>14</v>
      </c>
      <c r="G942" t="s">
        <v>15</v>
      </c>
      <c r="H942" t="s">
        <v>38</v>
      </c>
      <c r="I942" s="3">
        <v>40</v>
      </c>
      <c r="J942" s="2">
        <v>322</v>
      </c>
      <c r="K942" s="3">
        <f t="shared" si="14"/>
        <v>12880</v>
      </c>
      <c r="L942" s="3">
        <v>8629.5999999999985</v>
      </c>
    </row>
    <row r="943" spans="1:12" x14ac:dyDescent="0.25">
      <c r="A943" t="s">
        <v>11</v>
      </c>
      <c r="B943">
        <v>1128299</v>
      </c>
      <c r="C943" s="1">
        <v>44238</v>
      </c>
      <c r="D943" t="s">
        <v>12</v>
      </c>
      <c r="E943" t="s">
        <v>13</v>
      </c>
      <c r="F943" t="s">
        <v>14</v>
      </c>
      <c r="G943" t="s">
        <v>41</v>
      </c>
      <c r="H943" t="s">
        <v>38</v>
      </c>
      <c r="I943" s="3">
        <v>51</v>
      </c>
      <c r="J943" s="2">
        <v>293</v>
      </c>
      <c r="K943" s="3">
        <f t="shared" si="14"/>
        <v>14943</v>
      </c>
      <c r="L943" s="3">
        <v>8965.7999999999993</v>
      </c>
    </row>
    <row r="944" spans="1:12" x14ac:dyDescent="0.25">
      <c r="A944" t="s">
        <v>11</v>
      </c>
      <c r="B944">
        <v>1185732</v>
      </c>
      <c r="C944" s="1">
        <v>44238</v>
      </c>
      <c r="D944" t="s">
        <v>12</v>
      </c>
      <c r="E944" t="s">
        <v>101</v>
      </c>
      <c r="F944" t="s">
        <v>102</v>
      </c>
      <c r="G944" t="s">
        <v>15</v>
      </c>
      <c r="H944" t="s">
        <v>37</v>
      </c>
      <c r="I944" s="3">
        <v>16</v>
      </c>
      <c r="J944" s="2">
        <v>93</v>
      </c>
      <c r="K944" s="3">
        <f t="shared" si="14"/>
        <v>1488</v>
      </c>
      <c r="L944" s="3">
        <v>863.04</v>
      </c>
    </row>
    <row r="945" spans="1:12" x14ac:dyDescent="0.25">
      <c r="A945" t="s">
        <v>11</v>
      </c>
      <c r="B945">
        <v>1185732</v>
      </c>
      <c r="C945" s="1">
        <v>44238</v>
      </c>
      <c r="D945" t="s">
        <v>12</v>
      </c>
      <c r="E945" t="s">
        <v>101</v>
      </c>
      <c r="F945" t="s">
        <v>102</v>
      </c>
      <c r="G945" t="s">
        <v>15</v>
      </c>
      <c r="H945" t="s">
        <v>22</v>
      </c>
      <c r="I945" s="3">
        <v>28</v>
      </c>
      <c r="J945" s="2">
        <v>120</v>
      </c>
      <c r="K945" s="3">
        <f t="shared" si="14"/>
        <v>3360</v>
      </c>
      <c r="L945" s="3">
        <v>1948.8</v>
      </c>
    </row>
    <row r="946" spans="1:12" x14ac:dyDescent="0.25">
      <c r="A946" t="s">
        <v>11</v>
      </c>
      <c r="B946">
        <v>1185732</v>
      </c>
      <c r="C946" s="1">
        <v>44238</v>
      </c>
      <c r="D946" t="s">
        <v>57</v>
      </c>
      <c r="E946" t="s">
        <v>106</v>
      </c>
      <c r="F946" t="s">
        <v>107</v>
      </c>
      <c r="G946" t="s">
        <v>41</v>
      </c>
      <c r="H946" t="s">
        <v>35</v>
      </c>
      <c r="I946" s="3">
        <v>14</v>
      </c>
      <c r="J946" s="2">
        <v>115</v>
      </c>
      <c r="K946" s="3">
        <f t="shared" si="14"/>
        <v>1610</v>
      </c>
      <c r="L946" s="3">
        <v>885.50000000000011</v>
      </c>
    </row>
    <row r="947" spans="1:12" x14ac:dyDescent="0.25">
      <c r="A947" t="s">
        <v>11</v>
      </c>
      <c r="B947">
        <v>1185732</v>
      </c>
      <c r="C947" s="1">
        <v>44238</v>
      </c>
      <c r="D947" t="s">
        <v>12</v>
      </c>
      <c r="E947" t="s">
        <v>101</v>
      </c>
      <c r="F947" t="s">
        <v>102</v>
      </c>
      <c r="G947" t="s">
        <v>41</v>
      </c>
      <c r="H947" t="s">
        <v>22</v>
      </c>
      <c r="I947" s="3">
        <v>32</v>
      </c>
      <c r="J947" s="2">
        <v>101</v>
      </c>
      <c r="K947" s="3">
        <f t="shared" si="14"/>
        <v>3232</v>
      </c>
      <c r="L947" s="3">
        <v>1777.6000000000001</v>
      </c>
    </row>
    <row r="948" spans="1:12" x14ac:dyDescent="0.25">
      <c r="A948" t="s">
        <v>36</v>
      </c>
      <c r="B948">
        <v>1185732</v>
      </c>
      <c r="C948" s="1">
        <v>44238</v>
      </c>
      <c r="D948" t="s">
        <v>57</v>
      </c>
      <c r="E948" t="s">
        <v>110</v>
      </c>
      <c r="F948" t="s">
        <v>111</v>
      </c>
      <c r="G948" t="s">
        <v>41</v>
      </c>
      <c r="H948" t="s">
        <v>22</v>
      </c>
      <c r="I948" s="3">
        <v>41</v>
      </c>
      <c r="J948" s="2">
        <v>122</v>
      </c>
      <c r="K948" s="3">
        <f t="shared" si="14"/>
        <v>5002</v>
      </c>
      <c r="L948" s="3">
        <v>2701.0800000000004</v>
      </c>
    </row>
    <row r="949" spans="1:12" x14ac:dyDescent="0.25">
      <c r="A949" t="s">
        <v>11</v>
      </c>
      <c r="B949">
        <v>1185732</v>
      </c>
      <c r="C949" s="1">
        <v>44238</v>
      </c>
      <c r="D949" t="s">
        <v>57</v>
      </c>
      <c r="E949" t="s">
        <v>106</v>
      </c>
      <c r="F949" t="s">
        <v>107</v>
      </c>
      <c r="G949" t="s">
        <v>41</v>
      </c>
      <c r="H949" t="s">
        <v>17</v>
      </c>
      <c r="I949" s="3">
        <v>24</v>
      </c>
      <c r="J949" s="2">
        <v>101</v>
      </c>
      <c r="K949" s="3">
        <f t="shared" si="14"/>
        <v>2424</v>
      </c>
      <c r="L949" s="3">
        <v>1284.72</v>
      </c>
    </row>
    <row r="950" spans="1:12" x14ac:dyDescent="0.25">
      <c r="A950" t="s">
        <v>11</v>
      </c>
      <c r="B950">
        <v>1185732</v>
      </c>
      <c r="C950" s="1">
        <v>44238</v>
      </c>
      <c r="D950" t="s">
        <v>12</v>
      </c>
      <c r="E950" t="s">
        <v>101</v>
      </c>
      <c r="F950" t="s">
        <v>102</v>
      </c>
      <c r="G950" t="s">
        <v>41</v>
      </c>
      <c r="H950" t="s">
        <v>37</v>
      </c>
      <c r="I950" s="3">
        <v>19</v>
      </c>
      <c r="J950" s="2">
        <v>87</v>
      </c>
      <c r="K950" s="3">
        <f t="shared" si="14"/>
        <v>1653</v>
      </c>
      <c r="L950" s="3">
        <v>826.5</v>
      </c>
    </row>
    <row r="951" spans="1:12" x14ac:dyDescent="0.25">
      <c r="A951" t="s">
        <v>36</v>
      </c>
      <c r="B951">
        <v>1185732</v>
      </c>
      <c r="C951" s="1">
        <v>44238</v>
      </c>
      <c r="D951" t="s">
        <v>32</v>
      </c>
      <c r="E951" t="s">
        <v>108</v>
      </c>
      <c r="F951" t="s">
        <v>109</v>
      </c>
      <c r="G951" t="s">
        <v>41</v>
      </c>
      <c r="H951" t="s">
        <v>38</v>
      </c>
      <c r="I951" s="3">
        <v>32</v>
      </c>
      <c r="J951" s="2">
        <v>231</v>
      </c>
      <c r="K951" s="3">
        <f t="shared" si="14"/>
        <v>7392</v>
      </c>
      <c r="L951" s="3">
        <v>3696</v>
      </c>
    </row>
    <row r="952" spans="1:12" x14ac:dyDescent="0.25">
      <c r="A952" t="s">
        <v>36</v>
      </c>
      <c r="B952">
        <v>1185732</v>
      </c>
      <c r="C952" s="1">
        <v>44238</v>
      </c>
      <c r="D952" t="s">
        <v>32</v>
      </c>
      <c r="E952" t="s">
        <v>108</v>
      </c>
      <c r="F952" t="s">
        <v>109</v>
      </c>
      <c r="G952" t="s">
        <v>41</v>
      </c>
      <c r="H952" t="s">
        <v>17</v>
      </c>
      <c r="I952" s="3">
        <v>33</v>
      </c>
      <c r="J952" s="2">
        <v>143</v>
      </c>
      <c r="K952" s="3">
        <f t="shared" si="14"/>
        <v>4719</v>
      </c>
      <c r="L952" s="3">
        <v>2359.5</v>
      </c>
    </row>
    <row r="953" spans="1:12" x14ac:dyDescent="0.25">
      <c r="A953" t="s">
        <v>36</v>
      </c>
      <c r="B953">
        <v>1185732</v>
      </c>
      <c r="C953" s="1">
        <v>44238</v>
      </c>
      <c r="D953" t="s">
        <v>32</v>
      </c>
      <c r="E953" t="s">
        <v>108</v>
      </c>
      <c r="F953" t="s">
        <v>109</v>
      </c>
      <c r="G953" t="s">
        <v>41</v>
      </c>
      <c r="H953" t="s">
        <v>35</v>
      </c>
      <c r="I953" s="3">
        <v>23</v>
      </c>
      <c r="J953" s="2">
        <v>158</v>
      </c>
      <c r="K953" s="3">
        <f t="shared" si="14"/>
        <v>3634</v>
      </c>
      <c r="L953" s="3">
        <v>1817</v>
      </c>
    </row>
    <row r="954" spans="1:12" x14ac:dyDescent="0.25">
      <c r="A954" t="s">
        <v>36</v>
      </c>
      <c r="B954">
        <v>1185732</v>
      </c>
      <c r="C954" s="1">
        <v>44238</v>
      </c>
      <c r="D954" t="s">
        <v>57</v>
      </c>
      <c r="E954" t="s">
        <v>110</v>
      </c>
      <c r="F954" t="s">
        <v>111</v>
      </c>
      <c r="G954" t="s">
        <v>41</v>
      </c>
      <c r="H954" t="s">
        <v>37</v>
      </c>
      <c r="I954" s="3">
        <v>29</v>
      </c>
      <c r="J954" s="2">
        <v>101</v>
      </c>
      <c r="K954" s="3">
        <f t="shared" si="14"/>
        <v>2929</v>
      </c>
      <c r="L954" s="3">
        <v>1464.5</v>
      </c>
    </row>
    <row r="955" spans="1:12" x14ac:dyDescent="0.25">
      <c r="A955" t="s">
        <v>11</v>
      </c>
      <c r="B955">
        <v>1185732</v>
      </c>
      <c r="C955" s="1">
        <v>44238</v>
      </c>
      <c r="D955" t="s">
        <v>57</v>
      </c>
      <c r="E955" t="s">
        <v>106</v>
      </c>
      <c r="F955" t="s">
        <v>107</v>
      </c>
      <c r="G955" t="s">
        <v>41</v>
      </c>
      <c r="H955" t="s">
        <v>38</v>
      </c>
      <c r="I955" s="3">
        <v>25</v>
      </c>
      <c r="J955" s="2">
        <v>218</v>
      </c>
      <c r="K955" s="3">
        <f t="shared" si="14"/>
        <v>5450</v>
      </c>
      <c r="L955" s="3">
        <v>2561.5</v>
      </c>
    </row>
    <row r="956" spans="1:12" x14ac:dyDescent="0.25">
      <c r="A956" t="s">
        <v>27</v>
      </c>
      <c r="B956">
        <v>1189833</v>
      </c>
      <c r="C956" s="1">
        <v>44238</v>
      </c>
      <c r="D956" t="s">
        <v>57</v>
      </c>
      <c r="E956" t="s">
        <v>58</v>
      </c>
      <c r="F956" t="s">
        <v>59</v>
      </c>
      <c r="G956" t="s">
        <v>41</v>
      </c>
      <c r="H956" t="s">
        <v>37</v>
      </c>
      <c r="I956" s="3">
        <v>41</v>
      </c>
      <c r="J956" s="2">
        <v>106</v>
      </c>
      <c r="K956" s="3">
        <f t="shared" si="14"/>
        <v>4346</v>
      </c>
      <c r="L956" s="3">
        <v>1999.1599999999999</v>
      </c>
    </row>
    <row r="957" spans="1:12" x14ac:dyDescent="0.25">
      <c r="A957" t="s">
        <v>11</v>
      </c>
      <c r="B957">
        <v>1185732</v>
      </c>
      <c r="C957" s="1">
        <v>44238</v>
      </c>
      <c r="D957" t="s">
        <v>12</v>
      </c>
      <c r="E957" t="s">
        <v>101</v>
      </c>
      <c r="F957" t="s">
        <v>102</v>
      </c>
      <c r="G957" t="s">
        <v>15</v>
      </c>
      <c r="H957" t="s">
        <v>16</v>
      </c>
      <c r="I957" s="3">
        <v>18</v>
      </c>
      <c r="J957" s="2">
        <v>149</v>
      </c>
      <c r="K957" s="3">
        <f t="shared" si="14"/>
        <v>2682</v>
      </c>
      <c r="L957" s="3">
        <v>1206.8999999999999</v>
      </c>
    </row>
    <row r="958" spans="1:12" x14ac:dyDescent="0.25">
      <c r="A958" t="s">
        <v>36</v>
      </c>
      <c r="B958">
        <v>1185732</v>
      </c>
      <c r="C958" s="1">
        <v>44238</v>
      </c>
      <c r="D958" t="s">
        <v>57</v>
      </c>
      <c r="E958" t="s">
        <v>110</v>
      </c>
      <c r="F958" t="s">
        <v>111</v>
      </c>
      <c r="G958" t="s">
        <v>41</v>
      </c>
      <c r="H958" t="s">
        <v>16</v>
      </c>
      <c r="I958" s="3">
        <v>29</v>
      </c>
      <c r="J958" s="2">
        <v>143</v>
      </c>
      <c r="K958" s="3">
        <f t="shared" si="14"/>
        <v>4147</v>
      </c>
      <c r="L958" s="3">
        <v>1617.33</v>
      </c>
    </row>
    <row r="959" spans="1:12" x14ac:dyDescent="0.25">
      <c r="A959" t="s">
        <v>11</v>
      </c>
      <c r="B959">
        <v>1185732</v>
      </c>
      <c r="C959" s="1">
        <v>44238</v>
      </c>
      <c r="D959" t="s">
        <v>12</v>
      </c>
      <c r="E959" t="s">
        <v>101</v>
      </c>
      <c r="F959" t="s">
        <v>102</v>
      </c>
      <c r="G959" t="s">
        <v>41</v>
      </c>
      <c r="H959" t="s">
        <v>16</v>
      </c>
      <c r="I959" s="3">
        <v>24</v>
      </c>
      <c r="J959" s="2">
        <v>131</v>
      </c>
      <c r="K959" s="3">
        <f t="shared" si="14"/>
        <v>3144</v>
      </c>
      <c r="L959" s="3">
        <v>1194.72</v>
      </c>
    </row>
    <row r="960" spans="1:12" x14ac:dyDescent="0.25">
      <c r="A960" t="s">
        <v>11</v>
      </c>
      <c r="B960">
        <v>1128299</v>
      </c>
      <c r="C960" s="1">
        <v>44239</v>
      </c>
      <c r="D960" t="s">
        <v>12</v>
      </c>
      <c r="E960" t="s">
        <v>13</v>
      </c>
      <c r="F960" t="s">
        <v>14</v>
      </c>
      <c r="G960" t="s">
        <v>15</v>
      </c>
      <c r="H960" t="s">
        <v>17</v>
      </c>
      <c r="I960" s="3">
        <v>60.000000000000007</v>
      </c>
      <c r="J960" s="2">
        <v>975</v>
      </c>
      <c r="K960" s="3">
        <f t="shared" si="14"/>
        <v>58500.000000000007</v>
      </c>
      <c r="L960" s="3">
        <v>49725.000000000015</v>
      </c>
    </row>
    <row r="961" spans="1:12" x14ac:dyDescent="0.25">
      <c r="A961" t="s">
        <v>27</v>
      </c>
      <c r="B961">
        <v>1185732</v>
      </c>
      <c r="C961" s="1">
        <v>44239</v>
      </c>
      <c r="D961" t="s">
        <v>12</v>
      </c>
      <c r="E961" t="s">
        <v>62</v>
      </c>
      <c r="F961" t="s">
        <v>63</v>
      </c>
      <c r="G961" t="s">
        <v>18</v>
      </c>
      <c r="H961" t="s">
        <v>16</v>
      </c>
      <c r="I961" s="3">
        <v>40</v>
      </c>
      <c r="J961" s="2">
        <v>600</v>
      </c>
      <c r="K961" s="3">
        <f t="shared" si="14"/>
        <v>24000</v>
      </c>
      <c r="L961" s="3">
        <v>18000</v>
      </c>
    </row>
    <row r="962" spans="1:12" x14ac:dyDescent="0.25">
      <c r="A962" t="s">
        <v>19</v>
      </c>
      <c r="B962">
        <v>1185732</v>
      </c>
      <c r="C962" s="1">
        <v>44239</v>
      </c>
      <c r="D962" t="s">
        <v>57</v>
      </c>
      <c r="E962" t="s">
        <v>72</v>
      </c>
      <c r="F962" t="s">
        <v>73</v>
      </c>
      <c r="G962" t="s">
        <v>41</v>
      </c>
      <c r="H962" t="s">
        <v>35</v>
      </c>
      <c r="I962" s="3">
        <v>30.000000000000004</v>
      </c>
      <c r="J962" s="2">
        <v>225</v>
      </c>
      <c r="K962" s="3">
        <f t="shared" si="14"/>
        <v>6750.0000000000009</v>
      </c>
      <c r="L962" s="3">
        <v>4725.0000000000018</v>
      </c>
    </row>
    <row r="963" spans="1:12" x14ac:dyDescent="0.25">
      <c r="A963" t="s">
        <v>27</v>
      </c>
      <c r="B963">
        <v>1185732</v>
      </c>
      <c r="C963" s="1">
        <v>44239</v>
      </c>
      <c r="D963" t="s">
        <v>29</v>
      </c>
      <c r="E963" t="s">
        <v>60</v>
      </c>
      <c r="F963" t="s">
        <v>61</v>
      </c>
      <c r="G963" t="s">
        <v>18</v>
      </c>
      <c r="H963" t="s">
        <v>17</v>
      </c>
      <c r="I963" s="3">
        <v>40</v>
      </c>
      <c r="J963" s="2">
        <v>500</v>
      </c>
      <c r="K963" s="3">
        <f t="shared" ref="K963:K1026" si="15">I963*J963</f>
        <v>20000</v>
      </c>
      <c r="L963" s="3">
        <v>14000</v>
      </c>
    </row>
    <row r="964" spans="1:12" x14ac:dyDescent="0.25">
      <c r="A964" t="s">
        <v>27</v>
      </c>
      <c r="B964">
        <v>1185732</v>
      </c>
      <c r="C964" s="1">
        <v>44239</v>
      </c>
      <c r="D964" t="s">
        <v>12</v>
      </c>
      <c r="E964" t="s">
        <v>62</v>
      </c>
      <c r="F964" t="s">
        <v>63</v>
      </c>
      <c r="G964" t="s">
        <v>18</v>
      </c>
      <c r="H964" t="s">
        <v>22</v>
      </c>
      <c r="I964" s="3">
        <v>50</v>
      </c>
      <c r="J964" s="2">
        <v>500</v>
      </c>
      <c r="K964" s="3">
        <f t="shared" si="15"/>
        <v>25000</v>
      </c>
      <c r="L964" s="3">
        <v>17500</v>
      </c>
    </row>
    <row r="965" spans="1:12" x14ac:dyDescent="0.25">
      <c r="A965" t="s">
        <v>19</v>
      </c>
      <c r="B965">
        <v>1185732</v>
      </c>
      <c r="C965" s="1">
        <v>44239</v>
      </c>
      <c r="D965" t="s">
        <v>57</v>
      </c>
      <c r="E965" t="s">
        <v>72</v>
      </c>
      <c r="F965" t="s">
        <v>73</v>
      </c>
      <c r="G965" t="s">
        <v>41</v>
      </c>
      <c r="H965" t="s">
        <v>17</v>
      </c>
      <c r="I965" s="3">
        <v>40</v>
      </c>
      <c r="J965" s="2">
        <v>175</v>
      </c>
      <c r="K965" s="3">
        <f t="shared" si="15"/>
        <v>7000</v>
      </c>
      <c r="L965" s="3">
        <v>4900</v>
      </c>
    </row>
    <row r="966" spans="1:12" x14ac:dyDescent="0.25">
      <c r="A966" t="s">
        <v>19</v>
      </c>
      <c r="B966">
        <v>1185732</v>
      </c>
      <c r="C966" s="1">
        <v>44239</v>
      </c>
      <c r="D966" t="s">
        <v>57</v>
      </c>
      <c r="E966" t="s">
        <v>74</v>
      </c>
      <c r="F966" t="s">
        <v>75</v>
      </c>
      <c r="G966" t="s">
        <v>41</v>
      </c>
      <c r="H966" t="s">
        <v>37</v>
      </c>
      <c r="I966" s="3">
        <v>35</v>
      </c>
      <c r="J966" s="2">
        <v>100</v>
      </c>
      <c r="K966" s="3">
        <f t="shared" si="15"/>
        <v>3500</v>
      </c>
      <c r="L966" s="3">
        <v>2450</v>
      </c>
    </row>
    <row r="967" spans="1:12" x14ac:dyDescent="0.25">
      <c r="A967" t="s">
        <v>27</v>
      </c>
      <c r="B967">
        <v>1185732</v>
      </c>
      <c r="C967" s="1">
        <v>44239</v>
      </c>
      <c r="D967" t="s">
        <v>29</v>
      </c>
      <c r="E967" t="s">
        <v>60</v>
      </c>
      <c r="F967" t="s">
        <v>61</v>
      </c>
      <c r="G967" t="s">
        <v>18</v>
      </c>
      <c r="H967" t="s">
        <v>35</v>
      </c>
      <c r="I967" s="3">
        <v>30.000000000000004</v>
      </c>
      <c r="J967" s="2">
        <v>550</v>
      </c>
      <c r="K967" s="3">
        <f t="shared" si="15"/>
        <v>16500.000000000004</v>
      </c>
      <c r="L967" s="3">
        <v>10725.000000000004</v>
      </c>
    </row>
    <row r="968" spans="1:12" x14ac:dyDescent="0.25">
      <c r="A968" t="s">
        <v>27</v>
      </c>
      <c r="B968">
        <v>1185732</v>
      </c>
      <c r="C968" s="1">
        <v>44239</v>
      </c>
      <c r="D968" t="s">
        <v>12</v>
      </c>
      <c r="E968" t="s">
        <v>62</v>
      </c>
      <c r="F968" t="s">
        <v>63</v>
      </c>
      <c r="G968" t="s">
        <v>18</v>
      </c>
      <c r="H968" t="s">
        <v>37</v>
      </c>
      <c r="I968" s="3">
        <v>35</v>
      </c>
      <c r="J968" s="2">
        <v>425</v>
      </c>
      <c r="K968" s="3">
        <f t="shared" si="15"/>
        <v>14875</v>
      </c>
      <c r="L968" s="3">
        <v>9668.75</v>
      </c>
    </row>
    <row r="969" spans="1:12" x14ac:dyDescent="0.25">
      <c r="A969" t="s">
        <v>19</v>
      </c>
      <c r="B969">
        <v>1185732</v>
      </c>
      <c r="C969" s="1">
        <v>44239</v>
      </c>
      <c r="D969" t="s">
        <v>57</v>
      </c>
      <c r="E969" t="s">
        <v>72</v>
      </c>
      <c r="F969" t="s">
        <v>73</v>
      </c>
      <c r="G969" t="s">
        <v>41</v>
      </c>
      <c r="H969" t="s">
        <v>38</v>
      </c>
      <c r="I969" s="3">
        <v>40</v>
      </c>
      <c r="J969" s="2">
        <v>525</v>
      </c>
      <c r="K969" s="3">
        <f t="shared" si="15"/>
        <v>21000</v>
      </c>
      <c r="L969" s="3">
        <v>13650</v>
      </c>
    </row>
    <row r="970" spans="1:12" x14ac:dyDescent="0.25">
      <c r="A970" t="s">
        <v>19</v>
      </c>
      <c r="B970">
        <v>1185732</v>
      </c>
      <c r="C970" s="1">
        <v>44239</v>
      </c>
      <c r="D970" t="s">
        <v>57</v>
      </c>
      <c r="E970" t="s">
        <v>74</v>
      </c>
      <c r="F970" t="s">
        <v>75</v>
      </c>
      <c r="G970" t="s">
        <v>41</v>
      </c>
      <c r="H970" t="s">
        <v>22</v>
      </c>
      <c r="I970" s="3">
        <v>49.999999999999993</v>
      </c>
      <c r="J970" s="2">
        <v>175</v>
      </c>
      <c r="K970" s="3">
        <f t="shared" si="15"/>
        <v>8749.9999999999982</v>
      </c>
      <c r="L970" s="3">
        <v>5687.4999999999991</v>
      </c>
    </row>
    <row r="971" spans="1:12" x14ac:dyDescent="0.25">
      <c r="A971" t="s">
        <v>36</v>
      </c>
      <c r="B971">
        <v>1185732</v>
      </c>
      <c r="C971" s="1">
        <v>44239</v>
      </c>
      <c r="D971" t="s">
        <v>29</v>
      </c>
      <c r="E971" t="s">
        <v>50</v>
      </c>
      <c r="F971" t="s">
        <v>51</v>
      </c>
      <c r="G971" t="s">
        <v>18</v>
      </c>
      <c r="H971" t="s">
        <v>35</v>
      </c>
      <c r="I971" s="3">
        <v>35</v>
      </c>
      <c r="J971" s="2">
        <v>275</v>
      </c>
      <c r="K971" s="3">
        <f t="shared" si="15"/>
        <v>9625</v>
      </c>
      <c r="L971" s="3">
        <v>6256.25</v>
      </c>
    </row>
    <row r="972" spans="1:12" x14ac:dyDescent="0.25">
      <c r="A972" t="s">
        <v>36</v>
      </c>
      <c r="B972">
        <v>1185732</v>
      </c>
      <c r="C972" s="1">
        <v>44239</v>
      </c>
      <c r="D972" t="s">
        <v>29</v>
      </c>
      <c r="E972" t="s">
        <v>80</v>
      </c>
      <c r="F972" t="s">
        <v>81</v>
      </c>
      <c r="G972" t="s">
        <v>18</v>
      </c>
      <c r="H972" t="s">
        <v>37</v>
      </c>
      <c r="I972" s="3">
        <v>40</v>
      </c>
      <c r="J972" s="2">
        <v>150</v>
      </c>
      <c r="K972" s="3">
        <f t="shared" si="15"/>
        <v>6000</v>
      </c>
      <c r="L972" s="3">
        <v>3900</v>
      </c>
    </row>
    <row r="973" spans="1:12" x14ac:dyDescent="0.25">
      <c r="A973" t="s">
        <v>36</v>
      </c>
      <c r="B973">
        <v>1185732</v>
      </c>
      <c r="C973" s="1">
        <v>44239</v>
      </c>
      <c r="D973" t="s">
        <v>29</v>
      </c>
      <c r="E973" t="s">
        <v>80</v>
      </c>
      <c r="F973" t="s">
        <v>81</v>
      </c>
      <c r="G973" t="s">
        <v>18</v>
      </c>
      <c r="H973" t="s">
        <v>22</v>
      </c>
      <c r="I973" s="3">
        <v>55.000000000000007</v>
      </c>
      <c r="J973" s="2">
        <v>225</v>
      </c>
      <c r="K973" s="3">
        <f t="shared" si="15"/>
        <v>12375.000000000002</v>
      </c>
      <c r="L973" s="3">
        <v>8043.7500000000018</v>
      </c>
    </row>
    <row r="974" spans="1:12" x14ac:dyDescent="0.25">
      <c r="A974" t="s">
        <v>19</v>
      </c>
      <c r="B974">
        <v>1185732</v>
      </c>
      <c r="C974" s="1">
        <v>44239</v>
      </c>
      <c r="D974" t="s">
        <v>57</v>
      </c>
      <c r="E974" t="s">
        <v>74</v>
      </c>
      <c r="F974" t="s">
        <v>75</v>
      </c>
      <c r="G974" t="s">
        <v>41</v>
      </c>
      <c r="H974" t="s">
        <v>16</v>
      </c>
      <c r="I974" s="3">
        <v>35</v>
      </c>
      <c r="J974" s="2">
        <v>275</v>
      </c>
      <c r="K974" s="3">
        <f t="shared" si="15"/>
        <v>9625</v>
      </c>
      <c r="L974" s="3">
        <v>5775</v>
      </c>
    </row>
    <row r="975" spans="1:12" x14ac:dyDescent="0.25">
      <c r="A975" t="s">
        <v>36</v>
      </c>
      <c r="B975">
        <v>1185732</v>
      </c>
      <c r="C975" s="1">
        <v>44239</v>
      </c>
      <c r="D975" t="s">
        <v>29</v>
      </c>
      <c r="E975" t="s">
        <v>80</v>
      </c>
      <c r="F975" t="s">
        <v>81</v>
      </c>
      <c r="G975" t="s">
        <v>18</v>
      </c>
      <c r="H975" t="s">
        <v>16</v>
      </c>
      <c r="I975" s="3">
        <v>45</v>
      </c>
      <c r="J975" s="2">
        <v>325</v>
      </c>
      <c r="K975" s="3">
        <f t="shared" si="15"/>
        <v>14625</v>
      </c>
      <c r="L975" s="3">
        <v>8775</v>
      </c>
    </row>
    <row r="976" spans="1:12" x14ac:dyDescent="0.25">
      <c r="A976" t="s">
        <v>36</v>
      </c>
      <c r="B976">
        <v>1185732</v>
      </c>
      <c r="C976" s="1">
        <v>44239</v>
      </c>
      <c r="D976" t="s">
        <v>29</v>
      </c>
      <c r="E976" t="s">
        <v>50</v>
      </c>
      <c r="F976" t="s">
        <v>51</v>
      </c>
      <c r="G976" t="s">
        <v>18</v>
      </c>
      <c r="H976" t="s">
        <v>38</v>
      </c>
      <c r="I976" s="3">
        <v>45</v>
      </c>
      <c r="J976" s="2">
        <v>575</v>
      </c>
      <c r="K976" s="3">
        <f t="shared" si="15"/>
        <v>25875</v>
      </c>
      <c r="L976" s="3">
        <v>14231.25</v>
      </c>
    </row>
    <row r="977" spans="1:12" x14ac:dyDescent="0.25">
      <c r="A977" t="s">
        <v>36</v>
      </c>
      <c r="B977">
        <v>1185732</v>
      </c>
      <c r="C977" s="1">
        <v>44239</v>
      </c>
      <c r="D977" t="s">
        <v>29</v>
      </c>
      <c r="E977" t="s">
        <v>50</v>
      </c>
      <c r="F977" t="s">
        <v>51</v>
      </c>
      <c r="G977" t="s">
        <v>18</v>
      </c>
      <c r="H977" t="s">
        <v>17</v>
      </c>
      <c r="I977" s="3">
        <v>45</v>
      </c>
      <c r="J977" s="2">
        <v>225</v>
      </c>
      <c r="K977" s="3">
        <f t="shared" si="15"/>
        <v>10125</v>
      </c>
      <c r="L977" s="3">
        <v>5568.75</v>
      </c>
    </row>
    <row r="978" spans="1:12" x14ac:dyDescent="0.25">
      <c r="A978" t="s">
        <v>27</v>
      </c>
      <c r="B978">
        <v>1185732</v>
      </c>
      <c r="C978" s="1">
        <v>44239</v>
      </c>
      <c r="D978" t="s">
        <v>29</v>
      </c>
      <c r="E978" t="s">
        <v>60</v>
      </c>
      <c r="F978" t="s">
        <v>61</v>
      </c>
      <c r="G978" t="s">
        <v>18</v>
      </c>
      <c r="H978" t="s">
        <v>38</v>
      </c>
      <c r="I978" s="3">
        <v>40</v>
      </c>
      <c r="J978" s="2">
        <v>850</v>
      </c>
      <c r="K978" s="3">
        <f t="shared" si="15"/>
        <v>34000</v>
      </c>
      <c r="L978" s="3">
        <v>17000</v>
      </c>
    </row>
    <row r="979" spans="1:12" x14ac:dyDescent="0.25">
      <c r="A979" t="s">
        <v>27</v>
      </c>
      <c r="B979">
        <v>1189833</v>
      </c>
      <c r="C979" s="1">
        <v>44239</v>
      </c>
      <c r="D979" t="s">
        <v>57</v>
      </c>
      <c r="E979" t="s">
        <v>58</v>
      </c>
      <c r="F979" t="s">
        <v>59</v>
      </c>
      <c r="G979" t="s">
        <v>15</v>
      </c>
      <c r="H979" t="s">
        <v>22</v>
      </c>
      <c r="I979" s="3">
        <v>54.999999999999993</v>
      </c>
      <c r="J979" s="2">
        <v>425</v>
      </c>
      <c r="K979" s="3">
        <f t="shared" si="15"/>
        <v>23374.999999999996</v>
      </c>
      <c r="L979" s="3">
        <v>9349.9999999999964</v>
      </c>
    </row>
    <row r="980" spans="1:12" x14ac:dyDescent="0.25">
      <c r="A980" t="s">
        <v>11</v>
      </c>
      <c r="B980">
        <v>1128299</v>
      </c>
      <c r="C980" s="1">
        <v>44239</v>
      </c>
      <c r="D980" t="s">
        <v>12</v>
      </c>
      <c r="E980" t="s">
        <v>13</v>
      </c>
      <c r="F980" t="s">
        <v>14</v>
      </c>
      <c r="G980" t="s">
        <v>15</v>
      </c>
      <c r="H980" t="s">
        <v>17</v>
      </c>
      <c r="I980" s="3">
        <v>46</v>
      </c>
      <c r="J980" s="2">
        <v>332</v>
      </c>
      <c r="K980" s="3">
        <f t="shared" si="15"/>
        <v>15272</v>
      </c>
      <c r="L980" s="3">
        <v>12064.880000000001</v>
      </c>
    </row>
    <row r="981" spans="1:12" x14ac:dyDescent="0.25">
      <c r="A981" t="s">
        <v>11</v>
      </c>
      <c r="B981">
        <v>1128299</v>
      </c>
      <c r="C981" s="1">
        <v>44239</v>
      </c>
      <c r="D981" t="s">
        <v>12</v>
      </c>
      <c r="E981" t="s">
        <v>13</v>
      </c>
      <c r="F981" t="s">
        <v>14</v>
      </c>
      <c r="G981" t="s">
        <v>41</v>
      </c>
      <c r="H981" t="s">
        <v>17</v>
      </c>
      <c r="I981" s="3">
        <v>58</v>
      </c>
      <c r="J981" s="2">
        <v>273</v>
      </c>
      <c r="K981" s="3">
        <f t="shared" si="15"/>
        <v>15834</v>
      </c>
      <c r="L981" s="3">
        <v>11558.82</v>
      </c>
    </row>
    <row r="982" spans="1:12" x14ac:dyDescent="0.25">
      <c r="A982" t="s">
        <v>36</v>
      </c>
      <c r="B982">
        <v>1185732</v>
      </c>
      <c r="C982" s="1">
        <v>44239</v>
      </c>
      <c r="D982" t="s">
        <v>29</v>
      </c>
      <c r="E982" t="s">
        <v>80</v>
      </c>
      <c r="F982" t="s">
        <v>81</v>
      </c>
      <c r="G982" t="s">
        <v>15</v>
      </c>
      <c r="H982" t="s">
        <v>37</v>
      </c>
      <c r="I982" s="3">
        <v>30</v>
      </c>
      <c r="J982" s="2">
        <v>48</v>
      </c>
      <c r="K982" s="3">
        <f t="shared" si="15"/>
        <v>1440</v>
      </c>
      <c r="L982" s="3">
        <v>892.8</v>
      </c>
    </row>
    <row r="983" spans="1:12" x14ac:dyDescent="0.25">
      <c r="A983" t="s">
        <v>36</v>
      </c>
      <c r="B983">
        <v>1185732</v>
      </c>
      <c r="C983" s="1">
        <v>44239</v>
      </c>
      <c r="D983" t="s">
        <v>29</v>
      </c>
      <c r="E983" t="s">
        <v>80</v>
      </c>
      <c r="F983" t="s">
        <v>81</v>
      </c>
      <c r="G983" t="s">
        <v>15</v>
      </c>
      <c r="H983" t="s">
        <v>22</v>
      </c>
      <c r="I983" s="3">
        <v>36</v>
      </c>
      <c r="J983" s="2">
        <v>68</v>
      </c>
      <c r="K983" s="3">
        <f t="shared" si="15"/>
        <v>2448</v>
      </c>
      <c r="L983" s="3">
        <v>1493.2800000000002</v>
      </c>
    </row>
    <row r="984" spans="1:12" x14ac:dyDescent="0.25">
      <c r="A984" t="s">
        <v>27</v>
      </c>
      <c r="B984">
        <v>1185732</v>
      </c>
      <c r="C984" s="1">
        <v>44239</v>
      </c>
      <c r="D984" t="s">
        <v>12</v>
      </c>
      <c r="E984" t="s">
        <v>62</v>
      </c>
      <c r="F984" t="s">
        <v>63</v>
      </c>
      <c r="G984" t="s">
        <v>41</v>
      </c>
      <c r="H984" t="s">
        <v>16</v>
      </c>
      <c r="I984" s="3">
        <v>38</v>
      </c>
      <c r="J984" s="2">
        <v>174</v>
      </c>
      <c r="K984" s="3">
        <f t="shared" si="15"/>
        <v>6612</v>
      </c>
      <c r="L984" s="3">
        <v>4033.3199999999997</v>
      </c>
    </row>
    <row r="985" spans="1:12" x14ac:dyDescent="0.25">
      <c r="A985" t="s">
        <v>36</v>
      </c>
      <c r="B985">
        <v>1185732</v>
      </c>
      <c r="C985" s="1">
        <v>44239</v>
      </c>
      <c r="D985" t="s">
        <v>29</v>
      </c>
      <c r="E985" t="s">
        <v>50</v>
      </c>
      <c r="F985" t="s">
        <v>51</v>
      </c>
      <c r="G985" t="s">
        <v>15</v>
      </c>
      <c r="H985" t="s">
        <v>35</v>
      </c>
      <c r="I985" s="3">
        <v>25</v>
      </c>
      <c r="J985" s="2">
        <v>85</v>
      </c>
      <c r="K985" s="3">
        <f t="shared" si="15"/>
        <v>2125</v>
      </c>
      <c r="L985" s="3">
        <v>1275</v>
      </c>
    </row>
    <row r="986" spans="1:12" x14ac:dyDescent="0.25">
      <c r="A986" t="s">
        <v>27</v>
      </c>
      <c r="B986">
        <v>1185732</v>
      </c>
      <c r="C986" s="1">
        <v>44239</v>
      </c>
      <c r="D986" t="s">
        <v>12</v>
      </c>
      <c r="E986" t="s">
        <v>62</v>
      </c>
      <c r="F986" t="s">
        <v>63</v>
      </c>
      <c r="G986" t="s">
        <v>41</v>
      </c>
      <c r="H986" t="s">
        <v>22</v>
      </c>
      <c r="I986" s="3">
        <v>47</v>
      </c>
      <c r="J986" s="2">
        <v>145</v>
      </c>
      <c r="K986" s="3">
        <f t="shared" si="15"/>
        <v>6815</v>
      </c>
      <c r="L986" s="3">
        <v>4020.8500000000004</v>
      </c>
    </row>
    <row r="987" spans="1:12" x14ac:dyDescent="0.25">
      <c r="A987" t="s">
        <v>27</v>
      </c>
      <c r="B987">
        <v>1185732</v>
      </c>
      <c r="C987" s="1">
        <v>44239</v>
      </c>
      <c r="D987" t="s">
        <v>29</v>
      </c>
      <c r="E987" t="s">
        <v>60</v>
      </c>
      <c r="F987" t="s">
        <v>61</v>
      </c>
      <c r="G987" t="s">
        <v>41</v>
      </c>
      <c r="H987" t="s">
        <v>17</v>
      </c>
      <c r="I987" s="3">
        <v>37</v>
      </c>
      <c r="J987" s="2">
        <v>145</v>
      </c>
      <c r="K987" s="3">
        <f t="shared" si="15"/>
        <v>5365</v>
      </c>
      <c r="L987" s="3">
        <v>3165.35</v>
      </c>
    </row>
    <row r="988" spans="1:12" x14ac:dyDescent="0.25">
      <c r="A988" t="s">
        <v>19</v>
      </c>
      <c r="B988">
        <v>1185732</v>
      </c>
      <c r="C988" s="1">
        <v>44239</v>
      </c>
      <c r="D988" t="s">
        <v>57</v>
      </c>
      <c r="E988" t="s">
        <v>72</v>
      </c>
      <c r="F988" t="s">
        <v>73</v>
      </c>
      <c r="G988" t="s">
        <v>41</v>
      </c>
      <c r="H988" t="s">
        <v>35</v>
      </c>
      <c r="I988" s="3">
        <v>29</v>
      </c>
      <c r="J988" s="2">
        <v>59</v>
      </c>
      <c r="K988" s="3">
        <f t="shared" si="15"/>
        <v>1711</v>
      </c>
      <c r="L988" s="3">
        <v>975.27</v>
      </c>
    </row>
    <row r="989" spans="1:12" x14ac:dyDescent="0.25">
      <c r="A989" t="s">
        <v>19</v>
      </c>
      <c r="B989">
        <v>1185732</v>
      </c>
      <c r="C989" s="1">
        <v>44239</v>
      </c>
      <c r="D989" t="s">
        <v>57</v>
      </c>
      <c r="E989" t="s">
        <v>72</v>
      </c>
      <c r="F989" t="s">
        <v>73</v>
      </c>
      <c r="G989" t="s">
        <v>41</v>
      </c>
      <c r="H989" t="s">
        <v>17</v>
      </c>
      <c r="I989" s="3">
        <v>39</v>
      </c>
      <c r="J989" s="2">
        <v>47</v>
      </c>
      <c r="K989" s="3">
        <f t="shared" si="15"/>
        <v>1833</v>
      </c>
      <c r="L989" s="3">
        <v>1026.48</v>
      </c>
    </row>
    <row r="990" spans="1:12" x14ac:dyDescent="0.25">
      <c r="A990" t="s">
        <v>19</v>
      </c>
      <c r="B990">
        <v>1185732</v>
      </c>
      <c r="C990" s="1">
        <v>44239</v>
      </c>
      <c r="D990" t="s">
        <v>57</v>
      </c>
      <c r="E990" t="s">
        <v>74</v>
      </c>
      <c r="F990" t="s">
        <v>75</v>
      </c>
      <c r="G990" t="s">
        <v>41</v>
      </c>
      <c r="H990" t="s">
        <v>37</v>
      </c>
      <c r="I990" s="3">
        <v>33</v>
      </c>
      <c r="J990" s="2">
        <v>25</v>
      </c>
      <c r="K990" s="3">
        <f t="shared" si="15"/>
        <v>825</v>
      </c>
      <c r="L990" s="3">
        <v>462</v>
      </c>
    </row>
    <row r="991" spans="1:12" x14ac:dyDescent="0.25">
      <c r="A991" t="s">
        <v>19</v>
      </c>
      <c r="B991">
        <v>1185732</v>
      </c>
      <c r="C991" s="1">
        <v>44239</v>
      </c>
      <c r="D991" t="s">
        <v>57</v>
      </c>
      <c r="E991" t="s">
        <v>74</v>
      </c>
      <c r="F991" t="s">
        <v>75</v>
      </c>
      <c r="G991" t="s">
        <v>41</v>
      </c>
      <c r="H991" t="s">
        <v>22</v>
      </c>
      <c r="I991" s="3">
        <v>48</v>
      </c>
      <c r="J991" s="2">
        <v>46</v>
      </c>
      <c r="K991" s="3">
        <f t="shared" si="15"/>
        <v>2208</v>
      </c>
      <c r="L991" s="3">
        <v>1214.4000000000001</v>
      </c>
    </row>
    <row r="992" spans="1:12" x14ac:dyDescent="0.25">
      <c r="A992" t="s">
        <v>36</v>
      </c>
      <c r="B992">
        <v>1185732</v>
      </c>
      <c r="C992" s="1">
        <v>44239</v>
      </c>
      <c r="D992" t="s">
        <v>29</v>
      </c>
      <c r="E992" t="s">
        <v>80</v>
      </c>
      <c r="F992" t="s">
        <v>81</v>
      </c>
      <c r="G992" t="s">
        <v>41</v>
      </c>
      <c r="H992" t="s">
        <v>37</v>
      </c>
      <c r="I992" s="3">
        <v>36</v>
      </c>
      <c r="J992" s="2">
        <v>45</v>
      </c>
      <c r="K992" s="3">
        <f t="shared" si="15"/>
        <v>1620</v>
      </c>
      <c r="L992" s="3">
        <v>874.80000000000007</v>
      </c>
    </row>
    <row r="993" spans="1:12" x14ac:dyDescent="0.25">
      <c r="A993" t="s">
        <v>36</v>
      </c>
      <c r="B993">
        <v>1185732</v>
      </c>
      <c r="C993" s="1">
        <v>44239</v>
      </c>
      <c r="D993" t="s">
        <v>29</v>
      </c>
      <c r="E993" t="s">
        <v>80</v>
      </c>
      <c r="F993" t="s">
        <v>81</v>
      </c>
      <c r="G993" t="s">
        <v>15</v>
      </c>
      <c r="H993" t="s">
        <v>16</v>
      </c>
      <c r="I993" s="3">
        <v>35</v>
      </c>
      <c r="J993" s="2">
        <v>107</v>
      </c>
      <c r="K993" s="3">
        <f t="shared" si="15"/>
        <v>3745</v>
      </c>
      <c r="L993" s="3">
        <v>1984.8500000000001</v>
      </c>
    </row>
    <row r="994" spans="1:12" x14ac:dyDescent="0.25">
      <c r="A994" t="s">
        <v>36</v>
      </c>
      <c r="B994">
        <v>1185732</v>
      </c>
      <c r="C994" s="1">
        <v>44239</v>
      </c>
      <c r="D994" t="s">
        <v>29</v>
      </c>
      <c r="E994" t="s">
        <v>50</v>
      </c>
      <c r="F994" t="s">
        <v>51</v>
      </c>
      <c r="G994" t="s">
        <v>15</v>
      </c>
      <c r="H994" t="s">
        <v>38</v>
      </c>
      <c r="I994" s="3">
        <v>33</v>
      </c>
      <c r="J994" s="2">
        <v>184</v>
      </c>
      <c r="K994" s="3">
        <f t="shared" si="15"/>
        <v>6072</v>
      </c>
      <c r="L994" s="3">
        <v>3218.16</v>
      </c>
    </row>
    <row r="995" spans="1:12" x14ac:dyDescent="0.25">
      <c r="A995" t="s">
        <v>36</v>
      </c>
      <c r="B995">
        <v>1185732</v>
      </c>
      <c r="C995" s="1">
        <v>44239</v>
      </c>
      <c r="D995" t="s">
        <v>29</v>
      </c>
      <c r="E995" t="s">
        <v>50</v>
      </c>
      <c r="F995" t="s">
        <v>51</v>
      </c>
      <c r="G995" t="s">
        <v>15</v>
      </c>
      <c r="H995" t="s">
        <v>17</v>
      </c>
      <c r="I995" s="3">
        <v>33</v>
      </c>
      <c r="J995" s="2">
        <v>72</v>
      </c>
      <c r="K995" s="3">
        <f t="shared" si="15"/>
        <v>2376</v>
      </c>
      <c r="L995" s="3">
        <v>1259.28</v>
      </c>
    </row>
    <row r="996" spans="1:12" x14ac:dyDescent="0.25">
      <c r="A996" t="s">
        <v>27</v>
      </c>
      <c r="B996">
        <v>1185732</v>
      </c>
      <c r="C996" s="1">
        <v>44239</v>
      </c>
      <c r="D996" t="s">
        <v>12</v>
      </c>
      <c r="E996" t="s">
        <v>62</v>
      </c>
      <c r="F996" t="s">
        <v>63</v>
      </c>
      <c r="G996" t="s">
        <v>41</v>
      </c>
      <c r="H996" t="s">
        <v>37</v>
      </c>
      <c r="I996" s="3">
        <v>32</v>
      </c>
      <c r="J996" s="2">
        <v>123</v>
      </c>
      <c r="K996" s="3">
        <f t="shared" si="15"/>
        <v>3936</v>
      </c>
      <c r="L996" s="3">
        <v>2046.72</v>
      </c>
    </row>
    <row r="997" spans="1:12" x14ac:dyDescent="0.25">
      <c r="A997" t="s">
        <v>27</v>
      </c>
      <c r="B997">
        <v>1185732</v>
      </c>
      <c r="C997" s="1">
        <v>44239</v>
      </c>
      <c r="D997" t="s">
        <v>29</v>
      </c>
      <c r="E997" t="s">
        <v>60</v>
      </c>
      <c r="F997" t="s">
        <v>61</v>
      </c>
      <c r="G997" t="s">
        <v>41</v>
      </c>
      <c r="H997" t="s">
        <v>35</v>
      </c>
      <c r="I997" s="3">
        <v>29</v>
      </c>
      <c r="J997" s="2">
        <v>143</v>
      </c>
      <c r="K997" s="3">
        <f t="shared" si="15"/>
        <v>4147</v>
      </c>
      <c r="L997" s="3">
        <v>2114.9700000000003</v>
      </c>
    </row>
    <row r="998" spans="1:12" x14ac:dyDescent="0.25">
      <c r="A998" t="s">
        <v>19</v>
      </c>
      <c r="B998">
        <v>1185732</v>
      </c>
      <c r="C998" s="1">
        <v>44239</v>
      </c>
      <c r="D998" t="s">
        <v>57</v>
      </c>
      <c r="E998" t="s">
        <v>72</v>
      </c>
      <c r="F998" t="s">
        <v>73</v>
      </c>
      <c r="G998" t="s">
        <v>41</v>
      </c>
      <c r="H998" t="s">
        <v>38</v>
      </c>
      <c r="I998" s="3">
        <v>37</v>
      </c>
      <c r="J998" s="2">
        <v>158</v>
      </c>
      <c r="K998" s="3">
        <f t="shared" si="15"/>
        <v>5846</v>
      </c>
      <c r="L998" s="3">
        <v>2923</v>
      </c>
    </row>
    <row r="999" spans="1:12" x14ac:dyDescent="0.25">
      <c r="A999" t="s">
        <v>36</v>
      </c>
      <c r="B999">
        <v>1185732</v>
      </c>
      <c r="C999" s="1">
        <v>44239</v>
      </c>
      <c r="D999" t="s">
        <v>29</v>
      </c>
      <c r="E999" t="s">
        <v>50</v>
      </c>
      <c r="F999" t="s">
        <v>51</v>
      </c>
      <c r="G999" t="s">
        <v>41</v>
      </c>
      <c r="H999" t="s">
        <v>35</v>
      </c>
      <c r="I999" s="3">
        <v>33</v>
      </c>
      <c r="J999" s="2">
        <v>74</v>
      </c>
      <c r="K999" s="3">
        <f t="shared" si="15"/>
        <v>2442</v>
      </c>
      <c r="L999" s="3">
        <v>1221</v>
      </c>
    </row>
    <row r="1000" spans="1:12" x14ac:dyDescent="0.25">
      <c r="A1000" t="s">
        <v>36</v>
      </c>
      <c r="B1000">
        <v>1185732</v>
      </c>
      <c r="C1000" s="1">
        <v>44239</v>
      </c>
      <c r="D1000" t="s">
        <v>29</v>
      </c>
      <c r="E1000" t="s">
        <v>80</v>
      </c>
      <c r="F1000" t="s">
        <v>81</v>
      </c>
      <c r="G1000" t="s">
        <v>41</v>
      </c>
      <c r="H1000" t="s">
        <v>22</v>
      </c>
      <c r="I1000" s="3">
        <v>54</v>
      </c>
      <c r="J1000" s="2">
        <v>63</v>
      </c>
      <c r="K1000" s="3">
        <f t="shared" si="15"/>
        <v>3402</v>
      </c>
      <c r="L1000" s="3">
        <v>1701</v>
      </c>
    </row>
    <row r="1001" spans="1:12" x14ac:dyDescent="0.25">
      <c r="A1001" t="s">
        <v>36</v>
      </c>
      <c r="B1001">
        <v>1185732</v>
      </c>
      <c r="C1001" s="1">
        <v>44239</v>
      </c>
      <c r="D1001" t="s">
        <v>29</v>
      </c>
      <c r="E1001" t="s">
        <v>80</v>
      </c>
      <c r="F1001" t="s">
        <v>81</v>
      </c>
      <c r="G1001" t="s">
        <v>41</v>
      </c>
      <c r="H1001" t="s">
        <v>16</v>
      </c>
      <c r="I1001" s="3">
        <v>43</v>
      </c>
      <c r="J1001" s="2">
        <v>85</v>
      </c>
      <c r="K1001" s="3">
        <f t="shared" si="15"/>
        <v>3655</v>
      </c>
      <c r="L1001" s="3">
        <v>1681.3</v>
      </c>
    </row>
    <row r="1002" spans="1:12" x14ac:dyDescent="0.25">
      <c r="A1002" t="s">
        <v>19</v>
      </c>
      <c r="B1002">
        <v>1185732</v>
      </c>
      <c r="C1002" s="1">
        <v>44239</v>
      </c>
      <c r="D1002" t="s">
        <v>57</v>
      </c>
      <c r="E1002" t="s">
        <v>74</v>
      </c>
      <c r="F1002" t="s">
        <v>75</v>
      </c>
      <c r="G1002" t="s">
        <v>41</v>
      </c>
      <c r="H1002" t="s">
        <v>16</v>
      </c>
      <c r="I1002" s="3">
        <v>32</v>
      </c>
      <c r="J1002" s="2">
        <v>80</v>
      </c>
      <c r="K1002" s="3">
        <f t="shared" si="15"/>
        <v>2560</v>
      </c>
      <c r="L1002" s="3">
        <v>1152</v>
      </c>
    </row>
    <row r="1003" spans="1:12" x14ac:dyDescent="0.25">
      <c r="A1003" t="s">
        <v>36</v>
      </c>
      <c r="B1003">
        <v>1185732</v>
      </c>
      <c r="C1003" s="1">
        <v>44239</v>
      </c>
      <c r="D1003" t="s">
        <v>29</v>
      </c>
      <c r="E1003" t="s">
        <v>50</v>
      </c>
      <c r="F1003" t="s">
        <v>51</v>
      </c>
      <c r="G1003" t="s">
        <v>41</v>
      </c>
      <c r="H1003" t="s">
        <v>38</v>
      </c>
      <c r="I1003" s="3">
        <v>41</v>
      </c>
      <c r="J1003" s="2">
        <v>167</v>
      </c>
      <c r="K1003" s="3">
        <f t="shared" si="15"/>
        <v>6847</v>
      </c>
      <c r="L1003" s="3">
        <v>3012.68</v>
      </c>
    </row>
    <row r="1004" spans="1:12" x14ac:dyDescent="0.25">
      <c r="A1004" t="s">
        <v>36</v>
      </c>
      <c r="B1004">
        <v>1185732</v>
      </c>
      <c r="C1004" s="1">
        <v>44239</v>
      </c>
      <c r="D1004" t="s">
        <v>29</v>
      </c>
      <c r="E1004" t="s">
        <v>50</v>
      </c>
      <c r="F1004" t="s">
        <v>51</v>
      </c>
      <c r="G1004" t="s">
        <v>41</v>
      </c>
      <c r="H1004" t="s">
        <v>17</v>
      </c>
      <c r="I1004" s="3">
        <v>44</v>
      </c>
      <c r="J1004" s="2">
        <v>61</v>
      </c>
      <c r="K1004" s="3">
        <f t="shared" si="15"/>
        <v>2684</v>
      </c>
      <c r="L1004" s="3">
        <v>1073.6000000000001</v>
      </c>
    </row>
    <row r="1005" spans="1:12" x14ac:dyDescent="0.25">
      <c r="A1005" t="s">
        <v>27</v>
      </c>
      <c r="B1005">
        <v>1185732</v>
      </c>
      <c r="C1005" s="1">
        <v>44239</v>
      </c>
      <c r="D1005" t="s">
        <v>29</v>
      </c>
      <c r="E1005" t="s">
        <v>60</v>
      </c>
      <c r="F1005" t="s">
        <v>61</v>
      </c>
      <c r="G1005" t="s">
        <v>41</v>
      </c>
      <c r="H1005" t="s">
        <v>38</v>
      </c>
      <c r="I1005" s="3">
        <v>37</v>
      </c>
      <c r="J1005" s="2">
        <v>238</v>
      </c>
      <c r="K1005" s="3">
        <f t="shared" si="15"/>
        <v>8806</v>
      </c>
      <c r="L1005" s="3">
        <v>3434.34</v>
      </c>
    </row>
    <row r="1006" spans="1:12" x14ac:dyDescent="0.25">
      <c r="A1006" t="s">
        <v>27</v>
      </c>
      <c r="B1006">
        <v>1189833</v>
      </c>
      <c r="C1006" s="1">
        <v>44239</v>
      </c>
      <c r="D1006" t="s">
        <v>57</v>
      </c>
      <c r="E1006" t="s">
        <v>58</v>
      </c>
      <c r="F1006" t="s">
        <v>59</v>
      </c>
      <c r="G1006" t="s">
        <v>41</v>
      </c>
      <c r="H1006" t="s">
        <v>22</v>
      </c>
      <c r="I1006" s="3">
        <v>52</v>
      </c>
      <c r="J1006" s="2">
        <v>106</v>
      </c>
      <c r="K1006" s="3">
        <f t="shared" si="15"/>
        <v>5512</v>
      </c>
      <c r="L1006" s="3">
        <v>1653.5999999999995</v>
      </c>
    </row>
    <row r="1007" spans="1:12" x14ac:dyDescent="0.25">
      <c r="A1007" t="s">
        <v>27</v>
      </c>
      <c r="B1007">
        <v>1189833</v>
      </c>
      <c r="C1007" s="1">
        <v>44240</v>
      </c>
      <c r="D1007" t="s">
        <v>57</v>
      </c>
      <c r="E1007" t="s">
        <v>58</v>
      </c>
      <c r="F1007" t="s">
        <v>59</v>
      </c>
      <c r="G1007" t="s">
        <v>15</v>
      </c>
      <c r="H1007" t="s">
        <v>16</v>
      </c>
      <c r="I1007" s="3">
        <v>60</v>
      </c>
      <c r="J1007" s="2">
        <v>400</v>
      </c>
      <c r="K1007" s="3">
        <f t="shared" si="15"/>
        <v>24000</v>
      </c>
      <c r="L1007" s="3">
        <v>18000</v>
      </c>
    </row>
    <row r="1008" spans="1:12" x14ac:dyDescent="0.25">
      <c r="A1008" t="s">
        <v>26</v>
      </c>
      <c r="B1008">
        <v>1128299</v>
      </c>
      <c r="C1008" s="1">
        <v>44240</v>
      </c>
      <c r="D1008" t="s">
        <v>32</v>
      </c>
      <c r="E1008" t="s">
        <v>44</v>
      </c>
      <c r="F1008" t="s">
        <v>45</v>
      </c>
      <c r="G1008" t="s">
        <v>41</v>
      </c>
      <c r="H1008" t="s">
        <v>16</v>
      </c>
      <c r="I1008" s="3">
        <v>40</v>
      </c>
      <c r="J1008" s="2">
        <v>375</v>
      </c>
      <c r="K1008" s="3">
        <f t="shared" si="15"/>
        <v>15000</v>
      </c>
      <c r="L1008" s="3">
        <v>11250</v>
      </c>
    </row>
    <row r="1009" spans="1:12" x14ac:dyDescent="0.25">
      <c r="A1009" t="s">
        <v>11</v>
      </c>
      <c r="B1009">
        <v>1128299</v>
      </c>
      <c r="C1009" s="1">
        <v>44240</v>
      </c>
      <c r="D1009" t="s">
        <v>12</v>
      </c>
      <c r="E1009" t="s">
        <v>13</v>
      </c>
      <c r="F1009" t="s">
        <v>14</v>
      </c>
      <c r="G1009" t="s">
        <v>15</v>
      </c>
      <c r="H1009" t="s">
        <v>35</v>
      </c>
      <c r="I1009" s="3">
        <v>55.000000000000007</v>
      </c>
      <c r="J1009" s="2">
        <v>775</v>
      </c>
      <c r="K1009" s="3">
        <f t="shared" si="15"/>
        <v>42625.000000000007</v>
      </c>
      <c r="L1009" s="3">
        <v>29837.5</v>
      </c>
    </row>
    <row r="1010" spans="1:12" x14ac:dyDescent="0.25">
      <c r="A1010" t="s">
        <v>26</v>
      </c>
      <c r="B1010">
        <v>1128299</v>
      </c>
      <c r="C1010" s="1">
        <v>44240</v>
      </c>
      <c r="D1010" t="s">
        <v>32</v>
      </c>
      <c r="E1010" t="s">
        <v>44</v>
      </c>
      <c r="F1010" t="s">
        <v>45</v>
      </c>
      <c r="G1010" t="s">
        <v>41</v>
      </c>
      <c r="H1010" t="s">
        <v>22</v>
      </c>
      <c r="I1010" s="3">
        <v>45.000000000000014</v>
      </c>
      <c r="J1010" s="2">
        <v>175</v>
      </c>
      <c r="K1010" s="3">
        <f t="shared" si="15"/>
        <v>7875.0000000000027</v>
      </c>
      <c r="L1010" s="3">
        <v>5118.7500000000018</v>
      </c>
    </row>
    <row r="1011" spans="1:12" x14ac:dyDescent="0.25">
      <c r="A1011" t="s">
        <v>26</v>
      </c>
      <c r="B1011">
        <v>1128299</v>
      </c>
      <c r="C1011" s="1">
        <v>44240</v>
      </c>
      <c r="D1011" t="s">
        <v>12</v>
      </c>
      <c r="E1011" t="s">
        <v>42</v>
      </c>
      <c r="F1011" t="s">
        <v>43</v>
      </c>
      <c r="G1011" t="s">
        <v>41</v>
      </c>
      <c r="H1011" t="s">
        <v>35</v>
      </c>
      <c r="I1011" s="3">
        <v>40</v>
      </c>
      <c r="J1011" s="2">
        <v>400</v>
      </c>
      <c r="K1011" s="3">
        <f t="shared" si="15"/>
        <v>16000</v>
      </c>
      <c r="L1011" s="3">
        <v>10400</v>
      </c>
    </row>
    <row r="1012" spans="1:12" x14ac:dyDescent="0.25">
      <c r="A1012" t="s">
        <v>26</v>
      </c>
      <c r="B1012">
        <v>1128299</v>
      </c>
      <c r="C1012" s="1">
        <v>44240</v>
      </c>
      <c r="D1012" t="s">
        <v>12</v>
      </c>
      <c r="E1012" t="s">
        <v>42</v>
      </c>
      <c r="F1012" t="s">
        <v>43</v>
      </c>
      <c r="G1012" t="s">
        <v>41</v>
      </c>
      <c r="H1012" t="s">
        <v>17</v>
      </c>
      <c r="I1012" s="3">
        <v>40</v>
      </c>
      <c r="J1012" s="2">
        <v>400</v>
      </c>
      <c r="K1012" s="3">
        <f t="shared" si="15"/>
        <v>16000</v>
      </c>
      <c r="L1012" s="3">
        <v>9600</v>
      </c>
    </row>
    <row r="1013" spans="1:12" x14ac:dyDescent="0.25">
      <c r="A1013" t="s">
        <v>26</v>
      </c>
      <c r="B1013">
        <v>1128299</v>
      </c>
      <c r="C1013" s="1">
        <v>44240</v>
      </c>
      <c r="D1013" t="s">
        <v>32</v>
      </c>
      <c r="E1013" t="s">
        <v>44</v>
      </c>
      <c r="F1013" t="s">
        <v>45</v>
      </c>
      <c r="G1013" t="s">
        <v>41</v>
      </c>
      <c r="H1013" t="s">
        <v>37</v>
      </c>
      <c r="I1013" s="3">
        <v>40</v>
      </c>
      <c r="J1013" s="2">
        <v>250</v>
      </c>
      <c r="K1013" s="3">
        <f t="shared" si="15"/>
        <v>10000</v>
      </c>
      <c r="L1013" s="3">
        <v>6000</v>
      </c>
    </row>
    <row r="1014" spans="1:12" x14ac:dyDescent="0.25">
      <c r="A1014" t="s">
        <v>26</v>
      </c>
      <c r="B1014">
        <v>1128299</v>
      </c>
      <c r="C1014" s="1">
        <v>44240</v>
      </c>
      <c r="D1014" t="s">
        <v>12</v>
      </c>
      <c r="E1014" t="s">
        <v>42</v>
      </c>
      <c r="F1014" t="s">
        <v>43</v>
      </c>
      <c r="G1014" t="s">
        <v>41</v>
      </c>
      <c r="H1014" t="s">
        <v>38</v>
      </c>
      <c r="I1014" s="3">
        <v>29.999999999999993</v>
      </c>
      <c r="J1014" s="2">
        <v>500</v>
      </c>
      <c r="K1014" s="3">
        <f t="shared" si="15"/>
        <v>14999.999999999996</v>
      </c>
      <c r="L1014" s="3">
        <v>8999.9999999999964</v>
      </c>
    </row>
    <row r="1015" spans="1:12" x14ac:dyDescent="0.25">
      <c r="A1015" t="s">
        <v>26</v>
      </c>
      <c r="B1015">
        <v>1128299</v>
      </c>
      <c r="C1015" s="1">
        <v>44240</v>
      </c>
      <c r="D1015" t="s">
        <v>32</v>
      </c>
      <c r="E1015" t="s">
        <v>44</v>
      </c>
      <c r="F1015" t="s">
        <v>45</v>
      </c>
      <c r="G1015" t="s">
        <v>15</v>
      </c>
      <c r="H1015" t="s">
        <v>16</v>
      </c>
      <c r="I1015" s="3">
        <v>28</v>
      </c>
      <c r="J1015" s="2">
        <v>131</v>
      </c>
      <c r="K1015" s="3">
        <f t="shared" si="15"/>
        <v>3668</v>
      </c>
      <c r="L1015" s="3">
        <v>2604.2799999999997</v>
      </c>
    </row>
    <row r="1016" spans="1:12" x14ac:dyDescent="0.25">
      <c r="A1016" t="s">
        <v>11</v>
      </c>
      <c r="B1016">
        <v>1128299</v>
      </c>
      <c r="C1016" s="1">
        <v>44240</v>
      </c>
      <c r="D1016" t="s">
        <v>12</v>
      </c>
      <c r="E1016" t="s">
        <v>13</v>
      </c>
      <c r="F1016" t="s">
        <v>14</v>
      </c>
      <c r="G1016" t="s">
        <v>15</v>
      </c>
      <c r="H1016" t="s">
        <v>35</v>
      </c>
      <c r="I1016" s="3">
        <v>44</v>
      </c>
      <c r="J1016" s="2">
        <v>256</v>
      </c>
      <c r="K1016" s="3">
        <f t="shared" si="15"/>
        <v>11264</v>
      </c>
      <c r="L1016" s="3">
        <v>7546.8799999999992</v>
      </c>
    </row>
    <row r="1017" spans="1:12" x14ac:dyDescent="0.25">
      <c r="A1017" t="s">
        <v>26</v>
      </c>
      <c r="B1017">
        <v>1128299</v>
      </c>
      <c r="C1017" s="1">
        <v>44240</v>
      </c>
      <c r="D1017" t="s">
        <v>32</v>
      </c>
      <c r="E1017" t="s">
        <v>44</v>
      </c>
      <c r="F1017" t="s">
        <v>45</v>
      </c>
      <c r="G1017" t="s">
        <v>41</v>
      </c>
      <c r="H1017" t="s">
        <v>16</v>
      </c>
      <c r="I1017" s="3">
        <v>37</v>
      </c>
      <c r="J1017" s="2">
        <v>98</v>
      </c>
      <c r="K1017" s="3">
        <f t="shared" si="15"/>
        <v>3626</v>
      </c>
      <c r="L1017" s="3">
        <v>2320.6400000000003</v>
      </c>
    </row>
    <row r="1018" spans="1:12" x14ac:dyDescent="0.25">
      <c r="A1018" t="s">
        <v>27</v>
      </c>
      <c r="B1018">
        <v>1189833</v>
      </c>
      <c r="C1018" s="1">
        <v>44240</v>
      </c>
      <c r="D1018" t="s">
        <v>57</v>
      </c>
      <c r="E1018" t="s">
        <v>58</v>
      </c>
      <c r="F1018" t="s">
        <v>59</v>
      </c>
      <c r="G1018" t="s">
        <v>41</v>
      </c>
      <c r="H1018" t="s">
        <v>16</v>
      </c>
      <c r="I1018" s="3">
        <v>56</v>
      </c>
      <c r="J1018" s="2">
        <v>112</v>
      </c>
      <c r="K1018" s="3">
        <f t="shared" si="15"/>
        <v>6272</v>
      </c>
      <c r="L1018" s="3">
        <v>3888.64</v>
      </c>
    </row>
    <row r="1019" spans="1:12" x14ac:dyDescent="0.25">
      <c r="A1019" t="s">
        <v>26</v>
      </c>
      <c r="B1019">
        <v>1128299</v>
      </c>
      <c r="C1019" s="1">
        <v>44240</v>
      </c>
      <c r="D1019" t="s">
        <v>32</v>
      </c>
      <c r="E1019" t="s">
        <v>44</v>
      </c>
      <c r="F1019" t="s">
        <v>45</v>
      </c>
      <c r="G1019" t="s">
        <v>15</v>
      </c>
      <c r="H1019" t="s">
        <v>22</v>
      </c>
      <c r="I1019" s="3">
        <v>34</v>
      </c>
      <c r="J1019" s="2">
        <v>60</v>
      </c>
      <c r="K1019" s="3">
        <f t="shared" si="15"/>
        <v>2040</v>
      </c>
      <c r="L1019" s="3">
        <v>1244.4000000000001</v>
      </c>
    </row>
    <row r="1020" spans="1:12" x14ac:dyDescent="0.25">
      <c r="A1020" t="s">
        <v>11</v>
      </c>
      <c r="B1020">
        <v>1128299</v>
      </c>
      <c r="C1020" s="1">
        <v>44240</v>
      </c>
      <c r="D1020" t="s">
        <v>12</v>
      </c>
      <c r="E1020" t="s">
        <v>13</v>
      </c>
      <c r="F1020" t="s">
        <v>14</v>
      </c>
      <c r="G1020" t="s">
        <v>41</v>
      </c>
      <c r="H1020" t="s">
        <v>35</v>
      </c>
      <c r="I1020" s="3">
        <v>52</v>
      </c>
      <c r="J1020" s="2">
        <v>233</v>
      </c>
      <c r="K1020" s="3">
        <f t="shared" si="15"/>
        <v>12116</v>
      </c>
      <c r="L1020" s="3">
        <v>7269.5999999999995</v>
      </c>
    </row>
    <row r="1021" spans="1:12" x14ac:dyDescent="0.25">
      <c r="A1021" t="s">
        <v>26</v>
      </c>
      <c r="B1021">
        <v>1128299</v>
      </c>
      <c r="C1021" s="1">
        <v>44240</v>
      </c>
      <c r="D1021" t="s">
        <v>12</v>
      </c>
      <c r="E1021" t="s">
        <v>42</v>
      </c>
      <c r="F1021" t="s">
        <v>43</v>
      </c>
      <c r="G1021" t="s">
        <v>15</v>
      </c>
      <c r="H1021" t="s">
        <v>35</v>
      </c>
      <c r="I1021" s="3">
        <v>28</v>
      </c>
      <c r="J1021" s="2">
        <v>120</v>
      </c>
      <c r="K1021" s="3">
        <f t="shared" si="15"/>
        <v>3360</v>
      </c>
      <c r="L1021" s="3">
        <v>1982.4</v>
      </c>
    </row>
    <row r="1022" spans="1:12" x14ac:dyDescent="0.25">
      <c r="A1022" t="s">
        <v>26</v>
      </c>
      <c r="B1022">
        <v>1128299</v>
      </c>
      <c r="C1022" s="1">
        <v>44240</v>
      </c>
      <c r="D1022" t="s">
        <v>12</v>
      </c>
      <c r="E1022" t="s">
        <v>42</v>
      </c>
      <c r="F1022" t="s">
        <v>43</v>
      </c>
      <c r="G1022" t="s">
        <v>15</v>
      </c>
      <c r="H1022" t="s">
        <v>38</v>
      </c>
      <c r="I1022" s="3">
        <v>23</v>
      </c>
      <c r="J1022" s="2">
        <v>150</v>
      </c>
      <c r="K1022" s="3">
        <f t="shared" si="15"/>
        <v>3450</v>
      </c>
      <c r="L1022" s="3">
        <v>1966.4999999999998</v>
      </c>
    </row>
    <row r="1023" spans="1:12" x14ac:dyDescent="0.25">
      <c r="A1023" t="s">
        <v>26</v>
      </c>
      <c r="B1023">
        <v>1128299</v>
      </c>
      <c r="C1023" s="1">
        <v>44240</v>
      </c>
      <c r="D1023" t="s">
        <v>32</v>
      </c>
      <c r="E1023" t="s">
        <v>44</v>
      </c>
      <c r="F1023" t="s">
        <v>45</v>
      </c>
      <c r="G1023" t="s">
        <v>15</v>
      </c>
      <c r="H1023" t="s">
        <v>37</v>
      </c>
      <c r="I1023" s="3">
        <v>30</v>
      </c>
      <c r="J1023" s="2">
        <v>80</v>
      </c>
      <c r="K1023" s="3">
        <f t="shared" si="15"/>
        <v>2400</v>
      </c>
      <c r="L1023" s="3">
        <v>1344</v>
      </c>
    </row>
    <row r="1024" spans="1:12" x14ac:dyDescent="0.25">
      <c r="A1024" t="s">
        <v>26</v>
      </c>
      <c r="B1024">
        <v>1128299</v>
      </c>
      <c r="C1024" s="1">
        <v>44240</v>
      </c>
      <c r="D1024" t="s">
        <v>12</v>
      </c>
      <c r="E1024" t="s">
        <v>42</v>
      </c>
      <c r="F1024" t="s">
        <v>43</v>
      </c>
      <c r="G1024" t="s">
        <v>15</v>
      </c>
      <c r="H1024" t="s">
        <v>17</v>
      </c>
      <c r="I1024" s="3">
        <v>27</v>
      </c>
      <c r="J1024" s="2">
        <v>124</v>
      </c>
      <c r="K1024" s="3">
        <f t="shared" si="15"/>
        <v>3348</v>
      </c>
      <c r="L1024" s="3">
        <v>1807.9199999999998</v>
      </c>
    </row>
    <row r="1025" spans="1:12" x14ac:dyDescent="0.25">
      <c r="A1025" t="s">
        <v>26</v>
      </c>
      <c r="B1025">
        <v>1128299</v>
      </c>
      <c r="C1025" s="1">
        <v>44240</v>
      </c>
      <c r="D1025" t="s">
        <v>32</v>
      </c>
      <c r="E1025" t="s">
        <v>44</v>
      </c>
      <c r="F1025" t="s">
        <v>45</v>
      </c>
      <c r="G1025" t="s">
        <v>41</v>
      </c>
      <c r="H1025" t="s">
        <v>22</v>
      </c>
      <c r="I1025" s="3">
        <v>41</v>
      </c>
      <c r="J1025" s="2">
        <v>51</v>
      </c>
      <c r="K1025" s="3">
        <f t="shared" si="15"/>
        <v>2091</v>
      </c>
      <c r="L1025" s="3">
        <v>1087.3200000000002</v>
      </c>
    </row>
    <row r="1026" spans="1:12" x14ac:dyDescent="0.25">
      <c r="A1026" t="s">
        <v>26</v>
      </c>
      <c r="B1026">
        <v>1128299</v>
      </c>
      <c r="C1026" s="1">
        <v>44240</v>
      </c>
      <c r="D1026" t="s">
        <v>12</v>
      </c>
      <c r="E1026" t="s">
        <v>42</v>
      </c>
      <c r="F1026" t="s">
        <v>43</v>
      </c>
      <c r="G1026" t="s">
        <v>41</v>
      </c>
      <c r="H1026" t="s">
        <v>35</v>
      </c>
      <c r="I1026" s="3">
        <v>37</v>
      </c>
      <c r="J1026" s="2">
        <v>104</v>
      </c>
      <c r="K1026" s="3">
        <f t="shared" si="15"/>
        <v>3848</v>
      </c>
      <c r="L1026" s="3">
        <v>1924</v>
      </c>
    </row>
    <row r="1027" spans="1:12" x14ac:dyDescent="0.25">
      <c r="A1027" t="s">
        <v>26</v>
      </c>
      <c r="B1027">
        <v>1128299</v>
      </c>
      <c r="C1027" s="1">
        <v>44240</v>
      </c>
      <c r="D1027" t="s">
        <v>32</v>
      </c>
      <c r="E1027" t="s">
        <v>44</v>
      </c>
      <c r="F1027" t="s">
        <v>45</v>
      </c>
      <c r="G1027" t="s">
        <v>41</v>
      </c>
      <c r="H1027" t="s">
        <v>37</v>
      </c>
      <c r="I1027" s="3">
        <v>36</v>
      </c>
      <c r="J1027" s="2">
        <v>63</v>
      </c>
      <c r="K1027" s="3">
        <f t="shared" ref="K1027:K1090" si="16">I1027*J1027</f>
        <v>2268</v>
      </c>
      <c r="L1027" s="3">
        <v>1088.6399999999999</v>
      </c>
    </row>
    <row r="1028" spans="1:12" x14ac:dyDescent="0.25">
      <c r="A1028" t="s">
        <v>26</v>
      </c>
      <c r="B1028">
        <v>1128299</v>
      </c>
      <c r="C1028" s="1">
        <v>44240</v>
      </c>
      <c r="D1028" t="s">
        <v>12</v>
      </c>
      <c r="E1028" t="s">
        <v>42</v>
      </c>
      <c r="F1028" t="s">
        <v>43</v>
      </c>
      <c r="G1028" t="s">
        <v>41</v>
      </c>
      <c r="H1028" t="s">
        <v>38</v>
      </c>
      <c r="I1028" s="3">
        <v>29</v>
      </c>
      <c r="J1028" s="2">
        <v>145</v>
      </c>
      <c r="K1028" s="3">
        <f t="shared" si="16"/>
        <v>4205</v>
      </c>
      <c r="L1028" s="3">
        <v>1976.35</v>
      </c>
    </row>
    <row r="1029" spans="1:12" x14ac:dyDescent="0.25">
      <c r="A1029" t="s">
        <v>26</v>
      </c>
      <c r="B1029">
        <v>1128299</v>
      </c>
      <c r="C1029" s="1">
        <v>44240</v>
      </c>
      <c r="D1029" t="s">
        <v>12</v>
      </c>
      <c r="E1029" t="s">
        <v>42</v>
      </c>
      <c r="F1029" t="s">
        <v>43</v>
      </c>
      <c r="G1029" t="s">
        <v>41</v>
      </c>
      <c r="H1029" t="s">
        <v>17</v>
      </c>
      <c r="I1029" s="3">
        <v>37</v>
      </c>
      <c r="J1029" s="2">
        <v>112</v>
      </c>
      <c r="K1029" s="3">
        <f t="shared" si="16"/>
        <v>4144</v>
      </c>
      <c r="L1029" s="3">
        <v>1864.7999999999997</v>
      </c>
    </row>
    <row r="1030" spans="1:12" x14ac:dyDescent="0.25">
      <c r="A1030" t="s">
        <v>11</v>
      </c>
      <c r="B1030">
        <v>1128299</v>
      </c>
      <c r="C1030" s="1">
        <v>44241</v>
      </c>
      <c r="D1030" t="s">
        <v>12</v>
      </c>
      <c r="E1030" t="s">
        <v>13</v>
      </c>
      <c r="F1030" t="s">
        <v>14</v>
      </c>
      <c r="G1030" t="s">
        <v>15</v>
      </c>
      <c r="H1030" t="s">
        <v>37</v>
      </c>
      <c r="I1030" s="3">
        <v>55.000000000000007</v>
      </c>
      <c r="J1030" s="2">
        <v>775</v>
      </c>
      <c r="K1030" s="3">
        <f t="shared" si="16"/>
        <v>42625.000000000007</v>
      </c>
      <c r="L1030" s="3">
        <v>31968.750000000007</v>
      </c>
    </row>
    <row r="1031" spans="1:12" x14ac:dyDescent="0.25">
      <c r="A1031" t="s">
        <v>27</v>
      </c>
      <c r="B1031">
        <v>1197831</v>
      </c>
      <c r="C1031" s="1">
        <v>44241</v>
      </c>
      <c r="D1031" t="s">
        <v>52</v>
      </c>
      <c r="E1031" t="s">
        <v>116</v>
      </c>
      <c r="F1031" t="s">
        <v>117</v>
      </c>
      <c r="G1031" t="s">
        <v>41</v>
      </c>
      <c r="H1031" t="s">
        <v>38</v>
      </c>
      <c r="I1031" s="3">
        <v>25.000000000000007</v>
      </c>
      <c r="J1031" s="2">
        <v>600</v>
      </c>
      <c r="K1031" s="3">
        <f t="shared" si="16"/>
        <v>15000.000000000004</v>
      </c>
      <c r="L1031" s="3">
        <v>9750.0000000000036</v>
      </c>
    </row>
    <row r="1032" spans="1:12" x14ac:dyDescent="0.25">
      <c r="A1032" t="s">
        <v>27</v>
      </c>
      <c r="B1032">
        <v>1197831</v>
      </c>
      <c r="C1032" s="1">
        <v>44241</v>
      </c>
      <c r="D1032" t="s">
        <v>52</v>
      </c>
      <c r="E1032" t="s">
        <v>116</v>
      </c>
      <c r="F1032" t="s">
        <v>117</v>
      </c>
      <c r="G1032" t="s">
        <v>41</v>
      </c>
      <c r="H1032" t="s">
        <v>17</v>
      </c>
      <c r="I1032" s="3">
        <v>25.000000000000007</v>
      </c>
      <c r="J1032" s="2">
        <v>250</v>
      </c>
      <c r="K1032" s="3">
        <f t="shared" si="16"/>
        <v>6250.0000000000018</v>
      </c>
      <c r="L1032" s="3">
        <v>4062.5000000000014</v>
      </c>
    </row>
    <row r="1033" spans="1:12" x14ac:dyDescent="0.25">
      <c r="A1033" t="s">
        <v>27</v>
      </c>
      <c r="B1033">
        <v>1197831</v>
      </c>
      <c r="C1033" s="1">
        <v>44241</v>
      </c>
      <c r="D1033" t="s">
        <v>52</v>
      </c>
      <c r="E1033" t="s">
        <v>116</v>
      </c>
      <c r="F1033" t="s">
        <v>117</v>
      </c>
      <c r="G1033" t="s">
        <v>41</v>
      </c>
      <c r="H1033" t="s">
        <v>35</v>
      </c>
      <c r="I1033" s="3">
        <v>15.000000000000007</v>
      </c>
      <c r="J1033" s="2">
        <v>300</v>
      </c>
      <c r="K1033" s="3">
        <f t="shared" si="16"/>
        <v>4500.0000000000018</v>
      </c>
      <c r="L1033" s="3">
        <v>2925.0000000000014</v>
      </c>
    </row>
    <row r="1034" spans="1:12" x14ac:dyDescent="0.25">
      <c r="A1034" t="s">
        <v>27</v>
      </c>
      <c r="B1034">
        <v>1197831</v>
      </c>
      <c r="C1034" s="1">
        <v>44241</v>
      </c>
      <c r="D1034" t="s">
        <v>57</v>
      </c>
      <c r="E1034" t="s">
        <v>72</v>
      </c>
      <c r="F1034" t="s">
        <v>73</v>
      </c>
      <c r="G1034" t="s">
        <v>41</v>
      </c>
      <c r="H1034" t="s">
        <v>37</v>
      </c>
      <c r="I1034" s="3">
        <v>20</v>
      </c>
      <c r="J1034" s="2">
        <v>150</v>
      </c>
      <c r="K1034" s="3">
        <f t="shared" si="16"/>
        <v>3000</v>
      </c>
      <c r="L1034" s="3">
        <v>1950</v>
      </c>
    </row>
    <row r="1035" spans="1:12" x14ac:dyDescent="0.25">
      <c r="A1035" t="s">
        <v>27</v>
      </c>
      <c r="B1035">
        <v>1197831</v>
      </c>
      <c r="C1035" s="1">
        <v>44241</v>
      </c>
      <c r="D1035" t="s">
        <v>57</v>
      </c>
      <c r="E1035" t="s">
        <v>72</v>
      </c>
      <c r="F1035" t="s">
        <v>73</v>
      </c>
      <c r="G1035" t="s">
        <v>41</v>
      </c>
      <c r="H1035" t="s">
        <v>22</v>
      </c>
      <c r="I1035" s="3">
        <v>35</v>
      </c>
      <c r="J1035" s="2">
        <v>225</v>
      </c>
      <c r="K1035" s="3">
        <f t="shared" si="16"/>
        <v>7875</v>
      </c>
      <c r="L1035" s="3">
        <v>5118.75</v>
      </c>
    </row>
    <row r="1036" spans="1:12" x14ac:dyDescent="0.25">
      <c r="A1036" t="s">
        <v>27</v>
      </c>
      <c r="B1036">
        <v>1197831</v>
      </c>
      <c r="C1036" s="1">
        <v>44241</v>
      </c>
      <c r="D1036" t="s">
        <v>57</v>
      </c>
      <c r="E1036" t="s">
        <v>72</v>
      </c>
      <c r="F1036" t="s">
        <v>73</v>
      </c>
      <c r="G1036" t="s">
        <v>41</v>
      </c>
      <c r="H1036" t="s">
        <v>16</v>
      </c>
      <c r="I1036" s="3">
        <v>20</v>
      </c>
      <c r="J1036" s="2">
        <v>325</v>
      </c>
      <c r="K1036" s="3">
        <f t="shared" si="16"/>
        <v>6500</v>
      </c>
      <c r="L1036" s="3">
        <v>4225</v>
      </c>
    </row>
    <row r="1037" spans="1:12" x14ac:dyDescent="0.25">
      <c r="A1037" t="s">
        <v>27</v>
      </c>
      <c r="B1037">
        <v>1189833</v>
      </c>
      <c r="C1037" s="1">
        <v>44241</v>
      </c>
      <c r="D1037" t="s">
        <v>57</v>
      </c>
      <c r="E1037" t="s">
        <v>58</v>
      </c>
      <c r="F1037" t="s">
        <v>59</v>
      </c>
      <c r="G1037" t="s">
        <v>15</v>
      </c>
      <c r="H1037" t="s">
        <v>38</v>
      </c>
      <c r="I1037" s="3">
        <v>45</v>
      </c>
      <c r="J1037" s="2">
        <v>600</v>
      </c>
      <c r="K1037" s="3">
        <f t="shared" si="16"/>
        <v>27000</v>
      </c>
      <c r="L1037" s="3">
        <v>14850</v>
      </c>
    </row>
    <row r="1038" spans="1:12" x14ac:dyDescent="0.25">
      <c r="A1038" t="s">
        <v>11</v>
      </c>
      <c r="B1038">
        <v>1128299</v>
      </c>
      <c r="C1038" s="1">
        <v>44241</v>
      </c>
      <c r="D1038" t="s">
        <v>12</v>
      </c>
      <c r="E1038" t="s">
        <v>13</v>
      </c>
      <c r="F1038" t="s">
        <v>14</v>
      </c>
      <c r="G1038" t="s">
        <v>15</v>
      </c>
      <c r="H1038" t="s">
        <v>37</v>
      </c>
      <c r="I1038" s="3">
        <v>40</v>
      </c>
      <c r="J1038" s="2">
        <v>271</v>
      </c>
      <c r="K1038" s="3">
        <f t="shared" si="16"/>
        <v>10840</v>
      </c>
      <c r="L1038" s="3">
        <v>7588</v>
      </c>
    </row>
    <row r="1039" spans="1:12" x14ac:dyDescent="0.25">
      <c r="A1039" t="s">
        <v>27</v>
      </c>
      <c r="B1039">
        <v>1197831</v>
      </c>
      <c r="C1039" s="1">
        <v>44241</v>
      </c>
      <c r="D1039" t="s">
        <v>52</v>
      </c>
      <c r="E1039" t="s">
        <v>116</v>
      </c>
      <c r="F1039" t="s">
        <v>117</v>
      </c>
      <c r="G1039" t="s">
        <v>15</v>
      </c>
      <c r="H1039" t="s">
        <v>35</v>
      </c>
      <c r="I1039" s="3">
        <v>11</v>
      </c>
      <c r="J1039" s="2">
        <v>90</v>
      </c>
      <c r="K1039" s="3">
        <f t="shared" si="16"/>
        <v>990</v>
      </c>
      <c r="L1039" s="3">
        <v>603.90000000000009</v>
      </c>
    </row>
    <row r="1040" spans="1:12" x14ac:dyDescent="0.25">
      <c r="A1040" t="s">
        <v>11</v>
      </c>
      <c r="B1040">
        <v>1128299</v>
      </c>
      <c r="C1040" s="1">
        <v>44241</v>
      </c>
      <c r="D1040" t="s">
        <v>12</v>
      </c>
      <c r="E1040" t="s">
        <v>13</v>
      </c>
      <c r="F1040" t="s">
        <v>14</v>
      </c>
      <c r="G1040" t="s">
        <v>41</v>
      </c>
      <c r="H1040" t="s">
        <v>37</v>
      </c>
      <c r="I1040" s="3">
        <v>51</v>
      </c>
      <c r="J1040" s="2">
        <v>194</v>
      </c>
      <c r="K1040" s="3">
        <f t="shared" si="16"/>
        <v>9894</v>
      </c>
      <c r="L1040" s="3">
        <v>5936.4000000000005</v>
      </c>
    </row>
    <row r="1041" spans="1:12" x14ac:dyDescent="0.25">
      <c r="A1041" t="s">
        <v>27</v>
      </c>
      <c r="B1041">
        <v>1197831</v>
      </c>
      <c r="C1041" s="1">
        <v>44241</v>
      </c>
      <c r="D1041" t="s">
        <v>52</v>
      </c>
      <c r="E1041" t="s">
        <v>116</v>
      </c>
      <c r="F1041" t="s">
        <v>117</v>
      </c>
      <c r="G1041" t="s">
        <v>15</v>
      </c>
      <c r="H1041" t="s">
        <v>38</v>
      </c>
      <c r="I1041" s="3">
        <v>18</v>
      </c>
      <c r="J1041" s="2">
        <v>204</v>
      </c>
      <c r="K1041" s="3">
        <f t="shared" si="16"/>
        <v>3672</v>
      </c>
      <c r="L1041" s="3">
        <v>2203.1999999999998</v>
      </c>
    </row>
    <row r="1042" spans="1:12" x14ac:dyDescent="0.25">
      <c r="A1042" t="s">
        <v>27</v>
      </c>
      <c r="B1042">
        <v>1197831</v>
      </c>
      <c r="C1042" s="1">
        <v>44241</v>
      </c>
      <c r="D1042" t="s">
        <v>52</v>
      </c>
      <c r="E1042" t="s">
        <v>116</v>
      </c>
      <c r="F1042" t="s">
        <v>117</v>
      </c>
      <c r="G1042" t="s">
        <v>15</v>
      </c>
      <c r="H1042" t="s">
        <v>17</v>
      </c>
      <c r="I1042" s="3">
        <v>17</v>
      </c>
      <c r="J1042" s="2">
        <v>75</v>
      </c>
      <c r="K1042" s="3">
        <f t="shared" si="16"/>
        <v>1275</v>
      </c>
      <c r="L1042" s="3">
        <v>752.25</v>
      </c>
    </row>
    <row r="1043" spans="1:12" x14ac:dyDescent="0.25">
      <c r="A1043" t="s">
        <v>27</v>
      </c>
      <c r="B1043">
        <v>1197831</v>
      </c>
      <c r="C1043" s="1">
        <v>44241</v>
      </c>
      <c r="D1043" t="s">
        <v>57</v>
      </c>
      <c r="E1043" t="s">
        <v>72</v>
      </c>
      <c r="F1043" t="s">
        <v>73</v>
      </c>
      <c r="G1043" t="s">
        <v>41</v>
      </c>
      <c r="H1043" t="s">
        <v>37</v>
      </c>
      <c r="I1043" s="3">
        <v>20</v>
      </c>
      <c r="J1043" s="2">
        <v>42</v>
      </c>
      <c r="K1043" s="3">
        <f t="shared" si="16"/>
        <v>840</v>
      </c>
      <c r="L1043" s="3">
        <v>462.00000000000006</v>
      </c>
    </row>
    <row r="1044" spans="1:12" x14ac:dyDescent="0.25">
      <c r="A1044" t="s">
        <v>27</v>
      </c>
      <c r="B1044">
        <v>1197831</v>
      </c>
      <c r="C1044" s="1">
        <v>44241</v>
      </c>
      <c r="D1044" t="s">
        <v>52</v>
      </c>
      <c r="E1044" t="s">
        <v>116</v>
      </c>
      <c r="F1044" t="s">
        <v>117</v>
      </c>
      <c r="G1044" t="s">
        <v>41</v>
      </c>
      <c r="H1044" t="s">
        <v>38</v>
      </c>
      <c r="I1044" s="3">
        <v>23</v>
      </c>
      <c r="J1044" s="2">
        <v>162</v>
      </c>
      <c r="K1044" s="3">
        <f t="shared" si="16"/>
        <v>3726</v>
      </c>
      <c r="L1044" s="3">
        <v>1974.7800000000002</v>
      </c>
    </row>
    <row r="1045" spans="1:12" x14ac:dyDescent="0.25">
      <c r="A1045" t="s">
        <v>27</v>
      </c>
      <c r="B1045">
        <v>1197831</v>
      </c>
      <c r="C1045" s="1">
        <v>44241</v>
      </c>
      <c r="D1045" t="s">
        <v>57</v>
      </c>
      <c r="E1045" t="s">
        <v>72</v>
      </c>
      <c r="F1045" t="s">
        <v>73</v>
      </c>
      <c r="G1045" t="s">
        <v>41</v>
      </c>
      <c r="H1045" t="s">
        <v>22</v>
      </c>
      <c r="I1045" s="3">
        <v>32</v>
      </c>
      <c r="J1045" s="2">
        <v>68</v>
      </c>
      <c r="K1045" s="3">
        <f t="shared" si="16"/>
        <v>2176</v>
      </c>
      <c r="L1045" s="3">
        <v>1131.52</v>
      </c>
    </row>
    <row r="1046" spans="1:12" x14ac:dyDescent="0.25">
      <c r="A1046" t="s">
        <v>27</v>
      </c>
      <c r="B1046">
        <v>1197831</v>
      </c>
      <c r="C1046" s="1">
        <v>44241</v>
      </c>
      <c r="D1046" t="s">
        <v>52</v>
      </c>
      <c r="E1046" t="s">
        <v>116</v>
      </c>
      <c r="F1046" t="s">
        <v>117</v>
      </c>
      <c r="G1046" t="s">
        <v>41</v>
      </c>
      <c r="H1046" t="s">
        <v>35</v>
      </c>
      <c r="I1046" s="3">
        <v>14</v>
      </c>
      <c r="J1046" s="2">
        <v>75</v>
      </c>
      <c r="K1046" s="3">
        <f t="shared" si="16"/>
        <v>1050</v>
      </c>
      <c r="L1046" s="3">
        <v>535.5</v>
      </c>
    </row>
    <row r="1047" spans="1:12" x14ac:dyDescent="0.25">
      <c r="A1047" t="s">
        <v>27</v>
      </c>
      <c r="B1047">
        <v>1197831</v>
      </c>
      <c r="C1047" s="1">
        <v>44241</v>
      </c>
      <c r="D1047" t="s">
        <v>57</v>
      </c>
      <c r="E1047" t="s">
        <v>72</v>
      </c>
      <c r="F1047" t="s">
        <v>73</v>
      </c>
      <c r="G1047" t="s">
        <v>41</v>
      </c>
      <c r="H1047" t="s">
        <v>16</v>
      </c>
      <c r="I1047" s="3">
        <v>18</v>
      </c>
      <c r="J1047" s="2">
        <v>98</v>
      </c>
      <c r="K1047" s="3">
        <f t="shared" si="16"/>
        <v>1764</v>
      </c>
      <c r="L1047" s="3">
        <v>899.64</v>
      </c>
    </row>
    <row r="1048" spans="1:12" x14ac:dyDescent="0.25">
      <c r="A1048" t="s">
        <v>27</v>
      </c>
      <c r="B1048">
        <v>1197831</v>
      </c>
      <c r="C1048" s="1">
        <v>44241</v>
      </c>
      <c r="D1048" t="s">
        <v>52</v>
      </c>
      <c r="E1048" t="s">
        <v>116</v>
      </c>
      <c r="F1048" t="s">
        <v>117</v>
      </c>
      <c r="G1048" t="s">
        <v>41</v>
      </c>
      <c r="H1048" t="s">
        <v>17</v>
      </c>
      <c r="I1048" s="3">
        <v>23</v>
      </c>
      <c r="J1048" s="2">
        <v>65</v>
      </c>
      <c r="K1048" s="3">
        <f t="shared" si="16"/>
        <v>1495</v>
      </c>
      <c r="L1048" s="3">
        <v>747.5</v>
      </c>
    </row>
    <row r="1049" spans="1:12" x14ac:dyDescent="0.25">
      <c r="A1049" t="s">
        <v>27</v>
      </c>
      <c r="B1049">
        <v>1189833</v>
      </c>
      <c r="C1049" s="1">
        <v>44241</v>
      </c>
      <c r="D1049" t="s">
        <v>57</v>
      </c>
      <c r="E1049" t="s">
        <v>58</v>
      </c>
      <c r="F1049" t="s">
        <v>59</v>
      </c>
      <c r="G1049" t="s">
        <v>41</v>
      </c>
      <c r="H1049" t="s">
        <v>38</v>
      </c>
      <c r="I1049" s="3">
        <v>41</v>
      </c>
      <c r="J1049" s="2">
        <v>180</v>
      </c>
      <c r="K1049" s="3">
        <f t="shared" si="16"/>
        <v>7380</v>
      </c>
      <c r="L1049" s="3">
        <v>3099.5999999999995</v>
      </c>
    </row>
    <row r="1050" spans="1:12" x14ac:dyDescent="0.25">
      <c r="A1050" t="s">
        <v>26</v>
      </c>
      <c r="B1050">
        <v>1185732</v>
      </c>
      <c r="C1050" s="1">
        <v>44242</v>
      </c>
      <c r="D1050" t="s">
        <v>29</v>
      </c>
      <c r="E1050" t="s">
        <v>48</v>
      </c>
      <c r="F1050" t="s">
        <v>49</v>
      </c>
      <c r="G1050" t="s">
        <v>18</v>
      </c>
      <c r="H1050" t="s">
        <v>35</v>
      </c>
      <c r="I1050" s="3">
        <v>30.000000000000004</v>
      </c>
      <c r="J1050" s="2">
        <v>200</v>
      </c>
      <c r="K1050" s="3">
        <f t="shared" si="16"/>
        <v>6000.0000000000009</v>
      </c>
      <c r="L1050" s="3">
        <v>4500.0000000000009</v>
      </c>
    </row>
    <row r="1051" spans="1:12" x14ac:dyDescent="0.25">
      <c r="A1051" t="s">
        <v>26</v>
      </c>
      <c r="B1051">
        <v>1185732</v>
      </c>
      <c r="C1051" s="1">
        <v>44242</v>
      </c>
      <c r="D1051" t="s">
        <v>29</v>
      </c>
      <c r="E1051" t="s">
        <v>50</v>
      </c>
      <c r="F1051" t="s">
        <v>51</v>
      </c>
      <c r="G1051" t="s">
        <v>18</v>
      </c>
      <c r="H1051" t="s">
        <v>37</v>
      </c>
      <c r="I1051" s="3">
        <v>35</v>
      </c>
      <c r="J1051" s="2">
        <v>250</v>
      </c>
      <c r="K1051" s="3">
        <f t="shared" si="16"/>
        <v>8750</v>
      </c>
      <c r="L1051" s="3">
        <v>6562.5</v>
      </c>
    </row>
    <row r="1052" spans="1:12" x14ac:dyDescent="0.25">
      <c r="A1052" t="s">
        <v>26</v>
      </c>
      <c r="B1052">
        <v>1185732</v>
      </c>
      <c r="C1052" s="1">
        <v>44242</v>
      </c>
      <c r="D1052" t="s">
        <v>29</v>
      </c>
      <c r="E1052" t="s">
        <v>50</v>
      </c>
      <c r="F1052" t="s">
        <v>51</v>
      </c>
      <c r="G1052" t="s">
        <v>18</v>
      </c>
      <c r="H1052" t="s">
        <v>22</v>
      </c>
      <c r="I1052" s="3">
        <v>50</v>
      </c>
      <c r="J1052" s="2">
        <v>150</v>
      </c>
      <c r="K1052" s="3">
        <f t="shared" si="16"/>
        <v>7500</v>
      </c>
      <c r="L1052" s="3">
        <v>5625</v>
      </c>
    </row>
    <row r="1053" spans="1:12" x14ac:dyDescent="0.25">
      <c r="A1053" t="s">
        <v>27</v>
      </c>
      <c r="B1053">
        <v>1189833</v>
      </c>
      <c r="C1053" s="1">
        <v>44242</v>
      </c>
      <c r="D1053" t="s">
        <v>57</v>
      </c>
      <c r="E1053" t="s">
        <v>58</v>
      </c>
      <c r="F1053" t="s">
        <v>59</v>
      </c>
      <c r="G1053" t="s">
        <v>15</v>
      </c>
      <c r="H1053" t="s">
        <v>17</v>
      </c>
      <c r="I1053" s="3">
        <v>50</v>
      </c>
      <c r="J1053" s="2">
        <v>600</v>
      </c>
      <c r="K1053" s="3">
        <f t="shared" si="16"/>
        <v>30000</v>
      </c>
      <c r="L1053" s="3">
        <v>21000</v>
      </c>
    </row>
    <row r="1054" spans="1:12" x14ac:dyDescent="0.25">
      <c r="A1054" t="s">
        <v>19</v>
      </c>
      <c r="B1054">
        <v>1185732</v>
      </c>
      <c r="C1054" s="1">
        <v>44242</v>
      </c>
      <c r="D1054" t="s">
        <v>29</v>
      </c>
      <c r="E1054" t="s">
        <v>89</v>
      </c>
      <c r="F1054" t="s">
        <v>90</v>
      </c>
      <c r="G1054" t="s">
        <v>18</v>
      </c>
      <c r="H1054" t="s">
        <v>22</v>
      </c>
      <c r="I1054" s="3">
        <v>50</v>
      </c>
      <c r="J1054" s="2">
        <v>225</v>
      </c>
      <c r="K1054" s="3">
        <f t="shared" si="16"/>
        <v>11250</v>
      </c>
      <c r="L1054" s="3">
        <v>7875</v>
      </c>
    </row>
    <row r="1055" spans="1:12" x14ac:dyDescent="0.25">
      <c r="A1055" t="s">
        <v>26</v>
      </c>
      <c r="B1055">
        <v>1185732</v>
      </c>
      <c r="C1055" s="1">
        <v>44242</v>
      </c>
      <c r="D1055" t="s">
        <v>29</v>
      </c>
      <c r="E1055" t="s">
        <v>48</v>
      </c>
      <c r="F1055" t="s">
        <v>49</v>
      </c>
      <c r="G1055" t="s">
        <v>18</v>
      </c>
      <c r="H1055" t="s">
        <v>38</v>
      </c>
      <c r="I1055" s="3">
        <v>40</v>
      </c>
      <c r="J1055" s="2">
        <v>500</v>
      </c>
      <c r="K1055" s="3">
        <f t="shared" si="16"/>
        <v>20000</v>
      </c>
      <c r="L1055" s="3">
        <v>14000</v>
      </c>
    </row>
    <row r="1056" spans="1:12" x14ac:dyDescent="0.25">
      <c r="A1056" t="s">
        <v>26</v>
      </c>
      <c r="B1056">
        <v>1185732</v>
      </c>
      <c r="C1056" s="1">
        <v>44242</v>
      </c>
      <c r="D1056" t="s">
        <v>29</v>
      </c>
      <c r="E1056" t="s">
        <v>48</v>
      </c>
      <c r="F1056" t="s">
        <v>49</v>
      </c>
      <c r="G1056" t="s">
        <v>18</v>
      </c>
      <c r="H1056" t="s">
        <v>17</v>
      </c>
      <c r="I1056" s="3">
        <v>40</v>
      </c>
      <c r="J1056" s="2">
        <v>150</v>
      </c>
      <c r="K1056" s="3">
        <f t="shared" si="16"/>
        <v>6000</v>
      </c>
      <c r="L1056" s="3">
        <v>4200</v>
      </c>
    </row>
    <row r="1057" spans="1:12" x14ac:dyDescent="0.25">
      <c r="A1057" t="s">
        <v>26</v>
      </c>
      <c r="B1057">
        <v>1185732</v>
      </c>
      <c r="C1057" s="1">
        <v>44242</v>
      </c>
      <c r="D1057" t="s">
        <v>29</v>
      </c>
      <c r="E1057" t="s">
        <v>50</v>
      </c>
      <c r="F1057" t="s">
        <v>51</v>
      </c>
      <c r="G1057" t="s">
        <v>18</v>
      </c>
      <c r="H1057" t="s">
        <v>16</v>
      </c>
      <c r="I1057" s="3">
        <v>40</v>
      </c>
      <c r="J1057" s="2">
        <v>250</v>
      </c>
      <c r="K1057" s="3">
        <f t="shared" si="16"/>
        <v>10000</v>
      </c>
      <c r="L1057" s="3">
        <v>7000</v>
      </c>
    </row>
    <row r="1058" spans="1:12" x14ac:dyDescent="0.25">
      <c r="A1058" t="s">
        <v>19</v>
      </c>
      <c r="B1058">
        <v>1185732</v>
      </c>
      <c r="C1058" s="1">
        <v>44242</v>
      </c>
      <c r="D1058" t="s">
        <v>29</v>
      </c>
      <c r="E1058" t="s">
        <v>87</v>
      </c>
      <c r="F1058" t="s">
        <v>88</v>
      </c>
      <c r="G1058" t="s">
        <v>18</v>
      </c>
      <c r="H1058" t="s">
        <v>38</v>
      </c>
      <c r="I1058" s="3">
        <v>40</v>
      </c>
      <c r="J1058" s="2">
        <v>575</v>
      </c>
      <c r="K1058" s="3">
        <f t="shared" si="16"/>
        <v>23000</v>
      </c>
      <c r="L1058" s="3">
        <v>14950</v>
      </c>
    </row>
    <row r="1059" spans="1:12" x14ac:dyDescent="0.25">
      <c r="A1059" t="s">
        <v>19</v>
      </c>
      <c r="B1059">
        <v>1185732</v>
      </c>
      <c r="C1059" s="1">
        <v>44242</v>
      </c>
      <c r="D1059" t="s">
        <v>29</v>
      </c>
      <c r="E1059" t="s">
        <v>87</v>
      </c>
      <c r="F1059" t="s">
        <v>88</v>
      </c>
      <c r="G1059" t="s">
        <v>18</v>
      </c>
      <c r="H1059" t="s">
        <v>17</v>
      </c>
      <c r="I1059" s="3">
        <v>40</v>
      </c>
      <c r="J1059" s="2">
        <v>225</v>
      </c>
      <c r="K1059" s="3">
        <f t="shared" si="16"/>
        <v>9000</v>
      </c>
      <c r="L1059" s="3">
        <v>5850</v>
      </c>
    </row>
    <row r="1060" spans="1:12" x14ac:dyDescent="0.25">
      <c r="A1060" t="s">
        <v>19</v>
      </c>
      <c r="B1060">
        <v>1185732</v>
      </c>
      <c r="C1060" s="1">
        <v>44242</v>
      </c>
      <c r="D1060" t="s">
        <v>29</v>
      </c>
      <c r="E1060" t="s">
        <v>87</v>
      </c>
      <c r="F1060" t="s">
        <v>88</v>
      </c>
      <c r="G1060" t="s">
        <v>18</v>
      </c>
      <c r="H1060" t="s">
        <v>35</v>
      </c>
      <c r="I1060" s="3">
        <v>30.000000000000004</v>
      </c>
      <c r="J1060" s="2">
        <v>275</v>
      </c>
      <c r="K1060" s="3">
        <f t="shared" si="16"/>
        <v>8250.0000000000018</v>
      </c>
      <c r="L1060" s="3">
        <v>4950.0000000000009</v>
      </c>
    </row>
    <row r="1061" spans="1:12" x14ac:dyDescent="0.25">
      <c r="A1061" t="s">
        <v>19</v>
      </c>
      <c r="B1061">
        <v>1185732</v>
      </c>
      <c r="C1061" s="1">
        <v>44242</v>
      </c>
      <c r="D1061" t="s">
        <v>29</v>
      </c>
      <c r="E1061" t="s">
        <v>89</v>
      </c>
      <c r="F1061" t="s">
        <v>90</v>
      </c>
      <c r="G1061" t="s">
        <v>18</v>
      </c>
      <c r="H1061" t="s">
        <v>37</v>
      </c>
      <c r="I1061" s="3">
        <v>35</v>
      </c>
      <c r="J1061" s="2">
        <v>150</v>
      </c>
      <c r="K1061" s="3">
        <f t="shared" si="16"/>
        <v>5250</v>
      </c>
      <c r="L1061" s="3">
        <v>3150</v>
      </c>
    </row>
    <row r="1062" spans="1:12" x14ac:dyDescent="0.25">
      <c r="A1062" t="s">
        <v>19</v>
      </c>
      <c r="B1062">
        <v>1185732</v>
      </c>
      <c r="C1062" s="1">
        <v>44242</v>
      </c>
      <c r="D1062" t="s">
        <v>29</v>
      </c>
      <c r="E1062" t="s">
        <v>89</v>
      </c>
      <c r="F1062" t="s">
        <v>90</v>
      </c>
      <c r="G1062" t="s">
        <v>18</v>
      </c>
      <c r="H1062" t="s">
        <v>16</v>
      </c>
      <c r="I1062" s="3">
        <v>40</v>
      </c>
      <c r="J1062" s="2">
        <v>325</v>
      </c>
      <c r="K1062" s="3">
        <f t="shared" si="16"/>
        <v>13000</v>
      </c>
      <c r="L1062" s="3">
        <v>7800</v>
      </c>
    </row>
    <row r="1063" spans="1:12" x14ac:dyDescent="0.25">
      <c r="A1063" t="s">
        <v>11</v>
      </c>
      <c r="B1063">
        <v>1128299</v>
      </c>
      <c r="C1063" s="1">
        <v>44242</v>
      </c>
      <c r="D1063" t="s">
        <v>12</v>
      </c>
      <c r="E1063" t="s">
        <v>13</v>
      </c>
      <c r="F1063" t="s">
        <v>14</v>
      </c>
      <c r="G1063" t="s">
        <v>15</v>
      </c>
      <c r="H1063" t="s">
        <v>22</v>
      </c>
      <c r="I1063" s="3">
        <v>65</v>
      </c>
      <c r="J1063" s="2">
        <v>700</v>
      </c>
      <c r="K1063" s="3">
        <f t="shared" si="16"/>
        <v>45500</v>
      </c>
      <c r="L1063" s="3">
        <v>25024.999999999996</v>
      </c>
    </row>
    <row r="1064" spans="1:12" x14ac:dyDescent="0.25">
      <c r="A1064" t="s">
        <v>26</v>
      </c>
      <c r="B1064">
        <v>1185732</v>
      </c>
      <c r="C1064" s="1">
        <v>44242</v>
      </c>
      <c r="D1064" t="s">
        <v>29</v>
      </c>
      <c r="E1064" t="s">
        <v>50</v>
      </c>
      <c r="F1064" t="s">
        <v>51</v>
      </c>
      <c r="G1064" t="s">
        <v>15</v>
      </c>
      <c r="H1064" t="s">
        <v>22</v>
      </c>
      <c r="I1064" s="3">
        <v>36</v>
      </c>
      <c r="J1064" s="2">
        <v>53</v>
      </c>
      <c r="K1064" s="3">
        <f t="shared" si="16"/>
        <v>1908</v>
      </c>
      <c r="L1064" s="3">
        <v>1392.84</v>
      </c>
    </row>
    <row r="1065" spans="1:12" x14ac:dyDescent="0.25">
      <c r="A1065" t="s">
        <v>26</v>
      </c>
      <c r="B1065">
        <v>1185732</v>
      </c>
      <c r="C1065" s="1">
        <v>44242</v>
      </c>
      <c r="D1065" t="s">
        <v>29</v>
      </c>
      <c r="E1065" t="s">
        <v>48</v>
      </c>
      <c r="F1065" t="s">
        <v>49</v>
      </c>
      <c r="G1065" t="s">
        <v>15</v>
      </c>
      <c r="H1065" t="s">
        <v>35</v>
      </c>
      <c r="I1065" s="3">
        <v>24</v>
      </c>
      <c r="J1065" s="2">
        <v>70</v>
      </c>
      <c r="K1065" s="3">
        <f t="shared" si="16"/>
        <v>1680</v>
      </c>
      <c r="L1065" s="3">
        <v>1192.8</v>
      </c>
    </row>
    <row r="1066" spans="1:12" x14ac:dyDescent="0.25">
      <c r="A1066" t="s">
        <v>26</v>
      </c>
      <c r="B1066">
        <v>1185732</v>
      </c>
      <c r="C1066" s="1">
        <v>44242</v>
      </c>
      <c r="D1066" t="s">
        <v>29</v>
      </c>
      <c r="E1066" t="s">
        <v>50</v>
      </c>
      <c r="F1066" t="s">
        <v>51</v>
      </c>
      <c r="G1066" t="s">
        <v>15</v>
      </c>
      <c r="H1066" t="s">
        <v>37</v>
      </c>
      <c r="I1066" s="3">
        <v>27</v>
      </c>
      <c r="J1066" s="2">
        <v>75</v>
      </c>
      <c r="K1066" s="3">
        <f t="shared" si="16"/>
        <v>2025</v>
      </c>
      <c r="L1066" s="3">
        <v>1377</v>
      </c>
    </row>
    <row r="1067" spans="1:12" x14ac:dyDescent="0.25">
      <c r="A1067" t="s">
        <v>26</v>
      </c>
      <c r="B1067">
        <v>1185732</v>
      </c>
      <c r="C1067" s="1">
        <v>44242</v>
      </c>
      <c r="D1067" t="s">
        <v>29</v>
      </c>
      <c r="E1067" t="s">
        <v>50</v>
      </c>
      <c r="F1067" t="s">
        <v>51</v>
      </c>
      <c r="G1067" t="s">
        <v>15</v>
      </c>
      <c r="H1067" t="s">
        <v>16</v>
      </c>
      <c r="I1067" s="3">
        <v>30</v>
      </c>
      <c r="J1067" s="2">
        <v>80</v>
      </c>
      <c r="K1067" s="3">
        <f t="shared" si="16"/>
        <v>2400</v>
      </c>
      <c r="L1067" s="3">
        <v>1632</v>
      </c>
    </row>
    <row r="1068" spans="1:12" x14ac:dyDescent="0.25">
      <c r="A1068" t="s">
        <v>26</v>
      </c>
      <c r="B1068">
        <v>1185732</v>
      </c>
      <c r="C1068" s="1">
        <v>44242</v>
      </c>
      <c r="D1068" t="s">
        <v>29</v>
      </c>
      <c r="E1068" t="s">
        <v>48</v>
      </c>
      <c r="F1068" t="s">
        <v>49</v>
      </c>
      <c r="G1068" t="s">
        <v>15</v>
      </c>
      <c r="H1068" t="s">
        <v>17</v>
      </c>
      <c r="I1068" s="3">
        <v>31</v>
      </c>
      <c r="J1068" s="2">
        <v>53</v>
      </c>
      <c r="K1068" s="3">
        <f t="shared" si="16"/>
        <v>1643</v>
      </c>
      <c r="L1068" s="3">
        <v>1067.95</v>
      </c>
    </row>
    <row r="1069" spans="1:12" x14ac:dyDescent="0.25">
      <c r="A1069" t="s">
        <v>26</v>
      </c>
      <c r="B1069">
        <v>1185732</v>
      </c>
      <c r="C1069" s="1">
        <v>44242</v>
      </c>
      <c r="D1069" t="s">
        <v>29</v>
      </c>
      <c r="E1069" t="s">
        <v>48</v>
      </c>
      <c r="F1069" t="s">
        <v>49</v>
      </c>
      <c r="G1069" t="s">
        <v>15</v>
      </c>
      <c r="H1069" t="s">
        <v>38</v>
      </c>
      <c r="I1069" s="3">
        <v>26</v>
      </c>
      <c r="J1069" s="2">
        <v>155</v>
      </c>
      <c r="K1069" s="3">
        <f t="shared" si="16"/>
        <v>4030</v>
      </c>
      <c r="L1069" s="3">
        <v>2538.9</v>
      </c>
    </row>
    <row r="1070" spans="1:12" x14ac:dyDescent="0.25">
      <c r="A1070" t="s">
        <v>26</v>
      </c>
      <c r="B1070">
        <v>1185732</v>
      </c>
      <c r="C1070" s="1">
        <v>44242</v>
      </c>
      <c r="D1070" t="s">
        <v>29</v>
      </c>
      <c r="E1070" t="s">
        <v>48</v>
      </c>
      <c r="F1070" t="s">
        <v>49</v>
      </c>
      <c r="G1070" t="s">
        <v>41</v>
      </c>
      <c r="H1070" t="s">
        <v>35</v>
      </c>
      <c r="I1070" s="3">
        <v>29</v>
      </c>
      <c r="J1070" s="2">
        <v>60</v>
      </c>
      <c r="K1070" s="3">
        <f t="shared" si="16"/>
        <v>1740</v>
      </c>
      <c r="L1070" s="3">
        <v>1078.8</v>
      </c>
    </row>
    <row r="1071" spans="1:12" x14ac:dyDescent="0.25">
      <c r="A1071" t="s">
        <v>26</v>
      </c>
      <c r="B1071">
        <v>1185732</v>
      </c>
      <c r="C1071" s="1">
        <v>44242</v>
      </c>
      <c r="D1071" t="s">
        <v>29</v>
      </c>
      <c r="E1071" t="s">
        <v>50</v>
      </c>
      <c r="F1071" t="s">
        <v>51</v>
      </c>
      <c r="G1071" t="s">
        <v>41</v>
      </c>
      <c r="H1071" t="s">
        <v>37</v>
      </c>
      <c r="I1071" s="3">
        <v>32</v>
      </c>
      <c r="J1071" s="2">
        <v>68</v>
      </c>
      <c r="K1071" s="3">
        <f t="shared" si="16"/>
        <v>2176</v>
      </c>
      <c r="L1071" s="3">
        <v>1349.12</v>
      </c>
    </row>
    <row r="1072" spans="1:12" x14ac:dyDescent="0.25">
      <c r="A1072" t="s">
        <v>26</v>
      </c>
      <c r="B1072">
        <v>1185732</v>
      </c>
      <c r="C1072" s="1">
        <v>44242</v>
      </c>
      <c r="D1072" t="s">
        <v>29</v>
      </c>
      <c r="E1072" t="s">
        <v>50</v>
      </c>
      <c r="F1072" t="s">
        <v>51</v>
      </c>
      <c r="G1072" t="s">
        <v>41</v>
      </c>
      <c r="H1072" t="s">
        <v>22</v>
      </c>
      <c r="I1072" s="3">
        <v>48</v>
      </c>
      <c r="J1072" s="2">
        <v>41</v>
      </c>
      <c r="K1072" s="3">
        <f t="shared" si="16"/>
        <v>1968</v>
      </c>
      <c r="L1072" s="3">
        <v>1220.1599999999999</v>
      </c>
    </row>
    <row r="1073" spans="1:12" x14ac:dyDescent="0.25">
      <c r="A1073" t="s">
        <v>19</v>
      </c>
      <c r="B1073">
        <v>1185732</v>
      </c>
      <c r="C1073" s="1">
        <v>44242</v>
      </c>
      <c r="D1073" t="s">
        <v>29</v>
      </c>
      <c r="E1073" t="s">
        <v>89</v>
      </c>
      <c r="F1073" t="s">
        <v>90</v>
      </c>
      <c r="G1073" t="s">
        <v>41</v>
      </c>
      <c r="H1073" t="s">
        <v>22</v>
      </c>
      <c r="I1073" s="3">
        <v>45</v>
      </c>
      <c r="J1073" s="2">
        <v>65</v>
      </c>
      <c r="K1073" s="3">
        <f t="shared" si="16"/>
        <v>2925</v>
      </c>
      <c r="L1073" s="3">
        <v>1725.75</v>
      </c>
    </row>
    <row r="1074" spans="1:12" x14ac:dyDescent="0.25">
      <c r="A1074" t="s">
        <v>26</v>
      </c>
      <c r="B1074">
        <v>1185732</v>
      </c>
      <c r="C1074" s="1">
        <v>44242</v>
      </c>
      <c r="D1074" t="s">
        <v>29</v>
      </c>
      <c r="E1074" t="s">
        <v>48</v>
      </c>
      <c r="F1074" t="s">
        <v>49</v>
      </c>
      <c r="G1074" t="s">
        <v>41</v>
      </c>
      <c r="H1074" t="s">
        <v>38</v>
      </c>
      <c r="I1074" s="3">
        <v>36</v>
      </c>
      <c r="J1074" s="2">
        <v>140</v>
      </c>
      <c r="K1074" s="3">
        <f t="shared" si="16"/>
        <v>5040</v>
      </c>
      <c r="L1074" s="3">
        <v>2973.6</v>
      </c>
    </row>
    <row r="1075" spans="1:12" x14ac:dyDescent="0.25">
      <c r="A1075" t="s">
        <v>26</v>
      </c>
      <c r="B1075">
        <v>1185732</v>
      </c>
      <c r="C1075" s="1">
        <v>44242</v>
      </c>
      <c r="D1075" t="s">
        <v>29</v>
      </c>
      <c r="E1075" t="s">
        <v>48</v>
      </c>
      <c r="F1075" t="s">
        <v>49</v>
      </c>
      <c r="G1075" t="s">
        <v>41</v>
      </c>
      <c r="H1075" t="s">
        <v>17</v>
      </c>
      <c r="I1075" s="3">
        <v>38</v>
      </c>
      <c r="J1075" s="2">
        <v>41</v>
      </c>
      <c r="K1075" s="3">
        <f t="shared" si="16"/>
        <v>1558</v>
      </c>
      <c r="L1075" s="3">
        <v>903.64</v>
      </c>
    </row>
    <row r="1076" spans="1:12" x14ac:dyDescent="0.25">
      <c r="A1076" t="s">
        <v>27</v>
      </c>
      <c r="B1076">
        <v>1189833</v>
      </c>
      <c r="C1076" s="1">
        <v>44242</v>
      </c>
      <c r="D1076" t="s">
        <v>57</v>
      </c>
      <c r="E1076" t="s">
        <v>58</v>
      </c>
      <c r="F1076" t="s">
        <v>59</v>
      </c>
      <c r="G1076" t="s">
        <v>41</v>
      </c>
      <c r="H1076" t="s">
        <v>17</v>
      </c>
      <c r="I1076" s="3">
        <v>48</v>
      </c>
      <c r="J1076" s="2">
        <v>156</v>
      </c>
      <c r="K1076" s="3">
        <f t="shared" si="16"/>
        <v>7488</v>
      </c>
      <c r="L1076" s="3">
        <v>4193.2800000000007</v>
      </c>
    </row>
    <row r="1077" spans="1:12" x14ac:dyDescent="0.25">
      <c r="A1077" t="s">
        <v>26</v>
      </c>
      <c r="B1077">
        <v>1185732</v>
      </c>
      <c r="C1077" s="1">
        <v>44242</v>
      </c>
      <c r="D1077" t="s">
        <v>29</v>
      </c>
      <c r="E1077" t="s">
        <v>50</v>
      </c>
      <c r="F1077" t="s">
        <v>51</v>
      </c>
      <c r="G1077" t="s">
        <v>41</v>
      </c>
      <c r="H1077" t="s">
        <v>16</v>
      </c>
      <c r="I1077" s="3">
        <v>38</v>
      </c>
      <c r="J1077" s="2">
        <v>75</v>
      </c>
      <c r="K1077" s="3">
        <f t="shared" si="16"/>
        <v>2850</v>
      </c>
      <c r="L1077" s="3">
        <v>1596</v>
      </c>
    </row>
    <row r="1078" spans="1:12" x14ac:dyDescent="0.25">
      <c r="A1078" t="s">
        <v>19</v>
      </c>
      <c r="B1078">
        <v>1185732</v>
      </c>
      <c r="C1078" s="1">
        <v>44242</v>
      </c>
      <c r="D1078" t="s">
        <v>29</v>
      </c>
      <c r="E1078" t="s">
        <v>87</v>
      </c>
      <c r="F1078" t="s">
        <v>88</v>
      </c>
      <c r="G1078" t="s">
        <v>41</v>
      </c>
      <c r="H1078" t="s">
        <v>17</v>
      </c>
      <c r="I1078" s="3">
        <v>37</v>
      </c>
      <c r="J1078" s="2">
        <v>61</v>
      </c>
      <c r="K1078" s="3">
        <f t="shared" si="16"/>
        <v>2257</v>
      </c>
      <c r="L1078" s="3">
        <v>1218.78</v>
      </c>
    </row>
    <row r="1079" spans="1:12" x14ac:dyDescent="0.25">
      <c r="A1079" t="s">
        <v>19</v>
      </c>
      <c r="B1079">
        <v>1185732</v>
      </c>
      <c r="C1079" s="1">
        <v>44242</v>
      </c>
      <c r="D1079" t="s">
        <v>29</v>
      </c>
      <c r="E1079" t="s">
        <v>87</v>
      </c>
      <c r="F1079" t="s">
        <v>88</v>
      </c>
      <c r="G1079" t="s">
        <v>41</v>
      </c>
      <c r="H1079" t="s">
        <v>38</v>
      </c>
      <c r="I1079" s="3">
        <v>39</v>
      </c>
      <c r="J1079" s="2">
        <v>144</v>
      </c>
      <c r="K1079" s="3">
        <f t="shared" si="16"/>
        <v>5616</v>
      </c>
      <c r="L1079" s="3">
        <v>2808</v>
      </c>
    </row>
    <row r="1080" spans="1:12" x14ac:dyDescent="0.25">
      <c r="A1080" t="s">
        <v>19</v>
      </c>
      <c r="B1080">
        <v>1185732</v>
      </c>
      <c r="C1080" s="1">
        <v>44242</v>
      </c>
      <c r="D1080" t="s">
        <v>29</v>
      </c>
      <c r="E1080" t="s">
        <v>87</v>
      </c>
      <c r="F1080" t="s">
        <v>88</v>
      </c>
      <c r="G1080" t="s">
        <v>41</v>
      </c>
      <c r="H1080" t="s">
        <v>35</v>
      </c>
      <c r="I1080" s="3">
        <v>27</v>
      </c>
      <c r="J1080" s="2">
        <v>69</v>
      </c>
      <c r="K1080" s="3">
        <f t="shared" si="16"/>
        <v>1863</v>
      </c>
      <c r="L1080" s="3">
        <v>912.87</v>
      </c>
    </row>
    <row r="1081" spans="1:12" x14ac:dyDescent="0.25">
      <c r="A1081" t="s">
        <v>11</v>
      </c>
      <c r="B1081">
        <v>1128299</v>
      </c>
      <c r="C1081" s="1">
        <v>44242</v>
      </c>
      <c r="D1081" t="s">
        <v>12</v>
      </c>
      <c r="E1081" t="s">
        <v>13</v>
      </c>
      <c r="F1081" t="s">
        <v>14</v>
      </c>
      <c r="G1081" t="s">
        <v>15</v>
      </c>
      <c r="H1081" t="s">
        <v>22</v>
      </c>
      <c r="I1081" s="3">
        <v>43</v>
      </c>
      <c r="J1081" s="2">
        <v>245</v>
      </c>
      <c r="K1081" s="3">
        <f t="shared" si="16"/>
        <v>10535</v>
      </c>
      <c r="L1081" s="3">
        <v>5056.8</v>
      </c>
    </row>
    <row r="1082" spans="1:12" x14ac:dyDescent="0.25">
      <c r="A1082" t="s">
        <v>19</v>
      </c>
      <c r="B1082">
        <v>1185732</v>
      </c>
      <c r="C1082" s="1">
        <v>44242</v>
      </c>
      <c r="D1082" t="s">
        <v>29</v>
      </c>
      <c r="E1082" t="s">
        <v>89</v>
      </c>
      <c r="F1082" t="s">
        <v>90</v>
      </c>
      <c r="G1082" t="s">
        <v>41</v>
      </c>
      <c r="H1082" t="s">
        <v>16</v>
      </c>
      <c r="I1082" s="3">
        <v>39</v>
      </c>
      <c r="J1082" s="2">
        <v>98</v>
      </c>
      <c r="K1082" s="3">
        <f t="shared" si="16"/>
        <v>3822</v>
      </c>
      <c r="L1082" s="3">
        <v>1796.34</v>
      </c>
    </row>
    <row r="1083" spans="1:12" x14ac:dyDescent="0.25">
      <c r="A1083" t="s">
        <v>19</v>
      </c>
      <c r="B1083">
        <v>1185732</v>
      </c>
      <c r="C1083" s="1">
        <v>44242</v>
      </c>
      <c r="D1083" t="s">
        <v>29</v>
      </c>
      <c r="E1083" t="s">
        <v>89</v>
      </c>
      <c r="F1083" t="s">
        <v>90</v>
      </c>
      <c r="G1083" t="s">
        <v>41</v>
      </c>
      <c r="H1083" t="s">
        <v>37</v>
      </c>
      <c r="I1083" s="3">
        <v>33</v>
      </c>
      <c r="J1083" s="2">
        <v>45</v>
      </c>
      <c r="K1083" s="3">
        <f t="shared" si="16"/>
        <v>1485</v>
      </c>
      <c r="L1083" s="3">
        <v>668.24999999999989</v>
      </c>
    </row>
    <row r="1084" spans="1:12" x14ac:dyDescent="0.25">
      <c r="A1084" t="s">
        <v>11</v>
      </c>
      <c r="B1084">
        <v>1128299</v>
      </c>
      <c r="C1084" s="1">
        <v>44242</v>
      </c>
      <c r="D1084" t="s">
        <v>12</v>
      </c>
      <c r="E1084" t="s">
        <v>13</v>
      </c>
      <c r="F1084" t="s">
        <v>14</v>
      </c>
      <c r="G1084" t="s">
        <v>41</v>
      </c>
      <c r="H1084" t="s">
        <v>22</v>
      </c>
      <c r="I1084" s="3">
        <v>59</v>
      </c>
      <c r="J1084" s="2">
        <v>175</v>
      </c>
      <c r="K1084" s="3">
        <f t="shared" si="16"/>
        <v>10325</v>
      </c>
      <c r="L1084" s="3">
        <v>4129.9999999999991</v>
      </c>
    </row>
    <row r="1085" spans="1:12" x14ac:dyDescent="0.25">
      <c r="A1085" t="s">
        <v>11</v>
      </c>
      <c r="B1085">
        <v>1128299</v>
      </c>
      <c r="C1085" s="1">
        <v>44243</v>
      </c>
      <c r="D1085" t="s">
        <v>12</v>
      </c>
      <c r="E1085" t="s">
        <v>13</v>
      </c>
      <c r="F1085" t="s">
        <v>14</v>
      </c>
      <c r="G1085" t="s">
        <v>15</v>
      </c>
      <c r="H1085" t="s">
        <v>16</v>
      </c>
      <c r="I1085" s="3">
        <v>70</v>
      </c>
      <c r="J1085" s="2">
        <v>800</v>
      </c>
      <c r="K1085" s="3">
        <f t="shared" si="16"/>
        <v>56000</v>
      </c>
      <c r="L1085" s="3">
        <v>50400</v>
      </c>
    </row>
    <row r="1086" spans="1:12" x14ac:dyDescent="0.25">
      <c r="A1086" t="s">
        <v>27</v>
      </c>
      <c r="B1086">
        <v>1189833</v>
      </c>
      <c r="C1086" s="1">
        <v>44243</v>
      </c>
      <c r="D1086" t="s">
        <v>57</v>
      </c>
      <c r="E1086" t="s">
        <v>58</v>
      </c>
      <c r="F1086" t="s">
        <v>59</v>
      </c>
      <c r="G1086" t="s">
        <v>15</v>
      </c>
      <c r="H1086" t="s">
        <v>35</v>
      </c>
      <c r="I1086" s="3">
        <v>45</v>
      </c>
      <c r="J1086" s="2">
        <v>450</v>
      </c>
      <c r="K1086" s="3">
        <f t="shared" si="16"/>
        <v>20250</v>
      </c>
      <c r="L1086" s="3">
        <v>11137.5</v>
      </c>
    </row>
    <row r="1087" spans="1:12" x14ac:dyDescent="0.25">
      <c r="A1087" t="s">
        <v>11</v>
      </c>
      <c r="B1087">
        <v>1128299</v>
      </c>
      <c r="C1087" s="1">
        <v>44243</v>
      </c>
      <c r="D1087" t="s">
        <v>12</v>
      </c>
      <c r="E1087" t="s">
        <v>13</v>
      </c>
      <c r="F1087" t="s">
        <v>14</v>
      </c>
      <c r="G1087" t="s">
        <v>15</v>
      </c>
      <c r="H1087" t="s">
        <v>16</v>
      </c>
      <c r="I1087" s="3">
        <v>50</v>
      </c>
      <c r="J1087" s="2">
        <v>256</v>
      </c>
      <c r="K1087" s="3">
        <f t="shared" si="16"/>
        <v>12800</v>
      </c>
      <c r="L1087" s="3">
        <v>10624</v>
      </c>
    </row>
    <row r="1088" spans="1:12" x14ac:dyDescent="0.25">
      <c r="A1088" t="s">
        <v>11</v>
      </c>
      <c r="B1088">
        <v>1128299</v>
      </c>
      <c r="C1088" s="1">
        <v>44243</v>
      </c>
      <c r="D1088" t="s">
        <v>12</v>
      </c>
      <c r="E1088" t="s">
        <v>13</v>
      </c>
      <c r="F1088" t="s">
        <v>14</v>
      </c>
      <c r="G1088" t="s">
        <v>41</v>
      </c>
      <c r="H1088" t="s">
        <v>16</v>
      </c>
      <c r="I1088" s="3">
        <v>67</v>
      </c>
      <c r="J1088" s="2">
        <v>208</v>
      </c>
      <c r="K1088" s="3">
        <f t="shared" si="16"/>
        <v>13936</v>
      </c>
      <c r="L1088" s="3">
        <v>10730.72</v>
      </c>
    </row>
    <row r="1089" spans="1:12" x14ac:dyDescent="0.25">
      <c r="A1089" t="s">
        <v>27</v>
      </c>
      <c r="B1089">
        <v>1189833</v>
      </c>
      <c r="C1089" s="1">
        <v>44243</v>
      </c>
      <c r="D1089" t="s">
        <v>57</v>
      </c>
      <c r="E1089" t="s">
        <v>58</v>
      </c>
      <c r="F1089" t="s">
        <v>59</v>
      </c>
      <c r="G1089" t="s">
        <v>41</v>
      </c>
      <c r="H1089" t="s">
        <v>35</v>
      </c>
      <c r="I1089" s="3">
        <v>42</v>
      </c>
      <c r="J1089" s="2">
        <v>117</v>
      </c>
      <c r="K1089" s="3">
        <f t="shared" si="16"/>
        <v>4914</v>
      </c>
      <c r="L1089" s="3">
        <v>2162.16</v>
      </c>
    </row>
    <row r="1090" spans="1:12" x14ac:dyDescent="0.25">
      <c r="A1090" t="s">
        <v>26</v>
      </c>
      <c r="B1090">
        <v>1128299</v>
      </c>
      <c r="C1090" s="1">
        <v>44244</v>
      </c>
      <c r="D1090" t="s">
        <v>32</v>
      </c>
      <c r="E1090" t="s">
        <v>33</v>
      </c>
      <c r="F1090" t="s">
        <v>34</v>
      </c>
      <c r="G1090" t="s">
        <v>15</v>
      </c>
      <c r="H1090" t="s">
        <v>22</v>
      </c>
      <c r="I1090" s="3">
        <v>55.000000000000007</v>
      </c>
      <c r="J1090" s="2">
        <v>200</v>
      </c>
      <c r="K1090" s="3">
        <f t="shared" si="16"/>
        <v>11000.000000000002</v>
      </c>
      <c r="L1090" s="3">
        <v>8800.0000000000018</v>
      </c>
    </row>
    <row r="1091" spans="1:12" x14ac:dyDescent="0.25">
      <c r="A1091" t="s">
        <v>26</v>
      </c>
      <c r="B1091">
        <v>1128299</v>
      </c>
      <c r="C1091" s="1">
        <v>44244</v>
      </c>
      <c r="D1091" t="s">
        <v>12</v>
      </c>
      <c r="E1091" t="s">
        <v>20</v>
      </c>
      <c r="F1091" t="s">
        <v>21</v>
      </c>
      <c r="G1091" t="s">
        <v>15</v>
      </c>
      <c r="H1091" t="s">
        <v>17</v>
      </c>
      <c r="I1091" s="3">
        <v>50</v>
      </c>
      <c r="J1091" s="2">
        <v>425</v>
      </c>
      <c r="K1091" s="3">
        <f t="shared" ref="K1091:K1154" si="17">I1091*J1091</f>
        <v>21250</v>
      </c>
      <c r="L1091" s="3">
        <v>15937.5</v>
      </c>
    </row>
    <row r="1092" spans="1:12" x14ac:dyDescent="0.25">
      <c r="A1092" t="s">
        <v>26</v>
      </c>
      <c r="B1092">
        <v>1128299</v>
      </c>
      <c r="C1092" s="1">
        <v>44244</v>
      </c>
      <c r="D1092" t="s">
        <v>12</v>
      </c>
      <c r="E1092" t="s">
        <v>20</v>
      </c>
      <c r="F1092" t="s">
        <v>21</v>
      </c>
      <c r="G1092" t="s">
        <v>15</v>
      </c>
      <c r="H1092" t="s">
        <v>38</v>
      </c>
      <c r="I1092" s="3">
        <v>40</v>
      </c>
      <c r="J1092" s="2">
        <v>525</v>
      </c>
      <c r="K1092" s="3">
        <f t="shared" si="17"/>
        <v>21000</v>
      </c>
      <c r="L1092" s="3">
        <v>14700</v>
      </c>
    </row>
    <row r="1093" spans="1:12" x14ac:dyDescent="0.25">
      <c r="A1093" t="s">
        <v>26</v>
      </c>
      <c r="B1093">
        <v>1128299</v>
      </c>
      <c r="C1093" s="1">
        <v>44244</v>
      </c>
      <c r="D1093" t="s">
        <v>12</v>
      </c>
      <c r="E1093" t="s">
        <v>20</v>
      </c>
      <c r="F1093" t="s">
        <v>21</v>
      </c>
      <c r="G1093" t="s">
        <v>15</v>
      </c>
      <c r="H1093" t="s">
        <v>35</v>
      </c>
      <c r="I1093" s="3">
        <v>50</v>
      </c>
      <c r="J1093" s="2">
        <v>425</v>
      </c>
      <c r="K1093" s="3">
        <f t="shared" si="17"/>
        <v>21250</v>
      </c>
      <c r="L1093" s="3">
        <v>14875</v>
      </c>
    </row>
    <row r="1094" spans="1:12" x14ac:dyDescent="0.25">
      <c r="A1094" t="s">
        <v>26</v>
      </c>
      <c r="B1094">
        <v>1128299</v>
      </c>
      <c r="C1094" s="1">
        <v>44244</v>
      </c>
      <c r="D1094" t="s">
        <v>32</v>
      </c>
      <c r="E1094" t="s">
        <v>33</v>
      </c>
      <c r="F1094" t="s">
        <v>34</v>
      </c>
      <c r="G1094" t="s">
        <v>15</v>
      </c>
      <c r="H1094" t="s">
        <v>37</v>
      </c>
      <c r="I1094" s="3">
        <v>50</v>
      </c>
      <c r="J1094" s="2">
        <v>275</v>
      </c>
      <c r="K1094" s="3">
        <f t="shared" si="17"/>
        <v>13750</v>
      </c>
      <c r="L1094" s="3">
        <v>9625</v>
      </c>
    </row>
    <row r="1095" spans="1:12" x14ac:dyDescent="0.25">
      <c r="A1095" t="s">
        <v>26</v>
      </c>
      <c r="B1095">
        <v>1185732</v>
      </c>
      <c r="C1095" s="1">
        <v>44244</v>
      </c>
      <c r="D1095" t="s">
        <v>32</v>
      </c>
      <c r="E1095" t="s">
        <v>82</v>
      </c>
      <c r="F1095" t="s">
        <v>83</v>
      </c>
      <c r="G1095" t="s">
        <v>18</v>
      </c>
      <c r="H1095" t="s">
        <v>35</v>
      </c>
      <c r="I1095" s="3">
        <v>25</v>
      </c>
      <c r="J1095" s="2">
        <v>500</v>
      </c>
      <c r="K1095" s="3">
        <f t="shared" si="17"/>
        <v>12500</v>
      </c>
      <c r="L1095" s="3">
        <v>8750</v>
      </c>
    </row>
    <row r="1096" spans="1:12" x14ac:dyDescent="0.25">
      <c r="A1096" t="s">
        <v>26</v>
      </c>
      <c r="B1096">
        <v>1185732</v>
      </c>
      <c r="C1096" s="1">
        <v>44244</v>
      </c>
      <c r="D1096" t="s">
        <v>57</v>
      </c>
      <c r="E1096" t="s">
        <v>70</v>
      </c>
      <c r="F1096" t="s">
        <v>71</v>
      </c>
      <c r="G1096" t="s">
        <v>18</v>
      </c>
      <c r="H1096" t="s">
        <v>37</v>
      </c>
      <c r="I1096" s="3">
        <v>29.999999999999993</v>
      </c>
      <c r="J1096" s="2">
        <v>375</v>
      </c>
      <c r="K1096" s="3">
        <f t="shared" si="17"/>
        <v>11249.999999999998</v>
      </c>
      <c r="L1096" s="3">
        <v>7312.4999999999982</v>
      </c>
    </row>
    <row r="1097" spans="1:12" x14ac:dyDescent="0.25">
      <c r="A1097" t="s">
        <v>11</v>
      </c>
      <c r="B1097">
        <v>1128299</v>
      </c>
      <c r="C1097" s="1">
        <v>44244</v>
      </c>
      <c r="D1097" t="s">
        <v>52</v>
      </c>
      <c r="E1097" t="s">
        <v>64</v>
      </c>
      <c r="F1097" t="s">
        <v>65</v>
      </c>
      <c r="G1097" t="s">
        <v>18</v>
      </c>
      <c r="H1097" t="s">
        <v>16</v>
      </c>
      <c r="I1097" s="3">
        <v>45</v>
      </c>
      <c r="J1097" s="2">
        <v>375</v>
      </c>
      <c r="K1097" s="3">
        <f t="shared" si="17"/>
        <v>16875</v>
      </c>
      <c r="L1097" s="3">
        <v>10968.75</v>
      </c>
    </row>
    <row r="1098" spans="1:12" x14ac:dyDescent="0.25">
      <c r="A1098" t="s">
        <v>26</v>
      </c>
      <c r="B1098">
        <v>1185732</v>
      </c>
      <c r="C1098" s="1">
        <v>44244</v>
      </c>
      <c r="D1098" t="s">
        <v>57</v>
      </c>
      <c r="E1098" t="s">
        <v>70</v>
      </c>
      <c r="F1098" t="s">
        <v>71</v>
      </c>
      <c r="G1098" t="s">
        <v>18</v>
      </c>
      <c r="H1098" t="s">
        <v>22</v>
      </c>
      <c r="I1098" s="3">
        <v>45.000000000000007</v>
      </c>
      <c r="J1098" s="2">
        <v>450</v>
      </c>
      <c r="K1098" s="3">
        <f t="shared" si="17"/>
        <v>20250.000000000004</v>
      </c>
      <c r="L1098" s="3">
        <v>12150.000000000004</v>
      </c>
    </row>
    <row r="1099" spans="1:12" x14ac:dyDescent="0.25">
      <c r="A1099" t="s">
        <v>27</v>
      </c>
      <c r="B1099">
        <v>1189833</v>
      </c>
      <c r="C1099" s="1">
        <v>44244</v>
      </c>
      <c r="D1099" t="s">
        <v>12</v>
      </c>
      <c r="E1099" t="s">
        <v>13</v>
      </c>
      <c r="F1099" t="s">
        <v>14</v>
      </c>
      <c r="G1099" t="s">
        <v>15</v>
      </c>
      <c r="H1099" t="s">
        <v>38</v>
      </c>
      <c r="I1099" s="3">
        <v>35</v>
      </c>
      <c r="J1099" s="2">
        <v>700</v>
      </c>
      <c r="K1099" s="3">
        <f t="shared" si="17"/>
        <v>24500</v>
      </c>
      <c r="L1099" s="3">
        <v>14700</v>
      </c>
    </row>
    <row r="1100" spans="1:12" x14ac:dyDescent="0.25">
      <c r="A1100" t="s">
        <v>27</v>
      </c>
      <c r="B1100">
        <v>1189833</v>
      </c>
      <c r="C1100" s="1">
        <v>44244</v>
      </c>
      <c r="D1100" t="s">
        <v>57</v>
      </c>
      <c r="E1100" t="s">
        <v>58</v>
      </c>
      <c r="F1100" t="s">
        <v>59</v>
      </c>
      <c r="G1100" t="s">
        <v>15</v>
      </c>
      <c r="H1100" t="s">
        <v>37</v>
      </c>
      <c r="I1100" s="3">
        <v>45</v>
      </c>
      <c r="J1100" s="2">
        <v>400</v>
      </c>
      <c r="K1100" s="3">
        <f t="shared" si="17"/>
        <v>18000</v>
      </c>
      <c r="L1100" s="3">
        <v>10800</v>
      </c>
    </row>
    <row r="1101" spans="1:12" x14ac:dyDescent="0.25">
      <c r="A1101" t="s">
        <v>26</v>
      </c>
      <c r="B1101">
        <v>1185732</v>
      </c>
      <c r="C1101" s="1">
        <v>44244</v>
      </c>
      <c r="D1101" t="s">
        <v>32</v>
      </c>
      <c r="E1101" t="s">
        <v>82</v>
      </c>
      <c r="F1101" t="s">
        <v>83</v>
      </c>
      <c r="G1101" t="s">
        <v>18</v>
      </c>
      <c r="H1101" t="s">
        <v>17</v>
      </c>
      <c r="I1101" s="3">
        <v>35</v>
      </c>
      <c r="J1101" s="2">
        <v>450</v>
      </c>
      <c r="K1101" s="3">
        <f t="shared" si="17"/>
        <v>15750</v>
      </c>
      <c r="L1101" s="3">
        <v>9450</v>
      </c>
    </row>
    <row r="1102" spans="1:12" x14ac:dyDescent="0.25">
      <c r="A1102" t="s">
        <v>11</v>
      </c>
      <c r="B1102">
        <v>1128299</v>
      </c>
      <c r="C1102" s="1">
        <v>44244</v>
      </c>
      <c r="D1102" t="s">
        <v>12</v>
      </c>
      <c r="E1102" t="s">
        <v>84</v>
      </c>
      <c r="F1102" t="s">
        <v>31</v>
      </c>
      <c r="G1102" t="s">
        <v>18</v>
      </c>
      <c r="H1102" t="s">
        <v>38</v>
      </c>
      <c r="I1102" s="3">
        <v>35</v>
      </c>
      <c r="J1102" s="2">
        <v>500</v>
      </c>
      <c r="K1102" s="3">
        <f t="shared" si="17"/>
        <v>17500</v>
      </c>
      <c r="L1102" s="3">
        <v>10500</v>
      </c>
    </row>
    <row r="1103" spans="1:12" x14ac:dyDescent="0.25">
      <c r="A1103" t="s">
        <v>11</v>
      </c>
      <c r="B1103">
        <v>1128299</v>
      </c>
      <c r="C1103" s="1">
        <v>44244</v>
      </c>
      <c r="D1103" t="s">
        <v>12</v>
      </c>
      <c r="E1103" t="s">
        <v>84</v>
      </c>
      <c r="F1103" t="s">
        <v>31</v>
      </c>
      <c r="G1103" t="s">
        <v>18</v>
      </c>
      <c r="H1103" t="s">
        <v>17</v>
      </c>
      <c r="I1103" s="3">
        <v>45</v>
      </c>
      <c r="J1103" s="2">
        <v>400</v>
      </c>
      <c r="K1103" s="3">
        <f t="shared" si="17"/>
        <v>18000</v>
      </c>
      <c r="L1103" s="3">
        <v>10800</v>
      </c>
    </row>
    <row r="1104" spans="1:12" x14ac:dyDescent="0.25">
      <c r="A1104" t="s">
        <v>11</v>
      </c>
      <c r="B1104">
        <v>1128299</v>
      </c>
      <c r="C1104" s="1">
        <v>44244</v>
      </c>
      <c r="D1104" t="s">
        <v>12</v>
      </c>
      <c r="E1104" t="s">
        <v>84</v>
      </c>
      <c r="F1104" t="s">
        <v>31</v>
      </c>
      <c r="G1104" t="s">
        <v>18</v>
      </c>
      <c r="H1104" t="s">
        <v>35</v>
      </c>
      <c r="I1104" s="3">
        <v>45</v>
      </c>
      <c r="J1104" s="2">
        <v>400</v>
      </c>
      <c r="K1104" s="3">
        <f t="shared" si="17"/>
        <v>18000</v>
      </c>
      <c r="L1104" s="3">
        <v>10800</v>
      </c>
    </row>
    <row r="1105" spans="1:12" x14ac:dyDescent="0.25">
      <c r="A1105" t="s">
        <v>11</v>
      </c>
      <c r="B1105">
        <v>1128299</v>
      </c>
      <c r="C1105" s="1">
        <v>44244</v>
      </c>
      <c r="D1105" t="s">
        <v>52</v>
      </c>
      <c r="E1105" t="s">
        <v>64</v>
      </c>
      <c r="F1105" t="s">
        <v>65</v>
      </c>
      <c r="G1105" t="s">
        <v>18</v>
      </c>
      <c r="H1105" t="s">
        <v>37</v>
      </c>
      <c r="I1105" s="3">
        <v>45</v>
      </c>
      <c r="J1105" s="2">
        <v>250</v>
      </c>
      <c r="K1105" s="3">
        <f t="shared" si="17"/>
        <v>11250</v>
      </c>
      <c r="L1105" s="3">
        <v>6750</v>
      </c>
    </row>
    <row r="1106" spans="1:12" x14ac:dyDescent="0.25">
      <c r="A1106" t="s">
        <v>11</v>
      </c>
      <c r="B1106">
        <v>1185732</v>
      </c>
      <c r="C1106" s="1">
        <v>44244</v>
      </c>
      <c r="D1106" t="s">
        <v>57</v>
      </c>
      <c r="E1106" t="s">
        <v>103</v>
      </c>
      <c r="F1106" t="s">
        <v>104</v>
      </c>
      <c r="G1106" t="s">
        <v>18</v>
      </c>
      <c r="H1106" t="s">
        <v>38</v>
      </c>
      <c r="I1106" s="3">
        <v>35</v>
      </c>
      <c r="J1106" s="2">
        <v>550</v>
      </c>
      <c r="K1106" s="3">
        <f t="shared" si="17"/>
        <v>19250</v>
      </c>
      <c r="L1106" s="3">
        <v>11550</v>
      </c>
    </row>
    <row r="1107" spans="1:12" x14ac:dyDescent="0.25">
      <c r="A1107" t="s">
        <v>11</v>
      </c>
      <c r="B1107">
        <v>1185732</v>
      </c>
      <c r="C1107" s="1">
        <v>44244</v>
      </c>
      <c r="D1107" t="s">
        <v>57</v>
      </c>
      <c r="E1107" t="s">
        <v>103</v>
      </c>
      <c r="F1107" t="s">
        <v>104</v>
      </c>
      <c r="G1107" t="s">
        <v>18</v>
      </c>
      <c r="H1107" t="s">
        <v>17</v>
      </c>
      <c r="I1107" s="3">
        <v>40</v>
      </c>
      <c r="J1107" s="2">
        <v>200</v>
      </c>
      <c r="K1107" s="3">
        <f t="shared" si="17"/>
        <v>8000</v>
      </c>
      <c r="L1107" s="3">
        <v>4800</v>
      </c>
    </row>
    <row r="1108" spans="1:12" x14ac:dyDescent="0.25">
      <c r="A1108" t="s">
        <v>11</v>
      </c>
      <c r="B1108">
        <v>1185732</v>
      </c>
      <c r="C1108" s="1">
        <v>44244</v>
      </c>
      <c r="D1108" t="s">
        <v>57</v>
      </c>
      <c r="E1108" t="s">
        <v>103</v>
      </c>
      <c r="F1108" t="s">
        <v>104</v>
      </c>
      <c r="G1108" t="s">
        <v>18</v>
      </c>
      <c r="H1108" t="s">
        <v>35</v>
      </c>
      <c r="I1108" s="3">
        <v>30.000000000000004</v>
      </c>
      <c r="J1108" s="2">
        <v>300</v>
      </c>
      <c r="K1108" s="3">
        <f t="shared" si="17"/>
        <v>9000.0000000000018</v>
      </c>
      <c r="L1108" s="3">
        <v>5400.0000000000009</v>
      </c>
    </row>
    <row r="1109" spans="1:12" x14ac:dyDescent="0.25">
      <c r="A1109" t="s">
        <v>11</v>
      </c>
      <c r="B1109">
        <v>1185732</v>
      </c>
      <c r="C1109" s="1">
        <v>44244</v>
      </c>
      <c r="D1109" t="s">
        <v>29</v>
      </c>
      <c r="E1109" t="s">
        <v>105</v>
      </c>
      <c r="F1109" t="s">
        <v>47</v>
      </c>
      <c r="G1109" t="s">
        <v>18</v>
      </c>
      <c r="H1109" t="s">
        <v>37</v>
      </c>
      <c r="I1109" s="3">
        <v>35</v>
      </c>
      <c r="J1109" s="2">
        <v>175</v>
      </c>
      <c r="K1109" s="3">
        <f t="shared" si="17"/>
        <v>6125</v>
      </c>
      <c r="L1109" s="3">
        <v>3675</v>
      </c>
    </row>
    <row r="1110" spans="1:12" x14ac:dyDescent="0.25">
      <c r="A1110" t="s">
        <v>11</v>
      </c>
      <c r="B1110">
        <v>1185732</v>
      </c>
      <c r="C1110" s="1">
        <v>44244</v>
      </c>
      <c r="D1110" t="s">
        <v>29</v>
      </c>
      <c r="E1110" t="s">
        <v>105</v>
      </c>
      <c r="F1110" t="s">
        <v>47</v>
      </c>
      <c r="G1110" t="s">
        <v>18</v>
      </c>
      <c r="H1110" t="s">
        <v>22</v>
      </c>
      <c r="I1110" s="3">
        <v>49.999999999999993</v>
      </c>
      <c r="J1110" s="2">
        <v>250</v>
      </c>
      <c r="K1110" s="3">
        <f t="shared" si="17"/>
        <v>12499.999999999998</v>
      </c>
      <c r="L1110" s="3">
        <v>7499.9999999999982</v>
      </c>
    </row>
    <row r="1111" spans="1:12" x14ac:dyDescent="0.25">
      <c r="A1111" t="s">
        <v>11</v>
      </c>
      <c r="B1111">
        <v>1185732</v>
      </c>
      <c r="C1111" s="1">
        <v>44244</v>
      </c>
      <c r="D1111" t="s">
        <v>29</v>
      </c>
      <c r="E1111" t="s">
        <v>105</v>
      </c>
      <c r="F1111" t="s">
        <v>47</v>
      </c>
      <c r="G1111" t="s">
        <v>18</v>
      </c>
      <c r="H1111" t="s">
        <v>16</v>
      </c>
      <c r="I1111" s="3">
        <v>24.999999999999993</v>
      </c>
      <c r="J1111" s="2">
        <v>350</v>
      </c>
      <c r="K1111" s="3">
        <f t="shared" si="17"/>
        <v>8749.9999999999982</v>
      </c>
      <c r="L1111" s="3">
        <v>5249.9999999999982</v>
      </c>
    </row>
    <row r="1112" spans="1:12" x14ac:dyDescent="0.25">
      <c r="A1112" t="s">
        <v>11</v>
      </c>
      <c r="B1112">
        <v>1128299</v>
      </c>
      <c r="C1112" s="1">
        <v>44244</v>
      </c>
      <c r="D1112" t="s">
        <v>52</v>
      </c>
      <c r="E1112" t="s">
        <v>64</v>
      </c>
      <c r="F1112" t="s">
        <v>65</v>
      </c>
      <c r="G1112" t="s">
        <v>18</v>
      </c>
      <c r="H1112" t="s">
        <v>22</v>
      </c>
      <c r="I1112" s="3">
        <v>50.000000000000014</v>
      </c>
      <c r="J1112" s="2">
        <v>175</v>
      </c>
      <c r="K1112" s="3">
        <f t="shared" si="17"/>
        <v>8750.0000000000018</v>
      </c>
      <c r="L1112" s="3">
        <v>4812.5000000000018</v>
      </c>
    </row>
    <row r="1113" spans="1:12" x14ac:dyDescent="0.25">
      <c r="A1113" t="s">
        <v>26</v>
      </c>
      <c r="B1113">
        <v>1128299</v>
      </c>
      <c r="C1113" s="1">
        <v>44244</v>
      </c>
      <c r="D1113" t="s">
        <v>32</v>
      </c>
      <c r="E1113" t="s">
        <v>33</v>
      </c>
      <c r="F1113" t="s">
        <v>34</v>
      </c>
      <c r="G1113" t="s">
        <v>15</v>
      </c>
      <c r="H1113" t="s">
        <v>16</v>
      </c>
      <c r="I1113" s="3">
        <v>50</v>
      </c>
      <c r="J1113" s="2">
        <v>400</v>
      </c>
      <c r="K1113" s="3">
        <f t="shared" si="17"/>
        <v>20000</v>
      </c>
      <c r="L1113" s="3">
        <v>11000</v>
      </c>
    </row>
    <row r="1114" spans="1:12" x14ac:dyDescent="0.25">
      <c r="A1114" t="s">
        <v>26</v>
      </c>
      <c r="B1114">
        <v>1185732</v>
      </c>
      <c r="C1114" s="1">
        <v>44244</v>
      </c>
      <c r="D1114" t="s">
        <v>32</v>
      </c>
      <c r="E1114" t="s">
        <v>82</v>
      </c>
      <c r="F1114" t="s">
        <v>83</v>
      </c>
      <c r="G1114" t="s">
        <v>18</v>
      </c>
      <c r="H1114" t="s">
        <v>38</v>
      </c>
      <c r="I1114" s="3">
        <v>35</v>
      </c>
      <c r="J1114" s="2">
        <v>800</v>
      </c>
      <c r="K1114" s="3">
        <f t="shared" si="17"/>
        <v>28000</v>
      </c>
      <c r="L1114" s="3">
        <v>14000</v>
      </c>
    </row>
    <row r="1115" spans="1:12" x14ac:dyDescent="0.25">
      <c r="A1115" t="s">
        <v>26</v>
      </c>
      <c r="B1115">
        <v>1185732</v>
      </c>
      <c r="C1115" s="1">
        <v>44244</v>
      </c>
      <c r="D1115" t="s">
        <v>57</v>
      </c>
      <c r="E1115" t="s">
        <v>70</v>
      </c>
      <c r="F1115" t="s">
        <v>71</v>
      </c>
      <c r="G1115" t="s">
        <v>18</v>
      </c>
      <c r="H1115" t="s">
        <v>16</v>
      </c>
      <c r="I1115" s="3">
        <v>35</v>
      </c>
      <c r="J1115" s="2">
        <v>550</v>
      </c>
      <c r="K1115" s="3">
        <f t="shared" si="17"/>
        <v>19250</v>
      </c>
      <c r="L1115" s="3">
        <v>8662.4999999999982</v>
      </c>
    </row>
    <row r="1116" spans="1:12" x14ac:dyDescent="0.25">
      <c r="A1116" t="s">
        <v>26</v>
      </c>
      <c r="B1116">
        <v>1128299</v>
      </c>
      <c r="C1116" s="1">
        <v>44244</v>
      </c>
      <c r="D1116" t="s">
        <v>32</v>
      </c>
      <c r="E1116" t="s">
        <v>33</v>
      </c>
      <c r="F1116" t="s">
        <v>34</v>
      </c>
      <c r="G1116" t="s">
        <v>15</v>
      </c>
      <c r="H1116" t="s">
        <v>22</v>
      </c>
      <c r="I1116" s="3">
        <v>44</v>
      </c>
      <c r="J1116" s="2">
        <v>62</v>
      </c>
      <c r="K1116" s="3">
        <f t="shared" si="17"/>
        <v>2728</v>
      </c>
      <c r="L1116" s="3">
        <v>2073.2799999999997</v>
      </c>
    </row>
    <row r="1117" spans="1:12" x14ac:dyDescent="0.25">
      <c r="A1117" t="s">
        <v>26</v>
      </c>
      <c r="B1117">
        <v>1128299</v>
      </c>
      <c r="C1117" s="1">
        <v>44244</v>
      </c>
      <c r="D1117" t="s">
        <v>32</v>
      </c>
      <c r="E1117" t="s">
        <v>33</v>
      </c>
      <c r="F1117" t="s">
        <v>34</v>
      </c>
      <c r="G1117" t="s">
        <v>41</v>
      </c>
      <c r="H1117" t="s">
        <v>22</v>
      </c>
      <c r="I1117" s="3">
        <v>52</v>
      </c>
      <c r="J1117" s="2">
        <v>60</v>
      </c>
      <c r="K1117" s="3">
        <f t="shared" si="17"/>
        <v>3120</v>
      </c>
      <c r="L1117" s="3">
        <v>2121.6</v>
      </c>
    </row>
    <row r="1118" spans="1:12" x14ac:dyDescent="0.25">
      <c r="A1118" t="s">
        <v>26</v>
      </c>
      <c r="B1118">
        <v>1128299</v>
      </c>
      <c r="C1118" s="1">
        <v>44244</v>
      </c>
      <c r="D1118" t="s">
        <v>12</v>
      </c>
      <c r="E1118" t="s">
        <v>20</v>
      </c>
      <c r="F1118" t="s">
        <v>21</v>
      </c>
      <c r="G1118" t="s">
        <v>41</v>
      </c>
      <c r="H1118" t="s">
        <v>17</v>
      </c>
      <c r="I1118" s="3">
        <v>49</v>
      </c>
      <c r="J1118" s="2">
        <v>111</v>
      </c>
      <c r="K1118" s="3">
        <f t="shared" si="17"/>
        <v>5439</v>
      </c>
      <c r="L1118" s="3">
        <v>3535.3500000000004</v>
      </c>
    </row>
    <row r="1119" spans="1:12" x14ac:dyDescent="0.25">
      <c r="A1119" t="s">
        <v>26</v>
      </c>
      <c r="B1119">
        <v>1185732</v>
      </c>
      <c r="C1119" s="1">
        <v>44244</v>
      </c>
      <c r="D1119" t="s">
        <v>32</v>
      </c>
      <c r="E1119" t="s">
        <v>82</v>
      </c>
      <c r="F1119" t="s">
        <v>83</v>
      </c>
      <c r="G1119" t="s">
        <v>15</v>
      </c>
      <c r="H1119" t="s">
        <v>35</v>
      </c>
      <c r="I1119" s="3">
        <v>17</v>
      </c>
      <c r="J1119" s="2">
        <v>170</v>
      </c>
      <c r="K1119" s="3">
        <f t="shared" si="17"/>
        <v>2890</v>
      </c>
      <c r="L1119" s="3">
        <v>1849.6000000000001</v>
      </c>
    </row>
    <row r="1120" spans="1:12" x14ac:dyDescent="0.25">
      <c r="A1120" t="s">
        <v>26</v>
      </c>
      <c r="B1120">
        <v>1128299</v>
      </c>
      <c r="C1120" s="1">
        <v>44244</v>
      </c>
      <c r="D1120" t="s">
        <v>32</v>
      </c>
      <c r="E1120" t="s">
        <v>33</v>
      </c>
      <c r="F1120" t="s">
        <v>34</v>
      </c>
      <c r="G1120" t="s">
        <v>15</v>
      </c>
      <c r="H1120" t="s">
        <v>37</v>
      </c>
      <c r="I1120" s="3">
        <v>36</v>
      </c>
      <c r="J1120" s="2">
        <v>94</v>
      </c>
      <c r="K1120" s="3">
        <f t="shared" si="17"/>
        <v>3384</v>
      </c>
      <c r="L1120" s="3">
        <v>2131.92</v>
      </c>
    </row>
    <row r="1121" spans="1:12" x14ac:dyDescent="0.25">
      <c r="A1121" t="s">
        <v>11</v>
      </c>
      <c r="B1121">
        <v>1128299</v>
      </c>
      <c r="C1121" s="1">
        <v>44244</v>
      </c>
      <c r="D1121" t="s">
        <v>52</v>
      </c>
      <c r="E1121" t="s">
        <v>64</v>
      </c>
      <c r="F1121" t="s">
        <v>65</v>
      </c>
      <c r="G1121" t="s">
        <v>15</v>
      </c>
      <c r="H1121" t="s">
        <v>16</v>
      </c>
      <c r="I1121" s="3">
        <v>32</v>
      </c>
      <c r="J1121" s="2">
        <v>131</v>
      </c>
      <c r="K1121" s="3">
        <f t="shared" si="17"/>
        <v>4192</v>
      </c>
      <c r="L1121" s="3">
        <v>2640.96</v>
      </c>
    </row>
    <row r="1122" spans="1:12" x14ac:dyDescent="0.25">
      <c r="A1122" t="s">
        <v>26</v>
      </c>
      <c r="B1122">
        <v>1128299</v>
      </c>
      <c r="C1122" s="1">
        <v>44244</v>
      </c>
      <c r="D1122" t="s">
        <v>12</v>
      </c>
      <c r="E1122" t="s">
        <v>20</v>
      </c>
      <c r="F1122" t="s">
        <v>21</v>
      </c>
      <c r="G1122" t="s">
        <v>41</v>
      </c>
      <c r="H1122" t="s">
        <v>35</v>
      </c>
      <c r="I1122" s="3">
        <v>49</v>
      </c>
      <c r="J1122" s="2">
        <v>111</v>
      </c>
      <c r="K1122" s="3">
        <f t="shared" si="17"/>
        <v>5439</v>
      </c>
      <c r="L1122" s="3">
        <v>3263.4</v>
      </c>
    </row>
    <row r="1123" spans="1:12" x14ac:dyDescent="0.25">
      <c r="A1123" t="s">
        <v>26</v>
      </c>
      <c r="B1123">
        <v>1128299</v>
      </c>
      <c r="C1123" s="1">
        <v>44244</v>
      </c>
      <c r="D1123" t="s">
        <v>12</v>
      </c>
      <c r="E1123" t="s">
        <v>20</v>
      </c>
      <c r="F1123" t="s">
        <v>21</v>
      </c>
      <c r="G1123" t="s">
        <v>41</v>
      </c>
      <c r="H1123" t="s">
        <v>38</v>
      </c>
      <c r="I1123" s="3">
        <v>36</v>
      </c>
      <c r="J1123" s="2">
        <v>137</v>
      </c>
      <c r="K1123" s="3">
        <f t="shared" si="17"/>
        <v>4932</v>
      </c>
      <c r="L1123" s="3">
        <v>2860.56</v>
      </c>
    </row>
    <row r="1124" spans="1:12" x14ac:dyDescent="0.25">
      <c r="A1124" t="s">
        <v>11</v>
      </c>
      <c r="B1124">
        <v>1128299</v>
      </c>
      <c r="C1124" s="1">
        <v>44244</v>
      </c>
      <c r="D1124" t="s">
        <v>12</v>
      </c>
      <c r="E1124" t="s">
        <v>84</v>
      </c>
      <c r="F1124" t="s">
        <v>31</v>
      </c>
      <c r="G1124" t="s">
        <v>15</v>
      </c>
      <c r="H1124" t="s">
        <v>35</v>
      </c>
      <c r="I1124" s="3">
        <v>34</v>
      </c>
      <c r="J1124" s="2">
        <v>132</v>
      </c>
      <c r="K1124" s="3">
        <f t="shared" si="17"/>
        <v>4488</v>
      </c>
      <c r="L1124" s="3">
        <v>2558.1600000000003</v>
      </c>
    </row>
    <row r="1125" spans="1:12" x14ac:dyDescent="0.25">
      <c r="A1125" t="s">
        <v>26</v>
      </c>
      <c r="B1125">
        <v>1185732</v>
      </c>
      <c r="C1125" s="1">
        <v>44244</v>
      </c>
      <c r="D1125" t="s">
        <v>32</v>
      </c>
      <c r="E1125" t="s">
        <v>82</v>
      </c>
      <c r="F1125" t="s">
        <v>83</v>
      </c>
      <c r="G1125" t="s">
        <v>41</v>
      </c>
      <c r="H1125" t="s">
        <v>35</v>
      </c>
      <c r="I1125" s="3">
        <v>23</v>
      </c>
      <c r="J1125" s="2">
        <v>150</v>
      </c>
      <c r="K1125" s="3">
        <f t="shared" si="17"/>
        <v>3450</v>
      </c>
      <c r="L1125" s="3">
        <v>1966.5</v>
      </c>
    </row>
    <row r="1126" spans="1:12" x14ac:dyDescent="0.25">
      <c r="A1126" t="s">
        <v>11</v>
      </c>
      <c r="B1126">
        <v>1128299</v>
      </c>
      <c r="C1126" s="1">
        <v>44244</v>
      </c>
      <c r="D1126" t="s">
        <v>12</v>
      </c>
      <c r="E1126" t="s">
        <v>84</v>
      </c>
      <c r="F1126" t="s">
        <v>31</v>
      </c>
      <c r="G1126" t="s">
        <v>15</v>
      </c>
      <c r="H1126" t="s">
        <v>17</v>
      </c>
      <c r="I1126" s="3">
        <v>31</v>
      </c>
      <c r="J1126" s="2">
        <v>124</v>
      </c>
      <c r="K1126" s="3">
        <f t="shared" si="17"/>
        <v>3844</v>
      </c>
      <c r="L1126" s="3">
        <v>2191.08</v>
      </c>
    </row>
    <row r="1127" spans="1:12" x14ac:dyDescent="0.25">
      <c r="A1127" t="s">
        <v>27</v>
      </c>
      <c r="B1127">
        <v>1189833</v>
      </c>
      <c r="C1127" s="1">
        <v>44244</v>
      </c>
      <c r="D1127" t="s">
        <v>12</v>
      </c>
      <c r="E1127" t="s">
        <v>13</v>
      </c>
      <c r="F1127" t="s">
        <v>14</v>
      </c>
      <c r="G1127" t="s">
        <v>15</v>
      </c>
      <c r="H1127" t="s">
        <v>38</v>
      </c>
      <c r="I1127" s="3">
        <v>26</v>
      </c>
      <c r="J1127" s="2">
        <v>224</v>
      </c>
      <c r="K1127" s="3">
        <f t="shared" si="17"/>
        <v>5824</v>
      </c>
      <c r="L1127" s="3">
        <v>3319.68</v>
      </c>
    </row>
    <row r="1128" spans="1:12" x14ac:dyDescent="0.25">
      <c r="A1128" t="s">
        <v>26</v>
      </c>
      <c r="B1128">
        <v>1128299</v>
      </c>
      <c r="C1128" s="1">
        <v>44244</v>
      </c>
      <c r="D1128" t="s">
        <v>32</v>
      </c>
      <c r="E1128" t="s">
        <v>33</v>
      </c>
      <c r="F1128" t="s">
        <v>34</v>
      </c>
      <c r="G1128" t="s">
        <v>41</v>
      </c>
      <c r="H1128" t="s">
        <v>37</v>
      </c>
      <c r="I1128" s="3">
        <v>45</v>
      </c>
      <c r="J1128" s="2">
        <v>74</v>
      </c>
      <c r="K1128" s="3">
        <f t="shared" si="17"/>
        <v>3330</v>
      </c>
      <c r="L1128" s="3">
        <v>1864.8</v>
      </c>
    </row>
    <row r="1129" spans="1:12" x14ac:dyDescent="0.25">
      <c r="A1129" t="s">
        <v>26</v>
      </c>
      <c r="B1129">
        <v>1185732</v>
      </c>
      <c r="C1129" s="1">
        <v>44244</v>
      </c>
      <c r="D1129" t="s">
        <v>32</v>
      </c>
      <c r="E1129" t="s">
        <v>82</v>
      </c>
      <c r="F1129" t="s">
        <v>83</v>
      </c>
      <c r="G1129" t="s">
        <v>15</v>
      </c>
      <c r="H1129" t="s">
        <v>17</v>
      </c>
      <c r="I1129" s="3">
        <v>27</v>
      </c>
      <c r="J1129" s="2">
        <v>153</v>
      </c>
      <c r="K1129" s="3">
        <f t="shared" si="17"/>
        <v>4131</v>
      </c>
      <c r="L1129" s="3">
        <v>2272.0500000000002</v>
      </c>
    </row>
    <row r="1130" spans="1:12" x14ac:dyDescent="0.25">
      <c r="A1130" t="s">
        <v>11</v>
      </c>
      <c r="B1130">
        <v>1128299</v>
      </c>
      <c r="C1130" s="1">
        <v>44244</v>
      </c>
      <c r="D1130" t="s">
        <v>12</v>
      </c>
      <c r="E1130" t="s">
        <v>84</v>
      </c>
      <c r="F1130" t="s">
        <v>31</v>
      </c>
      <c r="G1130" t="s">
        <v>15</v>
      </c>
      <c r="H1130" t="s">
        <v>38</v>
      </c>
      <c r="I1130" s="3">
        <v>24</v>
      </c>
      <c r="J1130" s="2">
        <v>175</v>
      </c>
      <c r="K1130" s="3">
        <f t="shared" si="17"/>
        <v>4200</v>
      </c>
      <c r="L1130" s="3">
        <v>2310</v>
      </c>
    </row>
    <row r="1131" spans="1:12" x14ac:dyDescent="0.25">
      <c r="A1131" t="s">
        <v>11</v>
      </c>
      <c r="B1131">
        <v>1128299</v>
      </c>
      <c r="C1131" s="1">
        <v>44244</v>
      </c>
      <c r="D1131" t="s">
        <v>52</v>
      </c>
      <c r="E1131" t="s">
        <v>64</v>
      </c>
      <c r="F1131" t="s">
        <v>65</v>
      </c>
      <c r="G1131" t="s">
        <v>15</v>
      </c>
      <c r="H1131" t="s">
        <v>37</v>
      </c>
      <c r="I1131" s="3">
        <v>33</v>
      </c>
      <c r="J1131" s="2">
        <v>75</v>
      </c>
      <c r="K1131" s="3">
        <f t="shared" si="17"/>
        <v>2475</v>
      </c>
      <c r="L1131" s="3">
        <v>1311.75</v>
      </c>
    </row>
    <row r="1132" spans="1:12" x14ac:dyDescent="0.25">
      <c r="A1132" t="s">
        <v>11</v>
      </c>
      <c r="B1132">
        <v>1128299</v>
      </c>
      <c r="C1132" s="1">
        <v>44244</v>
      </c>
      <c r="D1132" t="s">
        <v>52</v>
      </c>
      <c r="E1132" t="s">
        <v>64</v>
      </c>
      <c r="F1132" t="s">
        <v>65</v>
      </c>
      <c r="G1132" t="s">
        <v>15</v>
      </c>
      <c r="H1132" t="s">
        <v>22</v>
      </c>
      <c r="I1132" s="3">
        <v>33</v>
      </c>
      <c r="J1132" s="2">
        <v>53</v>
      </c>
      <c r="K1132" s="3">
        <f t="shared" si="17"/>
        <v>1749</v>
      </c>
      <c r="L1132" s="3">
        <v>926.96999999999991</v>
      </c>
    </row>
    <row r="1133" spans="1:12" x14ac:dyDescent="0.25">
      <c r="A1133" t="s">
        <v>11</v>
      </c>
      <c r="B1133">
        <v>1128299</v>
      </c>
      <c r="C1133" s="1">
        <v>44244</v>
      </c>
      <c r="D1133" t="s">
        <v>52</v>
      </c>
      <c r="E1133" t="s">
        <v>64</v>
      </c>
      <c r="F1133" t="s">
        <v>65</v>
      </c>
      <c r="G1133" t="s">
        <v>41</v>
      </c>
      <c r="H1133" t="s">
        <v>16</v>
      </c>
      <c r="I1133" s="3">
        <v>44</v>
      </c>
      <c r="J1133" s="2">
        <v>105</v>
      </c>
      <c r="K1133" s="3">
        <f t="shared" si="17"/>
        <v>4620</v>
      </c>
      <c r="L1133" s="3">
        <v>2402.4</v>
      </c>
    </row>
    <row r="1134" spans="1:12" x14ac:dyDescent="0.25">
      <c r="A1134" t="s">
        <v>26</v>
      </c>
      <c r="B1134">
        <v>1185732</v>
      </c>
      <c r="C1134" s="1">
        <v>44244</v>
      </c>
      <c r="D1134" t="s">
        <v>57</v>
      </c>
      <c r="E1134" t="s">
        <v>70</v>
      </c>
      <c r="F1134" t="s">
        <v>71</v>
      </c>
      <c r="G1134" t="s">
        <v>41</v>
      </c>
      <c r="H1134" t="s">
        <v>37</v>
      </c>
      <c r="I1134" s="3">
        <v>28</v>
      </c>
      <c r="J1134" s="2">
        <v>109</v>
      </c>
      <c r="K1134" s="3">
        <f t="shared" si="17"/>
        <v>3052</v>
      </c>
      <c r="L1134" s="3">
        <v>1556.52</v>
      </c>
    </row>
    <row r="1135" spans="1:12" x14ac:dyDescent="0.25">
      <c r="A1135" t="s">
        <v>27</v>
      </c>
      <c r="B1135">
        <v>1189833</v>
      </c>
      <c r="C1135" s="1">
        <v>44244</v>
      </c>
      <c r="D1135" t="s">
        <v>12</v>
      </c>
      <c r="E1135" t="s">
        <v>13</v>
      </c>
      <c r="F1135" t="s">
        <v>14</v>
      </c>
      <c r="G1135" t="s">
        <v>41</v>
      </c>
      <c r="H1135" t="s">
        <v>38</v>
      </c>
      <c r="I1135" s="3">
        <v>32</v>
      </c>
      <c r="J1135" s="2">
        <v>203</v>
      </c>
      <c r="K1135" s="3">
        <f t="shared" si="17"/>
        <v>6496</v>
      </c>
      <c r="L1135" s="3">
        <v>3183.04</v>
      </c>
    </row>
    <row r="1136" spans="1:12" x14ac:dyDescent="0.25">
      <c r="A1136" t="s">
        <v>11</v>
      </c>
      <c r="B1136">
        <v>1128299</v>
      </c>
      <c r="C1136" s="1">
        <v>44244</v>
      </c>
      <c r="D1136" t="s">
        <v>12</v>
      </c>
      <c r="E1136" t="s">
        <v>84</v>
      </c>
      <c r="F1136" t="s">
        <v>31</v>
      </c>
      <c r="G1136" t="s">
        <v>41</v>
      </c>
      <c r="H1136" t="s">
        <v>17</v>
      </c>
      <c r="I1136" s="3">
        <v>41</v>
      </c>
      <c r="J1136" s="2">
        <v>116</v>
      </c>
      <c r="K1136" s="3">
        <f t="shared" si="17"/>
        <v>4756</v>
      </c>
      <c r="L1136" s="3">
        <v>2330.44</v>
      </c>
    </row>
    <row r="1137" spans="1:12" x14ac:dyDescent="0.25">
      <c r="A1137" t="s">
        <v>11</v>
      </c>
      <c r="B1137">
        <v>1185732</v>
      </c>
      <c r="C1137" s="1">
        <v>44244</v>
      </c>
      <c r="D1137" t="s">
        <v>57</v>
      </c>
      <c r="E1137" t="s">
        <v>103</v>
      </c>
      <c r="F1137" t="s">
        <v>104</v>
      </c>
      <c r="G1137" t="s">
        <v>41</v>
      </c>
      <c r="H1137" t="s">
        <v>35</v>
      </c>
      <c r="I1137" s="3">
        <v>27</v>
      </c>
      <c r="J1137" s="2">
        <v>75</v>
      </c>
      <c r="K1137" s="3">
        <f t="shared" si="17"/>
        <v>2025</v>
      </c>
      <c r="L1137" s="3">
        <v>992.25</v>
      </c>
    </row>
    <row r="1138" spans="1:12" x14ac:dyDescent="0.25">
      <c r="A1138" t="s">
        <v>26</v>
      </c>
      <c r="B1138">
        <v>1128299</v>
      </c>
      <c r="C1138" s="1">
        <v>44244</v>
      </c>
      <c r="D1138" t="s">
        <v>32</v>
      </c>
      <c r="E1138" t="s">
        <v>33</v>
      </c>
      <c r="F1138" t="s">
        <v>34</v>
      </c>
      <c r="G1138" t="s">
        <v>15</v>
      </c>
      <c r="H1138" t="s">
        <v>16</v>
      </c>
      <c r="I1138" s="3">
        <v>33</v>
      </c>
      <c r="J1138" s="2">
        <v>124</v>
      </c>
      <c r="K1138" s="3">
        <f t="shared" si="17"/>
        <v>4092</v>
      </c>
      <c r="L1138" s="3">
        <v>2005.08</v>
      </c>
    </row>
    <row r="1139" spans="1:12" x14ac:dyDescent="0.25">
      <c r="A1139" t="s">
        <v>26</v>
      </c>
      <c r="B1139">
        <v>1185732</v>
      </c>
      <c r="C1139" s="1">
        <v>44244</v>
      </c>
      <c r="D1139" t="s">
        <v>32</v>
      </c>
      <c r="E1139" t="s">
        <v>82</v>
      </c>
      <c r="F1139" t="s">
        <v>83</v>
      </c>
      <c r="G1139" t="s">
        <v>41</v>
      </c>
      <c r="H1139" t="s">
        <v>17</v>
      </c>
      <c r="I1139" s="3">
        <v>33</v>
      </c>
      <c r="J1139" s="2">
        <v>117</v>
      </c>
      <c r="K1139" s="3">
        <f t="shared" si="17"/>
        <v>3861</v>
      </c>
      <c r="L1139" s="3">
        <v>1853.28</v>
      </c>
    </row>
    <row r="1140" spans="1:12" x14ac:dyDescent="0.25">
      <c r="A1140" t="s">
        <v>11</v>
      </c>
      <c r="B1140">
        <v>1128299</v>
      </c>
      <c r="C1140" s="1">
        <v>44244</v>
      </c>
      <c r="D1140" t="s">
        <v>12</v>
      </c>
      <c r="E1140" t="s">
        <v>84</v>
      </c>
      <c r="F1140" t="s">
        <v>31</v>
      </c>
      <c r="G1140" t="s">
        <v>41</v>
      </c>
      <c r="H1140" t="s">
        <v>35</v>
      </c>
      <c r="I1140" s="3">
        <v>41</v>
      </c>
      <c r="J1140" s="2">
        <v>120</v>
      </c>
      <c r="K1140" s="3">
        <f t="shared" si="17"/>
        <v>4920</v>
      </c>
      <c r="L1140" s="3">
        <v>2361.6</v>
      </c>
    </row>
    <row r="1141" spans="1:12" x14ac:dyDescent="0.25">
      <c r="A1141" t="s">
        <v>11</v>
      </c>
      <c r="B1141">
        <v>1128299</v>
      </c>
      <c r="C1141" s="1">
        <v>44244</v>
      </c>
      <c r="D1141" t="s">
        <v>12</v>
      </c>
      <c r="E1141" t="s">
        <v>84</v>
      </c>
      <c r="F1141" t="s">
        <v>31</v>
      </c>
      <c r="G1141" t="s">
        <v>41</v>
      </c>
      <c r="H1141" t="s">
        <v>38</v>
      </c>
      <c r="I1141" s="3">
        <v>33</v>
      </c>
      <c r="J1141" s="2">
        <v>140</v>
      </c>
      <c r="K1141" s="3">
        <f t="shared" si="17"/>
        <v>4620</v>
      </c>
      <c r="L1141" s="3">
        <v>2171.4</v>
      </c>
    </row>
    <row r="1142" spans="1:12" x14ac:dyDescent="0.25">
      <c r="A1142" t="s">
        <v>11</v>
      </c>
      <c r="B1142">
        <v>1185732</v>
      </c>
      <c r="C1142" s="1">
        <v>44244</v>
      </c>
      <c r="D1142" t="s">
        <v>29</v>
      </c>
      <c r="E1142" t="s">
        <v>105</v>
      </c>
      <c r="F1142" t="s">
        <v>47</v>
      </c>
      <c r="G1142" t="s">
        <v>41</v>
      </c>
      <c r="H1142" t="s">
        <v>37</v>
      </c>
      <c r="I1142" s="3">
        <v>34</v>
      </c>
      <c r="J1142" s="2">
        <v>49</v>
      </c>
      <c r="K1142" s="3">
        <f t="shared" si="17"/>
        <v>1666</v>
      </c>
      <c r="L1142" s="3">
        <v>783.02</v>
      </c>
    </row>
    <row r="1143" spans="1:12" x14ac:dyDescent="0.25">
      <c r="A1143" t="s">
        <v>11</v>
      </c>
      <c r="B1143">
        <v>1185732</v>
      </c>
      <c r="C1143" s="1">
        <v>44244</v>
      </c>
      <c r="D1143" t="s">
        <v>29</v>
      </c>
      <c r="E1143" t="s">
        <v>105</v>
      </c>
      <c r="F1143" t="s">
        <v>47</v>
      </c>
      <c r="G1143" t="s">
        <v>41</v>
      </c>
      <c r="H1143" t="s">
        <v>22</v>
      </c>
      <c r="I1143" s="3">
        <v>48</v>
      </c>
      <c r="J1143" s="2">
        <v>65</v>
      </c>
      <c r="K1143" s="3">
        <f t="shared" si="17"/>
        <v>3120</v>
      </c>
      <c r="L1143" s="3">
        <v>1466.3999999999999</v>
      </c>
    </row>
    <row r="1144" spans="1:12" x14ac:dyDescent="0.25">
      <c r="A1144" t="s">
        <v>11</v>
      </c>
      <c r="B1144">
        <v>1185732</v>
      </c>
      <c r="C1144" s="1">
        <v>44244</v>
      </c>
      <c r="D1144" t="s">
        <v>57</v>
      </c>
      <c r="E1144" t="s">
        <v>103</v>
      </c>
      <c r="F1144" t="s">
        <v>104</v>
      </c>
      <c r="G1144" t="s">
        <v>41</v>
      </c>
      <c r="H1144" t="s">
        <v>38</v>
      </c>
      <c r="I1144" s="3">
        <v>33</v>
      </c>
      <c r="J1144" s="2">
        <v>149</v>
      </c>
      <c r="K1144" s="3">
        <f t="shared" si="17"/>
        <v>4917</v>
      </c>
      <c r="L1144" s="3">
        <v>2261.8199999999997</v>
      </c>
    </row>
    <row r="1145" spans="1:12" x14ac:dyDescent="0.25">
      <c r="A1145" t="s">
        <v>11</v>
      </c>
      <c r="B1145">
        <v>1185732</v>
      </c>
      <c r="C1145" s="1">
        <v>44244</v>
      </c>
      <c r="D1145" t="s">
        <v>29</v>
      </c>
      <c r="E1145" t="s">
        <v>105</v>
      </c>
      <c r="F1145" t="s">
        <v>47</v>
      </c>
      <c r="G1145" t="s">
        <v>41</v>
      </c>
      <c r="H1145" t="s">
        <v>16</v>
      </c>
      <c r="I1145" s="3">
        <v>24</v>
      </c>
      <c r="J1145" s="2">
        <v>105</v>
      </c>
      <c r="K1145" s="3">
        <f t="shared" si="17"/>
        <v>2520</v>
      </c>
      <c r="L1145" s="3">
        <v>1159.1999999999998</v>
      </c>
    </row>
    <row r="1146" spans="1:12" x14ac:dyDescent="0.25">
      <c r="A1146" t="s">
        <v>27</v>
      </c>
      <c r="B1146">
        <v>1189833</v>
      </c>
      <c r="C1146" s="1">
        <v>44244</v>
      </c>
      <c r="D1146" t="s">
        <v>57</v>
      </c>
      <c r="E1146" t="s">
        <v>58</v>
      </c>
      <c r="F1146" t="s">
        <v>59</v>
      </c>
      <c r="G1146" t="s">
        <v>41</v>
      </c>
      <c r="H1146" t="s">
        <v>37</v>
      </c>
      <c r="I1146" s="3">
        <v>41</v>
      </c>
      <c r="J1146" s="2">
        <v>116</v>
      </c>
      <c r="K1146" s="3">
        <f t="shared" si="17"/>
        <v>4756</v>
      </c>
      <c r="L1146" s="3">
        <v>2140.2000000000003</v>
      </c>
    </row>
    <row r="1147" spans="1:12" x14ac:dyDescent="0.25">
      <c r="A1147" t="s">
        <v>26</v>
      </c>
      <c r="B1147">
        <v>1185732</v>
      </c>
      <c r="C1147" s="1">
        <v>44244</v>
      </c>
      <c r="D1147" t="s">
        <v>57</v>
      </c>
      <c r="E1147" t="s">
        <v>70</v>
      </c>
      <c r="F1147" t="s">
        <v>71</v>
      </c>
      <c r="G1147" t="s">
        <v>41</v>
      </c>
      <c r="H1147" t="s">
        <v>22</v>
      </c>
      <c r="I1147" s="3">
        <v>41</v>
      </c>
      <c r="J1147" s="2">
        <v>126</v>
      </c>
      <c r="K1147" s="3">
        <f t="shared" si="17"/>
        <v>5166</v>
      </c>
      <c r="L1147" s="3">
        <v>2324.7000000000003</v>
      </c>
    </row>
    <row r="1148" spans="1:12" x14ac:dyDescent="0.25">
      <c r="A1148" t="s">
        <v>11</v>
      </c>
      <c r="B1148">
        <v>1128299</v>
      </c>
      <c r="C1148" s="1">
        <v>44244</v>
      </c>
      <c r="D1148" t="s">
        <v>52</v>
      </c>
      <c r="E1148" t="s">
        <v>64</v>
      </c>
      <c r="F1148" t="s">
        <v>65</v>
      </c>
      <c r="G1148" t="s">
        <v>41</v>
      </c>
      <c r="H1148" t="s">
        <v>37</v>
      </c>
      <c r="I1148" s="3">
        <v>44</v>
      </c>
      <c r="J1148" s="2">
        <v>73</v>
      </c>
      <c r="K1148" s="3">
        <f t="shared" si="17"/>
        <v>3212</v>
      </c>
      <c r="L1148" s="3">
        <v>1445.4000000000003</v>
      </c>
    </row>
    <row r="1149" spans="1:12" x14ac:dyDescent="0.25">
      <c r="A1149" t="s">
        <v>11</v>
      </c>
      <c r="B1149">
        <v>1185732</v>
      </c>
      <c r="C1149" s="1">
        <v>44244</v>
      </c>
      <c r="D1149" t="s">
        <v>57</v>
      </c>
      <c r="E1149" t="s">
        <v>103</v>
      </c>
      <c r="F1149" t="s">
        <v>104</v>
      </c>
      <c r="G1149" t="s">
        <v>41</v>
      </c>
      <c r="H1149" t="s">
        <v>17</v>
      </c>
      <c r="I1149" s="3">
        <v>38</v>
      </c>
      <c r="J1149" s="2">
        <v>50</v>
      </c>
      <c r="K1149" s="3">
        <f t="shared" si="17"/>
        <v>1900</v>
      </c>
      <c r="L1149" s="3">
        <v>855</v>
      </c>
    </row>
    <row r="1150" spans="1:12" x14ac:dyDescent="0.25">
      <c r="A1150" t="s">
        <v>26</v>
      </c>
      <c r="B1150">
        <v>1185732</v>
      </c>
      <c r="C1150" s="1">
        <v>44244</v>
      </c>
      <c r="D1150" t="s">
        <v>32</v>
      </c>
      <c r="E1150" t="s">
        <v>82</v>
      </c>
      <c r="F1150" t="s">
        <v>83</v>
      </c>
      <c r="G1150" t="s">
        <v>15</v>
      </c>
      <c r="H1150" t="s">
        <v>38</v>
      </c>
      <c r="I1150" s="3">
        <v>26</v>
      </c>
      <c r="J1150" s="2">
        <v>256</v>
      </c>
      <c r="K1150" s="3">
        <f t="shared" si="17"/>
        <v>6656</v>
      </c>
      <c r="L1150" s="3">
        <v>2995.2</v>
      </c>
    </row>
    <row r="1151" spans="1:12" x14ac:dyDescent="0.25">
      <c r="A1151" t="s">
        <v>26</v>
      </c>
      <c r="B1151">
        <v>1128299</v>
      </c>
      <c r="C1151" s="1">
        <v>44244</v>
      </c>
      <c r="D1151" t="s">
        <v>32</v>
      </c>
      <c r="E1151" t="s">
        <v>33</v>
      </c>
      <c r="F1151" t="s">
        <v>34</v>
      </c>
      <c r="G1151" t="s">
        <v>41</v>
      </c>
      <c r="H1151" t="s">
        <v>16</v>
      </c>
      <c r="I1151" s="3">
        <v>47</v>
      </c>
      <c r="J1151" s="2">
        <v>108</v>
      </c>
      <c r="K1151" s="3">
        <f t="shared" si="17"/>
        <v>5076</v>
      </c>
      <c r="L1151" s="3">
        <v>2131.9199999999996</v>
      </c>
    </row>
    <row r="1152" spans="1:12" x14ac:dyDescent="0.25">
      <c r="A1152" t="s">
        <v>11</v>
      </c>
      <c r="B1152">
        <v>1128299</v>
      </c>
      <c r="C1152" s="1">
        <v>44244</v>
      </c>
      <c r="D1152" t="s">
        <v>52</v>
      </c>
      <c r="E1152" t="s">
        <v>64</v>
      </c>
      <c r="F1152" t="s">
        <v>65</v>
      </c>
      <c r="G1152" t="s">
        <v>41</v>
      </c>
      <c r="H1152" t="s">
        <v>22</v>
      </c>
      <c r="I1152" s="3">
        <v>48</v>
      </c>
      <c r="J1152" s="2">
        <v>51</v>
      </c>
      <c r="K1152" s="3">
        <f t="shared" si="17"/>
        <v>2448</v>
      </c>
      <c r="L1152" s="3">
        <v>979.2</v>
      </c>
    </row>
    <row r="1153" spans="1:12" x14ac:dyDescent="0.25">
      <c r="A1153" t="s">
        <v>26</v>
      </c>
      <c r="B1153">
        <v>1185732</v>
      </c>
      <c r="C1153" s="1">
        <v>44244</v>
      </c>
      <c r="D1153" t="s">
        <v>32</v>
      </c>
      <c r="E1153" t="s">
        <v>82</v>
      </c>
      <c r="F1153" t="s">
        <v>83</v>
      </c>
      <c r="G1153" t="s">
        <v>41</v>
      </c>
      <c r="H1153" t="s">
        <v>38</v>
      </c>
      <c r="I1153" s="3">
        <v>34</v>
      </c>
      <c r="J1153" s="2">
        <v>200</v>
      </c>
      <c r="K1153" s="3">
        <f t="shared" si="17"/>
        <v>6800</v>
      </c>
      <c r="L1153" s="3">
        <v>2516</v>
      </c>
    </row>
    <row r="1154" spans="1:12" x14ac:dyDescent="0.25">
      <c r="A1154" t="s">
        <v>26</v>
      </c>
      <c r="B1154">
        <v>1185732</v>
      </c>
      <c r="C1154" s="1">
        <v>44244</v>
      </c>
      <c r="D1154" t="s">
        <v>57</v>
      </c>
      <c r="E1154" t="s">
        <v>70</v>
      </c>
      <c r="F1154" t="s">
        <v>71</v>
      </c>
      <c r="G1154" t="s">
        <v>41</v>
      </c>
      <c r="H1154" t="s">
        <v>16</v>
      </c>
      <c r="I1154" s="3">
        <v>33</v>
      </c>
      <c r="J1154" s="2">
        <v>138</v>
      </c>
      <c r="K1154" s="3">
        <f t="shared" si="17"/>
        <v>4554</v>
      </c>
      <c r="L1154" s="3">
        <v>1502.8199999999997</v>
      </c>
    </row>
    <row r="1155" spans="1:12" x14ac:dyDescent="0.25">
      <c r="A1155" t="s">
        <v>27</v>
      </c>
      <c r="B1155">
        <v>1189833</v>
      </c>
      <c r="C1155" s="1">
        <v>44245</v>
      </c>
      <c r="D1155" t="s">
        <v>12</v>
      </c>
      <c r="E1155" t="s">
        <v>13</v>
      </c>
      <c r="F1155" t="s">
        <v>14</v>
      </c>
      <c r="G1155" t="s">
        <v>15</v>
      </c>
      <c r="H1155" t="s">
        <v>17</v>
      </c>
      <c r="I1155" s="3">
        <v>45</v>
      </c>
      <c r="J1155" s="2">
        <v>700</v>
      </c>
      <c r="K1155" s="3">
        <f t="shared" ref="K1155:K1218" si="18">I1155*J1155</f>
        <v>31500</v>
      </c>
      <c r="L1155" s="3">
        <v>23625</v>
      </c>
    </row>
    <row r="1156" spans="1:12" x14ac:dyDescent="0.25">
      <c r="A1156" t="s">
        <v>19</v>
      </c>
      <c r="B1156">
        <v>1185732</v>
      </c>
      <c r="C1156" s="1">
        <v>44245</v>
      </c>
      <c r="D1156" t="s">
        <v>57</v>
      </c>
      <c r="E1156" t="s">
        <v>70</v>
      </c>
      <c r="F1156" t="s">
        <v>71</v>
      </c>
      <c r="G1156" t="s">
        <v>18</v>
      </c>
      <c r="H1156" t="s">
        <v>17</v>
      </c>
      <c r="I1156" s="3">
        <v>30</v>
      </c>
      <c r="J1156" s="2">
        <v>325</v>
      </c>
      <c r="K1156" s="3">
        <f t="shared" si="18"/>
        <v>9750</v>
      </c>
      <c r="L1156" s="3">
        <v>6337.5</v>
      </c>
    </row>
    <row r="1157" spans="1:12" x14ac:dyDescent="0.25">
      <c r="A1157" t="s">
        <v>19</v>
      </c>
      <c r="B1157">
        <v>1185732</v>
      </c>
      <c r="C1157" s="1">
        <v>44245</v>
      </c>
      <c r="D1157" t="s">
        <v>57</v>
      </c>
      <c r="E1157" t="s">
        <v>70</v>
      </c>
      <c r="F1157" t="s">
        <v>71</v>
      </c>
      <c r="G1157" t="s">
        <v>18</v>
      </c>
      <c r="H1157" t="s">
        <v>35</v>
      </c>
      <c r="I1157" s="3">
        <v>20</v>
      </c>
      <c r="J1157" s="2">
        <v>375</v>
      </c>
      <c r="K1157" s="3">
        <f t="shared" si="18"/>
        <v>7500</v>
      </c>
      <c r="L1157" s="3">
        <v>4875</v>
      </c>
    </row>
    <row r="1158" spans="1:12" x14ac:dyDescent="0.25">
      <c r="A1158" t="s">
        <v>19</v>
      </c>
      <c r="B1158">
        <v>1185732</v>
      </c>
      <c r="C1158" s="1">
        <v>44245</v>
      </c>
      <c r="D1158" t="s">
        <v>57</v>
      </c>
      <c r="E1158" t="s">
        <v>106</v>
      </c>
      <c r="F1158" t="s">
        <v>107</v>
      </c>
      <c r="G1158" t="s">
        <v>18</v>
      </c>
      <c r="H1158" t="s">
        <v>22</v>
      </c>
      <c r="I1158" s="3">
        <v>40</v>
      </c>
      <c r="J1158" s="2">
        <v>325</v>
      </c>
      <c r="K1158" s="3">
        <f t="shared" si="18"/>
        <v>13000</v>
      </c>
      <c r="L1158" s="3">
        <v>8450</v>
      </c>
    </row>
    <row r="1159" spans="1:12" x14ac:dyDescent="0.25">
      <c r="A1159" t="s">
        <v>19</v>
      </c>
      <c r="B1159">
        <v>1185732</v>
      </c>
      <c r="C1159" s="1">
        <v>44245</v>
      </c>
      <c r="D1159" t="s">
        <v>32</v>
      </c>
      <c r="E1159" t="s">
        <v>120</v>
      </c>
      <c r="F1159" t="s">
        <v>121</v>
      </c>
      <c r="G1159" t="s">
        <v>41</v>
      </c>
      <c r="H1159" t="s">
        <v>17</v>
      </c>
      <c r="I1159" s="3">
        <v>30.000000000000004</v>
      </c>
      <c r="J1159" s="2">
        <v>425</v>
      </c>
      <c r="K1159" s="3">
        <f t="shared" si="18"/>
        <v>12750.000000000002</v>
      </c>
      <c r="L1159" s="3">
        <v>8287.5000000000018</v>
      </c>
    </row>
    <row r="1160" spans="1:12" x14ac:dyDescent="0.25">
      <c r="A1160" t="s">
        <v>19</v>
      </c>
      <c r="B1160">
        <v>1185732</v>
      </c>
      <c r="C1160" s="1">
        <v>44245</v>
      </c>
      <c r="D1160" t="s">
        <v>52</v>
      </c>
      <c r="E1160" t="s">
        <v>112</v>
      </c>
      <c r="F1160" t="s">
        <v>113</v>
      </c>
      <c r="G1160" t="s">
        <v>41</v>
      </c>
      <c r="H1160" t="s">
        <v>22</v>
      </c>
      <c r="I1160" s="3">
        <v>40</v>
      </c>
      <c r="J1160" s="2">
        <v>400</v>
      </c>
      <c r="K1160" s="3">
        <f t="shared" si="18"/>
        <v>16000</v>
      </c>
      <c r="L1160" s="3">
        <v>10400</v>
      </c>
    </row>
    <row r="1161" spans="1:12" x14ac:dyDescent="0.25">
      <c r="A1161" t="s">
        <v>19</v>
      </c>
      <c r="B1161">
        <v>1185732</v>
      </c>
      <c r="C1161" s="1">
        <v>44245</v>
      </c>
      <c r="D1161" t="s">
        <v>57</v>
      </c>
      <c r="E1161" t="s">
        <v>70</v>
      </c>
      <c r="F1161" t="s">
        <v>71</v>
      </c>
      <c r="G1161" t="s">
        <v>18</v>
      </c>
      <c r="H1161" t="s">
        <v>38</v>
      </c>
      <c r="I1161" s="3">
        <v>30</v>
      </c>
      <c r="J1161" s="2">
        <v>675</v>
      </c>
      <c r="K1161" s="3">
        <f t="shared" si="18"/>
        <v>20250</v>
      </c>
      <c r="L1161" s="3">
        <v>12150</v>
      </c>
    </row>
    <row r="1162" spans="1:12" x14ac:dyDescent="0.25">
      <c r="A1162" t="s">
        <v>19</v>
      </c>
      <c r="B1162">
        <v>1185732</v>
      </c>
      <c r="C1162" s="1">
        <v>44245</v>
      </c>
      <c r="D1162" t="s">
        <v>57</v>
      </c>
      <c r="E1162" t="s">
        <v>106</v>
      </c>
      <c r="F1162" t="s">
        <v>107</v>
      </c>
      <c r="G1162" t="s">
        <v>18</v>
      </c>
      <c r="H1162" t="s">
        <v>37</v>
      </c>
      <c r="I1162" s="3">
        <v>25.000000000000007</v>
      </c>
      <c r="J1162" s="2">
        <v>250</v>
      </c>
      <c r="K1162" s="3">
        <f t="shared" si="18"/>
        <v>6250.0000000000018</v>
      </c>
      <c r="L1162" s="3">
        <v>3750.0000000000009</v>
      </c>
    </row>
    <row r="1163" spans="1:12" x14ac:dyDescent="0.25">
      <c r="A1163" t="s">
        <v>19</v>
      </c>
      <c r="B1163">
        <v>1185732</v>
      </c>
      <c r="C1163" s="1">
        <v>44245</v>
      </c>
      <c r="D1163" t="s">
        <v>32</v>
      </c>
      <c r="E1163" t="s">
        <v>120</v>
      </c>
      <c r="F1163" t="s">
        <v>121</v>
      </c>
      <c r="G1163" t="s">
        <v>41</v>
      </c>
      <c r="H1163" t="s">
        <v>35</v>
      </c>
      <c r="I1163" s="3">
        <v>20.000000000000007</v>
      </c>
      <c r="J1163" s="2">
        <v>475</v>
      </c>
      <c r="K1163" s="3">
        <f t="shared" si="18"/>
        <v>9500.0000000000036</v>
      </c>
      <c r="L1163" s="3">
        <v>5700.0000000000018</v>
      </c>
    </row>
    <row r="1164" spans="1:12" x14ac:dyDescent="0.25">
      <c r="A1164" t="s">
        <v>19</v>
      </c>
      <c r="B1164">
        <v>1185732</v>
      </c>
      <c r="C1164" s="1">
        <v>44245</v>
      </c>
      <c r="D1164" t="s">
        <v>52</v>
      </c>
      <c r="E1164" t="s">
        <v>112</v>
      </c>
      <c r="F1164" t="s">
        <v>113</v>
      </c>
      <c r="G1164" t="s">
        <v>41</v>
      </c>
      <c r="H1164" t="s">
        <v>37</v>
      </c>
      <c r="I1164" s="3">
        <v>25</v>
      </c>
      <c r="J1164" s="2">
        <v>325</v>
      </c>
      <c r="K1164" s="3">
        <f t="shared" si="18"/>
        <v>8125</v>
      </c>
      <c r="L1164" s="3">
        <v>4875</v>
      </c>
    </row>
    <row r="1165" spans="1:12" x14ac:dyDescent="0.25">
      <c r="A1165" t="s">
        <v>19</v>
      </c>
      <c r="B1165">
        <v>1185732</v>
      </c>
      <c r="C1165" s="1">
        <v>44245</v>
      </c>
      <c r="D1165" t="s">
        <v>32</v>
      </c>
      <c r="E1165" t="s">
        <v>120</v>
      </c>
      <c r="F1165" t="s">
        <v>121</v>
      </c>
      <c r="G1165" t="s">
        <v>41</v>
      </c>
      <c r="H1165" t="s">
        <v>38</v>
      </c>
      <c r="I1165" s="3">
        <v>30.000000000000004</v>
      </c>
      <c r="J1165" s="2">
        <v>775</v>
      </c>
      <c r="K1165" s="3">
        <f t="shared" si="18"/>
        <v>23250.000000000004</v>
      </c>
      <c r="L1165" s="3">
        <v>13950</v>
      </c>
    </row>
    <row r="1166" spans="1:12" x14ac:dyDescent="0.25">
      <c r="A1166" t="s">
        <v>19</v>
      </c>
      <c r="B1166">
        <v>1185732</v>
      </c>
      <c r="C1166" s="1">
        <v>44245</v>
      </c>
      <c r="D1166" t="s">
        <v>57</v>
      </c>
      <c r="E1166" t="s">
        <v>106</v>
      </c>
      <c r="F1166" t="s">
        <v>107</v>
      </c>
      <c r="G1166" t="s">
        <v>18</v>
      </c>
      <c r="H1166" t="s">
        <v>16</v>
      </c>
      <c r="I1166" s="3">
        <v>30</v>
      </c>
      <c r="J1166" s="2">
        <v>400</v>
      </c>
      <c r="K1166" s="3">
        <f t="shared" si="18"/>
        <v>12000</v>
      </c>
      <c r="L1166" s="3">
        <v>6000</v>
      </c>
    </row>
    <row r="1167" spans="1:12" x14ac:dyDescent="0.25">
      <c r="A1167" t="s">
        <v>19</v>
      </c>
      <c r="B1167">
        <v>1185732</v>
      </c>
      <c r="C1167" s="1">
        <v>44245</v>
      </c>
      <c r="D1167" t="s">
        <v>52</v>
      </c>
      <c r="E1167" t="s">
        <v>112</v>
      </c>
      <c r="F1167" t="s">
        <v>113</v>
      </c>
      <c r="G1167" t="s">
        <v>41</v>
      </c>
      <c r="H1167" t="s">
        <v>16</v>
      </c>
      <c r="I1167" s="3">
        <v>25</v>
      </c>
      <c r="J1167" s="2">
        <v>500</v>
      </c>
      <c r="K1167" s="3">
        <f t="shared" si="18"/>
        <v>12500</v>
      </c>
      <c r="L1167" s="3">
        <v>6250</v>
      </c>
    </row>
    <row r="1168" spans="1:12" x14ac:dyDescent="0.25">
      <c r="A1168" t="s">
        <v>27</v>
      </c>
      <c r="B1168">
        <v>1189833</v>
      </c>
      <c r="C1168" s="1">
        <v>44245</v>
      </c>
      <c r="D1168" t="s">
        <v>57</v>
      </c>
      <c r="E1168" t="s">
        <v>58</v>
      </c>
      <c r="F1168" t="s">
        <v>59</v>
      </c>
      <c r="G1168" t="s">
        <v>15</v>
      </c>
      <c r="H1168" t="s">
        <v>22</v>
      </c>
      <c r="I1168" s="3">
        <v>54.999999999999993</v>
      </c>
      <c r="J1168" s="2">
        <v>400</v>
      </c>
      <c r="K1168" s="3">
        <f t="shared" si="18"/>
        <v>21999.999999999996</v>
      </c>
      <c r="L1168" s="3">
        <v>8799.9999999999964</v>
      </c>
    </row>
    <row r="1169" spans="1:12" x14ac:dyDescent="0.25">
      <c r="A1169" t="s">
        <v>27</v>
      </c>
      <c r="B1169">
        <v>1189833</v>
      </c>
      <c r="C1169" s="1">
        <v>44245</v>
      </c>
      <c r="D1169" t="s">
        <v>12</v>
      </c>
      <c r="E1169" t="s">
        <v>13</v>
      </c>
      <c r="F1169" t="s">
        <v>14</v>
      </c>
      <c r="G1169" t="s">
        <v>15</v>
      </c>
      <c r="H1169" t="s">
        <v>17</v>
      </c>
      <c r="I1169" s="3">
        <v>35</v>
      </c>
      <c r="J1169" s="2">
        <v>224</v>
      </c>
      <c r="K1169" s="3">
        <f t="shared" si="18"/>
        <v>7840</v>
      </c>
      <c r="L1169" s="3">
        <v>5488</v>
      </c>
    </row>
    <row r="1170" spans="1:12" x14ac:dyDescent="0.25">
      <c r="A1170" t="s">
        <v>27</v>
      </c>
      <c r="B1170">
        <v>1189833</v>
      </c>
      <c r="C1170" s="1">
        <v>44245</v>
      </c>
      <c r="D1170" t="s">
        <v>12</v>
      </c>
      <c r="E1170" t="s">
        <v>13</v>
      </c>
      <c r="F1170" t="s">
        <v>14</v>
      </c>
      <c r="G1170" t="s">
        <v>41</v>
      </c>
      <c r="H1170" t="s">
        <v>17</v>
      </c>
      <c r="I1170" s="3">
        <v>41</v>
      </c>
      <c r="J1170" s="2">
        <v>196</v>
      </c>
      <c r="K1170" s="3">
        <f t="shared" si="18"/>
        <v>8036</v>
      </c>
      <c r="L1170" s="3">
        <v>5143.04</v>
      </c>
    </row>
    <row r="1171" spans="1:12" x14ac:dyDescent="0.25">
      <c r="A1171" t="s">
        <v>19</v>
      </c>
      <c r="B1171">
        <v>1185732</v>
      </c>
      <c r="C1171" s="1">
        <v>44245</v>
      </c>
      <c r="D1171" t="s">
        <v>52</v>
      </c>
      <c r="E1171" t="s">
        <v>112</v>
      </c>
      <c r="F1171" t="s">
        <v>113</v>
      </c>
      <c r="G1171" t="s">
        <v>15</v>
      </c>
      <c r="H1171" t="s">
        <v>22</v>
      </c>
      <c r="I1171" s="3">
        <v>26</v>
      </c>
      <c r="J1171" s="2">
        <v>136</v>
      </c>
      <c r="K1171" s="3">
        <f t="shared" si="18"/>
        <v>3536</v>
      </c>
      <c r="L1171" s="3">
        <v>2156.96</v>
      </c>
    </row>
    <row r="1172" spans="1:12" x14ac:dyDescent="0.25">
      <c r="A1172" t="s">
        <v>19</v>
      </c>
      <c r="B1172">
        <v>1185732</v>
      </c>
      <c r="C1172" s="1">
        <v>44245</v>
      </c>
      <c r="D1172" t="s">
        <v>57</v>
      </c>
      <c r="E1172" t="s">
        <v>70</v>
      </c>
      <c r="F1172" t="s">
        <v>71</v>
      </c>
      <c r="G1172" t="s">
        <v>41</v>
      </c>
      <c r="H1172" t="s">
        <v>35</v>
      </c>
      <c r="I1172" s="3">
        <v>19</v>
      </c>
      <c r="J1172" s="2">
        <v>113</v>
      </c>
      <c r="K1172" s="3">
        <f t="shared" si="18"/>
        <v>2147</v>
      </c>
      <c r="L1172" s="3">
        <v>1180.8500000000001</v>
      </c>
    </row>
    <row r="1173" spans="1:12" x14ac:dyDescent="0.25">
      <c r="A1173" t="s">
        <v>19</v>
      </c>
      <c r="B1173">
        <v>1185732</v>
      </c>
      <c r="C1173" s="1">
        <v>44245</v>
      </c>
      <c r="D1173" t="s">
        <v>57</v>
      </c>
      <c r="E1173" t="s">
        <v>106</v>
      </c>
      <c r="F1173" t="s">
        <v>107</v>
      </c>
      <c r="G1173" t="s">
        <v>41</v>
      </c>
      <c r="H1173" t="s">
        <v>22</v>
      </c>
      <c r="I1173" s="3">
        <v>38</v>
      </c>
      <c r="J1173" s="2">
        <v>88</v>
      </c>
      <c r="K1173" s="3">
        <f t="shared" si="18"/>
        <v>3344</v>
      </c>
      <c r="L1173" s="3">
        <v>1839.2</v>
      </c>
    </row>
    <row r="1174" spans="1:12" x14ac:dyDescent="0.25">
      <c r="A1174" t="s">
        <v>19</v>
      </c>
      <c r="B1174">
        <v>1185732</v>
      </c>
      <c r="C1174" s="1">
        <v>44245</v>
      </c>
      <c r="D1174" t="s">
        <v>52</v>
      </c>
      <c r="E1174" t="s">
        <v>112</v>
      </c>
      <c r="F1174" t="s">
        <v>113</v>
      </c>
      <c r="G1174" t="s">
        <v>41</v>
      </c>
      <c r="H1174" t="s">
        <v>22</v>
      </c>
      <c r="I1174" s="3">
        <v>39</v>
      </c>
      <c r="J1174" s="2">
        <v>108</v>
      </c>
      <c r="K1174" s="3">
        <f t="shared" si="18"/>
        <v>4212</v>
      </c>
      <c r="L1174" s="3">
        <v>2274.4800000000005</v>
      </c>
    </row>
    <row r="1175" spans="1:12" x14ac:dyDescent="0.25">
      <c r="A1175" t="s">
        <v>19</v>
      </c>
      <c r="B1175">
        <v>1185732</v>
      </c>
      <c r="C1175" s="1">
        <v>44245</v>
      </c>
      <c r="D1175" t="s">
        <v>52</v>
      </c>
      <c r="E1175" t="s">
        <v>112</v>
      </c>
      <c r="F1175" t="s">
        <v>113</v>
      </c>
      <c r="G1175" t="s">
        <v>15</v>
      </c>
      <c r="H1175" t="s">
        <v>37</v>
      </c>
      <c r="I1175" s="3">
        <v>19</v>
      </c>
      <c r="J1175" s="2">
        <v>98</v>
      </c>
      <c r="K1175" s="3">
        <f t="shared" si="18"/>
        <v>1862</v>
      </c>
      <c r="L1175" s="3">
        <v>1005.48</v>
      </c>
    </row>
    <row r="1176" spans="1:12" x14ac:dyDescent="0.25">
      <c r="A1176" t="s">
        <v>19</v>
      </c>
      <c r="B1176">
        <v>1185732</v>
      </c>
      <c r="C1176" s="1">
        <v>44245</v>
      </c>
      <c r="D1176" t="s">
        <v>32</v>
      </c>
      <c r="E1176" t="s">
        <v>120</v>
      </c>
      <c r="F1176" t="s">
        <v>121</v>
      </c>
      <c r="G1176" t="s">
        <v>41</v>
      </c>
      <c r="H1176" t="s">
        <v>17</v>
      </c>
      <c r="I1176" s="3">
        <v>27</v>
      </c>
      <c r="J1176" s="2">
        <v>106</v>
      </c>
      <c r="K1176" s="3">
        <f t="shared" si="18"/>
        <v>2862</v>
      </c>
      <c r="L1176" s="3">
        <v>1488.24</v>
      </c>
    </row>
    <row r="1177" spans="1:12" x14ac:dyDescent="0.25">
      <c r="A1177" t="s">
        <v>19</v>
      </c>
      <c r="B1177">
        <v>1185732</v>
      </c>
      <c r="C1177" s="1">
        <v>44245</v>
      </c>
      <c r="D1177" t="s">
        <v>57</v>
      </c>
      <c r="E1177" t="s">
        <v>70</v>
      </c>
      <c r="F1177" t="s">
        <v>71</v>
      </c>
      <c r="G1177" t="s">
        <v>41</v>
      </c>
      <c r="H1177" t="s">
        <v>17</v>
      </c>
      <c r="I1177" s="3">
        <v>28</v>
      </c>
      <c r="J1177" s="2">
        <v>94</v>
      </c>
      <c r="K1177" s="3">
        <f t="shared" si="18"/>
        <v>2632</v>
      </c>
      <c r="L1177" s="3">
        <v>1342.32</v>
      </c>
    </row>
    <row r="1178" spans="1:12" x14ac:dyDescent="0.25">
      <c r="A1178" t="s">
        <v>19</v>
      </c>
      <c r="B1178">
        <v>1185732</v>
      </c>
      <c r="C1178" s="1">
        <v>44245</v>
      </c>
      <c r="D1178" t="s">
        <v>52</v>
      </c>
      <c r="E1178" t="s">
        <v>112</v>
      </c>
      <c r="F1178" t="s">
        <v>113</v>
      </c>
      <c r="G1178" t="s">
        <v>41</v>
      </c>
      <c r="H1178" t="s">
        <v>37</v>
      </c>
      <c r="I1178" s="3">
        <v>25</v>
      </c>
      <c r="J1178" s="2">
        <v>91</v>
      </c>
      <c r="K1178" s="3">
        <f t="shared" si="18"/>
        <v>2275</v>
      </c>
      <c r="L1178" s="3">
        <v>1137.5</v>
      </c>
    </row>
    <row r="1179" spans="1:12" x14ac:dyDescent="0.25">
      <c r="A1179" t="s">
        <v>19</v>
      </c>
      <c r="B1179">
        <v>1185732</v>
      </c>
      <c r="C1179" s="1">
        <v>44245</v>
      </c>
      <c r="D1179" t="s">
        <v>57</v>
      </c>
      <c r="E1179" t="s">
        <v>106</v>
      </c>
      <c r="F1179" t="s">
        <v>107</v>
      </c>
      <c r="G1179" t="s">
        <v>41</v>
      </c>
      <c r="H1179" t="s">
        <v>37</v>
      </c>
      <c r="I1179" s="3">
        <v>24</v>
      </c>
      <c r="J1179" s="2">
        <v>70</v>
      </c>
      <c r="K1179" s="3">
        <f t="shared" si="18"/>
        <v>1680</v>
      </c>
      <c r="L1179" s="3">
        <v>806.4</v>
      </c>
    </row>
    <row r="1180" spans="1:12" x14ac:dyDescent="0.25">
      <c r="A1180" t="s">
        <v>19</v>
      </c>
      <c r="B1180">
        <v>1185732</v>
      </c>
      <c r="C1180" s="1">
        <v>44245</v>
      </c>
      <c r="D1180" t="s">
        <v>32</v>
      </c>
      <c r="E1180" t="s">
        <v>120</v>
      </c>
      <c r="F1180" t="s">
        <v>121</v>
      </c>
      <c r="G1180" t="s">
        <v>41</v>
      </c>
      <c r="H1180" t="s">
        <v>38</v>
      </c>
      <c r="I1180" s="3">
        <v>28</v>
      </c>
      <c r="J1180" s="2">
        <v>225</v>
      </c>
      <c r="K1180" s="3">
        <f t="shared" si="18"/>
        <v>6300</v>
      </c>
      <c r="L1180" s="3">
        <v>3024</v>
      </c>
    </row>
    <row r="1181" spans="1:12" x14ac:dyDescent="0.25">
      <c r="A1181" t="s">
        <v>19</v>
      </c>
      <c r="B1181">
        <v>1185732</v>
      </c>
      <c r="C1181" s="1">
        <v>44245</v>
      </c>
      <c r="D1181" t="s">
        <v>57</v>
      </c>
      <c r="E1181" t="s">
        <v>70</v>
      </c>
      <c r="F1181" t="s">
        <v>71</v>
      </c>
      <c r="G1181" t="s">
        <v>41</v>
      </c>
      <c r="H1181" t="s">
        <v>38</v>
      </c>
      <c r="I1181" s="3">
        <v>29</v>
      </c>
      <c r="J1181" s="2">
        <v>182</v>
      </c>
      <c r="K1181" s="3">
        <f t="shared" si="18"/>
        <v>5278</v>
      </c>
      <c r="L1181" s="3">
        <v>2480.66</v>
      </c>
    </row>
    <row r="1182" spans="1:12" x14ac:dyDescent="0.25">
      <c r="A1182" t="s">
        <v>19</v>
      </c>
      <c r="B1182">
        <v>1185732</v>
      </c>
      <c r="C1182" s="1">
        <v>44245</v>
      </c>
      <c r="D1182" t="s">
        <v>32</v>
      </c>
      <c r="E1182" t="s">
        <v>120</v>
      </c>
      <c r="F1182" t="s">
        <v>121</v>
      </c>
      <c r="G1182" t="s">
        <v>41</v>
      </c>
      <c r="H1182" t="s">
        <v>35</v>
      </c>
      <c r="I1182" s="3">
        <v>18</v>
      </c>
      <c r="J1182" s="2">
        <v>124</v>
      </c>
      <c r="K1182" s="3">
        <f t="shared" si="18"/>
        <v>2232</v>
      </c>
      <c r="L1182" s="3">
        <v>1004.3999999999999</v>
      </c>
    </row>
    <row r="1183" spans="1:12" x14ac:dyDescent="0.25">
      <c r="A1183" t="s">
        <v>19</v>
      </c>
      <c r="B1183">
        <v>1185732</v>
      </c>
      <c r="C1183" s="1">
        <v>44245</v>
      </c>
      <c r="D1183" t="s">
        <v>52</v>
      </c>
      <c r="E1183" t="s">
        <v>112</v>
      </c>
      <c r="F1183" t="s">
        <v>113</v>
      </c>
      <c r="G1183" t="s">
        <v>15</v>
      </c>
      <c r="H1183" t="s">
        <v>16</v>
      </c>
      <c r="I1183" s="3">
        <v>20</v>
      </c>
      <c r="J1183" s="2">
        <v>160</v>
      </c>
      <c r="K1183" s="3">
        <f t="shared" si="18"/>
        <v>3200</v>
      </c>
      <c r="L1183" s="3">
        <v>1375.9999999999998</v>
      </c>
    </row>
    <row r="1184" spans="1:12" x14ac:dyDescent="0.25">
      <c r="A1184" t="s">
        <v>19</v>
      </c>
      <c r="B1184">
        <v>1185732</v>
      </c>
      <c r="C1184" s="1">
        <v>44245</v>
      </c>
      <c r="D1184" t="s">
        <v>52</v>
      </c>
      <c r="E1184" t="s">
        <v>112</v>
      </c>
      <c r="F1184" t="s">
        <v>113</v>
      </c>
      <c r="G1184" t="s">
        <v>41</v>
      </c>
      <c r="H1184" t="s">
        <v>16</v>
      </c>
      <c r="I1184" s="3">
        <v>24</v>
      </c>
      <c r="J1184" s="2">
        <v>125</v>
      </c>
      <c r="K1184" s="3">
        <f t="shared" si="18"/>
        <v>3000</v>
      </c>
      <c r="L1184" s="3">
        <v>1200</v>
      </c>
    </row>
    <row r="1185" spans="1:12" x14ac:dyDescent="0.25">
      <c r="A1185" t="s">
        <v>19</v>
      </c>
      <c r="B1185">
        <v>1185732</v>
      </c>
      <c r="C1185" s="1">
        <v>44245</v>
      </c>
      <c r="D1185" t="s">
        <v>57</v>
      </c>
      <c r="E1185" t="s">
        <v>106</v>
      </c>
      <c r="F1185" t="s">
        <v>107</v>
      </c>
      <c r="G1185" t="s">
        <v>41</v>
      </c>
      <c r="H1185" t="s">
        <v>16</v>
      </c>
      <c r="I1185" s="3">
        <v>28</v>
      </c>
      <c r="J1185" s="2">
        <v>120</v>
      </c>
      <c r="K1185" s="3">
        <f t="shared" si="18"/>
        <v>3360</v>
      </c>
      <c r="L1185" s="3">
        <v>1243.1999999999998</v>
      </c>
    </row>
    <row r="1186" spans="1:12" x14ac:dyDescent="0.25">
      <c r="A1186" t="s">
        <v>27</v>
      </c>
      <c r="B1186">
        <v>1189833</v>
      </c>
      <c r="C1186" s="1">
        <v>44245</v>
      </c>
      <c r="D1186" t="s">
        <v>57</v>
      </c>
      <c r="E1186" t="s">
        <v>58</v>
      </c>
      <c r="F1186" t="s">
        <v>59</v>
      </c>
      <c r="G1186" t="s">
        <v>41</v>
      </c>
      <c r="H1186" t="s">
        <v>22</v>
      </c>
      <c r="I1186" s="3">
        <v>50</v>
      </c>
      <c r="J1186" s="2">
        <v>100</v>
      </c>
      <c r="K1186" s="3">
        <f t="shared" si="18"/>
        <v>5000</v>
      </c>
      <c r="L1186" s="3">
        <v>1349.9999999999995</v>
      </c>
    </row>
    <row r="1187" spans="1:12" x14ac:dyDescent="0.25">
      <c r="A1187" t="s">
        <v>27</v>
      </c>
      <c r="B1187">
        <v>1189833</v>
      </c>
      <c r="C1187" s="1">
        <v>44246</v>
      </c>
      <c r="D1187" t="s">
        <v>57</v>
      </c>
      <c r="E1187" t="s">
        <v>58</v>
      </c>
      <c r="F1187" t="s">
        <v>59</v>
      </c>
      <c r="G1187" t="s">
        <v>15</v>
      </c>
      <c r="H1187" t="s">
        <v>16</v>
      </c>
      <c r="I1187" s="3">
        <v>60</v>
      </c>
      <c r="J1187" s="2">
        <v>450</v>
      </c>
      <c r="K1187" s="3">
        <f t="shared" si="18"/>
        <v>27000</v>
      </c>
      <c r="L1187" s="3">
        <v>20250</v>
      </c>
    </row>
    <row r="1188" spans="1:12" x14ac:dyDescent="0.25">
      <c r="A1188" t="s">
        <v>36</v>
      </c>
      <c r="B1188">
        <v>1185732</v>
      </c>
      <c r="C1188" s="1">
        <v>44246</v>
      </c>
      <c r="D1188" t="s">
        <v>29</v>
      </c>
      <c r="E1188" t="s">
        <v>80</v>
      </c>
      <c r="F1188" t="s">
        <v>81</v>
      </c>
      <c r="G1188" t="s">
        <v>18</v>
      </c>
      <c r="H1188" t="s">
        <v>35</v>
      </c>
      <c r="I1188" s="3">
        <v>40</v>
      </c>
      <c r="J1188" s="2">
        <v>300</v>
      </c>
      <c r="K1188" s="3">
        <f t="shared" si="18"/>
        <v>12000</v>
      </c>
      <c r="L1188" s="3">
        <v>8400</v>
      </c>
    </row>
    <row r="1189" spans="1:12" x14ac:dyDescent="0.25">
      <c r="A1189" t="s">
        <v>36</v>
      </c>
      <c r="B1189">
        <v>1185732</v>
      </c>
      <c r="C1189" s="1">
        <v>44246</v>
      </c>
      <c r="D1189" t="s">
        <v>29</v>
      </c>
      <c r="E1189" t="s">
        <v>68</v>
      </c>
      <c r="F1189" t="s">
        <v>69</v>
      </c>
      <c r="G1189" t="s">
        <v>18</v>
      </c>
      <c r="H1189" t="s">
        <v>37</v>
      </c>
      <c r="I1189" s="3">
        <v>44.999999999999993</v>
      </c>
      <c r="J1189" s="2">
        <v>200</v>
      </c>
      <c r="K1189" s="3">
        <f t="shared" si="18"/>
        <v>8999.9999999999982</v>
      </c>
      <c r="L1189" s="3">
        <v>6299.9999999999982</v>
      </c>
    </row>
    <row r="1190" spans="1:12" x14ac:dyDescent="0.25">
      <c r="A1190" t="s">
        <v>36</v>
      </c>
      <c r="B1190">
        <v>1185732</v>
      </c>
      <c r="C1190" s="1">
        <v>44246</v>
      </c>
      <c r="D1190" t="s">
        <v>29</v>
      </c>
      <c r="E1190" t="s">
        <v>68</v>
      </c>
      <c r="F1190" t="s">
        <v>69</v>
      </c>
      <c r="G1190" t="s">
        <v>18</v>
      </c>
      <c r="H1190" t="s">
        <v>22</v>
      </c>
      <c r="I1190" s="3">
        <v>60.000000000000007</v>
      </c>
      <c r="J1190" s="2">
        <v>275</v>
      </c>
      <c r="K1190" s="3">
        <f t="shared" si="18"/>
        <v>16500.000000000004</v>
      </c>
      <c r="L1190" s="3">
        <v>11550.000000000004</v>
      </c>
    </row>
    <row r="1191" spans="1:12" x14ac:dyDescent="0.25">
      <c r="A1191" t="s">
        <v>36</v>
      </c>
      <c r="B1191">
        <v>1185732</v>
      </c>
      <c r="C1191" s="1">
        <v>44246</v>
      </c>
      <c r="D1191" t="s">
        <v>29</v>
      </c>
      <c r="E1191" t="s">
        <v>68</v>
      </c>
      <c r="F1191" t="s">
        <v>69</v>
      </c>
      <c r="G1191" t="s">
        <v>18</v>
      </c>
      <c r="H1191" t="s">
        <v>16</v>
      </c>
      <c r="I1191" s="3">
        <v>50</v>
      </c>
      <c r="J1191" s="2">
        <v>375</v>
      </c>
      <c r="K1191" s="3">
        <f t="shared" si="18"/>
        <v>18750</v>
      </c>
      <c r="L1191" s="3">
        <v>12187.5</v>
      </c>
    </row>
    <row r="1192" spans="1:12" x14ac:dyDescent="0.25">
      <c r="A1192" t="s">
        <v>36</v>
      </c>
      <c r="B1192">
        <v>1185732</v>
      </c>
      <c r="C1192" s="1">
        <v>44246</v>
      </c>
      <c r="D1192" t="s">
        <v>29</v>
      </c>
      <c r="E1192" t="s">
        <v>80</v>
      </c>
      <c r="F1192" t="s">
        <v>81</v>
      </c>
      <c r="G1192" t="s">
        <v>18</v>
      </c>
      <c r="H1192" t="s">
        <v>38</v>
      </c>
      <c r="I1192" s="3">
        <v>50</v>
      </c>
      <c r="J1192" s="2">
        <v>600</v>
      </c>
      <c r="K1192" s="3">
        <f t="shared" si="18"/>
        <v>30000</v>
      </c>
      <c r="L1192" s="3">
        <v>18000</v>
      </c>
    </row>
    <row r="1193" spans="1:12" x14ac:dyDescent="0.25">
      <c r="A1193" t="s">
        <v>36</v>
      </c>
      <c r="B1193">
        <v>1185732</v>
      </c>
      <c r="C1193" s="1">
        <v>44246</v>
      </c>
      <c r="D1193" t="s">
        <v>29</v>
      </c>
      <c r="E1193" t="s">
        <v>80</v>
      </c>
      <c r="F1193" t="s">
        <v>81</v>
      </c>
      <c r="G1193" t="s">
        <v>18</v>
      </c>
      <c r="H1193" t="s">
        <v>17</v>
      </c>
      <c r="I1193" s="3">
        <v>50</v>
      </c>
      <c r="J1193" s="2">
        <v>250</v>
      </c>
      <c r="K1193" s="3">
        <f t="shared" si="18"/>
        <v>12500</v>
      </c>
      <c r="L1193" s="3">
        <v>7500</v>
      </c>
    </row>
    <row r="1194" spans="1:12" x14ac:dyDescent="0.25">
      <c r="A1194" t="s">
        <v>36</v>
      </c>
      <c r="B1194">
        <v>1185732</v>
      </c>
      <c r="C1194" s="1">
        <v>44246</v>
      </c>
      <c r="D1194" t="s">
        <v>29</v>
      </c>
      <c r="E1194" t="s">
        <v>68</v>
      </c>
      <c r="F1194" t="s">
        <v>69</v>
      </c>
      <c r="G1194" t="s">
        <v>15</v>
      </c>
      <c r="H1194" t="s">
        <v>22</v>
      </c>
      <c r="I1194" s="3">
        <v>41</v>
      </c>
      <c r="J1194" s="2">
        <v>96</v>
      </c>
      <c r="K1194" s="3">
        <f t="shared" si="18"/>
        <v>3936</v>
      </c>
      <c r="L1194" s="3">
        <v>2637.12</v>
      </c>
    </row>
    <row r="1195" spans="1:12" x14ac:dyDescent="0.25">
      <c r="A1195" t="s">
        <v>36</v>
      </c>
      <c r="B1195">
        <v>1185732</v>
      </c>
      <c r="C1195" s="1">
        <v>44246</v>
      </c>
      <c r="D1195" t="s">
        <v>29</v>
      </c>
      <c r="E1195" t="s">
        <v>68</v>
      </c>
      <c r="F1195" t="s">
        <v>69</v>
      </c>
      <c r="G1195" t="s">
        <v>15</v>
      </c>
      <c r="H1195" t="s">
        <v>37</v>
      </c>
      <c r="I1195" s="3">
        <v>31</v>
      </c>
      <c r="J1195" s="2">
        <v>68</v>
      </c>
      <c r="K1195" s="3">
        <f t="shared" si="18"/>
        <v>2108</v>
      </c>
      <c r="L1195" s="3">
        <v>1391.2800000000002</v>
      </c>
    </row>
    <row r="1196" spans="1:12" x14ac:dyDescent="0.25">
      <c r="A1196" t="s">
        <v>36</v>
      </c>
      <c r="B1196">
        <v>1185732</v>
      </c>
      <c r="C1196" s="1">
        <v>44246</v>
      </c>
      <c r="D1196" t="s">
        <v>29</v>
      </c>
      <c r="E1196" t="s">
        <v>80</v>
      </c>
      <c r="F1196" t="s">
        <v>81</v>
      </c>
      <c r="G1196" t="s">
        <v>15</v>
      </c>
      <c r="H1196" t="s">
        <v>35</v>
      </c>
      <c r="I1196" s="3">
        <v>31</v>
      </c>
      <c r="J1196" s="2">
        <v>96</v>
      </c>
      <c r="K1196" s="3">
        <f t="shared" si="18"/>
        <v>2976</v>
      </c>
      <c r="L1196" s="3">
        <v>1964.16</v>
      </c>
    </row>
    <row r="1197" spans="1:12" x14ac:dyDescent="0.25">
      <c r="A1197" t="s">
        <v>36</v>
      </c>
      <c r="B1197">
        <v>1185732</v>
      </c>
      <c r="C1197" s="1">
        <v>44246</v>
      </c>
      <c r="D1197" t="s">
        <v>29</v>
      </c>
      <c r="E1197" t="s">
        <v>68</v>
      </c>
      <c r="F1197" t="s">
        <v>69</v>
      </c>
      <c r="G1197" t="s">
        <v>15</v>
      </c>
      <c r="H1197" t="s">
        <v>16</v>
      </c>
      <c r="I1197" s="3">
        <v>36</v>
      </c>
      <c r="J1197" s="2">
        <v>124</v>
      </c>
      <c r="K1197" s="3">
        <f t="shared" si="18"/>
        <v>4464</v>
      </c>
      <c r="L1197" s="3">
        <v>2678.4</v>
      </c>
    </row>
    <row r="1198" spans="1:12" x14ac:dyDescent="0.25">
      <c r="A1198" t="s">
        <v>27</v>
      </c>
      <c r="B1198">
        <v>1189833</v>
      </c>
      <c r="C1198" s="1">
        <v>44246</v>
      </c>
      <c r="D1198" t="s">
        <v>57</v>
      </c>
      <c r="E1198" t="s">
        <v>58</v>
      </c>
      <c r="F1198" t="s">
        <v>59</v>
      </c>
      <c r="G1198" t="s">
        <v>41</v>
      </c>
      <c r="H1198" t="s">
        <v>16</v>
      </c>
      <c r="I1198" s="3">
        <v>59</v>
      </c>
      <c r="J1198" s="2">
        <v>122</v>
      </c>
      <c r="K1198" s="3">
        <f t="shared" si="18"/>
        <v>7198</v>
      </c>
      <c r="L1198" s="3">
        <v>4318.7999999999993</v>
      </c>
    </row>
    <row r="1199" spans="1:12" x14ac:dyDescent="0.25">
      <c r="A1199" t="s">
        <v>36</v>
      </c>
      <c r="B1199">
        <v>1185732</v>
      </c>
      <c r="C1199" s="1">
        <v>44246</v>
      </c>
      <c r="D1199" t="s">
        <v>29</v>
      </c>
      <c r="E1199" t="s">
        <v>68</v>
      </c>
      <c r="F1199" t="s">
        <v>69</v>
      </c>
      <c r="G1199" t="s">
        <v>41</v>
      </c>
      <c r="H1199" t="s">
        <v>37</v>
      </c>
      <c r="I1199" s="3">
        <v>42</v>
      </c>
      <c r="J1199" s="2">
        <v>58</v>
      </c>
      <c r="K1199" s="3">
        <f t="shared" si="18"/>
        <v>2436</v>
      </c>
      <c r="L1199" s="3">
        <v>1388.52</v>
      </c>
    </row>
    <row r="1200" spans="1:12" x14ac:dyDescent="0.25">
      <c r="A1200" t="s">
        <v>36</v>
      </c>
      <c r="B1200">
        <v>1185732</v>
      </c>
      <c r="C1200" s="1">
        <v>44246</v>
      </c>
      <c r="D1200" t="s">
        <v>29</v>
      </c>
      <c r="E1200" t="s">
        <v>68</v>
      </c>
      <c r="F1200" t="s">
        <v>69</v>
      </c>
      <c r="G1200" t="s">
        <v>41</v>
      </c>
      <c r="H1200" t="s">
        <v>22</v>
      </c>
      <c r="I1200" s="3">
        <v>56</v>
      </c>
      <c r="J1200" s="2">
        <v>83</v>
      </c>
      <c r="K1200" s="3">
        <f t="shared" si="18"/>
        <v>4648</v>
      </c>
      <c r="L1200" s="3">
        <v>2649.36</v>
      </c>
    </row>
    <row r="1201" spans="1:12" x14ac:dyDescent="0.25">
      <c r="A1201" t="s">
        <v>36</v>
      </c>
      <c r="B1201">
        <v>1185732</v>
      </c>
      <c r="C1201" s="1">
        <v>44246</v>
      </c>
      <c r="D1201" t="s">
        <v>29</v>
      </c>
      <c r="E1201" t="s">
        <v>80</v>
      </c>
      <c r="F1201" t="s">
        <v>81</v>
      </c>
      <c r="G1201" t="s">
        <v>15</v>
      </c>
      <c r="H1201" t="s">
        <v>17</v>
      </c>
      <c r="I1201" s="3">
        <v>37</v>
      </c>
      <c r="J1201" s="2">
        <v>85</v>
      </c>
      <c r="K1201" s="3">
        <f t="shared" si="18"/>
        <v>3145</v>
      </c>
      <c r="L1201" s="3">
        <v>1792.6499999999999</v>
      </c>
    </row>
    <row r="1202" spans="1:12" x14ac:dyDescent="0.25">
      <c r="A1202" t="s">
        <v>36</v>
      </c>
      <c r="B1202">
        <v>1185732</v>
      </c>
      <c r="C1202" s="1">
        <v>44246</v>
      </c>
      <c r="D1202" t="s">
        <v>29</v>
      </c>
      <c r="E1202" t="s">
        <v>80</v>
      </c>
      <c r="F1202" t="s">
        <v>81</v>
      </c>
      <c r="G1202" t="s">
        <v>41</v>
      </c>
      <c r="H1202" t="s">
        <v>35</v>
      </c>
      <c r="I1202" s="3">
        <v>39</v>
      </c>
      <c r="J1202" s="2">
        <v>90</v>
      </c>
      <c r="K1202" s="3">
        <f t="shared" si="18"/>
        <v>3510</v>
      </c>
      <c r="L1202" s="3">
        <v>1965.6</v>
      </c>
    </row>
    <row r="1203" spans="1:12" x14ac:dyDescent="0.25">
      <c r="A1203" t="s">
        <v>36</v>
      </c>
      <c r="B1203">
        <v>1185732</v>
      </c>
      <c r="C1203" s="1">
        <v>44246</v>
      </c>
      <c r="D1203" t="s">
        <v>29</v>
      </c>
      <c r="E1203" t="s">
        <v>80</v>
      </c>
      <c r="F1203" t="s">
        <v>81</v>
      </c>
      <c r="G1203" t="s">
        <v>15</v>
      </c>
      <c r="H1203" t="s">
        <v>38</v>
      </c>
      <c r="I1203" s="3">
        <v>34</v>
      </c>
      <c r="J1203" s="2">
        <v>186</v>
      </c>
      <c r="K1203" s="3">
        <f t="shared" si="18"/>
        <v>6324</v>
      </c>
      <c r="L1203" s="3">
        <v>3541.44</v>
      </c>
    </row>
    <row r="1204" spans="1:12" x14ac:dyDescent="0.25">
      <c r="A1204" t="s">
        <v>36</v>
      </c>
      <c r="B1204">
        <v>1185732</v>
      </c>
      <c r="C1204" s="1">
        <v>44246</v>
      </c>
      <c r="D1204" t="s">
        <v>29</v>
      </c>
      <c r="E1204" t="s">
        <v>68</v>
      </c>
      <c r="F1204" t="s">
        <v>69</v>
      </c>
      <c r="G1204" t="s">
        <v>41</v>
      </c>
      <c r="H1204" t="s">
        <v>16</v>
      </c>
      <c r="I1204" s="3">
        <v>46</v>
      </c>
      <c r="J1204" s="2">
        <v>98</v>
      </c>
      <c r="K1204" s="3">
        <f t="shared" si="18"/>
        <v>4508</v>
      </c>
      <c r="L1204" s="3">
        <v>2344.16</v>
      </c>
    </row>
    <row r="1205" spans="1:12" x14ac:dyDescent="0.25">
      <c r="A1205" t="s">
        <v>36</v>
      </c>
      <c r="B1205">
        <v>1185732</v>
      </c>
      <c r="C1205" s="1">
        <v>44246</v>
      </c>
      <c r="D1205" t="s">
        <v>29</v>
      </c>
      <c r="E1205" t="s">
        <v>80</v>
      </c>
      <c r="F1205" t="s">
        <v>81</v>
      </c>
      <c r="G1205" t="s">
        <v>41</v>
      </c>
      <c r="H1205" t="s">
        <v>17</v>
      </c>
      <c r="I1205" s="3">
        <v>45</v>
      </c>
      <c r="J1205" s="2">
        <v>75</v>
      </c>
      <c r="K1205" s="3">
        <f t="shared" si="18"/>
        <v>3375</v>
      </c>
      <c r="L1205" s="3">
        <v>1653.75</v>
      </c>
    </row>
    <row r="1206" spans="1:12" x14ac:dyDescent="0.25">
      <c r="A1206" t="s">
        <v>36</v>
      </c>
      <c r="B1206">
        <v>1185732</v>
      </c>
      <c r="C1206" s="1">
        <v>44246</v>
      </c>
      <c r="D1206" t="s">
        <v>29</v>
      </c>
      <c r="E1206" t="s">
        <v>80</v>
      </c>
      <c r="F1206" t="s">
        <v>81</v>
      </c>
      <c r="G1206" t="s">
        <v>41</v>
      </c>
      <c r="H1206" t="s">
        <v>38</v>
      </c>
      <c r="I1206" s="3">
        <v>49</v>
      </c>
      <c r="J1206" s="2">
        <v>180</v>
      </c>
      <c r="K1206" s="3">
        <f t="shared" si="18"/>
        <v>8820</v>
      </c>
      <c r="L1206" s="3">
        <v>4145.3999999999996</v>
      </c>
    </row>
    <row r="1207" spans="1:12" x14ac:dyDescent="0.25">
      <c r="A1207" t="s">
        <v>27</v>
      </c>
      <c r="B1207">
        <v>1189833</v>
      </c>
      <c r="C1207" s="1">
        <v>44247</v>
      </c>
      <c r="D1207" t="s">
        <v>57</v>
      </c>
      <c r="E1207" t="s">
        <v>58</v>
      </c>
      <c r="F1207" t="s">
        <v>59</v>
      </c>
      <c r="G1207" t="s">
        <v>15</v>
      </c>
      <c r="H1207" t="s">
        <v>38</v>
      </c>
      <c r="I1207" s="3">
        <v>45</v>
      </c>
      <c r="J1207" s="2">
        <v>550</v>
      </c>
      <c r="K1207" s="3">
        <f t="shared" si="18"/>
        <v>24750</v>
      </c>
      <c r="L1207" s="3">
        <v>13612.5</v>
      </c>
    </row>
    <row r="1208" spans="1:12" x14ac:dyDescent="0.25">
      <c r="A1208" t="s">
        <v>27</v>
      </c>
      <c r="B1208">
        <v>1189833</v>
      </c>
      <c r="C1208" s="1">
        <v>44247</v>
      </c>
      <c r="D1208" t="s">
        <v>57</v>
      </c>
      <c r="E1208" t="s">
        <v>58</v>
      </c>
      <c r="F1208" t="s">
        <v>59</v>
      </c>
      <c r="G1208" t="s">
        <v>41</v>
      </c>
      <c r="H1208" t="s">
        <v>38</v>
      </c>
      <c r="I1208" s="3">
        <v>44</v>
      </c>
      <c r="J1208" s="2">
        <v>160</v>
      </c>
      <c r="K1208" s="3">
        <f t="shared" si="18"/>
        <v>7040</v>
      </c>
      <c r="L1208" s="3">
        <v>3097.5999999999995</v>
      </c>
    </row>
    <row r="1209" spans="1:12" x14ac:dyDescent="0.25">
      <c r="A1209" t="s">
        <v>27</v>
      </c>
      <c r="B1209">
        <v>1189833</v>
      </c>
      <c r="C1209" s="1">
        <v>44248</v>
      </c>
      <c r="D1209" t="s">
        <v>57</v>
      </c>
      <c r="E1209" t="s">
        <v>58</v>
      </c>
      <c r="F1209" t="s">
        <v>59</v>
      </c>
      <c r="G1209" t="s">
        <v>15</v>
      </c>
      <c r="H1209" t="s">
        <v>17</v>
      </c>
      <c r="I1209" s="3">
        <v>50</v>
      </c>
      <c r="J1209" s="2">
        <v>550</v>
      </c>
      <c r="K1209" s="3">
        <f t="shared" si="18"/>
        <v>27500</v>
      </c>
      <c r="L1209" s="3">
        <v>19250</v>
      </c>
    </row>
    <row r="1210" spans="1:12" x14ac:dyDescent="0.25">
      <c r="A1210" t="s">
        <v>26</v>
      </c>
      <c r="B1210">
        <v>1197831</v>
      </c>
      <c r="C1210" s="1">
        <v>44248</v>
      </c>
      <c r="D1210" t="s">
        <v>52</v>
      </c>
      <c r="E1210" t="s">
        <v>112</v>
      </c>
      <c r="F1210" t="s">
        <v>113</v>
      </c>
      <c r="G1210" t="s">
        <v>41</v>
      </c>
      <c r="H1210" t="s">
        <v>17</v>
      </c>
      <c r="I1210" s="3">
        <v>25.000000000000007</v>
      </c>
      <c r="J1210" s="2">
        <v>350</v>
      </c>
      <c r="K1210" s="3">
        <f t="shared" si="18"/>
        <v>8750.0000000000018</v>
      </c>
      <c r="L1210" s="3">
        <v>5687.5000000000018</v>
      </c>
    </row>
    <row r="1211" spans="1:12" x14ac:dyDescent="0.25">
      <c r="A1211" t="s">
        <v>11</v>
      </c>
      <c r="B1211">
        <v>1197831</v>
      </c>
      <c r="C1211" s="1">
        <v>44248</v>
      </c>
      <c r="D1211" t="s">
        <v>52</v>
      </c>
      <c r="E1211" t="s">
        <v>114</v>
      </c>
      <c r="F1211" t="s">
        <v>115</v>
      </c>
      <c r="G1211" t="s">
        <v>41</v>
      </c>
      <c r="H1211" t="s">
        <v>17</v>
      </c>
      <c r="I1211" s="3">
        <v>25.000000000000007</v>
      </c>
      <c r="J1211" s="2">
        <v>275</v>
      </c>
      <c r="K1211" s="3">
        <f t="shared" si="18"/>
        <v>6875.0000000000018</v>
      </c>
      <c r="L1211" s="3">
        <v>4468.7500000000018</v>
      </c>
    </row>
    <row r="1212" spans="1:12" x14ac:dyDescent="0.25">
      <c r="A1212" t="s">
        <v>23</v>
      </c>
      <c r="B1212">
        <v>1197831</v>
      </c>
      <c r="C1212" s="1">
        <v>44248</v>
      </c>
      <c r="D1212" t="s">
        <v>52</v>
      </c>
      <c r="E1212" t="s">
        <v>114</v>
      </c>
      <c r="F1212" t="s">
        <v>115</v>
      </c>
      <c r="G1212" t="s">
        <v>41</v>
      </c>
      <c r="H1212" t="s">
        <v>22</v>
      </c>
      <c r="I1212" s="3">
        <v>35</v>
      </c>
      <c r="J1212" s="2">
        <v>325</v>
      </c>
      <c r="K1212" s="3">
        <f t="shared" si="18"/>
        <v>11375</v>
      </c>
      <c r="L1212" s="3">
        <v>7393.75</v>
      </c>
    </row>
    <row r="1213" spans="1:12" x14ac:dyDescent="0.25">
      <c r="A1213" t="s">
        <v>11</v>
      </c>
      <c r="B1213">
        <v>1197831</v>
      </c>
      <c r="C1213" s="1">
        <v>44248</v>
      </c>
      <c r="D1213" t="s">
        <v>52</v>
      </c>
      <c r="E1213" t="s">
        <v>116</v>
      </c>
      <c r="F1213" t="s">
        <v>117</v>
      </c>
      <c r="G1213" t="s">
        <v>41</v>
      </c>
      <c r="H1213" t="s">
        <v>22</v>
      </c>
      <c r="I1213" s="3">
        <v>35</v>
      </c>
      <c r="J1213" s="2">
        <v>250</v>
      </c>
      <c r="K1213" s="3">
        <f t="shared" si="18"/>
        <v>8750</v>
      </c>
      <c r="L1213" s="3">
        <v>5687.5</v>
      </c>
    </row>
    <row r="1214" spans="1:12" x14ac:dyDescent="0.25">
      <c r="A1214" t="s">
        <v>26</v>
      </c>
      <c r="B1214">
        <v>1197831</v>
      </c>
      <c r="C1214" s="1">
        <v>44248</v>
      </c>
      <c r="D1214" t="s">
        <v>52</v>
      </c>
      <c r="E1214" t="s">
        <v>112</v>
      </c>
      <c r="F1214" t="s">
        <v>113</v>
      </c>
      <c r="G1214" t="s">
        <v>41</v>
      </c>
      <c r="H1214" t="s">
        <v>38</v>
      </c>
      <c r="I1214" s="3">
        <v>25.000000000000007</v>
      </c>
      <c r="J1214" s="2">
        <v>700</v>
      </c>
      <c r="K1214" s="3">
        <f t="shared" si="18"/>
        <v>17500.000000000004</v>
      </c>
      <c r="L1214" s="3">
        <v>10500.000000000004</v>
      </c>
    </row>
    <row r="1215" spans="1:12" x14ac:dyDescent="0.25">
      <c r="A1215" t="s">
        <v>11</v>
      </c>
      <c r="B1215">
        <v>1197831</v>
      </c>
      <c r="C1215" s="1">
        <v>44248</v>
      </c>
      <c r="D1215" t="s">
        <v>52</v>
      </c>
      <c r="E1215" t="s">
        <v>114</v>
      </c>
      <c r="F1215" t="s">
        <v>115</v>
      </c>
      <c r="G1215" t="s">
        <v>41</v>
      </c>
      <c r="H1215" t="s">
        <v>38</v>
      </c>
      <c r="I1215" s="3">
        <v>25.000000000000007</v>
      </c>
      <c r="J1215" s="2">
        <v>625</v>
      </c>
      <c r="K1215" s="3">
        <f t="shared" si="18"/>
        <v>15625.000000000004</v>
      </c>
      <c r="L1215" s="3">
        <v>9375.0000000000036</v>
      </c>
    </row>
    <row r="1216" spans="1:12" x14ac:dyDescent="0.25">
      <c r="A1216" t="s">
        <v>23</v>
      </c>
      <c r="B1216">
        <v>1197831</v>
      </c>
      <c r="C1216" s="1">
        <v>44248</v>
      </c>
      <c r="D1216" t="s">
        <v>52</v>
      </c>
      <c r="E1216" t="s">
        <v>114</v>
      </c>
      <c r="F1216" t="s">
        <v>115</v>
      </c>
      <c r="G1216" t="s">
        <v>41</v>
      </c>
      <c r="H1216" t="s">
        <v>37</v>
      </c>
      <c r="I1216" s="3">
        <v>20</v>
      </c>
      <c r="J1216" s="2">
        <v>250</v>
      </c>
      <c r="K1216" s="3">
        <f t="shared" si="18"/>
        <v>5000</v>
      </c>
      <c r="L1216" s="3">
        <v>3000</v>
      </c>
    </row>
    <row r="1217" spans="1:12" x14ac:dyDescent="0.25">
      <c r="A1217" t="s">
        <v>23</v>
      </c>
      <c r="B1217">
        <v>1197831</v>
      </c>
      <c r="C1217" s="1">
        <v>44248</v>
      </c>
      <c r="D1217" t="s">
        <v>52</v>
      </c>
      <c r="E1217" t="s">
        <v>114</v>
      </c>
      <c r="F1217" t="s">
        <v>115</v>
      </c>
      <c r="G1217" t="s">
        <v>41</v>
      </c>
      <c r="H1217" t="s">
        <v>16</v>
      </c>
      <c r="I1217" s="3">
        <v>20</v>
      </c>
      <c r="J1217" s="2">
        <v>425</v>
      </c>
      <c r="K1217" s="3">
        <f t="shared" si="18"/>
        <v>8500</v>
      </c>
      <c r="L1217" s="3">
        <v>5100</v>
      </c>
    </row>
    <row r="1218" spans="1:12" x14ac:dyDescent="0.25">
      <c r="A1218" t="s">
        <v>11</v>
      </c>
      <c r="B1218">
        <v>1197831</v>
      </c>
      <c r="C1218" s="1">
        <v>44248</v>
      </c>
      <c r="D1218" t="s">
        <v>52</v>
      </c>
      <c r="E1218" t="s">
        <v>116</v>
      </c>
      <c r="F1218" t="s">
        <v>117</v>
      </c>
      <c r="G1218" t="s">
        <v>41</v>
      </c>
      <c r="H1218" t="s">
        <v>37</v>
      </c>
      <c r="I1218" s="3">
        <v>20</v>
      </c>
      <c r="J1218" s="2">
        <v>175</v>
      </c>
      <c r="K1218" s="3">
        <f t="shared" si="18"/>
        <v>3500</v>
      </c>
      <c r="L1218" s="3">
        <v>2100</v>
      </c>
    </row>
    <row r="1219" spans="1:12" x14ac:dyDescent="0.25">
      <c r="A1219" t="s">
        <v>11</v>
      </c>
      <c r="B1219">
        <v>1197831</v>
      </c>
      <c r="C1219" s="1">
        <v>44248</v>
      </c>
      <c r="D1219" t="s">
        <v>52</v>
      </c>
      <c r="E1219" t="s">
        <v>116</v>
      </c>
      <c r="F1219" t="s">
        <v>117</v>
      </c>
      <c r="G1219" t="s">
        <v>41</v>
      </c>
      <c r="H1219" t="s">
        <v>16</v>
      </c>
      <c r="I1219" s="3">
        <v>20</v>
      </c>
      <c r="J1219" s="2">
        <v>350</v>
      </c>
      <c r="K1219" s="3">
        <f t="shared" ref="K1219:K1282" si="19">I1219*J1219</f>
        <v>7000</v>
      </c>
      <c r="L1219" s="3">
        <v>4200</v>
      </c>
    </row>
    <row r="1220" spans="1:12" x14ac:dyDescent="0.25">
      <c r="A1220" t="s">
        <v>26</v>
      </c>
      <c r="B1220">
        <v>1197831</v>
      </c>
      <c r="C1220" s="1">
        <v>44248</v>
      </c>
      <c r="D1220" t="s">
        <v>52</v>
      </c>
      <c r="E1220" t="s">
        <v>112</v>
      </c>
      <c r="F1220" t="s">
        <v>113</v>
      </c>
      <c r="G1220" t="s">
        <v>41</v>
      </c>
      <c r="H1220" t="s">
        <v>35</v>
      </c>
      <c r="I1220" s="3">
        <v>15.000000000000007</v>
      </c>
      <c r="J1220" s="2">
        <v>400</v>
      </c>
      <c r="K1220" s="3">
        <f t="shared" si="19"/>
        <v>6000.0000000000027</v>
      </c>
      <c r="L1220" s="3">
        <v>3600.0000000000014</v>
      </c>
    </row>
    <row r="1221" spans="1:12" x14ac:dyDescent="0.25">
      <c r="A1221" t="s">
        <v>11</v>
      </c>
      <c r="B1221">
        <v>1197831</v>
      </c>
      <c r="C1221" s="1">
        <v>44248</v>
      </c>
      <c r="D1221" t="s">
        <v>52</v>
      </c>
      <c r="E1221" t="s">
        <v>114</v>
      </c>
      <c r="F1221" t="s">
        <v>115</v>
      </c>
      <c r="G1221" t="s">
        <v>41</v>
      </c>
      <c r="H1221" t="s">
        <v>35</v>
      </c>
      <c r="I1221" s="3">
        <v>15.000000000000007</v>
      </c>
      <c r="J1221" s="2">
        <v>325</v>
      </c>
      <c r="K1221" s="3">
        <f t="shared" si="19"/>
        <v>4875.0000000000027</v>
      </c>
      <c r="L1221" s="3">
        <v>2925.0000000000009</v>
      </c>
    </row>
    <row r="1222" spans="1:12" x14ac:dyDescent="0.25">
      <c r="A1222" t="s">
        <v>23</v>
      </c>
      <c r="B1222">
        <v>1197831</v>
      </c>
      <c r="C1222" s="1">
        <v>44248</v>
      </c>
      <c r="D1222" t="s">
        <v>52</v>
      </c>
      <c r="E1222" t="s">
        <v>114</v>
      </c>
      <c r="F1222" t="s">
        <v>115</v>
      </c>
      <c r="G1222" t="s">
        <v>15</v>
      </c>
      <c r="H1222" t="s">
        <v>22</v>
      </c>
      <c r="I1222" s="3">
        <v>23</v>
      </c>
      <c r="J1222" s="2">
        <v>111</v>
      </c>
      <c r="K1222" s="3">
        <f t="shared" si="19"/>
        <v>2553</v>
      </c>
      <c r="L1222" s="3">
        <v>1608.3899999999999</v>
      </c>
    </row>
    <row r="1223" spans="1:12" x14ac:dyDescent="0.25">
      <c r="A1223" t="s">
        <v>26</v>
      </c>
      <c r="B1223">
        <v>1197831</v>
      </c>
      <c r="C1223" s="1">
        <v>44248</v>
      </c>
      <c r="D1223" t="s">
        <v>52</v>
      </c>
      <c r="E1223" t="s">
        <v>112</v>
      </c>
      <c r="F1223" t="s">
        <v>113</v>
      </c>
      <c r="G1223" t="s">
        <v>15</v>
      </c>
      <c r="H1223" t="s">
        <v>17</v>
      </c>
      <c r="I1223" s="3">
        <v>17</v>
      </c>
      <c r="J1223" s="2">
        <v>112</v>
      </c>
      <c r="K1223" s="3">
        <f t="shared" si="19"/>
        <v>1904</v>
      </c>
      <c r="L1223" s="3">
        <v>1161.44</v>
      </c>
    </row>
    <row r="1224" spans="1:12" x14ac:dyDescent="0.25">
      <c r="A1224" t="s">
        <v>11</v>
      </c>
      <c r="B1224">
        <v>1197831</v>
      </c>
      <c r="C1224" s="1">
        <v>44248</v>
      </c>
      <c r="D1224" t="s">
        <v>52</v>
      </c>
      <c r="E1224" t="s">
        <v>114</v>
      </c>
      <c r="F1224" t="s">
        <v>115</v>
      </c>
      <c r="G1224" t="s">
        <v>15</v>
      </c>
      <c r="H1224" t="s">
        <v>17</v>
      </c>
      <c r="I1224" s="3">
        <v>17</v>
      </c>
      <c r="J1224" s="2">
        <v>83</v>
      </c>
      <c r="K1224" s="3">
        <f t="shared" si="19"/>
        <v>1411</v>
      </c>
      <c r="L1224" s="3">
        <v>860.71</v>
      </c>
    </row>
    <row r="1225" spans="1:12" x14ac:dyDescent="0.25">
      <c r="A1225" t="s">
        <v>11</v>
      </c>
      <c r="B1225">
        <v>1197831</v>
      </c>
      <c r="C1225" s="1">
        <v>44248</v>
      </c>
      <c r="D1225" t="s">
        <v>52</v>
      </c>
      <c r="E1225" t="s">
        <v>116</v>
      </c>
      <c r="F1225" t="s">
        <v>117</v>
      </c>
      <c r="G1225" t="s">
        <v>15</v>
      </c>
      <c r="H1225" t="s">
        <v>22</v>
      </c>
      <c r="I1225" s="3">
        <v>24</v>
      </c>
      <c r="J1225" s="2">
        <v>85</v>
      </c>
      <c r="K1225" s="3">
        <f t="shared" si="19"/>
        <v>2040</v>
      </c>
      <c r="L1225" s="3">
        <v>1224</v>
      </c>
    </row>
    <row r="1226" spans="1:12" x14ac:dyDescent="0.25">
      <c r="A1226" t="s">
        <v>26</v>
      </c>
      <c r="B1226">
        <v>1197831</v>
      </c>
      <c r="C1226" s="1">
        <v>44248</v>
      </c>
      <c r="D1226" t="s">
        <v>52</v>
      </c>
      <c r="E1226" t="s">
        <v>112</v>
      </c>
      <c r="F1226" t="s">
        <v>113</v>
      </c>
      <c r="G1226" t="s">
        <v>15</v>
      </c>
      <c r="H1226" t="s">
        <v>35</v>
      </c>
      <c r="I1226" s="3">
        <v>11</v>
      </c>
      <c r="J1226" s="2">
        <v>136</v>
      </c>
      <c r="K1226" s="3">
        <f t="shared" si="19"/>
        <v>1496</v>
      </c>
      <c r="L1226" s="3">
        <v>867.68</v>
      </c>
    </row>
    <row r="1227" spans="1:12" x14ac:dyDescent="0.25">
      <c r="A1227" t="s">
        <v>23</v>
      </c>
      <c r="B1227">
        <v>1197831</v>
      </c>
      <c r="C1227" s="1">
        <v>44248</v>
      </c>
      <c r="D1227" t="s">
        <v>52</v>
      </c>
      <c r="E1227" t="s">
        <v>114</v>
      </c>
      <c r="F1227" t="s">
        <v>115</v>
      </c>
      <c r="G1227" t="s">
        <v>15</v>
      </c>
      <c r="H1227" t="s">
        <v>16</v>
      </c>
      <c r="I1227" s="3">
        <v>16</v>
      </c>
      <c r="J1227" s="2">
        <v>145</v>
      </c>
      <c r="K1227" s="3">
        <f t="shared" si="19"/>
        <v>2320</v>
      </c>
      <c r="L1227" s="3">
        <v>1345.6</v>
      </c>
    </row>
    <row r="1228" spans="1:12" x14ac:dyDescent="0.25">
      <c r="A1228" t="s">
        <v>27</v>
      </c>
      <c r="B1228">
        <v>1189833</v>
      </c>
      <c r="C1228" s="1">
        <v>44248</v>
      </c>
      <c r="D1228" t="s">
        <v>57</v>
      </c>
      <c r="E1228" t="s">
        <v>58</v>
      </c>
      <c r="F1228" t="s">
        <v>59</v>
      </c>
      <c r="G1228" t="s">
        <v>41</v>
      </c>
      <c r="H1228" t="s">
        <v>17</v>
      </c>
      <c r="I1228" s="3">
        <v>49</v>
      </c>
      <c r="J1228" s="2">
        <v>160</v>
      </c>
      <c r="K1228" s="3">
        <f t="shared" si="19"/>
        <v>7840</v>
      </c>
      <c r="L1228" s="3">
        <v>4468.8</v>
      </c>
    </row>
    <row r="1229" spans="1:12" x14ac:dyDescent="0.25">
      <c r="A1229" t="s">
        <v>11</v>
      </c>
      <c r="B1229">
        <v>1197831</v>
      </c>
      <c r="C1229" s="1">
        <v>44248</v>
      </c>
      <c r="D1229" t="s">
        <v>52</v>
      </c>
      <c r="E1229" t="s">
        <v>114</v>
      </c>
      <c r="F1229" t="s">
        <v>115</v>
      </c>
      <c r="G1229" t="s">
        <v>15</v>
      </c>
      <c r="H1229" t="s">
        <v>38</v>
      </c>
      <c r="I1229" s="3">
        <v>18</v>
      </c>
      <c r="J1229" s="2">
        <v>206</v>
      </c>
      <c r="K1229" s="3">
        <f t="shared" si="19"/>
        <v>3708</v>
      </c>
      <c r="L1229" s="3">
        <v>2076.48</v>
      </c>
    </row>
    <row r="1230" spans="1:12" x14ac:dyDescent="0.25">
      <c r="A1230" t="s">
        <v>23</v>
      </c>
      <c r="B1230">
        <v>1197831</v>
      </c>
      <c r="C1230" s="1">
        <v>44248</v>
      </c>
      <c r="D1230" t="s">
        <v>52</v>
      </c>
      <c r="E1230" t="s">
        <v>114</v>
      </c>
      <c r="F1230" t="s">
        <v>115</v>
      </c>
      <c r="G1230" t="s">
        <v>41</v>
      </c>
      <c r="H1230" t="s">
        <v>22</v>
      </c>
      <c r="I1230" s="3">
        <v>34</v>
      </c>
      <c r="J1230" s="2">
        <v>98</v>
      </c>
      <c r="K1230" s="3">
        <f t="shared" si="19"/>
        <v>3332</v>
      </c>
      <c r="L1230" s="3">
        <v>1832.6000000000001</v>
      </c>
    </row>
    <row r="1231" spans="1:12" x14ac:dyDescent="0.25">
      <c r="A1231" t="s">
        <v>26</v>
      </c>
      <c r="B1231">
        <v>1197831</v>
      </c>
      <c r="C1231" s="1">
        <v>44248</v>
      </c>
      <c r="D1231" t="s">
        <v>52</v>
      </c>
      <c r="E1231" t="s">
        <v>112</v>
      </c>
      <c r="F1231" t="s">
        <v>113</v>
      </c>
      <c r="G1231" t="s">
        <v>41</v>
      </c>
      <c r="H1231" t="s">
        <v>17</v>
      </c>
      <c r="I1231" s="3">
        <v>24</v>
      </c>
      <c r="J1231" s="2">
        <v>105</v>
      </c>
      <c r="K1231" s="3">
        <f t="shared" si="19"/>
        <v>2520</v>
      </c>
      <c r="L1231" s="3">
        <v>1386</v>
      </c>
    </row>
    <row r="1232" spans="1:12" x14ac:dyDescent="0.25">
      <c r="A1232" t="s">
        <v>26</v>
      </c>
      <c r="B1232">
        <v>1197831</v>
      </c>
      <c r="C1232" s="1">
        <v>44248</v>
      </c>
      <c r="D1232" t="s">
        <v>52</v>
      </c>
      <c r="E1232" t="s">
        <v>112</v>
      </c>
      <c r="F1232" t="s">
        <v>113</v>
      </c>
      <c r="G1232" t="s">
        <v>15</v>
      </c>
      <c r="H1232" t="s">
        <v>38</v>
      </c>
      <c r="I1232" s="3">
        <v>17</v>
      </c>
      <c r="J1232" s="2">
        <v>210</v>
      </c>
      <c r="K1232" s="3">
        <f t="shared" si="19"/>
        <v>3570</v>
      </c>
      <c r="L1232" s="3">
        <v>1963.5</v>
      </c>
    </row>
    <row r="1233" spans="1:12" x14ac:dyDescent="0.25">
      <c r="A1233" t="s">
        <v>11</v>
      </c>
      <c r="B1233">
        <v>1197831</v>
      </c>
      <c r="C1233" s="1">
        <v>44248</v>
      </c>
      <c r="D1233" t="s">
        <v>52</v>
      </c>
      <c r="E1233" t="s">
        <v>114</v>
      </c>
      <c r="F1233" t="s">
        <v>115</v>
      </c>
      <c r="G1233" t="s">
        <v>41</v>
      </c>
      <c r="H1233" t="s">
        <v>17</v>
      </c>
      <c r="I1233" s="3">
        <v>23</v>
      </c>
      <c r="J1233" s="2">
        <v>80</v>
      </c>
      <c r="K1233" s="3">
        <f t="shared" si="19"/>
        <v>1840</v>
      </c>
      <c r="L1233" s="3">
        <v>993.6</v>
      </c>
    </row>
    <row r="1234" spans="1:12" x14ac:dyDescent="0.25">
      <c r="A1234" t="s">
        <v>11</v>
      </c>
      <c r="B1234">
        <v>1197831</v>
      </c>
      <c r="C1234" s="1">
        <v>44248</v>
      </c>
      <c r="D1234" t="s">
        <v>52</v>
      </c>
      <c r="E1234" t="s">
        <v>116</v>
      </c>
      <c r="F1234" t="s">
        <v>117</v>
      </c>
      <c r="G1234" t="s">
        <v>15</v>
      </c>
      <c r="H1234" t="s">
        <v>37</v>
      </c>
      <c r="I1234" s="3">
        <v>15</v>
      </c>
      <c r="J1234" s="2">
        <v>58</v>
      </c>
      <c r="K1234" s="3">
        <f t="shared" si="19"/>
        <v>870</v>
      </c>
      <c r="L1234" s="3">
        <v>469.79999999999995</v>
      </c>
    </row>
    <row r="1235" spans="1:12" x14ac:dyDescent="0.25">
      <c r="A1235" t="s">
        <v>11</v>
      </c>
      <c r="B1235">
        <v>1197831</v>
      </c>
      <c r="C1235" s="1">
        <v>44248</v>
      </c>
      <c r="D1235" t="s">
        <v>52</v>
      </c>
      <c r="E1235" t="s">
        <v>116</v>
      </c>
      <c r="F1235" t="s">
        <v>117</v>
      </c>
      <c r="G1235" t="s">
        <v>15</v>
      </c>
      <c r="H1235" t="s">
        <v>16</v>
      </c>
      <c r="I1235" s="3">
        <v>14</v>
      </c>
      <c r="J1235" s="2">
        <v>112</v>
      </c>
      <c r="K1235" s="3">
        <f t="shared" si="19"/>
        <v>1568</v>
      </c>
      <c r="L1235" s="3">
        <v>846.71999999999991</v>
      </c>
    </row>
    <row r="1236" spans="1:12" x14ac:dyDescent="0.25">
      <c r="A1236" t="s">
        <v>11</v>
      </c>
      <c r="B1236">
        <v>1197831</v>
      </c>
      <c r="C1236" s="1">
        <v>44248</v>
      </c>
      <c r="D1236" t="s">
        <v>52</v>
      </c>
      <c r="E1236" t="s">
        <v>116</v>
      </c>
      <c r="F1236" t="s">
        <v>117</v>
      </c>
      <c r="G1236" t="s">
        <v>41</v>
      </c>
      <c r="H1236" t="s">
        <v>22</v>
      </c>
      <c r="I1236" s="3">
        <v>34</v>
      </c>
      <c r="J1236" s="2">
        <v>75</v>
      </c>
      <c r="K1236" s="3">
        <f t="shared" si="19"/>
        <v>2550</v>
      </c>
      <c r="L1236" s="3">
        <v>1351.5</v>
      </c>
    </row>
    <row r="1237" spans="1:12" x14ac:dyDescent="0.25">
      <c r="A1237" t="s">
        <v>23</v>
      </c>
      <c r="B1237">
        <v>1197831</v>
      </c>
      <c r="C1237" s="1">
        <v>44248</v>
      </c>
      <c r="D1237" t="s">
        <v>52</v>
      </c>
      <c r="E1237" t="s">
        <v>114</v>
      </c>
      <c r="F1237" t="s">
        <v>115</v>
      </c>
      <c r="G1237" t="s">
        <v>15</v>
      </c>
      <c r="H1237" t="s">
        <v>37</v>
      </c>
      <c r="I1237" s="3">
        <v>15</v>
      </c>
      <c r="J1237" s="2">
        <v>78</v>
      </c>
      <c r="K1237" s="3">
        <f t="shared" si="19"/>
        <v>1170</v>
      </c>
      <c r="L1237" s="3">
        <v>620.1</v>
      </c>
    </row>
    <row r="1238" spans="1:12" x14ac:dyDescent="0.25">
      <c r="A1238" t="s">
        <v>11</v>
      </c>
      <c r="B1238">
        <v>1197831</v>
      </c>
      <c r="C1238" s="1">
        <v>44248</v>
      </c>
      <c r="D1238" t="s">
        <v>52</v>
      </c>
      <c r="E1238" t="s">
        <v>114</v>
      </c>
      <c r="F1238" t="s">
        <v>115</v>
      </c>
      <c r="G1238" t="s">
        <v>15</v>
      </c>
      <c r="H1238" t="s">
        <v>35</v>
      </c>
      <c r="I1238" s="3">
        <v>12</v>
      </c>
      <c r="J1238" s="2">
        <v>98</v>
      </c>
      <c r="K1238" s="3">
        <f t="shared" si="19"/>
        <v>1176</v>
      </c>
      <c r="L1238" s="3">
        <v>623.28</v>
      </c>
    </row>
    <row r="1239" spans="1:12" x14ac:dyDescent="0.25">
      <c r="A1239" t="s">
        <v>26</v>
      </c>
      <c r="B1239">
        <v>1197831</v>
      </c>
      <c r="C1239" s="1">
        <v>44248</v>
      </c>
      <c r="D1239" t="s">
        <v>52</v>
      </c>
      <c r="E1239" t="s">
        <v>112</v>
      </c>
      <c r="F1239" t="s">
        <v>113</v>
      </c>
      <c r="G1239" t="s">
        <v>41</v>
      </c>
      <c r="H1239" t="s">
        <v>35</v>
      </c>
      <c r="I1239" s="3">
        <v>14</v>
      </c>
      <c r="J1239" s="2">
        <v>120</v>
      </c>
      <c r="K1239" s="3">
        <f t="shared" si="19"/>
        <v>1680</v>
      </c>
      <c r="L1239" s="3">
        <v>840</v>
      </c>
    </row>
    <row r="1240" spans="1:12" x14ac:dyDescent="0.25">
      <c r="A1240" t="s">
        <v>23</v>
      </c>
      <c r="B1240">
        <v>1197831</v>
      </c>
      <c r="C1240" s="1">
        <v>44248</v>
      </c>
      <c r="D1240" t="s">
        <v>52</v>
      </c>
      <c r="E1240" t="s">
        <v>114</v>
      </c>
      <c r="F1240" t="s">
        <v>115</v>
      </c>
      <c r="G1240" t="s">
        <v>41</v>
      </c>
      <c r="H1240" t="s">
        <v>37</v>
      </c>
      <c r="I1240" s="3">
        <v>18</v>
      </c>
      <c r="J1240" s="2">
        <v>70</v>
      </c>
      <c r="K1240" s="3">
        <f t="shared" si="19"/>
        <v>1260</v>
      </c>
      <c r="L1240" s="3">
        <v>630</v>
      </c>
    </row>
    <row r="1241" spans="1:12" x14ac:dyDescent="0.25">
      <c r="A1241" t="s">
        <v>11</v>
      </c>
      <c r="B1241">
        <v>1197831</v>
      </c>
      <c r="C1241" s="1">
        <v>44248</v>
      </c>
      <c r="D1241" t="s">
        <v>52</v>
      </c>
      <c r="E1241" t="s">
        <v>114</v>
      </c>
      <c r="F1241" t="s">
        <v>115</v>
      </c>
      <c r="G1241" t="s">
        <v>41</v>
      </c>
      <c r="H1241" t="s">
        <v>35</v>
      </c>
      <c r="I1241" s="3">
        <v>15</v>
      </c>
      <c r="J1241" s="2">
        <v>91</v>
      </c>
      <c r="K1241" s="3">
        <f t="shared" si="19"/>
        <v>1365</v>
      </c>
      <c r="L1241" s="3">
        <v>682.5</v>
      </c>
    </row>
    <row r="1242" spans="1:12" x14ac:dyDescent="0.25">
      <c r="A1242" t="s">
        <v>26</v>
      </c>
      <c r="B1242">
        <v>1197831</v>
      </c>
      <c r="C1242" s="1">
        <v>44248</v>
      </c>
      <c r="D1242" t="s">
        <v>52</v>
      </c>
      <c r="E1242" t="s">
        <v>112</v>
      </c>
      <c r="F1242" t="s">
        <v>113</v>
      </c>
      <c r="G1242" t="s">
        <v>41</v>
      </c>
      <c r="H1242" t="s">
        <v>38</v>
      </c>
      <c r="I1242" s="3">
        <v>24</v>
      </c>
      <c r="J1242" s="2">
        <v>189</v>
      </c>
      <c r="K1242" s="3">
        <f t="shared" si="19"/>
        <v>4536</v>
      </c>
      <c r="L1242" s="3">
        <v>2222.64</v>
      </c>
    </row>
    <row r="1243" spans="1:12" x14ac:dyDescent="0.25">
      <c r="A1243" t="s">
        <v>11</v>
      </c>
      <c r="B1243">
        <v>1197831</v>
      </c>
      <c r="C1243" s="1">
        <v>44248</v>
      </c>
      <c r="D1243" t="s">
        <v>52</v>
      </c>
      <c r="E1243" t="s">
        <v>116</v>
      </c>
      <c r="F1243" t="s">
        <v>117</v>
      </c>
      <c r="G1243" t="s">
        <v>41</v>
      </c>
      <c r="H1243" t="s">
        <v>37</v>
      </c>
      <c r="I1243" s="3">
        <v>19</v>
      </c>
      <c r="J1243" s="2">
        <v>49</v>
      </c>
      <c r="K1243" s="3">
        <f t="shared" si="19"/>
        <v>931</v>
      </c>
      <c r="L1243" s="3">
        <v>456.19</v>
      </c>
    </row>
    <row r="1244" spans="1:12" x14ac:dyDescent="0.25">
      <c r="A1244" t="s">
        <v>11</v>
      </c>
      <c r="B1244">
        <v>1197831</v>
      </c>
      <c r="C1244" s="1">
        <v>44248</v>
      </c>
      <c r="D1244" t="s">
        <v>52</v>
      </c>
      <c r="E1244" t="s">
        <v>116</v>
      </c>
      <c r="F1244" t="s">
        <v>117</v>
      </c>
      <c r="G1244" t="s">
        <v>41</v>
      </c>
      <c r="H1244" t="s">
        <v>16</v>
      </c>
      <c r="I1244" s="3">
        <v>18</v>
      </c>
      <c r="J1244" s="2">
        <v>98</v>
      </c>
      <c r="K1244" s="3">
        <f t="shared" si="19"/>
        <v>1764</v>
      </c>
      <c r="L1244" s="3">
        <v>864.36</v>
      </c>
    </row>
    <row r="1245" spans="1:12" x14ac:dyDescent="0.25">
      <c r="A1245" t="s">
        <v>11</v>
      </c>
      <c r="B1245">
        <v>1197831</v>
      </c>
      <c r="C1245" s="1">
        <v>44248</v>
      </c>
      <c r="D1245" t="s">
        <v>52</v>
      </c>
      <c r="E1245" t="s">
        <v>114</v>
      </c>
      <c r="F1245" t="s">
        <v>115</v>
      </c>
      <c r="G1245" t="s">
        <v>41</v>
      </c>
      <c r="H1245" t="s">
        <v>38</v>
      </c>
      <c r="I1245" s="3">
        <v>24</v>
      </c>
      <c r="J1245" s="2">
        <v>169</v>
      </c>
      <c r="K1245" s="3">
        <f t="shared" si="19"/>
        <v>4056</v>
      </c>
      <c r="L1245" s="3">
        <v>1946.88</v>
      </c>
    </row>
    <row r="1246" spans="1:12" x14ac:dyDescent="0.25">
      <c r="A1246" t="s">
        <v>23</v>
      </c>
      <c r="B1246">
        <v>1197831</v>
      </c>
      <c r="C1246" s="1">
        <v>44248</v>
      </c>
      <c r="D1246" t="s">
        <v>52</v>
      </c>
      <c r="E1246" t="s">
        <v>114</v>
      </c>
      <c r="F1246" t="s">
        <v>115</v>
      </c>
      <c r="G1246" t="s">
        <v>41</v>
      </c>
      <c r="H1246" t="s">
        <v>16</v>
      </c>
      <c r="I1246" s="3">
        <v>19</v>
      </c>
      <c r="J1246" s="2">
        <v>115</v>
      </c>
      <c r="K1246" s="3">
        <f t="shared" si="19"/>
        <v>2185</v>
      </c>
      <c r="L1246" s="3">
        <v>1005.0999999999999</v>
      </c>
    </row>
    <row r="1247" spans="1:12" x14ac:dyDescent="0.25">
      <c r="A1247" t="s">
        <v>36</v>
      </c>
      <c r="B1247">
        <v>1185732</v>
      </c>
      <c r="C1247" s="1">
        <v>44249</v>
      </c>
      <c r="D1247" t="s">
        <v>12</v>
      </c>
      <c r="E1247" t="s">
        <v>24</v>
      </c>
      <c r="F1247" t="s">
        <v>25</v>
      </c>
      <c r="G1247" t="s">
        <v>15</v>
      </c>
      <c r="H1247" t="s">
        <v>35</v>
      </c>
      <c r="I1247" s="3">
        <v>45</v>
      </c>
      <c r="J1247" s="2">
        <v>275</v>
      </c>
      <c r="K1247" s="3">
        <f t="shared" si="19"/>
        <v>12375</v>
      </c>
      <c r="L1247" s="3">
        <v>9281.25</v>
      </c>
    </row>
    <row r="1248" spans="1:12" x14ac:dyDescent="0.25">
      <c r="A1248" t="s">
        <v>36</v>
      </c>
      <c r="B1248">
        <v>1185732</v>
      </c>
      <c r="C1248" s="1">
        <v>44249</v>
      </c>
      <c r="D1248" t="s">
        <v>12</v>
      </c>
      <c r="E1248" t="s">
        <v>24</v>
      </c>
      <c r="F1248" t="s">
        <v>25</v>
      </c>
      <c r="G1248" t="s">
        <v>15</v>
      </c>
      <c r="H1248" t="s">
        <v>37</v>
      </c>
      <c r="I1248" s="3">
        <v>49.999999999999993</v>
      </c>
      <c r="J1248" s="2">
        <v>175</v>
      </c>
      <c r="K1248" s="3">
        <f t="shared" si="19"/>
        <v>8749.9999999999982</v>
      </c>
      <c r="L1248" s="3">
        <v>6562.4999999999982</v>
      </c>
    </row>
    <row r="1249" spans="1:12" x14ac:dyDescent="0.25">
      <c r="A1249" t="s">
        <v>36</v>
      </c>
      <c r="B1249">
        <v>1185732</v>
      </c>
      <c r="C1249" s="1">
        <v>44249</v>
      </c>
      <c r="D1249" t="s">
        <v>12</v>
      </c>
      <c r="E1249" t="s">
        <v>24</v>
      </c>
      <c r="F1249" t="s">
        <v>25</v>
      </c>
      <c r="G1249" t="s">
        <v>15</v>
      </c>
      <c r="H1249" t="s">
        <v>22</v>
      </c>
      <c r="I1249" s="3">
        <v>65.000000000000014</v>
      </c>
      <c r="J1249" s="2">
        <v>250</v>
      </c>
      <c r="K1249" s="3">
        <f t="shared" si="19"/>
        <v>16250.000000000004</v>
      </c>
      <c r="L1249" s="3">
        <v>12187.500000000004</v>
      </c>
    </row>
    <row r="1250" spans="1:12" x14ac:dyDescent="0.25">
      <c r="A1250" t="s">
        <v>19</v>
      </c>
      <c r="B1250">
        <v>1185732</v>
      </c>
      <c r="C1250" s="1">
        <v>44249</v>
      </c>
      <c r="D1250" t="s">
        <v>29</v>
      </c>
      <c r="E1250" t="s">
        <v>68</v>
      </c>
      <c r="F1250" t="s">
        <v>69</v>
      </c>
      <c r="G1250" t="s">
        <v>15</v>
      </c>
      <c r="H1250" t="s">
        <v>35</v>
      </c>
      <c r="I1250" s="3">
        <v>45</v>
      </c>
      <c r="J1250" s="2">
        <v>275</v>
      </c>
      <c r="K1250" s="3">
        <f t="shared" si="19"/>
        <v>12375</v>
      </c>
      <c r="L1250" s="3">
        <v>9281.25</v>
      </c>
    </row>
    <row r="1251" spans="1:12" x14ac:dyDescent="0.25">
      <c r="A1251" t="s">
        <v>36</v>
      </c>
      <c r="B1251">
        <v>1185732</v>
      </c>
      <c r="C1251" s="1">
        <v>44249</v>
      </c>
      <c r="D1251" t="s">
        <v>12</v>
      </c>
      <c r="E1251" t="s">
        <v>24</v>
      </c>
      <c r="F1251" t="s">
        <v>25</v>
      </c>
      <c r="G1251" t="s">
        <v>15</v>
      </c>
      <c r="H1251" t="s">
        <v>16</v>
      </c>
      <c r="I1251" s="3">
        <v>55.000000000000007</v>
      </c>
      <c r="J1251" s="2">
        <v>350</v>
      </c>
      <c r="K1251" s="3">
        <f t="shared" si="19"/>
        <v>19250.000000000004</v>
      </c>
      <c r="L1251" s="3">
        <v>13475.000000000004</v>
      </c>
    </row>
    <row r="1252" spans="1:12" x14ac:dyDescent="0.25">
      <c r="A1252" t="s">
        <v>11</v>
      </c>
      <c r="B1252">
        <v>1185732</v>
      </c>
      <c r="C1252" s="1">
        <v>44249</v>
      </c>
      <c r="D1252" t="s">
        <v>29</v>
      </c>
      <c r="E1252" t="s">
        <v>87</v>
      </c>
      <c r="F1252" t="s">
        <v>88</v>
      </c>
      <c r="G1252" t="s">
        <v>18</v>
      </c>
      <c r="H1252" t="s">
        <v>22</v>
      </c>
      <c r="I1252" s="3">
        <v>45</v>
      </c>
      <c r="J1252" s="2">
        <v>125</v>
      </c>
      <c r="K1252" s="3">
        <f t="shared" si="19"/>
        <v>5625</v>
      </c>
      <c r="L1252" s="3">
        <v>3937.5</v>
      </c>
    </row>
    <row r="1253" spans="1:12" x14ac:dyDescent="0.25">
      <c r="A1253" t="s">
        <v>11</v>
      </c>
      <c r="B1253">
        <v>1185732</v>
      </c>
      <c r="C1253" s="1">
        <v>44249</v>
      </c>
      <c r="D1253" t="s">
        <v>29</v>
      </c>
      <c r="E1253" t="s">
        <v>87</v>
      </c>
      <c r="F1253" t="s">
        <v>88</v>
      </c>
      <c r="G1253" t="s">
        <v>18</v>
      </c>
      <c r="H1253" t="s">
        <v>16</v>
      </c>
      <c r="I1253" s="3">
        <v>35</v>
      </c>
      <c r="J1253" s="2">
        <v>225</v>
      </c>
      <c r="K1253" s="3">
        <f t="shared" si="19"/>
        <v>7875</v>
      </c>
      <c r="L1253" s="3">
        <v>5512.5</v>
      </c>
    </row>
    <row r="1254" spans="1:12" x14ac:dyDescent="0.25">
      <c r="A1254" t="s">
        <v>11</v>
      </c>
      <c r="B1254">
        <v>1185732</v>
      </c>
      <c r="C1254" s="1">
        <v>44249</v>
      </c>
      <c r="D1254" t="s">
        <v>29</v>
      </c>
      <c r="E1254" t="s">
        <v>105</v>
      </c>
      <c r="F1254" t="s">
        <v>47</v>
      </c>
      <c r="G1254" t="s">
        <v>18</v>
      </c>
      <c r="H1254" t="s">
        <v>35</v>
      </c>
      <c r="I1254" s="3">
        <v>25.000000000000007</v>
      </c>
      <c r="J1254" s="2">
        <v>175</v>
      </c>
      <c r="K1254" s="3">
        <f t="shared" si="19"/>
        <v>4375.0000000000009</v>
      </c>
      <c r="L1254" s="3">
        <v>2843.7500000000009</v>
      </c>
    </row>
    <row r="1255" spans="1:12" x14ac:dyDescent="0.25">
      <c r="A1255" t="s">
        <v>36</v>
      </c>
      <c r="B1255">
        <v>1185732</v>
      </c>
      <c r="C1255" s="1">
        <v>44249</v>
      </c>
      <c r="D1255" t="s">
        <v>12</v>
      </c>
      <c r="E1255" t="s">
        <v>24</v>
      </c>
      <c r="F1255" t="s">
        <v>25</v>
      </c>
      <c r="G1255" t="s">
        <v>15</v>
      </c>
      <c r="H1255" t="s">
        <v>38</v>
      </c>
      <c r="I1255" s="3">
        <v>55.000000000000007</v>
      </c>
      <c r="J1255" s="2">
        <v>575</v>
      </c>
      <c r="K1255" s="3">
        <f t="shared" si="19"/>
        <v>31625.000000000004</v>
      </c>
      <c r="L1255" s="3">
        <v>20556.250000000004</v>
      </c>
    </row>
    <row r="1256" spans="1:12" x14ac:dyDescent="0.25">
      <c r="A1256" t="s">
        <v>36</v>
      </c>
      <c r="B1256">
        <v>1185732</v>
      </c>
      <c r="C1256" s="1">
        <v>44249</v>
      </c>
      <c r="D1256" t="s">
        <v>57</v>
      </c>
      <c r="E1256" t="s">
        <v>110</v>
      </c>
      <c r="F1256" t="s">
        <v>111</v>
      </c>
      <c r="G1256" t="s">
        <v>41</v>
      </c>
      <c r="H1256" t="s">
        <v>17</v>
      </c>
      <c r="I1256" s="3">
        <v>40</v>
      </c>
      <c r="J1256" s="2">
        <v>200</v>
      </c>
      <c r="K1256" s="3">
        <f t="shared" si="19"/>
        <v>8000</v>
      </c>
      <c r="L1256" s="3">
        <v>5200</v>
      </c>
    </row>
    <row r="1257" spans="1:12" x14ac:dyDescent="0.25">
      <c r="A1257" t="s">
        <v>36</v>
      </c>
      <c r="B1257">
        <v>1185732</v>
      </c>
      <c r="C1257" s="1">
        <v>44249</v>
      </c>
      <c r="D1257" t="s">
        <v>32</v>
      </c>
      <c r="E1257" t="s">
        <v>120</v>
      </c>
      <c r="F1257" t="s">
        <v>121</v>
      </c>
      <c r="G1257" t="s">
        <v>41</v>
      </c>
      <c r="H1257" t="s">
        <v>22</v>
      </c>
      <c r="I1257" s="3">
        <v>49.999999999999993</v>
      </c>
      <c r="J1257" s="2">
        <v>200</v>
      </c>
      <c r="K1257" s="3">
        <f t="shared" si="19"/>
        <v>9999.9999999999982</v>
      </c>
      <c r="L1257" s="3">
        <v>6499.9999999999991</v>
      </c>
    </row>
    <row r="1258" spans="1:12" x14ac:dyDescent="0.25">
      <c r="A1258" t="s">
        <v>11</v>
      </c>
      <c r="B1258">
        <v>1185732</v>
      </c>
      <c r="C1258" s="1">
        <v>44249</v>
      </c>
      <c r="D1258" t="s">
        <v>29</v>
      </c>
      <c r="E1258" t="s">
        <v>105</v>
      </c>
      <c r="F1258" t="s">
        <v>47</v>
      </c>
      <c r="G1258" t="s">
        <v>18</v>
      </c>
      <c r="H1258" t="s">
        <v>17</v>
      </c>
      <c r="I1258" s="3">
        <v>35</v>
      </c>
      <c r="J1258" s="2">
        <v>125</v>
      </c>
      <c r="K1258" s="3">
        <f t="shared" si="19"/>
        <v>4375</v>
      </c>
      <c r="L1258" s="3">
        <v>2843.75</v>
      </c>
    </row>
    <row r="1259" spans="1:12" x14ac:dyDescent="0.25">
      <c r="A1259" t="s">
        <v>11</v>
      </c>
      <c r="B1259">
        <v>1185732</v>
      </c>
      <c r="C1259" s="1">
        <v>44249</v>
      </c>
      <c r="D1259" t="s">
        <v>29</v>
      </c>
      <c r="E1259" t="s">
        <v>87</v>
      </c>
      <c r="F1259" t="s">
        <v>88</v>
      </c>
      <c r="G1259" t="s">
        <v>18</v>
      </c>
      <c r="H1259" t="s">
        <v>37</v>
      </c>
      <c r="I1259" s="3">
        <v>30</v>
      </c>
      <c r="J1259" s="2">
        <v>50</v>
      </c>
      <c r="K1259" s="3">
        <f t="shared" si="19"/>
        <v>1500</v>
      </c>
      <c r="L1259" s="3">
        <v>975</v>
      </c>
    </row>
    <row r="1260" spans="1:12" x14ac:dyDescent="0.25">
      <c r="A1260" t="s">
        <v>19</v>
      </c>
      <c r="B1260">
        <v>1185732</v>
      </c>
      <c r="C1260" s="1">
        <v>44249</v>
      </c>
      <c r="D1260" t="s">
        <v>29</v>
      </c>
      <c r="E1260" t="s">
        <v>68</v>
      </c>
      <c r="F1260" t="s">
        <v>69</v>
      </c>
      <c r="G1260" t="s">
        <v>15</v>
      </c>
      <c r="H1260" t="s">
        <v>38</v>
      </c>
      <c r="I1260" s="3">
        <v>55.000000000000007</v>
      </c>
      <c r="J1260" s="2">
        <v>575</v>
      </c>
      <c r="K1260" s="3">
        <f t="shared" si="19"/>
        <v>31625.000000000004</v>
      </c>
      <c r="L1260" s="3">
        <v>20556.250000000004</v>
      </c>
    </row>
    <row r="1261" spans="1:12" x14ac:dyDescent="0.25">
      <c r="A1261" t="s">
        <v>36</v>
      </c>
      <c r="B1261">
        <v>1185732</v>
      </c>
      <c r="C1261" s="1">
        <v>44249</v>
      </c>
      <c r="D1261" t="s">
        <v>12</v>
      </c>
      <c r="E1261" t="s">
        <v>24</v>
      </c>
      <c r="F1261" t="s">
        <v>25</v>
      </c>
      <c r="G1261" t="s">
        <v>15</v>
      </c>
      <c r="H1261" t="s">
        <v>17</v>
      </c>
      <c r="I1261" s="3">
        <v>55.000000000000007</v>
      </c>
      <c r="J1261" s="2">
        <v>225</v>
      </c>
      <c r="K1261" s="3">
        <f t="shared" si="19"/>
        <v>12375.000000000002</v>
      </c>
      <c r="L1261" s="3">
        <v>8043.75</v>
      </c>
    </row>
    <row r="1262" spans="1:12" x14ac:dyDescent="0.25">
      <c r="A1262" t="s">
        <v>19</v>
      </c>
      <c r="B1262">
        <v>1185732</v>
      </c>
      <c r="C1262" s="1">
        <v>44249</v>
      </c>
      <c r="D1262" t="s">
        <v>29</v>
      </c>
      <c r="E1262" t="s">
        <v>68</v>
      </c>
      <c r="F1262" t="s">
        <v>69</v>
      </c>
      <c r="G1262" t="s">
        <v>15</v>
      </c>
      <c r="H1262" t="s">
        <v>17</v>
      </c>
      <c r="I1262" s="3">
        <v>55.000000000000007</v>
      </c>
      <c r="J1262" s="2">
        <v>225</v>
      </c>
      <c r="K1262" s="3">
        <f t="shared" si="19"/>
        <v>12375.000000000002</v>
      </c>
      <c r="L1262" s="3">
        <v>8043.75</v>
      </c>
    </row>
    <row r="1263" spans="1:12" x14ac:dyDescent="0.25">
      <c r="A1263" t="s">
        <v>36</v>
      </c>
      <c r="B1263">
        <v>1185732</v>
      </c>
      <c r="C1263" s="1">
        <v>44249</v>
      </c>
      <c r="D1263" t="s">
        <v>57</v>
      </c>
      <c r="E1263" t="s">
        <v>110</v>
      </c>
      <c r="F1263" t="s">
        <v>111</v>
      </c>
      <c r="G1263" t="s">
        <v>41</v>
      </c>
      <c r="H1263" t="s">
        <v>38</v>
      </c>
      <c r="I1263" s="3">
        <v>40</v>
      </c>
      <c r="J1263" s="2">
        <v>550</v>
      </c>
      <c r="K1263" s="3">
        <f t="shared" si="19"/>
        <v>22000</v>
      </c>
      <c r="L1263" s="3">
        <v>13200</v>
      </c>
    </row>
    <row r="1264" spans="1:12" x14ac:dyDescent="0.25">
      <c r="A1264" t="s">
        <v>36</v>
      </c>
      <c r="B1264">
        <v>1185732</v>
      </c>
      <c r="C1264" s="1">
        <v>44249</v>
      </c>
      <c r="D1264" t="s">
        <v>57</v>
      </c>
      <c r="E1264" t="s">
        <v>110</v>
      </c>
      <c r="F1264" t="s">
        <v>111</v>
      </c>
      <c r="G1264" t="s">
        <v>41</v>
      </c>
      <c r="H1264" t="s">
        <v>35</v>
      </c>
      <c r="I1264" s="3">
        <v>30.000000000000004</v>
      </c>
      <c r="J1264" s="2">
        <v>250</v>
      </c>
      <c r="K1264" s="3">
        <f t="shared" si="19"/>
        <v>7500.0000000000009</v>
      </c>
      <c r="L1264" s="3">
        <v>4500.0000000000009</v>
      </c>
    </row>
    <row r="1265" spans="1:12" x14ac:dyDescent="0.25">
      <c r="A1265" t="s">
        <v>36</v>
      </c>
      <c r="B1265">
        <v>1185732</v>
      </c>
      <c r="C1265" s="1">
        <v>44249</v>
      </c>
      <c r="D1265" t="s">
        <v>32</v>
      </c>
      <c r="E1265" t="s">
        <v>120</v>
      </c>
      <c r="F1265" t="s">
        <v>121</v>
      </c>
      <c r="G1265" t="s">
        <v>41</v>
      </c>
      <c r="H1265" t="s">
        <v>37</v>
      </c>
      <c r="I1265" s="3">
        <v>35</v>
      </c>
      <c r="J1265" s="2">
        <v>125</v>
      </c>
      <c r="K1265" s="3">
        <f t="shared" si="19"/>
        <v>4375</v>
      </c>
      <c r="L1265" s="3">
        <v>2625</v>
      </c>
    </row>
    <row r="1266" spans="1:12" x14ac:dyDescent="0.25">
      <c r="A1266" t="s">
        <v>36</v>
      </c>
      <c r="B1266">
        <v>1185732</v>
      </c>
      <c r="C1266" s="1">
        <v>44249</v>
      </c>
      <c r="D1266" t="s">
        <v>32</v>
      </c>
      <c r="E1266" t="s">
        <v>120</v>
      </c>
      <c r="F1266" t="s">
        <v>121</v>
      </c>
      <c r="G1266" t="s">
        <v>41</v>
      </c>
      <c r="H1266" t="s">
        <v>16</v>
      </c>
      <c r="I1266" s="3">
        <v>40</v>
      </c>
      <c r="J1266" s="2">
        <v>300</v>
      </c>
      <c r="K1266" s="3">
        <f t="shared" si="19"/>
        <v>12000</v>
      </c>
      <c r="L1266" s="3">
        <v>7200</v>
      </c>
    </row>
    <row r="1267" spans="1:12" x14ac:dyDescent="0.25">
      <c r="A1267" t="s">
        <v>19</v>
      </c>
      <c r="B1267">
        <v>1185732</v>
      </c>
      <c r="C1267" s="1">
        <v>44249</v>
      </c>
      <c r="D1267" t="s">
        <v>29</v>
      </c>
      <c r="E1267" t="s">
        <v>105</v>
      </c>
      <c r="F1267" t="s">
        <v>47</v>
      </c>
      <c r="G1267" t="s">
        <v>18</v>
      </c>
      <c r="H1267" t="s">
        <v>38</v>
      </c>
      <c r="I1267" s="3">
        <v>35</v>
      </c>
      <c r="J1267" s="2">
        <v>475</v>
      </c>
      <c r="K1267" s="3">
        <f t="shared" si="19"/>
        <v>16625</v>
      </c>
      <c r="L1267" s="3">
        <v>9975</v>
      </c>
    </row>
    <row r="1268" spans="1:12" x14ac:dyDescent="0.25">
      <c r="A1268" t="s">
        <v>27</v>
      </c>
      <c r="B1268">
        <v>1189833</v>
      </c>
      <c r="C1268" s="1">
        <v>44249</v>
      </c>
      <c r="D1268" t="s">
        <v>57</v>
      </c>
      <c r="E1268" t="s">
        <v>58</v>
      </c>
      <c r="F1268" t="s">
        <v>59</v>
      </c>
      <c r="G1268" t="s">
        <v>15</v>
      </c>
      <c r="H1268" t="s">
        <v>35</v>
      </c>
      <c r="I1268" s="3">
        <v>45</v>
      </c>
      <c r="J1268" s="2">
        <v>400</v>
      </c>
      <c r="K1268" s="3">
        <f t="shared" si="19"/>
        <v>18000</v>
      </c>
      <c r="L1268" s="3">
        <v>9900</v>
      </c>
    </row>
    <row r="1269" spans="1:12" x14ac:dyDescent="0.25">
      <c r="A1269" t="s">
        <v>19</v>
      </c>
      <c r="B1269">
        <v>1185732</v>
      </c>
      <c r="C1269" s="1">
        <v>44249</v>
      </c>
      <c r="D1269" t="s">
        <v>29</v>
      </c>
      <c r="E1269" t="s">
        <v>68</v>
      </c>
      <c r="F1269" t="s">
        <v>69</v>
      </c>
      <c r="G1269" t="s">
        <v>15</v>
      </c>
      <c r="H1269" t="s">
        <v>35</v>
      </c>
      <c r="I1269" s="3">
        <v>29</v>
      </c>
      <c r="J1269" s="2">
        <v>83</v>
      </c>
      <c r="K1269" s="3">
        <f t="shared" si="19"/>
        <v>2407</v>
      </c>
      <c r="L1269" s="3">
        <v>1757.1100000000001</v>
      </c>
    </row>
    <row r="1270" spans="1:12" x14ac:dyDescent="0.25">
      <c r="A1270" t="s">
        <v>36</v>
      </c>
      <c r="B1270">
        <v>1185732</v>
      </c>
      <c r="C1270" s="1">
        <v>44249</v>
      </c>
      <c r="D1270" t="s">
        <v>12</v>
      </c>
      <c r="E1270" t="s">
        <v>24</v>
      </c>
      <c r="F1270" t="s">
        <v>25</v>
      </c>
      <c r="G1270" t="s">
        <v>41</v>
      </c>
      <c r="H1270" t="s">
        <v>35</v>
      </c>
      <c r="I1270" s="3">
        <v>43</v>
      </c>
      <c r="J1270" s="2">
        <v>77</v>
      </c>
      <c r="K1270" s="3">
        <f t="shared" si="19"/>
        <v>3311</v>
      </c>
      <c r="L1270" s="3">
        <v>2085.9300000000003</v>
      </c>
    </row>
    <row r="1271" spans="1:12" x14ac:dyDescent="0.25">
      <c r="A1271" t="s">
        <v>19</v>
      </c>
      <c r="B1271">
        <v>1185732</v>
      </c>
      <c r="C1271" s="1">
        <v>44249</v>
      </c>
      <c r="D1271" t="s">
        <v>29</v>
      </c>
      <c r="E1271" t="s">
        <v>68</v>
      </c>
      <c r="F1271" t="s">
        <v>69</v>
      </c>
      <c r="G1271" t="s">
        <v>15</v>
      </c>
      <c r="H1271" t="s">
        <v>38</v>
      </c>
      <c r="I1271" s="3">
        <v>41</v>
      </c>
      <c r="J1271" s="2">
        <v>184</v>
      </c>
      <c r="K1271" s="3">
        <f t="shared" si="19"/>
        <v>7544</v>
      </c>
      <c r="L1271" s="3">
        <v>4752.7199999999993</v>
      </c>
    </row>
    <row r="1272" spans="1:12" x14ac:dyDescent="0.25">
      <c r="A1272" t="s">
        <v>36</v>
      </c>
      <c r="B1272">
        <v>1185732</v>
      </c>
      <c r="C1272" s="1">
        <v>44249</v>
      </c>
      <c r="D1272" t="s">
        <v>12</v>
      </c>
      <c r="E1272" t="s">
        <v>24</v>
      </c>
      <c r="F1272" t="s">
        <v>25</v>
      </c>
      <c r="G1272" t="s">
        <v>41</v>
      </c>
      <c r="H1272" t="s">
        <v>22</v>
      </c>
      <c r="I1272" s="3">
        <v>60</v>
      </c>
      <c r="J1272" s="2">
        <v>75</v>
      </c>
      <c r="K1272" s="3">
        <f t="shared" si="19"/>
        <v>4500</v>
      </c>
      <c r="L1272" s="3">
        <v>2790</v>
      </c>
    </row>
    <row r="1273" spans="1:12" x14ac:dyDescent="0.25">
      <c r="A1273" t="s">
        <v>36</v>
      </c>
      <c r="B1273">
        <v>1185732</v>
      </c>
      <c r="C1273" s="1">
        <v>44249</v>
      </c>
      <c r="D1273" t="s">
        <v>12</v>
      </c>
      <c r="E1273" t="s">
        <v>24</v>
      </c>
      <c r="F1273" t="s">
        <v>25</v>
      </c>
      <c r="G1273" t="s">
        <v>41</v>
      </c>
      <c r="H1273" t="s">
        <v>37</v>
      </c>
      <c r="I1273" s="3">
        <v>49</v>
      </c>
      <c r="J1273" s="2">
        <v>46</v>
      </c>
      <c r="K1273" s="3">
        <f t="shared" si="19"/>
        <v>2254</v>
      </c>
      <c r="L1273" s="3">
        <v>1374.94</v>
      </c>
    </row>
    <row r="1274" spans="1:12" x14ac:dyDescent="0.25">
      <c r="A1274" t="s">
        <v>19</v>
      </c>
      <c r="B1274">
        <v>1185732</v>
      </c>
      <c r="C1274" s="1">
        <v>44249</v>
      </c>
      <c r="D1274" t="s">
        <v>29</v>
      </c>
      <c r="E1274" t="s">
        <v>68</v>
      </c>
      <c r="F1274" t="s">
        <v>69</v>
      </c>
      <c r="G1274" t="s">
        <v>41</v>
      </c>
      <c r="H1274" t="s">
        <v>35</v>
      </c>
      <c r="I1274" s="3">
        <v>43</v>
      </c>
      <c r="J1274" s="2">
        <v>83</v>
      </c>
      <c r="K1274" s="3">
        <f t="shared" si="19"/>
        <v>3569</v>
      </c>
      <c r="L1274" s="3">
        <v>2141.3999999999996</v>
      </c>
    </row>
    <row r="1275" spans="1:12" x14ac:dyDescent="0.25">
      <c r="A1275" t="s">
        <v>19</v>
      </c>
      <c r="B1275">
        <v>1185732</v>
      </c>
      <c r="C1275" s="1">
        <v>44249</v>
      </c>
      <c r="D1275" t="s">
        <v>29</v>
      </c>
      <c r="E1275" t="s">
        <v>68</v>
      </c>
      <c r="F1275" t="s">
        <v>69</v>
      </c>
      <c r="G1275" t="s">
        <v>15</v>
      </c>
      <c r="H1275" t="s">
        <v>17</v>
      </c>
      <c r="I1275" s="3">
        <v>42</v>
      </c>
      <c r="J1275" s="2">
        <v>70</v>
      </c>
      <c r="K1275" s="3">
        <f t="shared" si="19"/>
        <v>2940</v>
      </c>
      <c r="L1275" s="3">
        <v>1705.1999999999998</v>
      </c>
    </row>
    <row r="1276" spans="1:12" x14ac:dyDescent="0.25">
      <c r="A1276" t="s">
        <v>11</v>
      </c>
      <c r="B1276">
        <v>1185732</v>
      </c>
      <c r="C1276" s="1">
        <v>44249</v>
      </c>
      <c r="D1276" t="s">
        <v>29</v>
      </c>
      <c r="E1276" t="s">
        <v>87</v>
      </c>
      <c r="F1276" t="s">
        <v>88</v>
      </c>
      <c r="G1276" t="s">
        <v>41</v>
      </c>
      <c r="H1276" t="s">
        <v>16</v>
      </c>
      <c r="I1276" s="3">
        <v>34</v>
      </c>
      <c r="J1276" s="2">
        <v>63</v>
      </c>
      <c r="K1276" s="3">
        <f t="shared" si="19"/>
        <v>2142</v>
      </c>
      <c r="L1276" s="3">
        <v>1220.94</v>
      </c>
    </row>
    <row r="1277" spans="1:12" x14ac:dyDescent="0.25">
      <c r="A1277" t="s">
        <v>36</v>
      </c>
      <c r="B1277">
        <v>1185732</v>
      </c>
      <c r="C1277" s="1">
        <v>44249</v>
      </c>
      <c r="D1277" t="s">
        <v>12</v>
      </c>
      <c r="E1277" t="s">
        <v>24</v>
      </c>
      <c r="F1277" t="s">
        <v>25</v>
      </c>
      <c r="G1277" t="s">
        <v>41</v>
      </c>
      <c r="H1277" t="s">
        <v>16</v>
      </c>
      <c r="I1277" s="3">
        <v>52</v>
      </c>
      <c r="J1277" s="2">
        <v>102</v>
      </c>
      <c r="K1277" s="3">
        <f t="shared" si="19"/>
        <v>5304</v>
      </c>
      <c r="L1277" s="3">
        <v>2970.24</v>
      </c>
    </row>
    <row r="1278" spans="1:12" x14ac:dyDescent="0.25">
      <c r="A1278" t="s">
        <v>11</v>
      </c>
      <c r="B1278">
        <v>1185732</v>
      </c>
      <c r="C1278" s="1">
        <v>44249</v>
      </c>
      <c r="D1278" t="s">
        <v>29</v>
      </c>
      <c r="E1278" t="s">
        <v>87</v>
      </c>
      <c r="F1278" t="s">
        <v>88</v>
      </c>
      <c r="G1278" t="s">
        <v>41</v>
      </c>
      <c r="H1278" t="s">
        <v>22</v>
      </c>
      <c r="I1278" s="3">
        <v>41</v>
      </c>
      <c r="J1278" s="2">
        <v>31</v>
      </c>
      <c r="K1278" s="3">
        <f t="shared" si="19"/>
        <v>1271</v>
      </c>
      <c r="L1278" s="3">
        <v>699.05000000000007</v>
      </c>
    </row>
    <row r="1279" spans="1:12" x14ac:dyDescent="0.25">
      <c r="A1279" t="s">
        <v>19</v>
      </c>
      <c r="B1279">
        <v>1185732</v>
      </c>
      <c r="C1279" s="1">
        <v>44249</v>
      </c>
      <c r="D1279" t="s">
        <v>29</v>
      </c>
      <c r="E1279" t="s">
        <v>68</v>
      </c>
      <c r="F1279" t="s">
        <v>69</v>
      </c>
      <c r="G1279" t="s">
        <v>41</v>
      </c>
      <c r="H1279" t="s">
        <v>38</v>
      </c>
      <c r="I1279" s="3">
        <v>52</v>
      </c>
      <c r="J1279" s="2">
        <v>173</v>
      </c>
      <c r="K1279" s="3">
        <f t="shared" si="19"/>
        <v>8996</v>
      </c>
      <c r="L1279" s="3">
        <v>4947.7999999999993</v>
      </c>
    </row>
    <row r="1280" spans="1:12" x14ac:dyDescent="0.25">
      <c r="A1280" t="s">
        <v>36</v>
      </c>
      <c r="B1280">
        <v>1185732</v>
      </c>
      <c r="C1280" s="1">
        <v>44249</v>
      </c>
      <c r="D1280" t="s">
        <v>57</v>
      </c>
      <c r="E1280" t="s">
        <v>110</v>
      </c>
      <c r="F1280" t="s">
        <v>111</v>
      </c>
      <c r="G1280" t="s">
        <v>41</v>
      </c>
      <c r="H1280" t="s">
        <v>17</v>
      </c>
      <c r="I1280" s="3">
        <v>38</v>
      </c>
      <c r="J1280" s="2">
        <v>58</v>
      </c>
      <c r="K1280" s="3">
        <f t="shared" si="19"/>
        <v>2204</v>
      </c>
      <c r="L1280" s="3">
        <v>1190.1600000000001</v>
      </c>
    </row>
    <row r="1281" spans="1:12" x14ac:dyDescent="0.25">
      <c r="A1281" t="s">
        <v>11</v>
      </c>
      <c r="B1281">
        <v>1185732</v>
      </c>
      <c r="C1281" s="1">
        <v>44249</v>
      </c>
      <c r="D1281" t="s">
        <v>29</v>
      </c>
      <c r="E1281" t="s">
        <v>105</v>
      </c>
      <c r="F1281" t="s">
        <v>47</v>
      </c>
      <c r="G1281" t="s">
        <v>41</v>
      </c>
      <c r="H1281" t="s">
        <v>17</v>
      </c>
      <c r="I1281" s="3">
        <v>34</v>
      </c>
      <c r="J1281" s="2">
        <v>38</v>
      </c>
      <c r="K1281" s="3">
        <f t="shared" si="19"/>
        <v>1292</v>
      </c>
      <c r="L1281" s="3">
        <v>697.68000000000006</v>
      </c>
    </row>
    <row r="1282" spans="1:12" x14ac:dyDescent="0.25">
      <c r="A1282" t="s">
        <v>19</v>
      </c>
      <c r="B1282">
        <v>1185732</v>
      </c>
      <c r="C1282" s="1">
        <v>44249</v>
      </c>
      <c r="D1282" t="s">
        <v>29</v>
      </c>
      <c r="E1282" t="s">
        <v>68</v>
      </c>
      <c r="F1282" t="s">
        <v>69</v>
      </c>
      <c r="G1282" t="s">
        <v>41</v>
      </c>
      <c r="H1282" t="s">
        <v>17</v>
      </c>
      <c r="I1282" s="3">
        <v>53</v>
      </c>
      <c r="J1282" s="2">
        <v>59</v>
      </c>
      <c r="K1282" s="3">
        <f t="shared" si="19"/>
        <v>3127</v>
      </c>
      <c r="L1282" s="3">
        <v>1688.58</v>
      </c>
    </row>
    <row r="1283" spans="1:12" x14ac:dyDescent="0.25">
      <c r="A1283" t="s">
        <v>11</v>
      </c>
      <c r="B1283">
        <v>1185732</v>
      </c>
      <c r="C1283" s="1">
        <v>44249</v>
      </c>
      <c r="D1283" t="s">
        <v>29</v>
      </c>
      <c r="E1283" t="s">
        <v>105</v>
      </c>
      <c r="F1283" t="s">
        <v>47</v>
      </c>
      <c r="G1283" t="s">
        <v>41</v>
      </c>
      <c r="H1283" t="s">
        <v>35</v>
      </c>
      <c r="I1283" s="3">
        <v>24</v>
      </c>
      <c r="J1283" s="2">
        <v>46</v>
      </c>
      <c r="K1283" s="3">
        <f t="shared" ref="K1283:K1346" si="20">I1283*J1283</f>
        <v>1104</v>
      </c>
      <c r="L1283" s="3">
        <v>585.12</v>
      </c>
    </row>
    <row r="1284" spans="1:12" x14ac:dyDescent="0.25">
      <c r="A1284" t="s">
        <v>36</v>
      </c>
      <c r="B1284">
        <v>1185732</v>
      </c>
      <c r="C1284" s="1">
        <v>44249</v>
      </c>
      <c r="D1284" t="s">
        <v>12</v>
      </c>
      <c r="E1284" t="s">
        <v>24</v>
      </c>
      <c r="F1284" t="s">
        <v>25</v>
      </c>
      <c r="G1284" t="s">
        <v>41</v>
      </c>
      <c r="H1284" t="s">
        <v>38</v>
      </c>
      <c r="I1284" s="3">
        <v>51</v>
      </c>
      <c r="J1284" s="2">
        <v>173</v>
      </c>
      <c r="K1284" s="3">
        <f t="shared" si="20"/>
        <v>8823</v>
      </c>
      <c r="L1284" s="3">
        <v>4676.1899999999996</v>
      </c>
    </row>
    <row r="1285" spans="1:12" x14ac:dyDescent="0.25">
      <c r="A1285" t="s">
        <v>36</v>
      </c>
      <c r="B1285">
        <v>1185732</v>
      </c>
      <c r="C1285" s="1">
        <v>44249</v>
      </c>
      <c r="D1285" t="s">
        <v>32</v>
      </c>
      <c r="E1285" t="s">
        <v>120</v>
      </c>
      <c r="F1285" t="s">
        <v>121</v>
      </c>
      <c r="G1285" t="s">
        <v>41</v>
      </c>
      <c r="H1285" t="s">
        <v>22</v>
      </c>
      <c r="I1285" s="3">
        <v>48</v>
      </c>
      <c r="J1285" s="2">
        <v>54</v>
      </c>
      <c r="K1285" s="3">
        <f t="shared" si="20"/>
        <v>2592</v>
      </c>
      <c r="L1285" s="3">
        <v>1373.76</v>
      </c>
    </row>
    <row r="1286" spans="1:12" x14ac:dyDescent="0.25">
      <c r="A1286" t="s">
        <v>36</v>
      </c>
      <c r="B1286">
        <v>1185732</v>
      </c>
      <c r="C1286" s="1">
        <v>44249</v>
      </c>
      <c r="D1286" t="s">
        <v>12</v>
      </c>
      <c r="E1286" t="s">
        <v>24</v>
      </c>
      <c r="F1286" t="s">
        <v>25</v>
      </c>
      <c r="G1286" t="s">
        <v>41</v>
      </c>
      <c r="H1286" t="s">
        <v>17</v>
      </c>
      <c r="I1286" s="3">
        <v>53</v>
      </c>
      <c r="J1286" s="2">
        <v>65</v>
      </c>
      <c r="K1286" s="3">
        <f t="shared" si="20"/>
        <v>3445</v>
      </c>
      <c r="L1286" s="3">
        <v>1791.3999999999999</v>
      </c>
    </row>
    <row r="1287" spans="1:12" x14ac:dyDescent="0.25">
      <c r="A1287" t="s">
        <v>11</v>
      </c>
      <c r="B1287">
        <v>1185732</v>
      </c>
      <c r="C1287" s="1">
        <v>44249</v>
      </c>
      <c r="D1287" t="s">
        <v>29</v>
      </c>
      <c r="E1287" t="s">
        <v>87</v>
      </c>
      <c r="F1287" t="s">
        <v>88</v>
      </c>
      <c r="G1287" t="s">
        <v>41</v>
      </c>
      <c r="H1287" t="s">
        <v>37</v>
      </c>
      <c r="I1287" s="3">
        <v>28</v>
      </c>
      <c r="J1287" s="2">
        <v>14</v>
      </c>
      <c r="K1287" s="3">
        <f t="shared" si="20"/>
        <v>392</v>
      </c>
      <c r="L1287" s="3">
        <v>196</v>
      </c>
    </row>
    <row r="1288" spans="1:12" x14ac:dyDescent="0.25">
      <c r="A1288" t="s">
        <v>36</v>
      </c>
      <c r="B1288">
        <v>1185732</v>
      </c>
      <c r="C1288" s="1">
        <v>44249</v>
      </c>
      <c r="D1288" t="s">
        <v>32</v>
      </c>
      <c r="E1288" t="s">
        <v>120</v>
      </c>
      <c r="F1288" t="s">
        <v>121</v>
      </c>
      <c r="G1288" t="s">
        <v>41</v>
      </c>
      <c r="H1288" t="s">
        <v>16</v>
      </c>
      <c r="I1288" s="3">
        <v>39</v>
      </c>
      <c r="J1288" s="2">
        <v>78</v>
      </c>
      <c r="K1288" s="3">
        <f t="shared" si="20"/>
        <v>3042</v>
      </c>
      <c r="L1288" s="3">
        <v>1490.58</v>
      </c>
    </row>
    <row r="1289" spans="1:12" x14ac:dyDescent="0.25">
      <c r="A1289" t="s">
        <v>36</v>
      </c>
      <c r="B1289">
        <v>1185732</v>
      </c>
      <c r="C1289" s="1">
        <v>44249</v>
      </c>
      <c r="D1289" t="s">
        <v>57</v>
      </c>
      <c r="E1289" t="s">
        <v>110</v>
      </c>
      <c r="F1289" t="s">
        <v>111</v>
      </c>
      <c r="G1289" t="s">
        <v>41</v>
      </c>
      <c r="H1289" t="s">
        <v>38</v>
      </c>
      <c r="I1289" s="3">
        <v>38</v>
      </c>
      <c r="J1289" s="2">
        <v>138</v>
      </c>
      <c r="K1289" s="3">
        <f t="shared" si="20"/>
        <v>5244</v>
      </c>
      <c r="L1289" s="3">
        <v>2464.6799999999998</v>
      </c>
    </row>
    <row r="1290" spans="1:12" x14ac:dyDescent="0.25">
      <c r="A1290" t="s">
        <v>36</v>
      </c>
      <c r="B1290">
        <v>1185732</v>
      </c>
      <c r="C1290" s="1">
        <v>44249</v>
      </c>
      <c r="D1290" t="s">
        <v>57</v>
      </c>
      <c r="E1290" t="s">
        <v>110</v>
      </c>
      <c r="F1290" t="s">
        <v>111</v>
      </c>
      <c r="G1290" t="s">
        <v>41</v>
      </c>
      <c r="H1290" t="s">
        <v>35</v>
      </c>
      <c r="I1290" s="3">
        <v>29</v>
      </c>
      <c r="J1290" s="2">
        <v>63</v>
      </c>
      <c r="K1290" s="3">
        <f t="shared" si="20"/>
        <v>1827</v>
      </c>
      <c r="L1290" s="3">
        <v>858.68999999999994</v>
      </c>
    </row>
    <row r="1291" spans="1:12" x14ac:dyDescent="0.25">
      <c r="A1291" t="s">
        <v>19</v>
      </c>
      <c r="B1291">
        <v>1185732</v>
      </c>
      <c r="C1291" s="1">
        <v>44249</v>
      </c>
      <c r="D1291" t="s">
        <v>29</v>
      </c>
      <c r="E1291" t="s">
        <v>105</v>
      </c>
      <c r="F1291" t="s">
        <v>47</v>
      </c>
      <c r="G1291" t="s">
        <v>41</v>
      </c>
      <c r="H1291" t="s">
        <v>38</v>
      </c>
      <c r="I1291" s="3">
        <v>32</v>
      </c>
      <c r="J1291" s="2">
        <v>138</v>
      </c>
      <c r="K1291" s="3">
        <f t="shared" si="20"/>
        <v>4416</v>
      </c>
      <c r="L1291" s="3">
        <v>2075.52</v>
      </c>
    </row>
    <row r="1292" spans="1:12" x14ac:dyDescent="0.25">
      <c r="A1292" t="s">
        <v>36</v>
      </c>
      <c r="B1292">
        <v>1185732</v>
      </c>
      <c r="C1292" s="1">
        <v>44249</v>
      </c>
      <c r="D1292" t="s">
        <v>32</v>
      </c>
      <c r="E1292" t="s">
        <v>120</v>
      </c>
      <c r="F1292" t="s">
        <v>121</v>
      </c>
      <c r="G1292" t="s">
        <v>41</v>
      </c>
      <c r="H1292" t="s">
        <v>37</v>
      </c>
      <c r="I1292" s="3">
        <v>34</v>
      </c>
      <c r="J1292" s="2">
        <v>34</v>
      </c>
      <c r="K1292" s="3">
        <f t="shared" si="20"/>
        <v>1156</v>
      </c>
      <c r="L1292" s="3">
        <v>531.76</v>
      </c>
    </row>
    <row r="1293" spans="1:12" x14ac:dyDescent="0.25">
      <c r="A1293" t="s">
        <v>27</v>
      </c>
      <c r="B1293">
        <v>1189833</v>
      </c>
      <c r="C1293" s="1">
        <v>44249</v>
      </c>
      <c r="D1293" t="s">
        <v>57</v>
      </c>
      <c r="E1293" t="s">
        <v>58</v>
      </c>
      <c r="F1293" t="s">
        <v>59</v>
      </c>
      <c r="G1293" t="s">
        <v>41</v>
      </c>
      <c r="H1293" t="s">
        <v>35</v>
      </c>
      <c r="I1293" s="3">
        <v>41</v>
      </c>
      <c r="J1293" s="2">
        <v>116</v>
      </c>
      <c r="K1293" s="3">
        <f t="shared" si="20"/>
        <v>4756</v>
      </c>
      <c r="L1293" s="3">
        <v>2045.08</v>
      </c>
    </row>
    <row r="1294" spans="1:12" x14ac:dyDescent="0.25">
      <c r="A1294" t="s">
        <v>19</v>
      </c>
      <c r="B1294">
        <v>1128299</v>
      </c>
      <c r="C1294" s="1">
        <v>44250</v>
      </c>
      <c r="D1294" t="s">
        <v>12</v>
      </c>
      <c r="E1294" t="s">
        <v>39</v>
      </c>
      <c r="F1294" t="s">
        <v>40</v>
      </c>
      <c r="G1294" t="s">
        <v>41</v>
      </c>
      <c r="H1294" t="s">
        <v>16</v>
      </c>
      <c r="I1294" s="3">
        <v>40</v>
      </c>
      <c r="J1294" s="2">
        <v>350</v>
      </c>
      <c r="K1294" s="3">
        <f t="shared" si="20"/>
        <v>14000</v>
      </c>
      <c r="L1294" s="3">
        <v>10500</v>
      </c>
    </row>
    <row r="1295" spans="1:12" x14ac:dyDescent="0.25">
      <c r="A1295" t="s">
        <v>19</v>
      </c>
      <c r="B1295">
        <v>1128299</v>
      </c>
      <c r="C1295" s="1">
        <v>44250</v>
      </c>
      <c r="D1295" t="s">
        <v>12</v>
      </c>
      <c r="E1295" t="s">
        <v>39</v>
      </c>
      <c r="F1295" t="s">
        <v>40</v>
      </c>
      <c r="G1295" t="s">
        <v>41</v>
      </c>
      <c r="H1295" t="s">
        <v>22</v>
      </c>
      <c r="I1295" s="3">
        <v>45.000000000000007</v>
      </c>
      <c r="J1295" s="2">
        <v>150</v>
      </c>
      <c r="K1295" s="3">
        <f t="shared" si="20"/>
        <v>6750.0000000000009</v>
      </c>
      <c r="L1295" s="3">
        <v>4725.0000000000018</v>
      </c>
    </row>
    <row r="1296" spans="1:12" x14ac:dyDescent="0.25">
      <c r="A1296" t="s">
        <v>19</v>
      </c>
      <c r="B1296">
        <v>1128299</v>
      </c>
      <c r="C1296" s="1">
        <v>44250</v>
      </c>
      <c r="D1296" t="s">
        <v>12</v>
      </c>
      <c r="E1296" t="s">
        <v>66</v>
      </c>
      <c r="F1296" t="s">
        <v>67</v>
      </c>
      <c r="G1296" t="s">
        <v>41</v>
      </c>
      <c r="H1296" t="s">
        <v>38</v>
      </c>
      <c r="I1296" s="3">
        <v>29.999999999999993</v>
      </c>
      <c r="J1296" s="2">
        <v>475</v>
      </c>
      <c r="K1296" s="3">
        <f t="shared" si="20"/>
        <v>14249.999999999996</v>
      </c>
      <c r="L1296" s="3">
        <v>9262.4999999999982</v>
      </c>
    </row>
    <row r="1297" spans="1:12" x14ac:dyDescent="0.25">
      <c r="A1297" t="s">
        <v>19</v>
      </c>
      <c r="B1297">
        <v>1128299</v>
      </c>
      <c r="C1297" s="1">
        <v>44250</v>
      </c>
      <c r="D1297" t="s">
        <v>12</v>
      </c>
      <c r="E1297" t="s">
        <v>66</v>
      </c>
      <c r="F1297" t="s">
        <v>67</v>
      </c>
      <c r="G1297" t="s">
        <v>41</v>
      </c>
      <c r="H1297" t="s">
        <v>35</v>
      </c>
      <c r="I1297" s="3">
        <v>40</v>
      </c>
      <c r="J1297" s="2">
        <v>375</v>
      </c>
      <c r="K1297" s="3">
        <f t="shared" si="20"/>
        <v>15000</v>
      </c>
      <c r="L1297" s="3">
        <v>9750</v>
      </c>
    </row>
    <row r="1298" spans="1:12" x14ac:dyDescent="0.25">
      <c r="A1298" t="s">
        <v>19</v>
      </c>
      <c r="B1298">
        <v>1128299</v>
      </c>
      <c r="C1298" s="1">
        <v>44250</v>
      </c>
      <c r="D1298" t="s">
        <v>12</v>
      </c>
      <c r="E1298" t="s">
        <v>39</v>
      </c>
      <c r="F1298" t="s">
        <v>40</v>
      </c>
      <c r="G1298" t="s">
        <v>41</v>
      </c>
      <c r="H1298" t="s">
        <v>37</v>
      </c>
      <c r="I1298" s="3">
        <v>40</v>
      </c>
      <c r="J1298" s="2">
        <v>225</v>
      </c>
      <c r="K1298" s="3">
        <f t="shared" si="20"/>
        <v>9000</v>
      </c>
      <c r="L1298" s="3">
        <v>5850</v>
      </c>
    </row>
    <row r="1299" spans="1:12" x14ac:dyDescent="0.25">
      <c r="A1299" t="s">
        <v>27</v>
      </c>
      <c r="B1299">
        <v>1189833</v>
      </c>
      <c r="C1299" s="1">
        <v>44250</v>
      </c>
      <c r="D1299" t="s">
        <v>57</v>
      </c>
      <c r="E1299" t="s">
        <v>58</v>
      </c>
      <c r="F1299" t="s">
        <v>59</v>
      </c>
      <c r="G1299" t="s">
        <v>15</v>
      </c>
      <c r="H1299" t="s">
        <v>37</v>
      </c>
      <c r="I1299" s="3">
        <v>45</v>
      </c>
      <c r="J1299" s="2">
        <v>375</v>
      </c>
      <c r="K1299" s="3">
        <f t="shared" si="20"/>
        <v>16875</v>
      </c>
      <c r="L1299" s="3">
        <v>10125</v>
      </c>
    </row>
    <row r="1300" spans="1:12" x14ac:dyDescent="0.25">
      <c r="A1300" t="s">
        <v>19</v>
      </c>
      <c r="B1300">
        <v>1128299</v>
      </c>
      <c r="C1300" s="1">
        <v>44250</v>
      </c>
      <c r="D1300" t="s">
        <v>12</v>
      </c>
      <c r="E1300" t="s">
        <v>66</v>
      </c>
      <c r="F1300" t="s">
        <v>67</v>
      </c>
      <c r="G1300" t="s">
        <v>41</v>
      </c>
      <c r="H1300" t="s">
        <v>17</v>
      </c>
      <c r="I1300" s="3">
        <v>40</v>
      </c>
      <c r="J1300" s="2">
        <v>375</v>
      </c>
      <c r="K1300" s="3">
        <f t="shared" si="20"/>
        <v>15000</v>
      </c>
      <c r="L1300" s="3">
        <v>9000</v>
      </c>
    </row>
    <row r="1301" spans="1:12" x14ac:dyDescent="0.25">
      <c r="A1301" t="s">
        <v>19</v>
      </c>
      <c r="B1301">
        <v>1128299</v>
      </c>
      <c r="C1301" s="1">
        <v>44250</v>
      </c>
      <c r="D1301" t="s">
        <v>12</v>
      </c>
      <c r="E1301" t="s">
        <v>39</v>
      </c>
      <c r="F1301" t="s">
        <v>40</v>
      </c>
      <c r="G1301" t="s">
        <v>15</v>
      </c>
      <c r="H1301" t="s">
        <v>16</v>
      </c>
      <c r="I1301" s="3">
        <v>31</v>
      </c>
      <c r="J1301" s="2">
        <v>116</v>
      </c>
      <c r="K1301" s="3">
        <f t="shared" si="20"/>
        <v>3596</v>
      </c>
      <c r="L1301" s="3">
        <v>2625.08</v>
      </c>
    </row>
    <row r="1302" spans="1:12" x14ac:dyDescent="0.25">
      <c r="A1302" t="s">
        <v>19</v>
      </c>
      <c r="B1302">
        <v>1128299</v>
      </c>
      <c r="C1302" s="1">
        <v>44250</v>
      </c>
      <c r="D1302" t="s">
        <v>12</v>
      </c>
      <c r="E1302" t="s">
        <v>39</v>
      </c>
      <c r="F1302" t="s">
        <v>40</v>
      </c>
      <c r="G1302" t="s">
        <v>41</v>
      </c>
      <c r="H1302" t="s">
        <v>16</v>
      </c>
      <c r="I1302" s="3">
        <v>38</v>
      </c>
      <c r="J1302" s="2">
        <v>88</v>
      </c>
      <c r="K1302" s="3">
        <f t="shared" si="20"/>
        <v>3344</v>
      </c>
      <c r="L1302" s="3">
        <v>2140.16</v>
      </c>
    </row>
    <row r="1303" spans="1:12" x14ac:dyDescent="0.25">
      <c r="A1303" t="s">
        <v>19</v>
      </c>
      <c r="B1303">
        <v>1128299</v>
      </c>
      <c r="C1303" s="1">
        <v>44250</v>
      </c>
      <c r="D1303" t="s">
        <v>12</v>
      </c>
      <c r="E1303" t="s">
        <v>66</v>
      </c>
      <c r="F1303" t="s">
        <v>67</v>
      </c>
      <c r="G1303" t="s">
        <v>15</v>
      </c>
      <c r="H1303" t="s">
        <v>38</v>
      </c>
      <c r="I1303" s="3">
        <v>21</v>
      </c>
      <c r="J1303" s="2">
        <v>162</v>
      </c>
      <c r="K1303" s="3">
        <f t="shared" si="20"/>
        <v>3402</v>
      </c>
      <c r="L1303" s="3">
        <v>2143.2600000000002</v>
      </c>
    </row>
    <row r="1304" spans="1:12" x14ac:dyDescent="0.25">
      <c r="A1304" t="s">
        <v>19</v>
      </c>
      <c r="B1304">
        <v>1128299</v>
      </c>
      <c r="C1304" s="1">
        <v>44250</v>
      </c>
      <c r="D1304" t="s">
        <v>12</v>
      </c>
      <c r="E1304" t="s">
        <v>39</v>
      </c>
      <c r="F1304" t="s">
        <v>40</v>
      </c>
      <c r="G1304" t="s">
        <v>15</v>
      </c>
      <c r="H1304" t="s">
        <v>22</v>
      </c>
      <c r="I1304" s="3">
        <v>36</v>
      </c>
      <c r="J1304" s="2">
        <v>51</v>
      </c>
      <c r="K1304" s="3">
        <f t="shared" si="20"/>
        <v>1836</v>
      </c>
      <c r="L1304" s="3">
        <v>1156.68</v>
      </c>
    </row>
    <row r="1305" spans="1:12" x14ac:dyDescent="0.25">
      <c r="A1305" t="s">
        <v>19</v>
      </c>
      <c r="B1305">
        <v>1128299</v>
      </c>
      <c r="C1305" s="1">
        <v>44250</v>
      </c>
      <c r="D1305" t="s">
        <v>12</v>
      </c>
      <c r="E1305" t="s">
        <v>66</v>
      </c>
      <c r="F1305" t="s">
        <v>67</v>
      </c>
      <c r="G1305" t="s">
        <v>15</v>
      </c>
      <c r="H1305" t="s">
        <v>35</v>
      </c>
      <c r="I1305" s="3">
        <v>28</v>
      </c>
      <c r="J1305" s="2">
        <v>124</v>
      </c>
      <c r="K1305" s="3">
        <f t="shared" si="20"/>
        <v>3472</v>
      </c>
      <c r="L1305" s="3">
        <v>2013.76</v>
      </c>
    </row>
    <row r="1306" spans="1:12" x14ac:dyDescent="0.25">
      <c r="A1306" t="s">
        <v>19</v>
      </c>
      <c r="B1306">
        <v>1128299</v>
      </c>
      <c r="C1306" s="1">
        <v>44250</v>
      </c>
      <c r="D1306" t="s">
        <v>12</v>
      </c>
      <c r="E1306" t="s">
        <v>39</v>
      </c>
      <c r="F1306" t="s">
        <v>40</v>
      </c>
      <c r="G1306" t="s">
        <v>15</v>
      </c>
      <c r="H1306" t="s">
        <v>37</v>
      </c>
      <c r="I1306" s="3">
        <v>26</v>
      </c>
      <c r="J1306" s="2">
        <v>68</v>
      </c>
      <c r="K1306" s="3">
        <f t="shared" si="20"/>
        <v>1768</v>
      </c>
      <c r="L1306" s="3">
        <v>1025.44</v>
      </c>
    </row>
    <row r="1307" spans="1:12" x14ac:dyDescent="0.25">
      <c r="A1307" t="s">
        <v>19</v>
      </c>
      <c r="B1307">
        <v>1128299</v>
      </c>
      <c r="C1307" s="1">
        <v>44250</v>
      </c>
      <c r="D1307" t="s">
        <v>12</v>
      </c>
      <c r="E1307" t="s">
        <v>66</v>
      </c>
      <c r="F1307" t="s">
        <v>67</v>
      </c>
      <c r="G1307" t="s">
        <v>15</v>
      </c>
      <c r="H1307" t="s">
        <v>17</v>
      </c>
      <c r="I1307" s="3">
        <v>28</v>
      </c>
      <c r="J1307" s="2">
        <v>128</v>
      </c>
      <c r="K1307" s="3">
        <f t="shared" si="20"/>
        <v>3584</v>
      </c>
      <c r="L1307" s="3">
        <v>2042.8799999999999</v>
      </c>
    </row>
    <row r="1308" spans="1:12" x14ac:dyDescent="0.25">
      <c r="A1308" t="s">
        <v>19</v>
      </c>
      <c r="B1308">
        <v>1128299</v>
      </c>
      <c r="C1308" s="1">
        <v>44250</v>
      </c>
      <c r="D1308" t="s">
        <v>12</v>
      </c>
      <c r="E1308" t="s">
        <v>39</v>
      </c>
      <c r="F1308" t="s">
        <v>40</v>
      </c>
      <c r="G1308" t="s">
        <v>41</v>
      </c>
      <c r="H1308" t="s">
        <v>22</v>
      </c>
      <c r="I1308" s="3">
        <v>42</v>
      </c>
      <c r="J1308" s="2">
        <v>44</v>
      </c>
      <c r="K1308" s="3">
        <f t="shared" si="20"/>
        <v>1848</v>
      </c>
      <c r="L1308" s="3">
        <v>1034.8800000000001</v>
      </c>
    </row>
    <row r="1309" spans="1:12" x14ac:dyDescent="0.25">
      <c r="A1309" t="s">
        <v>19</v>
      </c>
      <c r="B1309">
        <v>1128299</v>
      </c>
      <c r="C1309" s="1">
        <v>44250</v>
      </c>
      <c r="D1309" t="s">
        <v>12</v>
      </c>
      <c r="E1309" t="s">
        <v>66</v>
      </c>
      <c r="F1309" t="s">
        <v>67</v>
      </c>
      <c r="G1309" t="s">
        <v>41</v>
      </c>
      <c r="H1309" t="s">
        <v>35</v>
      </c>
      <c r="I1309" s="3">
        <v>38</v>
      </c>
      <c r="J1309" s="2">
        <v>105</v>
      </c>
      <c r="K1309" s="3">
        <f t="shared" si="20"/>
        <v>3990</v>
      </c>
      <c r="L1309" s="3">
        <v>2114.6999999999998</v>
      </c>
    </row>
    <row r="1310" spans="1:12" x14ac:dyDescent="0.25">
      <c r="A1310" t="s">
        <v>19</v>
      </c>
      <c r="B1310">
        <v>1128299</v>
      </c>
      <c r="C1310" s="1">
        <v>44250</v>
      </c>
      <c r="D1310" t="s">
        <v>12</v>
      </c>
      <c r="E1310" t="s">
        <v>39</v>
      </c>
      <c r="F1310" t="s">
        <v>40</v>
      </c>
      <c r="G1310" t="s">
        <v>41</v>
      </c>
      <c r="H1310" t="s">
        <v>37</v>
      </c>
      <c r="I1310" s="3">
        <v>38</v>
      </c>
      <c r="J1310" s="2">
        <v>63</v>
      </c>
      <c r="K1310" s="3">
        <f t="shared" si="20"/>
        <v>2394</v>
      </c>
      <c r="L1310" s="3">
        <v>1244.8800000000001</v>
      </c>
    </row>
    <row r="1311" spans="1:12" x14ac:dyDescent="0.25">
      <c r="A1311" t="s">
        <v>19</v>
      </c>
      <c r="B1311">
        <v>1128299</v>
      </c>
      <c r="C1311" s="1">
        <v>44250</v>
      </c>
      <c r="D1311" t="s">
        <v>12</v>
      </c>
      <c r="E1311" t="s">
        <v>66</v>
      </c>
      <c r="F1311" t="s">
        <v>67</v>
      </c>
      <c r="G1311" t="s">
        <v>41</v>
      </c>
      <c r="H1311" t="s">
        <v>38</v>
      </c>
      <c r="I1311" s="3">
        <v>29</v>
      </c>
      <c r="J1311" s="2">
        <v>143</v>
      </c>
      <c r="K1311" s="3">
        <f t="shared" si="20"/>
        <v>4147</v>
      </c>
      <c r="L1311" s="3">
        <v>2073.5</v>
      </c>
    </row>
    <row r="1312" spans="1:12" x14ac:dyDescent="0.25">
      <c r="A1312" t="s">
        <v>27</v>
      </c>
      <c r="B1312">
        <v>1189833</v>
      </c>
      <c r="C1312" s="1">
        <v>44250</v>
      </c>
      <c r="D1312" t="s">
        <v>57</v>
      </c>
      <c r="E1312" t="s">
        <v>58</v>
      </c>
      <c r="F1312" t="s">
        <v>59</v>
      </c>
      <c r="G1312" t="s">
        <v>41</v>
      </c>
      <c r="H1312" t="s">
        <v>37</v>
      </c>
      <c r="I1312" s="3">
        <v>44</v>
      </c>
      <c r="J1312" s="2">
        <v>105</v>
      </c>
      <c r="K1312" s="3">
        <f t="shared" si="20"/>
        <v>4620</v>
      </c>
      <c r="L1312" s="3">
        <v>2217.6</v>
      </c>
    </row>
    <row r="1313" spans="1:12" x14ac:dyDescent="0.25">
      <c r="A1313" t="s">
        <v>19</v>
      </c>
      <c r="B1313">
        <v>1128299</v>
      </c>
      <c r="C1313" s="1">
        <v>44250</v>
      </c>
      <c r="D1313" t="s">
        <v>12</v>
      </c>
      <c r="E1313" t="s">
        <v>66</v>
      </c>
      <c r="F1313" t="s">
        <v>67</v>
      </c>
      <c r="G1313" t="s">
        <v>41</v>
      </c>
      <c r="H1313" t="s">
        <v>17</v>
      </c>
      <c r="I1313" s="3">
        <v>38</v>
      </c>
      <c r="J1313" s="2">
        <v>113</v>
      </c>
      <c r="K1313" s="3">
        <f t="shared" si="20"/>
        <v>4294</v>
      </c>
      <c r="L1313" s="3">
        <v>1975.2399999999998</v>
      </c>
    </row>
    <row r="1314" spans="1:12" x14ac:dyDescent="0.25">
      <c r="A1314" t="s">
        <v>19</v>
      </c>
      <c r="B1314">
        <v>1128299</v>
      </c>
      <c r="C1314" s="1">
        <v>44251</v>
      </c>
      <c r="D1314" t="s">
        <v>32</v>
      </c>
      <c r="E1314" t="s">
        <v>82</v>
      </c>
      <c r="F1314" t="s">
        <v>83</v>
      </c>
      <c r="G1314" t="s">
        <v>18</v>
      </c>
      <c r="H1314" t="s">
        <v>16</v>
      </c>
      <c r="I1314" s="3">
        <v>40</v>
      </c>
      <c r="J1314" s="2">
        <v>325</v>
      </c>
      <c r="K1314" s="3">
        <f t="shared" si="20"/>
        <v>13000</v>
      </c>
      <c r="L1314" s="3">
        <v>9100</v>
      </c>
    </row>
    <row r="1315" spans="1:12" x14ac:dyDescent="0.25">
      <c r="A1315" t="s">
        <v>11</v>
      </c>
      <c r="B1315">
        <v>1128299</v>
      </c>
      <c r="C1315" s="1">
        <v>44251</v>
      </c>
      <c r="D1315" t="s">
        <v>12</v>
      </c>
      <c r="E1315" t="s">
        <v>84</v>
      </c>
      <c r="F1315" t="s">
        <v>31</v>
      </c>
      <c r="G1315" t="s">
        <v>18</v>
      </c>
      <c r="H1315" t="s">
        <v>16</v>
      </c>
      <c r="I1315" s="3">
        <v>40</v>
      </c>
      <c r="J1315" s="2">
        <v>325</v>
      </c>
      <c r="K1315" s="3">
        <f t="shared" si="20"/>
        <v>13000</v>
      </c>
      <c r="L1315" s="3">
        <v>9100</v>
      </c>
    </row>
    <row r="1316" spans="1:12" x14ac:dyDescent="0.25">
      <c r="A1316" t="s">
        <v>19</v>
      </c>
      <c r="B1316">
        <v>1128299</v>
      </c>
      <c r="C1316" s="1">
        <v>44251</v>
      </c>
      <c r="D1316" t="s">
        <v>12</v>
      </c>
      <c r="E1316" t="s">
        <v>62</v>
      </c>
      <c r="F1316" t="s">
        <v>63</v>
      </c>
      <c r="G1316" t="s">
        <v>18</v>
      </c>
      <c r="H1316" t="s">
        <v>38</v>
      </c>
      <c r="I1316" s="3">
        <v>30.000000000000004</v>
      </c>
      <c r="J1316" s="2">
        <v>450</v>
      </c>
      <c r="K1316" s="3">
        <f t="shared" si="20"/>
        <v>13500.000000000002</v>
      </c>
      <c r="L1316" s="3">
        <v>8775.0000000000036</v>
      </c>
    </row>
    <row r="1317" spans="1:12" x14ac:dyDescent="0.25">
      <c r="A1317" t="s">
        <v>11</v>
      </c>
      <c r="B1317">
        <v>1128299</v>
      </c>
      <c r="C1317" s="1">
        <v>44251</v>
      </c>
      <c r="D1317" t="s">
        <v>12</v>
      </c>
      <c r="E1317" t="s">
        <v>101</v>
      </c>
      <c r="F1317" t="s">
        <v>102</v>
      </c>
      <c r="G1317" t="s">
        <v>18</v>
      </c>
      <c r="H1317" t="s">
        <v>38</v>
      </c>
      <c r="I1317" s="3">
        <v>30.000000000000004</v>
      </c>
      <c r="J1317" s="2">
        <v>450</v>
      </c>
      <c r="K1317" s="3">
        <f t="shared" si="20"/>
        <v>13500.000000000002</v>
      </c>
      <c r="L1317" s="3">
        <v>8775.0000000000036</v>
      </c>
    </row>
    <row r="1318" spans="1:12" x14ac:dyDescent="0.25">
      <c r="A1318" t="s">
        <v>19</v>
      </c>
      <c r="B1318">
        <v>1128299</v>
      </c>
      <c r="C1318" s="1">
        <v>44251</v>
      </c>
      <c r="D1318" t="s">
        <v>12</v>
      </c>
      <c r="E1318" t="s">
        <v>62</v>
      </c>
      <c r="F1318" t="s">
        <v>63</v>
      </c>
      <c r="G1318" t="s">
        <v>18</v>
      </c>
      <c r="H1318" t="s">
        <v>17</v>
      </c>
      <c r="I1318" s="3">
        <v>40</v>
      </c>
      <c r="J1318" s="2">
        <v>350</v>
      </c>
      <c r="K1318" s="3">
        <f t="shared" si="20"/>
        <v>14000</v>
      </c>
      <c r="L1318" s="3">
        <v>9100</v>
      </c>
    </row>
    <row r="1319" spans="1:12" x14ac:dyDescent="0.25">
      <c r="A1319" t="s">
        <v>19</v>
      </c>
      <c r="B1319">
        <v>1128299</v>
      </c>
      <c r="C1319" s="1">
        <v>44251</v>
      </c>
      <c r="D1319" t="s">
        <v>12</v>
      </c>
      <c r="E1319" t="s">
        <v>62</v>
      </c>
      <c r="F1319" t="s">
        <v>63</v>
      </c>
      <c r="G1319" t="s">
        <v>18</v>
      </c>
      <c r="H1319" t="s">
        <v>35</v>
      </c>
      <c r="I1319" s="3">
        <v>40</v>
      </c>
      <c r="J1319" s="2">
        <v>350</v>
      </c>
      <c r="K1319" s="3">
        <f t="shared" si="20"/>
        <v>14000</v>
      </c>
      <c r="L1319" s="3">
        <v>9100</v>
      </c>
    </row>
    <row r="1320" spans="1:12" x14ac:dyDescent="0.25">
      <c r="A1320" t="s">
        <v>19</v>
      </c>
      <c r="B1320">
        <v>1128299</v>
      </c>
      <c r="C1320" s="1">
        <v>44251</v>
      </c>
      <c r="D1320" t="s">
        <v>32</v>
      </c>
      <c r="E1320" t="s">
        <v>82</v>
      </c>
      <c r="F1320" t="s">
        <v>83</v>
      </c>
      <c r="G1320" t="s">
        <v>18</v>
      </c>
      <c r="H1320" t="s">
        <v>37</v>
      </c>
      <c r="I1320" s="3">
        <v>40</v>
      </c>
      <c r="J1320" s="2">
        <v>200</v>
      </c>
      <c r="K1320" s="3">
        <f t="shared" si="20"/>
        <v>8000</v>
      </c>
      <c r="L1320" s="3">
        <v>5200</v>
      </c>
    </row>
    <row r="1321" spans="1:12" x14ac:dyDescent="0.25">
      <c r="A1321" t="s">
        <v>11</v>
      </c>
      <c r="B1321">
        <v>1128299</v>
      </c>
      <c r="C1321" s="1">
        <v>44251</v>
      </c>
      <c r="D1321" t="s">
        <v>12</v>
      </c>
      <c r="E1321" t="s">
        <v>101</v>
      </c>
      <c r="F1321" t="s">
        <v>102</v>
      </c>
      <c r="G1321" t="s">
        <v>18</v>
      </c>
      <c r="H1321" t="s">
        <v>17</v>
      </c>
      <c r="I1321" s="3">
        <v>40</v>
      </c>
      <c r="J1321" s="2">
        <v>350</v>
      </c>
      <c r="K1321" s="3">
        <f t="shared" si="20"/>
        <v>14000</v>
      </c>
      <c r="L1321" s="3">
        <v>9100</v>
      </c>
    </row>
    <row r="1322" spans="1:12" x14ac:dyDescent="0.25">
      <c r="A1322" t="s">
        <v>11</v>
      </c>
      <c r="B1322">
        <v>1128299</v>
      </c>
      <c r="C1322" s="1">
        <v>44251</v>
      </c>
      <c r="D1322" t="s">
        <v>12</v>
      </c>
      <c r="E1322" t="s">
        <v>101</v>
      </c>
      <c r="F1322" t="s">
        <v>102</v>
      </c>
      <c r="G1322" t="s">
        <v>18</v>
      </c>
      <c r="H1322" t="s">
        <v>35</v>
      </c>
      <c r="I1322" s="3">
        <v>40</v>
      </c>
      <c r="J1322" s="2">
        <v>350</v>
      </c>
      <c r="K1322" s="3">
        <f t="shared" si="20"/>
        <v>14000</v>
      </c>
      <c r="L1322" s="3">
        <v>9100</v>
      </c>
    </row>
    <row r="1323" spans="1:12" x14ac:dyDescent="0.25">
      <c r="A1323" t="s">
        <v>11</v>
      </c>
      <c r="B1323">
        <v>1128299</v>
      </c>
      <c r="C1323" s="1">
        <v>44251</v>
      </c>
      <c r="D1323" t="s">
        <v>12</v>
      </c>
      <c r="E1323" t="s">
        <v>84</v>
      </c>
      <c r="F1323" t="s">
        <v>31</v>
      </c>
      <c r="G1323" t="s">
        <v>18</v>
      </c>
      <c r="H1323" t="s">
        <v>37</v>
      </c>
      <c r="I1323" s="3">
        <v>40</v>
      </c>
      <c r="J1323" s="2">
        <v>200</v>
      </c>
      <c r="K1323" s="3">
        <f t="shared" si="20"/>
        <v>8000</v>
      </c>
      <c r="L1323" s="3">
        <v>5200</v>
      </c>
    </row>
    <row r="1324" spans="1:12" x14ac:dyDescent="0.25">
      <c r="A1324" t="s">
        <v>19</v>
      </c>
      <c r="B1324">
        <v>1128299</v>
      </c>
      <c r="C1324" s="1">
        <v>44251</v>
      </c>
      <c r="D1324" t="s">
        <v>32</v>
      </c>
      <c r="E1324" t="s">
        <v>82</v>
      </c>
      <c r="F1324" t="s">
        <v>83</v>
      </c>
      <c r="G1324" t="s">
        <v>18</v>
      </c>
      <c r="H1324" t="s">
        <v>22</v>
      </c>
      <c r="I1324" s="3">
        <v>45.000000000000007</v>
      </c>
      <c r="J1324" s="2">
        <v>125</v>
      </c>
      <c r="K1324" s="3">
        <f t="shared" si="20"/>
        <v>5625.0000000000009</v>
      </c>
      <c r="L1324" s="3">
        <v>3375</v>
      </c>
    </row>
    <row r="1325" spans="1:12" x14ac:dyDescent="0.25">
      <c r="A1325" t="s">
        <v>11</v>
      </c>
      <c r="B1325">
        <v>1128299</v>
      </c>
      <c r="C1325" s="1">
        <v>44251</v>
      </c>
      <c r="D1325" t="s">
        <v>12</v>
      </c>
      <c r="E1325" t="s">
        <v>84</v>
      </c>
      <c r="F1325" t="s">
        <v>31</v>
      </c>
      <c r="G1325" t="s">
        <v>18</v>
      </c>
      <c r="H1325" t="s">
        <v>22</v>
      </c>
      <c r="I1325" s="3">
        <v>45.000000000000007</v>
      </c>
      <c r="J1325" s="2">
        <v>125</v>
      </c>
      <c r="K1325" s="3">
        <f t="shared" si="20"/>
        <v>5625.0000000000009</v>
      </c>
      <c r="L1325" s="3">
        <v>3375</v>
      </c>
    </row>
    <row r="1326" spans="1:12" x14ac:dyDescent="0.25">
      <c r="A1326" t="s">
        <v>27</v>
      </c>
      <c r="B1326">
        <v>1189833</v>
      </c>
      <c r="C1326" s="1">
        <v>44251</v>
      </c>
      <c r="D1326" t="s">
        <v>57</v>
      </c>
      <c r="E1326" t="s">
        <v>58</v>
      </c>
      <c r="F1326" t="s">
        <v>59</v>
      </c>
      <c r="G1326" t="s">
        <v>15</v>
      </c>
      <c r="H1326" t="s">
        <v>22</v>
      </c>
      <c r="I1326" s="3">
        <v>54.999999999999993</v>
      </c>
      <c r="J1326" s="2">
        <v>350</v>
      </c>
      <c r="K1326" s="3">
        <f t="shared" si="20"/>
        <v>19249.999999999996</v>
      </c>
      <c r="L1326" s="3">
        <v>7699.9999999999973</v>
      </c>
    </row>
    <row r="1327" spans="1:12" x14ac:dyDescent="0.25">
      <c r="A1327" t="s">
        <v>11</v>
      </c>
      <c r="B1327">
        <v>1128299</v>
      </c>
      <c r="C1327" s="1">
        <v>44251</v>
      </c>
      <c r="D1327" t="s">
        <v>12</v>
      </c>
      <c r="E1327" t="s">
        <v>84</v>
      </c>
      <c r="F1327" t="s">
        <v>31</v>
      </c>
      <c r="G1327" t="s">
        <v>15</v>
      </c>
      <c r="H1327" t="s">
        <v>16</v>
      </c>
      <c r="I1327" s="3">
        <v>28</v>
      </c>
      <c r="J1327" s="2">
        <v>98</v>
      </c>
      <c r="K1327" s="3">
        <f t="shared" si="20"/>
        <v>2744</v>
      </c>
      <c r="L1327" s="3">
        <v>1783.6</v>
      </c>
    </row>
    <row r="1328" spans="1:12" x14ac:dyDescent="0.25">
      <c r="A1328" t="s">
        <v>19</v>
      </c>
      <c r="B1328">
        <v>1128299</v>
      </c>
      <c r="C1328" s="1">
        <v>44251</v>
      </c>
      <c r="D1328" t="s">
        <v>32</v>
      </c>
      <c r="E1328" t="s">
        <v>82</v>
      </c>
      <c r="F1328" t="s">
        <v>83</v>
      </c>
      <c r="G1328" t="s">
        <v>15</v>
      </c>
      <c r="H1328" t="s">
        <v>16</v>
      </c>
      <c r="I1328" s="3">
        <v>30</v>
      </c>
      <c r="J1328" s="2">
        <v>107</v>
      </c>
      <c r="K1328" s="3">
        <f t="shared" si="20"/>
        <v>3210</v>
      </c>
      <c r="L1328" s="3">
        <v>2054.4</v>
      </c>
    </row>
    <row r="1329" spans="1:12" x14ac:dyDescent="0.25">
      <c r="A1329" t="s">
        <v>11</v>
      </c>
      <c r="B1329">
        <v>1128299</v>
      </c>
      <c r="C1329" s="1">
        <v>44251</v>
      </c>
      <c r="D1329" t="s">
        <v>12</v>
      </c>
      <c r="E1329" t="s">
        <v>101</v>
      </c>
      <c r="F1329" t="s">
        <v>102</v>
      </c>
      <c r="G1329" t="s">
        <v>15</v>
      </c>
      <c r="H1329" t="s">
        <v>35</v>
      </c>
      <c r="I1329" s="3">
        <v>28</v>
      </c>
      <c r="J1329" s="2">
        <v>123</v>
      </c>
      <c r="K1329" s="3">
        <f t="shared" si="20"/>
        <v>3444</v>
      </c>
      <c r="L1329" s="3">
        <v>2169.7200000000003</v>
      </c>
    </row>
    <row r="1330" spans="1:12" x14ac:dyDescent="0.25">
      <c r="A1330" t="s">
        <v>11</v>
      </c>
      <c r="B1330">
        <v>1128299</v>
      </c>
      <c r="C1330" s="1">
        <v>44251</v>
      </c>
      <c r="D1330" t="s">
        <v>12</v>
      </c>
      <c r="E1330" t="s">
        <v>84</v>
      </c>
      <c r="F1330" t="s">
        <v>31</v>
      </c>
      <c r="G1330" t="s">
        <v>41</v>
      </c>
      <c r="H1330" t="s">
        <v>16</v>
      </c>
      <c r="I1330" s="3">
        <v>37</v>
      </c>
      <c r="J1330" s="2">
        <v>85</v>
      </c>
      <c r="K1330" s="3">
        <f t="shared" si="20"/>
        <v>3145</v>
      </c>
      <c r="L1330" s="3">
        <v>1887</v>
      </c>
    </row>
    <row r="1331" spans="1:12" x14ac:dyDescent="0.25">
      <c r="A1331" t="s">
        <v>19</v>
      </c>
      <c r="B1331">
        <v>1128299</v>
      </c>
      <c r="C1331" s="1">
        <v>44251</v>
      </c>
      <c r="D1331" t="s">
        <v>32</v>
      </c>
      <c r="E1331" t="s">
        <v>82</v>
      </c>
      <c r="F1331" t="s">
        <v>83</v>
      </c>
      <c r="G1331" t="s">
        <v>15</v>
      </c>
      <c r="H1331" t="s">
        <v>37</v>
      </c>
      <c r="I1331" s="3">
        <v>28</v>
      </c>
      <c r="J1331" s="2">
        <v>64</v>
      </c>
      <c r="K1331" s="3">
        <f t="shared" si="20"/>
        <v>1792</v>
      </c>
      <c r="L1331" s="3">
        <v>1057.2800000000002</v>
      </c>
    </row>
    <row r="1332" spans="1:12" x14ac:dyDescent="0.25">
      <c r="A1332" t="s">
        <v>11</v>
      </c>
      <c r="B1332">
        <v>1128299</v>
      </c>
      <c r="C1332" s="1">
        <v>44251</v>
      </c>
      <c r="D1332" t="s">
        <v>12</v>
      </c>
      <c r="E1332" t="s">
        <v>101</v>
      </c>
      <c r="F1332" t="s">
        <v>102</v>
      </c>
      <c r="G1332" t="s">
        <v>15</v>
      </c>
      <c r="H1332" t="s">
        <v>38</v>
      </c>
      <c r="I1332" s="3">
        <v>22</v>
      </c>
      <c r="J1332" s="2">
        <v>153</v>
      </c>
      <c r="K1332" s="3">
        <f t="shared" si="20"/>
        <v>3366</v>
      </c>
      <c r="L1332" s="3">
        <v>1985.94</v>
      </c>
    </row>
    <row r="1333" spans="1:12" x14ac:dyDescent="0.25">
      <c r="A1333" t="s">
        <v>11</v>
      </c>
      <c r="B1333">
        <v>1128299</v>
      </c>
      <c r="C1333" s="1">
        <v>44251</v>
      </c>
      <c r="D1333" t="s">
        <v>12</v>
      </c>
      <c r="E1333" t="s">
        <v>84</v>
      </c>
      <c r="F1333" t="s">
        <v>31</v>
      </c>
      <c r="G1333" t="s">
        <v>15</v>
      </c>
      <c r="H1333" t="s">
        <v>37</v>
      </c>
      <c r="I1333" s="3">
        <v>29</v>
      </c>
      <c r="J1333" s="2">
        <v>64</v>
      </c>
      <c r="K1333" s="3">
        <f t="shared" si="20"/>
        <v>1856</v>
      </c>
      <c r="L1333" s="3">
        <v>1095.04</v>
      </c>
    </row>
    <row r="1334" spans="1:12" x14ac:dyDescent="0.25">
      <c r="A1334" t="s">
        <v>11</v>
      </c>
      <c r="B1334">
        <v>1128299</v>
      </c>
      <c r="C1334" s="1">
        <v>44251</v>
      </c>
      <c r="D1334" t="s">
        <v>12</v>
      </c>
      <c r="E1334" t="s">
        <v>101</v>
      </c>
      <c r="F1334" t="s">
        <v>102</v>
      </c>
      <c r="G1334" t="s">
        <v>15</v>
      </c>
      <c r="H1334" t="s">
        <v>17</v>
      </c>
      <c r="I1334" s="3">
        <v>29</v>
      </c>
      <c r="J1334" s="2">
        <v>123</v>
      </c>
      <c r="K1334" s="3">
        <f t="shared" si="20"/>
        <v>3567</v>
      </c>
      <c r="L1334" s="3">
        <v>2068.86</v>
      </c>
    </row>
    <row r="1335" spans="1:12" x14ac:dyDescent="0.25">
      <c r="A1335" t="s">
        <v>19</v>
      </c>
      <c r="B1335">
        <v>1128299</v>
      </c>
      <c r="C1335" s="1">
        <v>44251</v>
      </c>
      <c r="D1335" t="s">
        <v>32</v>
      </c>
      <c r="E1335" t="s">
        <v>82</v>
      </c>
      <c r="F1335" t="s">
        <v>83</v>
      </c>
      <c r="G1335" t="s">
        <v>41</v>
      </c>
      <c r="H1335" t="s">
        <v>16</v>
      </c>
      <c r="I1335" s="3">
        <v>38</v>
      </c>
      <c r="J1335" s="2">
        <v>81</v>
      </c>
      <c r="K1335" s="3">
        <f t="shared" si="20"/>
        <v>3078</v>
      </c>
      <c r="L1335" s="3">
        <v>1754.46</v>
      </c>
    </row>
    <row r="1336" spans="1:12" x14ac:dyDescent="0.25">
      <c r="A1336" t="s">
        <v>11</v>
      </c>
      <c r="B1336">
        <v>1128299</v>
      </c>
      <c r="C1336" s="1">
        <v>44251</v>
      </c>
      <c r="D1336" t="s">
        <v>12</v>
      </c>
      <c r="E1336" t="s">
        <v>84</v>
      </c>
      <c r="F1336" t="s">
        <v>31</v>
      </c>
      <c r="G1336" t="s">
        <v>15</v>
      </c>
      <c r="H1336" t="s">
        <v>22</v>
      </c>
      <c r="I1336" s="3">
        <v>32</v>
      </c>
      <c r="J1336" s="2">
        <v>43</v>
      </c>
      <c r="K1336" s="3">
        <f t="shared" si="20"/>
        <v>1376</v>
      </c>
      <c r="L1336" s="3">
        <v>770.56</v>
      </c>
    </row>
    <row r="1337" spans="1:12" x14ac:dyDescent="0.25">
      <c r="A1337" t="s">
        <v>19</v>
      </c>
      <c r="B1337">
        <v>1128299</v>
      </c>
      <c r="C1337" s="1">
        <v>44251</v>
      </c>
      <c r="D1337" t="s">
        <v>12</v>
      </c>
      <c r="E1337" t="s">
        <v>62</v>
      </c>
      <c r="F1337" t="s">
        <v>63</v>
      </c>
      <c r="G1337" t="s">
        <v>41</v>
      </c>
      <c r="H1337" t="s">
        <v>35</v>
      </c>
      <c r="I1337" s="3">
        <v>39</v>
      </c>
      <c r="J1337" s="2">
        <v>88</v>
      </c>
      <c r="K1337" s="3">
        <f t="shared" si="20"/>
        <v>3432</v>
      </c>
      <c r="L1337" s="3">
        <v>1887.6000000000001</v>
      </c>
    </row>
    <row r="1338" spans="1:12" x14ac:dyDescent="0.25">
      <c r="A1338" t="s">
        <v>11</v>
      </c>
      <c r="B1338">
        <v>1128299</v>
      </c>
      <c r="C1338" s="1">
        <v>44251</v>
      </c>
      <c r="D1338" t="s">
        <v>12</v>
      </c>
      <c r="E1338" t="s">
        <v>101</v>
      </c>
      <c r="F1338" t="s">
        <v>102</v>
      </c>
      <c r="G1338" t="s">
        <v>41</v>
      </c>
      <c r="H1338" t="s">
        <v>38</v>
      </c>
      <c r="I1338" s="3">
        <v>29</v>
      </c>
      <c r="J1338" s="2">
        <v>117</v>
      </c>
      <c r="K1338" s="3">
        <f t="shared" si="20"/>
        <v>3393</v>
      </c>
      <c r="L1338" s="3">
        <v>1866.15</v>
      </c>
    </row>
    <row r="1339" spans="1:12" x14ac:dyDescent="0.25">
      <c r="A1339" t="s">
        <v>11</v>
      </c>
      <c r="B1339">
        <v>1128299</v>
      </c>
      <c r="C1339" s="1">
        <v>44251</v>
      </c>
      <c r="D1339" t="s">
        <v>12</v>
      </c>
      <c r="E1339" t="s">
        <v>101</v>
      </c>
      <c r="F1339" t="s">
        <v>102</v>
      </c>
      <c r="G1339" t="s">
        <v>41</v>
      </c>
      <c r="H1339" t="s">
        <v>35</v>
      </c>
      <c r="I1339" s="3">
        <v>36</v>
      </c>
      <c r="J1339" s="2">
        <v>88</v>
      </c>
      <c r="K1339" s="3">
        <f t="shared" si="20"/>
        <v>3168</v>
      </c>
      <c r="L1339" s="3">
        <v>1742.4</v>
      </c>
    </row>
    <row r="1340" spans="1:12" x14ac:dyDescent="0.25">
      <c r="A1340" t="s">
        <v>19</v>
      </c>
      <c r="B1340">
        <v>1128299</v>
      </c>
      <c r="C1340" s="1">
        <v>44251</v>
      </c>
      <c r="D1340" t="s">
        <v>12</v>
      </c>
      <c r="E1340" t="s">
        <v>62</v>
      </c>
      <c r="F1340" t="s">
        <v>63</v>
      </c>
      <c r="G1340" t="s">
        <v>41</v>
      </c>
      <c r="H1340" t="s">
        <v>17</v>
      </c>
      <c r="I1340" s="3">
        <v>36</v>
      </c>
      <c r="J1340" s="2">
        <v>105</v>
      </c>
      <c r="K1340" s="3">
        <f t="shared" si="20"/>
        <v>3780</v>
      </c>
      <c r="L1340" s="3">
        <v>2079</v>
      </c>
    </row>
    <row r="1341" spans="1:12" x14ac:dyDescent="0.25">
      <c r="A1341" t="s">
        <v>19</v>
      </c>
      <c r="B1341">
        <v>1128299</v>
      </c>
      <c r="C1341" s="1">
        <v>44251</v>
      </c>
      <c r="D1341" t="s">
        <v>32</v>
      </c>
      <c r="E1341" t="s">
        <v>82</v>
      </c>
      <c r="F1341" t="s">
        <v>83</v>
      </c>
      <c r="G1341" t="s">
        <v>15</v>
      </c>
      <c r="H1341" t="s">
        <v>22</v>
      </c>
      <c r="I1341" s="3">
        <v>29</v>
      </c>
      <c r="J1341" s="2">
        <v>39</v>
      </c>
      <c r="K1341" s="3">
        <f t="shared" si="20"/>
        <v>1131</v>
      </c>
      <c r="L1341" s="3">
        <v>622.04999999999995</v>
      </c>
    </row>
    <row r="1342" spans="1:12" x14ac:dyDescent="0.25">
      <c r="A1342" t="s">
        <v>19</v>
      </c>
      <c r="B1342">
        <v>1128299</v>
      </c>
      <c r="C1342" s="1">
        <v>44251</v>
      </c>
      <c r="D1342" t="s">
        <v>12</v>
      </c>
      <c r="E1342" t="s">
        <v>62</v>
      </c>
      <c r="F1342" t="s">
        <v>63</v>
      </c>
      <c r="G1342" t="s">
        <v>41</v>
      </c>
      <c r="H1342" t="s">
        <v>38</v>
      </c>
      <c r="I1342" s="3">
        <v>27</v>
      </c>
      <c r="J1342" s="2">
        <v>113</v>
      </c>
      <c r="K1342" s="3">
        <f t="shared" si="20"/>
        <v>3051</v>
      </c>
      <c r="L1342" s="3">
        <v>1647.5400000000002</v>
      </c>
    </row>
    <row r="1343" spans="1:12" x14ac:dyDescent="0.25">
      <c r="A1343" t="s">
        <v>11</v>
      </c>
      <c r="B1343">
        <v>1128299</v>
      </c>
      <c r="C1343" s="1">
        <v>44251</v>
      </c>
      <c r="D1343" t="s">
        <v>12</v>
      </c>
      <c r="E1343" t="s">
        <v>101</v>
      </c>
      <c r="F1343" t="s">
        <v>102</v>
      </c>
      <c r="G1343" t="s">
        <v>41</v>
      </c>
      <c r="H1343" t="s">
        <v>17</v>
      </c>
      <c r="I1343" s="3">
        <v>39</v>
      </c>
      <c r="J1343" s="2">
        <v>91</v>
      </c>
      <c r="K1343" s="3">
        <f t="shared" si="20"/>
        <v>3549</v>
      </c>
      <c r="L1343" s="3">
        <v>1845.48</v>
      </c>
    </row>
    <row r="1344" spans="1:12" x14ac:dyDescent="0.25">
      <c r="A1344" t="s">
        <v>11</v>
      </c>
      <c r="B1344">
        <v>1128299</v>
      </c>
      <c r="C1344" s="1">
        <v>44251</v>
      </c>
      <c r="D1344" t="s">
        <v>12</v>
      </c>
      <c r="E1344" t="s">
        <v>84</v>
      </c>
      <c r="F1344" t="s">
        <v>31</v>
      </c>
      <c r="G1344" t="s">
        <v>41</v>
      </c>
      <c r="H1344" t="s">
        <v>37</v>
      </c>
      <c r="I1344" s="3">
        <v>39</v>
      </c>
      <c r="J1344" s="2">
        <v>58</v>
      </c>
      <c r="K1344" s="3">
        <f t="shared" si="20"/>
        <v>2262</v>
      </c>
      <c r="L1344" s="3">
        <v>1176.24</v>
      </c>
    </row>
    <row r="1345" spans="1:12" x14ac:dyDescent="0.25">
      <c r="A1345" t="s">
        <v>19</v>
      </c>
      <c r="B1345">
        <v>1128299</v>
      </c>
      <c r="C1345" s="1">
        <v>44251</v>
      </c>
      <c r="D1345" t="s">
        <v>32</v>
      </c>
      <c r="E1345" t="s">
        <v>82</v>
      </c>
      <c r="F1345" t="s">
        <v>83</v>
      </c>
      <c r="G1345" t="s">
        <v>41</v>
      </c>
      <c r="H1345" t="s">
        <v>37</v>
      </c>
      <c r="I1345" s="3">
        <v>38</v>
      </c>
      <c r="J1345" s="2">
        <v>58</v>
      </c>
      <c r="K1345" s="3">
        <f t="shared" si="20"/>
        <v>2204</v>
      </c>
      <c r="L1345" s="3">
        <v>1102</v>
      </c>
    </row>
    <row r="1346" spans="1:12" x14ac:dyDescent="0.25">
      <c r="A1346" t="s">
        <v>11</v>
      </c>
      <c r="B1346">
        <v>1128299</v>
      </c>
      <c r="C1346" s="1">
        <v>44251</v>
      </c>
      <c r="D1346" t="s">
        <v>12</v>
      </c>
      <c r="E1346" t="s">
        <v>84</v>
      </c>
      <c r="F1346" t="s">
        <v>31</v>
      </c>
      <c r="G1346" t="s">
        <v>41</v>
      </c>
      <c r="H1346" t="s">
        <v>22</v>
      </c>
      <c r="I1346" s="3">
        <v>42</v>
      </c>
      <c r="J1346" s="2">
        <v>38</v>
      </c>
      <c r="K1346" s="3">
        <f t="shared" si="20"/>
        <v>1596</v>
      </c>
      <c r="L1346" s="3">
        <v>766.07999999999993</v>
      </c>
    </row>
    <row r="1347" spans="1:12" x14ac:dyDescent="0.25">
      <c r="A1347" t="s">
        <v>19</v>
      </c>
      <c r="B1347">
        <v>1128299</v>
      </c>
      <c r="C1347" s="1">
        <v>44251</v>
      </c>
      <c r="D1347" t="s">
        <v>32</v>
      </c>
      <c r="E1347" t="s">
        <v>82</v>
      </c>
      <c r="F1347" t="s">
        <v>83</v>
      </c>
      <c r="G1347" t="s">
        <v>41</v>
      </c>
      <c r="H1347" t="s">
        <v>22</v>
      </c>
      <c r="I1347" s="3">
        <v>42</v>
      </c>
      <c r="J1347" s="2">
        <v>38</v>
      </c>
      <c r="K1347" s="3">
        <f t="shared" ref="K1347:K1410" si="21">I1347*J1347</f>
        <v>1596</v>
      </c>
      <c r="L1347" s="3">
        <v>718.19999999999993</v>
      </c>
    </row>
    <row r="1348" spans="1:12" x14ac:dyDescent="0.25">
      <c r="A1348" t="s">
        <v>27</v>
      </c>
      <c r="B1348">
        <v>1189833</v>
      </c>
      <c r="C1348" s="1">
        <v>44251</v>
      </c>
      <c r="D1348" t="s">
        <v>57</v>
      </c>
      <c r="E1348" t="s">
        <v>58</v>
      </c>
      <c r="F1348" t="s">
        <v>59</v>
      </c>
      <c r="G1348" t="s">
        <v>41</v>
      </c>
      <c r="H1348" t="s">
        <v>22</v>
      </c>
      <c r="I1348" s="3">
        <v>54</v>
      </c>
      <c r="J1348" s="2">
        <v>98</v>
      </c>
      <c r="K1348" s="3">
        <f t="shared" si="21"/>
        <v>5292</v>
      </c>
      <c r="L1348" s="3">
        <v>1322.9999999999995</v>
      </c>
    </row>
    <row r="1349" spans="1:12" x14ac:dyDescent="0.25">
      <c r="A1349" t="s">
        <v>27</v>
      </c>
      <c r="B1349">
        <v>1189833</v>
      </c>
      <c r="C1349" s="1">
        <v>44252</v>
      </c>
      <c r="D1349" t="s">
        <v>57</v>
      </c>
      <c r="E1349" t="s">
        <v>58</v>
      </c>
      <c r="F1349" t="s">
        <v>59</v>
      </c>
      <c r="G1349" t="s">
        <v>15</v>
      </c>
      <c r="H1349" t="s">
        <v>16</v>
      </c>
      <c r="I1349" s="3">
        <v>60</v>
      </c>
      <c r="J1349" s="2">
        <v>400</v>
      </c>
      <c r="K1349" s="3">
        <f t="shared" si="21"/>
        <v>24000</v>
      </c>
      <c r="L1349" s="3">
        <v>18000</v>
      </c>
    </row>
    <row r="1350" spans="1:12" x14ac:dyDescent="0.25">
      <c r="A1350" t="s">
        <v>27</v>
      </c>
      <c r="B1350">
        <v>1189833</v>
      </c>
      <c r="C1350" s="1">
        <v>44252</v>
      </c>
      <c r="D1350" t="s">
        <v>57</v>
      </c>
      <c r="E1350" t="s">
        <v>58</v>
      </c>
      <c r="F1350" t="s">
        <v>59</v>
      </c>
      <c r="G1350" t="s">
        <v>41</v>
      </c>
      <c r="H1350" t="s">
        <v>16</v>
      </c>
      <c r="I1350" s="3">
        <v>58</v>
      </c>
      <c r="J1350" s="2">
        <v>108</v>
      </c>
      <c r="K1350" s="3">
        <f t="shared" si="21"/>
        <v>6264</v>
      </c>
      <c r="L1350" s="3">
        <v>3821.04</v>
      </c>
    </row>
    <row r="1351" spans="1:12" x14ac:dyDescent="0.25">
      <c r="A1351" t="s">
        <v>27</v>
      </c>
      <c r="B1351">
        <v>1128299</v>
      </c>
      <c r="C1351" s="1">
        <v>44253</v>
      </c>
      <c r="D1351" t="s">
        <v>12</v>
      </c>
      <c r="E1351" t="s">
        <v>42</v>
      </c>
      <c r="F1351" t="s">
        <v>43</v>
      </c>
      <c r="G1351" t="s">
        <v>41</v>
      </c>
      <c r="H1351" t="s">
        <v>16</v>
      </c>
      <c r="I1351" s="3">
        <v>45</v>
      </c>
      <c r="J1351" s="2">
        <v>400</v>
      </c>
      <c r="K1351" s="3">
        <f t="shared" si="21"/>
        <v>18000</v>
      </c>
      <c r="L1351" s="3">
        <v>13500</v>
      </c>
    </row>
    <row r="1352" spans="1:12" x14ac:dyDescent="0.25">
      <c r="A1352" t="s">
        <v>27</v>
      </c>
      <c r="B1352">
        <v>1128299</v>
      </c>
      <c r="C1352" s="1">
        <v>44253</v>
      </c>
      <c r="D1352" t="s">
        <v>12</v>
      </c>
      <c r="E1352" t="s">
        <v>42</v>
      </c>
      <c r="F1352" t="s">
        <v>43</v>
      </c>
      <c r="G1352" t="s">
        <v>41</v>
      </c>
      <c r="H1352" t="s">
        <v>22</v>
      </c>
      <c r="I1352" s="3">
        <v>50.000000000000014</v>
      </c>
      <c r="J1352" s="2">
        <v>200</v>
      </c>
      <c r="K1352" s="3">
        <f t="shared" si="21"/>
        <v>10000.000000000004</v>
      </c>
      <c r="L1352" s="3">
        <v>7000.0000000000027</v>
      </c>
    </row>
    <row r="1353" spans="1:12" x14ac:dyDescent="0.25">
      <c r="A1353" t="s">
        <v>27</v>
      </c>
      <c r="B1353">
        <v>1128299</v>
      </c>
      <c r="C1353" s="1">
        <v>44253</v>
      </c>
      <c r="D1353" t="s">
        <v>12</v>
      </c>
      <c r="E1353" t="s">
        <v>39</v>
      </c>
      <c r="F1353" t="s">
        <v>40</v>
      </c>
      <c r="G1353" t="s">
        <v>41</v>
      </c>
      <c r="H1353" t="s">
        <v>38</v>
      </c>
      <c r="I1353" s="3">
        <v>34.999999999999993</v>
      </c>
      <c r="J1353" s="2">
        <v>525</v>
      </c>
      <c r="K1353" s="3">
        <f t="shared" si="21"/>
        <v>18374.999999999996</v>
      </c>
      <c r="L1353" s="3">
        <v>11943.749999999998</v>
      </c>
    </row>
    <row r="1354" spans="1:12" x14ac:dyDescent="0.25">
      <c r="A1354" t="s">
        <v>27</v>
      </c>
      <c r="B1354">
        <v>1128299</v>
      </c>
      <c r="C1354" s="1">
        <v>44253</v>
      </c>
      <c r="D1354" t="s">
        <v>12</v>
      </c>
      <c r="E1354" t="s">
        <v>39</v>
      </c>
      <c r="F1354" t="s">
        <v>40</v>
      </c>
      <c r="G1354" t="s">
        <v>41</v>
      </c>
      <c r="H1354" t="s">
        <v>35</v>
      </c>
      <c r="I1354" s="3">
        <v>45</v>
      </c>
      <c r="J1354" s="2">
        <v>425</v>
      </c>
      <c r="K1354" s="3">
        <f t="shared" si="21"/>
        <v>19125</v>
      </c>
      <c r="L1354" s="3">
        <v>12431.25</v>
      </c>
    </row>
    <row r="1355" spans="1:12" x14ac:dyDescent="0.25">
      <c r="A1355" t="s">
        <v>27</v>
      </c>
      <c r="B1355">
        <v>1128299</v>
      </c>
      <c r="C1355" s="1">
        <v>44253</v>
      </c>
      <c r="D1355" t="s">
        <v>12</v>
      </c>
      <c r="E1355" t="s">
        <v>42</v>
      </c>
      <c r="F1355" t="s">
        <v>43</v>
      </c>
      <c r="G1355" t="s">
        <v>41</v>
      </c>
      <c r="H1355" t="s">
        <v>37</v>
      </c>
      <c r="I1355" s="3">
        <v>45</v>
      </c>
      <c r="J1355" s="2">
        <v>275</v>
      </c>
      <c r="K1355" s="3">
        <f t="shared" si="21"/>
        <v>12375</v>
      </c>
      <c r="L1355" s="3">
        <v>8043.75</v>
      </c>
    </row>
    <row r="1356" spans="1:12" x14ac:dyDescent="0.25">
      <c r="A1356" t="s">
        <v>27</v>
      </c>
      <c r="B1356">
        <v>1128299</v>
      </c>
      <c r="C1356" s="1">
        <v>44253</v>
      </c>
      <c r="D1356" t="s">
        <v>12</v>
      </c>
      <c r="E1356" t="s">
        <v>39</v>
      </c>
      <c r="F1356" t="s">
        <v>40</v>
      </c>
      <c r="G1356" t="s">
        <v>41</v>
      </c>
      <c r="H1356" t="s">
        <v>17</v>
      </c>
      <c r="I1356" s="3">
        <v>45</v>
      </c>
      <c r="J1356" s="2">
        <v>425</v>
      </c>
      <c r="K1356" s="3">
        <f t="shared" si="21"/>
        <v>19125</v>
      </c>
      <c r="L1356" s="3">
        <v>11475</v>
      </c>
    </row>
    <row r="1357" spans="1:12" x14ac:dyDescent="0.25">
      <c r="A1357" t="s">
        <v>27</v>
      </c>
      <c r="B1357">
        <v>1189833</v>
      </c>
      <c r="C1357" s="1">
        <v>44253</v>
      </c>
      <c r="D1357" t="s">
        <v>57</v>
      </c>
      <c r="E1357" t="s">
        <v>58</v>
      </c>
      <c r="F1357" t="s">
        <v>59</v>
      </c>
      <c r="G1357" t="s">
        <v>15</v>
      </c>
      <c r="H1357" t="s">
        <v>38</v>
      </c>
      <c r="I1357" s="3">
        <v>40</v>
      </c>
      <c r="J1357" s="2">
        <v>575</v>
      </c>
      <c r="K1357" s="3">
        <f t="shared" si="21"/>
        <v>23000</v>
      </c>
      <c r="L1357" s="3">
        <v>12650</v>
      </c>
    </row>
    <row r="1358" spans="1:12" x14ac:dyDescent="0.25">
      <c r="A1358" t="s">
        <v>27</v>
      </c>
      <c r="B1358">
        <v>1128299</v>
      </c>
      <c r="C1358" s="1">
        <v>44253</v>
      </c>
      <c r="D1358" t="s">
        <v>12</v>
      </c>
      <c r="E1358" t="s">
        <v>42</v>
      </c>
      <c r="F1358" t="s">
        <v>43</v>
      </c>
      <c r="G1358" t="s">
        <v>15</v>
      </c>
      <c r="H1358" t="s">
        <v>16</v>
      </c>
      <c r="I1358" s="3">
        <v>35</v>
      </c>
      <c r="J1358" s="2">
        <v>140</v>
      </c>
      <c r="K1358" s="3">
        <f t="shared" si="21"/>
        <v>4900</v>
      </c>
      <c r="L1358" s="3">
        <v>3528</v>
      </c>
    </row>
    <row r="1359" spans="1:12" x14ac:dyDescent="0.25">
      <c r="A1359" t="s">
        <v>27</v>
      </c>
      <c r="B1359">
        <v>1128299</v>
      </c>
      <c r="C1359" s="1">
        <v>44253</v>
      </c>
      <c r="D1359" t="s">
        <v>12</v>
      </c>
      <c r="E1359" t="s">
        <v>42</v>
      </c>
      <c r="F1359" t="s">
        <v>43</v>
      </c>
      <c r="G1359" t="s">
        <v>15</v>
      </c>
      <c r="H1359" t="s">
        <v>22</v>
      </c>
      <c r="I1359" s="3">
        <v>34</v>
      </c>
      <c r="J1359" s="2">
        <v>62</v>
      </c>
      <c r="K1359" s="3">
        <f t="shared" si="21"/>
        <v>2108</v>
      </c>
      <c r="L1359" s="3">
        <v>1433.44</v>
      </c>
    </row>
    <row r="1360" spans="1:12" x14ac:dyDescent="0.25">
      <c r="A1360" t="s">
        <v>27</v>
      </c>
      <c r="B1360">
        <v>1128299</v>
      </c>
      <c r="C1360" s="1">
        <v>44253</v>
      </c>
      <c r="D1360" t="s">
        <v>12</v>
      </c>
      <c r="E1360" t="s">
        <v>42</v>
      </c>
      <c r="F1360" t="s">
        <v>43</v>
      </c>
      <c r="G1360" t="s">
        <v>15</v>
      </c>
      <c r="H1360" t="s">
        <v>37</v>
      </c>
      <c r="I1360" s="3">
        <v>29</v>
      </c>
      <c r="J1360" s="2">
        <v>91</v>
      </c>
      <c r="K1360" s="3">
        <f t="shared" si="21"/>
        <v>2639</v>
      </c>
      <c r="L1360" s="3">
        <v>1662.5700000000002</v>
      </c>
    </row>
    <row r="1361" spans="1:12" x14ac:dyDescent="0.25">
      <c r="A1361" t="s">
        <v>27</v>
      </c>
      <c r="B1361">
        <v>1128299</v>
      </c>
      <c r="C1361" s="1">
        <v>44253</v>
      </c>
      <c r="D1361" t="s">
        <v>12</v>
      </c>
      <c r="E1361" t="s">
        <v>42</v>
      </c>
      <c r="F1361" t="s">
        <v>43</v>
      </c>
      <c r="G1361" t="s">
        <v>41</v>
      </c>
      <c r="H1361" t="s">
        <v>16</v>
      </c>
      <c r="I1361" s="3">
        <v>41</v>
      </c>
      <c r="J1361" s="2">
        <v>104</v>
      </c>
      <c r="K1361" s="3">
        <f t="shared" si="21"/>
        <v>4264</v>
      </c>
      <c r="L1361" s="3">
        <v>2643.6800000000003</v>
      </c>
    </row>
    <row r="1362" spans="1:12" x14ac:dyDescent="0.25">
      <c r="A1362" t="s">
        <v>27</v>
      </c>
      <c r="B1362">
        <v>1128299</v>
      </c>
      <c r="C1362" s="1">
        <v>44253</v>
      </c>
      <c r="D1362" t="s">
        <v>12</v>
      </c>
      <c r="E1362" t="s">
        <v>39</v>
      </c>
      <c r="F1362" t="s">
        <v>40</v>
      </c>
      <c r="G1362" t="s">
        <v>15</v>
      </c>
      <c r="H1362" t="s">
        <v>38</v>
      </c>
      <c r="I1362" s="3">
        <v>27</v>
      </c>
      <c r="J1362" s="2">
        <v>173</v>
      </c>
      <c r="K1362" s="3">
        <f t="shared" si="21"/>
        <v>4671</v>
      </c>
      <c r="L1362" s="3">
        <v>2802.6000000000004</v>
      </c>
    </row>
    <row r="1363" spans="1:12" x14ac:dyDescent="0.25">
      <c r="A1363" t="s">
        <v>27</v>
      </c>
      <c r="B1363">
        <v>1128299</v>
      </c>
      <c r="C1363" s="1">
        <v>44253</v>
      </c>
      <c r="D1363" t="s">
        <v>12</v>
      </c>
      <c r="E1363" t="s">
        <v>39</v>
      </c>
      <c r="F1363" t="s">
        <v>40</v>
      </c>
      <c r="G1363" t="s">
        <v>15</v>
      </c>
      <c r="H1363" t="s">
        <v>35</v>
      </c>
      <c r="I1363" s="3">
        <v>35</v>
      </c>
      <c r="J1363" s="2">
        <v>132</v>
      </c>
      <c r="K1363" s="3">
        <f t="shared" si="21"/>
        <v>4620</v>
      </c>
      <c r="L1363" s="3">
        <v>2772</v>
      </c>
    </row>
    <row r="1364" spans="1:12" x14ac:dyDescent="0.25">
      <c r="A1364" t="s">
        <v>27</v>
      </c>
      <c r="B1364">
        <v>1128299</v>
      </c>
      <c r="C1364" s="1">
        <v>44253</v>
      </c>
      <c r="D1364" t="s">
        <v>12</v>
      </c>
      <c r="E1364" t="s">
        <v>42</v>
      </c>
      <c r="F1364" t="s">
        <v>43</v>
      </c>
      <c r="G1364" t="s">
        <v>41</v>
      </c>
      <c r="H1364" t="s">
        <v>22</v>
      </c>
      <c r="I1364" s="3">
        <v>45</v>
      </c>
      <c r="J1364" s="2">
        <v>54</v>
      </c>
      <c r="K1364" s="3">
        <f t="shared" si="21"/>
        <v>2430</v>
      </c>
      <c r="L1364" s="3">
        <v>1360.8</v>
      </c>
    </row>
    <row r="1365" spans="1:12" x14ac:dyDescent="0.25">
      <c r="A1365" t="s">
        <v>27</v>
      </c>
      <c r="B1365">
        <v>1128299</v>
      </c>
      <c r="C1365" s="1">
        <v>44253</v>
      </c>
      <c r="D1365" t="s">
        <v>12</v>
      </c>
      <c r="E1365" t="s">
        <v>39</v>
      </c>
      <c r="F1365" t="s">
        <v>40</v>
      </c>
      <c r="G1365" t="s">
        <v>41</v>
      </c>
      <c r="H1365" t="s">
        <v>35</v>
      </c>
      <c r="I1365" s="3">
        <v>41</v>
      </c>
      <c r="J1365" s="2">
        <v>111</v>
      </c>
      <c r="K1365" s="3">
        <f t="shared" si="21"/>
        <v>4551</v>
      </c>
      <c r="L1365" s="3">
        <v>2457.54</v>
      </c>
    </row>
    <row r="1366" spans="1:12" x14ac:dyDescent="0.25">
      <c r="A1366" t="s">
        <v>27</v>
      </c>
      <c r="B1366">
        <v>1128299</v>
      </c>
      <c r="C1366" s="1">
        <v>44253</v>
      </c>
      <c r="D1366" t="s">
        <v>12</v>
      </c>
      <c r="E1366" t="s">
        <v>39</v>
      </c>
      <c r="F1366" t="s">
        <v>40</v>
      </c>
      <c r="G1366" t="s">
        <v>15</v>
      </c>
      <c r="H1366" t="s">
        <v>17</v>
      </c>
      <c r="I1366" s="3">
        <v>36</v>
      </c>
      <c r="J1366" s="2">
        <v>136</v>
      </c>
      <c r="K1366" s="3">
        <f t="shared" si="21"/>
        <v>4896</v>
      </c>
      <c r="L1366" s="3">
        <v>2594.8799999999997</v>
      </c>
    </row>
    <row r="1367" spans="1:12" x14ac:dyDescent="0.25">
      <c r="A1367" t="s">
        <v>27</v>
      </c>
      <c r="B1367">
        <v>1128299</v>
      </c>
      <c r="C1367" s="1">
        <v>44253</v>
      </c>
      <c r="D1367" t="s">
        <v>12</v>
      </c>
      <c r="E1367" t="s">
        <v>39</v>
      </c>
      <c r="F1367" t="s">
        <v>40</v>
      </c>
      <c r="G1367" t="s">
        <v>41</v>
      </c>
      <c r="H1367" t="s">
        <v>38</v>
      </c>
      <c r="I1367" s="3">
        <v>33</v>
      </c>
      <c r="J1367" s="2">
        <v>147</v>
      </c>
      <c r="K1367" s="3">
        <f t="shared" si="21"/>
        <v>4851</v>
      </c>
      <c r="L1367" s="3">
        <v>2474.0100000000002</v>
      </c>
    </row>
    <row r="1368" spans="1:12" x14ac:dyDescent="0.25">
      <c r="A1368" t="s">
        <v>27</v>
      </c>
      <c r="B1368">
        <v>1128299</v>
      </c>
      <c r="C1368" s="1">
        <v>44253</v>
      </c>
      <c r="D1368" t="s">
        <v>12</v>
      </c>
      <c r="E1368" t="s">
        <v>42</v>
      </c>
      <c r="F1368" t="s">
        <v>43</v>
      </c>
      <c r="G1368" t="s">
        <v>41</v>
      </c>
      <c r="H1368" t="s">
        <v>37</v>
      </c>
      <c r="I1368" s="3">
        <v>43</v>
      </c>
      <c r="J1368" s="2">
        <v>74</v>
      </c>
      <c r="K1368" s="3">
        <f t="shared" si="21"/>
        <v>3182</v>
      </c>
      <c r="L1368" s="3">
        <v>1622.82</v>
      </c>
    </row>
    <row r="1369" spans="1:12" x14ac:dyDescent="0.25">
      <c r="A1369" t="s">
        <v>27</v>
      </c>
      <c r="B1369">
        <v>1128299</v>
      </c>
      <c r="C1369" s="1">
        <v>44253</v>
      </c>
      <c r="D1369" t="s">
        <v>12</v>
      </c>
      <c r="E1369" t="s">
        <v>39</v>
      </c>
      <c r="F1369" t="s">
        <v>40</v>
      </c>
      <c r="G1369" t="s">
        <v>41</v>
      </c>
      <c r="H1369" t="s">
        <v>17</v>
      </c>
      <c r="I1369" s="3">
        <v>44</v>
      </c>
      <c r="J1369" s="2">
        <v>106</v>
      </c>
      <c r="K1369" s="3">
        <f t="shared" si="21"/>
        <v>4664</v>
      </c>
      <c r="L1369" s="3">
        <v>2098.7999999999997</v>
      </c>
    </row>
    <row r="1370" spans="1:12" x14ac:dyDescent="0.25">
      <c r="A1370" t="s">
        <v>27</v>
      </c>
      <c r="B1370">
        <v>1189833</v>
      </c>
      <c r="C1370" s="1">
        <v>44253</v>
      </c>
      <c r="D1370" t="s">
        <v>57</v>
      </c>
      <c r="E1370" t="s">
        <v>58</v>
      </c>
      <c r="F1370" t="s">
        <v>59</v>
      </c>
      <c r="G1370" t="s">
        <v>41</v>
      </c>
      <c r="H1370" t="s">
        <v>38</v>
      </c>
      <c r="I1370" s="3">
        <v>38</v>
      </c>
      <c r="J1370" s="2">
        <v>167</v>
      </c>
      <c r="K1370" s="3">
        <f t="shared" si="21"/>
        <v>6346</v>
      </c>
      <c r="L1370" s="3">
        <v>2601.8599999999997</v>
      </c>
    </row>
    <row r="1371" spans="1:12" x14ac:dyDescent="0.25">
      <c r="A1371" t="s">
        <v>27</v>
      </c>
      <c r="B1371">
        <v>1189833</v>
      </c>
      <c r="C1371" s="1">
        <v>44254</v>
      </c>
      <c r="D1371" t="s">
        <v>57</v>
      </c>
      <c r="E1371" t="s">
        <v>58</v>
      </c>
      <c r="F1371" t="s">
        <v>59</v>
      </c>
      <c r="G1371" t="s">
        <v>15</v>
      </c>
      <c r="H1371" t="s">
        <v>17</v>
      </c>
      <c r="I1371" s="3">
        <v>45.000000000000007</v>
      </c>
      <c r="J1371" s="2">
        <v>575</v>
      </c>
      <c r="K1371" s="3">
        <f t="shared" si="21"/>
        <v>25875.000000000004</v>
      </c>
      <c r="L1371" s="3">
        <v>18112.500000000004</v>
      </c>
    </row>
    <row r="1372" spans="1:12" x14ac:dyDescent="0.25">
      <c r="A1372" t="s">
        <v>27</v>
      </c>
      <c r="B1372">
        <v>1189833</v>
      </c>
      <c r="C1372" s="1">
        <v>44254</v>
      </c>
      <c r="D1372" t="s">
        <v>57</v>
      </c>
      <c r="E1372" t="s">
        <v>58</v>
      </c>
      <c r="F1372" t="s">
        <v>59</v>
      </c>
      <c r="G1372" t="s">
        <v>41</v>
      </c>
      <c r="H1372" t="s">
        <v>17</v>
      </c>
      <c r="I1372" s="3">
        <v>42</v>
      </c>
      <c r="J1372" s="2">
        <v>173</v>
      </c>
      <c r="K1372" s="3">
        <f t="shared" si="21"/>
        <v>7266</v>
      </c>
      <c r="L1372" s="3">
        <v>4286.9400000000005</v>
      </c>
    </row>
    <row r="1373" spans="1:12" x14ac:dyDescent="0.25">
      <c r="A1373" t="s">
        <v>27</v>
      </c>
      <c r="B1373">
        <v>1189833</v>
      </c>
      <c r="C1373" s="1">
        <v>44255</v>
      </c>
      <c r="D1373" t="s">
        <v>57</v>
      </c>
      <c r="E1373" t="s">
        <v>58</v>
      </c>
      <c r="F1373" t="s">
        <v>59</v>
      </c>
      <c r="G1373" t="s">
        <v>15</v>
      </c>
      <c r="H1373" t="s">
        <v>35</v>
      </c>
      <c r="I1373" s="3">
        <v>40</v>
      </c>
      <c r="J1373" s="2">
        <v>425</v>
      </c>
      <c r="K1373" s="3">
        <f t="shared" si="21"/>
        <v>17000</v>
      </c>
      <c r="L1373" s="3">
        <v>9350</v>
      </c>
    </row>
    <row r="1374" spans="1:12" x14ac:dyDescent="0.25">
      <c r="A1374" t="s">
        <v>27</v>
      </c>
      <c r="B1374">
        <v>1189833</v>
      </c>
      <c r="C1374" s="1">
        <v>44255</v>
      </c>
      <c r="D1374" t="s">
        <v>57</v>
      </c>
      <c r="E1374" t="s">
        <v>58</v>
      </c>
      <c r="F1374" t="s">
        <v>59</v>
      </c>
      <c r="G1374" t="s">
        <v>41</v>
      </c>
      <c r="H1374" t="s">
        <v>35</v>
      </c>
      <c r="I1374" s="3">
        <v>37</v>
      </c>
      <c r="J1374" s="2">
        <v>123</v>
      </c>
      <c r="K1374" s="3">
        <f t="shared" si="21"/>
        <v>4551</v>
      </c>
      <c r="L1374" s="3">
        <v>1956.9299999999998</v>
      </c>
    </row>
    <row r="1375" spans="1:12" x14ac:dyDescent="0.25">
      <c r="A1375" t="s">
        <v>27</v>
      </c>
      <c r="B1375">
        <v>1189833</v>
      </c>
      <c r="C1375" s="1">
        <v>44256</v>
      </c>
      <c r="D1375" t="s">
        <v>57</v>
      </c>
      <c r="E1375" t="s">
        <v>58</v>
      </c>
      <c r="F1375" t="s">
        <v>59</v>
      </c>
      <c r="G1375" t="s">
        <v>15</v>
      </c>
      <c r="H1375" t="s">
        <v>37</v>
      </c>
      <c r="I1375" s="3">
        <v>40</v>
      </c>
      <c r="J1375" s="2">
        <v>425</v>
      </c>
      <c r="K1375" s="3">
        <f t="shared" si="21"/>
        <v>17000</v>
      </c>
      <c r="L1375" s="3">
        <v>10200</v>
      </c>
    </row>
    <row r="1376" spans="1:12" x14ac:dyDescent="0.25">
      <c r="A1376" t="s">
        <v>27</v>
      </c>
      <c r="B1376">
        <v>1189833</v>
      </c>
      <c r="C1376" s="1">
        <v>44256</v>
      </c>
      <c r="D1376" t="s">
        <v>57</v>
      </c>
      <c r="E1376" t="s">
        <v>58</v>
      </c>
      <c r="F1376" t="s">
        <v>59</v>
      </c>
      <c r="G1376" t="s">
        <v>41</v>
      </c>
      <c r="H1376" t="s">
        <v>37</v>
      </c>
      <c r="I1376" s="3">
        <v>39</v>
      </c>
      <c r="J1376" s="2">
        <v>119</v>
      </c>
      <c r="K1376" s="3">
        <f t="shared" si="21"/>
        <v>4641</v>
      </c>
      <c r="L1376" s="3">
        <v>2088.4500000000003</v>
      </c>
    </row>
    <row r="1377" spans="1:12" x14ac:dyDescent="0.25">
      <c r="A1377" t="s">
        <v>11</v>
      </c>
      <c r="B1377">
        <v>1185732</v>
      </c>
      <c r="C1377" s="1">
        <v>44257</v>
      </c>
      <c r="D1377" t="s">
        <v>57</v>
      </c>
      <c r="E1377" t="s">
        <v>85</v>
      </c>
      <c r="F1377" t="s">
        <v>86</v>
      </c>
      <c r="G1377" t="s">
        <v>18</v>
      </c>
      <c r="H1377" t="s">
        <v>38</v>
      </c>
      <c r="I1377" s="3">
        <v>20.000000000000004</v>
      </c>
      <c r="J1377" s="2">
        <v>470</v>
      </c>
      <c r="K1377" s="3">
        <f t="shared" si="21"/>
        <v>9400.0000000000018</v>
      </c>
      <c r="L1377" s="3">
        <v>6580.0000000000018</v>
      </c>
    </row>
    <row r="1378" spans="1:12" x14ac:dyDescent="0.25">
      <c r="A1378" t="s">
        <v>11</v>
      </c>
      <c r="B1378">
        <v>1185732</v>
      </c>
      <c r="C1378" s="1">
        <v>44257</v>
      </c>
      <c r="D1378" t="s">
        <v>57</v>
      </c>
      <c r="E1378" t="s">
        <v>85</v>
      </c>
      <c r="F1378" t="s">
        <v>86</v>
      </c>
      <c r="G1378" t="s">
        <v>18</v>
      </c>
      <c r="H1378" t="s">
        <v>37</v>
      </c>
      <c r="I1378" s="3">
        <v>14.999999999999996</v>
      </c>
      <c r="J1378" s="2">
        <v>75</v>
      </c>
      <c r="K1378" s="3">
        <f t="shared" si="21"/>
        <v>1124.9999999999998</v>
      </c>
      <c r="L1378" s="3">
        <v>787.49999999999977</v>
      </c>
    </row>
    <row r="1379" spans="1:12" x14ac:dyDescent="0.25">
      <c r="A1379" t="s">
        <v>11</v>
      </c>
      <c r="B1379">
        <v>1185732</v>
      </c>
      <c r="C1379" s="1">
        <v>44257</v>
      </c>
      <c r="D1379" t="s">
        <v>57</v>
      </c>
      <c r="E1379" t="s">
        <v>85</v>
      </c>
      <c r="F1379" t="s">
        <v>86</v>
      </c>
      <c r="G1379" t="s">
        <v>18</v>
      </c>
      <c r="H1379" t="s">
        <v>35</v>
      </c>
      <c r="I1379" s="3">
        <v>10.000000000000004</v>
      </c>
      <c r="J1379" s="2">
        <v>225</v>
      </c>
      <c r="K1379" s="3">
        <f t="shared" si="21"/>
        <v>2250.0000000000009</v>
      </c>
      <c r="L1379" s="3">
        <v>1575.0000000000005</v>
      </c>
    </row>
    <row r="1380" spans="1:12" x14ac:dyDescent="0.25">
      <c r="A1380" t="s">
        <v>11</v>
      </c>
      <c r="B1380">
        <v>1185732</v>
      </c>
      <c r="C1380" s="1">
        <v>44257</v>
      </c>
      <c r="D1380" t="s">
        <v>57</v>
      </c>
      <c r="E1380" t="s">
        <v>85</v>
      </c>
      <c r="F1380" t="s">
        <v>86</v>
      </c>
      <c r="G1380" t="s">
        <v>18</v>
      </c>
      <c r="H1380" t="s">
        <v>17</v>
      </c>
      <c r="I1380" s="3">
        <v>20.000000000000004</v>
      </c>
      <c r="J1380" s="2">
        <v>175</v>
      </c>
      <c r="K1380" s="3">
        <f t="shared" si="21"/>
        <v>3500.0000000000005</v>
      </c>
      <c r="L1380" s="3">
        <v>2275.0000000000009</v>
      </c>
    </row>
    <row r="1381" spans="1:12" x14ac:dyDescent="0.25">
      <c r="A1381" t="s">
        <v>26</v>
      </c>
      <c r="B1381">
        <v>1185732</v>
      </c>
      <c r="C1381" s="1">
        <v>44257</v>
      </c>
      <c r="D1381" t="s">
        <v>32</v>
      </c>
      <c r="E1381" t="s">
        <v>108</v>
      </c>
      <c r="F1381" t="s">
        <v>109</v>
      </c>
      <c r="G1381" t="s">
        <v>41</v>
      </c>
      <c r="H1381" t="s">
        <v>17</v>
      </c>
      <c r="I1381" s="3">
        <v>30</v>
      </c>
      <c r="J1381" s="2">
        <v>600</v>
      </c>
      <c r="K1381" s="3">
        <f t="shared" si="21"/>
        <v>18000</v>
      </c>
      <c r="L1381" s="3">
        <v>11700</v>
      </c>
    </row>
    <row r="1382" spans="1:12" x14ac:dyDescent="0.25">
      <c r="A1382" t="s">
        <v>26</v>
      </c>
      <c r="B1382">
        <v>1185732</v>
      </c>
      <c r="C1382" s="1">
        <v>44257</v>
      </c>
      <c r="D1382" t="s">
        <v>32</v>
      </c>
      <c r="E1382" t="s">
        <v>108</v>
      </c>
      <c r="F1382" t="s">
        <v>109</v>
      </c>
      <c r="G1382" t="s">
        <v>41</v>
      </c>
      <c r="H1382" t="s">
        <v>22</v>
      </c>
      <c r="I1382" s="3">
        <v>40.000000000000007</v>
      </c>
      <c r="J1382" s="2">
        <v>525</v>
      </c>
      <c r="K1382" s="3">
        <f t="shared" si="21"/>
        <v>21000.000000000004</v>
      </c>
      <c r="L1382" s="3">
        <v>13650.000000000004</v>
      </c>
    </row>
    <row r="1383" spans="1:12" x14ac:dyDescent="0.25">
      <c r="A1383" t="s">
        <v>26</v>
      </c>
      <c r="B1383">
        <v>1185732</v>
      </c>
      <c r="C1383" s="1">
        <v>44257</v>
      </c>
      <c r="D1383" t="s">
        <v>32</v>
      </c>
      <c r="E1383" t="s">
        <v>108</v>
      </c>
      <c r="F1383" t="s">
        <v>109</v>
      </c>
      <c r="G1383" t="s">
        <v>41</v>
      </c>
      <c r="H1383" t="s">
        <v>38</v>
      </c>
      <c r="I1383" s="3">
        <v>30</v>
      </c>
      <c r="J1383" s="2">
        <v>920</v>
      </c>
      <c r="K1383" s="3">
        <f t="shared" si="21"/>
        <v>27600</v>
      </c>
      <c r="L1383" s="3">
        <v>16560</v>
      </c>
    </row>
    <row r="1384" spans="1:12" x14ac:dyDescent="0.25">
      <c r="A1384" t="s">
        <v>26</v>
      </c>
      <c r="B1384">
        <v>1185732</v>
      </c>
      <c r="C1384" s="1">
        <v>44257</v>
      </c>
      <c r="D1384" t="s">
        <v>32</v>
      </c>
      <c r="E1384" t="s">
        <v>108</v>
      </c>
      <c r="F1384" t="s">
        <v>109</v>
      </c>
      <c r="G1384" t="s">
        <v>41</v>
      </c>
      <c r="H1384" t="s">
        <v>35</v>
      </c>
      <c r="I1384" s="3">
        <v>20</v>
      </c>
      <c r="J1384" s="2">
        <v>625</v>
      </c>
      <c r="K1384" s="3">
        <f t="shared" si="21"/>
        <v>12500</v>
      </c>
      <c r="L1384" s="3">
        <v>7500</v>
      </c>
    </row>
    <row r="1385" spans="1:12" x14ac:dyDescent="0.25">
      <c r="A1385" t="s">
        <v>11</v>
      </c>
      <c r="B1385">
        <v>1185732</v>
      </c>
      <c r="C1385" s="1">
        <v>44257</v>
      </c>
      <c r="D1385" t="s">
        <v>57</v>
      </c>
      <c r="E1385" t="s">
        <v>85</v>
      </c>
      <c r="F1385" t="s">
        <v>86</v>
      </c>
      <c r="G1385" t="s">
        <v>18</v>
      </c>
      <c r="H1385" t="s">
        <v>16</v>
      </c>
      <c r="I1385" s="3">
        <v>20.000000000000004</v>
      </c>
      <c r="J1385" s="2">
        <v>225</v>
      </c>
      <c r="K1385" s="3">
        <f t="shared" si="21"/>
        <v>4500.0000000000009</v>
      </c>
      <c r="L1385" s="3">
        <v>2700.0000000000005</v>
      </c>
    </row>
    <row r="1386" spans="1:12" x14ac:dyDescent="0.25">
      <c r="A1386" t="s">
        <v>26</v>
      </c>
      <c r="B1386">
        <v>1185732</v>
      </c>
      <c r="C1386" s="1">
        <v>44257</v>
      </c>
      <c r="D1386" t="s">
        <v>32</v>
      </c>
      <c r="E1386" t="s">
        <v>108</v>
      </c>
      <c r="F1386" t="s">
        <v>109</v>
      </c>
      <c r="G1386" t="s">
        <v>41</v>
      </c>
      <c r="H1386" t="s">
        <v>37</v>
      </c>
      <c r="I1386" s="3">
        <v>24.999999999999993</v>
      </c>
      <c r="J1386" s="2">
        <v>475</v>
      </c>
      <c r="K1386" s="3">
        <f t="shared" si="21"/>
        <v>11874.999999999996</v>
      </c>
      <c r="L1386" s="3">
        <v>7124.9999999999973</v>
      </c>
    </row>
    <row r="1387" spans="1:12" x14ac:dyDescent="0.25">
      <c r="A1387" t="s">
        <v>11</v>
      </c>
      <c r="B1387">
        <v>1185732</v>
      </c>
      <c r="C1387" s="1">
        <v>44257</v>
      </c>
      <c r="D1387" t="s">
        <v>57</v>
      </c>
      <c r="E1387" t="s">
        <v>85</v>
      </c>
      <c r="F1387" t="s">
        <v>86</v>
      </c>
      <c r="G1387" t="s">
        <v>18</v>
      </c>
      <c r="H1387" t="s">
        <v>22</v>
      </c>
      <c r="I1387" s="3">
        <v>30.000000000000004</v>
      </c>
      <c r="J1387" s="2">
        <v>125</v>
      </c>
      <c r="K1387" s="3">
        <f t="shared" si="21"/>
        <v>3750.0000000000005</v>
      </c>
      <c r="L1387" s="3">
        <v>1875.0000000000005</v>
      </c>
    </row>
    <row r="1388" spans="1:12" x14ac:dyDescent="0.25">
      <c r="A1388" t="s">
        <v>26</v>
      </c>
      <c r="B1388">
        <v>1185732</v>
      </c>
      <c r="C1388" s="1">
        <v>44257</v>
      </c>
      <c r="D1388" t="s">
        <v>32</v>
      </c>
      <c r="E1388" t="s">
        <v>108</v>
      </c>
      <c r="F1388" t="s">
        <v>109</v>
      </c>
      <c r="G1388" t="s">
        <v>41</v>
      </c>
      <c r="H1388" t="s">
        <v>16</v>
      </c>
      <c r="I1388" s="3">
        <v>30</v>
      </c>
      <c r="J1388" s="2">
        <v>625</v>
      </c>
      <c r="K1388" s="3">
        <f t="shared" si="21"/>
        <v>18750</v>
      </c>
      <c r="L1388" s="3">
        <v>9375</v>
      </c>
    </row>
    <row r="1389" spans="1:12" x14ac:dyDescent="0.25">
      <c r="A1389" t="s">
        <v>27</v>
      </c>
      <c r="B1389">
        <v>1189833</v>
      </c>
      <c r="C1389" s="1">
        <v>44257</v>
      </c>
      <c r="D1389" t="s">
        <v>57</v>
      </c>
      <c r="E1389" t="s">
        <v>58</v>
      </c>
      <c r="F1389" t="s">
        <v>59</v>
      </c>
      <c r="G1389" t="s">
        <v>15</v>
      </c>
      <c r="H1389" t="s">
        <v>22</v>
      </c>
      <c r="I1389" s="3">
        <v>54.999999999999993</v>
      </c>
      <c r="J1389" s="2">
        <v>375</v>
      </c>
      <c r="K1389" s="3">
        <f t="shared" si="21"/>
        <v>20624.999999999996</v>
      </c>
      <c r="L1389" s="3">
        <v>8249.9999999999964</v>
      </c>
    </row>
    <row r="1390" spans="1:12" x14ac:dyDescent="0.25">
      <c r="A1390" t="s">
        <v>11</v>
      </c>
      <c r="B1390">
        <v>1185732</v>
      </c>
      <c r="C1390" s="1">
        <v>44257</v>
      </c>
      <c r="D1390" t="s">
        <v>57</v>
      </c>
      <c r="E1390" t="s">
        <v>85</v>
      </c>
      <c r="F1390" t="s">
        <v>86</v>
      </c>
      <c r="G1390" t="s">
        <v>41</v>
      </c>
      <c r="H1390" t="s">
        <v>38</v>
      </c>
      <c r="I1390" s="3">
        <v>19</v>
      </c>
      <c r="J1390" s="2">
        <v>141</v>
      </c>
      <c r="K1390" s="3">
        <f t="shared" si="21"/>
        <v>2679</v>
      </c>
      <c r="L1390" s="3">
        <v>1580.6100000000001</v>
      </c>
    </row>
    <row r="1391" spans="1:12" x14ac:dyDescent="0.25">
      <c r="A1391" t="s">
        <v>11</v>
      </c>
      <c r="B1391">
        <v>1185732</v>
      </c>
      <c r="C1391" s="1">
        <v>44257</v>
      </c>
      <c r="D1391" t="s">
        <v>57</v>
      </c>
      <c r="E1391" t="s">
        <v>85</v>
      </c>
      <c r="F1391" t="s">
        <v>86</v>
      </c>
      <c r="G1391" t="s">
        <v>41</v>
      </c>
      <c r="H1391" t="s">
        <v>37</v>
      </c>
      <c r="I1391" s="3">
        <v>14</v>
      </c>
      <c r="J1391" s="2">
        <v>20</v>
      </c>
      <c r="K1391" s="3">
        <f t="shared" si="21"/>
        <v>280</v>
      </c>
      <c r="L1391" s="3">
        <v>165.2</v>
      </c>
    </row>
    <row r="1392" spans="1:12" x14ac:dyDescent="0.25">
      <c r="A1392" t="s">
        <v>11</v>
      </c>
      <c r="B1392">
        <v>1185732</v>
      </c>
      <c r="C1392" s="1">
        <v>44257</v>
      </c>
      <c r="D1392" t="s">
        <v>57</v>
      </c>
      <c r="E1392" t="s">
        <v>85</v>
      </c>
      <c r="F1392" t="s">
        <v>86</v>
      </c>
      <c r="G1392" t="s">
        <v>41</v>
      </c>
      <c r="H1392" t="s">
        <v>35</v>
      </c>
      <c r="I1392" s="3">
        <v>9</v>
      </c>
      <c r="J1392" s="2">
        <v>59</v>
      </c>
      <c r="K1392" s="3">
        <f t="shared" si="21"/>
        <v>531</v>
      </c>
      <c r="L1392" s="3">
        <v>297.36</v>
      </c>
    </row>
    <row r="1393" spans="1:12" x14ac:dyDescent="0.25">
      <c r="A1393" t="s">
        <v>26</v>
      </c>
      <c r="B1393">
        <v>1185732</v>
      </c>
      <c r="C1393" s="1">
        <v>44257</v>
      </c>
      <c r="D1393" t="s">
        <v>32</v>
      </c>
      <c r="E1393" t="s">
        <v>108</v>
      </c>
      <c r="F1393" t="s">
        <v>109</v>
      </c>
      <c r="G1393" t="s">
        <v>41</v>
      </c>
      <c r="H1393" t="s">
        <v>22</v>
      </c>
      <c r="I1393" s="3">
        <v>37</v>
      </c>
      <c r="J1393" s="2">
        <v>158</v>
      </c>
      <c r="K1393" s="3">
        <f t="shared" si="21"/>
        <v>5846</v>
      </c>
      <c r="L1393" s="3">
        <v>3215.3</v>
      </c>
    </row>
    <row r="1394" spans="1:12" x14ac:dyDescent="0.25">
      <c r="A1394" t="s">
        <v>26</v>
      </c>
      <c r="B1394">
        <v>1185732</v>
      </c>
      <c r="C1394" s="1">
        <v>44257</v>
      </c>
      <c r="D1394" t="s">
        <v>32</v>
      </c>
      <c r="E1394" t="s">
        <v>108</v>
      </c>
      <c r="F1394" t="s">
        <v>109</v>
      </c>
      <c r="G1394" t="s">
        <v>41</v>
      </c>
      <c r="H1394" t="s">
        <v>17</v>
      </c>
      <c r="I1394" s="3">
        <v>29</v>
      </c>
      <c r="J1394" s="2">
        <v>150</v>
      </c>
      <c r="K1394" s="3">
        <f t="shared" si="21"/>
        <v>4350</v>
      </c>
      <c r="L1394" s="3">
        <v>2392.5</v>
      </c>
    </row>
    <row r="1395" spans="1:12" x14ac:dyDescent="0.25">
      <c r="A1395" t="s">
        <v>11</v>
      </c>
      <c r="B1395">
        <v>1185732</v>
      </c>
      <c r="C1395" s="1">
        <v>44257</v>
      </c>
      <c r="D1395" t="s">
        <v>57</v>
      </c>
      <c r="E1395" t="s">
        <v>85</v>
      </c>
      <c r="F1395" t="s">
        <v>86</v>
      </c>
      <c r="G1395" t="s">
        <v>41</v>
      </c>
      <c r="H1395" t="s">
        <v>17</v>
      </c>
      <c r="I1395" s="3">
        <v>19</v>
      </c>
      <c r="J1395" s="2">
        <v>44</v>
      </c>
      <c r="K1395" s="3">
        <f t="shared" si="21"/>
        <v>836</v>
      </c>
      <c r="L1395" s="3">
        <v>418</v>
      </c>
    </row>
    <row r="1396" spans="1:12" x14ac:dyDescent="0.25">
      <c r="A1396" t="s">
        <v>26</v>
      </c>
      <c r="B1396">
        <v>1185732</v>
      </c>
      <c r="C1396" s="1">
        <v>44257</v>
      </c>
      <c r="D1396" t="s">
        <v>32</v>
      </c>
      <c r="E1396" t="s">
        <v>108</v>
      </c>
      <c r="F1396" t="s">
        <v>109</v>
      </c>
      <c r="G1396" t="s">
        <v>41</v>
      </c>
      <c r="H1396" t="s">
        <v>35</v>
      </c>
      <c r="I1396" s="3">
        <v>19</v>
      </c>
      <c r="J1396" s="2">
        <v>181</v>
      </c>
      <c r="K1396" s="3">
        <f t="shared" si="21"/>
        <v>3439</v>
      </c>
      <c r="L1396" s="3">
        <v>1650.72</v>
      </c>
    </row>
    <row r="1397" spans="1:12" x14ac:dyDescent="0.25">
      <c r="A1397" t="s">
        <v>26</v>
      </c>
      <c r="B1397">
        <v>1185732</v>
      </c>
      <c r="C1397" s="1">
        <v>44257</v>
      </c>
      <c r="D1397" t="s">
        <v>32</v>
      </c>
      <c r="E1397" t="s">
        <v>108</v>
      </c>
      <c r="F1397" t="s">
        <v>109</v>
      </c>
      <c r="G1397" t="s">
        <v>41</v>
      </c>
      <c r="H1397" t="s">
        <v>38</v>
      </c>
      <c r="I1397" s="3">
        <v>28</v>
      </c>
      <c r="J1397" s="2">
        <v>276</v>
      </c>
      <c r="K1397" s="3">
        <f t="shared" si="21"/>
        <v>7728</v>
      </c>
      <c r="L1397" s="3">
        <v>3554.88</v>
      </c>
    </row>
    <row r="1398" spans="1:12" x14ac:dyDescent="0.25">
      <c r="A1398" t="s">
        <v>26</v>
      </c>
      <c r="B1398">
        <v>1185732</v>
      </c>
      <c r="C1398" s="1">
        <v>44257</v>
      </c>
      <c r="D1398" t="s">
        <v>32</v>
      </c>
      <c r="E1398" t="s">
        <v>108</v>
      </c>
      <c r="F1398" t="s">
        <v>109</v>
      </c>
      <c r="G1398" t="s">
        <v>41</v>
      </c>
      <c r="H1398" t="s">
        <v>37</v>
      </c>
      <c r="I1398" s="3">
        <v>25</v>
      </c>
      <c r="J1398" s="2">
        <v>124</v>
      </c>
      <c r="K1398" s="3">
        <f t="shared" si="21"/>
        <v>3100</v>
      </c>
      <c r="L1398" s="3">
        <v>1426</v>
      </c>
    </row>
    <row r="1399" spans="1:12" x14ac:dyDescent="0.25">
      <c r="A1399" t="s">
        <v>11</v>
      </c>
      <c r="B1399">
        <v>1185732</v>
      </c>
      <c r="C1399" s="1">
        <v>44257</v>
      </c>
      <c r="D1399" t="s">
        <v>57</v>
      </c>
      <c r="E1399" t="s">
        <v>85</v>
      </c>
      <c r="F1399" t="s">
        <v>86</v>
      </c>
      <c r="G1399" t="s">
        <v>41</v>
      </c>
      <c r="H1399" t="s">
        <v>16</v>
      </c>
      <c r="I1399" s="3">
        <v>18</v>
      </c>
      <c r="J1399" s="2">
        <v>63</v>
      </c>
      <c r="K1399" s="3">
        <f t="shared" si="21"/>
        <v>1134</v>
      </c>
      <c r="L1399" s="3">
        <v>521.64</v>
      </c>
    </row>
    <row r="1400" spans="1:12" x14ac:dyDescent="0.25">
      <c r="A1400" t="s">
        <v>11</v>
      </c>
      <c r="B1400">
        <v>1185732</v>
      </c>
      <c r="C1400" s="1">
        <v>44257</v>
      </c>
      <c r="D1400" t="s">
        <v>57</v>
      </c>
      <c r="E1400" t="s">
        <v>85</v>
      </c>
      <c r="F1400" t="s">
        <v>86</v>
      </c>
      <c r="G1400" t="s">
        <v>41</v>
      </c>
      <c r="H1400" t="s">
        <v>22</v>
      </c>
      <c r="I1400" s="3">
        <v>29</v>
      </c>
      <c r="J1400" s="2">
        <v>34</v>
      </c>
      <c r="K1400" s="3">
        <f t="shared" si="21"/>
        <v>986</v>
      </c>
      <c r="L1400" s="3">
        <v>384.53999999999996</v>
      </c>
    </row>
    <row r="1401" spans="1:12" x14ac:dyDescent="0.25">
      <c r="A1401" t="s">
        <v>26</v>
      </c>
      <c r="B1401">
        <v>1185732</v>
      </c>
      <c r="C1401" s="1">
        <v>44257</v>
      </c>
      <c r="D1401" t="s">
        <v>32</v>
      </c>
      <c r="E1401" t="s">
        <v>108</v>
      </c>
      <c r="F1401" t="s">
        <v>109</v>
      </c>
      <c r="G1401" t="s">
        <v>41</v>
      </c>
      <c r="H1401" t="s">
        <v>16</v>
      </c>
      <c r="I1401" s="3">
        <v>27</v>
      </c>
      <c r="J1401" s="2">
        <v>169</v>
      </c>
      <c r="K1401" s="3">
        <f t="shared" si="21"/>
        <v>4563</v>
      </c>
      <c r="L1401" s="3">
        <v>1733.94</v>
      </c>
    </row>
    <row r="1402" spans="1:12" x14ac:dyDescent="0.25">
      <c r="A1402" t="s">
        <v>27</v>
      </c>
      <c r="B1402">
        <v>1189833</v>
      </c>
      <c r="C1402" s="1">
        <v>44257</v>
      </c>
      <c r="D1402" t="s">
        <v>57</v>
      </c>
      <c r="E1402" t="s">
        <v>58</v>
      </c>
      <c r="F1402" t="s">
        <v>59</v>
      </c>
      <c r="G1402" t="s">
        <v>41</v>
      </c>
      <c r="H1402" t="s">
        <v>22</v>
      </c>
      <c r="I1402" s="3">
        <v>51</v>
      </c>
      <c r="J1402" s="2">
        <v>113</v>
      </c>
      <c r="K1402" s="3">
        <f t="shared" si="21"/>
        <v>5763</v>
      </c>
      <c r="L1402" s="3">
        <v>1498.3799999999992</v>
      </c>
    </row>
    <row r="1403" spans="1:12" x14ac:dyDescent="0.25">
      <c r="A1403" t="s">
        <v>27</v>
      </c>
      <c r="B1403">
        <v>1189833</v>
      </c>
      <c r="C1403" s="1">
        <v>44258</v>
      </c>
      <c r="D1403" t="s">
        <v>57</v>
      </c>
      <c r="E1403" t="s">
        <v>58</v>
      </c>
      <c r="F1403" t="s">
        <v>59</v>
      </c>
      <c r="G1403" t="s">
        <v>15</v>
      </c>
      <c r="H1403" t="s">
        <v>16</v>
      </c>
      <c r="I1403" s="3">
        <v>60</v>
      </c>
      <c r="J1403" s="2">
        <v>475</v>
      </c>
      <c r="K1403" s="3">
        <f t="shared" si="21"/>
        <v>28500</v>
      </c>
      <c r="L1403" s="3">
        <v>21375</v>
      </c>
    </row>
    <row r="1404" spans="1:12" x14ac:dyDescent="0.25">
      <c r="A1404" t="s">
        <v>26</v>
      </c>
      <c r="B1404">
        <v>1185732</v>
      </c>
      <c r="C1404" s="1">
        <v>44258</v>
      </c>
      <c r="D1404" t="s">
        <v>29</v>
      </c>
      <c r="E1404" t="s">
        <v>93</v>
      </c>
      <c r="F1404" t="s">
        <v>94</v>
      </c>
      <c r="G1404" t="s">
        <v>18</v>
      </c>
      <c r="H1404" t="s">
        <v>35</v>
      </c>
      <c r="I1404" s="3">
        <v>30.000000000000004</v>
      </c>
      <c r="J1404" s="2">
        <v>250</v>
      </c>
      <c r="K1404" s="3">
        <f t="shared" si="21"/>
        <v>7500.0000000000009</v>
      </c>
      <c r="L1404" s="3">
        <v>5250.0000000000018</v>
      </c>
    </row>
    <row r="1405" spans="1:12" x14ac:dyDescent="0.25">
      <c r="A1405" t="s">
        <v>26</v>
      </c>
      <c r="B1405">
        <v>1185732</v>
      </c>
      <c r="C1405" s="1">
        <v>44258</v>
      </c>
      <c r="D1405" t="s">
        <v>29</v>
      </c>
      <c r="E1405" t="s">
        <v>93</v>
      </c>
      <c r="F1405" t="s">
        <v>94</v>
      </c>
      <c r="G1405" t="s">
        <v>18</v>
      </c>
      <c r="H1405" t="s">
        <v>37</v>
      </c>
      <c r="I1405" s="3">
        <v>35</v>
      </c>
      <c r="J1405" s="2">
        <v>100</v>
      </c>
      <c r="K1405" s="3">
        <f t="shared" si="21"/>
        <v>3500</v>
      </c>
      <c r="L1405" s="3">
        <v>2450</v>
      </c>
    </row>
    <row r="1406" spans="1:12" x14ac:dyDescent="0.25">
      <c r="A1406" t="s">
        <v>26</v>
      </c>
      <c r="B1406">
        <v>1185732</v>
      </c>
      <c r="C1406" s="1">
        <v>44258</v>
      </c>
      <c r="D1406" t="s">
        <v>29</v>
      </c>
      <c r="E1406" t="s">
        <v>93</v>
      </c>
      <c r="F1406" t="s">
        <v>94</v>
      </c>
      <c r="G1406" t="s">
        <v>18</v>
      </c>
      <c r="H1406" t="s">
        <v>22</v>
      </c>
      <c r="I1406" s="3">
        <v>50</v>
      </c>
      <c r="J1406" s="2">
        <v>150</v>
      </c>
      <c r="K1406" s="3">
        <f t="shared" si="21"/>
        <v>7500</v>
      </c>
      <c r="L1406" s="3">
        <v>5250</v>
      </c>
    </row>
    <row r="1407" spans="1:12" x14ac:dyDescent="0.25">
      <c r="A1407" t="s">
        <v>26</v>
      </c>
      <c r="B1407">
        <v>1185732</v>
      </c>
      <c r="C1407" s="1">
        <v>44258</v>
      </c>
      <c r="D1407" t="s">
        <v>29</v>
      </c>
      <c r="E1407" t="s">
        <v>93</v>
      </c>
      <c r="F1407" t="s">
        <v>94</v>
      </c>
      <c r="G1407" t="s">
        <v>18</v>
      </c>
      <c r="H1407" t="s">
        <v>16</v>
      </c>
      <c r="I1407" s="3">
        <v>40</v>
      </c>
      <c r="J1407" s="2">
        <v>250</v>
      </c>
      <c r="K1407" s="3">
        <f t="shared" si="21"/>
        <v>10000</v>
      </c>
      <c r="L1407" s="3">
        <v>6500</v>
      </c>
    </row>
    <row r="1408" spans="1:12" x14ac:dyDescent="0.25">
      <c r="A1408" t="s">
        <v>26</v>
      </c>
      <c r="B1408">
        <v>1185732</v>
      </c>
      <c r="C1408" s="1">
        <v>44258</v>
      </c>
      <c r="D1408" t="s">
        <v>29</v>
      </c>
      <c r="E1408" t="s">
        <v>93</v>
      </c>
      <c r="F1408" t="s">
        <v>94</v>
      </c>
      <c r="G1408" t="s">
        <v>18</v>
      </c>
      <c r="H1408" t="s">
        <v>38</v>
      </c>
      <c r="I1408" s="3">
        <v>40</v>
      </c>
      <c r="J1408" s="2">
        <v>520</v>
      </c>
      <c r="K1408" s="3">
        <f t="shared" si="21"/>
        <v>20800</v>
      </c>
      <c r="L1408" s="3">
        <v>12480</v>
      </c>
    </row>
    <row r="1409" spans="1:12" x14ac:dyDescent="0.25">
      <c r="A1409" t="s">
        <v>26</v>
      </c>
      <c r="B1409">
        <v>1185732</v>
      </c>
      <c r="C1409" s="1">
        <v>44258</v>
      </c>
      <c r="D1409" t="s">
        <v>29</v>
      </c>
      <c r="E1409" t="s">
        <v>93</v>
      </c>
      <c r="F1409" t="s">
        <v>94</v>
      </c>
      <c r="G1409" t="s">
        <v>18</v>
      </c>
      <c r="H1409" t="s">
        <v>17</v>
      </c>
      <c r="I1409" s="3">
        <v>40</v>
      </c>
      <c r="J1409" s="2">
        <v>225</v>
      </c>
      <c r="K1409" s="3">
        <f t="shared" si="21"/>
        <v>9000</v>
      </c>
      <c r="L1409" s="3">
        <v>5400</v>
      </c>
    </row>
    <row r="1410" spans="1:12" x14ac:dyDescent="0.25">
      <c r="A1410" t="s">
        <v>26</v>
      </c>
      <c r="B1410">
        <v>1185732</v>
      </c>
      <c r="C1410" s="1">
        <v>44258</v>
      </c>
      <c r="D1410" t="s">
        <v>29</v>
      </c>
      <c r="E1410" t="s">
        <v>93</v>
      </c>
      <c r="F1410" t="s">
        <v>94</v>
      </c>
      <c r="G1410" t="s">
        <v>15</v>
      </c>
      <c r="H1410" t="s">
        <v>35</v>
      </c>
      <c r="I1410" s="3">
        <v>23</v>
      </c>
      <c r="J1410" s="2">
        <v>75</v>
      </c>
      <c r="K1410" s="3">
        <f t="shared" si="21"/>
        <v>1725</v>
      </c>
      <c r="L1410" s="3">
        <v>1173</v>
      </c>
    </row>
    <row r="1411" spans="1:12" x14ac:dyDescent="0.25">
      <c r="A1411" t="s">
        <v>26</v>
      </c>
      <c r="B1411">
        <v>1185732</v>
      </c>
      <c r="C1411" s="1">
        <v>44258</v>
      </c>
      <c r="D1411" t="s">
        <v>29</v>
      </c>
      <c r="E1411" t="s">
        <v>93</v>
      </c>
      <c r="F1411" t="s">
        <v>94</v>
      </c>
      <c r="G1411" t="s">
        <v>15</v>
      </c>
      <c r="H1411" t="s">
        <v>37</v>
      </c>
      <c r="I1411" s="3">
        <v>27</v>
      </c>
      <c r="J1411" s="2">
        <v>34</v>
      </c>
      <c r="K1411" s="3">
        <f t="shared" ref="K1411:K1474" si="22">I1411*J1411</f>
        <v>918</v>
      </c>
      <c r="L1411" s="3">
        <v>624.24</v>
      </c>
    </row>
    <row r="1412" spans="1:12" x14ac:dyDescent="0.25">
      <c r="A1412" t="s">
        <v>26</v>
      </c>
      <c r="B1412">
        <v>1185732</v>
      </c>
      <c r="C1412" s="1">
        <v>44258</v>
      </c>
      <c r="D1412" t="s">
        <v>29</v>
      </c>
      <c r="E1412" t="s">
        <v>93</v>
      </c>
      <c r="F1412" t="s">
        <v>94</v>
      </c>
      <c r="G1412" t="s">
        <v>15</v>
      </c>
      <c r="H1412" t="s">
        <v>22</v>
      </c>
      <c r="I1412" s="3">
        <v>39</v>
      </c>
      <c r="J1412" s="2">
        <v>53</v>
      </c>
      <c r="K1412" s="3">
        <f t="shared" si="22"/>
        <v>2067</v>
      </c>
      <c r="L1412" s="3">
        <v>1364.22</v>
      </c>
    </row>
    <row r="1413" spans="1:12" x14ac:dyDescent="0.25">
      <c r="A1413" t="s">
        <v>27</v>
      </c>
      <c r="B1413">
        <v>1189833</v>
      </c>
      <c r="C1413" s="1">
        <v>44258</v>
      </c>
      <c r="D1413" t="s">
        <v>57</v>
      </c>
      <c r="E1413" t="s">
        <v>58</v>
      </c>
      <c r="F1413" t="s">
        <v>59</v>
      </c>
      <c r="G1413" t="s">
        <v>41</v>
      </c>
      <c r="H1413" t="s">
        <v>16</v>
      </c>
      <c r="I1413" s="3">
        <v>56</v>
      </c>
      <c r="J1413" s="2">
        <v>133</v>
      </c>
      <c r="K1413" s="3">
        <f t="shared" si="22"/>
        <v>7448</v>
      </c>
      <c r="L1413" s="3">
        <v>4617.76</v>
      </c>
    </row>
    <row r="1414" spans="1:12" x14ac:dyDescent="0.25">
      <c r="A1414" t="s">
        <v>26</v>
      </c>
      <c r="B1414">
        <v>1185732</v>
      </c>
      <c r="C1414" s="1">
        <v>44258</v>
      </c>
      <c r="D1414" t="s">
        <v>29</v>
      </c>
      <c r="E1414" t="s">
        <v>93</v>
      </c>
      <c r="F1414" t="s">
        <v>94</v>
      </c>
      <c r="G1414" t="s">
        <v>15</v>
      </c>
      <c r="H1414" t="s">
        <v>16</v>
      </c>
      <c r="I1414" s="3">
        <v>29</v>
      </c>
      <c r="J1414" s="2">
        <v>85</v>
      </c>
      <c r="K1414" s="3">
        <f t="shared" si="22"/>
        <v>2465</v>
      </c>
      <c r="L1414" s="3">
        <v>1503.65</v>
      </c>
    </row>
    <row r="1415" spans="1:12" x14ac:dyDescent="0.25">
      <c r="A1415" t="s">
        <v>26</v>
      </c>
      <c r="B1415">
        <v>1185732</v>
      </c>
      <c r="C1415" s="1">
        <v>44258</v>
      </c>
      <c r="D1415" t="s">
        <v>29</v>
      </c>
      <c r="E1415" t="s">
        <v>93</v>
      </c>
      <c r="F1415" t="s">
        <v>94</v>
      </c>
      <c r="G1415" t="s">
        <v>41</v>
      </c>
      <c r="H1415" t="s">
        <v>22</v>
      </c>
      <c r="I1415" s="3">
        <v>48</v>
      </c>
      <c r="J1415" s="2">
        <v>39</v>
      </c>
      <c r="K1415" s="3">
        <f t="shared" si="22"/>
        <v>1872</v>
      </c>
      <c r="L1415" s="3">
        <v>1123.1999999999998</v>
      </c>
    </row>
    <row r="1416" spans="1:12" x14ac:dyDescent="0.25">
      <c r="A1416" t="s">
        <v>26</v>
      </c>
      <c r="B1416">
        <v>1185732</v>
      </c>
      <c r="C1416" s="1">
        <v>44258</v>
      </c>
      <c r="D1416" t="s">
        <v>29</v>
      </c>
      <c r="E1416" t="s">
        <v>93</v>
      </c>
      <c r="F1416" t="s">
        <v>94</v>
      </c>
      <c r="G1416" t="s">
        <v>41</v>
      </c>
      <c r="H1416" t="s">
        <v>37</v>
      </c>
      <c r="I1416" s="3">
        <v>32</v>
      </c>
      <c r="J1416" s="2">
        <v>30</v>
      </c>
      <c r="K1416" s="3">
        <f t="shared" si="22"/>
        <v>960</v>
      </c>
      <c r="L1416" s="3">
        <v>556.79999999999995</v>
      </c>
    </row>
    <row r="1417" spans="1:12" x14ac:dyDescent="0.25">
      <c r="A1417" t="s">
        <v>26</v>
      </c>
      <c r="B1417">
        <v>1185732</v>
      </c>
      <c r="C1417" s="1">
        <v>44258</v>
      </c>
      <c r="D1417" t="s">
        <v>29</v>
      </c>
      <c r="E1417" t="s">
        <v>93</v>
      </c>
      <c r="F1417" t="s">
        <v>94</v>
      </c>
      <c r="G1417" t="s">
        <v>15</v>
      </c>
      <c r="H1417" t="s">
        <v>38</v>
      </c>
      <c r="I1417" s="3">
        <v>26</v>
      </c>
      <c r="J1417" s="2">
        <v>182</v>
      </c>
      <c r="K1417" s="3">
        <f t="shared" si="22"/>
        <v>4732</v>
      </c>
      <c r="L1417" s="3">
        <v>2697.24</v>
      </c>
    </row>
    <row r="1418" spans="1:12" x14ac:dyDescent="0.25">
      <c r="A1418" t="s">
        <v>26</v>
      </c>
      <c r="B1418">
        <v>1185732</v>
      </c>
      <c r="C1418" s="1">
        <v>44258</v>
      </c>
      <c r="D1418" t="s">
        <v>29</v>
      </c>
      <c r="E1418" t="s">
        <v>93</v>
      </c>
      <c r="F1418" t="s">
        <v>94</v>
      </c>
      <c r="G1418" t="s">
        <v>41</v>
      </c>
      <c r="H1418" t="s">
        <v>35</v>
      </c>
      <c r="I1418" s="3">
        <v>29</v>
      </c>
      <c r="J1418" s="2">
        <v>68</v>
      </c>
      <c r="K1418" s="3">
        <f t="shared" si="22"/>
        <v>1972</v>
      </c>
      <c r="L1418" s="3">
        <v>1084.6000000000001</v>
      </c>
    </row>
    <row r="1419" spans="1:12" x14ac:dyDescent="0.25">
      <c r="A1419" t="s">
        <v>26</v>
      </c>
      <c r="B1419">
        <v>1185732</v>
      </c>
      <c r="C1419" s="1">
        <v>44258</v>
      </c>
      <c r="D1419" t="s">
        <v>29</v>
      </c>
      <c r="E1419" t="s">
        <v>93</v>
      </c>
      <c r="F1419" t="s">
        <v>94</v>
      </c>
      <c r="G1419" t="s">
        <v>15</v>
      </c>
      <c r="H1419" t="s">
        <v>17</v>
      </c>
      <c r="I1419" s="3">
        <v>32</v>
      </c>
      <c r="J1419" s="2">
        <v>68</v>
      </c>
      <c r="K1419" s="3">
        <f t="shared" si="22"/>
        <v>2176</v>
      </c>
      <c r="L1419" s="3">
        <v>1196.8</v>
      </c>
    </row>
    <row r="1420" spans="1:12" x14ac:dyDescent="0.25">
      <c r="A1420" t="s">
        <v>26</v>
      </c>
      <c r="B1420">
        <v>1185732</v>
      </c>
      <c r="C1420" s="1">
        <v>44258</v>
      </c>
      <c r="D1420" t="s">
        <v>29</v>
      </c>
      <c r="E1420" t="s">
        <v>93</v>
      </c>
      <c r="F1420" t="s">
        <v>94</v>
      </c>
      <c r="G1420" t="s">
        <v>41</v>
      </c>
      <c r="H1420" t="s">
        <v>16</v>
      </c>
      <c r="I1420" s="3">
        <v>38</v>
      </c>
      <c r="J1420" s="2">
        <v>73</v>
      </c>
      <c r="K1420" s="3">
        <f t="shared" si="22"/>
        <v>2774</v>
      </c>
      <c r="L1420" s="3">
        <v>1414.74</v>
      </c>
    </row>
    <row r="1421" spans="1:12" x14ac:dyDescent="0.25">
      <c r="A1421" t="s">
        <v>26</v>
      </c>
      <c r="B1421">
        <v>1185732</v>
      </c>
      <c r="C1421" s="1">
        <v>44258</v>
      </c>
      <c r="D1421" t="s">
        <v>29</v>
      </c>
      <c r="E1421" t="s">
        <v>93</v>
      </c>
      <c r="F1421" t="s">
        <v>94</v>
      </c>
      <c r="G1421" t="s">
        <v>41</v>
      </c>
      <c r="H1421" t="s">
        <v>38</v>
      </c>
      <c r="I1421" s="3">
        <v>39</v>
      </c>
      <c r="J1421" s="2">
        <v>130</v>
      </c>
      <c r="K1421" s="3">
        <f t="shared" si="22"/>
        <v>5070</v>
      </c>
      <c r="L1421" s="3">
        <v>2535</v>
      </c>
    </row>
    <row r="1422" spans="1:12" x14ac:dyDescent="0.25">
      <c r="A1422" t="s">
        <v>26</v>
      </c>
      <c r="B1422">
        <v>1185732</v>
      </c>
      <c r="C1422" s="1">
        <v>44258</v>
      </c>
      <c r="D1422" t="s">
        <v>29</v>
      </c>
      <c r="E1422" t="s">
        <v>93</v>
      </c>
      <c r="F1422" t="s">
        <v>94</v>
      </c>
      <c r="G1422" t="s">
        <v>41</v>
      </c>
      <c r="H1422" t="s">
        <v>17</v>
      </c>
      <c r="I1422" s="3">
        <v>38</v>
      </c>
      <c r="J1422" s="2">
        <v>56</v>
      </c>
      <c r="K1422" s="3">
        <f t="shared" si="22"/>
        <v>2128</v>
      </c>
      <c r="L1422" s="3">
        <v>978.87999999999988</v>
      </c>
    </row>
    <row r="1423" spans="1:12" x14ac:dyDescent="0.25">
      <c r="A1423" t="s">
        <v>27</v>
      </c>
      <c r="B1423">
        <v>1189833</v>
      </c>
      <c r="C1423" s="1">
        <v>44259</v>
      </c>
      <c r="D1423" t="s">
        <v>57</v>
      </c>
      <c r="E1423" t="s">
        <v>58</v>
      </c>
      <c r="F1423" t="s">
        <v>59</v>
      </c>
      <c r="G1423" t="s">
        <v>15</v>
      </c>
      <c r="H1423" t="s">
        <v>38</v>
      </c>
      <c r="I1423" s="3">
        <v>45</v>
      </c>
      <c r="J1423" s="2">
        <v>675</v>
      </c>
      <c r="K1423" s="3">
        <f t="shared" si="22"/>
        <v>30375</v>
      </c>
      <c r="L1423" s="3">
        <v>16706.25</v>
      </c>
    </row>
    <row r="1424" spans="1:12" x14ac:dyDescent="0.25">
      <c r="A1424" t="s">
        <v>27</v>
      </c>
      <c r="B1424">
        <v>1189833</v>
      </c>
      <c r="C1424" s="1">
        <v>44259</v>
      </c>
      <c r="D1424" t="s">
        <v>57</v>
      </c>
      <c r="E1424" t="s">
        <v>58</v>
      </c>
      <c r="F1424" t="s">
        <v>59</v>
      </c>
      <c r="G1424" t="s">
        <v>41</v>
      </c>
      <c r="H1424" t="s">
        <v>38</v>
      </c>
      <c r="I1424" s="3">
        <v>41</v>
      </c>
      <c r="J1424" s="2">
        <v>196</v>
      </c>
      <c r="K1424" s="3">
        <f t="shared" si="22"/>
        <v>8036</v>
      </c>
      <c r="L1424" s="3">
        <v>3535.8399999999992</v>
      </c>
    </row>
    <row r="1425" spans="1:12" x14ac:dyDescent="0.25">
      <c r="A1425" t="s">
        <v>19</v>
      </c>
      <c r="B1425">
        <v>1185732</v>
      </c>
      <c r="C1425" s="1">
        <v>44260</v>
      </c>
      <c r="D1425" t="s">
        <v>32</v>
      </c>
      <c r="E1425" t="s">
        <v>46</v>
      </c>
      <c r="F1425" t="s">
        <v>47</v>
      </c>
      <c r="G1425" t="s">
        <v>41</v>
      </c>
      <c r="H1425" t="s">
        <v>35</v>
      </c>
      <c r="I1425" s="3">
        <v>25</v>
      </c>
      <c r="J1425" s="2">
        <v>725</v>
      </c>
      <c r="K1425" s="3">
        <f t="shared" si="22"/>
        <v>18125</v>
      </c>
      <c r="L1425" s="3">
        <v>13593.75</v>
      </c>
    </row>
    <row r="1426" spans="1:12" x14ac:dyDescent="0.25">
      <c r="A1426" t="s">
        <v>27</v>
      </c>
      <c r="B1426">
        <v>1189833</v>
      </c>
      <c r="C1426" s="1">
        <v>44260</v>
      </c>
      <c r="D1426" t="s">
        <v>57</v>
      </c>
      <c r="E1426" t="s">
        <v>58</v>
      </c>
      <c r="F1426" t="s">
        <v>59</v>
      </c>
      <c r="G1426" t="s">
        <v>15</v>
      </c>
      <c r="H1426" t="s">
        <v>17</v>
      </c>
      <c r="I1426" s="3">
        <v>50</v>
      </c>
      <c r="J1426" s="2">
        <v>675</v>
      </c>
      <c r="K1426" s="3">
        <f t="shared" si="22"/>
        <v>33750</v>
      </c>
      <c r="L1426" s="3">
        <v>23625</v>
      </c>
    </row>
    <row r="1427" spans="1:12" x14ac:dyDescent="0.25">
      <c r="A1427" t="s">
        <v>19</v>
      </c>
      <c r="B1427">
        <v>1185732</v>
      </c>
      <c r="C1427" s="1">
        <v>44260</v>
      </c>
      <c r="D1427" t="s">
        <v>32</v>
      </c>
      <c r="E1427" t="s">
        <v>46</v>
      </c>
      <c r="F1427" t="s">
        <v>47</v>
      </c>
      <c r="G1427" t="s">
        <v>41</v>
      </c>
      <c r="H1427" t="s">
        <v>37</v>
      </c>
      <c r="I1427" s="3">
        <v>29.999999999999993</v>
      </c>
      <c r="J1427" s="2">
        <v>575</v>
      </c>
      <c r="K1427" s="3">
        <f t="shared" si="22"/>
        <v>17249.999999999996</v>
      </c>
      <c r="L1427" s="3">
        <v>12074.999999999996</v>
      </c>
    </row>
    <row r="1428" spans="1:12" x14ac:dyDescent="0.25">
      <c r="A1428" t="s">
        <v>19</v>
      </c>
      <c r="B1428">
        <v>1185732</v>
      </c>
      <c r="C1428" s="1">
        <v>44260</v>
      </c>
      <c r="D1428" t="s">
        <v>57</v>
      </c>
      <c r="E1428" t="s">
        <v>78</v>
      </c>
      <c r="F1428" t="s">
        <v>79</v>
      </c>
      <c r="G1428" t="s">
        <v>18</v>
      </c>
      <c r="H1428" t="s">
        <v>38</v>
      </c>
      <c r="I1428" s="3">
        <v>20.000000000000004</v>
      </c>
      <c r="J1428" s="2">
        <v>470</v>
      </c>
      <c r="K1428" s="3">
        <f t="shared" si="22"/>
        <v>9400.0000000000018</v>
      </c>
      <c r="L1428" s="3">
        <v>6580.0000000000018</v>
      </c>
    </row>
    <row r="1429" spans="1:12" x14ac:dyDescent="0.25">
      <c r="A1429" t="s">
        <v>19</v>
      </c>
      <c r="B1429">
        <v>1185732</v>
      </c>
      <c r="C1429" s="1">
        <v>44260</v>
      </c>
      <c r="D1429" t="s">
        <v>57</v>
      </c>
      <c r="E1429" t="s">
        <v>78</v>
      </c>
      <c r="F1429" t="s">
        <v>79</v>
      </c>
      <c r="G1429" t="s">
        <v>18</v>
      </c>
      <c r="H1429" t="s">
        <v>35</v>
      </c>
      <c r="I1429" s="3">
        <v>10.000000000000004</v>
      </c>
      <c r="J1429" s="2">
        <v>225</v>
      </c>
      <c r="K1429" s="3">
        <f t="shared" si="22"/>
        <v>2250.0000000000009</v>
      </c>
      <c r="L1429" s="3">
        <v>1575.0000000000005</v>
      </c>
    </row>
    <row r="1430" spans="1:12" x14ac:dyDescent="0.25">
      <c r="A1430" t="s">
        <v>19</v>
      </c>
      <c r="B1430">
        <v>1185732</v>
      </c>
      <c r="C1430" s="1">
        <v>44260</v>
      </c>
      <c r="D1430" t="s">
        <v>57</v>
      </c>
      <c r="E1430" t="s">
        <v>78</v>
      </c>
      <c r="F1430" t="s">
        <v>79</v>
      </c>
      <c r="G1430" t="s">
        <v>18</v>
      </c>
      <c r="H1430" t="s">
        <v>37</v>
      </c>
      <c r="I1430" s="3">
        <v>14.999999999999996</v>
      </c>
      <c r="J1430" s="2">
        <v>100</v>
      </c>
      <c r="K1430" s="3">
        <f t="shared" si="22"/>
        <v>1499.9999999999995</v>
      </c>
      <c r="L1430" s="3">
        <v>1049.9999999999995</v>
      </c>
    </row>
    <row r="1431" spans="1:12" x14ac:dyDescent="0.25">
      <c r="A1431" t="s">
        <v>19</v>
      </c>
      <c r="B1431">
        <v>1185732</v>
      </c>
      <c r="C1431" s="1">
        <v>44260</v>
      </c>
      <c r="D1431" t="s">
        <v>32</v>
      </c>
      <c r="E1431" t="s">
        <v>46</v>
      </c>
      <c r="F1431" t="s">
        <v>47</v>
      </c>
      <c r="G1431" t="s">
        <v>41</v>
      </c>
      <c r="H1431" t="s">
        <v>22</v>
      </c>
      <c r="I1431" s="3">
        <v>45.000000000000007</v>
      </c>
      <c r="J1431" s="2">
        <v>625</v>
      </c>
      <c r="K1431" s="3">
        <f t="shared" si="22"/>
        <v>28125.000000000004</v>
      </c>
      <c r="L1431" s="3">
        <v>18281.250000000007</v>
      </c>
    </row>
    <row r="1432" spans="1:12" x14ac:dyDescent="0.25">
      <c r="A1432" t="s">
        <v>19</v>
      </c>
      <c r="B1432">
        <v>1185732</v>
      </c>
      <c r="C1432" s="1">
        <v>44260</v>
      </c>
      <c r="D1432" t="s">
        <v>57</v>
      </c>
      <c r="E1432" t="s">
        <v>78</v>
      </c>
      <c r="F1432" t="s">
        <v>79</v>
      </c>
      <c r="G1432" t="s">
        <v>18</v>
      </c>
      <c r="H1432" t="s">
        <v>17</v>
      </c>
      <c r="I1432" s="3">
        <v>20.000000000000004</v>
      </c>
      <c r="J1432" s="2">
        <v>175</v>
      </c>
      <c r="K1432" s="3">
        <f t="shared" si="22"/>
        <v>3500.0000000000005</v>
      </c>
      <c r="L1432" s="3">
        <v>2275.0000000000009</v>
      </c>
    </row>
    <row r="1433" spans="1:12" x14ac:dyDescent="0.25">
      <c r="A1433" t="s">
        <v>19</v>
      </c>
      <c r="B1433">
        <v>1185732</v>
      </c>
      <c r="C1433" s="1">
        <v>44260</v>
      </c>
      <c r="D1433" t="s">
        <v>32</v>
      </c>
      <c r="E1433" t="s">
        <v>46</v>
      </c>
      <c r="F1433" t="s">
        <v>47</v>
      </c>
      <c r="G1433" t="s">
        <v>41</v>
      </c>
      <c r="H1433" t="s">
        <v>17</v>
      </c>
      <c r="I1433" s="3">
        <v>35</v>
      </c>
      <c r="J1433" s="2">
        <v>700</v>
      </c>
      <c r="K1433" s="3">
        <f t="shared" si="22"/>
        <v>24500</v>
      </c>
      <c r="L1433" s="3">
        <v>15925</v>
      </c>
    </row>
    <row r="1434" spans="1:12" x14ac:dyDescent="0.25">
      <c r="A1434" t="s">
        <v>19</v>
      </c>
      <c r="B1434">
        <v>1185732</v>
      </c>
      <c r="C1434" s="1">
        <v>44260</v>
      </c>
      <c r="D1434" t="s">
        <v>57</v>
      </c>
      <c r="E1434" t="s">
        <v>78</v>
      </c>
      <c r="F1434" t="s">
        <v>79</v>
      </c>
      <c r="G1434" t="s">
        <v>18</v>
      </c>
      <c r="H1434" t="s">
        <v>16</v>
      </c>
      <c r="I1434" s="3">
        <v>20.000000000000004</v>
      </c>
      <c r="J1434" s="2">
        <v>250</v>
      </c>
      <c r="K1434" s="3">
        <f t="shared" si="22"/>
        <v>5000.0000000000009</v>
      </c>
      <c r="L1434" s="3">
        <v>3000.0000000000005</v>
      </c>
    </row>
    <row r="1435" spans="1:12" x14ac:dyDescent="0.25">
      <c r="A1435" t="s">
        <v>19</v>
      </c>
      <c r="B1435">
        <v>1185732</v>
      </c>
      <c r="C1435" s="1">
        <v>44260</v>
      </c>
      <c r="D1435" t="s">
        <v>32</v>
      </c>
      <c r="E1435" t="s">
        <v>46</v>
      </c>
      <c r="F1435" t="s">
        <v>47</v>
      </c>
      <c r="G1435" t="s">
        <v>41</v>
      </c>
      <c r="H1435" t="s">
        <v>38</v>
      </c>
      <c r="I1435" s="3">
        <v>35</v>
      </c>
      <c r="J1435" s="2">
        <v>1020</v>
      </c>
      <c r="K1435" s="3">
        <f t="shared" si="22"/>
        <v>35700</v>
      </c>
      <c r="L1435" s="3">
        <v>19635</v>
      </c>
    </row>
    <row r="1436" spans="1:12" x14ac:dyDescent="0.25">
      <c r="A1436" t="s">
        <v>19</v>
      </c>
      <c r="B1436">
        <v>1185732</v>
      </c>
      <c r="C1436" s="1">
        <v>44260</v>
      </c>
      <c r="D1436" t="s">
        <v>32</v>
      </c>
      <c r="E1436" t="s">
        <v>46</v>
      </c>
      <c r="F1436" t="s">
        <v>47</v>
      </c>
      <c r="G1436" t="s">
        <v>41</v>
      </c>
      <c r="H1436" t="s">
        <v>16</v>
      </c>
      <c r="I1436" s="3">
        <v>35</v>
      </c>
      <c r="J1436" s="2">
        <v>725</v>
      </c>
      <c r="K1436" s="3">
        <f t="shared" si="22"/>
        <v>25375</v>
      </c>
      <c r="L1436" s="3">
        <v>12687.5</v>
      </c>
    </row>
    <row r="1437" spans="1:12" x14ac:dyDescent="0.25">
      <c r="A1437" t="s">
        <v>19</v>
      </c>
      <c r="B1437">
        <v>1185732</v>
      </c>
      <c r="C1437" s="1">
        <v>44260</v>
      </c>
      <c r="D1437" t="s">
        <v>57</v>
      </c>
      <c r="E1437" t="s">
        <v>78</v>
      </c>
      <c r="F1437" t="s">
        <v>79</v>
      </c>
      <c r="G1437" t="s">
        <v>18</v>
      </c>
      <c r="H1437" t="s">
        <v>22</v>
      </c>
      <c r="I1437" s="3">
        <v>30.000000000000004</v>
      </c>
      <c r="J1437" s="2">
        <v>150</v>
      </c>
      <c r="K1437" s="3">
        <f t="shared" si="22"/>
        <v>4500.0000000000009</v>
      </c>
      <c r="L1437" s="3">
        <v>2250.0000000000005</v>
      </c>
    </row>
    <row r="1438" spans="1:12" x14ac:dyDescent="0.25">
      <c r="A1438" t="s">
        <v>19</v>
      </c>
      <c r="B1438">
        <v>1185732</v>
      </c>
      <c r="C1438" s="1">
        <v>44260</v>
      </c>
      <c r="D1438" t="s">
        <v>32</v>
      </c>
      <c r="E1438" t="s">
        <v>46</v>
      </c>
      <c r="F1438" t="s">
        <v>47</v>
      </c>
      <c r="G1438" t="s">
        <v>41</v>
      </c>
      <c r="H1438" t="s">
        <v>35</v>
      </c>
      <c r="I1438" s="3">
        <v>24</v>
      </c>
      <c r="J1438" s="2">
        <v>181</v>
      </c>
      <c r="K1438" s="3">
        <f t="shared" si="22"/>
        <v>4344</v>
      </c>
      <c r="L1438" s="3">
        <v>2693.2799999999997</v>
      </c>
    </row>
    <row r="1439" spans="1:12" x14ac:dyDescent="0.25">
      <c r="A1439" t="s">
        <v>19</v>
      </c>
      <c r="B1439">
        <v>1185732</v>
      </c>
      <c r="C1439" s="1">
        <v>44260</v>
      </c>
      <c r="D1439" t="s">
        <v>57</v>
      </c>
      <c r="E1439" t="s">
        <v>78</v>
      </c>
      <c r="F1439" t="s">
        <v>79</v>
      </c>
      <c r="G1439" t="s">
        <v>41</v>
      </c>
      <c r="H1439" t="s">
        <v>35</v>
      </c>
      <c r="I1439" s="3">
        <v>9</v>
      </c>
      <c r="J1439" s="2">
        <v>65</v>
      </c>
      <c r="K1439" s="3">
        <f t="shared" si="22"/>
        <v>585</v>
      </c>
      <c r="L1439" s="3">
        <v>351</v>
      </c>
    </row>
    <row r="1440" spans="1:12" x14ac:dyDescent="0.25">
      <c r="A1440" t="s">
        <v>19</v>
      </c>
      <c r="B1440">
        <v>1185732</v>
      </c>
      <c r="C1440" s="1">
        <v>44260</v>
      </c>
      <c r="D1440" t="s">
        <v>57</v>
      </c>
      <c r="E1440" t="s">
        <v>78</v>
      </c>
      <c r="F1440" t="s">
        <v>79</v>
      </c>
      <c r="G1440" t="s">
        <v>41</v>
      </c>
      <c r="H1440" t="s">
        <v>38</v>
      </c>
      <c r="I1440" s="3">
        <v>19</v>
      </c>
      <c r="J1440" s="2">
        <v>136</v>
      </c>
      <c r="K1440" s="3">
        <f t="shared" si="22"/>
        <v>2584</v>
      </c>
      <c r="L1440" s="3">
        <v>1550.3999999999999</v>
      </c>
    </row>
    <row r="1441" spans="1:12" x14ac:dyDescent="0.25">
      <c r="A1441" t="s">
        <v>19</v>
      </c>
      <c r="B1441">
        <v>1185732</v>
      </c>
      <c r="C1441" s="1">
        <v>44260</v>
      </c>
      <c r="D1441" t="s">
        <v>32</v>
      </c>
      <c r="E1441" t="s">
        <v>46</v>
      </c>
      <c r="F1441" t="s">
        <v>47</v>
      </c>
      <c r="G1441" t="s">
        <v>41</v>
      </c>
      <c r="H1441" t="s">
        <v>37</v>
      </c>
      <c r="I1441" s="3">
        <v>27</v>
      </c>
      <c r="J1441" s="2">
        <v>144</v>
      </c>
      <c r="K1441" s="3">
        <f t="shared" si="22"/>
        <v>3888</v>
      </c>
      <c r="L1441" s="3">
        <v>2255.04</v>
      </c>
    </row>
    <row r="1442" spans="1:12" x14ac:dyDescent="0.25">
      <c r="A1442" t="s">
        <v>19</v>
      </c>
      <c r="B1442">
        <v>1185732</v>
      </c>
      <c r="C1442" s="1">
        <v>44260</v>
      </c>
      <c r="D1442" t="s">
        <v>57</v>
      </c>
      <c r="E1442" t="s">
        <v>78</v>
      </c>
      <c r="F1442" t="s">
        <v>79</v>
      </c>
      <c r="G1442" t="s">
        <v>41</v>
      </c>
      <c r="H1442" t="s">
        <v>37</v>
      </c>
      <c r="I1442" s="3">
        <v>14</v>
      </c>
      <c r="J1442" s="2">
        <v>28</v>
      </c>
      <c r="K1442" s="3">
        <f t="shared" si="22"/>
        <v>392</v>
      </c>
      <c r="L1442" s="3">
        <v>227.36</v>
      </c>
    </row>
    <row r="1443" spans="1:12" x14ac:dyDescent="0.25">
      <c r="A1443" t="s">
        <v>27</v>
      </c>
      <c r="B1443">
        <v>1189833</v>
      </c>
      <c r="C1443" s="1">
        <v>44260</v>
      </c>
      <c r="D1443" t="s">
        <v>57</v>
      </c>
      <c r="E1443" t="s">
        <v>58</v>
      </c>
      <c r="F1443" t="s">
        <v>59</v>
      </c>
      <c r="G1443" t="s">
        <v>41</v>
      </c>
      <c r="H1443" t="s">
        <v>17</v>
      </c>
      <c r="I1443" s="3">
        <v>45</v>
      </c>
      <c r="J1443" s="2">
        <v>182</v>
      </c>
      <c r="K1443" s="3">
        <f t="shared" si="22"/>
        <v>8190</v>
      </c>
      <c r="L1443" s="3">
        <v>4668.3</v>
      </c>
    </row>
    <row r="1444" spans="1:12" x14ac:dyDescent="0.25">
      <c r="A1444" t="s">
        <v>19</v>
      </c>
      <c r="B1444">
        <v>1185732</v>
      </c>
      <c r="C1444" s="1">
        <v>44260</v>
      </c>
      <c r="D1444" t="s">
        <v>57</v>
      </c>
      <c r="E1444" t="s">
        <v>78</v>
      </c>
      <c r="F1444" t="s">
        <v>79</v>
      </c>
      <c r="G1444" t="s">
        <v>41</v>
      </c>
      <c r="H1444" t="s">
        <v>17</v>
      </c>
      <c r="I1444" s="3">
        <v>19</v>
      </c>
      <c r="J1444" s="2">
        <v>47</v>
      </c>
      <c r="K1444" s="3">
        <f t="shared" si="22"/>
        <v>893</v>
      </c>
      <c r="L1444" s="3">
        <v>491.15000000000003</v>
      </c>
    </row>
    <row r="1445" spans="1:12" x14ac:dyDescent="0.25">
      <c r="A1445" t="s">
        <v>19</v>
      </c>
      <c r="B1445">
        <v>1185732</v>
      </c>
      <c r="C1445" s="1">
        <v>44260</v>
      </c>
      <c r="D1445" t="s">
        <v>32</v>
      </c>
      <c r="E1445" t="s">
        <v>46</v>
      </c>
      <c r="F1445" t="s">
        <v>47</v>
      </c>
      <c r="G1445" t="s">
        <v>41</v>
      </c>
      <c r="H1445" t="s">
        <v>22</v>
      </c>
      <c r="I1445" s="3">
        <v>41</v>
      </c>
      <c r="J1445" s="2">
        <v>181</v>
      </c>
      <c r="K1445" s="3">
        <f t="shared" si="22"/>
        <v>7421</v>
      </c>
      <c r="L1445" s="3">
        <v>3858.92</v>
      </c>
    </row>
    <row r="1446" spans="1:12" x14ac:dyDescent="0.25">
      <c r="A1446" t="s">
        <v>19</v>
      </c>
      <c r="B1446">
        <v>1185732</v>
      </c>
      <c r="C1446" s="1">
        <v>44260</v>
      </c>
      <c r="D1446" t="s">
        <v>32</v>
      </c>
      <c r="E1446" t="s">
        <v>46</v>
      </c>
      <c r="F1446" t="s">
        <v>47</v>
      </c>
      <c r="G1446" t="s">
        <v>41</v>
      </c>
      <c r="H1446" t="s">
        <v>17</v>
      </c>
      <c r="I1446" s="3">
        <v>32</v>
      </c>
      <c r="J1446" s="2">
        <v>210</v>
      </c>
      <c r="K1446" s="3">
        <f t="shared" si="22"/>
        <v>6720</v>
      </c>
      <c r="L1446" s="3">
        <v>3427.2000000000003</v>
      </c>
    </row>
    <row r="1447" spans="1:12" x14ac:dyDescent="0.25">
      <c r="A1447" t="s">
        <v>19</v>
      </c>
      <c r="B1447">
        <v>1185732</v>
      </c>
      <c r="C1447" s="1">
        <v>44260</v>
      </c>
      <c r="D1447" t="s">
        <v>57</v>
      </c>
      <c r="E1447" t="s">
        <v>78</v>
      </c>
      <c r="F1447" t="s">
        <v>79</v>
      </c>
      <c r="G1447" t="s">
        <v>41</v>
      </c>
      <c r="H1447" t="s">
        <v>16</v>
      </c>
      <c r="I1447" s="3">
        <v>20</v>
      </c>
      <c r="J1447" s="2">
        <v>68</v>
      </c>
      <c r="K1447" s="3">
        <f t="shared" si="22"/>
        <v>1360</v>
      </c>
      <c r="L1447" s="3">
        <v>639.19999999999993</v>
      </c>
    </row>
    <row r="1448" spans="1:12" x14ac:dyDescent="0.25">
      <c r="A1448" t="s">
        <v>19</v>
      </c>
      <c r="B1448">
        <v>1185732</v>
      </c>
      <c r="C1448" s="1">
        <v>44260</v>
      </c>
      <c r="D1448" t="s">
        <v>32</v>
      </c>
      <c r="E1448" t="s">
        <v>46</v>
      </c>
      <c r="F1448" t="s">
        <v>47</v>
      </c>
      <c r="G1448" t="s">
        <v>41</v>
      </c>
      <c r="H1448" t="s">
        <v>38</v>
      </c>
      <c r="I1448" s="3">
        <v>33</v>
      </c>
      <c r="J1448" s="2">
        <v>265</v>
      </c>
      <c r="K1448" s="3">
        <f t="shared" si="22"/>
        <v>8745</v>
      </c>
      <c r="L1448" s="3">
        <v>3672.8999999999996</v>
      </c>
    </row>
    <row r="1449" spans="1:12" x14ac:dyDescent="0.25">
      <c r="A1449" t="s">
        <v>19</v>
      </c>
      <c r="B1449">
        <v>1185732</v>
      </c>
      <c r="C1449" s="1">
        <v>44260</v>
      </c>
      <c r="D1449" t="s">
        <v>32</v>
      </c>
      <c r="E1449" t="s">
        <v>46</v>
      </c>
      <c r="F1449" t="s">
        <v>47</v>
      </c>
      <c r="G1449" t="s">
        <v>41</v>
      </c>
      <c r="H1449" t="s">
        <v>16</v>
      </c>
      <c r="I1449" s="3">
        <v>32</v>
      </c>
      <c r="J1449" s="2">
        <v>189</v>
      </c>
      <c r="K1449" s="3">
        <f t="shared" si="22"/>
        <v>6048</v>
      </c>
      <c r="L1449" s="3">
        <v>2237.7599999999998</v>
      </c>
    </row>
    <row r="1450" spans="1:12" x14ac:dyDescent="0.25">
      <c r="A1450" t="s">
        <v>19</v>
      </c>
      <c r="B1450">
        <v>1185732</v>
      </c>
      <c r="C1450" s="1">
        <v>44260</v>
      </c>
      <c r="D1450" t="s">
        <v>57</v>
      </c>
      <c r="E1450" t="s">
        <v>78</v>
      </c>
      <c r="F1450" t="s">
        <v>79</v>
      </c>
      <c r="G1450" t="s">
        <v>41</v>
      </c>
      <c r="H1450" t="s">
        <v>22</v>
      </c>
      <c r="I1450" s="3">
        <v>28</v>
      </c>
      <c r="J1450" s="2">
        <v>39</v>
      </c>
      <c r="K1450" s="3">
        <f t="shared" si="22"/>
        <v>1092</v>
      </c>
      <c r="L1450" s="3">
        <v>393.12</v>
      </c>
    </row>
    <row r="1451" spans="1:12" x14ac:dyDescent="0.25">
      <c r="A1451" t="s">
        <v>11</v>
      </c>
      <c r="B1451">
        <v>1197831</v>
      </c>
      <c r="C1451" s="1">
        <v>44261</v>
      </c>
      <c r="D1451" t="s">
        <v>12</v>
      </c>
      <c r="E1451" t="s">
        <v>66</v>
      </c>
      <c r="F1451" t="s">
        <v>67</v>
      </c>
      <c r="G1451" t="s">
        <v>41</v>
      </c>
      <c r="H1451" t="s">
        <v>22</v>
      </c>
      <c r="I1451" s="3">
        <v>40</v>
      </c>
      <c r="J1451" s="2">
        <v>250</v>
      </c>
      <c r="K1451" s="3">
        <f t="shared" si="22"/>
        <v>10000</v>
      </c>
      <c r="L1451" s="3">
        <v>7000</v>
      </c>
    </row>
    <row r="1452" spans="1:12" x14ac:dyDescent="0.25">
      <c r="A1452" t="s">
        <v>27</v>
      </c>
      <c r="B1452">
        <v>1185732</v>
      </c>
      <c r="C1452" s="1">
        <v>44261</v>
      </c>
      <c r="D1452" t="s">
        <v>29</v>
      </c>
      <c r="E1452" t="s">
        <v>91</v>
      </c>
      <c r="F1452" t="s">
        <v>92</v>
      </c>
      <c r="G1452" t="s">
        <v>18</v>
      </c>
      <c r="H1452" t="s">
        <v>22</v>
      </c>
      <c r="I1452" s="3">
        <v>45</v>
      </c>
      <c r="J1452" s="2">
        <v>125</v>
      </c>
      <c r="K1452" s="3">
        <f t="shared" si="22"/>
        <v>5625</v>
      </c>
      <c r="L1452" s="3">
        <v>3937.5</v>
      </c>
    </row>
    <row r="1453" spans="1:12" x14ac:dyDescent="0.25">
      <c r="A1453" t="s">
        <v>19</v>
      </c>
      <c r="B1453">
        <v>1185732</v>
      </c>
      <c r="C1453" s="1">
        <v>44261</v>
      </c>
      <c r="D1453" t="s">
        <v>29</v>
      </c>
      <c r="E1453" t="s">
        <v>48</v>
      </c>
      <c r="F1453" t="s">
        <v>49</v>
      </c>
      <c r="G1453" t="s">
        <v>18</v>
      </c>
      <c r="H1453" t="s">
        <v>22</v>
      </c>
      <c r="I1453" s="3">
        <v>45</v>
      </c>
      <c r="J1453" s="2">
        <v>75</v>
      </c>
      <c r="K1453" s="3">
        <f t="shared" si="22"/>
        <v>3375</v>
      </c>
      <c r="L1453" s="3">
        <v>2362.5</v>
      </c>
    </row>
    <row r="1454" spans="1:12" x14ac:dyDescent="0.25">
      <c r="A1454" t="s">
        <v>19</v>
      </c>
      <c r="B1454">
        <v>1197831</v>
      </c>
      <c r="C1454" s="1">
        <v>44261</v>
      </c>
      <c r="D1454" t="s">
        <v>12</v>
      </c>
      <c r="E1454" t="s">
        <v>66</v>
      </c>
      <c r="F1454" t="s">
        <v>67</v>
      </c>
      <c r="G1454" t="s">
        <v>41</v>
      </c>
      <c r="H1454" t="s">
        <v>38</v>
      </c>
      <c r="I1454" s="3">
        <v>30</v>
      </c>
      <c r="J1454" s="2">
        <v>625</v>
      </c>
      <c r="K1454" s="3">
        <f t="shared" si="22"/>
        <v>18750</v>
      </c>
      <c r="L1454" s="3">
        <v>12187.5</v>
      </c>
    </row>
    <row r="1455" spans="1:12" x14ac:dyDescent="0.25">
      <c r="A1455" t="s">
        <v>19</v>
      </c>
      <c r="B1455">
        <v>1197831</v>
      </c>
      <c r="C1455" s="1">
        <v>44261</v>
      </c>
      <c r="D1455" t="s">
        <v>12</v>
      </c>
      <c r="E1455" t="s">
        <v>66</v>
      </c>
      <c r="F1455" t="s">
        <v>67</v>
      </c>
      <c r="G1455" t="s">
        <v>41</v>
      </c>
      <c r="H1455" t="s">
        <v>17</v>
      </c>
      <c r="I1455" s="3">
        <v>40</v>
      </c>
      <c r="J1455" s="2">
        <v>625</v>
      </c>
      <c r="K1455" s="3">
        <f t="shared" si="22"/>
        <v>25000</v>
      </c>
      <c r="L1455" s="3">
        <v>16250</v>
      </c>
    </row>
    <row r="1456" spans="1:12" x14ac:dyDescent="0.25">
      <c r="A1456" t="s">
        <v>19</v>
      </c>
      <c r="B1456">
        <v>1197831</v>
      </c>
      <c r="C1456" s="1">
        <v>44261</v>
      </c>
      <c r="D1456" t="s">
        <v>12</v>
      </c>
      <c r="E1456" t="s">
        <v>66</v>
      </c>
      <c r="F1456" t="s">
        <v>67</v>
      </c>
      <c r="G1456" t="s">
        <v>41</v>
      </c>
      <c r="H1456" t="s">
        <v>35</v>
      </c>
      <c r="I1456" s="3">
        <v>30</v>
      </c>
      <c r="J1456" s="2">
        <v>450</v>
      </c>
      <c r="K1456" s="3">
        <f t="shared" si="22"/>
        <v>13500</v>
      </c>
      <c r="L1456" s="3">
        <v>8775</v>
      </c>
    </row>
    <row r="1457" spans="1:12" x14ac:dyDescent="0.25">
      <c r="A1457" t="s">
        <v>27</v>
      </c>
      <c r="B1457">
        <v>1185732</v>
      </c>
      <c r="C1457" s="1">
        <v>44261</v>
      </c>
      <c r="D1457" t="s">
        <v>29</v>
      </c>
      <c r="E1457" t="s">
        <v>91</v>
      </c>
      <c r="F1457" t="s">
        <v>92</v>
      </c>
      <c r="G1457" t="s">
        <v>18</v>
      </c>
      <c r="H1457" t="s">
        <v>38</v>
      </c>
      <c r="I1457" s="3">
        <v>35</v>
      </c>
      <c r="J1457" s="2">
        <v>495</v>
      </c>
      <c r="K1457" s="3">
        <f t="shared" si="22"/>
        <v>17325</v>
      </c>
      <c r="L1457" s="3">
        <v>11261.25</v>
      </c>
    </row>
    <row r="1458" spans="1:12" x14ac:dyDescent="0.25">
      <c r="A1458" t="s">
        <v>27</v>
      </c>
      <c r="B1458">
        <v>1185732</v>
      </c>
      <c r="C1458" s="1">
        <v>44261</v>
      </c>
      <c r="D1458" t="s">
        <v>29</v>
      </c>
      <c r="E1458" t="s">
        <v>91</v>
      </c>
      <c r="F1458" t="s">
        <v>92</v>
      </c>
      <c r="G1458" t="s">
        <v>18</v>
      </c>
      <c r="H1458" t="s">
        <v>17</v>
      </c>
      <c r="I1458" s="3">
        <v>35</v>
      </c>
      <c r="J1458" s="2">
        <v>200</v>
      </c>
      <c r="K1458" s="3">
        <f t="shared" si="22"/>
        <v>7000</v>
      </c>
      <c r="L1458" s="3">
        <v>4550</v>
      </c>
    </row>
    <row r="1459" spans="1:12" x14ac:dyDescent="0.25">
      <c r="A1459" t="s">
        <v>19</v>
      </c>
      <c r="B1459">
        <v>1185732</v>
      </c>
      <c r="C1459" s="1">
        <v>44261</v>
      </c>
      <c r="D1459" t="s">
        <v>29</v>
      </c>
      <c r="E1459" t="s">
        <v>48</v>
      </c>
      <c r="F1459" t="s">
        <v>49</v>
      </c>
      <c r="G1459" t="s">
        <v>18</v>
      </c>
      <c r="H1459" t="s">
        <v>38</v>
      </c>
      <c r="I1459" s="3">
        <v>35</v>
      </c>
      <c r="J1459" s="2">
        <v>445</v>
      </c>
      <c r="K1459" s="3">
        <f t="shared" si="22"/>
        <v>15575</v>
      </c>
      <c r="L1459" s="3">
        <v>10123.75</v>
      </c>
    </row>
    <row r="1460" spans="1:12" x14ac:dyDescent="0.25">
      <c r="A1460" t="s">
        <v>19</v>
      </c>
      <c r="B1460">
        <v>1185732</v>
      </c>
      <c r="C1460" s="1">
        <v>44261</v>
      </c>
      <c r="D1460" t="s">
        <v>29</v>
      </c>
      <c r="E1460" t="s">
        <v>48</v>
      </c>
      <c r="F1460" t="s">
        <v>49</v>
      </c>
      <c r="G1460" t="s">
        <v>18</v>
      </c>
      <c r="H1460" t="s">
        <v>17</v>
      </c>
      <c r="I1460" s="3">
        <v>35</v>
      </c>
      <c r="J1460" s="2">
        <v>150</v>
      </c>
      <c r="K1460" s="3">
        <f t="shared" si="22"/>
        <v>5250</v>
      </c>
      <c r="L1460" s="3">
        <v>3412.5</v>
      </c>
    </row>
    <row r="1461" spans="1:12" x14ac:dyDescent="0.25">
      <c r="A1461" t="s">
        <v>19</v>
      </c>
      <c r="B1461">
        <v>1185732</v>
      </c>
      <c r="C1461" s="1">
        <v>44261</v>
      </c>
      <c r="D1461" t="s">
        <v>29</v>
      </c>
      <c r="E1461" t="s">
        <v>48</v>
      </c>
      <c r="F1461" t="s">
        <v>49</v>
      </c>
      <c r="G1461" t="s">
        <v>18</v>
      </c>
      <c r="H1461" t="s">
        <v>35</v>
      </c>
      <c r="I1461" s="3">
        <v>25.000000000000007</v>
      </c>
      <c r="J1461" s="2">
        <v>175</v>
      </c>
      <c r="K1461" s="3">
        <f t="shared" si="22"/>
        <v>4375.0000000000009</v>
      </c>
      <c r="L1461" s="3">
        <v>2625.0000000000009</v>
      </c>
    </row>
    <row r="1462" spans="1:12" x14ac:dyDescent="0.25">
      <c r="A1462" t="s">
        <v>27</v>
      </c>
      <c r="B1462">
        <v>1185732</v>
      </c>
      <c r="C1462" s="1">
        <v>44261</v>
      </c>
      <c r="D1462" t="s">
        <v>29</v>
      </c>
      <c r="E1462" t="s">
        <v>91</v>
      </c>
      <c r="F1462" t="s">
        <v>92</v>
      </c>
      <c r="G1462" t="s">
        <v>18</v>
      </c>
      <c r="H1462" t="s">
        <v>35</v>
      </c>
      <c r="I1462" s="3">
        <v>25.000000000000007</v>
      </c>
      <c r="J1462" s="2">
        <v>225</v>
      </c>
      <c r="K1462" s="3">
        <f t="shared" si="22"/>
        <v>5625.0000000000018</v>
      </c>
      <c r="L1462" s="3">
        <v>3375.0000000000009</v>
      </c>
    </row>
    <row r="1463" spans="1:12" x14ac:dyDescent="0.25">
      <c r="A1463" t="s">
        <v>27</v>
      </c>
      <c r="B1463">
        <v>1185732</v>
      </c>
      <c r="C1463" s="1">
        <v>44261</v>
      </c>
      <c r="D1463" t="s">
        <v>29</v>
      </c>
      <c r="E1463" t="s">
        <v>91</v>
      </c>
      <c r="F1463" t="s">
        <v>92</v>
      </c>
      <c r="G1463" t="s">
        <v>18</v>
      </c>
      <c r="H1463" t="s">
        <v>37</v>
      </c>
      <c r="I1463" s="3">
        <v>30</v>
      </c>
      <c r="J1463" s="2">
        <v>75</v>
      </c>
      <c r="K1463" s="3">
        <f t="shared" si="22"/>
        <v>2250</v>
      </c>
      <c r="L1463" s="3">
        <v>1350</v>
      </c>
    </row>
    <row r="1464" spans="1:12" x14ac:dyDescent="0.25">
      <c r="A1464" t="s">
        <v>27</v>
      </c>
      <c r="B1464">
        <v>1185732</v>
      </c>
      <c r="C1464" s="1">
        <v>44261</v>
      </c>
      <c r="D1464" t="s">
        <v>29</v>
      </c>
      <c r="E1464" t="s">
        <v>91</v>
      </c>
      <c r="F1464" t="s">
        <v>92</v>
      </c>
      <c r="G1464" t="s">
        <v>18</v>
      </c>
      <c r="H1464" t="s">
        <v>16</v>
      </c>
      <c r="I1464" s="3">
        <v>35</v>
      </c>
      <c r="J1464" s="2">
        <v>225</v>
      </c>
      <c r="K1464" s="3">
        <f t="shared" si="22"/>
        <v>7875</v>
      </c>
      <c r="L1464" s="3">
        <v>4725</v>
      </c>
    </row>
    <row r="1465" spans="1:12" x14ac:dyDescent="0.25">
      <c r="A1465" t="s">
        <v>19</v>
      </c>
      <c r="B1465">
        <v>1185732</v>
      </c>
      <c r="C1465" s="1">
        <v>44261</v>
      </c>
      <c r="D1465" t="s">
        <v>29</v>
      </c>
      <c r="E1465" t="s">
        <v>48</v>
      </c>
      <c r="F1465" t="s">
        <v>49</v>
      </c>
      <c r="G1465" t="s">
        <v>18</v>
      </c>
      <c r="H1465" t="s">
        <v>37</v>
      </c>
      <c r="I1465" s="3">
        <v>30</v>
      </c>
      <c r="J1465" s="2">
        <v>25</v>
      </c>
      <c r="K1465" s="3">
        <f t="shared" si="22"/>
        <v>750</v>
      </c>
      <c r="L1465" s="3">
        <v>450</v>
      </c>
    </row>
    <row r="1466" spans="1:12" x14ac:dyDescent="0.25">
      <c r="A1466" t="s">
        <v>19</v>
      </c>
      <c r="B1466">
        <v>1185732</v>
      </c>
      <c r="C1466" s="1">
        <v>44261</v>
      </c>
      <c r="D1466" t="s">
        <v>29</v>
      </c>
      <c r="E1466" t="s">
        <v>48</v>
      </c>
      <c r="F1466" t="s">
        <v>49</v>
      </c>
      <c r="G1466" t="s">
        <v>18</v>
      </c>
      <c r="H1466" t="s">
        <v>16</v>
      </c>
      <c r="I1466" s="3">
        <v>35</v>
      </c>
      <c r="J1466" s="2">
        <v>175</v>
      </c>
      <c r="K1466" s="3">
        <f t="shared" si="22"/>
        <v>6125</v>
      </c>
      <c r="L1466" s="3">
        <v>3675</v>
      </c>
    </row>
    <row r="1467" spans="1:12" x14ac:dyDescent="0.25">
      <c r="A1467" t="s">
        <v>27</v>
      </c>
      <c r="B1467">
        <v>1189833</v>
      </c>
      <c r="C1467" s="1">
        <v>44261</v>
      </c>
      <c r="D1467" t="s">
        <v>57</v>
      </c>
      <c r="E1467" t="s">
        <v>58</v>
      </c>
      <c r="F1467" t="s">
        <v>59</v>
      </c>
      <c r="G1467" t="s">
        <v>15</v>
      </c>
      <c r="H1467" t="s">
        <v>35</v>
      </c>
      <c r="I1467" s="3">
        <v>45</v>
      </c>
      <c r="J1467" s="2">
        <v>475</v>
      </c>
      <c r="K1467" s="3">
        <f t="shared" si="22"/>
        <v>21375</v>
      </c>
      <c r="L1467" s="3">
        <v>11756.25</v>
      </c>
    </row>
    <row r="1468" spans="1:12" x14ac:dyDescent="0.25">
      <c r="A1468" t="s">
        <v>19</v>
      </c>
      <c r="B1468">
        <v>1197831</v>
      </c>
      <c r="C1468" s="1">
        <v>44261</v>
      </c>
      <c r="D1468" t="s">
        <v>12</v>
      </c>
      <c r="E1468" t="s">
        <v>66</v>
      </c>
      <c r="F1468" t="s">
        <v>67</v>
      </c>
      <c r="G1468" t="s">
        <v>41</v>
      </c>
      <c r="H1468" t="s">
        <v>37</v>
      </c>
      <c r="I1468" s="3">
        <v>35</v>
      </c>
      <c r="J1468" s="2">
        <v>350</v>
      </c>
      <c r="K1468" s="3">
        <f t="shared" si="22"/>
        <v>12250</v>
      </c>
      <c r="L1468" s="3">
        <v>6737.5</v>
      </c>
    </row>
    <row r="1469" spans="1:12" x14ac:dyDescent="0.25">
      <c r="A1469" t="s">
        <v>11</v>
      </c>
      <c r="B1469">
        <v>1197831</v>
      </c>
      <c r="C1469" s="1">
        <v>44261</v>
      </c>
      <c r="D1469" t="s">
        <v>12</v>
      </c>
      <c r="E1469" t="s">
        <v>66</v>
      </c>
      <c r="F1469" t="s">
        <v>67</v>
      </c>
      <c r="G1469" t="s">
        <v>41</v>
      </c>
      <c r="H1469" t="s">
        <v>16</v>
      </c>
      <c r="I1469" s="3">
        <v>35</v>
      </c>
      <c r="J1469" s="2">
        <v>400</v>
      </c>
      <c r="K1469" s="3">
        <f t="shared" si="22"/>
        <v>14000</v>
      </c>
      <c r="L1469" s="3">
        <v>7000</v>
      </c>
    </row>
    <row r="1470" spans="1:12" x14ac:dyDescent="0.25">
      <c r="A1470" t="s">
        <v>11</v>
      </c>
      <c r="B1470">
        <v>1197831</v>
      </c>
      <c r="C1470" s="1">
        <v>44261</v>
      </c>
      <c r="D1470" t="s">
        <v>12</v>
      </c>
      <c r="E1470" t="s">
        <v>66</v>
      </c>
      <c r="F1470" t="s">
        <v>67</v>
      </c>
      <c r="G1470" t="s">
        <v>15</v>
      </c>
      <c r="H1470" t="s">
        <v>22</v>
      </c>
      <c r="I1470" s="3">
        <v>32</v>
      </c>
      <c r="J1470" s="2">
        <v>88</v>
      </c>
      <c r="K1470" s="3">
        <f t="shared" si="22"/>
        <v>2816</v>
      </c>
      <c r="L1470" s="3">
        <v>1830.4</v>
      </c>
    </row>
    <row r="1471" spans="1:12" x14ac:dyDescent="0.25">
      <c r="A1471" t="s">
        <v>19</v>
      </c>
      <c r="B1471">
        <v>1185732</v>
      </c>
      <c r="C1471" s="1">
        <v>44261</v>
      </c>
      <c r="D1471" t="s">
        <v>29</v>
      </c>
      <c r="E1471" t="s">
        <v>48</v>
      </c>
      <c r="F1471" t="s">
        <v>49</v>
      </c>
      <c r="G1471" t="s">
        <v>15</v>
      </c>
      <c r="H1471" t="s">
        <v>22</v>
      </c>
      <c r="I1471" s="3">
        <v>33</v>
      </c>
      <c r="J1471" s="2">
        <v>25</v>
      </c>
      <c r="K1471" s="3">
        <f t="shared" si="22"/>
        <v>825</v>
      </c>
      <c r="L1471" s="3">
        <v>528</v>
      </c>
    </row>
    <row r="1472" spans="1:12" x14ac:dyDescent="0.25">
      <c r="A1472" t="s">
        <v>19</v>
      </c>
      <c r="B1472">
        <v>1197831</v>
      </c>
      <c r="C1472" s="1">
        <v>44261</v>
      </c>
      <c r="D1472" t="s">
        <v>12</v>
      </c>
      <c r="E1472" t="s">
        <v>66</v>
      </c>
      <c r="F1472" t="s">
        <v>67</v>
      </c>
      <c r="G1472" t="s">
        <v>15</v>
      </c>
      <c r="H1472" t="s">
        <v>38</v>
      </c>
      <c r="I1472" s="3">
        <v>21</v>
      </c>
      <c r="J1472" s="2">
        <v>200</v>
      </c>
      <c r="K1472" s="3">
        <f t="shared" si="22"/>
        <v>4200</v>
      </c>
      <c r="L1472" s="3">
        <v>2646</v>
      </c>
    </row>
    <row r="1473" spans="1:12" x14ac:dyDescent="0.25">
      <c r="A1473" t="s">
        <v>19</v>
      </c>
      <c r="B1473">
        <v>1185732</v>
      </c>
      <c r="C1473" s="1">
        <v>44261</v>
      </c>
      <c r="D1473" t="s">
        <v>29</v>
      </c>
      <c r="E1473" t="s">
        <v>48</v>
      </c>
      <c r="F1473" t="s">
        <v>49</v>
      </c>
      <c r="G1473" t="s">
        <v>15</v>
      </c>
      <c r="H1473" t="s">
        <v>38</v>
      </c>
      <c r="I1473" s="3">
        <v>26</v>
      </c>
      <c r="J1473" s="2">
        <v>156</v>
      </c>
      <c r="K1473" s="3">
        <f t="shared" si="22"/>
        <v>4056</v>
      </c>
      <c r="L1473" s="3">
        <v>2555.2799999999997</v>
      </c>
    </row>
    <row r="1474" spans="1:12" x14ac:dyDescent="0.25">
      <c r="A1474" t="s">
        <v>19</v>
      </c>
      <c r="B1474">
        <v>1197831</v>
      </c>
      <c r="C1474" s="1">
        <v>44261</v>
      </c>
      <c r="D1474" t="s">
        <v>12</v>
      </c>
      <c r="E1474" t="s">
        <v>66</v>
      </c>
      <c r="F1474" t="s">
        <v>67</v>
      </c>
      <c r="G1474" t="s">
        <v>15</v>
      </c>
      <c r="H1474" t="s">
        <v>35</v>
      </c>
      <c r="I1474" s="3">
        <v>20</v>
      </c>
      <c r="J1474" s="2">
        <v>135</v>
      </c>
      <c r="K1474" s="3">
        <f t="shared" si="22"/>
        <v>2700</v>
      </c>
      <c r="L1474" s="3">
        <v>1674</v>
      </c>
    </row>
    <row r="1475" spans="1:12" x14ac:dyDescent="0.25">
      <c r="A1475" t="s">
        <v>19</v>
      </c>
      <c r="B1475">
        <v>1185732</v>
      </c>
      <c r="C1475" s="1">
        <v>44261</v>
      </c>
      <c r="D1475" t="s">
        <v>29</v>
      </c>
      <c r="E1475" t="s">
        <v>48</v>
      </c>
      <c r="F1475" t="s">
        <v>49</v>
      </c>
      <c r="G1475" t="s">
        <v>15</v>
      </c>
      <c r="H1475" t="s">
        <v>17</v>
      </c>
      <c r="I1475" s="3">
        <v>27</v>
      </c>
      <c r="J1475" s="2">
        <v>45</v>
      </c>
      <c r="K1475" s="3">
        <f t="shared" ref="K1475:K1538" si="23">I1475*J1475</f>
        <v>1215</v>
      </c>
      <c r="L1475" s="3">
        <v>741.15000000000009</v>
      </c>
    </row>
    <row r="1476" spans="1:12" x14ac:dyDescent="0.25">
      <c r="A1476" t="s">
        <v>19</v>
      </c>
      <c r="B1476">
        <v>1197831</v>
      </c>
      <c r="C1476" s="1">
        <v>44261</v>
      </c>
      <c r="D1476" t="s">
        <v>12</v>
      </c>
      <c r="E1476" t="s">
        <v>66</v>
      </c>
      <c r="F1476" t="s">
        <v>67</v>
      </c>
      <c r="G1476" t="s">
        <v>15</v>
      </c>
      <c r="H1476" t="s">
        <v>17</v>
      </c>
      <c r="I1476" s="3">
        <v>27</v>
      </c>
      <c r="J1476" s="2">
        <v>188</v>
      </c>
      <c r="K1476" s="3">
        <f t="shared" si="23"/>
        <v>5076</v>
      </c>
      <c r="L1476" s="3">
        <v>3096.36</v>
      </c>
    </row>
    <row r="1477" spans="1:12" x14ac:dyDescent="0.25">
      <c r="A1477" t="s">
        <v>19</v>
      </c>
      <c r="B1477">
        <v>1185732</v>
      </c>
      <c r="C1477" s="1">
        <v>44261</v>
      </c>
      <c r="D1477" t="s">
        <v>29</v>
      </c>
      <c r="E1477" t="s">
        <v>48</v>
      </c>
      <c r="F1477" t="s">
        <v>49</v>
      </c>
      <c r="G1477" t="s">
        <v>15</v>
      </c>
      <c r="H1477" t="s">
        <v>16</v>
      </c>
      <c r="I1477" s="3">
        <v>25</v>
      </c>
      <c r="J1477" s="2">
        <v>58</v>
      </c>
      <c r="K1477" s="3">
        <f t="shared" si="23"/>
        <v>1450</v>
      </c>
      <c r="L1477" s="3">
        <v>812</v>
      </c>
    </row>
    <row r="1478" spans="1:12" x14ac:dyDescent="0.25">
      <c r="A1478" t="s">
        <v>11</v>
      </c>
      <c r="B1478">
        <v>1197831</v>
      </c>
      <c r="C1478" s="1">
        <v>44261</v>
      </c>
      <c r="D1478" t="s">
        <v>12</v>
      </c>
      <c r="E1478" t="s">
        <v>66</v>
      </c>
      <c r="F1478" t="s">
        <v>67</v>
      </c>
      <c r="G1478" t="s">
        <v>41</v>
      </c>
      <c r="H1478" t="s">
        <v>22</v>
      </c>
      <c r="I1478" s="3">
        <v>37</v>
      </c>
      <c r="J1478" s="2">
        <v>75</v>
      </c>
      <c r="K1478" s="3">
        <f t="shared" si="23"/>
        <v>2775</v>
      </c>
      <c r="L1478" s="3">
        <v>1526.2500000000002</v>
      </c>
    </row>
    <row r="1479" spans="1:12" x14ac:dyDescent="0.25">
      <c r="A1479" t="s">
        <v>19</v>
      </c>
      <c r="B1479">
        <v>1197831</v>
      </c>
      <c r="C1479" s="1">
        <v>44261</v>
      </c>
      <c r="D1479" t="s">
        <v>12</v>
      </c>
      <c r="E1479" t="s">
        <v>66</v>
      </c>
      <c r="F1479" t="s">
        <v>67</v>
      </c>
      <c r="G1479" t="s">
        <v>41</v>
      </c>
      <c r="H1479" t="s">
        <v>38</v>
      </c>
      <c r="I1479" s="3">
        <v>28</v>
      </c>
      <c r="J1479" s="2">
        <v>156</v>
      </c>
      <c r="K1479" s="3">
        <f t="shared" si="23"/>
        <v>4368</v>
      </c>
      <c r="L1479" s="3">
        <v>2402.4</v>
      </c>
    </row>
    <row r="1480" spans="1:12" x14ac:dyDescent="0.25">
      <c r="A1480" t="s">
        <v>19</v>
      </c>
      <c r="B1480">
        <v>1185732</v>
      </c>
      <c r="C1480" s="1">
        <v>44261</v>
      </c>
      <c r="D1480" t="s">
        <v>29</v>
      </c>
      <c r="E1480" t="s">
        <v>48</v>
      </c>
      <c r="F1480" t="s">
        <v>49</v>
      </c>
      <c r="G1480" t="s">
        <v>41</v>
      </c>
      <c r="H1480" t="s">
        <v>17</v>
      </c>
      <c r="I1480" s="3">
        <v>34</v>
      </c>
      <c r="J1480" s="2">
        <v>44</v>
      </c>
      <c r="K1480" s="3">
        <f t="shared" si="23"/>
        <v>1496</v>
      </c>
      <c r="L1480" s="3">
        <v>822.80000000000007</v>
      </c>
    </row>
    <row r="1481" spans="1:12" x14ac:dyDescent="0.25">
      <c r="A1481" t="s">
        <v>19</v>
      </c>
      <c r="B1481">
        <v>1185732</v>
      </c>
      <c r="C1481" s="1">
        <v>44261</v>
      </c>
      <c r="D1481" t="s">
        <v>29</v>
      </c>
      <c r="E1481" t="s">
        <v>48</v>
      </c>
      <c r="F1481" t="s">
        <v>49</v>
      </c>
      <c r="G1481" t="s">
        <v>41</v>
      </c>
      <c r="H1481" t="s">
        <v>22</v>
      </c>
      <c r="I1481" s="3">
        <v>44</v>
      </c>
      <c r="J1481" s="2">
        <v>20</v>
      </c>
      <c r="K1481" s="3">
        <f t="shared" si="23"/>
        <v>880</v>
      </c>
      <c r="L1481" s="3">
        <v>484.00000000000006</v>
      </c>
    </row>
    <row r="1482" spans="1:12" x14ac:dyDescent="0.25">
      <c r="A1482" t="s">
        <v>27</v>
      </c>
      <c r="B1482">
        <v>1185732</v>
      </c>
      <c r="C1482" s="1">
        <v>44261</v>
      </c>
      <c r="D1482" t="s">
        <v>29</v>
      </c>
      <c r="E1482" t="s">
        <v>91</v>
      </c>
      <c r="F1482" t="s">
        <v>92</v>
      </c>
      <c r="G1482" t="s">
        <v>41</v>
      </c>
      <c r="H1482" t="s">
        <v>22</v>
      </c>
      <c r="I1482" s="3">
        <v>43</v>
      </c>
      <c r="J1482" s="2">
        <v>34</v>
      </c>
      <c r="K1482" s="3">
        <f t="shared" si="23"/>
        <v>1462</v>
      </c>
      <c r="L1482" s="3">
        <v>804.1</v>
      </c>
    </row>
    <row r="1483" spans="1:12" x14ac:dyDescent="0.25">
      <c r="A1483" t="s">
        <v>19</v>
      </c>
      <c r="B1483">
        <v>1197831</v>
      </c>
      <c r="C1483" s="1">
        <v>44261</v>
      </c>
      <c r="D1483" t="s">
        <v>12</v>
      </c>
      <c r="E1483" t="s">
        <v>66</v>
      </c>
      <c r="F1483" t="s">
        <v>67</v>
      </c>
      <c r="G1483" t="s">
        <v>41</v>
      </c>
      <c r="H1483" t="s">
        <v>17</v>
      </c>
      <c r="I1483" s="3">
        <v>36</v>
      </c>
      <c r="J1483" s="2">
        <v>169</v>
      </c>
      <c r="K1483" s="3">
        <f t="shared" si="23"/>
        <v>6084</v>
      </c>
      <c r="L1483" s="3">
        <v>3285.36</v>
      </c>
    </row>
    <row r="1484" spans="1:12" x14ac:dyDescent="0.25">
      <c r="A1484" t="s">
        <v>27</v>
      </c>
      <c r="B1484">
        <v>1185732</v>
      </c>
      <c r="C1484" s="1">
        <v>44261</v>
      </c>
      <c r="D1484" t="s">
        <v>29</v>
      </c>
      <c r="E1484" t="s">
        <v>91</v>
      </c>
      <c r="F1484" t="s">
        <v>92</v>
      </c>
      <c r="G1484" t="s">
        <v>41</v>
      </c>
      <c r="H1484" t="s">
        <v>38</v>
      </c>
      <c r="I1484" s="3">
        <v>32</v>
      </c>
      <c r="J1484" s="2">
        <v>144</v>
      </c>
      <c r="K1484" s="3">
        <f t="shared" si="23"/>
        <v>4608</v>
      </c>
      <c r="L1484" s="3">
        <v>2488.3200000000002</v>
      </c>
    </row>
    <row r="1485" spans="1:12" x14ac:dyDescent="0.25">
      <c r="A1485" t="s">
        <v>19</v>
      </c>
      <c r="B1485">
        <v>1197831</v>
      </c>
      <c r="C1485" s="1">
        <v>44261</v>
      </c>
      <c r="D1485" t="s">
        <v>12</v>
      </c>
      <c r="E1485" t="s">
        <v>66</v>
      </c>
      <c r="F1485" t="s">
        <v>67</v>
      </c>
      <c r="G1485" t="s">
        <v>15</v>
      </c>
      <c r="H1485" t="s">
        <v>37</v>
      </c>
      <c r="I1485" s="3">
        <v>26</v>
      </c>
      <c r="J1485" s="2">
        <v>112</v>
      </c>
      <c r="K1485" s="3">
        <f t="shared" si="23"/>
        <v>2912</v>
      </c>
      <c r="L1485" s="3">
        <v>1543.36</v>
      </c>
    </row>
    <row r="1486" spans="1:12" x14ac:dyDescent="0.25">
      <c r="A1486" t="s">
        <v>19</v>
      </c>
      <c r="B1486">
        <v>1185732</v>
      </c>
      <c r="C1486" s="1">
        <v>44261</v>
      </c>
      <c r="D1486" t="s">
        <v>29</v>
      </c>
      <c r="E1486" t="s">
        <v>48</v>
      </c>
      <c r="F1486" t="s">
        <v>49</v>
      </c>
      <c r="G1486" t="s">
        <v>15</v>
      </c>
      <c r="H1486" t="s">
        <v>37</v>
      </c>
      <c r="I1486" s="3">
        <v>20</v>
      </c>
      <c r="J1486" s="2">
        <v>8</v>
      </c>
      <c r="K1486" s="3">
        <f t="shared" si="23"/>
        <v>160</v>
      </c>
      <c r="L1486" s="3">
        <v>84.8</v>
      </c>
    </row>
    <row r="1487" spans="1:12" x14ac:dyDescent="0.25">
      <c r="A1487" t="s">
        <v>19</v>
      </c>
      <c r="B1487">
        <v>1185732</v>
      </c>
      <c r="C1487" s="1">
        <v>44261</v>
      </c>
      <c r="D1487" t="s">
        <v>29</v>
      </c>
      <c r="E1487" t="s">
        <v>48</v>
      </c>
      <c r="F1487" t="s">
        <v>49</v>
      </c>
      <c r="G1487" t="s">
        <v>15</v>
      </c>
      <c r="H1487" t="s">
        <v>35</v>
      </c>
      <c r="I1487" s="3">
        <v>17</v>
      </c>
      <c r="J1487" s="2">
        <v>56</v>
      </c>
      <c r="K1487" s="3">
        <f t="shared" si="23"/>
        <v>952</v>
      </c>
      <c r="L1487" s="3">
        <v>504.55999999999995</v>
      </c>
    </row>
    <row r="1488" spans="1:12" x14ac:dyDescent="0.25">
      <c r="A1488" t="s">
        <v>19</v>
      </c>
      <c r="B1488">
        <v>1197831</v>
      </c>
      <c r="C1488" s="1">
        <v>44261</v>
      </c>
      <c r="D1488" t="s">
        <v>12</v>
      </c>
      <c r="E1488" t="s">
        <v>66</v>
      </c>
      <c r="F1488" t="s">
        <v>67</v>
      </c>
      <c r="G1488" t="s">
        <v>41</v>
      </c>
      <c r="H1488" t="s">
        <v>35</v>
      </c>
      <c r="I1488" s="3">
        <v>28</v>
      </c>
      <c r="J1488" s="2">
        <v>113</v>
      </c>
      <c r="K1488" s="3">
        <f t="shared" si="23"/>
        <v>3164</v>
      </c>
      <c r="L1488" s="3">
        <v>1613.64</v>
      </c>
    </row>
    <row r="1489" spans="1:12" x14ac:dyDescent="0.25">
      <c r="A1489" t="s">
        <v>27</v>
      </c>
      <c r="B1489">
        <v>1185732</v>
      </c>
      <c r="C1489" s="1">
        <v>44261</v>
      </c>
      <c r="D1489" t="s">
        <v>29</v>
      </c>
      <c r="E1489" t="s">
        <v>91</v>
      </c>
      <c r="F1489" t="s">
        <v>92</v>
      </c>
      <c r="G1489" t="s">
        <v>41</v>
      </c>
      <c r="H1489" t="s">
        <v>17</v>
      </c>
      <c r="I1489" s="3">
        <v>32</v>
      </c>
      <c r="J1489" s="2">
        <v>58</v>
      </c>
      <c r="K1489" s="3">
        <f t="shared" si="23"/>
        <v>1856</v>
      </c>
      <c r="L1489" s="3">
        <v>946.56000000000006</v>
      </c>
    </row>
    <row r="1490" spans="1:12" x14ac:dyDescent="0.25">
      <c r="A1490" t="s">
        <v>27</v>
      </c>
      <c r="B1490">
        <v>1185732</v>
      </c>
      <c r="C1490" s="1">
        <v>44261</v>
      </c>
      <c r="D1490" t="s">
        <v>29</v>
      </c>
      <c r="E1490" t="s">
        <v>91</v>
      </c>
      <c r="F1490" t="s">
        <v>92</v>
      </c>
      <c r="G1490" t="s">
        <v>41</v>
      </c>
      <c r="H1490" t="s">
        <v>16</v>
      </c>
      <c r="I1490" s="3">
        <v>32</v>
      </c>
      <c r="J1490" s="2">
        <v>61</v>
      </c>
      <c r="K1490" s="3">
        <f t="shared" si="23"/>
        <v>1952</v>
      </c>
      <c r="L1490" s="3">
        <v>976</v>
      </c>
    </row>
    <row r="1491" spans="1:12" x14ac:dyDescent="0.25">
      <c r="A1491" t="s">
        <v>19</v>
      </c>
      <c r="B1491">
        <v>1185732</v>
      </c>
      <c r="C1491" s="1">
        <v>44261</v>
      </c>
      <c r="D1491" t="s">
        <v>29</v>
      </c>
      <c r="E1491" t="s">
        <v>48</v>
      </c>
      <c r="F1491" t="s">
        <v>49</v>
      </c>
      <c r="G1491" t="s">
        <v>41</v>
      </c>
      <c r="H1491" t="s">
        <v>38</v>
      </c>
      <c r="I1491" s="3">
        <v>34</v>
      </c>
      <c r="J1491" s="2">
        <v>111</v>
      </c>
      <c r="K1491" s="3">
        <f t="shared" si="23"/>
        <v>3774</v>
      </c>
      <c r="L1491" s="3">
        <v>1887</v>
      </c>
    </row>
    <row r="1492" spans="1:12" x14ac:dyDescent="0.25">
      <c r="A1492" t="s">
        <v>19</v>
      </c>
      <c r="B1492">
        <v>1185732</v>
      </c>
      <c r="C1492" s="1">
        <v>44261</v>
      </c>
      <c r="D1492" t="s">
        <v>29</v>
      </c>
      <c r="E1492" t="s">
        <v>48</v>
      </c>
      <c r="F1492" t="s">
        <v>49</v>
      </c>
      <c r="G1492" t="s">
        <v>41</v>
      </c>
      <c r="H1492" t="s">
        <v>37</v>
      </c>
      <c r="I1492" s="3">
        <v>29</v>
      </c>
      <c r="J1492" s="2">
        <v>8</v>
      </c>
      <c r="K1492" s="3">
        <f t="shared" si="23"/>
        <v>232</v>
      </c>
      <c r="L1492" s="3">
        <v>116</v>
      </c>
    </row>
    <row r="1493" spans="1:12" x14ac:dyDescent="0.25">
      <c r="A1493" t="s">
        <v>27</v>
      </c>
      <c r="B1493">
        <v>1185732</v>
      </c>
      <c r="C1493" s="1">
        <v>44261</v>
      </c>
      <c r="D1493" t="s">
        <v>29</v>
      </c>
      <c r="E1493" t="s">
        <v>91</v>
      </c>
      <c r="F1493" t="s">
        <v>92</v>
      </c>
      <c r="G1493" t="s">
        <v>41</v>
      </c>
      <c r="H1493" t="s">
        <v>37</v>
      </c>
      <c r="I1493" s="3">
        <v>27</v>
      </c>
      <c r="J1493" s="2">
        <v>22</v>
      </c>
      <c r="K1493" s="3">
        <f t="shared" si="23"/>
        <v>594</v>
      </c>
      <c r="L1493" s="3">
        <v>285.12</v>
      </c>
    </row>
    <row r="1494" spans="1:12" x14ac:dyDescent="0.25">
      <c r="A1494" t="s">
        <v>19</v>
      </c>
      <c r="B1494">
        <v>1185732</v>
      </c>
      <c r="C1494" s="1">
        <v>44261</v>
      </c>
      <c r="D1494" t="s">
        <v>29</v>
      </c>
      <c r="E1494" t="s">
        <v>48</v>
      </c>
      <c r="F1494" t="s">
        <v>49</v>
      </c>
      <c r="G1494" t="s">
        <v>41</v>
      </c>
      <c r="H1494" t="s">
        <v>35</v>
      </c>
      <c r="I1494" s="3">
        <v>23</v>
      </c>
      <c r="J1494" s="2">
        <v>51</v>
      </c>
      <c r="K1494" s="3">
        <f t="shared" si="23"/>
        <v>1173</v>
      </c>
      <c r="L1494" s="3">
        <v>563.04</v>
      </c>
    </row>
    <row r="1495" spans="1:12" x14ac:dyDescent="0.25">
      <c r="A1495" t="s">
        <v>27</v>
      </c>
      <c r="B1495">
        <v>1185732</v>
      </c>
      <c r="C1495" s="1">
        <v>44261</v>
      </c>
      <c r="D1495" t="s">
        <v>29</v>
      </c>
      <c r="E1495" t="s">
        <v>91</v>
      </c>
      <c r="F1495" t="s">
        <v>92</v>
      </c>
      <c r="G1495" t="s">
        <v>41</v>
      </c>
      <c r="H1495" t="s">
        <v>35</v>
      </c>
      <c r="I1495" s="3">
        <v>24</v>
      </c>
      <c r="J1495" s="2">
        <v>59</v>
      </c>
      <c r="K1495" s="3">
        <f t="shared" si="23"/>
        <v>1416</v>
      </c>
      <c r="L1495" s="3">
        <v>665.52</v>
      </c>
    </row>
    <row r="1496" spans="1:12" x14ac:dyDescent="0.25">
      <c r="A1496" t="s">
        <v>11</v>
      </c>
      <c r="B1496">
        <v>1197831</v>
      </c>
      <c r="C1496" s="1">
        <v>44261</v>
      </c>
      <c r="D1496" t="s">
        <v>12</v>
      </c>
      <c r="E1496" t="s">
        <v>66</v>
      </c>
      <c r="F1496" t="s">
        <v>67</v>
      </c>
      <c r="G1496" t="s">
        <v>15</v>
      </c>
      <c r="H1496" t="s">
        <v>16</v>
      </c>
      <c r="I1496" s="3">
        <v>25</v>
      </c>
      <c r="J1496" s="2">
        <v>124</v>
      </c>
      <c r="K1496" s="3">
        <f t="shared" si="23"/>
        <v>3100</v>
      </c>
      <c r="L1496" s="3">
        <v>1457</v>
      </c>
    </row>
    <row r="1497" spans="1:12" x14ac:dyDescent="0.25">
      <c r="A1497" t="s">
        <v>19</v>
      </c>
      <c r="B1497">
        <v>1185732</v>
      </c>
      <c r="C1497" s="1">
        <v>44261</v>
      </c>
      <c r="D1497" t="s">
        <v>29</v>
      </c>
      <c r="E1497" t="s">
        <v>48</v>
      </c>
      <c r="F1497" t="s">
        <v>49</v>
      </c>
      <c r="G1497" t="s">
        <v>41</v>
      </c>
      <c r="H1497" t="s">
        <v>16</v>
      </c>
      <c r="I1497" s="3">
        <v>32</v>
      </c>
      <c r="J1497" s="2">
        <v>51</v>
      </c>
      <c r="K1497" s="3">
        <f t="shared" si="23"/>
        <v>1632</v>
      </c>
      <c r="L1497" s="3">
        <v>750.71999999999991</v>
      </c>
    </row>
    <row r="1498" spans="1:12" x14ac:dyDescent="0.25">
      <c r="A1498" t="s">
        <v>19</v>
      </c>
      <c r="B1498">
        <v>1197831</v>
      </c>
      <c r="C1498" s="1">
        <v>44261</v>
      </c>
      <c r="D1498" t="s">
        <v>12</v>
      </c>
      <c r="E1498" t="s">
        <v>66</v>
      </c>
      <c r="F1498" t="s">
        <v>67</v>
      </c>
      <c r="G1498" t="s">
        <v>41</v>
      </c>
      <c r="H1498" t="s">
        <v>37</v>
      </c>
      <c r="I1498" s="3">
        <v>33</v>
      </c>
      <c r="J1498" s="2">
        <v>105</v>
      </c>
      <c r="K1498" s="3">
        <f t="shared" si="23"/>
        <v>3465</v>
      </c>
      <c r="L1498" s="3">
        <v>1455.2999999999997</v>
      </c>
    </row>
    <row r="1499" spans="1:12" x14ac:dyDescent="0.25">
      <c r="A1499" t="s">
        <v>27</v>
      </c>
      <c r="B1499">
        <v>1189833</v>
      </c>
      <c r="C1499" s="1">
        <v>44261</v>
      </c>
      <c r="D1499" t="s">
        <v>57</v>
      </c>
      <c r="E1499" t="s">
        <v>58</v>
      </c>
      <c r="F1499" t="s">
        <v>59</v>
      </c>
      <c r="G1499" t="s">
        <v>41</v>
      </c>
      <c r="H1499" t="s">
        <v>35</v>
      </c>
      <c r="I1499" s="3">
        <v>42</v>
      </c>
      <c r="J1499" s="2">
        <v>133</v>
      </c>
      <c r="K1499" s="3">
        <f t="shared" si="23"/>
        <v>5586</v>
      </c>
      <c r="L1499" s="3">
        <v>2234.4</v>
      </c>
    </row>
    <row r="1500" spans="1:12" x14ac:dyDescent="0.25">
      <c r="A1500" t="s">
        <v>11</v>
      </c>
      <c r="B1500">
        <v>1197831</v>
      </c>
      <c r="C1500" s="1">
        <v>44261</v>
      </c>
      <c r="D1500" t="s">
        <v>12</v>
      </c>
      <c r="E1500" t="s">
        <v>66</v>
      </c>
      <c r="F1500" t="s">
        <v>67</v>
      </c>
      <c r="G1500" t="s">
        <v>41</v>
      </c>
      <c r="H1500" t="s">
        <v>16</v>
      </c>
      <c r="I1500" s="3">
        <v>33</v>
      </c>
      <c r="J1500" s="2">
        <v>116</v>
      </c>
      <c r="K1500" s="3">
        <f t="shared" si="23"/>
        <v>3828</v>
      </c>
      <c r="L1500" s="3">
        <v>1339.7999999999997</v>
      </c>
    </row>
    <row r="1501" spans="1:12" x14ac:dyDescent="0.25">
      <c r="A1501" t="s">
        <v>27</v>
      </c>
      <c r="B1501">
        <v>1189833</v>
      </c>
      <c r="C1501" s="1">
        <v>44262</v>
      </c>
      <c r="D1501" t="s">
        <v>57</v>
      </c>
      <c r="E1501" t="s">
        <v>58</v>
      </c>
      <c r="F1501" t="s">
        <v>59</v>
      </c>
      <c r="G1501" t="s">
        <v>15</v>
      </c>
      <c r="H1501" t="s">
        <v>37</v>
      </c>
      <c r="I1501" s="3">
        <v>45</v>
      </c>
      <c r="J1501" s="2">
        <v>475</v>
      </c>
      <c r="K1501" s="3">
        <f t="shared" si="23"/>
        <v>21375</v>
      </c>
      <c r="L1501" s="3">
        <v>12825</v>
      </c>
    </row>
    <row r="1502" spans="1:12" x14ac:dyDescent="0.25">
      <c r="A1502" t="s">
        <v>27</v>
      </c>
      <c r="B1502">
        <v>1189833</v>
      </c>
      <c r="C1502" s="1">
        <v>44262</v>
      </c>
      <c r="D1502" t="s">
        <v>57</v>
      </c>
      <c r="E1502" t="s">
        <v>58</v>
      </c>
      <c r="F1502" t="s">
        <v>59</v>
      </c>
      <c r="G1502" t="s">
        <v>41</v>
      </c>
      <c r="H1502" t="s">
        <v>37</v>
      </c>
      <c r="I1502" s="3">
        <v>43</v>
      </c>
      <c r="J1502" s="2">
        <v>143</v>
      </c>
      <c r="K1502" s="3">
        <f t="shared" si="23"/>
        <v>6149</v>
      </c>
      <c r="L1502" s="3">
        <v>3013.0099999999998</v>
      </c>
    </row>
    <row r="1503" spans="1:12" x14ac:dyDescent="0.25">
      <c r="A1503" t="s">
        <v>11</v>
      </c>
      <c r="B1503">
        <v>1185732</v>
      </c>
      <c r="C1503" s="1">
        <v>44263</v>
      </c>
      <c r="D1503" t="s">
        <v>29</v>
      </c>
      <c r="E1503" t="s">
        <v>60</v>
      </c>
      <c r="F1503" t="s">
        <v>61</v>
      </c>
      <c r="G1503" t="s">
        <v>18</v>
      </c>
      <c r="H1503" t="s">
        <v>35</v>
      </c>
      <c r="I1503" s="3">
        <v>35</v>
      </c>
      <c r="J1503" s="2">
        <v>575</v>
      </c>
      <c r="K1503" s="3">
        <f t="shared" si="23"/>
        <v>20125</v>
      </c>
      <c r="L1503" s="3">
        <v>15093.75</v>
      </c>
    </row>
    <row r="1504" spans="1:12" x14ac:dyDescent="0.25">
      <c r="A1504" t="s">
        <v>11</v>
      </c>
      <c r="B1504">
        <v>1185732</v>
      </c>
      <c r="C1504" s="1">
        <v>44263</v>
      </c>
      <c r="D1504" t="s">
        <v>29</v>
      </c>
      <c r="E1504" t="s">
        <v>60</v>
      </c>
      <c r="F1504" t="s">
        <v>61</v>
      </c>
      <c r="G1504" t="s">
        <v>18</v>
      </c>
      <c r="H1504" t="s">
        <v>37</v>
      </c>
      <c r="I1504" s="3">
        <v>40</v>
      </c>
      <c r="J1504" s="2">
        <v>425</v>
      </c>
      <c r="K1504" s="3">
        <f t="shared" si="23"/>
        <v>17000</v>
      </c>
      <c r="L1504" s="3">
        <v>11900</v>
      </c>
    </row>
    <row r="1505" spans="1:12" x14ac:dyDescent="0.25">
      <c r="A1505" t="s">
        <v>26</v>
      </c>
      <c r="B1505">
        <v>1185732</v>
      </c>
      <c r="C1505" s="1">
        <v>44263</v>
      </c>
      <c r="D1505" t="s">
        <v>57</v>
      </c>
      <c r="E1505" t="s">
        <v>76</v>
      </c>
      <c r="F1505" t="s">
        <v>77</v>
      </c>
      <c r="G1505" t="s">
        <v>41</v>
      </c>
      <c r="H1505" t="s">
        <v>17</v>
      </c>
      <c r="I1505" s="3">
        <v>30.000000000000004</v>
      </c>
      <c r="J1505" s="2">
        <v>200</v>
      </c>
      <c r="K1505" s="3">
        <f t="shared" si="23"/>
        <v>6000.0000000000009</v>
      </c>
      <c r="L1505" s="3">
        <v>4200.0000000000009</v>
      </c>
    </row>
    <row r="1506" spans="1:12" x14ac:dyDescent="0.25">
      <c r="A1506" t="s">
        <v>26</v>
      </c>
      <c r="B1506">
        <v>1185732</v>
      </c>
      <c r="C1506" s="1">
        <v>44263</v>
      </c>
      <c r="D1506" t="s">
        <v>57</v>
      </c>
      <c r="E1506" t="s">
        <v>76</v>
      </c>
      <c r="F1506" t="s">
        <v>77</v>
      </c>
      <c r="G1506" t="s">
        <v>41</v>
      </c>
      <c r="H1506" t="s">
        <v>35</v>
      </c>
      <c r="I1506" s="3">
        <v>20.000000000000004</v>
      </c>
      <c r="J1506" s="2">
        <v>225</v>
      </c>
      <c r="K1506" s="3">
        <f t="shared" si="23"/>
        <v>4500.0000000000009</v>
      </c>
      <c r="L1506" s="3">
        <v>3150.0000000000009</v>
      </c>
    </row>
    <row r="1507" spans="1:12" x14ac:dyDescent="0.25">
      <c r="A1507" t="s">
        <v>26</v>
      </c>
      <c r="B1507">
        <v>1185732</v>
      </c>
      <c r="C1507" s="1">
        <v>44263</v>
      </c>
      <c r="D1507" t="s">
        <v>57</v>
      </c>
      <c r="E1507" t="s">
        <v>76</v>
      </c>
      <c r="F1507" t="s">
        <v>77</v>
      </c>
      <c r="G1507" t="s">
        <v>41</v>
      </c>
      <c r="H1507" t="s">
        <v>37</v>
      </c>
      <c r="I1507" s="3">
        <v>24.999999999999996</v>
      </c>
      <c r="J1507" s="2">
        <v>75</v>
      </c>
      <c r="K1507" s="3">
        <f t="shared" si="23"/>
        <v>1874.9999999999998</v>
      </c>
      <c r="L1507" s="3">
        <v>1312.4999999999995</v>
      </c>
    </row>
    <row r="1508" spans="1:12" x14ac:dyDescent="0.25">
      <c r="A1508" t="s">
        <v>26</v>
      </c>
      <c r="B1508">
        <v>1185732</v>
      </c>
      <c r="C1508" s="1">
        <v>44263</v>
      </c>
      <c r="D1508" t="s">
        <v>57</v>
      </c>
      <c r="E1508" t="s">
        <v>76</v>
      </c>
      <c r="F1508" t="s">
        <v>77</v>
      </c>
      <c r="G1508" t="s">
        <v>41</v>
      </c>
      <c r="H1508" t="s">
        <v>38</v>
      </c>
      <c r="I1508" s="3">
        <v>30.000000000000004</v>
      </c>
      <c r="J1508" s="2">
        <v>495</v>
      </c>
      <c r="K1508" s="3">
        <f t="shared" si="23"/>
        <v>14850.000000000002</v>
      </c>
      <c r="L1508" s="3">
        <v>9652.5000000000036</v>
      </c>
    </row>
    <row r="1509" spans="1:12" x14ac:dyDescent="0.25">
      <c r="A1509" t="s">
        <v>11</v>
      </c>
      <c r="B1509">
        <v>1185732</v>
      </c>
      <c r="C1509" s="1">
        <v>44263</v>
      </c>
      <c r="D1509" t="s">
        <v>29</v>
      </c>
      <c r="E1509" t="s">
        <v>60</v>
      </c>
      <c r="F1509" t="s">
        <v>61</v>
      </c>
      <c r="G1509" t="s">
        <v>18</v>
      </c>
      <c r="H1509" t="s">
        <v>17</v>
      </c>
      <c r="I1509" s="3">
        <v>45</v>
      </c>
      <c r="J1509" s="2">
        <v>550</v>
      </c>
      <c r="K1509" s="3">
        <f t="shared" si="23"/>
        <v>24750</v>
      </c>
      <c r="L1509" s="3">
        <v>16087.5</v>
      </c>
    </row>
    <row r="1510" spans="1:12" x14ac:dyDescent="0.25">
      <c r="A1510" t="s">
        <v>11</v>
      </c>
      <c r="B1510">
        <v>1185732</v>
      </c>
      <c r="C1510" s="1">
        <v>44263</v>
      </c>
      <c r="D1510" t="s">
        <v>29</v>
      </c>
      <c r="E1510" t="s">
        <v>60</v>
      </c>
      <c r="F1510" t="s">
        <v>61</v>
      </c>
      <c r="G1510" t="s">
        <v>18</v>
      </c>
      <c r="H1510" t="s">
        <v>22</v>
      </c>
      <c r="I1510" s="3">
        <v>55.000000000000007</v>
      </c>
      <c r="J1510" s="2">
        <v>475</v>
      </c>
      <c r="K1510" s="3">
        <f t="shared" si="23"/>
        <v>26125.000000000004</v>
      </c>
      <c r="L1510" s="3">
        <v>16981.250000000004</v>
      </c>
    </row>
    <row r="1511" spans="1:12" x14ac:dyDescent="0.25">
      <c r="A1511" t="s">
        <v>26</v>
      </c>
      <c r="B1511">
        <v>1185732</v>
      </c>
      <c r="C1511" s="1">
        <v>44263</v>
      </c>
      <c r="D1511" t="s">
        <v>57</v>
      </c>
      <c r="E1511" t="s">
        <v>76</v>
      </c>
      <c r="F1511" t="s">
        <v>77</v>
      </c>
      <c r="G1511" t="s">
        <v>41</v>
      </c>
      <c r="H1511" t="s">
        <v>22</v>
      </c>
      <c r="I1511" s="3">
        <v>40</v>
      </c>
      <c r="J1511" s="2">
        <v>125</v>
      </c>
      <c r="K1511" s="3">
        <f t="shared" si="23"/>
        <v>5000</v>
      </c>
      <c r="L1511" s="3">
        <v>3250</v>
      </c>
    </row>
    <row r="1512" spans="1:12" x14ac:dyDescent="0.25">
      <c r="A1512" t="s">
        <v>26</v>
      </c>
      <c r="B1512">
        <v>1185732</v>
      </c>
      <c r="C1512" s="1">
        <v>44263</v>
      </c>
      <c r="D1512" t="s">
        <v>57</v>
      </c>
      <c r="E1512" t="s">
        <v>76</v>
      </c>
      <c r="F1512" t="s">
        <v>77</v>
      </c>
      <c r="G1512" t="s">
        <v>41</v>
      </c>
      <c r="H1512" t="s">
        <v>16</v>
      </c>
      <c r="I1512" s="3">
        <v>30.000000000000004</v>
      </c>
      <c r="J1512" s="2">
        <v>225</v>
      </c>
      <c r="K1512" s="3">
        <f t="shared" si="23"/>
        <v>6750.0000000000009</v>
      </c>
      <c r="L1512" s="3">
        <v>4050.0000000000009</v>
      </c>
    </row>
    <row r="1513" spans="1:12" x14ac:dyDescent="0.25">
      <c r="A1513" t="s">
        <v>11</v>
      </c>
      <c r="B1513">
        <v>1185732</v>
      </c>
      <c r="C1513" s="1">
        <v>44263</v>
      </c>
      <c r="D1513" t="s">
        <v>29</v>
      </c>
      <c r="E1513" t="s">
        <v>60</v>
      </c>
      <c r="F1513" t="s">
        <v>61</v>
      </c>
      <c r="G1513" t="s">
        <v>18</v>
      </c>
      <c r="H1513" t="s">
        <v>38</v>
      </c>
      <c r="I1513" s="3">
        <v>45</v>
      </c>
      <c r="J1513" s="2">
        <v>870</v>
      </c>
      <c r="K1513" s="3">
        <f t="shared" si="23"/>
        <v>39150</v>
      </c>
      <c r="L1513" s="3">
        <v>21532.5</v>
      </c>
    </row>
    <row r="1514" spans="1:12" x14ac:dyDescent="0.25">
      <c r="A1514" t="s">
        <v>11</v>
      </c>
      <c r="B1514">
        <v>1185732</v>
      </c>
      <c r="C1514" s="1">
        <v>44263</v>
      </c>
      <c r="D1514" t="s">
        <v>29</v>
      </c>
      <c r="E1514" t="s">
        <v>60</v>
      </c>
      <c r="F1514" t="s">
        <v>61</v>
      </c>
      <c r="G1514" t="s">
        <v>18</v>
      </c>
      <c r="H1514" t="s">
        <v>16</v>
      </c>
      <c r="I1514" s="3">
        <v>45</v>
      </c>
      <c r="J1514" s="2">
        <v>575</v>
      </c>
      <c r="K1514" s="3">
        <f t="shared" si="23"/>
        <v>25875</v>
      </c>
      <c r="L1514" s="3">
        <v>12937.5</v>
      </c>
    </row>
    <row r="1515" spans="1:12" x14ac:dyDescent="0.25">
      <c r="A1515" t="s">
        <v>27</v>
      </c>
      <c r="B1515">
        <v>1189833</v>
      </c>
      <c r="C1515" s="1">
        <v>44263</v>
      </c>
      <c r="D1515" t="s">
        <v>57</v>
      </c>
      <c r="E1515" t="s">
        <v>58</v>
      </c>
      <c r="F1515" t="s">
        <v>59</v>
      </c>
      <c r="G1515" t="s">
        <v>15</v>
      </c>
      <c r="H1515" t="s">
        <v>22</v>
      </c>
      <c r="I1515" s="3">
        <v>54.999999999999993</v>
      </c>
      <c r="J1515" s="2">
        <v>400</v>
      </c>
      <c r="K1515" s="3">
        <f t="shared" si="23"/>
        <v>21999.999999999996</v>
      </c>
      <c r="L1515" s="3">
        <v>8799.9999999999964</v>
      </c>
    </row>
    <row r="1516" spans="1:12" x14ac:dyDescent="0.25">
      <c r="A1516" t="s">
        <v>11</v>
      </c>
      <c r="B1516">
        <v>1185732</v>
      </c>
      <c r="C1516" s="1">
        <v>44263</v>
      </c>
      <c r="D1516" t="s">
        <v>29</v>
      </c>
      <c r="E1516" t="s">
        <v>60</v>
      </c>
      <c r="F1516" t="s">
        <v>61</v>
      </c>
      <c r="G1516" t="s">
        <v>41</v>
      </c>
      <c r="H1516" t="s">
        <v>35</v>
      </c>
      <c r="I1516" s="3">
        <v>33</v>
      </c>
      <c r="J1516" s="2">
        <v>161</v>
      </c>
      <c r="K1516" s="3">
        <f t="shared" si="23"/>
        <v>5313</v>
      </c>
      <c r="L1516" s="3">
        <v>3400.32</v>
      </c>
    </row>
    <row r="1517" spans="1:12" x14ac:dyDescent="0.25">
      <c r="A1517" t="s">
        <v>11</v>
      </c>
      <c r="B1517">
        <v>1185732</v>
      </c>
      <c r="C1517" s="1">
        <v>44263</v>
      </c>
      <c r="D1517" t="s">
        <v>29</v>
      </c>
      <c r="E1517" t="s">
        <v>60</v>
      </c>
      <c r="F1517" t="s">
        <v>61</v>
      </c>
      <c r="G1517" t="s">
        <v>41</v>
      </c>
      <c r="H1517" t="s">
        <v>37</v>
      </c>
      <c r="I1517" s="3">
        <v>39</v>
      </c>
      <c r="J1517" s="2">
        <v>106</v>
      </c>
      <c r="K1517" s="3">
        <f t="shared" si="23"/>
        <v>4134</v>
      </c>
      <c r="L1517" s="3">
        <v>2439.0600000000004</v>
      </c>
    </row>
    <row r="1518" spans="1:12" x14ac:dyDescent="0.25">
      <c r="A1518" t="s">
        <v>26</v>
      </c>
      <c r="B1518">
        <v>1185732</v>
      </c>
      <c r="C1518" s="1">
        <v>44263</v>
      </c>
      <c r="D1518" t="s">
        <v>57</v>
      </c>
      <c r="E1518" t="s">
        <v>76</v>
      </c>
      <c r="F1518" t="s">
        <v>77</v>
      </c>
      <c r="G1518" t="s">
        <v>41</v>
      </c>
      <c r="H1518" t="s">
        <v>35</v>
      </c>
      <c r="I1518" s="3">
        <v>19</v>
      </c>
      <c r="J1518" s="2">
        <v>56</v>
      </c>
      <c r="K1518" s="3">
        <f t="shared" si="23"/>
        <v>1064</v>
      </c>
      <c r="L1518" s="3">
        <v>617.12</v>
      </c>
    </row>
    <row r="1519" spans="1:12" x14ac:dyDescent="0.25">
      <c r="A1519" t="s">
        <v>26</v>
      </c>
      <c r="B1519">
        <v>1185732</v>
      </c>
      <c r="C1519" s="1">
        <v>44263</v>
      </c>
      <c r="D1519" t="s">
        <v>57</v>
      </c>
      <c r="E1519" t="s">
        <v>76</v>
      </c>
      <c r="F1519" t="s">
        <v>77</v>
      </c>
      <c r="G1519" t="s">
        <v>41</v>
      </c>
      <c r="H1519" t="s">
        <v>37</v>
      </c>
      <c r="I1519" s="3">
        <v>25</v>
      </c>
      <c r="J1519" s="2">
        <v>22</v>
      </c>
      <c r="K1519" s="3">
        <f t="shared" si="23"/>
        <v>550</v>
      </c>
      <c r="L1519" s="3">
        <v>319</v>
      </c>
    </row>
    <row r="1520" spans="1:12" x14ac:dyDescent="0.25">
      <c r="A1520" t="s">
        <v>26</v>
      </c>
      <c r="B1520">
        <v>1185732</v>
      </c>
      <c r="C1520" s="1">
        <v>44263</v>
      </c>
      <c r="D1520" t="s">
        <v>57</v>
      </c>
      <c r="E1520" t="s">
        <v>76</v>
      </c>
      <c r="F1520" t="s">
        <v>77</v>
      </c>
      <c r="G1520" t="s">
        <v>41</v>
      </c>
      <c r="H1520" t="s">
        <v>17</v>
      </c>
      <c r="I1520" s="3">
        <v>27</v>
      </c>
      <c r="J1520" s="2">
        <v>58</v>
      </c>
      <c r="K1520" s="3">
        <f t="shared" si="23"/>
        <v>1566</v>
      </c>
      <c r="L1520" s="3">
        <v>908.28</v>
      </c>
    </row>
    <row r="1521" spans="1:12" x14ac:dyDescent="0.25">
      <c r="A1521" t="s">
        <v>11</v>
      </c>
      <c r="B1521">
        <v>1185732</v>
      </c>
      <c r="C1521" s="1">
        <v>44263</v>
      </c>
      <c r="D1521" t="s">
        <v>29</v>
      </c>
      <c r="E1521" t="s">
        <v>60</v>
      </c>
      <c r="F1521" t="s">
        <v>61</v>
      </c>
      <c r="G1521" t="s">
        <v>41</v>
      </c>
      <c r="H1521" t="s">
        <v>17</v>
      </c>
      <c r="I1521" s="3">
        <v>44</v>
      </c>
      <c r="J1521" s="2">
        <v>165</v>
      </c>
      <c r="K1521" s="3">
        <f t="shared" si="23"/>
        <v>7260</v>
      </c>
      <c r="L1521" s="3">
        <v>3920.4</v>
      </c>
    </row>
    <row r="1522" spans="1:12" x14ac:dyDescent="0.25">
      <c r="A1522" t="s">
        <v>26</v>
      </c>
      <c r="B1522">
        <v>1185732</v>
      </c>
      <c r="C1522" s="1">
        <v>44263</v>
      </c>
      <c r="D1522" t="s">
        <v>57</v>
      </c>
      <c r="E1522" t="s">
        <v>76</v>
      </c>
      <c r="F1522" t="s">
        <v>77</v>
      </c>
      <c r="G1522" t="s">
        <v>41</v>
      </c>
      <c r="H1522" t="s">
        <v>38</v>
      </c>
      <c r="I1522" s="3">
        <v>29</v>
      </c>
      <c r="J1522" s="2">
        <v>134</v>
      </c>
      <c r="K1522" s="3">
        <f t="shared" si="23"/>
        <v>3886</v>
      </c>
      <c r="L1522" s="3">
        <v>2059.58</v>
      </c>
    </row>
    <row r="1523" spans="1:12" x14ac:dyDescent="0.25">
      <c r="A1523" t="s">
        <v>11</v>
      </c>
      <c r="B1523">
        <v>1185732</v>
      </c>
      <c r="C1523" s="1">
        <v>44263</v>
      </c>
      <c r="D1523" t="s">
        <v>29</v>
      </c>
      <c r="E1523" t="s">
        <v>60</v>
      </c>
      <c r="F1523" t="s">
        <v>61</v>
      </c>
      <c r="G1523" t="s">
        <v>41</v>
      </c>
      <c r="H1523" t="s">
        <v>22</v>
      </c>
      <c r="I1523" s="3">
        <v>51</v>
      </c>
      <c r="J1523" s="2">
        <v>133</v>
      </c>
      <c r="K1523" s="3">
        <f t="shared" si="23"/>
        <v>6783</v>
      </c>
      <c r="L1523" s="3">
        <v>3459.33</v>
      </c>
    </row>
    <row r="1524" spans="1:12" x14ac:dyDescent="0.25">
      <c r="A1524" t="s">
        <v>26</v>
      </c>
      <c r="B1524">
        <v>1185732</v>
      </c>
      <c r="C1524" s="1">
        <v>44263</v>
      </c>
      <c r="D1524" t="s">
        <v>57</v>
      </c>
      <c r="E1524" t="s">
        <v>76</v>
      </c>
      <c r="F1524" t="s">
        <v>77</v>
      </c>
      <c r="G1524" t="s">
        <v>41</v>
      </c>
      <c r="H1524" t="s">
        <v>22</v>
      </c>
      <c r="I1524" s="3">
        <v>36</v>
      </c>
      <c r="J1524" s="2">
        <v>36</v>
      </c>
      <c r="K1524" s="3">
        <f t="shared" si="23"/>
        <v>1296</v>
      </c>
      <c r="L1524" s="3">
        <v>648</v>
      </c>
    </row>
    <row r="1525" spans="1:12" x14ac:dyDescent="0.25">
      <c r="A1525" t="s">
        <v>26</v>
      </c>
      <c r="B1525">
        <v>1185732</v>
      </c>
      <c r="C1525" s="1">
        <v>44263</v>
      </c>
      <c r="D1525" t="s">
        <v>57</v>
      </c>
      <c r="E1525" t="s">
        <v>76</v>
      </c>
      <c r="F1525" t="s">
        <v>77</v>
      </c>
      <c r="G1525" t="s">
        <v>41</v>
      </c>
      <c r="H1525" t="s">
        <v>16</v>
      </c>
      <c r="I1525" s="3">
        <v>28</v>
      </c>
      <c r="J1525" s="2">
        <v>63</v>
      </c>
      <c r="K1525" s="3">
        <f t="shared" si="23"/>
        <v>1764</v>
      </c>
      <c r="L1525" s="3">
        <v>846.71999999999991</v>
      </c>
    </row>
    <row r="1526" spans="1:12" x14ac:dyDescent="0.25">
      <c r="A1526" t="s">
        <v>11</v>
      </c>
      <c r="B1526">
        <v>1185732</v>
      </c>
      <c r="C1526" s="1">
        <v>44263</v>
      </c>
      <c r="D1526" t="s">
        <v>29</v>
      </c>
      <c r="E1526" t="s">
        <v>60</v>
      </c>
      <c r="F1526" t="s">
        <v>61</v>
      </c>
      <c r="G1526" t="s">
        <v>41</v>
      </c>
      <c r="H1526" t="s">
        <v>38</v>
      </c>
      <c r="I1526" s="3">
        <v>44</v>
      </c>
      <c r="J1526" s="2">
        <v>252</v>
      </c>
      <c r="K1526" s="3">
        <f t="shared" si="23"/>
        <v>11088</v>
      </c>
      <c r="L1526" s="3">
        <v>4546.079999999999</v>
      </c>
    </row>
    <row r="1527" spans="1:12" x14ac:dyDescent="0.25">
      <c r="A1527" t="s">
        <v>11</v>
      </c>
      <c r="B1527">
        <v>1185732</v>
      </c>
      <c r="C1527" s="1">
        <v>44263</v>
      </c>
      <c r="D1527" t="s">
        <v>29</v>
      </c>
      <c r="E1527" t="s">
        <v>60</v>
      </c>
      <c r="F1527" t="s">
        <v>61</v>
      </c>
      <c r="G1527" t="s">
        <v>41</v>
      </c>
      <c r="H1527" t="s">
        <v>16</v>
      </c>
      <c r="I1527" s="3">
        <v>43</v>
      </c>
      <c r="J1527" s="2">
        <v>161</v>
      </c>
      <c r="K1527" s="3">
        <f t="shared" si="23"/>
        <v>6923</v>
      </c>
      <c r="L1527" s="3">
        <v>2769.2</v>
      </c>
    </row>
    <row r="1528" spans="1:12" x14ac:dyDescent="0.25">
      <c r="A1528" t="s">
        <v>27</v>
      </c>
      <c r="B1528">
        <v>1189833</v>
      </c>
      <c r="C1528" s="1">
        <v>44263</v>
      </c>
      <c r="D1528" t="s">
        <v>57</v>
      </c>
      <c r="E1528" t="s">
        <v>58</v>
      </c>
      <c r="F1528" t="s">
        <v>59</v>
      </c>
      <c r="G1528" t="s">
        <v>41</v>
      </c>
      <c r="H1528" t="s">
        <v>22</v>
      </c>
      <c r="I1528" s="3">
        <v>53</v>
      </c>
      <c r="J1528" s="2">
        <v>120</v>
      </c>
      <c r="K1528" s="3">
        <f t="shared" si="23"/>
        <v>6360</v>
      </c>
      <c r="L1528" s="3">
        <v>1717.1999999999998</v>
      </c>
    </row>
    <row r="1529" spans="1:12" x14ac:dyDescent="0.25">
      <c r="A1529" t="s">
        <v>19</v>
      </c>
      <c r="B1529">
        <v>1128299</v>
      </c>
      <c r="C1529" s="1">
        <v>44264</v>
      </c>
      <c r="D1529" t="s">
        <v>12</v>
      </c>
      <c r="E1529" t="s">
        <v>20</v>
      </c>
      <c r="F1529" t="s">
        <v>21</v>
      </c>
      <c r="G1529" t="s">
        <v>15</v>
      </c>
      <c r="H1529" t="s">
        <v>22</v>
      </c>
      <c r="I1529" s="3">
        <v>60</v>
      </c>
      <c r="J1529" s="2">
        <v>125</v>
      </c>
      <c r="K1529" s="3">
        <f t="shared" si="23"/>
        <v>7500</v>
      </c>
      <c r="L1529" s="3">
        <v>6375</v>
      </c>
    </row>
    <row r="1530" spans="1:12" x14ac:dyDescent="0.25">
      <c r="A1530" t="s">
        <v>19</v>
      </c>
      <c r="B1530">
        <v>1128299</v>
      </c>
      <c r="C1530" s="1">
        <v>44264</v>
      </c>
      <c r="D1530" t="s">
        <v>12</v>
      </c>
      <c r="E1530" t="s">
        <v>20</v>
      </c>
      <c r="F1530" t="s">
        <v>21</v>
      </c>
      <c r="G1530" t="s">
        <v>15</v>
      </c>
      <c r="H1530" t="s">
        <v>17</v>
      </c>
      <c r="I1530" s="3">
        <v>54.999999999999993</v>
      </c>
      <c r="J1530" s="2">
        <v>350</v>
      </c>
      <c r="K1530" s="3">
        <f t="shared" si="23"/>
        <v>19249.999999999996</v>
      </c>
      <c r="L1530" s="3">
        <v>15399.999999999996</v>
      </c>
    </row>
    <row r="1531" spans="1:12" x14ac:dyDescent="0.25">
      <c r="A1531" t="s">
        <v>27</v>
      </c>
      <c r="B1531">
        <v>1189833</v>
      </c>
      <c r="C1531" s="1">
        <v>44264</v>
      </c>
      <c r="D1531" t="s">
        <v>57</v>
      </c>
      <c r="E1531" t="s">
        <v>58</v>
      </c>
      <c r="F1531" t="s">
        <v>59</v>
      </c>
      <c r="G1531" t="s">
        <v>15</v>
      </c>
      <c r="H1531" t="s">
        <v>16</v>
      </c>
      <c r="I1531" s="3">
        <v>60</v>
      </c>
      <c r="J1531" s="2">
        <v>500</v>
      </c>
      <c r="K1531" s="3">
        <f t="shared" si="23"/>
        <v>30000</v>
      </c>
      <c r="L1531" s="3">
        <v>22500</v>
      </c>
    </row>
    <row r="1532" spans="1:12" x14ac:dyDescent="0.25">
      <c r="A1532" t="s">
        <v>19</v>
      </c>
      <c r="B1532">
        <v>1128299</v>
      </c>
      <c r="C1532" s="1">
        <v>44264</v>
      </c>
      <c r="D1532" t="s">
        <v>12</v>
      </c>
      <c r="E1532" t="s">
        <v>20</v>
      </c>
      <c r="F1532" t="s">
        <v>21</v>
      </c>
      <c r="G1532" t="s">
        <v>15</v>
      </c>
      <c r="H1532" t="s">
        <v>38</v>
      </c>
      <c r="I1532" s="3">
        <v>45</v>
      </c>
      <c r="J1532" s="2">
        <v>500</v>
      </c>
      <c r="K1532" s="3">
        <f t="shared" si="23"/>
        <v>22500</v>
      </c>
      <c r="L1532" s="3">
        <v>16875</v>
      </c>
    </row>
    <row r="1533" spans="1:12" x14ac:dyDescent="0.25">
      <c r="A1533" t="s">
        <v>19</v>
      </c>
      <c r="B1533">
        <v>1128299</v>
      </c>
      <c r="C1533" s="1">
        <v>44264</v>
      </c>
      <c r="D1533" t="s">
        <v>12</v>
      </c>
      <c r="E1533" t="s">
        <v>20</v>
      </c>
      <c r="F1533" t="s">
        <v>21</v>
      </c>
      <c r="G1533" t="s">
        <v>15</v>
      </c>
      <c r="H1533" t="s">
        <v>37</v>
      </c>
      <c r="I1533" s="3">
        <v>54.999999999999993</v>
      </c>
      <c r="J1533" s="2">
        <v>275</v>
      </c>
      <c r="K1533" s="3">
        <f t="shared" si="23"/>
        <v>15124.999999999998</v>
      </c>
      <c r="L1533" s="3">
        <v>11343.749999999996</v>
      </c>
    </row>
    <row r="1534" spans="1:12" x14ac:dyDescent="0.25">
      <c r="A1534" t="s">
        <v>19</v>
      </c>
      <c r="B1534">
        <v>1128299</v>
      </c>
      <c r="C1534" s="1">
        <v>44264</v>
      </c>
      <c r="D1534" t="s">
        <v>12</v>
      </c>
      <c r="E1534" t="s">
        <v>20</v>
      </c>
      <c r="F1534" t="s">
        <v>21</v>
      </c>
      <c r="G1534" t="s">
        <v>15</v>
      </c>
      <c r="H1534" t="s">
        <v>35</v>
      </c>
      <c r="I1534" s="3">
        <v>59.999999999999986</v>
      </c>
      <c r="J1534" s="2">
        <v>375</v>
      </c>
      <c r="K1534" s="3">
        <f t="shared" si="23"/>
        <v>22499.999999999996</v>
      </c>
      <c r="L1534" s="3">
        <v>16874.999999999993</v>
      </c>
    </row>
    <row r="1535" spans="1:12" x14ac:dyDescent="0.25">
      <c r="A1535" t="s">
        <v>11</v>
      </c>
      <c r="B1535">
        <v>1185732</v>
      </c>
      <c r="C1535" s="1">
        <v>44264</v>
      </c>
      <c r="D1535" t="s">
        <v>57</v>
      </c>
      <c r="E1535" t="s">
        <v>103</v>
      </c>
      <c r="F1535" t="s">
        <v>104</v>
      </c>
      <c r="G1535" t="s">
        <v>18</v>
      </c>
      <c r="H1535" t="s">
        <v>22</v>
      </c>
      <c r="I1535" s="3">
        <v>35</v>
      </c>
      <c r="J1535" s="2">
        <v>175</v>
      </c>
      <c r="K1535" s="3">
        <f t="shared" si="23"/>
        <v>6125</v>
      </c>
      <c r="L1535" s="3">
        <v>4287.5</v>
      </c>
    </row>
    <row r="1536" spans="1:12" x14ac:dyDescent="0.25">
      <c r="A1536" t="s">
        <v>36</v>
      </c>
      <c r="B1536">
        <v>1185732</v>
      </c>
      <c r="C1536" s="1">
        <v>44264</v>
      </c>
      <c r="D1536" t="s">
        <v>57</v>
      </c>
      <c r="E1536" t="s">
        <v>110</v>
      </c>
      <c r="F1536" t="s">
        <v>111</v>
      </c>
      <c r="G1536" t="s">
        <v>41</v>
      </c>
      <c r="H1536" t="s">
        <v>22</v>
      </c>
      <c r="I1536" s="3">
        <v>40.000000000000007</v>
      </c>
      <c r="J1536" s="2">
        <v>375</v>
      </c>
      <c r="K1536" s="3">
        <f t="shared" si="23"/>
        <v>15000.000000000002</v>
      </c>
      <c r="L1536" s="3">
        <v>9750.0000000000036</v>
      </c>
    </row>
    <row r="1537" spans="1:12" x14ac:dyDescent="0.25">
      <c r="A1537" t="s">
        <v>11</v>
      </c>
      <c r="B1537">
        <v>1185732</v>
      </c>
      <c r="C1537" s="1">
        <v>44264</v>
      </c>
      <c r="D1537" t="s">
        <v>57</v>
      </c>
      <c r="E1537" t="s">
        <v>103</v>
      </c>
      <c r="F1537" t="s">
        <v>104</v>
      </c>
      <c r="G1537" t="s">
        <v>18</v>
      </c>
      <c r="H1537" t="s">
        <v>35</v>
      </c>
      <c r="I1537" s="3">
        <v>15.000000000000002</v>
      </c>
      <c r="J1537" s="2">
        <v>275</v>
      </c>
      <c r="K1537" s="3">
        <f t="shared" si="23"/>
        <v>4125.0000000000009</v>
      </c>
      <c r="L1537" s="3">
        <v>2681.2500000000009</v>
      </c>
    </row>
    <row r="1538" spans="1:12" x14ac:dyDescent="0.25">
      <c r="A1538" t="s">
        <v>36</v>
      </c>
      <c r="B1538">
        <v>1185732</v>
      </c>
      <c r="C1538" s="1">
        <v>44264</v>
      </c>
      <c r="D1538" t="s">
        <v>57</v>
      </c>
      <c r="E1538" t="s">
        <v>110</v>
      </c>
      <c r="F1538" t="s">
        <v>111</v>
      </c>
      <c r="G1538" t="s">
        <v>41</v>
      </c>
      <c r="H1538" t="s">
        <v>17</v>
      </c>
      <c r="I1538" s="3">
        <v>30</v>
      </c>
      <c r="J1538" s="2">
        <v>450</v>
      </c>
      <c r="K1538" s="3">
        <f t="shared" si="23"/>
        <v>13500</v>
      </c>
      <c r="L1538" s="3">
        <v>8775</v>
      </c>
    </row>
    <row r="1539" spans="1:12" x14ac:dyDescent="0.25">
      <c r="A1539" t="s">
        <v>11</v>
      </c>
      <c r="B1539">
        <v>1185732</v>
      </c>
      <c r="C1539" s="1">
        <v>44264</v>
      </c>
      <c r="D1539" t="s">
        <v>57</v>
      </c>
      <c r="E1539" t="s">
        <v>103</v>
      </c>
      <c r="F1539" t="s">
        <v>104</v>
      </c>
      <c r="G1539" t="s">
        <v>18</v>
      </c>
      <c r="H1539" t="s">
        <v>37</v>
      </c>
      <c r="I1539" s="3">
        <v>19.999999999999996</v>
      </c>
      <c r="J1539" s="2">
        <v>125</v>
      </c>
      <c r="K1539" s="3">
        <f t="shared" ref="K1539:K1602" si="24">I1539*J1539</f>
        <v>2499.9999999999995</v>
      </c>
      <c r="L1539" s="3">
        <v>1624.9999999999998</v>
      </c>
    </row>
    <row r="1540" spans="1:12" x14ac:dyDescent="0.25">
      <c r="A1540" t="s">
        <v>11</v>
      </c>
      <c r="B1540">
        <v>1185732</v>
      </c>
      <c r="C1540" s="1">
        <v>44264</v>
      </c>
      <c r="D1540" t="s">
        <v>57</v>
      </c>
      <c r="E1540" t="s">
        <v>103</v>
      </c>
      <c r="F1540" t="s">
        <v>104</v>
      </c>
      <c r="G1540" t="s">
        <v>18</v>
      </c>
      <c r="H1540" t="s">
        <v>38</v>
      </c>
      <c r="I1540" s="3">
        <v>25.000000000000007</v>
      </c>
      <c r="J1540" s="2">
        <v>520</v>
      </c>
      <c r="K1540" s="3">
        <f t="shared" si="24"/>
        <v>13000.000000000004</v>
      </c>
      <c r="L1540" s="3">
        <v>7800.0000000000027</v>
      </c>
    </row>
    <row r="1541" spans="1:12" x14ac:dyDescent="0.25">
      <c r="A1541" t="s">
        <v>27</v>
      </c>
      <c r="B1541">
        <v>1189833</v>
      </c>
      <c r="C1541" s="1">
        <v>44264</v>
      </c>
      <c r="D1541" t="s">
        <v>12</v>
      </c>
      <c r="E1541" t="s">
        <v>13</v>
      </c>
      <c r="F1541" t="s">
        <v>14</v>
      </c>
      <c r="G1541" t="s">
        <v>15</v>
      </c>
      <c r="H1541" t="s">
        <v>35</v>
      </c>
      <c r="I1541" s="3">
        <v>45</v>
      </c>
      <c r="J1541" s="2">
        <v>700</v>
      </c>
      <c r="K1541" s="3">
        <f t="shared" si="24"/>
        <v>31500</v>
      </c>
      <c r="L1541" s="3">
        <v>18900</v>
      </c>
    </row>
    <row r="1542" spans="1:12" x14ac:dyDescent="0.25">
      <c r="A1542" t="s">
        <v>19</v>
      </c>
      <c r="B1542">
        <v>1128299</v>
      </c>
      <c r="C1542" s="1">
        <v>44264</v>
      </c>
      <c r="D1542" t="s">
        <v>12</v>
      </c>
      <c r="E1542" t="s">
        <v>20</v>
      </c>
      <c r="F1542" t="s">
        <v>21</v>
      </c>
      <c r="G1542" t="s">
        <v>15</v>
      </c>
      <c r="H1542" t="s">
        <v>16</v>
      </c>
      <c r="I1542" s="3">
        <v>54.999999999999993</v>
      </c>
      <c r="J1542" s="2">
        <v>325</v>
      </c>
      <c r="K1542" s="3">
        <f t="shared" si="24"/>
        <v>17874.999999999996</v>
      </c>
      <c r="L1542" s="3">
        <v>10724.999999999998</v>
      </c>
    </row>
    <row r="1543" spans="1:12" x14ac:dyDescent="0.25">
      <c r="A1543" t="s">
        <v>36</v>
      </c>
      <c r="B1543">
        <v>1185732</v>
      </c>
      <c r="C1543" s="1">
        <v>44264</v>
      </c>
      <c r="D1543" t="s">
        <v>57</v>
      </c>
      <c r="E1543" t="s">
        <v>110</v>
      </c>
      <c r="F1543" t="s">
        <v>111</v>
      </c>
      <c r="G1543" t="s">
        <v>41</v>
      </c>
      <c r="H1543" t="s">
        <v>38</v>
      </c>
      <c r="I1543" s="3">
        <v>30</v>
      </c>
      <c r="J1543" s="2">
        <v>770</v>
      </c>
      <c r="K1543" s="3">
        <f t="shared" si="24"/>
        <v>23100</v>
      </c>
      <c r="L1543" s="3">
        <v>13860</v>
      </c>
    </row>
    <row r="1544" spans="1:12" x14ac:dyDescent="0.25">
      <c r="A1544" t="s">
        <v>36</v>
      </c>
      <c r="B1544">
        <v>1185732</v>
      </c>
      <c r="C1544" s="1">
        <v>44264</v>
      </c>
      <c r="D1544" t="s">
        <v>57</v>
      </c>
      <c r="E1544" t="s">
        <v>110</v>
      </c>
      <c r="F1544" t="s">
        <v>111</v>
      </c>
      <c r="G1544" t="s">
        <v>41</v>
      </c>
      <c r="H1544" t="s">
        <v>35</v>
      </c>
      <c r="I1544" s="3">
        <v>20</v>
      </c>
      <c r="J1544" s="2">
        <v>475</v>
      </c>
      <c r="K1544" s="3">
        <f t="shared" si="24"/>
        <v>9500</v>
      </c>
      <c r="L1544" s="3">
        <v>5700</v>
      </c>
    </row>
    <row r="1545" spans="1:12" x14ac:dyDescent="0.25">
      <c r="A1545" t="s">
        <v>36</v>
      </c>
      <c r="B1545">
        <v>1185732</v>
      </c>
      <c r="C1545" s="1">
        <v>44264</v>
      </c>
      <c r="D1545" t="s">
        <v>57</v>
      </c>
      <c r="E1545" t="s">
        <v>110</v>
      </c>
      <c r="F1545" t="s">
        <v>111</v>
      </c>
      <c r="G1545" t="s">
        <v>41</v>
      </c>
      <c r="H1545" t="s">
        <v>37</v>
      </c>
      <c r="I1545" s="3">
        <v>24.999999999999993</v>
      </c>
      <c r="J1545" s="2">
        <v>325</v>
      </c>
      <c r="K1545" s="3">
        <f t="shared" si="24"/>
        <v>8124.9999999999973</v>
      </c>
      <c r="L1545" s="3">
        <v>4874.9999999999982</v>
      </c>
    </row>
    <row r="1546" spans="1:12" x14ac:dyDescent="0.25">
      <c r="A1546" t="s">
        <v>11</v>
      </c>
      <c r="B1546">
        <v>1185732</v>
      </c>
      <c r="C1546" s="1">
        <v>44264</v>
      </c>
      <c r="D1546" t="s">
        <v>57</v>
      </c>
      <c r="E1546" t="s">
        <v>103</v>
      </c>
      <c r="F1546" t="s">
        <v>104</v>
      </c>
      <c r="G1546" t="s">
        <v>18</v>
      </c>
      <c r="H1546" t="s">
        <v>17</v>
      </c>
      <c r="I1546" s="3">
        <v>25.000000000000007</v>
      </c>
      <c r="J1546" s="2">
        <v>225</v>
      </c>
      <c r="K1546" s="3">
        <f t="shared" si="24"/>
        <v>5625.0000000000018</v>
      </c>
      <c r="L1546" s="3">
        <v>3375.0000000000009</v>
      </c>
    </row>
    <row r="1547" spans="1:12" x14ac:dyDescent="0.25">
      <c r="A1547" t="s">
        <v>11</v>
      </c>
      <c r="B1547">
        <v>1185732</v>
      </c>
      <c r="C1547" s="1">
        <v>44264</v>
      </c>
      <c r="D1547" t="s">
        <v>57</v>
      </c>
      <c r="E1547" t="s">
        <v>103</v>
      </c>
      <c r="F1547" t="s">
        <v>104</v>
      </c>
      <c r="G1547" t="s">
        <v>18</v>
      </c>
      <c r="H1547" t="s">
        <v>16</v>
      </c>
      <c r="I1547" s="3">
        <v>25.000000000000007</v>
      </c>
      <c r="J1547" s="2">
        <v>275</v>
      </c>
      <c r="K1547" s="3">
        <f t="shared" si="24"/>
        <v>6875.0000000000018</v>
      </c>
      <c r="L1547" s="3">
        <v>4125.0000000000009</v>
      </c>
    </row>
    <row r="1548" spans="1:12" x14ac:dyDescent="0.25">
      <c r="A1548" t="s">
        <v>36</v>
      </c>
      <c r="B1548">
        <v>1185732</v>
      </c>
      <c r="C1548" s="1">
        <v>44264</v>
      </c>
      <c r="D1548" t="s">
        <v>57</v>
      </c>
      <c r="E1548" t="s">
        <v>110</v>
      </c>
      <c r="F1548" t="s">
        <v>111</v>
      </c>
      <c r="G1548" t="s">
        <v>41</v>
      </c>
      <c r="H1548" t="s">
        <v>16</v>
      </c>
      <c r="I1548" s="3">
        <v>30</v>
      </c>
      <c r="J1548" s="2">
        <v>475</v>
      </c>
      <c r="K1548" s="3">
        <f t="shared" si="24"/>
        <v>14250</v>
      </c>
      <c r="L1548" s="3">
        <v>7125</v>
      </c>
    </row>
    <row r="1549" spans="1:12" x14ac:dyDescent="0.25">
      <c r="A1549" t="s">
        <v>19</v>
      </c>
      <c r="B1549">
        <v>1128299</v>
      </c>
      <c r="C1549" s="1">
        <v>44264</v>
      </c>
      <c r="D1549" t="s">
        <v>12</v>
      </c>
      <c r="E1549" t="s">
        <v>20</v>
      </c>
      <c r="F1549" t="s">
        <v>21</v>
      </c>
      <c r="G1549" t="s">
        <v>41</v>
      </c>
      <c r="H1549" t="s">
        <v>22</v>
      </c>
      <c r="I1549" s="3">
        <v>55</v>
      </c>
      <c r="J1549" s="2">
        <v>36</v>
      </c>
      <c r="K1549" s="3">
        <f t="shared" si="24"/>
        <v>1980</v>
      </c>
      <c r="L1549" s="3">
        <v>1465.1999999999998</v>
      </c>
    </row>
    <row r="1550" spans="1:12" x14ac:dyDescent="0.25">
      <c r="A1550" t="s">
        <v>19</v>
      </c>
      <c r="B1550">
        <v>1128299</v>
      </c>
      <c r="C1550" s="1">
        <v>44264</v>
      </c>
      <c r="D1550" t="s">
        <v>12</v>
      </c>
      <c r="E1550" t="s">
        <v>20</v>
      </c>
      <c r="F1550" t="s">
        <v>21</v>
      </c>
      <c r="G1550" t="s">
        <v>41</v>
      </c>
      <c r="H1550" t="s">
        <v>17</v>
      </c>
      <c r="I1550" s="3">
        <v>54</v>
      </c>
      <c r="J1550" s="2">
        <v>91</v>
      </c>
      <c r="K1550" s="3">
        <f t="shared" si="24"/>
        <v>4914</v>
      </c>
      <c r="L1550" s="3">
        <v>3390.66</v>
      </c>
    </row>
    <row r="1551" spans="1:12" x14ac:dyDescent="0.25">
      <c r="A1551" t="s">
        <v>19</v>
      </c>
      <c r="B1551">
        <v>1128299</v>
      </c>
      <c r="C1551" s="1">
        <v>44264</v>
      </c>
      <c r="D1551" t="s">
        <v>12</v>
      </c>
      <c r="E1551" t="s">
        <v>20</v>
      </c>
      <c r="F1551" t="s">
        <v>21</v>
      </c>
      <c r="G1551" t="s">
        <v>41</v>
      </c>
      <c r="H1551" t="s">
        <v>37</v>
      </c>
      <c r="I1551" s="3">
        <v>52</v>
      </c>
      <c r="J1551" s="2">
        <v>69</v>
      </c>
      <c r="K1551" s="3">
        <f t="shared" si="24"/>
        <v>3588</v>
      </c>
      <c r="L1551" s="3">
        <v>2296.3199999999997</v>
      </c>
    </row>
    <row r="1552" spans="1:12" x14ac:dyDescent="0.25">
      <c r="A1552" t="s">
        <v>19</v>
      </c>
      <c r="B1552">
        <v>1128299</v>
      </c>
      <c r="C1552" s="1">
        <v>44264</v>
      </c>
      <c r="D1552" t="s">
        <v>12</v>
      </c>
      <c r="E1552" t="s">
        <v>20</v>
      </c>
      <c r="F1552" t="s">
        <v>21</v>
      </c>
      <c r="G1552" t="s">
        <v>41</v>
      </c>
      <c r="H1552" t="s">
        <v>35</v>
      </c>
      <c r="I1552" s="3">
        <v>57</v>
      </c>
      <c r="J1552" s="2">
        <v>101</v>
      </c>
      <c r="K1552" s="3">
        <f t="shared" si="24"/>
        <v>5757</v>
      </c>
      <c r="L1552" s="3">
        <v>3511.77</v>
      </c>
    </row>
    <row r="1553" spans="1:12" x14ac:dyDescent="0.25">
      <c r="A1553" t="s">
        <v>27</v>
      </c>
      <c r="B1553">
        <v>1189833</v>
      </c>
      <c r="C1553" s="1">
        <v>44264</v>
      </c>
      <c r="D1553" t="s">
        <v>57</v>
      </c>
      <c r="E1553" t="s">
        <v>58</v>
      </c>
      <c r="F1553" t="s">
        <v>59</v>
      </c>
      <c r="G1553" t="s">
        <v>41</v>
      </c>
      <c r="H1553" t="s">
        <v>16</v>
      </c>
      <c r="I1553" s="3">
        <v>55</v>
      </c>
      <c r="J1553" s="2">
        <v>130</v>
      </c>
      <c r="K1553" s="3">
        <f t="shared" si="24"/>
        <v>7150</v>
      </c>
      <c r="L1553" s="3">
        <v>4290</v>
      </c>
    </row>
    <row r="1554" spans="1:12" x14ac:dyDescent="0.25">
      <c r="A1554" t="s">
        <v>19</v>
      </c>
      <c r="B1554">
        <v>1128299</v>
      </c>
      <c r="C1554" s="1">
        <v>44264</v>
      </c>
      <c r="D1554" t="s">
        <v>12</v>
      </c>
      <c r="E1554" t="s">
        <v>20</v>
      </c>
      <c r="F1554" t="s">
        <v>21</v>
      </c>
      <c r="G1554" t="s">
        <v>41</v>
      </c>
      <c r="H1554" t="s">
        <v>38</v>
      </c>
      <c r="I1554" s="3">
        <v>44</v>
      </c>
      <c r="J1554" s="2">
        <v>135</v>
      </c>
      <c r="K1554" s="3">
        <f t="shared" si="24"/>
        <v>5940</v>
      </c>
      <c r="L1554" s="3">
        <v>3564</v>
      </c>
    </row>
    <row r="1555" spans="1:12" x14ac:dyDescent="0.25">
      <c r="A1555" t="s">
        <v>27</v>
      </c>
      <c r="B1555">
        <v>1189833</v>
      </c>
      <c r="C1555" s="1">
        <v>44264</v>
      </c>
      <c r="D1555" t="s">
        <v>12</v>
      </c>
      <c r="E1555" t="s">
        <v>13</v>
      </c>
      <c r="F1555" t="s">
        <v>14</v>
      </c>
      <c r="G1555" t="s">
        <v>15</v>
      </c>
      <c r="H1555" t="s">
        <v>35</v>
      </c>
      <c r="I1555" s="3">
        <v>36</v>
      </c>
      <c r="J1555" s="2">
        <v>217</v>
      </c>
      <c r="K1555" s="3">
        <f t="shared" si="24"/>
        <v>7812</v>
      </c>
      <c r="L1555" s="3">
        <v>4530.9599999999991</v>
      </c>
    </row>
    <row r="1556" spans="1:12" x14ac:dyDescent="0.25">
      <c r="A1556" t="s">
        <v>11</v>
      </c>
      <c r="B1556">
        <v>1185732</v>
      </c>
      <c r="C1556" s="1">
        <v>44264</v>
      </c>
      <c r="D1556" t="s">
        <v>57</v>
      </c>
      <c r="E1556" t="s">
        <v>103</v>
      </c>
      <c r="F1556" t="s">
        <v>104</v>
      </c>
      <c r="G1556" t="s">
        <v>41</v>
      </c>
      <c r="H1556" t="s">
        <v>22</v>
      </c>
      <c r="I1556" s="3">
        <v>32</v>
      </c>
      <c r="J1556" s="2">
        <v>44</v>
      </c>
      <c r="K1556" s="3">
        <f t="shared" si="24"/>
        <v>1408</v>
      </c>
      <c r="L1556" s="3">
        <v>802.56000000000006</v>
      </c>
    </row>
    <row r="1557" spans="1:12" x14ac:dyDescent="0.25">
      <c r="A1557" t="s">
        <v>11</v>
      </c>
      <c r="B1557">
        <v>1185732</v>
      </c>
      <c r="C1557" s="1">
        <v>44264</v>
      </c>
      <c r="D1557" t="s">
        <v>57</v>
      </c>
      <c r="E1557" t="s">
        <v>103</v>
      </c>
      <c r="F1557" t="s">
        <v>104</v>
      </c>
      <c r="G1557" t="s">
        <v>41</v>
      </c>
      <c r="H1557" t="s">
        <v>37</v>
      </c>
      <c r="I1557" s="3">
        <v>19</v>
      </c>
      <c r="J1557" s="2">
        <v>31</v>
      </c>
      <c r="K1557" s="3">
        <f t="shared" si="24"/>
        <v>589</v>
      </c>
      <c r="L1557" s="3">
        <v>323.95000000000005</v>
      </c>
    </row>
    <row r="1558" spans="1:12" x14ac:dyDescent="0.25">
      <c r="A1558" t="s">
        <v>36</v>
      </c>
      <c r="B1558">
        <v>1185732</v>
      </c>
      <c r="C1558" s="1">
        <v>44264</v>
      </c>
      <c r="D1558" t="s">
        <v>57</v>
      </c>
      <c r="E1558" t="s">
        <v>110</v>
      </c>
      <c r="F1558" t="s">
        <v>111</v>
      </c>
      <c r="G1558" t="s">
        <v>41</v>
      </c>
      <c r="H1558" t="s">
        <v>17</v>
      </c>
      <c r="I1558" s="3">
        <v>27</v>
      </c>
      <c r="J1558" s="2">
        <v>126</v>
      </c>
      <c r="K1558" s="3">
        <f t="shared" si="24"/>
        <v>3402</v>
      </c>
      <c r="L1558" s="3">
        <v>1871.1000000000001</v>
      </c>
    </row>
    <row r="1559" spans="1:12" x14ac:dyDescent="0.25">
      <c r="A1559" t="s">
        <v>36</v>
      </c>
      <c r="B1559">
        <v>1185732</v>
      </c>
      <c r="C1559" s="1">
        <v>44264</v>
      </c>
      <c r="D1559" t="s">
        <v>57</v>
      </c>
      <c r="E1559" t="s">
        <v>110</v>
      </c>
      <c r="F1559" t="s">
        <v>111</v>
      </c>
      <c r="G1559" t="s">
        <v>41</v>
      </c>
      <c r="H1559" t="s">
        <v>22</v>
      </c>
      <c r="I1559" s="3">
        <v>37</v>
      </c>
      <c r="J1559" s="2">
        <v>113</v>
      </c>
      <c r="K1559" s="3">
        <f t="shared" si="24"/>
        <v>4181</v>
      </c>
      <c r="L1559" s="3">
        <v>2132.31</v>
      </c>
    </row>
    <row r="1560" spans="1:12" x14ac:dyDescent="0.25">
      <c r="A1560" t="s">
        <v>11</v>
      </c>
      <c r="B1560">
        <v>1185732</v>
      </c>
      <c r="C1560" s="1">
        <v>44264</v>
      </c>
      <c r="D1560" t="s">
        <v>57</v>
      </c>
      <c r="E1560" t="s">
        <v>103</v>
      </c>
      <c r="F1560" t="s">
        <v>104</v>
      </c>
      <c r="G1560" t="s">
        <v>41</v>
      </c>
      <c r="H1560" t="s">
        <v>35</v>
      </c>
      <c r="I1560" s="3">
        <v>14</v>
      </c>
      <c r="J1560" s="2">
        <v>72</v>
      </c>
      <c r="K1560" s="3">
        <f t="shared" si="24"/>
        <v>1008</v>
      </c>
      <c r="L1560" s="3">
        <v>504</v>
      </c>
    </row>
    <row r="1561" spans="1:12" x14ac:dyDescent="0.25">
      <c r="A1561" t="s">
        <v>11</v>
      </c>
      <c r="B1561">
        <v>1185732</v>
      </c>
      <c r="C1561" s="1">
        <v>44264</v>
      </c>
      <c r="D1561" t="s">
        <v>57</v>
      </c>
      <c r="E1561" t="s">
        <v>103</v>
      </c>
      <c r="F1561" t="s">
        <v>104</v>
      </c>
      <c r="G1561" t="s">
        <v>41</v>
      </c>
      <c r="H1561" t="s">
        <v>38</v>
      </c>
      <c r="I1561" s="3">
        <v>23</v>
      </c>
      <c r="J1561" s="2">
        <v>151</v>
      </c>
      <c r="K1561" s="3">
        <f t="shared" si="24"/>
        <v>3473</v>
      </c>
      <c r="L1561" s="3">
        <v>1701.77</v>
      </c>
    </row>
    <row r="1562" spans="1:12" x14ac:dyDescent="0.25">
      <c r="A1562" t="s">
        <v>27</v>
      </c>
      <c r="B1562">
        <v>1189833</v>
      </c>
      <c r="C1562" s="1">
        <v>44264</v>
      </c>
      <c r="D1562" t="s">
        <v>12</v>
      </c>
      <c r="E1562" t="s">
        <v>13</v>
      </c>
      <c r="F1562" t="s">
        <v>14</v>
      </c>
      <c r="G1562" t="s">
        <v>41</v>
      </c>
      <c r="H1562" t="s">
        <v>35</v>
      </c>
      <c r="I1562" s="3">
        <v>41</v>
      </c>
      <c r="J1562" s="2">
        <v>189</v>
      </c>
      <c r="K1562" s="3">
        <f t="shared" si="24"/>
        <v>7749</v>
      </c>
      <c r="L1562" s="3">
        <v>3719.52</v>
      </c>
    </row>
    <row r="1563" spans="1:12" x14ac:dyDescent="0.25">
      <c r="A1563" t="s">
        <v>36</v>
      </c>
      <c r="B1563">
        <v>1185732</v>
      </c>
      <c r="C1563" s="1">
        <v>44264</v>
      </c>
      <c r="D1563" t="s">
        <v>57</v>
      </c>
      <c r="E1563" t="s">
        <v>110</v>
      </c>
      <c r="F1563" t="s">
        <v>111</v>
      </c>
      <c r="G1563" t="s">
        <v>41</v>
      </c>
      <c r="H1563" t="s">
        <v>38</v>
      </c>
      <c r="I1563" s="3">
        <v>27</v>
      </c>
      <c r="J1563" s="2">
        <v>231</v>
      </c>
      <c r="K1563" s="3">
        <f t="shared" si="24"/>
        <v>6237</v>
      </c>
      <c r="L1563" s="3">
        <v>2993.7599999999998</v>
      </c>
    </row>
    <row r="1564" spans="1:12" x14ac:dyDescent="0.25">
      <c r="A1564" t="s">
        <v>36</v>
      </c>
      <c r="B1564">
        <v>1185732</v>
      </c>
      <c r="C1564" s="1">
        <v>44264</v>
      </c>
      <c r="D1564" t="s">
        <v>57</v>
      </c>
      <c r="E1564" t="s">
        <v>110</v>
      </c>
      <c r="F1564" t="s">
        <v>111</v>
      </c>
      <c r="G1564" t="s">
        <v>41</v>
      </c>
      <c r="H1564" t="s">
        <v>37</v>
      </c>
      <c r="I1564" s="3">
        <v>24</v>
      </c>
      <c r="J1564" s="2">
        <v>98</v>
      </c>
      <c r="K1564" s="3">
        <f t="shared" si="24"/>
        <v>2352</v>
      </c>
      <c r="L1564" s="3">
        <v>1128.96</v>
      </c>
    </row>
    <row r="1565" spans="1:12" x14ac:dyDescent="0.25">
      <c r="A1565" t="s">
        <v>11</v>
      </c>
      <c r="B1565">
        <v>1185732</v>
      </c>
      <c r="C1565" s="1">
        <v>44264</v>
      </c>
      <c r="D1565" t="s">
        <v>57</v>
      </c>
      <c r="E1565" t="s">
        <v>103</v>
      </c>
      <c r="F1565" t="s">
        <v>104</v>
      </c>
      <c r="G1565" t="s">
        <v>41</v>
      </c>
      <c r="H1565" t="s">
        <v>16</v>
      </c>
      <c r="I1565" s="3">
        <v>24</v>
      </c>
      <c r="J1565" s="2">
        <v>74</v>
      </c>
      <c r="K1565" s="3">
        <f t="shared" si="24"/>
        <v>1776</v>
      </c>
      <c r="L1565" s="3">
        <v>852.48</v>
      </c>
    </row>
    <row r="1566" spans="1:12" x14ac:dyDescent="0.25">
      <c r="A1566" t="s">
        <v>36</v>
      </c>
      <c r="B1566">
        <v>1185732</v>
      </c>
      <c r="C1566" s="1">
        <v>44264</v>
      </c>
      <c r="D1566" t="s">
        <v>57</v>
      </c>
      <c r="E1566" t="s">
        <v>110</v>
      </c>
      <c r="F1566" t="s">
        <v>111</v>
      </c>
      <c r="G1566" t="s">
        <v>41</v>
      </c>
      <c r="H1566" t="s">
        <v>35</v>
      </c>
      <c r="I1566" s="3">
        <v>20</v>
      </c>
      <c r="J1566" s="2">
        <v>124</v>
      </c>
      <c r="K1566" s="3">
        <f t="shared" si="24"/>
        <v>2480</v>
      </c>
      <c r="L1566" s="3">
        <v>1165.5999999999999</v>
      </c>
    </row>
    <row r="1567" spans="1:12" x14ac:dyDescent="0.25">
      <c r="A1567" t="s">
        <v>19</v>
      </c>
      <c r="B1567">
        <v>1128299</v>
      </c>
      <c r="C1567" s="1">
        <v>44264</v>
      </c>
      <c r="D1567" t="s">
        <v>12</v>
      </c>
      <c r="E1567" t="s">
        <v>20</v>
      </c>
      <c r="F1567" t="s">
        <v>21</v>
      </c>
      <c r="G1567" t="s">
        <v>41</v>
      </c>
      <c r="H1567" t="s">
        <v>16</v>
      </c>
      <c r="I1567" s="3">
        <v>50</v>
      </c>
      <c r="J1567" s="2">
        <v>85</v>
      </c>
      <c r="K1567" s="3">
        <f t="shared" si="24"/>
        <v>4250</v>
      </c>
      <c r="L1567" s="3">
        <v>1912.5</v>
      </c>
    </row>
    <row r="1568" spans="1:12" x14ac:dyDescent="0.25">
      <c r="A1568" t="s">
        <v>11</v>
      </c>
      <c r="B1568">
        <v>1185732</v>
      </c>
      <c r="C1568" s="1">
        <v>44264</v>
      </c>
      <c r="D1568" t="s">
        <v>57</v>
      </c>
      <c r="E1568" t="s">
        <v>103</v>
      </c>
      <c r="F1568" t="s">
        <v>104</v>
      </c>
      <c r="G1568" t="s">
        <v>41</v>
      </c>
      <c r="H1568" t="s">
        <v>17</v>
      </c>
      <c r="I1568" s="3">
        <v>23</v>
      </c>
      <c r="J1568" s="2">
        <v>61</v>
      </c>
      <c r="K1568" s="3">
        <f t="shared" si="24"/>
        <v>1403</v>
      </c>
      <c r="L1568" s="3">
        <v>631.34999999999991</v>
      </c>
    </row>
    <row r="1569" spans="1:12" x14ac:dyDescent="0.25">
      <c r="A1569" t="s">
        <v>36</v>
      </c>
      <c r="B1569">
        <v>1185732</v>
      </c>
      <c r="C1569" s="1">
        <v>44264</v>
      </c>
      <c r="D1569" t="s">
        <v>57</v>
      </c>
      <c r="E1569" t="s">
        <v>110</v>
      </c>
      <c r="F1569" t="s">
        <v>111</v>
      </c>
      <c r="G1569" t="s">
        <v>41</v>
      </c>
      <c r="H1569" t="s">
        <v>16</v>
      </c>
      <c r="I1569" s="3">
        <v>28</v>
      </c>
      <c r="J1569" s="2">
        <v>128</v>
      </c>
      <c r="K1569" s="3">
        <f t="shared" si="24"/>
        <v>3584</v>
      </c>
      <c r="L1569" s="3">
        <v>1397.7600000000002</v>
      </c>
    </row>
    <row r="1570" spans="1:12" x14ac:dyDescent="0.25">
      <c r="A1570" t="s">
        <v>27</v>
      </c>
      <c r="B1570">
        <v>1185732</v>
      </c>
      <c r="C1570" s="1">
        <v>44265</v>
      </c>
      <c r="D1570" t="s">
        <v>12</v>
      </c>
      <c r="E1570" t="s">
        <v>62</v>
      </c>
      <c r="F1570" t="s">
        <v>63</v>
      </c>
      <c r="G1570" t="s">
        <v>18</v>
      </c>
      <c r="H1570" t="s">
        <v>16</v>
      </c>
      <c r="I1570" s="3">
        <v>40</v>
      </c>
      <c r="J1570" s="2">
        <v>550</v>
      </c>
      <c r="K1570" s="3">
        <f t="shared" si="24"/>
        <v>22000</v>
      </c>
      <c r="L1570" s="3">
        <v>16500</v>
      </c>
    </row>
    <row r="1571" spans="1:12" x14ac:dyDescent="0.25">
      <c r="A1571" t="s">
        <v>27</v>
      </c>
      <c r="B1571">
        <v>1185732</v>
      </c>
      <c r="C1571" s="1">
        <v>44265</v>
      </c>
      <c r="D1571" t="s">
        <v>12</v>
      </c>
      <c r="E1571" t="s">
        <v>62</v>
      </c>
      <c r="F1571" t="s">
        <v>63</v>
      </c>
      <c r="G1571" t="s">
        <v>18</v>
      </c>
      <c r="H1571" t="s">
        <v>17</v>
      </c>
      <c r="I1571" s="3">
        <v>40</v>
      </c>
      <c r="J1571" s="2">
        <v>525</v>
      </c>
      <c r="K1571" s="3">
        <f t="shared" si="24"/>
        <v>21000</v>
      </c>
      <c r="L1571" s="3">
        <v>14700</v>
      </c>
    </row>
    <row r="1572" spans="1:12" x14ac:dyDescent="0.25">
      <c r="A1572" t="s">
        <v>27</v>
      </c>
      <c r="B1572">
        <v>1185732</v>
      </c>
      <c r="C1572" s="1">
        <v>44265</v>
      </c>
      <c r="D1572" t="s">
        <v>12</v>
      </c>
      <c r="E1572" t="s">
        <v>62</v>
      </c>
      <c r="F1572" t="s">
        <v>63</v>
      </c>
      <c r="G1572" t="s">
        <v>18</v>
      </c>
      <c r="H1572" t="s">
        <v>22</v>
      </c>
      <c r="I1572" s="3">
        <v>50</v>
      </c>
      <c r="J1572" s="2">
        <v>450</v>
      </c>
      <c r="K1572" s="3">
        <f t="shared" si="24"/>
        <v>22500</v>
      </c>
      <c r="L1572" s="3">
        <v>15750</v>
      </c>
    </row>
    <row r="1573" spans="1:12" x14ac:dyDescent="0.25">
      <c r="A1573" t="s">
        <v>27</v>
      </c>
      <c r="B1573">
        <v>1185732</v>
      </c>
      <c r="C1573" s="1">
        <v>44265</v>
      </c>
      <c r="D1573" t="s">
        <v>12</v>
      </c>
      <c r="E1573" t="s">
        <v>62</v>
      </c>
      <c r="F1573" t="s">
        <v>63</v>
      </c>
      <c r="G1573" t="s">
        <v>18</v>
      </c>
      <c r="H1573" t="s">
        <v>35</v>
      </c>
      <c r="I1573" s="3">
        <v>30.000000000000004</v>
      </c>
      <c r="J1573" s="2">
        <v>550</v>
      </c>
      <c r="K1573" s="3">
        <f t="shared" si="24"/>
        <v>16500.000000000004</v>
      </c>
      <c r="L1573" s="3">
        <v>10725.000000000004</v>
      </c>
    </row>
    <row r="1574" spans="1:12" x14ac:dyDescent="0.25">
      <c r="A1574" t="s">
        <v>11</v>
      </c>
      <c r="B1574">
        <v>1185732</v>
      </c>
      <c r="C1574" s="1">
        <v>44265</v>
      </c>
      <c r="D1574" t="s">
        <v>12</v>
      </c>
      <c r="E1574" t="s">
        <v>101</v>
      </c>
      <c r="F1574" t="s">
        <v>102</v>
      </c>
      <c r="G1574" t="s">
        <v>18</v>
      </c>
      <c r="H1574" t="s">
        <v>35</v>
      </c>
      <c r="I1574" s="3">
        <v>20.000000000000007</v>
      </c>
      <c r="J1574" s="2">
        <v>400</v>
      </c>
      <c r="K1574" s="3">
        <f t="shared" si="24"/>
        <v>8000.0000000000027</v>
      </c>
      <c r="L1574" s="3">
        <v>5200.0000000000018</v>
      </c>
    </row>
    <row r="1575" spans="1:12" x14ac:dyDescent="0.25">
      <c r="A1575" t="s">
        <v>36</v>
      </c>
      <c r="B1575">
        <v>1185732</v>
      </c>
      <c r="C1575" s="1">
        <v>44265</v>
      </c>
      <c r="D1575" t="s">
        <v>29</v>
      </c>
      <c r="E1575" t="s">
        <v>80</v>
      </c>
      <c r="F1575" t="s">
        <v>81</v>
      </c>
      <c r="G1575" t="s">
        <v>18</v>
      </c>
      <c r="H1575" t="s">
        <v>22</v>
      </c>
      <c r="I1575" s="3">
        <v>55.000000000000007</v>
      </c>
      <c r="J1575" s="2">
        <v>175</v>
      </c>
      <c r="K1575" s="3">
        <f t="shared" si="24"/>
        <v>9625.0000000000018</v>
      </c>
      <c r="L1575" s="3">
        <v>6256.2500000000018</v>
      </c>
    </row>
    <row r="1576" spans="1:12" x14ac:dyDescent="0.25">
      <c r="A1576" t="s">
        <v>27</v>
      </c>
      <c r="B1576">
        <v>1189833</v>
      </c>
      <c r="C1576" s="1">
        <v>44265</v>
      </c>
      <c r="D1576" t="s">
        <v>12</v>
      </c>
      <c r="E1576" t="s">
        <v>13</v>
      </c>
      <c r="F1576" t="s">
        <v>14</v>
      </c>
      <c r="G1576" t="s">
        <v>15</v>
      </c>
      <c r="H1576" t="s">
        <v>37</v>
      </c>
      <c r="I1576" s="3">
        <v>45</v>
      </c>
      <c r="J1576" s="2">
        <v>550</v>
      </c>
      <c r="K1576" s="3">
        <f t="shared" si="24"/>
        <v>24750</v>
      </c>
      <c r="L1576" s="3">
        <v>16087.5</v>
      </c>
    </row>
    <row r="1577" spans="1:12" x14ac:dyDescent="0.25">
      <c r="A1577" t="s">
        <v>26</v>
      </c>
      <c r="B1577">
        <v>1197831</v>
      </c>
      <c r="C1577" s="1">
        <v>44265</v>
      </c>
      <c r="D1577" t="s">
        <v>57</v>
      </c>
      <c r="E1577" t="s">
        <v>58</v>
      </c>
      <c r="F1577" t="s">
        <v>59</v>
      </c>
      <c r="G1577" t="s">
        <v>15</v>
      </c>
      <c r="H1577" t="s">
        <v>38</v>
      </c>
      <c r="I1577" s="3">
        <v>20</v>
      </c>
      <c r="J1577" s="2">
        <v>700</v>
      </c>
      <c r="K1577" s="3">
        <f t="shared" si="24"/>
        <v>14000</v>
      </c>
      <c r="L1577" s="3">
        <v>9100</v>
      </c>
    </row>
    <row r="1578" spans="1:12" x14ac:dyDescent="0.25">
      <c r="A1578" t="s">
        <v>27</v>
      </c>
      <c r="B1578">
        <v>1185732</v>
      </c>
      <c r="C1578" s="1">
        <v>44265</v>
      </c>
      <c r="D1578" t="s">
        <v>12</v>
      </c>
      <c r="E1578" t="s">
        <v>62</v>
      </c>
      <c r="F1578" t="s">
        <v>63</v>
      </c>
      <c r="G1578" t="s">
        <v>18</v>
      </c>
      <c r="H1578" t="s">
        <v>37</v>
      </c>
      <c r="I1578" s="3">
        <v>35</v>
      </c>
      <c r="J1578" s="2">
        <v>400</v>
      </c>
      <c r="K1578" s="3">
        <f t="shared" si="24"/>
        <v>14000</v>
      </c>
      <c r="L1578" s="3">
        <v>9100</v>
      </c>
    </row>
    <row r="1579" spans="1:12" x14ac:dyDescent="0.25">
      <c r="A1579" t="s">
        <v>11</v>
      </c>
      <c r="B1579">
        <v>1185732</v>
      </c>
      <c r="C1579" s="1">
        <v>44265</v>
      </c>
      <c r="D1579" t="s">
        <v>12</v>
      </c>
      <c r="E1579" t="s">
        <v>101</v>
      </c>
      <c r="F1579" t="s">
        <v>102</v>
      </c>
      <c r="G1579" t="s">
        <v>18</v>
      </c>
      <c r="H1579" t="s">
        <v>17</v>
      </c>
      <c r="I1579" s="3">
        <v>30.000000000000004</v>
      </c>
      <c r="J1579" s="2">
        <v>350</v>
      </c>
      <c r="K1579" s="3">
        <f t="shared" si="24"/>
        <v>10500.000000000002</v>
      </c>
      <c r="L1579" s="3">
        <v>6825.0000000000018</v>
      </c>
    </row>
    <row r="1580" spans="1:12" x14ac:dyDescent="0.25">
      <c r="A1580" t="s">
        <v>11</v>
      </c>
      <c r="B1580">
        <v>1185732</v>
      </c>
      <c r="C1580" s="1">
        <v>44265</v>
      </c>
      <c r="D1580" t="s">
        <v>12</v>
      </c>
      <c r="E1580" t="s">
        <v>101</v>
      </c>
      <c r="F1580" t="s">
        <v>102</v>
      </c>
      <c r="G1580" t="s">
        <v>18</v>
      </c>
      <c r="H1580" t="s">
        <v>22</v>
      </c>
      <c r="I1580" s="3">
        <v>40</v>
      </c>
      <c r="J1580" s="2">
        <v>300</v>
      </c>
      <c r="K1580" s="3">
        <f t="shared" si="24"/>
        <v>12000</v>
      </c>
      <c r="L1580" s="3">
        <v>7800</v>
      </c>
    </row>
    <row r="1581" spans="1:12" x14ac:dyDescent="0.25">
      <c r="A1581" t="s">
        <v>36</v>
      </c>
      <c r="B1581">
        <v>1185732</v>
      </c>
      <c r="C1581" s="1">
        <v>44265</v>
      </c>
      <c r="D1581" t="s">
        <v>29</v>
      </c>
      <c r="E1581" t="s">
        <v>80</v>
      </c>
      <c r="F1581" t="s">
        <v>81</v>
      </c>
      <c r="G1581" t="s">
        <v>18</v>
      </c>
      <c r="H1581" t="s">
        <v>35</v>
      </c>
      <c r="I1581" s="3">
        <v>35</v>
      </c>
      <c r="J1581" s="2">
        <v>275</v>
      </c>
      <c r="K1581" s="3">
        <f t="shared" si="24"/>
        <v>9625</v>
      </c>
      <c r="L1581" s="3">
        <v>6256.25</v>
      </c>
    </row>
    <row r="1582" spans="1:12" x14ac:dyDescent="0.25">
      <c r="A1582" t="s">
        <v>36</v>
      </c>
      <c r="B1582">
        <v>1185732</v>
      </c>
      <c r="C1582" s="1">
        <v>44265</v>
      </c>
      <c r="D1582" t="s">
        <v>29</v>
      </c>
      <c r="E1582" t="s">
        <v>80</v>
      </c>
      <c r="F1582" t="s">
        <v>81</v>
      </c>
      <c r="G1582" t="s">
        <v>18</v>
      </c>
      <c r="H1582" t="s">
        <v>37</v>
      </c>
      <c r="I1582" s="3">
        <v>40</v>
      </c>
      <c r="J1582" s="2">
        <v>125</v>
      </c>
      <c r="K1582" s="3">
        <f t="shared" si="24"/>
        <v>5000</v>
      </c>
      <c r="L1582" s="3">
        <v>3250</v>
      </c>
    </row>
    <row r="1583" spans="1:12" x14ac:dyDescent="0.25">
      <c r="A1583" t="s">
        <v>11</v>
      </c>
      <c r="B1583">
        <v>1185732</v>
      </c>
      <c r="C1583" s="1">
        <v>44265</v>
      </c>
      <c r="D1583" t="s">
        <v>12</v>
      </c>
      <c r="E1583" t="s">
        <v>101</v>
      </c>
      <c r="F1583" t="s">
        <v>102</v>
      </c>
      <c r="G1583" t="s">
        <v>18</v>
      </c>
      <c r="H1583" t="s">
        <v>38</v>
      </c>
      <c r="I1583" s="3">
        <v>30.000000000000004</v>
      </c>
      <c r="J1583" s="2">
        <v>670</v>
      </c>
      <c r="K1583" s="3">
        <f t="shared" si="24"/>
        <v>20100.000000000004</v>
      </c>
      <c r="L1583" s="3">
        <v>12060.000000000002</v>
      </c>
    </row>
    <row r="1584" spans="1:12" x14ac:dyDescent="0.25">
      <c r="A1584" t="s">
        <v>11</v>
      </c>
      <c r="B1584">
        <v>1185732</v>
      </c>
      <c r="C1584" s="1">
        <v>44265</v>
      </c>
      <c r="D1584" t="s">
        <v>12</v>
      </c>
      <c r="E1584" t="s">
        <v>101</v>
      </c>
      <c r="F1584" t="s">
        <v>102</v>
      </c>
      <c r="G1584" t="s">
        <v>18</v>
      </c>
      <c r="H1584" t="s">
        <v>37</v>
      </c>
      <c r="I1584" s="3">
        <v>25</v>
      </c>
      <c r="J1584" s="2">
        <v>250</v>
      </c>
      <c r="K1584" s="3">
        <f t="shared" si="24"/>
        <v>6250</v>
      </c>
      <c r="L1584" s="3">
        <v>3750</v>
      </c>
    </row>
    <row r="1585" spans="1:12" x14ac:dyDescent="0.25">
      <c r="A1585" t="s">
        <v>36</v>
      </c>
      <c r="B1585">
        <v>1185732</v>
      </c>
      <c r="C1585" s="1">
        <v>44265</v>
      </c>
      <c r="D1585" t="s">
        <v>29</v>
      </c>
      <c r="E1585" t="s">
        <v>80</v>
      </c>
      <c r="F1585" t="s">
        <v>81</v>
      </c>
      <c r="G1585" t="s">
        <v>18</v>
      </c>
      <c r="H1585" t="s">
        <v>16</v>
      </c>
      <c r="I1585" s="3">
        <v>45</v>
      </c>
      <c r="J1585" s="2">
        <v>275</v>
      </c>
      <c r="K1585" s="3">
        <f t="shared" si="24"/>
        <v>12375</v>
      </c>
      <c r="L1585" s="3">
        <v>7425</v>
      </c>
    </row>
    <row r="1586" spans="1:12" x14ac:dyDescent="0.25">
      <c r="A1586" t="s">
        <v>36</v>
      </c>
      <c r="B1586">
        <v>1185732</v>
      </c>
      <c r="C1586" s="1">
        <v>44265</v>
      </c>
      <c r="D1586" t="s">
        <v>29</v>
      </c>
      <c r="E1586" t="s">
        <v>80</v>
      </c>
      <c r="F1586" t="s">
        <v>81</v>
      </c>
      <c r="G1586" t="s">
        <v>18</v>
      </c>
      <c r="H1586" t="s">
        <v>38</v>
      </c>
      <c r="I1586" s="3">
        <v>45</v>
      </c>
      <c r="J1586" s="2">
        <v>545</v>
      </c>
      <c r="K1586" s="3">
        <f t="shared" si="24"/>
        <v>24525</v>
      </c>
      <c r="L1586" s="3">
        <v>13488.75</v>
      </c>
    </row>
    <row r="1587" spans="1:12" x14ac:dyDescent="0.25">
      <c r="A1587" t="s">
        <v>36</v>
      </c>
      <c r="B1587">
        <v>1185732</v>
      </c>
      <c r="C1587" s="1">
        <v>44265</v>
      </c>
      <c r="D1587" t="s">
        <v>29</v>
      </c>
      <c r="E1587" t="s">
        <v>80</v>
      </c>
      <c r="F1587" t="s">
        <v>81</v>
      </c>
      <c r="G1587" t="s">
        <v>18</v>
      </c>
      <c r="H1587" t="s">
        <v>17</v>
      </c>
      <c r="I1587" s="3">
        <v>45</v>
      </c>
      <c r="J1587" s="2">
        <v>250</v>
      </c>
      <c r="K1587" s="3">
        <f t="shared" si="24"/>
        <v>11250</v>
      </c>
      <c r="L1587" s="3">
        <v>6187.5</v>
      </c>
    </row>
    <row r="1588" spans="1:12" x14ac:dyDescent="0.25">
      <c r="A1588" t="s">
        <v>27</v>
      </c>
      <c r="B1588">
        <v>1185732</v>
      </c>
      <c r="C1588" s="1">
        <v>44265</v>
      </c>
      <c r="D1588" t="s">
        <v>12</v>
      </c>
      <c r="E1588" t="s">
        <v>62</v>
      </c>
      <c r="F1588" t="s">
        <v>63</v>
      </c>
      <c r="G1588" t="s">
        <v>18</v>
      </c>
      <c r="H1588" t="s">
        <v>38</v>
      </c>
      <c r="I1588" s="3">
        <v>40</v>
      </c>
      <c r="J1588" s="2">
        <v>820</v>
      </c>
      <c r="K1588" s="3">
        <f t="shared" si="24"/>
        <v>32800</v>
      </c>
      <c r="L1588" s="3">
        <v>16400</v>
      </c>
    </row>
    <row r="1589" spans="1:12" x14ac:dyDescent="0.25">
      <c r="A1589" t="s">
        <v>11</v>
      </c>
      <c r="B1589">
        <v>1185732</v>
      </c>
      <c r="C1589" s="1">
        <v>44265</v>
      </c>
      <c r="D1589" t="s">
        <v>12</v>
      </c>
      <c r="E1589" t="s">
        <v>101</v>
      </c>
      <c r="F1589" t="s">
        <v>102</v>
      </c>
      <c r="G1589" t="s">
        <v>18</v>
      </c>
      <c r="H1589" t="s">
        <v>16</v>
      </c>
      <c r="I1589" s="3">
        <v>30.000000000000004</v>
      </c>
      <c r="J1589" s="2">
        <v>400</v>
      </c>
      <c r="K1589" s="3">
        <f t="shared" si="24"/>
        <v>12000.000000000002</v>
      </c>
      <c r="L1589" s="3">
        <v>6000.0000000000009</v>
      </c>
    </row>
    <row r="1590" spans="1:12" x14ac:dyDescent="0.25">
      <c r="A1590" t="s">
        <v>27</v>
      </c>
      <c r="B1590">
        <v>1185732</v>
      </c>
      <c r="C1590" s="1">
        <v>44265</v>
      </c>
      <c r="D1590" t="s">
        <v>12</v>
      </c>
      <c r="E1590" t="s">
        <v>62</v>
      </c>
      <c r="F1590" t="s">
        <v>63</v>
      </c>
      <c r="G1590" t="s">
        <v>41</v>
      </c>
      <c r="H1590" t="s">
        <v>16</v>
      </c>
      <c r="I1590" s="3">
        <v>37</v>
      </c>
      <c r="J1590" s="2">
        <v>165</v>
      </c>
      <c r="K1590" s="3">
        <f t="shared" si="24"/>
        <v>6105</v>
      </c>
      <c r="L1590" s="3">
        <v>3846.15</v>
      </c>
    </row>
    <row r="1591" spans="1:12" x14ac:dyDescent="0.25">
      <c r="A1591" t="s">
        <v>27</v>
      </c>
      <c r="B1591">
        <v>1189833</v>
      </c>
      <c r="C1591" s="1">
        <v>44265</v>
      </c>
      <c r="D1591" t="s">
        <v>12</v>
      </c>
      <c r="E1591" t="s">
        <v>13</v>
      </c>
      <c r="F1591" t="s">
        <v>14</v>
      </c>
      <c r="G1591" t="s">
        <v>15</v>
      </c>
      <c r="H1591" t="s">
        <v>37</v>
      </c>
      <c r="I1591" s="3">
        <v>33</v>
      </c>
      <c r="J1591" s="2">
        <v>182</v>
      </c>
      <c r="K1591" s="3">
        <f t="shared" si="24"/>
        <v>6006</v>
      </c>
      <c r="L1591" s="3">
        <v>3723.72</v>
      </c>
    </row>
    <row r="1592" spans="1:12" x14ac:dyDescent="0.25">
      <c r="A1592" t="s">
        <v>36</v>
      </c>
      <c r="B1592">
        <v>1185732</v>
      </c>
      <c r="C1592" s="1">
        <v>44265</v>
      </c>
      <c r="D1592" t="s">
        <v>29</v>
      </c>
      <c r="E1592" t="s">
        <v>80</v>
      </c>
      <c r="F1592" t="s">
        <v>81</v>
      </c>
      <c r="G1592" t="s">
        <v>15</v>
      </c>
      <c r="H1592" t="s">
        <v>35</v>
      </c>
      <c r="I1592" s="3">
        <v>23</v>
      </c>
      <c r="J1592" s="2">
        <v>85</v>
      </c>
      <c r="K1592" s="3">
        <f t="shared" si="24"/>
        <v>1955</v>
      </c>
      <c r="L1592" s="3">
        <v>1212.0999999999999</v>
      </c>
    </row>
    <row r="1593" spans="1:12" x14ac:dyDescent="0.25">
      <c r="A1593" t="s">
        <v>36</v>
      </c>
      <c r="B1593">
        <v>1185732</v>
      </c>
      <c r="C1593" s="1">
        <v>44265</v>
      </c>
      <c r="D1593" t="s">
        <v>29</v>
      </c>
      <c r="E1593" t="s">
        <v>80</v>
      </c>
      <c r="F1593" t="s">
        <v>81</v>
      </c>
      <c r="G1593" t="s">
        <v>15</v>
      </c>
      <c r="H1593" t="s">
        <v>22</v>
      </c>
      <c r="I1593" s="3">
        <v>36</v>
      </c>
      <c r="J1593" s="2">
        <v>56</v>
      </c>
      <c r="K1593" s="3">
        <f t="shared" si="24"/>
        <v>2016</v>
      </c>
      <c r="L1593" s="3">
        <v>1229.7600000000002</v>
      </c>
    </row>
    <row r="1594" spans="1:12" x14ac:dyDescent="0.25">
      <c r="A1594" t="s">
        <v>11</v>
      </c>
      <c r="B1594">
        <v>1185732</v>
      </c>
      <c r="C1594" s="1">
        <v>44265</v>
      </c>
      <c r="D1594" t="s">
        <v>12</v>
      </c>
      <c r="E1594" t="s">
        <v>101</v>
      </c>
      <c r="F1594" t="s">
        <v>102</v>
      </c>
      <c r="G1594" t="s">
        <v>15</v>
      </c>
      <c r="H1594" t="s">
        <v>35</v>
      </c>
      <c r="I1594" s="3">
        <v>16</v>
      </c>
      <c r="J1594" s="2">
        <v>140</v>
      </c>
      <c r="K1594" s="3">
        <f t="shared" si="24"/>
        <v>2240</v>
      </c>
      <c r="L1594" s="3">
        <v>1366.4</v>
      </c>
    </row>
    <row r="1595" spans="1:12" x14ac:dyDescent="0.25">
      <c r="A1595" t="s">
        <v>11</v>
      </c>
      <c r="B1595">
        <v>1185732</v>
      </c>
      <c r="C1595" s="1">
        <v>44265</v>
      </c>
      <c r="D1595" t="s">
        <v>12</v>
      </c>
      <c r="E1595" t="s">
        <v>101</v>
      </c>
      <c r="F1595" t="s">
        <v>102</v>
      </c>
      <c r="G1595" t="s">
        <v>15</v>
      </c>
      <c r="H1595" t="s">
        <v>17</v>
      </c>
      <c r="I1595" s="3">
        <v>22</v>
      </c>
      <c r="J1595" s="2">
        <v>105</v>
      </c>
      <c r="K1595" s="3">
        <f t="shared" si="24"/>
        <v>2310</v>
      </c>
      <c r="L1595" s="3">
        <v>1386</v>
      </c>
    </row>
    <row r="1596" spans="1:12" x14ac:dyDescent="0.25">
      <c r="A1596" t="s">
        <v>11</v>
      </c>
      <c r="B1596">
        <v>1185732</v>
      </c>
      <c r="C1596" s="1">
        <v>44265</v>
      </c>
      <c r="D1596" t="s">
        <v>12</v>
      </c>
      <c r="E1596" t="s">
        <v>101</v>
      </c>
      <c r="F1596" t="s">
        <v>102</v>
      </c>
      <c r="G1596" t="s">
        <v>15</v>
      </c>
      <c r="H1596" t="s">
        <v>22</v>
      </c>
      <c r="I1596" s="3">
        <v>28</v>
      </c>
      <c r="J1596" s="2">
        <v>90</v>
      </c>
      <c r="K1596" s="3">
        <f t="shared" si="24"/>
        <v>2520</v>
      </c>
      <c r="L1596" s="3">
        <v>1512</v>
      </c>
    </row>
    <row r="1597" spans="1:12" x14ac:dyDescent="0.25">
      <c r="A1597" t="s">
        <v>36</v>
      </c>
      <c r="B1597">
        <v>1185732</v>
      </c>
      <c r="C1597" s="1">
        <v>44265</v>
      </c>
      <c r="D1597" t="s">
        <v>29</v>
      </c>
      <c r="E1597" t="s">
        <v>80</v>
      </c>
      <c r="F1597" t="s">
        <v>81</v>
      </c>
      <c r="G1597" t="s">
        <v>15</v>
      </c>
      <c r="H1597" t="s">
        <v>37</v>
      </c>
      <c r="I1597" s="3">
        <v>30</v>
      </c>
      <c r="J1597" s="2">
        <v>39</v>
      </c>
      <c r="K1597" s="3">
        <f t="shared" si="24"/>
        <v>1170</v>
      </c>
      <c r="L1597" s="3">
        <v>702</v>
      </c>
    </row>
    <row r="1598" spans="1:12" x14ac:dyDescent="0.25">
      <c r="A1598" t="s">
        <v>11</v>
      </c>
      <c r="B1598">
        <v>1185732</v>
      </c>
      <c r="C1598" s="1">
        <v>44265</v>
      </c>
      <c r="D1598" t="s">
        <v>12</v>
      </c>
      <c r="E1598" t="s">
        <v>101</v>
      </c>
      <c r="F1598" t="s">
        <v>102</v>
      </c>
      <c r="G1598" t="s">
        <v>15</v>
      </c>
      <c r="H1598" t="s">
        <v>37</v>
      </c>
      <c r="I1598" s="3">
        <v>20</v>
      </c>
      <c r="J1598" s="2">
        <v>75</v>
      </c>
      <c r="K1598" s="3">
        <f t="shared" si="24"/>
        <v>1500</v>
      </c>
      <c r="L1598" s="3">
        <v>869.99999999999989</v>
      </c>
    </row>
    <row r="1599" spans="1:12" x14ac:dyDescent="0.25">
      <c r="A1599" t="s">
        <v>11</v>
      </c>
      <c r="B1599">
        <v>1185732</v>
      </c>
      <c r="C1599" s="1">
        <v>44265</v>
      </c>
      <c r="D1599" t="s">
        <v>12</v>
      </c>
      <c r="E1599" t="s">
        <v>101</v>
      </c>
      <c r="F1599" t="s">
        <v>102</v>
      </c>
      <c r="G1599" t="s">
        <v>15</v>
      </c>
      <c r="H1599" t="s">
        <v>38</v>
      </c>
      <c r="I1599" s="3">
        <v>20</v>
      </c>
      <c r="J1599" s="2">
        <v>228</v>
      </c>
      <c r="K1599" s="3">
        <f t="shared" si="24"/>
        <v>4560</v>
      </c>
      <c r="L1599" s="3">
        <v>2599.1999999999998</v>
      </c>
    </row>
    <row r="1600" spans="1:12" x14ac:dyDescent="0.25">
      <c r="A1600" t="s">
        <v>27</v>
      </c>
      <c r="B1600">
        <v>1185732</v>
      </c>
      <c r="C1600" s="1">
        <v>44265</v>
      </c>
      <c r="D1600" t="s">
        <v>12</v>
      </c>
      <c r="E1600" t="s">
        <v>62</v>
      </c>
      <c r="F1600" t="s">
        <v>63</v>
      </c>
      <c r="G1600" t="s">
        <v>41</v>
      </c>
      <c r="H1600" t="s">
        <v>17</v>
      </c>
      <c r="I1600" s="3">
        <v>37</v>
      </c>
      <c r="J1600" s="2">
        <v>131</v>
      </c>
      <c r="K1600" s="3">
        <f t="shared" si="24"/>
        <v>4847</v>
      </c>
      <c r="L1600" s="3">
        <v>2714.32</v>
      </c>
    </row>
    <row r="1601" spans="1:12" x14ac:dyDescent="0.25">
      <c r="A1601" t="s">
        <v>27</v>
      </c>
      <c r="B1601">
        <v>1185732</v>
      </c>
      <c r="C1601" s="1">
        <v>44265</v>
      </c>
      <c r="D1601" t="s">
        <v>12</v>
      </c>
      <c r="E1601" t="s">
        <v>62</v>
      </c>
      <c r="F1601" t="s">
        <v>63</v>
      </c>
      <c r="G1601" t="s">
        <v>41</v>
      </c>
      <c r="H1601" t="s">
        <v>35</v>
      </c>
      <c r="I1601" s="3">
        <v>27</v>
      </c>
      <c r="J1601" s="2">
        <v>149</v>
      </c>
      <c r="K1601" s="3">
        <f t="shared" si="24"/>
        <v>4023</v>
      </c>
      <c r="L1601" s="3">
        <v>2212.65</v>
      </c>
    </row>
    <row r="1602" spans="1:12" x14ac:dyDescent="0.25">
      <c r="A1602" t="s">
        <v>27</v>
      </c>
      <c r="B1602">
        <v>1185732</v>
      </c>
      <c r="C1602" s="1">
        <v>44265</v>
      </c>
      <c r="D1602" t="s">
        <v>12</v>
      </c>
      <c r="E1602" t="s">
        <v>62</v>
      </c>
      <c r="F1602" t="s">
        <v>63</v>
      </c>
      <c r="G1602" t="s">
        <v>41</v>
      </c>
      <c r="H1602" t="s">
        <v>22</v>
      </c>
      <c r="I1602" s="3">
        <v>47</v>
      </c>
      <c r="J1602" s="2">
        <v>126</v>
      </c>
      <c r="K1602" s="3">
        <f t="shared" si="24"/>
        <v>5922</v>
      </c>
      <c r="L1602" s="3">
        <v>3257.1000000000004</v>
      </c>
    </row>
    <row r="1603" spans="1:12" x14ac:dyDescent="0.25">
      <c r="A1603" t="s">
        <v>36</v>
      </c>
      <c r="B1603">
        <v>1185732</v>
      </c>
      <c r="C1603" s="1">
        <v>44265</v>
      </c>
      <c r="D1603" t="s">
        <v>29</v>
      </c>
      <c r="E1603" t="s">
        <v>80</v>
      </c>
      <c r="F1603" t="s">
        <v>81</v>
      </c>
      <c r="G1603" t="s">
        <v>15</v>
      </c>
      <c r="H1603" t="s">
        <v>16</v>
      </c>
      <c r="I1603" s="3">
        <v>29</v>
      </c>
      <c r="J1603" s="2">
        <v>96</v>
      </c>
      <c r="K1603" s="3">
        <f t="shared" ref="K1603:K1666" si="25">I1603*J1603</f>
        <v>2784</v>
      </c>
      <c r="L1603" s="3">
        <v>1503.3600000000001</v>
      </c>
    </row>
    <row r="1604" spans="1:12" x14ac:dyDescent="0.25">
      <c r="A1604" t="s">
        <v>27</v>
      </c>
      <c r="B1604">
        <v>1185732</v>
      </c>
      <c r="C1604" s="1">
        <v>44265</v>
      </c>
      <c r="D1604" t="s">
        <v>12</v>
      </c>
      <c r="E1604" t="s">
        <v>62</v>
      </c>
      <c r="F1604" t="s">
        <v>63</v>
      </c>
      <c r="G1604" t="s">
        <v>41</v>
      </c>
      <c r="H1604" t="s">
        <v>37</v>
      </c>
      <c r="I1604" s="3">
        <v>33</v>
      </c>
      <c r="J1604" s="2">
        <v>112</v>
      </c>
      <c r="K1604" s="3">
        <f t="shared" si="25"/>
        <v>3696</v>
      </c>
      <c r="L1604" s="3">
        <v>1958.88</v>
      </c>
    </row>
    <row r="1605" spans="1:12" x14ac:dyDescent="0.25">
      <c r="A1605" t="s">
        <v>36</v>
      </c>
      <c r="B1605">
        <v>1185732</v>
      </c>
      <c r="C1605" s="1">
        <v>44265</v>
      </c>
      <c r="D1605" t="s">
        <v>29</v>
      </c>
      <c r="E1605" t="s">
        <v>80</v>
      </c>
      <c r="F1605" t="s">
        <v>81</v>
      </c>
      <c r="G1605" t="s">
        <v>41</v>
      </c>
      <c r="H1605" t="s">
        <v>37</v>
      </c>
      <c r="I1605" s="3">
        <v>36</v>
      </c>
      <c r="J1605" s="2">
        <v>38</v>
      </c>
      <c r="K1605" s="3">
        <f t="shared" si="25"/>
        <v>1368</v>
      </c>
      <c r="L1605" s="3">
        <v>697.68000000000006</v>
      </c>
    </row>
    <row r="1606" spans="1:12" x14ac:dyDescent="0.25">
      <c r="A1606" t="s">
        <v>27</v>
      </c>
      <c r="B1606">
        <v>1189833</v>
      </c>
      <c r="C1606" s="1">
        <v>44265</v>
      </c>
      <c r="D1606" t="s">
        <v>12</v>
      </c>
      <c r="E1606" t="s">
        <v>13</v>
      </c>
      <c r="F1606" t="s">
        <v>14</v>
      </c>
      <c r="G1606" t="s">
        <v>41</v>
      </c>
      <c r="H1606" t="s">
        <v>37</v>
      </c>
      <c r="I1606" s="3">
        <v>41</v>
      </c>
      <c r="J1606" s="2">
        <v>160</v>
      </c>
      <c r="K1606" s="3">
        <f t="shared" si="25"/>
        <v>6560</v>
      </c>
      <c r="L1606" s="3">
        <v>3345.6</v>
      </c>
    </row>
    <row r="1607" spans="1:12" x14ac:dyDescent="0.25">
      <c r="A1607" t="s">
        <v>36</v>
      </c>
      <c r="B1607">
        <v>1185732</v>
      </c>
      <c r="C1607" s="1">
        <v>44265</v>
      </c>
      <c r="D1607" t="s">
        <v>29</v>
      </c>
      <c r="E1607" t="s">
        <v>80</v>
      </c>
      <c r="F1607" t="s">
        <v>81</v>
      </c>
      <c r="G1607" t="s">
        <v>41</v>
      </c>
      <c r="H1607" t="s">
        <v>35</v>
      </c>
      <c r="I1607" s="3">
        <v>34</v>
      </c>
      <c r="J1607" s="2">
        <v>77</v>
      </c>
      <c r="K1607" s="3">
        <f t="shared" si="25"/>
        <v>2618</v>
      </c>
      <c r="L1607" s="3">
        <v>1335.18</v>
      </c>
    </row>
    <row r="1608" spans="1:12" x14ac:dyDescent="0.25">
      <c r="A1608" t="s">
        <v>36</v>
      </c>
      <c r="B1608">
        <v>1185732</v>
      </c>
      <c r="C1608" s="1">
        <v>44265</v>
      </c>
      <c r="D1608" t="s">
        <v>29</v>
      </c>
      <c r="E1608" t="s">
        <v>80</v>
      </c>
      <c r="F1608" t="s">
        <v>81</v>
      </c>
      <c r="G1608" t="s">
        <v>41</v>
      </c>
      <c r="H1608" t="s">
        <v>22</v>
      </c>
      <c r="I1608" s="3">
        <v>51</v>
      </c>
      <c r="J1608" s="2">
        <v>47</v>
      </c>
      <c r="K1608" s="3">
        <f t="shared" si="25"/>
        <v>2397</v>
      </c>
      <c r="L1608" s="3">
        <v>1222.47</v>
      </c>
    </row>
    <row r="1609" spans="1:12" x14ac:dyDescent="0.25">
      <c r="A1609" t="s">
        <v>36</v>
      </c>
      <c r="B1609">
        <v>1185732</v>
      </c>
      <c r="C1609" s="1">
        <v>44265</v>
      </c>
      <c r="D1609" t="s">
        <v>29</v>
      </c>
      <c r="E1609" t="s">
        <v>80</v>
      </c>
      <c r="F1609" t="s">
        <v>81</v>
      </c>
      <c r="G1609" t="s">
        <v>15</v>
      </c>
      <c r="H1609" t="s">
        <v>38</v>
      </c>
      <c r="I1609" s="3">
        <v>35</v>
      </c>
      <c r="J1609" s="2">
        <v>185</v>
      </c>
      <c r="K1609" s="3">
        <f t="shared" si="25"/>
        <v>6475</v>
      </c>
      <c r="L1609" s="3">
        <v>3302.25</v>
      </c>
    </row>
    <row r="1610" spans="1:12" x14ac:dyDescent="0.25">
      <c r="A1610" t="s">
        <v>26</v>
      </c>
      <c r="B1610">
        <v>1197831</v>
      </c>
      <c r="C1610" s="1">
        <v>44265</v>
      </c>
      <c r="D1610" t="s">
        <v>57</v>
      </c>
      <c r="E1610" t="s">
        <v>58</v>
      </c>
      <c r="F1610" t="s">
        <v>59</v>
      </c>
      <c r="G1610" t="s">
        <v>41</v>
      </c>
      <c r="H1610" t="s">
        <v>38</v>
      </c>
      <c r="I1610" s="3">
        <v>18</v>
      </c>
      <c r="J1610" s="2">
        <v>210</v>
      </c>
      <c r="K1610" s="3">
        <f t="shared" si="25"/>
        <v>3780</v>
      </c>
      <c r="L1610" s="3">
        <v>1890</v>
      </c>
    </row>
    <row r="1611" spans="1:12" x14ac:dyDescent="0.25">
      <c r="A1611" t="s">
        <v>11</v>
      </c>
      <c r="B1611">
        <v>1185732</v>
      </c>
      <c r="C1611" s="1">
        <v>44265</v>
      </c>
      <c r="D1611" t="s">
        <v>12</v>
      </c>
      <c r="E1611" t="s">
        <v>101</v>
      </c>
      <c r="F1611" t="s">
        <v>102</v>
      </c>
      <c r="G1611" t="s">
        <v>41</v>
      </c>
      <c r="H1611" t="s">
        <v>17</v>
      </c>
      <c r="I1611" s="3">
        <v>28</v>
      </c>
      <c r="J1611" s="2">
        <v>102</v>
      </c>
      <c r="K1611" s="3">
        <f t="shared" si="25"/>
        <v>2856</v>
      </c>
      <c r="L1611" s="3">
        <v>1428</v>
      </c>
    </row>
    <row r="1612" spans="1:12" x14ac:dyDescent="0.25">
      <c r="A1612" t="s">
        <v>11</v>
      </c>
      <c r="B1612">
        <v>1185732</v>
      </c>
      <c r="C1612" s="1">
        <v>44265</v>
      </c>
      <c r="D1612" t="s">
        <v>12</v>
      </c>
      <c r="E1612" t="s">
        <v>101</v>
      </c>
      <c r="F1612" t="s">
        <v>102</v>
      </c>
      <c r="G1612" t="s">
        <v>41</v>
      </c>
      <c r="H1612" t="s">
        <v>35</v>
      </c>
      <c r="I1612" s="3">
        <v>18</v>
      </c>
      <c r="J1612" s="2">
        <v>112</v>
      </c>
      <c r="K1612" s="3">
        <f t="shared" si="25"/>
        <v>2016</v>
      </c>
      <c r="L1612" s="3">
        <v>1008</v>
      </c>
    </row>
    <row r="1613" spans="1:12" x14ac:dyDescent="0.25">
      <c r="A1613" t="s">
        <v>11</v>
      </c>
      <c r="B1613">
        <v>1185732</v>
      </c>
      <c r="C1613" s="1">
        <v>44265</v>
      </c>
      <c r="D1613" t="s">
        <v>12</v>
      </c>
      <c r="E1613" t="s">
        <v>101</v>
      </c>
      <c r="F1613" t="s">
        <v>102</v>
      </c>
      <c r="G1613" t="s">
        <v>41</v>
      </c>
      <c r="H1613" t="s">
        <v>22</v>
      </c>
      <c r="I1613" s="3">
        <v>38</v>
      </c>
      <c r="J1613" s="2">
        <v>75</v>
      </c>
      <c r="K1613" s="3">
        <f t="shared" si="25"/>
        <v>2850</v>
      </c>
      <c r="L1613" s="3">
        <v>1425</v>
      </c>
    </row>
    <row r="1614" spans="1:12" x14ac:dyDescent="0.25">
      <c r="A1614" t="s">
        <v>36</v>
      </c>
      <c r="B1614">
        <v>1185732</v>
      </c>
      <c r="C1614" s="1">
        <v>44265</v>
      </c>
      <c r="D1614" t="s">
        <v>29</v>
      </c>
      <c r="E1614" t="s">
        <v>80</v>
      </c>
      <c r="F1614" t="s">
        <v>81</v>
      </c>
      <c r="G1614" t="s">
        <v>15</v>
      </c>
      <c r="H1614" t="s">
        <v>17</v>
      </c>
      <c r="I1614" s="3">
        <v>36</v>
      </c>
      <c r="J1614" s="2">
        <v>80</v>
      </c>
      <c r="K1614" s="3">
        <f t="shared" si="25"/>
        <v>2880</v>
      </c>
      <c r="L1614" s="3">
        <v>1440</v>
      </c>
    </row>
    <row r="1615" spans="1:12" x14ac:dyDescent="0.25">
      <c r="A1615" t="s">
        <v>11</v>
      </c>
      <c r="B1615">
        <v>1185732</v>
      </c>
      <c r="C1615" s="1">
        <v>44265</v>
      </c>
      <c r="D1615" t="s">
        <v>12</v>
      </c>
      <c r="E1615" t="s">
        <v>101</v>
      </c>
      <c r="F1615" t="s">
        <v>102</v>
      </c>
      <c r="G1615" t="s">
        <v>41</v>
      </c>
      <c r="H1615" t="s">
        <v>38</v>
      </c>
      <c r="I1615" s="3">
        <v>29</v>
      </c>
      <c r="J1615" s="2">
        <v>168</v>
      </c>
      <c r="K1615" s="3">
        <f t="shared" si="25"/>
        <v>4872</v>
      </c>
      <c r="L1615" s="3">
        <v>2338.56</v>
      </c>
    </row>
    <row r="1616" spans="1:12" x14ac:dyDescent="0.25">
      <c r="A1616" t="s">
        <v>11</v>
      </c>
      <c r="B1616">
        <v>1185732</v>
      </c>
      <c r="C1616" s="1">
        <v>44265</v>
      </c>
      <c r="D1616" t="s">
        <v>12</v>
      </c>
      <c r="E1616" t="s">
        <v>101</v>
      </c>
      <c r="F1616" t="s">
        <v>102</v>
      </c>
      <c r="G1616" t="s">
        <v>41</v>
      </c>
      <c r="H1616" t="s">
        <v>37</v>
      </c>
      <c r="I1616" s="3">
        <v>23</v>
      </c>
      <c r="J1616" s="2">
        <v>73</v>
      </c>
      <c r="K1616" s="3">
        <f t="shared" si="25"/>
        <v>1679</v>
      </c>
      <c r="L1616" s="3">
        <v>789.13</v>
      </c>
    </row>
    <row r="1617" spans="1:12" x14ac:dyDescent="0.25">
      <c r="A1617" t="s">
        <v>36</v>
      </c>
      <c r="B1617">
        <v>1185732</v>
      </c>
      <c r="C1617" s="1">
        <v>44265</v>
      </c>
      <c r="D1617" t="s">
        <v>29</v>
      </c>
      <c r="E1617" t="s">
        <v>80</v>
      </c>
      <c r="F1617" t="s">
        <v>81</v>
      </c>
      <c r="G1617" t="s">
        <v>41</v>
      </c>
      <c r="H1617" t="s">
        <v>16</v>
      </c>
      <c r="I1617" s="3">
        <v>41</v>
      </c>
      <c r="J1617" s="2">
        <v>80</v>
      </c>
      <c r="K1617" s="3">
        <f t="shared" si="25"/>
        <v>3280</v>
      </c>
      <c r="L1617" s="3">
        <v>1476.0000000000002</v>
      </c>
    </row>
    <row r="1618" spans="1:12" x14ac:dyDescent="0.25">
      <c r="A1618" t="s">
        <v>36</v>
      </c>
      <c r="B1618">
        <v>1185732</v>
      </c>
      <c r="C1618" s="1">
        <v>44265</v>
      </c>
      <c r="D1618" t="s">
        <v>29</v>
      </c>
      <c r="E1618" t="s">
        <v>80</v>
      </c>
      <c r="F1618" t="s">
        <v>81</v>
      </c>
      <c r="G1618" t="s">
        <v>41</v>
      </c>
      <c r="H1618" t="s">
        <v>17</v>
      </c>
      <c r="I1618" s="3">
        <v>42</v>
      </c>
      <c r="J1618" s="2">
        <v>70</v>
      </c>
      <c r="K1618" s="3">
        <f t="shared" si="25"/>
        <v>2940</v>
      </c>
      <c r="L1618" s="3">
        <v>1264.1999999999998</v>
      </c>
    </row>
    <row r="1619" spans="1:12" x14ac:dyDescent="0.25">
      <c r="A1619" t="s">
        <v>11</v>
      </c>
      <c r="B1619">
        <v>1185732</v>
      </c>
      <c r="C1619" s="1">
        <v>44265</v>
      </c>
      <c r="D1619" t="s">
        <v>12</v>
      </c>
      <c r="E1619" t="s">
        <v>101</v>
      </c>
      <c r="F1619" t="s">
        <v>102</v>
      </c>
      <c r="G1619" t="s">
        <v>15</v>
      </c>
      <c r="H1619" t="s">
        <v>16</v>
      </c>
      <c r="I1619" s="3">
        <v>21</v>
      </c>
      <c r="J1619" s="2">
        <v>140</v>
      </c>
      <c r="K1619" s="3">
        <f t="shared" si="25"/>
        <v>2940</v>
      </c>
      <c r="L1619" s="3">
        <v>1264.1999999999998</v>
      </c>
    </row>
    <row r="1620" spans="1:12" x14ac:dyDescent="0.25">
      <c r="A1620" t="s">
        <v>27</v>
      </c>
      <c r="B1620">
        <v>1185732</v>
      </c>
      <c r="C1620" s="1">
        <v>44265</v>
      </c>
      <c r="D1620" t="s">
        <v>12</v>
      </c>
      <c r="E1620" t="s">
        <v>62</v>
      </c>
      <c r="F1620" t="s">
        <v>63</v>
      </c>
      <c r="G1620" t="s">
        <v>41</v>
      </c>
      <c r="H1620" t="s">
        <v>38</v>
      </c>
      <c r="I1620" s="3">
        <v>38</v>
      </c>
      <c r="J1620" s="2">
        <v>246</v>
      </c>
      <c r="K1620" s="3">
        <f t="shared" si="25"/>
        <v>9348</v>
      </c>
      <c r="L1620" s="3">
        <v>3739.2</v>
      </c>
    </row>
    <row r="1621" spans="1:12" x14ac:dyDescent="0.25">
      <c r="A1621" t="s">
        <v>36</v>
      </c>
      <c r="B1621">
        <v>1185732</v>
      </c>
      <c r="C1621" s="1">
        <v>44265</v>
      </c>
      <c r="D1621" t="s">
        <v>29</v>
      </c>
      <c r="E1621" t="s">
        <v>80</v>
      </c>
      <c r="F1621" t="s">
        <v>81</v>
      </c>
      <c r="G1621" t="s">
        <v>41</v>
      </c>
      <c r="H1621" t="s">
        <v>38</v>
      </c>
      <c r="I1621" s="3">
        <v>44</v>
      </c>
      <c r="J1621" s="2">
        <v>142</v>
      </c>
      <c r="K1621" s="3">
        <f t="shared" si="25"/>
        <v>6248</v>
      </c>
      <c r="L1621" s="3">
        <v>2499.2000000000003</v>
      </c>
    </row>
    <row r="1622" spans="1:12" x14ac:dyDescent="0.25">
      <c r="A1622" t="s">
        <v>11</v>
      </c>
      <c r="B1622">
        <v>1185732</v>
      </c>
      <c r="C1622" s="1">
        <v>44265</v>
      </c>
      <c r="D1622" t="s">
        <v>12</v>
      </c>
      <c r="E1622" t="s">
        <v>101</v>
      </c>
      <c r="F1622" t="s">
        <v>102</v>
      </c>
      <c r="G1622" t="s">
        <v>41</v>
      </c>
      <c r="H1622" t="s">
        <v>16</v>
      </c>
      <c r="I1622" s="3">
        <v>29</v>
      </c>
      <c r="J1622" s="2">
        <v>100</v>
      </c>
      <c r="K1622" s="3">
        <f t="shared" si="25"/>
        <v>2900</v>
      </c>
      <c r="L1622" s="3">
        <v>1044</v>
      </c>
    </row>
    <row r="1623" spans="1:12" x14ac:dyDescent="0.25">
      <c r="A1623" t="s">
        <v>19</v>
      </c>
      <c r="B1623">
        <v>1185732</v>
      </c>
      <c r="C1623" s="1">
        <v>44266</v>
      </c>
      <c r="D1623" t="s">
        <v>57</v>
      </c>
      <c r="E1623" t="s">
        <v>74</v>
      </c>
      <c r="F1623" t="s">
        <v>75</v>
      </c>
      <c r="G1623" t="s">
        <v>41</v>
      </c>
      <c r="H1623" t="s">
        <v>35</v>
      </c>
      <c r="I1623" s="3">
        <v>30.000000000000004</v>
      </c>
      <c r="J1623" s="2">
        <v>225</v>
      </c>
      <c r="K1623" s="3">
        <f t="shared" si="25"/>
        <v>6750.0000000000009</v>
      </c>
      <c r="L1623" s="3">
        <v>4725.0000000000018</v>
      </c>
    </row>
    <row r="1624" spans="1:12" x14ac:dyDescent="0.25">
      <c r="A1624" t="s">
        <v>19</v>
      </c>
      <c r="B1624">
        <v>1185732</v>
      </c>
      <c r="C1624" s="1">
        <v>44266</v>
      </c>
      <c r="D1624" t="s">
        <v>57</v>
      </c>
      <c r="E1624" t="s">
        <v>74</v>
      </c>
      <c r="F1624" t="s">
        <v>75</v>
      </c>
      <c r="G1624" t="s">
        <v>41</v>
      </c>
      <c r="H1624" t="s">
        <v>17</v>
      </c>
      <c r="I1624" s="3">
        <v>40</v>
      </c>
      <c r="J1624" s="2">
        <v>200</v>
      </c>
      <c r="K1624" s="3">
        <f t="shared" si="25"/>
        <v>8000</v>
      </c>
      <c r="L1624" s="3">
        <v>5600</v>
      </c>
    </row>
    <row r="1625" spans="1:12" x14ac:dyDescent="0.25">
      <c r="A1625" t="s">
        <v>19</v>
      </c>
      <c r="B1625">
        <v>1185732</v>
      </c>
      <c r="C1625" s="1">
        <v>44266</v>
      </c>
      <c r="D1625" t="s">
        <v>57</v>
      </c>
      <c r="E1625" t="s">
        <v>74</v>
      </c>
      <c r="F1625" t="s">
        <v>75</v>
      </c>
      <c r="G1625" t="s">
        <v>41</v>
      </c>
      <c r="H1625" t="s">
        <v>37</v>
      </c>
      <c r="I1625" s="3">
        <v>35</v>
      </c>
      <c r="J1625" s="2">
        <v>75</v>
      </c>
      <c r="K1625" s="3">
        <f t="shared" si="25"/>
        <v>2625</v>
      </c>
      <c r="L1625" s="3">
        <v>1837.5</v>
      </c>
    </row>
    <row r="1626" spans="1:12" x14ac:dyDescent="0.25">
      <c r="A1626" t="s">
        <v>26</v>
      </c>
      <c r="B1626">
        <v>1197831</v>
      </c>
      <c r="C1626" s="1">
        <v>44266</v>
      </c>
      <c r="D1626" t="s">
        <v>57</v>
      </c>
      <c r="E1626" t="s">
        <v>58</v>
      </c>
      <c r="F1626" t="s">
        <v>59</v>
      </c>
      <c r="G1626" t="s">
        <v>15</v>
      </c>
      <c r="H1626" t="s">
        <v>17</v>
      </c>
      <c r="I1626" s="3">
        <v>30</v>
      </c>
      <c r="J1626" s="2">
        <v>700</v>
      </c>
      <c r="K1626" s="3">
        <f t="shared" si="25"/>
        <v>21000</v>
      </c>
      <c r="L1626" s="3">
        <v>13650</v>
      </c>
    </row>
    <row r="1627" spans="1:12" x14ac:dyDescent="0.25">
      <c r="A1627" t="s">
        <v>19</v>
      </c>
      <c r="B1627">
        <v>1185732</v>
      </c>
      <c r="C1627" s="1">
        <v>44266</v>
      </c>
      <c r="D1627" t="s">
        <v>57</v>
      </c>
      <c r="E1627" t="s">
        <v>74</v>
      </c>
      <c r="F1627" t="s">
        <v>75</v>
      </c>
      <c r="G1627" t="s">
        <v>41</v>
      </c>
      <c r="H1627" t="s">
        <v>38</v>
      </c>
      <c r="I1627" s="3">
        <v>40</v>
      </c>
      <c r="J1627" s="2">
        <v>495</v>
      </c>
      <c r="K1627" s="3">
        <f t="shared" si="25"/>
        <v>19800</v>
      </c>
      <c r="L1627" s="3">
        <v>12870</v>
      </c>
    </row>
    <row r="1628" spans="1:12" x14ac:dyDescent="0.25">
      <c r="A1628" t="s">
        <v>19</v>
      </c>
      <c r="B1628">
        <v>1185732</v>
      </c>
      <c r="C1628" s="1">
        <v>44266</v>
      </c>
      <c r="D1628" t="s">
        <v>57</v>
      </c>
      <c r="E1628" t="s">
        <v>74</v>
      </c>
      <c r="F1628" t="s">
        <v>75</v>
      </c>
      <c r="G1628" t="s">
        <v>41</v>
      </c>
      <c r="H1628" t="s">
        <v>22</v>
      </c>
      <c r="I1628" s="3">
        <v>50</v>
      </c>
      <c r="J1628" s="2">
        <v>125</v>
      </c>
      <c r="K1628" s="3">
        <f t="shared" si="25"/>
        <v>6250</v>
      </c>
      <c r="L1628" s="3">
        <v>4062.5</v>
      </c>
    </row>
    <row r="1629" spans="1:12" x14ac:dyDescent="0.25">
      <c r="A1629" t="s">
        <v>19</v>
      </c>
      <c r="B1629">
        <v>1185732</v>
      </c>
      <c r="C1629" s="1">
        <v>44266</v>
      </c>
      <c r="D1629" t="s">
        <v>57</v>
      </c>
      <c r="E1629" t="s">
        <v>74</v>
      </c>
      <c r="F1629" t="s">
        <v>75</v>
      </c>
      <c r="G1629" t="s">
        <v>41</v>
      </c>
      <c r="H1629" t="s">
        <v>16</v>
      </c>
      <c r="I1629" s="3">
        <v>40</v>
      </c>
      <c r="J1629" s="2">
        <v>225</v>
      </c>
      <c r="K1629" s="3">
        <f t="shared" si="25"/>
        <v>9000</v>
      </c>
      <c r="L1629" s="3">
        <v>5400</v>
      </c>
    </row>
    <row r="1630" spans="1:12" x14ac:dyDescent="0.25">
      <c r="A1630" t="s">
        <v>27</v>
      </c>
      <c r="B1630">
        <v>1189833</v>
      </c>
      <c r="C1630" s="1">
        <v>44266</v>
      </c>
      <c r="D1630" t="s">
        <v>12</v>
      </c>
      <c r="E1630" t="s">
        <v>13</v>
      </c>
      <c r="F1630" t="s">
        <v>28</v>
      </c>
      <c r="G1630" t="s">
        <v>15</v>
      </c>
      <c r="H1630" t="s">
        <v>22</v>
      </c>
      <c r="I1630" s="3">
        <v>50</v>
      </c>
      <c r="J1630" s="2">
        <v>500</v>
      </c>
      <c r="K1630" s="3">
        <f t="shared" si="25"/>
        <v>25000</v>
      </c>
      <c r="L1630" s="3">
        <v>11250</v>
      </c>
    </row>
    <row r="1631" spans="1:12" x14ac:dyDescent="0.25">
      <c r="A1631" t="s">
        <v>19</v>
      </c>
      <c r="B1631">
        <v>1185732</v>
      </c>
      <c r="C1631" s="1">
        <v>44266</v>
      </c>
      <c r="D1631" t="s">
        <v>57</v>
      </c>
      <c r="E1631" t="s">
        <v>74</v>
      </c>
      <c r="F1631" t="s">
        <v>75</v>
      </c>
      <c r="G1631" t="s">
        <v>41</v>
      </c>
      <c r="H1631" t="s">
        <v>17</v>
      </c>
      <c r="I1631" s="3">
        <v>37</v>
      </c>
      <c r="J1631" s="2">
        <v>50</v>
      </c>
      <c r="K1631" s="3">
        <f t="shared" si="25"/>
        <v>1850</v>
      </c>
      <c r="L1631" s="3">
        <v>1073</v>
      </c>
    </row>
    <row r="1632" spans="1:12" x14ac:dyDescent="0.25">
      <c r="A1632" t="s">
        <v>19</v>
      </c>
      <c r="B1632">
        <v>1185732</v>
      </c>
      <c r="C1632" s="1">
        <v>44266</v>
      </c>
      <c r="D1632" t="s">
        <v>57</v>
      </c>
      <c r="E1632" t="s">
        <v>74</v>
      </c>
      <c r="F1632" t="s">
        <v>75</v>
      </c>
      <c r="G1632" t="s">
        <v>41</v>
      </c>
      <c r="H1632" t="s">
        <v>35</v>
      </c>
      <c r="I1632" s="3">
        <v>27</v>
      </c>
      <c r="J1632" s="2">
        <v>59</v>
      </c>
      <c r="K1632" s="3">
        <f t="shared" si="25"/>
        <v>1593</v>
      </c>
      <c r="L1632" s="3">
        <v>923.94</v>
      </c>
    </row>
    <row r="1633" spans="1:12" x14ac:dyDescent="0.25">
      <c r="A1633" t="s">
        <v>19</v>
      </c>
      <c r="B1633">
        <v>1185732</v>
      </c>
      <c r="C1633" s="1">
        <v>44266</v>
      </c>
      <c r="D1633" t="s">
        <v>57</v>
      </c>
      <c r="E1633" t="s">
        <v>74</v>
      </c>
      <c r="F1633" t="s">
        <v>75</v>
      </c>
      <c r="G1633" t="s">
        <v>41</v>
      </c>
      <c r="H1633" t="s">
        <v>37</v>
      </c>
      <c r="I1633" s="3">
        <v>33</v>
      </c>
      <c r="J1633" s="2">
        <v>23</v>
      </c>
      <c r="K1633" s="3">
        <f t="shared" si="25"/>
        <v>759</v>
      </c>
      <c r="L1633" s="3">
        <v>425.04</v>
      </c>
    </row>
    <row r="1634" spans="1:12" x14ac:dyDescent="0.25">
      <c r="A1634" t="s">
        <v>26</v>
      </c>
      <c r="B1634">
        <v>1197831</v>
      </c>
      <c r="C1634" s="1">
        <v>44266</v>
      </c>
      <c r="D1634" t="s">
        <v>57</v>
      </c>
      <c r="E1634" t="s">
        <v>58</v>
      </c>
      <c r="F1634" t="s">
        <v>59</v>
      </c>
      <c r="G1634" t="s">
        <v>41</v>
      </c>
      <c r="H1634" t="s">
        <v>17</v>
      </c>
      <c r="I1634" s="3">
        <v>29</v>
      </c>
      <c r="J1634" s="2">
        <v>182</v>
      </c>
      <c r="K1634" s="3">
        <f t="shared" si="25"/>
        <v>5278</v>
      </c>
      <c r="L1634" s="3">
        <v>2850.1200000000003</v>
      </c>
    </row>
    <row r="1635" spans="1:12" x14ac:dyDescent="0.25">
      <c r="A1635" t="s">
        <v>19</v>
      </c>
      <c r="B1635">
        <v>1185732</v>
      </c>
      <c r="C1635" s="1">
        <v>44266</v>
      </c>
      <c r="D1635" t="s">
        <v>57</v>
      </c>
      <c r="E1635" t="s">
        <v>74</v>
      </c>
      <c r="F1635" t="s">
        <v>75</v>
      </c>
      <c r="G1635" t="s">
        <v>41</v>
      </c>
      <c r="H1635" t="s">
        <v>38</v>
      </c>
      <c r="I1635" s="3">
        <v>39</v>
      </c>
      <c r="J1635" s="2">
        <v>124</v>
      </c>
      <c r="K1635" s="3">
        <f t="shared" si="25"/>
        <v>4836</v>
      </c>
      <c r="L1635" s="3">
        <v>2466.36</v>
      </c>
    </row>
    <row r="1636" spans="1:12" x14ac:dyDescent="0.25">
      <c r="A1636" t="s">
        <v>19</v>
      </c>
      <c r="B1636">
        <v>1185732</v>
      </c>
      <c r="C1636" s="1">
        <v>44266</v>
      </c>
      <c r="D1636" t="s">
        <v>57</v>
      </c>
      <c r="E1636" t="s">
        <v>74</v>
      </c>
      <c r="F1636" t="s">
        <v>75</v>
      </c>
      <c r="G1636" t="s">
        <v>41</v>
      </c>
      <c r="H1636" t="s">
        <v>22</v>
      </c>
      <c r="I1636" s="3">
        <v>47</v>
      </c>
      <c r="J1636" s="2">
        <v>31</v>
      </c>
      <c r="K1636" s="3">
        <f t="shared" si="25"/>
        <v>1457</v>
      </c>
      <c r="L1636" s="3">
        <v>728.5</v>
      </c>
    </row>
    <row r="1637" spans="1:12" x14ac:dyDescent="0.25">
      <c r="A1637" t="s">
        <v>19</v>
      </c>
      <c r="B1637">
        <v>1185732</v>
      </c>
      <c r="C1637" s="1">
        <v>44266</v>
      </c>
      <c r="D1637" t="s">
        <v>57</v>
      </c>
      <c r="E1637" t="s">
        <v>74</v>
      </c>
      <c r="F1637" t="s">
        <v>75</v>
      </c>
      <c r="G1637" t="s">
        <v>41</v>
      </c>
      <c r="H1637" t="s">
        <v>16</v>
      </c>
      <c r="I1637" s="3">
        <v>37</v>
      </c>
      <c r="J1637" s="2">
        <v>59</v>
      </c>
      <c r="K1637" s="3">
        <f t="shared" si="25"/>
        <v>2183</v>
      </c>
      <c r="L1637" s="3">
        <v>1026.01</v>
      </c>
    </row>
    <row r="1638" spans="1:12" x14ac:dyDescent="0.25">
      <c r="A1638" t="s">
        <v>27</v>
      </c>
      <c r="B1638">
        <v>1189833</v>
      </c>
      <c r="C1638" s="1">
        <v>44266</v>
      </c>
      <c r="D1638" t="s">
        <v>12</v>
      </c>
      <c r="E1638" t="s">
        <v>13</v>
      </c>
      <c r="F1638" t="s">
        <v>28</v>
      </c>
      <c r="G1638" t="s">
        <v>15</v>
      </c>
      <c r="H1638" t="s">
        <v>22</v>
      </c>
      <c r="I1638" s="3">
        <v>36</v>
      </c>
      <c r="J1638" s="2">
        <v>155</v>
      </c>
      <c r="K1638" s="3">
        <f t="shared" si="25"/>
        <v>5580</v>
      </c>
      <c r="L1638" s="3">
        <v>2287.7999999999997</v>
      </c>
    </row>
    <row r="1639" spans="1:12" x14ac:dyDescent="0.25">
      <c r="A1639" t="s">
        <v>27</v>
      </c>
      <c r="B1639">
        <v>1189833</v>
      </c>
      <c r="C1639" s="1">
        <v>44266</v>
      </c>
      <c r="D1639" t="s">
        <v>12</v>
      </c>
      <c r="E1639" t="s">
        <v>13</v>
      </c>
      <c r="F1639" t="s">
        <v>28</v>
      </c>
      <c r="G1639" t="s">
        <v>41</v>
      </c>
      <c r="H1639" t="s">
        <v>22</v>
      </c>
      <c r="I1639" s="3">
        <v>49</v>
      </c>
      <c r="J1639" s="2">
        <v>145</v>
      </c>
      <c r="K1639" s="3">
        <f t="shared" si="25"/>
        <v>7105</v>
      </c>
      <c r="L1639" s="3">
        <v>2415.6999999999998</v>
      </c>
    </row>
    <row r="1640" spans="1:12" x14ac:dyDescent="0.25">
      <c r="A1640" t="s">
        <v>27</v>
      </c>
      <c r="B1640">
        <v>1189833</v>
      </c>
      <c r="C1640" s="1">
        <v>44267</v>
      </c>
      <c r="D1640" t="s">
        <v>12</v>
      </c>
      <c r="E1640" t="s">
        <v>13</v>
      </c>
      <c r="F1640" t="s">
        <v>28</v>
      </c>
      <c r="G1640" t="s">
        <v>15</v>
      </c>
      <c r="H1640" t="s">
        <v>16</v>
      </c>
      <c r="I1640" s="3">
        <v>45</v>
      </c>
      <c r="J1640" s="2">
        <v>700</v>
      </c>
      <c r="K1640" s="3">
        <f t="shared" si="25"/>
        <v>31500</v>
      </c>
      <c r="L1640" s="3">
        <v>25200</v>
      </c>
    </row>
    <row r="1641" spans="1:12" x14ac:dyDescent="0.25">
      <c r="A1641" t="s">
        <v>26</v>
      </c>
      <c r="B1641">
        <v>1128299</v>
      </c>
      <c r="C1641" s="1">
        <v>44267</v>
      </c>
      <c r="D1641" t="s">
        <v>32</v>
      </c>
      <c r="E1641" t="s">
        <v>44</v>
      </c>
      <c r="F1641" t="s">
        <v>45</v>
      </c>
      <c r="G1641" t="s">
        <v>41</v>
      </c>
      <c r="H1641" t="s">
        <v>16</v>
      </c>
      <c r="I1641" s="3">
        <v>50</v>
      </c>
      <c r="J1641" s="2">
        <v>350</v>
      </c>
      <c r="K1641" s="3">
        <f t="shared" si="25"/>
        <v>17500</v>
      </c>
      <c r="L1641" s="3">
        <v>13125</v>
      </c>
    </row>
    <row r="1642" spans="1:12" x14ac:dyDescent="0.25">
      <c r="A1642" t="s">
        <v>26</v>
      </c>
      <c r="B1642">
        <v>1128299</v>
      </c>
      <c r="C1642" s="1">
        <v>44267</v>
      </c>
      <c r="D1642" t="s">
        <v>32</v>
      </c>
      <c r="E1642" t="s">
        <v>44</v>
      </c>
      <c r="F1642" t="s">
        <v>45</v>
      </c>
      <c r="G1642" t="s">
        <v>41</v>
      </c>
      <c r="H1642" t="s">
        <v>22</v>
      </c>
      <c r="I1642" s="3">
        <v>55.000000000000007</v>
      </c>
      <c r="J1642" s="2">
        <v>150</v>
      </c>
      <c r="K1642" s="3">
        <f t="shared" si="25"/>
        <v>8250.0000000000018</v>
      </c>
      <c r="L1642" s="3">
        <v>5362.5000000000018</v>
      </c>
    </row>
    <row r="1643" spans="1:12" x14ac:dyDescent="0.25">
      <c r="A1643" t="s">
        <v>27</v>
      </c>
      <c r="B1643">
        <v>1197831</v>
      </c>
      <c r="C1643" s="1">
        <v>44267</v>
      </c>
      <c r="D1643" t="s">
        <v>57</v>
      </c>
      <c r="E1643" t="s">
        <v>72</v>
      </c>
      <c r="F1643" t="s">
        <v>73</v>
      </c>
      <c r="G1643" t="s">
        <v>41</v>
      </c>
      <c r="H1643" t="s">
        <v>35</v>
      </c>
      <c r="I1643" s="3">
        <v>10.000000000000002</v>
      </c>
      <c r="J1643" s="2">
        <v>250</v>
      </c>
      <c r="K1643" s="3">
        <f t="shared" si="25"/>
        <v>2500.0000000000005</v>
      </c>
      <c r="L1643" s="3">
        <v>1625.0000000000005</v>
      </c>
    </row>
    <row r="1644" spans="1:12" x14ac:dyDescent="0.25">
      <c r="A1644" t="s">
        <v>26</v>
      </c>
      <c r="B1644">
        <v>1197831</v>
      </c>
      <c r="C1644" s="1">
        <v>44267</v>
      </c>
      <c r="D1644" t="s">
        <v>57</v>
      </c>
      <c r="E1644" t="s">
        <v>58</v>
      </c>
      <c r="F1644" t="s">
        <v>59</v>
      </c>
      <c r="G1644" t="s">
        <v>15</v>
      </c>
      <c r="H1644" t="s">
        <v>35</v>
      </c>
      <c r="I1644" s="3">
        <v>30</v>
      </c>
      <c r="J1644" s="2">
        <v>500</v>
      </c>
      <c r="K1644" s="3">
        <f t="shared" si="25"/>
        <v>15000</v>
      </c>
      <c r="L1644" s="3">
        <v>9750</v>
      </c>
    </row>
    <row r="1645" spans="1:12" x14ac:dyDescent="0.25">
      <c r="A1645" t="s">
        <v>26</v>
      </c>
      <c r="B1645">
        <v>1128299</v>
      </c>
      <c r="C1645" s="1">
        <v>44267</v>
      </c>
      <c r="D1645" t="s">
        <v>32</v>
      </c>
      <c r="E1645" t="s">
        <v>44</v>
      </c>
      <c r="F1645" t="s">
        <v>45</v>
      </c>
      <c r="G1645" t="s">
        <v>41</v>
      </c>
      <c r="H1645" t="s">
        <v>35</v>
      </c>
      <c r="I1645" s="3">
        <v>50</v>
      </c>
      <c r="J1645" s="2">
        <v>375</v>
      </c>
      <c r="K1645" s="3">
        <f t="shared" si="25"/>
        <v>18750</v>
      </c>
      <c r="L1645" s="3">
        <v>12187.5</v>
      </c>
    </row>
    <row r="1646" spans="1:12" x14ac:dyDescent="0.25">
      <c r="A1646" t="s">
        <v>27</v>
      </c>
      <c r="B1646">
        <v>1197831</v>
      </c>
      <c r="C1646" s="1">
        <v>44267</v>
      </c>
      <c r="D1646" t="s">
        <v>57</v>
      </c>
      <c r="E1646" t="s">
        <v>72</v>
      </c>
      <c r="F1646" t="s">
        <v>73</v>
      </c>
      <c r="G1646" t="s">
        <v>41</v>
      </c>
      <c r="H1646" t="s">
        <v>38</v>
      </c>
      <c r="I1646" s="3">
        <v>20</v>
      </c>
      <c r="J1646" s="2">
        <v>545</v>
      </c>
      <c r="K1646" s="3">
        <f t="shared" si="25"/>
        <v>10900</v>
      </c>
      <c r="L1646" s="3">
        <v>7085</v>
      </c>
    </row>
    <row r="1647" spans="1:12" x14ac:dyDescent="0.25">
      <c r="A1647" t="s">
        <v>27</v>
      </c>
      <c r="B1647">
        <v>1197831</v>
      </c>
      <c r="C1647" s="1">
        <v>44267</v>
      </c>
      <c r="D1647" t="s">
        <v>57</v>
      </c>
      <c r="E1647" t="s">
        <v>72</v>
      </c>
      <c r="F1647" t="s">
        <v>73</v>
      </c>
      <c r="G1647" t="s">
        <v>41</v>
      </c>
      <c r="H1647" t="s">
        <v>17</v>
      </c>
      <c r="I1647" s="3">
        <v>20</v>
      </c>
      <c r="J1647" s="2">
        <v>225</v>
      </c>
      <c r="K1647" s="3">
        <f t="shared" si="25"/>
        <v>4500</v>
      </c>
      <c r="L1647" s="3">
        <v>2925</v>
      </c>
    </row>
    <row r="1648" spans="1:12" x14ac:dyDescent="0.25">
      <c r="A1648" t="s">
        <v>27</v>
      </c>
      <c r="B1648">
        <v>1197831</v>
      </c>
      <c r="C1648" s="1">
        <v>44267</v>
      </c>
      <c r="D1648" t="s">
        <v>57</v>
      </c>
      <c r="E1648" t="s">
        <v>72</v>
      </c>
      <c r="F1648" t="s">
        <v>73</v>
      </c>
      <c r="G1648" t="s">
        <v>41</v>
      </c>
      <c r="H1648" t="s">
        <v>37</v>
      </c>
      <c r="I1648" s="3">
        <v>19.999999999999996</v>
      </c>
      <c r="J1648" s="2">
        <v>100</v>
      </c>
      <c r="K1648" s="3">
        <f t="shared" si="25"/>
        <v>1999.9999999999995</v>
      </c>
      <c r="L1648" s="3">
        <v>1299.9999999999998</v>
      </c>
    </row>
    <row r="1649" spans="1:12" x14ac:dyDescent="0.25">
      <c r="A1649" t="s">
        <v>27</v>
      </c>
      <c r="B1649">
        <v>1197831</v>
      </c>
      <c r="C1649" s="1">
        <v>44267</v>
      </c>
      <c r="D1649" t="s">
        <v>57</v>
      </c>
      <c r="E1649" t="s">
        <v>72</v>
      </c>
      <c r="F1649" t="s">
        <v>73</v>
      </c>
      <c r="G1649" t="s">
        <v>41</v>
      </c>
      <c r="H1649" t="s">
        <v>22</v>
      </c>
      <c r="I1649" s="3">
        <v>35.000000000000007</v>
      </c>
      <c r="J1649" s="2">
        <v>150</v>
      </c>
      <c r="K1649" s="3">
        <f t="shared" si="25"/>
        <v>5250.0000000000009</v>
      </c>
      <c r="L1649" s="3">
        <v>3412.5000000000009</v>
      </c>
    </row>
    <row r="1650" spans="1:12" x14ac:dyDescent="0.25">
      <c r="A1650" t="s">
        <v>27</v>
      </c>
      <c r="B1650">
        <v>1197831</v>
      </c>
      <c r="C1650" s="1">
        <v>44267</v>
      </c>
      <c r="D1650" t="s">
        <v>57</v>
      </c>
      <c r="E1650" t="s">
        <v>72</v>
      </c>
      <c r="F1650" t="s">
        <v>73</v>
      </c>
      <c r="G1650" t="s">
        <v>41</v>
      </c>
      <c r="H1650" t="s">
        <v>16</v>
      </c>
      <c r="I1650" s="3">
        <v>25</v>
      </c>
      <c r="J1650" s="2">
        <v>250</v>
      </c>
      <c r="K1650" s="3">
        <f t="shared" si="25"/>
        <v>6250</v>
      </c>
      <c r="L1650" s="3">
        <v>4062.5</v>
      </c>
    </row>
    <row r="1651" spans="1:12" x14ac:dyDescent="0.25">
      <c r="A1651" t="s">
        <v>26</v>
      </c>
      <c r="B1651">
        <v>1128299</v>
      </c>
      <c r="C1651" s="1">
        <v>44267</v>
      </c>
      <c r="D1651" t="s">
        <v>32</v>
      </c>
      <c r="E1651" t="s">
        <v>44</v>
      </c>
      <c r="F1651" t="s">
        <v>45</v>
      </c>
      <c r="G1651" t="s">
        <v>41</v>
      </c>
      <c r="H1651" t="s">
        <v>38</v>
      </c>
      <c r="I1651" s="3">
        <v>40</v>
      </c>
      <c r="J1651" s="2">
        <v>525</v>
      </c>
      <c r="K1651" s="3">
        <f t="shared" si="25"/>
        <v>21000</v>
      </c>
      <c r="L1651" s="3">
        <v>12600</v>
      </c>
    </row>
    <row r="1652" spans="1:12" x14ac:dyDescent="0.25">
      <c r="A1652" t="s">
        <v>26</v>
      </c>
      <c r="B1652">
        <v>1128299</v>
      </c>
      <c r="C1652" s="1">
        <v>44267</v>
      </c>
      <c r="D1652" t="s">
        <v>32</v>
      </c>
      <c r="E1652" t="s">
        <v>44</v>
      </c>
      <c r="F1652" t="s">
        <v>45</v>
      </c>
      <c r="G1652" t="s">
        <v>41</v>
      </c>
      <c r="H1652" t="s">
        <v>17</v>
      </c>
      <c r="I1652" s="3">
        <v>50</v>
      </c>
      <c r="J1652" s="2">
        <v>375</v>
      </c>
      <c r="K1652" s="3">
        <f t="shared" si="25"/>
        <v>18750</v>
      </c>
      <c r="L1652" s="3">
        <v>11250</v>
      </c>
    </row>
    <row r="1653" spans="1:12" x14ac:dyDescent="0.25">
      <c r="A1653" t="s">
        <v>26</v>
      </c>
      <c r="B1653">
        <v>1128299</v>
      </c>
      <c r="C1653" s="1">
        <v>44267</v>
      </c>
      <c r="D1653" t="s">
        <v>32</v>
      </c>
      <c r="E1653" t="s">
        <v>44</v>
      </c>
      <c r="F1653" t="s">
        <v>45</v>
      </c>
      <c r="G1653" t="s">
        <v>41</v>
      </c>
      <c r="H1653" t="s">
        <v>37</v>
      </c>
      <c r="I1653" s="3">
        <v>50</v>
      </c>
      <c r="J1653" s="2">
        <v>250</v>
      </c>
      <c r="K1653" s="3">
        <f t="shared" si="25"/>
        <v>12500</v>
      </c>
      <c r="L1653" s="3">
        <v>7500</v>
      </c>
    </row>
    <row r="1654" spans="1:12" x14ac:dyDescent="0.25">
      <c r="A1654" t="s">
        <v>27</v>
      </c>
      <c r="B1654">
        <v>1189833</v>
      </c>
      <c r="C1654" s="1">
        <v>44267</v>
      </c>
      <c r="D1654" t="s">
        <v>12</v>
      </c>
      <c r="E1654" t="s">
        <v>13</v>
      </c>
      <c r="F1654" t="s">
        <v>28</v>
      </c>
      <c r="G1654" t="s">
        <v>15</v>
      </c>
      <c r="H1654" t="s">
        <v>16</v>
      </c>
      <c r="I1654" s="3">
        <v>29</v>
      </c>
      <c r="J1654" s="2">
        <v>210</v>
      </c>
      <c r="K1654" s="3">
        <f t="shared" si="25"/>
        <v>6090</v>
      </c>
      <c r="L1654" s="3">
        <v>4689.3</v>
      </c>
    </row>
    <row r="1655" spans="1:12" x14ac:dyDescent="0.25">
      <c r="A1655" t="s">
        <v>26</v>
      </c>
      <c r="B1655">
        <v>1128299</v>
      </c>
      <c r="C1655" s="1">
        <v>44267</v>
      </c>
      <c r="D1655" t="s">
        <v>32</v>
      </c>
      <c r="E1655" t="s">
        <v>44</v>
      </c>
      <c r="F1655" t="s">
        <v>45</v>
      </c>
      <c r="G1655" t="s">
        <v>15</v>
      </c>
      <c r="H1655" t="s">
        <v>16</v>
      </c>
      <c r="I1655" s="3">
        <v>40</v>
      </c>
      <c r="J1655" s="2">
        <v>112</v>
      </c>
      <c r="K1655" s="3">
        <f t="shared" si="25"/>
        <v>4480</v>
      </c>
      <c r="L1655" s="3">
        <v>3180.8</v>
      </c>
    </row>
    <row r="1656" spans="1:12" x14ac:dyDescent="0.25">
      <c r="A1656" t="s">
        <v>27</v>
      </c>
      <c r="B1656">
        <v>1189833</v>
      </c>
      <c r="C1656" s="1">
        <v>44267</v>
      </c>
      <c r="D1656" t="s">
        <v>12</v>
      </c>
      <c r="E1656" t="s">
        <v>13</v>
      </c>
      <c r="F1656" t="s">
        <v>28</v>
      </c>
      <c r="G1656" t="s">
        <v>41</v>
      </c>
      <c r="H1656" t="s">
        <v>16</v>
      </c>
      <c r="I1656" s="3">
        <v>41</v>
      </c>
      <c r="J1656" s="2">
        <v>182</v>
      </c>
      <c r="K1656" s="3">
        <f t="shared" si="25"/>
        <v>7462</v>
      </c>
      <c r="L1656" s="3">
        <v>5148.7800000000007</v>
      </c>
    </row>
    <row r="1657" spans="1:12" x14ac:dyDescent="0.25">
      <c r="A1657" t="s">
        <v>26</v>
      </c>
      <c r="B1657">
        <v>1128299</v>
      </c>
      <c r="C1657" s="1">
        <v>44267</v>
      </c>
      <c r="D1657" t="s">
        <v>32</v>
      </c>
      <c r="E1657" t="s">
        <v>44</v>
      </c>
      <c r="F1657" t="s">
        <v>45</v>
      </c>
      <c r="G1657" t="s">
        <v>41</v>
      </c>
      <c r="H1657" t="s">
        <v>16</v>
      </c>
      <c r="I1657" s="3">
        <v>48</v>
      </c>
      <c r="J1657" s="2">
        <v>95</v>
      </c>
      <c r="K1657" s="3">
        <f t="shared" si="25"/>
        <v>4560</v>
      </c>
      <c r="L1657" s="3">
        <v>2918.4</v>
      </c>
    </row>
    <row r="1658" spans="1:12" x14ac:dyDescent="0.25">
      <c r="A1658" t="s">
        <v>26</v>
      </c>
      <c r="B1658">
        <v>1128299</v>
      </c>
      <c r="C1658" s="1">
        <v>44267</v>
      </c>
      <c r="D1658" t="s">
        <v>32</v>
      </c>
      <c r="E1658" t="s">
        <v>44</v>
      </c>
      <c r="F1658" t="s">
        <v>45</v>
      </c>
      <c r="G1658" t="s">
        <v>15</v>
      </c>
      <c r="H1658" t="s">
        <v>35</v>
      </c>
      <c r="I1658" s="3">
        <v>39</v>
      </c>
      <c r="J1658" s="2">
        <v>124</v>
      </c>
      <c r="K1658" s="3">
        <f t="shared" si="25"/>
        <v>4836</v>
      </c>
      <c r="L1658" s="3">
        <v>2998.3199999999997</v>
      </c>
    </row>
    <row r="1659" spans="1:12" x14ac:dyDescent="0.25">
      <c r="A1659" t="s">
        <v>26</v>
      </c>
      <c r="B1659">
        <v>1128299</v>
      </c>
      <c r="C1659" s="1">
        <v>44267</v>
      </c>
      <c r="D1659" t="s">
        <v>32</v>
      </c>
      <c r="E1659" t="s">
        <v>44</v>
      </c>
      <c r="F1659" t="s">
        <v>45</v>
      </c>
      <c r="G1659" t="s">
        <v>15</v>
      </c>
      <c r="H1659" t="s">
        <v>22</v>
      </c>
      <c r="I1659" s="3">
        <v>41</v>
      </c>
      <c r="J1659" s="2">
        <v>45</v>
      </c>
      <c r="K1659" s="3">
        <f t="shared" si="25"/>
        <v>1845</v>
      </c>
      <c r="L1659" s="3">
        <v>1088.5500000000002</v>
      </c>
    </row>
    <row r="1660" spans="1:12" x14ac:dyDescent="0.25">
      <c r="A1660" t="s">
        <v>26</v>
      </c>
      <c r="B1660">
        <v>1128299</v>
      </c>
      <c r="C1660" s="1">
        <v>44267</v>
      </c>
      <c r="D1660" t="s">
        <v>32</v>
      </c>
      <c r="E1660" t="s">
        <v>44</v>
      </c>
      <c r="F1660" t="s">
        <v>45</v>
      </c>
      <c r="G1660" t="s">
        <v>15</v>
      </c>
      <c r="H1660" t="s">
        <v>38</v>
      </c>
      <c r="I1660" s="3">
        <v>30</v>
      </c>
      <c r="J1660" s="2">
        <v>163</v>
      </c>
      <c r="K1660" s="3">
        <f t="shared" si="25"/>
        <v>4890</v>
      </c>
      <c r="L1660" s="3">
        <v>2787.2999999999997</v>
      </c>
    </row>
    <row r="1661" spans="1:12" x14ac:dyDescent="0.25">
      <c r="A1661" t="s">
        <v>26</v>
      </c>
      <c r="B1661">
        <v>1128299</v>
      </c>
      <c r="C1661" s="1">
        <v>44267</v>
      </c>
      <c r="D1661" t="s">
        <v>32</v>
      </c>
      <c r="E1661" t="s">
        <v>44</v>
      </c>
      <c r="F1661" t="s">
        <v>45</v>
      </c>
      <c r="G1661" t="s">
        <v>15</v>
      </c>
      <c r="H1661" t="s">
        <v>17</v>
      </c>
      <c r="I1661" s="3">
        <v>37</v>
      </c>
      <c r="J1661" s="2">
        <v>113</v>
      </c>
      <c r="K1661" s="3">
        <f t="shared" si="25"/>
        <v>4181</v>
      </c>
      <c r="L1661" s="3">
        <v>2341.3599999999997</v>
      </c>
    </row>
    <row r="1662" spans="1:12" x14ac:dyDescent="0.25">
      <c r="A1662" t="s">
        <v>26</v>
      </c>
      <c r="B1662">
        <v>1197831</v>
      </c>
      <c r="C1662" s="1">
        <v>44267</v>
      </c>
      <c r="D1662" t="s">
        <v>57</v>
      </c>
      <c r="E1662" t="s">
        <v>58</v>
      </c>
      <c r="F1662" t="s">
        <v>59</v>
      </c>
      <c r="G1662" t="s">
        <v>41</v>
      </c>
      <c r="H1662" t="s">
        <v>35</v>
      </c>
      <c r="I1662" s="3">
        <v>27</v>
      </c>
      <c r="J1662" s="2">
        <v>130</v>
      </c>
      <c r="K1662" s="3">
        <f t="shared" si="25"/>
        <v>3510</v>
      </c>
      <c r="L1662" s="3">
        <v>1930.5000000000002</v>
      </c>
    </row>
    <row r="1663" spans="1:12" x14ac:dyDescent="0.25">
      <c r="A1663" t="s">
        <v>26</v>
      </c>
      <c r="B1663">
        <v>1128299</v>
      </c>
      <c r="C1663" s="1">
        <v>44267</v>
      </c>
      <c r="D1663" t="s">
        <v>32</v>
      </c>
      <c r="E1663" t="s">
        <v>44</v>
      </c>
      <c r="F1663" t="s">
        <v>45</v>
      </c>
      <c r="G1663" t="s">
        <v>15</v>
      </c>
      <c r="H1663" t="s">
        <v>37</v>
      </c>
      <c r="I1663" s="3">
        <v>38</v>
      </c>
      <c r="J1663" s="2">
        <v>78</v>
      </c>
      <c r="K1663" s="3">
        <f t="shared" si="25"/>
        <v>2964</v>
      </c>
      <c r="L1663" s="3">
        <v>1630.2</v>
      </c>
    </row>
    <row r="1664" spans="1:12" x14ac:dyDescent="0.25">
      <c r="A1664" t="s">
        <v>27</v>
      </c>
      <c r="B1664">
        <v>1197831</v>
      </c>
      <c r="C1664" s="1">
        <v>44267</v>
      </c>
      <c r="D1664" t="s">
        <v>57</v>
      </c>
      <c r="E1664" t="s">
        <v>72</v>
      </c>
      <c r="F1664" t="s">
        <v>73</v>
      </c>
      <c r="G1664" t="s">
        <v>41</v>
      </c>
      <c r="H1664" t="s">
        <v>22</v>
      </c>
      <c r="I1664" s="3">
        <v>32</v>
      </c>
      <c r="J1664" s="2">
        <v>41</v>
      </c>
      <c r="K1664" s="3">
        <f t="shared" si="25"/>
        <v>1312</v>
      </c>
      <c r="L1664" s="3">
        <v>708.48</v>
      </c>
    </row>
    <row r="1665" spans="1:12" x14ac:dyDescent="0.25">
      <c r="A1665" t="s">
        <v>27</v>
      </c>
      <c r="B1665">
        <v>1197831</v>
      </c>
      <c r="C1665" s="1">
        <v>44267</v>
      </c>
      <c r="D1665" t="s">
        <v>57</v>
      </c>
      <c r="E1665" t="s">
        <v>72</v>
      </c>
      <c r="F1665" t="s">
        <v>73</v>
      </c>
      <c r="G1665" t="s">
        <v>41</v>
      </c>
      <c r="H1665" t="s">
        <v>35</v>
      </c>
      <c r="I1665" s="3">
        <v>9</v>
      </c>
      <c r="J1665" s="2">
        <v>75</v>
      </c>
      <c r="K1665" s="3">
        <f t="shared" si="25"/>
        <v>675</v>
      </c>
      <c r="L1665" s="3">
        <v>364.5</v>
      </c>
    </row>
    <row r="1666" spans="1:12" x14ac:dyDescent="0.25">
      <c r="A1666" t="s">
        <v>26</v>
      </c>
      <c r="B1666">
        <v>1128299</v>
      </c>
      <c r="C1666" s="1">
        <v>44267</v>
      </c>
      <c r="D1666" t="s">
        <v>32</v>
      </c>
      <c r="E1666" t="s">
        <v>44</v>
      </c>
      <c r="F1666" t="s">
        <v>45</v>
      </c>
      <c r="G1666" t="s">
        <v>41</v>
      </c>
      <c r="H1666" t="s">
        <v>22</v>
      </c>
      <c r="I1666" s="3">
        <v>51</v>
      </c>
      <c r="J1666" s="2">
        <v>39</v>
      </c>
      <c r="K1666" s="3">
        <f t="shared" si="25"/>
        <v>1989</v>
      </c>
      <c r="L1666" s="3">
        <v>1054.17</v>
      </c>
    </row>
    <row r="1667" spans="1:12" x14ac:dyDescent="0.25">
      <c r="A1667" t="s">
        <v>27</v>
      </c>
      <c r="B1667">
        <v>1197831</v>
      </c>
      <c r="C1667" s="1">
        <v>44267</v>
      </c>
      <c r="D1667" t="s">
        <v>57</v>
      </c>
      <c r="E1667" t="s">
        <v>72</v>
      </c>
      <c r="F1667" t="s">
        <v>73</v>
      </c>
      <c r="G1667" t="s">
        <v>41</v>
      </c>
      <c r="H1667" t="s">
        <v>17</v>
      </c>
      <c r="I1667" s="3">
        <v>19</v>
      </c>
      <c r="J1667" s="2">
        <v>59</v>
      </c>
      <c r="K1667" s="3">
        <f t="shared" ref="K1667:K1730" si="26">I1667*J1667</f>
        <v>1121</v>
      </c>
      <c r="L1667" s="3">
        <v>594.13</v>
      </c>
    </row>
    <row r="1668" spans="1:12" x14ac:dyDescent="0.25">
      <c r="A1668" t="s">
        <v>27</v>
      </c>
      <c r="B1668">
        <v>1197831</v>
      </c>
      <c r="C1668" s="1">
        <v>44267</v>
      </c>
      <c r="D1668" t="s">
        <v>57</v>
      </c>
      <c r="E1668" t="s">
        <v>72</v>
      </c>
      <c r="F1668" t="s">
        <v>73</v>
      </c>
      <c r="G1668" t="s">
        <v>41</v>
      </c>
      <c r="H1668" t="s">
        <v>37</v>
      </c>
      <c r="I1668" s="3">
        <v>20</v>
      </c>
      <c r="J1668" s="2">
        <v>26</v>
      </c>
      <c r="K1668" s="3">
        <f t="shared" si="26"/>
        <v>520</v>
      </c>
      <c r="L1668" s="3">
        <v>270.39999999999998</v>
      </c>
    </row>
    <row r="1669" spans="1:12" x14ac:dyDescent="0.25">
      <c r="A1669" t="s">
        <v>27</v>
      </c>
      <c r="B1669">
        <v>1197831</v>
      </c>
      <c r="C1669" s="1">
        <v>44267</v>
      </c>
      <c r="D1669" t="s">
        <v>57</v>
      </c>
      <c r="E1669" t="s">
        <v>72</v>
      </c>
      <c r="F1669" t="s">
        <v>73</v>
      </c>
      <c r="G1669" t="s">
        <v>41</v>
      </c>
      <c r="H1669" t="s">
        <v>38</v>
      </c>
      <c r="I1669" s="3">
        <v>20</v>
      </c>
      <c r="J1669" s="2">
        <v>153</v>
      </c>
      <c r="K1669" s="3">
        <f t="shared" si="26"/>
        <v>3060</v>
      </c>
      <c r="L1669" s="3">
        <v>1560.6000000000001</v>
      </c>
    </row>
    <row r="1670" spans="1:12" x14ac:dyDescent="0.25">
      <c r="A1670" t="s">
        <v>26</v>
      </c>
      <c r="B1670">
        <v>1128299</v>
      </c>
      <c r="C1670" s="1">
        <v>44267</v>
      </c>
      <c r="D1670" t="s">
        <v>32</v>
      </c>
      <c r="E1670" t="s">
        <v>44</v>
      </c>
      <c r="F1670" t="s">
        <v>45</v>
      </c>
      <c r="G1670" t="s">
        <v>41</v>
      </c>
      <c r="H1670" t="s">
        <v>35</v>
      </c>
      <c r="I1670" s="3">
        <v>49</v>
      </c>
      <c r="J1670" s="2">
        <v>113</v>
      </c>
      <c r="K1670" s="3">
        <f t="shared" si="26"/>
        <v>5537</v>
      </c>
      <c r="L1670" s="3">
        <v>2823.87</v>
      </c>
    </row>
    <row r="1671" spans="1:12" x14ac:dyDescent="0.25">
      <c r="A1671" t="s">
        <v>26</v>
      </c>
      <c r="B1671">
        <v>1128299</v>
      </c>
      <c r="C1671" s="1">
        <v>44267</v>
      </c>
      <c r="D1671" t="s">
        <v>32</v>
      </c>
      <c r="E1671" t="s">
        <v>44</v>
      </c>
      <c r="F1671" t="s">
        <v>45</v>
      </c>
      <c r="G1671" t="s">
        <v>41</v>
      </c>
      <c r="H1671" t="s">
        <v>38</v>
      </c>
      <c r="I1671" s="3">
        <v>37</v>
      </c>
      <c r="J1671" s="2">
        <v>137</v>
      </c>
      <c r="K1671" s="3">
        <f t="shared" si="26"/>
        <v>5069</v>
      </c>
      <c r="L1671" s="3">
        <v>2534.5</v>
      </c>
    </row>
    <row r="1672" spans="1:12" x14ac:dyDescent="0.25">
      <c r="A1672" t="s">
        <v>27</v>
      </c>
      <c r="B1672">
        <v>1197831</v>
      </c>
      <c r="C1672" s="1">
        <v>44267</v>
      </c>
      <c r="D1672" t="s">
        <v>57</v>
      </c>
      <c r="E1672" t="s">
        <v>72</v>
      </c>
      <c r="F1672" t="s">
        <v>73</v>
      </c>
      <c r="G1672" t="s">
        <v>41</v>
      </c>
      <c r="H1672" t="s">
        <v>16</v>
      </c>
      <c r="I1672" s="3">
        <v>23</v>
      </c>
      <c r="J1672" s="2">
        <v>65</v>
      </c>
      <c r="K1672" s="3">
        <f t="shared" si="26"/>
        <v>1495</v>
      </c>
      <c r="L1672" s="3">
        <v>747.5</v>
      </c>
    </row>
    <row r="1673" spans="1:12" x14ac:dyDescent="0.25">
      <c r="A1673" t="s">
        <v>26</v>
      </c>
      <c r="B1673">
        <v>1128299</v>
      </c>
      <c r="C1673" s="1">
        <v>44267</v>
      </c>
      <c r="D1673" t="s">
        <v>32</v>
      </c>
      <c r="E1673" t="s">
        <v>44</v>
      </c>
      <c r="F1673" t="s">
        <v>45</v>
      </c>
      <c r="G1673" t="s">
        <v>41</v>
      </c>
      <c r="H1673" t="s">
        <v>37</v>
      </c>
      <c r="I1673" s="3">
        <v>47</v>
      </c>
      <c r="J1673" s="2">
        <v>73</v>
      </c>
      <c r="K1673" s="3">
        <f t="shared" si="26"/>
        <v>3431</v>
      </c>
      <c r="L1673" s="3">
        <v>1646.8799999999999</v>
      </c>
    </row>
    <row r="1674" spans="1:12" x14ac:dyDescent="0.25">
      <c r="A1674" t="s">
        <v>26</v>
      </c>
      <c r="B1674">
        <v>1128299</v>
      </c>
      <c r="C1674" s="1">
        <v>44267</v>
      </c>
      <c r="D1674" t="s">
        <v>32</v>
      </c>
      <c r="E1674" t="s">
        <v>44</v>
      </c>
      <c r="F1674" t="s">
        <v>45</v>
      </c>
      <c r="G1674" t="s">
        <v>41</v>
      </c>
      <c r="H1674" t="s">
        <v>17</v>
      </c>
      <c r="I1674" s="3">
        <v>46</v>
      </c>
      <c r="J1674" s="2">
        <v>101</v>
      </c>
      <c r="K1674" s="3">
        <f t="shared" si="26"/>
        <v>4646</v>
      </c>
      <c r="L1674" s="3">
        <v>2183.62</v>
      </c>
    </row>
    <row r="1675" spans="1:12" x14ac:dyDescent="0.25">
      <c r="A1675" t="s">
        <v>26</v>
      </c>
      <c r="B1675">
        <v>1185732</v>
      </c>
      <c r="C1675" s="1">
        <v>44268</v>
      </c>
      <c r="D1675" t="s">
        <v>29</v>
      </c>
      <c r="E1675" t="s">
        <v>50</v>
      </c>
      <c r="F1675" t="s">
        <v>51</v>
      </c>
      <c r="G1675" t="s">
        <v>18</v>
      </c>
      <c r="H1675" t="s">
        <v>35</v>
      </c>
      <c r="I1675" s="3">
        <v>30.000000000000004</v>
      </c>
      <c r="J1675" s="2">
        <v>200</v>
      </c>
      <c r="K1675" s="3">
        <f t="shared" si="26"/>
        <v>6000.0000000000009</v>
      </c>
      <c r="L1675" s="3">
        <v>4500.0000000000009</v>
      </c>
    </row>
    <row r="1676" spans="1:12" x14ac:dyDescent="0.25">
      <c r="A1676" t="s">
        <v>26</v>
      </c>
      <c r="B1676">
        <v>1185732</v>
      </c>
      <c r="C1676" s="1">
        <v>44268</v>
      </c>
      <c r="D1676" t="s">
        <v>29</v>
      </c>
      <c r="E1676" t="s">
        <v>50</v>
      </c>
      <c r="F1676" t="s">
        <v>51</v>
      </c>
      <c r="G1676" t="s">
        <v>18</v>
      </c>
      <c r="H1676" t="s">
        <v>37</v>
      </c>
      <c r="I1676" s="3">
        <v>35</v>
      </c>
      <c r="J1676" s="2">
        <v>300</v>
      </c>
      <c r="K1676" s="3">
        <f t="shared" si="26"/>
        <v>10500</v>
      </c>
      <c r="L1676" s="3">
        <v>7875</v>
      </c>
    </row>
    <row r="1677" spans="1:12" x14ac:dyDescent="0.25">
      <c r="A1677" t="s">
        <v>26</v>
      </c>
      <c r="B1677">
        <v>1185732</v>
      </c>
      <c r="C1677" s="1">
        <v>44268</v>
      </c>
      <c r="D1677" t="s">
        <v>29</v>
      </c>
      <c r="E1677" t="s">
        <v>50</v>
      </c>
      <c r="F1677" t="s">
        <v>51</v>
      </c>
      <c r="G1677" t="s">
        <v>18</v>
      </c>
      <c r="H1677" t="s">
        <v>22</v>
      </c>
      <c r="I1677" s="3">
        <v>50</v>
      </c>
      <c r="J1677" s="2">
        <v>100</v>
      </c>
      <c r="K1677" s="3">
        <f t="shared" si="26"/>
        <v>5000</v>
      </c>
      <c r="L1677" s="3">
        <v>3750</v>
      </c>
    </row>
    <row r="1678" spans="1:12" x14ac:dyDescent="0.25">
      <c r="A1678" t="s">
        <v>19</v>
      </c>
      <c r="B1678">
        <v>1185732</v>
      </c>
      <c r="C1678" s="1">
        <v>44268</v>
      </c>
      <c r="D1678" t="s">
        <v>29</v>
      </c>
      <c r="E1678" t="s">
        <v>89</v>
      </c>
      <c r="F1678" t="s">
        <v>90</v>
      </c>
      <c r="G1678" t="s">
        <v>18</v>
      </c>
      <c r="H1678" t="s">
        <v>22</v>
      </c>
      <c r="I1678" s="3">
        <v>50</v>
      </c>
      <c r="J1678" s="2">
        <v>175</v>
      </c>
      <c r="K1678" s="3">
        <f t="shared" si="26"/>
        <v>8750</v>
      </c>
      <c r="L1678" s="3">
        <v>6125</v>
      </c>
    </row>
    <row r="1679" spans="1:12" x14ac:dyDescent="0.25">
      <c r="A1679" t="s">
        <v>26</v>
      </c>
      <c r="B1679">
        <v>1185732</v>
      </c>
      <c r="C1679" s="1">
        <v>44268</v>
      </c>
      <c r="D1679" t="s">
        <v>29</v>
      </c>
      <c r="E1679" t="s">
        <v>50</v>
      </c>
      <c r="F1679" t="s">
        <v>51</v>
      </c>
      <c r="G1679" t="s">
        <v>18</v>
      </c>
      <c r="H1679" t="s">
        <v>38</v>
      </c>
      <c r="I1679" s="3">
        <v>40</v>
      </c>
      <c r="J1679" s="2">
        <v>470</v>
      </c>
      <c r="K1679" s="3">
        <f t="shared" si="26"/>
        <v>18800</v>
      </c>
      <c r="L1679" s="3">
        <v>13160</v>
      </c>
    </row>
    <row r="1680" spans="1:12" x14ac:dyDescent="0.25">
      <c r="A1680" t="s">
        <v>26</v>
      </c>
      <c r="B1680">
        <v>1185732</v>
      </c>
      <c r="C1680" s="1">
        <v>44268</v>
      </c>
      <c r="D1680" t="s">
        <v>29</v>
      </c>
      <c r="E1680" t="s">
        <v>50</v>
      </c>
      <c r="F1680" t="s">
        <v>51</v>
      </c>
      <c r="G1680" t="s">
        <v>18</v>
      </c>
      <c r="H1680" t="s">
        <v>17</v>
      </c>
      <c r="I1680" s="3">
        <v>40</v>
      </c>
      <c r="J1680" s="2">
        <v>175</v>
      </c>
      <c r="K1680" s="3">
        <f t="shared" si="26"/>
        <v>7000</v>
      </c>
      <c r="L1680" s="3">
        <v>4900</v>
      </c>
    </row>
    <row r="1681" spans="1:12" x14ac:dyDescent="0.25">
      <c r="A1681" t="s">
        <v>26</v>
      </c>
      <c r="B1681">
        <v>1185732</v>
      </c>
      <c r="C1681" s="1">
        <v>44268</v>
      </c>
      <c r="D1681" t="s">
        <v>29</v>
      </c>
      <c r="E1681" t="s">
        <v>50</v>
      </c>
      <c r="F1681" t="s">
        <v>51</v>
      </c>
      <c r="G1681" t="s">
        <v>18</v>
      </c>
      <c r="H1681" t="s">
        <v>16</v>
      </c>
      <c r="I1681" s="3">
        <v>40</v>
      </c>
      <c r="J1681" s="2">
        <v>200</v>
      </c>
      <c r="K1681" s="3">
        <f t="shared" si="26"/>
        <v>8000</v>
      </c>
      <c r="L1681" s="3">
        <v>5600</v>
      </c>
    </row>
    <row r="1682" spans="1:12" x14ac:dyDescent="0.25">
      <c r="A1682" t="s">
        <v>19</v>
      </c>
      <c r="B1682">
        <v>1185732</v>
      </c>
      <c r="C1682" s="1">
        <v>44268</v>
      </c>
      <c r="D1682" t="s">
        <v>29</v>
      </c>
      <c r="E1682" t="s">
        <v>89</v>
      </c>
      <c r="F1682" t="s">
        <v>90</v>
      </c>
      <c r="G1682" t="s">
        <v>18</v>
      </c>
      <c r="H1682" t="s">
        <v>38</v>
      </c>
      <c r="I1682" s="3">
        <v>40</v>
      </c>
      <c r="J1682" s="2">
        <v>545</v>
      </c>
      <c r="K1682" s="3">
        <f t="shared" si="26"/>
        <v>21800</v>
      </c>
      <c r="L1682" s="3">
        <v>14170</v>
      </c>
    </row>
    <row r="1683" spans="1:12" x14ac:dyDescent="0.25">
      <c r="A1683" t="s">
        <v>19</v>
      </c>
      <c r="B1683">
        <v>1185732</v>
      </c>
      <c r="C1683" s="1">
        <v>44268</v>
      </c>
      <c r="D1683" t="s">
        <v>29</v>
      </c>
      <c r="E1683" t="s">
        <v>89</v>
      </c>
      <c r="F1683" t="s">
        <v>90</v>
      </c>
      <c r="G1683" t="s">
        <v>18</v>
      </c>
      <c r="H1683" t="s">
        <v>17</v>
      </c>
      <c r="I1683" s="3">
        <v>40</v>
      </c>
      <c r="J1683" s="2">
        <v>250</v>
      </c>
      <c r="K1683" s="3">
        <f t="shared" si="26"/>
        <v>10000</v>
      </c>
      <c r="L1683" s="3">
        <v>6500</v>
      </c>
    </row>
    <row r="1684" spans="1:12" x14ac:dyDescent="0.25">
      <c r="A1684" t="s">
        <v>27</v>
      </c>
      <c r="B1684">
        <v>1189833</v>
      </c>
      <c r="C1684" s="1">
        <v>44268</v>
      </c>
      <c r="D1684" t="s">
        <v>12</v>
      </c>
      <c r="E1684" t="s">
        <v>13</v>
      </c>
      <c r="F1684" t="s">
        <v>28</v>
      </c>
      <c r="G1684" t="s">
        <v>15</v>
      </c>
      <c r="H1684" t="s">
        <v>38</v>
      </c>
      <c r="I1684" s="3">
        <v>35</v>
      </c>
      <c r="J1684" s="2">
        <v>750</v>
      </c>
      <c r="K1684" s="3">
        <f t="shared" si="26"/>
        <v>26250</v>
      </c>
      <c r="L1684" s="3">
        <v>15750</v>
      </c>
    </row>
    <row r="1685" spans="1:12" x14ac:dyDescent="0.25">
      <c r="A1685" t="s">
        <v>19</v>
      </c>
      <c r="B1685">
        <v>1185732</v>
      </c>
      <c r="C1685" s="1">
        <v>44268</v>
      </c>
      <c r="D1685" t="s">
        <v>29</v>
      </c>
      <c r="E1685" t="s">
        <v>89</v>
      </c>
      <c r="F1685" t="s">
        <v>90</v>
      </c>
      <c r="G1685" t="s">
        <v>18</v>
      </c>
      <c r="H1685" t="s">
        <v>35</v>
      </c>
      <c r="I1685" s="3">
        <v>30.000000000000004</v>
      </c>
      <c r="J1685" s="2">
        <v>275</v>
      </c>
      <c r="K1685" s="3">
        <f t="shared" si="26"/>
        <v>8250.0000000000018</v>
      </c>
      <c r="L1685" s="3">
        <v>4950.0000000000009</v>
      </c>
    </row>
    <row r="1686" spans="1:12" x14ac:dyDescent="0.25">
      <c r="A1686" t="s">
        <v>19</v>
      </c>
      <c r="B1686">
        <v>1185732</v>
      </c>
      <c r="C1686" s="1">
        <v>44268</v>
      </c>
      <c r="D1686" t="s">
        <v>29</v>
      </c>
      <c r="E1686" t="s">
        <v>89</v>
      </c>
      <c r="F1686" t="s">
        <v>90</v>
      </c>
      <c r="G1686" t="s">
        <v>18</v>
      </c>
      <c r="H1686" t="s">
        <v>37</v>
      </c>
      <c r="I1686" s="3">
        <v>35</v>
      </c>
      <c r="J1686" s="2">
        <v>125</v>
      </c>
      <c r="K1686" s="3">
        <f t="shared" si="26"/>
        <v>4375</v>
      </c>
      <c r="L1686" s="3">
        <v>2625</v>
      </c>
    </row>
    <row r="1687" spans="1:12" x14ac:dyDescent="0.25">
      <c r="A1687" t="s">
        <v>19</v>
      </c>
      <c r="B1687">
        <v>1185732</v>
      </c>
      <c r="C1687" s="1">
        <v>44268</v>
      </c>
      <c r="D1687" t="s">
        <v>29</v>
      </c>
      <c r="E1687" t="s">
        <v>89</v>
      </c>
      <c r="F1687" t="s">
        <v>90</v>
      </c>
      <c r="G1687" t="s">
        <v>18</v>
      </c>
      <c r="H1687" t="s">
        <v>16</v>
      </c>
      <c r="I1687" s="3">
        <v>40</v>
      </c>
      <c r="J1687" s="2">
        <v>275</v>
      </c>
      <c r="K1687" s="3">
        <f t="shared" si="26"/>
        <v>11000</v>
      </c>
      <c r="L1687" s="3">
        <v>6600</v>
      </c>
    </row>
    <row r="1688" spans="1:12" x14ac:dyDescent="0.25">
      <c r="A1688" t="s">
        <v>26</v>
      </c>
      <c r="B1688">
        <v>1197831</v>
      </c>
      <c r="C1688" s="1">
        <v>44268</v>
      </c>
      <c r="D1688" t="s">
        <v>57</v>
      </c>
      <c r="E1688" t="s">
        <v>58</v>
      </c>
      <c r="F1688" t="s">
        <v>59</v>
      </c>
      <c r="G1688" t="s">
        <v>15</v>
      </c>
      <c r="H1688" t="s">
        <v>37</v>
      </c>
      <c r="I1688" s="3">
        <v>35</v>
      </c>
      <c r="J1688" s="2">
        <v>500</v>
      </c>
      <c r="K1688" s="3">
        <f t="shared" si="26"/>
        <v>17500</v>
      </c>
      <c r="L1688" s="3">
        <v>9625</v>
      </c>
    </row>
    <row r="1689" spans="1:12" x14ac:dyDescent="0.25">
      <c r="A1689" t="s">
        <v>26</v>
      </c>
      <c r="B1689">
        <v>1185732</v>
      </c>
      <c r="C1689" s="1">
        <v>44268</v>
      </c>
      <c r="D1689" t="s">
        <v>29</v>
      </c>
      <c r="E1689" t="s">
        <v>50</v>
      </c>
      <c r="F1689" t="s">
        <v>51</v>
      </c>
      <c r="G1689" t="s">
        <v>15</v>
      </c>
      <c r="H1689" t="s">
        <v>37</v>
      </c>
      <c r="I1689" s="3">
        <v>25</v>
      </c>
      <c r="J1689" s="2">
        <v>93</v>
      </c>
      <c r="K1689" s="3">
        <f t="shared" si="26"/>
        <v>2325</v>
      </c>
      <c r="L1689" s="3">
        <v>1674</v>
      </c>
    </row>
    <row r="1690" spans="1:12" x14ac:dyDescent="0.25">
      <c r="A1690" t="s">
        <v>26</v>
      </c>
      <c r="B1690">
        <v>1185732</v>
      </c>
      <c r="C1690" s="1">
        <v>44268</v>
      </c>
      <c r="D1690" t="s">
        <v>29</v>
      </c>
      <c r="E1690" t="s">
        <v>50</v>
      </c>
      <c r="F1690" t="s">
        <v>51</v>
      </c>
      <c r="G1690" t="s">
        <v>15</v>
      </c>
      <c r="H1690" t="s">
        <v>22</v>
      </c>
      <c r="I1690" s="3">
        <v>36</v>
      </c>
      <c r="J1690" s="2">
        <v>31</v>
      </c>
      <c r="K1690" s="3">
        <f t="shared" si="26"/>
        <v>1116</v>
      </c>
      <c r="L1690" s="3">
        <v>781.2</v>
      </c>
    </row>
    <row r="1691" spans="1:12" x14ac:dyDescent="0.25">
      <c r="A1691" t="s">
        <v>26</v>
      </c>
      <c r="B1691">
        <v>1185732</v>
      </c>
      <c r="C1691" s="1">
        <v>44268</v>
      </c>
      <c r="D1691" t="s">
        <v>29</v>
      </c>
      <c r="E1691" t="s">
        <v>50</v>
      </c>
      <c r="F1691" t="s">
        <v>51</v>
      </c>
      <c r="G1691" t="s">
        <v>15</v>
      </c>
      <c r="H1691" t="s">
        <v>35</v>
      </c>
      <c r="I1691" s="3">
        <v>23</v>
      </c>
      <c r="J1691" s="2">
        <v>60</v>
      </c>
      <c r="K1691" s="3">
        <f t="shared" si="26"/>
        <v>1380</v>
      </c>
      <c r="L1691" s="3">
        <v>938.4</v>
      </c>
    </row>
    <row r="1692" spans="1:12" x14ac:dyDescent="0.25">
      <c r="A1692" t="s">
        <v>26</v>
      </c>
      <c r="B1692">
        <v>1185732</v>
      </c>
      <c r="C1692" s="1">
        <v>44268</v>
      </c>
      <c r="D1692" t="s">
        <v>29</v>
      </c>
      <c r="E1692" t="s">
        <v>50</v>
      </c>
      <c r="F1692" t="s">
        <v>51</v>
      </c>
      <c r="G1692" t="s">
        <v>15</v>
      </c>
      <c r="H1692" t="s">
        <v>38</v>
      </c>
      <c r="I1692" s="3">
        <v>28</v>
      </c>
      <c r="J1692" s="2">
        <v>155</v>
      </c>
      <c r="K1692" s="3">
        <f t="shared" si="26"/>
        <v>4340</v>
      </c>
      <c r="L1692" s="3">
        <v>2864.4</v>
      </c>
    </row>
    <row r="1693" spans="1:12" x14ac:dyDescent="0.25">
      <c r="A1693" t="s">
        <v>26</v>
      </c>
      <c r="B1693">
        <v>1185732</v>
      </c>
      <c r="C1693" s="1">
        <v>44268</v>
      </c>
      <c r="D1693" t="s">
        <v>29</v>
      </c>
      <c r="E1693" t="s">
        <v>50</v>
      </c>
      <c r="F1693" t="s">
        <v>51</v>
      </c>
      <c r="G1693" t="s">
        <v>15</v>
      </c>
      <c r="H1693" t="s">
        <v>17</v>
      </c>
      <c r="I1693" s="3">
        <v>31</v>
      </c>
      <c r="J1693" s="2">
        <v>61</v>
      </c>
      <c r="K1693" s="3">
        <f t="shared" si="26"/>
        <v>1891</v>
      </c>
      <c r="L1693" s="3">
        <v>1248.06</v>
      </c>
    </row>
    <row r="1694" spans="1:12" x14ac:dyDescent="0.25">
      <c r="A1694" t="s">
        <v>26</v>
      </c>
      <c r="B1694">
        <v>1185732</v>
      </c>
      <c r="C1694" s="1">
        <v>44268</v>
      </c>
      <c r="D1694" t="s">
        <v>29</v>
      </c>
      <c r="E1694" t="s">
        <v>50</v>
      </c>
      <c r="F1694" t="s">
        <v>51</v>
      </c>
      <c r="G1694" t="s">
        <v>41</v>
      </c>
      <c r="H1694" t="s">
        <v>37</v>
      </c>
      <c r="I1694" s="3">
        <v>34</v>
      </c>
      <c r="J1694" s="2">
        <v>87</v>
      </c>
      <c r="K1694" s="3">
        <f t="shared" si="26"/>
        <v>2958</v>
      </c>
      <c r="L1694" s="3">
        <v>1893.1200000000001</v>
      </c>
    </row>
    <row r="1695" spans="1:12" x14ac:dyDescent="0.25">
      <c r="A1695" t="s">
        <v>26</v>
      </c>
      <c r="B1695">
        <v>1185732</v>
      </c>
      <c r="C1695" s="1">
        <v>44268</v>
      </c>
      <c r="D1695" t="s">
        <v>29</v>
      </c>
      <c r="E1695" t="s">
        <v>50</v>
      </c>
      <c r="F1695" t="s">
        <v>51</v>
      </c>
      <c r="G1695" t="s">
        <v>15</v>
      </c>
      <c r="H1695" t="s">
        <v>16</v>
      </c>
      <c r="I1695" s="3">
        <v>31</v>
      </c>
      <c r="J1695" s="2">
        <v>68</v>
      </c>
      <c r="K1695" s="3">
        <f t="shared" si="26"/>
        <v>2108</v>
      </c>
      <c r="L1695" s="3">
        <v>1328.04</v>
      </c>
    </row>
    <row r="1696" spans="1:12" x14ac:dyDescent="0.25">
      <c r="A1696" t="s">
        <v>26</v>
      </c>
      <c r="B1696">
        <v>1185732</v>
      </c>
      <c r="C1696" s="1">
        <v>44268</v>
      </c>
      <c r="D1696" t="s">
        <v>29</v>
      </c>
      <c r="E1696" t="s">
        <v>50</v>
      </c>
      <c r="F1696" t="s">
        <v>51</v>
      </c>
      <c r="G1696" t="s">
        <v>41</v>
      </c>
      <c r="H1696" t="s">
        <v>35</v>
      </c>
      <c r="I1696" s="3">
        <v>28</v>
      </c>
      <c r="J1696" s="2">
        <v>50</v>
      </c>
      <c r="K1696" s="3">
        <f t="shared" si="26"/>
        <v>1400</v>
      </c>
      <c r="L1696" s="3">
        <v>854</v>
      </c>
    </row>
    <row r="1697" spans="1:12" x14ac:dyDescent="0.25">
      <c r="A1697" t="s">
        <v>26</v>
      </c>
      <c r="B1697">
        <v>1185732</v>
      </c>
      <c r="C1697" s="1">
        <v>44268</v>
      </c>
      <c r="D1697" t="s">
        <v>29</v>
      </c>
      <c r="E1697" t="s">
        <v>50</v>
      </c>
      <c r="F1697" t="s">
        <v>51</v>
      </c>
      <c r="G1697" t="s">
        <v>41</v>
      </c>
      <c r="H1697" t="s">
        <v>22</v>
      </c>
      <c r="I1697" s="3">
        <v>46</v>
      </c>
      <c r="J1697" s="2">
        <v>29</v>
      </c>
      <c r="K1697" s="3">
        <f t="shared" si="26"/>
        <v>1334</v>
      </c>
      <c r="L1697" s="3">
        <v>813.74</v>
      </c>
    </row>
    <row r="1698" spans="1:12" x14ac:dyDescent="0.25">
      <c r="A1698" t="s">
        <v>19</v>
      </c>
      <c r="B1698">
        <v>1185732</v>
      </c>
      <c r="C1698" s="1">
        <v>44268</v>
      </c>
      <c r="D1698" t="s">
        <v>29</v>
      </c>
      <c r="E1698" t="s">
        <v>89</v>
      </c>
      <c r="F1698" t="s">
        <v>90</v>
      </c>
      <c r="G1698" t="s">
        <v>41</v>
      </c>
      <c r="H1698" t="s">
        <v>22</v>
      </c>
      <c r="I1698" s="3">
        <v>46</v>
      </c>
      <c r="J1698" s="2">
        <v>49</v>
      </c>
      <c r="K1698" s="3">
        <f t="shared" si="26"/>
        <v>2254</v>
      </c>
      <c r="L1698" s="3">
        <v>1329.8600000000001</v>
      </c>
    </row>
    <row r="1699" spans="1:12" x14ac:dyDescent="0.25">
      <c r="A1699" t="s">
        <v>26</v>
      </c>
      <c r="B1699">
        <v>1185732</v>
      </c>
      <c r="C1699" s="1">
        <v>44268</v>
      </c>
      <c r="D1699" t="s">
        <v>29</v>
      </c>
      <c r="E1699" t="s">
        <v>50</v>
      </c>
      <c r="F1699" t="s">
        <v>51</v>
      </c>
      <c r="G1699" t="s">
        <v>41</v>
      </c>
      <c r="H1699" t="s">
        <v>16</v>
      </c>
      <c r="I1699" s="3">
        <v>39</v>
      </c>
      <c r="J1699" s="2">
        <v>54</v>
      </c>
      <c r="K1699" s="3">
        <f t="shared" si="26"/>
        <v>2106</v>
      </c>
      <c r="L1699" s="3">
        <v>1242.54</v>
      </c>
    </row>
    <row r="1700" spans="1:12" x14ac:dyDescent="0.25">
      <c r="A1700" t="s">
        <v>26</v>
      </c>
      <c r="B1700">
        <v>1185732</v>
      </c>
      <c r="C1700" s="1">
        <v>44268</v>
      </c>
      <c r="D1700" t="s">
        <v>29</v>
      </c>
      <c r="E1700" t="s">
        <v>50</v>
      </c>
      <c r="F1700" t="s">
        <v>51</v>
      </c>
      <c r="G1700" t="s">
        <v>41</v>
      </c>
      <c r="H1700" t="s">
        <v>38</v>
      </c>
      <c r="I1700" s="3">
        <v>38</v>
      </c>
      <c r="J1700" s="2">
        <v>127</v>
      </c>
      <c r="K1700" s="3">
        <f t="shared" si="26"/>
        <v>4826</v>
      </c>
      <c r="L1700" s="3">
        <v>2702.56</v>
      </c>
    </row>
    <row r="1701" spans="1:12" x14ac:dyDescent="0.25">
      <c r="A1701" t="s">
        <v>19</v>
      </c>
      <c r="B1701">
        <v>1185732</v>
      </c>
      <c r="C1701" s="1">
        <v>44268</v>
      </c>
      <c r="D1701" t="s">
        <v>29</v>
      </c>
      <c r="E1701" t="s">
        <v>89</v>
      </c>
      <c r="F1701" t="s">
        <v>90</v>
      </c>
      <c r="G1701" t="s">
        <v>41</v>
      </c>
      <c r="H1701" t="s">
        <v>17</v>
      </c>
      <c r="I1701" s="3">
        <v>39</v>
      </c>
      <c r="J1701" s="2">
        <v>68</v>
      </c>
      <c r="K1701" s="3">
        <f t="shared" si="26"/>
        <v>2652</v>
      </c>
      <c r="L1701" s="3">
        <v>1458.6000000000001</v>
      </c>
    </row>
    <row r="1702" spans="1:12" x14ac:dyDescent="0.25">
      <c r="A1702" t="s">
        <v>26</v>
      </c>
      <c r="B1702">
        <v>1185732</v>
      </c>
      <c r="C1702" s="1">
        <v>44268</v>
      </c>
      <c r="D1702" t="s">
        <v>29</v>
      </c>
      <c r="E1702" t="s">
        <v>50</v>
      </c>
      <c r="F1702" t="s">
        <v>51</v>
      </c>
      <c r="G1702" t="s">
        <v>41</v>
      </c>
      <c r="H1702" t="s">
        <v>17</v>
      </c>
      <c r="I1702" s="3">
        <v>38</v>
      </c>
      <c r="J1702" s="2">
        <v>47</v>
      </c>
      <c r="K1702" s="3">
        <f t="shared" si="26"/>
        <v>1786</v>
      </c>
      <c r="L1702" s="3">
        <v>982.30000000000007</v>
      </c>
    </row>
    <row r="1703" spans="1:12" x14ac:dyDescent="0.25">
      <c r="A1703" t="s">
        <v>19</v>
      </c>
      <c r="B1703">
        <v>1185732</v>
      </c>
      <c r="C1703" s="1">
        <v>44268</v>
      </c>
      <c r="D1703" t="s">
        <v>29</v>
      </c>
      <c r="E1703" t="s">
        <v>89</v>
      </c>
      <c r="F1703" t="s">
        <v>90</v>
      </c>
      <c r="G1703" t="s">
        <v>41</v>
      </c>
      <c r="H1703" t="s">
        <v>38</v>
      </c>
      <c r="I1703" s="3">
        <v>36</v>
      </c>
      <c r="J1703" s="2">
        <v>158</v>
      </c>
      <c r="K1703" s="3">
        <f t="shared" si="26"/>
        <v>5688</v>
      </c>
      <c r="L1703" s="3">
        <v>3071.52</v>
      </c>
    </row>
    <row r="1704" spans="1:12" x14ac:dyDescent="0.25">
      <c r="A1704" t="s">
        <v>27</v>
      </c>
      <c r="B1704">
        <v>1189833</v>
      </c>
      <c r="C1704" s="1">
        <v>44268</v>
      </c>
      <c r="D1704" t="s">
        <v>12</v>
      </c>
      <c r="E1704" t="s">
        <v>13</v>
      </c>
      <c r="F1704" t="s">
        <v>28</v>
      </c>
      <c r="G1704" t="s">
        <v>15</v>
      </c>
      <c r="H1704" t="s">
        <v>38</v>
      </c>
      <c r="I1704" s="3">
        <v>28</v>
      </c>
      <c r="J1704" s="2">
        <v>240</v>
      </c>
      <c r="K1704" s="3">
        <f t="shared" si="26"/>
        <v>6720</v>
      </c>
      <c r="L1704" s="3">
        <v>3628.7999999999997</v>
      </c>
    </row>
    <row r="1705" spans="1:12" x14ac:dyDescent="0.25">
      <c r="A1705" t="s">
        <v>19</v>
      </c>
      <c r="B1705">
        <v>1185732</v>
      </c>
      <c r="C1705" s="1">
        <v>44268</v>
      </c>
      <c r="D1705" t="s">
        <v>29</v>
      </c>
      <c r="E1705" t="s">
        <v>89</v>
      </c>
      <c r="F1705" t="s">
        <v>90</v>
      </c>
      <c r="G1705" t="s">
        <v>41</v>
      </c>
      <c r="H1705" t="s">
        <v>16</v>
      </c>
      <c r="I1705" s="3">
        <v>39</v>
      </c>
      <c r="J1705" s="2">
        <v>72</v>
      </c>
      <c r="K1705" s="3">
        <f t="shared" si="26"/>
        <v>2808</v>
      </c>
      <c r="L1705" s="3">
        <v>1404</v>
      </c>
    </row>
    <row r="1706" spans="1:12" x14ac:dyDescent="0.25">
      <c r="A1706" t="s">
        <v>27</v>
      </c>
      <c r="B1706">
        <v>1189833</v>
      </c>
      <c r="C1706" s="1">
        <v>44268</v>
      </c>
      <c r="D1706" t="s">
        <v>12</v>
      </c>
      <c r="E1706" t="s">
        <v>13</v>
      </c>
      <c r="F1706" t="s">
        <v>28</v>
      </c>
      <c r="G1706" t="s">
        <v>41</v>
      </c>
      <c r="H1706" t="s">
        <v>38</v>
      </c>
      <c r="I1706" s="3">
        <v>34</v>
      </c>
      <c r="J1706" s="2">
        <v>225</v>
      </c>
      <c r="K1706" s="3">
        <f t="shared" si="26"/>
        <v>7650</v>
      </c>
      <c r="L1706" s="3">
        <v>3595.5</v>
      </c>
    </row>
    <row r="1707" spans="1:12" x14ac:dyDescent="0.25">
      <c r="A1707" t="s">
        <v>19</v>
      </c>
      <c r="B1707">
        <v>1185732</v>
      </c>
      <c r="C1707" s="1">
        <v>44268</v>
      </c>
      <c r="D1707" t="s">
        <v>29</v>
      </c>
      <c r="E1707" t="s">
        <v>89</v>
      </c>
      <c r="F1707" t="s">
        <v>90</v>
      </c>
      <c r="G1707" t="s">
        <v>41</v>
      </c>
      <c r="H1707" t="s">
        <v>37</v>
      </c>
      <c r="I1707" s="3">
        <v>32</v>
      </c>
      <c r="J1707" s="2">
        <v>31</v>
      </c>
      <c r="K1707" s="3">
        <f t="shared" si="26"/>
        <v>992</v>
      </c>
      <c r="L1707" s="3">
        <v>466.24</v>
      </c>
    </row>
    <row r="1708" spans="1:12" x14ac:dyDescent="0.25">
      <c r="A1708" t="s">
        <v>19</v>
      </c>
      <c r="B1708">
        <v>1185732</v>
      </c>
      <c r="C1708" s="1">
        <v>44268</v>
      </c>
      <c r="D1708" t="s">
        <v>29</v>
      </c>
      <c r="E1708" t="s">
        <v>89</v>
      </c>
      <c r="F1708" t="s">
        <v>90</v>
      </c>
      <c r="G1708" t="s">
        <v>41</v>
      </c>
      <c r="H1708" t="s">
        <v>35</v>
      </c>
      <c r="I1708" s="3">
        <v>29</v>
      </c>
      <c r="J1708" s="2">
        <v>69</v>
      </c>
      <c r="K1708" s="3">
        <f t="shared" si="26"/>
        <v>2001</v>
      </c>
      <c r="L1708" s="3">
        <v>920.46</v>
      </c>
    </row>
    <row r="1709" spans="1:12" x14ac:dyDescent="0.25">
      <c r="A1709" t="s">
        <v>26</v>
      </c>
      <c r="B1709">
        <v>1197831</v>
      </c>
      <c r="C1709" s="1">
        <v>44268</v>
      </c>
      <c r="D1709" t="s">
        <v>57</v>
      </c>
      <c r="E1709" t="s">
        <v>58</v>
      </c>
      <c r="F1709" t="s">
        <v>59</v>
      </c>
      <c r="G1709" t="s">
        <v>41</v>
      </c>
      <c r="H1709" t="s">
        <v>37</v>
      </c>
      <c r="I1709" s="3">
        <v>32</v>
      </c>
      <c r="J1709" s="2">
        <v>135</v>
      </c>
      <c r="K1709" s="3">
        <f t="shared" si="26"/>
        <v>4320</v>
      </c>
      <c r="L1709" s="3">
        <v>1857.6</v>
      </c>
    </row>
    <row r="1710" spans="1:12" x14ac:dyDescent="0.25">
      <c r="A1710" t="s">
        <v>27</v>
      </c>
      <c r="B1710">
        <v>1189833</v>
      </c>
      <c r="C1710" s="1">
        <v>44269</v>
      </c>
      <c r="D1710" t="s">
        <v>12</v>
      </c>
      <c r="E1710" t="s">
        <v>13</v>
      </c>
      <c r="F1710" t="s">
        <v>28</v>
      </c>
      <c r="G1710" t="s">
        <v>15</v>
      </c>
      <c r="H1710" t="s">
        <v>17</v>
      </c>
      <c r="I1710" s="3">
        <v>45</v>
      </c>
      <c r="J1710" s="2">
        <v>650</v>
      </c>
      <c r="K1710" s="3">
        <f t="shared" si="26"/>
        <v>29250</v>
      </c>
      <c r="L1710" s="3">
        <v>21937.5</v>
      </c>
    </row>
    <row r="1711" spans="1:12" x14ac:dyDescent="0.25">
      <c r="A1711" t="s">
        <v>26</v>
      </c>
      <c r="B1711">
        <v>1197831</v>
      </c>
      <c r="C1711" s="1">
        <v>44269</v>
      </c>
      <c r="D1711" t="s">
        <v>52</v>
      </c>
      <c r="E1711" t="s">
        <v>97</v>
      </c>
      <c r="F1711" t="s">
        <v>98</v>
      </c>
      <c r="G1711" t="s">
        <v>15</v>
      </c>
      <c r="H1711" t="s">
        <v>22</v>
      </c>
      <c r="I1711" s="3">
        <v>40</v>
      </c>
      <c r="J1711" s="2">
        <v>350</v>
      </c>
      <c r="K1711" s="3">
        <f t="shared" si="26"/>
        <v>14000</v>
      </c>
      <c r="L1711" s="3">
        <v>9800</v>
      </c>
    </row>
    <row r="1712" spans="1:12" x14ac:dyDescent="0.25">
      <c r="A1712" t="s">
        <v>27</v>
      </c>
      <c r="B1712">
        <v>1189833</v>
      </c>
      <c r="C1712" s="1">
        <v>44269</v>
      </c>
      <c r="D1712" t="s">
        <v>12</v>
      </c>
      <c r="E1712" t="s">
        <v>13</v>
      </c>
      <c r="F1712" t="s">
        <v>28</v>
      </c>
      <c r="G1712" t="s">
        <v>15</v>
      </c>
      <c r="H1712" t="s">
        <v>17</v>
      </c>
      <c r="I1712" s="3">
        <v>30</v>
      </c>
      <c r="J1712" s="2">
        <v>215</v>
      </c>
      <c r="K1712" s="3">
        <f t="shared" si="26"/>
        <v>6450</v>
      </c>
      <c r="L1712" s="3">
        <v>4450.5</v>
      </c>
    </row>
    <row r="1713" spans="1:12" x14ac:dyDescent="0.25">
      <c r="A1713" t="s">
        <v>26</v>
      </c>
      <c r="B1713">
        <v>1197831</v>
      </c>
      <c r="C1713" s="1">
        <v>44269</v>
      </c>
      <c r="D1713" t="s">
        <v>52</v>
      </c>
      <c r="E1713" t="s">
        <v>97</v>
      </c>
      <c r="F1713" t="s">
        <v>98</v>
      </c>
      <c r="G1713" t="s">
        <v>15</v>
      </c>
      <c r="H1713" t="s">
        <v>22</v>
      </c>
      <c r="I1713" s="3">
        <v>30</v>
      </c>
      <c r="J1713" s="2">
        <v>123</v>
      </c>
      <c r="K1713" s="3">
        <f t="shared" si="26"/>
        <v>3690</v>
      </c>
      <c r="L1713" s="3">
        <v>2435.4</v>
      </c>
    </row>
    <row r="1714" spans="1:12" x14ac:dyDescent="0.25">
      <c r="A1714" t="s">
        <v>27</v>
      </c>
      <c r="B1714">
        <v>1189833</v>
      </c>
      <c r="C1714" s="1">
        <v>44269</v>
      </c>
      <c r="D1714" t="s">
        <v>12</v>
      </c>
      <c r="E1714" t="s">
        <v>13</v>
      </c>
      <c r="F1714" t="s">
        <v>28</v>
      </c>
      <c r="G1714" t="s">
        <v>41</v>
      </c>
      <c r="H1714" t="s">
        <v>17</v>
      </c>
      <c r="I1714" s="3">
        <v>43</v>
      </c>
      <c r="J1714" s="2">
        <v>195</v>
      </c>
      <c r="K1714" s="3">
        <f t="shared" si="26"/>
        <v>8385</v>
      </c>
      <c r="L1714" s="3">
        <v>5031</v>
      </c>
    </row>
    <row r="1715" spans="1:12" x14ac:dyDescent="0.25">
      <c r="A1715" t="s">
        <v>26</v>
      </c>
      <c r="B1715">
        <v>1197831</v>
      </c>
      <c r="C1715" s="1">
        <v>44269</v>
      </c>
      <c r="D1715" t="s">
        <v>52</v>
      </c>
      <c r="E1715" t="s">
        <v>97</v>
      </c>
      <c r="F1715" t="s">
        <v>98</v>
      </c>
      <c r="G1715" t="s">
        <v>41</v>
      </c>
      <c r="H1715" t="s">
        <v>22</v>
      </c>
      <c r="I1715" s="3">
        <v>39</v>
      </c>
      <c r="J1715" s="2">
        <v>95</v>
      </c>
      <c r="K1715" s="3">
        <f t="shared" si="26"/>
        <v>3705</v>
      </c>
      <c r="L1715" s="3">
        <v>2223</v>
      </c>
    </row>
    <row r="1716" spans="1:12" x14ac:dyDescent="0.25">
      <c r="A1716" t="s">
        <v>26</v>
      </c>
      <c r="B1716">
        <v>1185732</v>
      </c>
      <c r="C1716" s="1">
        <v>44270</v>
      </c>
      <c r="D1716" t="s">
        <v>57</v>
      </c>
      <c r="E1716" t="s">
        <v>70</v>
      </c>
      <c r="F1716" t="s">
        <v>71</v>
      </c>
      <c r="G1716" t="s">
        <v>18</v>
      </c>
      <c r="H1716" t="s">
        <v>35</v>
      </c>
      <c r="I1716" s="3">
        <v>25</v>
      </c>
      <c r="J1716" s="2">
        <v>475</v>
      </c>
      <c r="K1716" s="3">
        <f t="shared" si="26"/>
        <v>11875</v>
      </c>
      <c r="L1716" s="3">
        <v>8312.5</v>
      </c>
    </row>
    <row r="1717" spans="1:12" x14ac:dyDescent="0.25">
      <c r="A1717" t="s">
        <v>26</v>
      </c>
      <c r="B1717">
        <v>1185732</v>
      </c>
      <c r="C1717" s="1">
        <v>44270</v>
      </c>
      <c r="D1717" t="s">
        <v>57</v>
      </c>
      <c r="E1717" t="s">
        <v>70</v>
      </c>
      <c r="F1717" t="s">
        <v>71</v>
      </c>
      <c r="G1717" t="s">
        <v>18</v>
      </c>
      <c r="H1717" t="s">
        <v>37</v>
      </c>
      <c r="I1717" s="3">
        <v>29.999999999999993</v>
      </c>
      <c r="J1717" s="2">
        <v>325</v>
      </c>
      <c r="K1717" s="3">
        <f t="shared" si="26"/>
        <v>9749.9999999999982</v>
      </c>
      <c r="L1717" s="3">
        <v>6337.4999999999982</v>
      </c>
    </row>
    <row r="1718" spans="1:12" x14ac:dyDescent="0.25">
      <c r="A1718" t="s">
        <v>26</v>
      </c>
      <c r="B1718">
        <v>1185732</v>
      </c>
      <c r="C1718" s="1">
        <v>44270</v>
      </c>
      <c r="D1718" t="s">
        <v>57</v>
      </c>
      <c r="E1718" t="s">
        <v>70</v>
      </c>
      <c r="F1718" t="s">
        <v>71</v>
      </c>
      <c r="G1718" t="s">
        <v>18</v>
      </c>
      <c r="H1718" t="s">
        <v>22</v>
      </c>
      <c r="I1718" s="3">
        <v>45.000000000000007</v>
      </c>
      <c r="J1718" s="2">
        <v>375</v>
      </c>
      <c r="K1718" s="3">
        <f t="shared" si="26"/>
        <v>16875.000000000004</v>
      </c>
      <c r="L1718" s="3">
        <v>10125.000000000004</v>
      </c>
    </row>
    <row r="1719" spans="1:12" x14ac:dyDescent="0.25">
      <c r="A1719" t="s">
        <v>27</v>
      </c>
      <c r="B1719">
        <v>1189833</v>
      </c>
      <c r="C1719" s="1">
        <v>44270</v>
      </c>
      <c r="D1719" t="s">
        <v>12</v>
      </c>
      <c r="E1719" t="s">
        <v>13</v>
      </c>
      <c r="F1719" t="s">
        <v>28</v>
      </c>
      <c r="G1719" t="s">
        <v>15</v>
      </c>
      <c r="H1719" t="s">
        <v>35</v>
      </c>
      <c r="I1719" s="3">
        <v>45</v>
      </c>
      <c r="J1719" s="2">
        <v>675</v>
      </c>
      <c r="K1719" s="3">
        <f t="shared" si="26"/>
        <v>30375</v>
      </c>
      <c r="L1719" s="3">
        <v>18225</v>
      </c>
    </row>
    <row r="1720" spans="1:12" x14ac:dyDescent="0.25">
      <c r="A1720" t="s">
        <v>26</v>
      </c>
      <c r="B1720">
        <v>1185732</v>
      </c>
      <c r="C1720" s="1">
        <v>44270</v>
      </c>
      <c r="D1720" t="s">
        <v>57</v>
      </c>
      <c r="E1720" t="s">
        <v>70</v>
      </c>
      <c r="F1720" t="s">
        <v>71</v>
      </c>
      <c r="G1720" t="s">
        <v>18</v>
      </c>
      <c r="H1720" t="s">
        <v>17</v>
      </c>
      <c r="I1720" s="3">
        <v>35</v>
      </c>
      <c r="J1720" s="2">
        <v>450</v>
      </c>
      <c r="K1720" s="3">
        <f t="shared" si="26"/>
        <v>15750</v>
      </c>
      <c r="L1720" s="3">
        <v>9450</v>
      </c>
    </row>
    <row r="1721" spans="1:12" x14ac:dyDescent="0.25">
      <c r="A1721" t="s">
        <v>26</v>
      </c>
      <c r="B1721">
        <v>1197831</v>
      </c>
      <c r="C1721" s="1">
        <v>44270</v>
      </c>
      <c r="D1721" t="s">
        <v>52</v>
      </c>
      <c r="E1721" t="s">
        <v>97</v>
      </c>
      <c r="F1721" t="s">
        <v>98</v>
      </c>
      <c r="G1721" t="s">
        <v>15</v>
      </c>
      <c r="H1721" t="s">
        <v>16</v>
      </c>
      <c r="I1721" s="3">
        <v>35</v>
      </c>
      <c r="J1721" s="2">
        <v>500</v>
      </c>
      <c r="K1721" s="3">
        <f t="shared" si="26"/>
        <v>17500</v>
      </c>
      <c r="L1721" s="3">
        <v>8750</v>
      </c>
    </row>
    <row r="1722" spans="1:12" x14ac:dyDescent="0.25">
      <c r="A1722" t="s">
        <v>26</v>
      </c>
      <c r="B1722">
        <v>1185732</v>
      </c>
      <c r="C1722" s="1">
        <v>44270</v>
      </c>
      <c r="D1722" t="s">
        <v>57</v>
      </c>
      <c r="E1722" t="s">
        <v>70</v>
      </c>
      <c r="F1722" t="s">
        <v>71</v>
      </c>
      <c r="G1722" t="s">
        <v>18</v>
      </c>
      <c r="H1722" t="s">
        <v>38</v>
      </c>
      <c r="I1722" s="3">
        <v>35</v>
      </c>
      <c r="J1722" s="2">
        <v>770</v>
      </c>
      <c r="K1722" s="3">
        <f t="shared" si="26"/>
        <v>26950</v>
      </c>
      <c r="L1722" s="3">
        <v>13475</v>
      </c>
    </row>
    <row r="1723" spans="1:12" x14ac:dyDescent="0.25">
      <c r="A1723" t="s">
        <v>26</v>
      </c>
      <c r="B1723">
        <v>1185732</v>
      </c>
      <c r="C1723" s="1">
        <v>44270</v>
      </c>
      <c r="D1723" t="s">
        <v>57</v>
      </c>
      <c r="E1723" t="s">
        <v>70</v>
      </c>
      <c r="F1723" t="s">
        <v>71</v>
      </c>
      <c r="G1723" t="s">
        <v>18</v>
      </c>
      <c r="H1723" t="s">
        <v>16</v>
      </c>
      <c r="I1723" s="3">
        <v>35</v>
      </c>
      <c r="J1723" s="2">
        <v>475</v>
      </c>
      <c r="K1723" s="3">
        <f t="shared" si="26"/>
        <v>16625</v>
      </c>
      <c r="L1723" s="3">
        <v>7481.2499999999982</v>
      </c>
    </row>
    <row r="1724" spans="1:12" x14ac:dyDescent="0.25">
      <c r="A1724" t="s">
        <v>26</v>
      </c>
      <c r="B1724">
        <v>1185732</v>
      </c>
      <c r="C1724" s="1">
        <v>44270</v>
      </c>
      <c r="D1724" t="s">
        <v>57</v>
      </c>
      <c r="E1724" t="s">
        <v>70</v>
      </c>
      <c r="F1724" t="s">
        <v>71</v>
      </c>
      <c r="G1724" t="s">
        <v>41</v>
      </c>
      <c r="H1724" t="s">
        <v>35</v>
      </c>
      <c r="I1724" s="3">
        <v>25</v>
      </c>
      <c r="J1724" s="2">
        <v>124</v>
      </c>
      <c r="K1724" s="3">
        <f t="shared" si="26"/>
        <v>3100</v>
      </c>
      <c r="L1724" s="3">
        <v>1860</v>
      </c>
    </row>
    <row r="1725" spans="1:12" x14ac:dyDescent="0.25">
      <c r="A1725" t="s">
        <v>27</v>
      </c>
      <c r="B1725">
        <v>1189833</v>
      </c>
      <c r="C1725" s="1">
        <v>44270</v>
      </c>
      <c r="D1725" t="s">
        <v>12</v>
      </c>
      <c r="E1725" t="s">
        <v>13</v>
      </c>
      <c r="F1725" t="s">
        <v>28</v>
      </c>
      <c r="G1725" t="s">
        <v>15</v>
      </c>
      <c r="H1725" t="s">
        <v>35</v>
      </c>
      <c r="I1725" s="3">
        <v>33</v>
      </c>
      <c r="J1725" s="2">
        <v>223</v>
      </c>
      <c r="K1725" s="3">
        <f t="shared" si="26"/>
        <v>7359</v>
      </c>
      <c r="L1725" s="3">
        <v>4268.2199999999993</v>
      </c>
    </row>
    <row r="1726" spans="1:12" x14ac:dyDescent="0.25">
      <c r="A1726" t="s">
        <v>26</v>
      </c>
      <c r="B1726">
        <v>1185732</v>
      </c>
      <c r="C1726" s="1">
        <v>44270</v>
      </c>
      <c r="D1726" t="s">
        <v>57</v>
      </c>
      <c r="E1726" t="s">
        <v>70</v>
      </c>
      <c r="F1726" t="s">
        <v>71</v>
      </c>
      <c r="G1726" t="s">
        <v>41</v>
      </c>
      <c r="H1726" t="s">
        <v>37</v>
      </c>
      <c r="I1726" s="3">
        <v>29</v>
      </c>
      <c r="J1726" s="2">
        <v>91</v>
      </c>
      <c r="K1726" s="3">
        <f t="shared" si="26"/>
        <v>2639</v>
      </c>
      <c r="L1726" s="3">
        <v>1372.28</v>
      </c>
    </row>
    <row r="1727" spans="1:12" x14ac:dyDescent="0.25">
      <c r="A1727" t="s">
        <v>27</v>
      </c>
      <c r="B1727">
        <v>1189833</v>
      </c>
      <c r="C1727" s="1">
        <v>44270</v>
      </c>
      <c r="D1727" t="s">
        <v>12</v>
      </c>
      <c r="E1727" t="s">
        <v>13</v>
      </c>
      <c r="F1727" t="s">
        <v>28</v>
      </c>
      <c r="G1727" t="s">
        <v>41</v>
      </c>
      <c r="H1727" t="s">
        <v>35</v>
      </c>
      <c r="I1727" s="3">
        <v>44</v>
      </c>
      <c r="J1727" s="2">
        <v>169</v>
      </c>
      <c r="K1727" s="3">
        <f t="shared" si="26"/>
        <v>7436</v>
      </c>
      <c r="L1727" s="3">
        <v>3718</v>
      </c>
    </row>
    <row r="1728" spans="1:12" x14ac:dyDescent="0.25">
      <c r="A1728" t="s">
        <v>26</v>
      </c>
      <c r="B1728">
        <v>1185732</v>
      </c>
      <c r="C1728" s="1">
        <v>44270</v>
      </c>
      <c r="D1728" t="s">
        <v>57</v>
      </c>
      <c r="E1728" t="s">
        <v>70</v>
      </c>
      <c r="F1728" t="s">
        <v>71</v>
      </c>
      <c r="G1728" t="s">
        <v>41</v>
      </c>
      <c r="H1728" t="s">
        <v>22</v>
      </c>
      <c r="I1728" s="3">
        <v>43</v>
      </c>
      <c r="J1728" s="2">
        <v>94</v>
      </c>
      <c r="K1728" s="3">
        <f t="shared" si="26"/>
        <v>4042</v>
      </c>
      <c r="L1728" s="3">
        <v>1940.1599999999999</v>
      </c>
    </row>
    <row r="1729" spans="1:12" x14ac:dyDescent="0.25">
      <c r="A1729" t="s">
        <v>26</v>
      </c>
      <c r="B1729">
        <v>1197831</v>
      </c>
      <c r="C1729" s="1">
        <v>44270</v>
      </c>
      <c r="D1729" t="s">
        <v>52</v>
      </c>
      <c r="E1729" t="s">
        <v>97</v>
      </c>
      <c r="F1729" t="s">
        <v>98</v>
      </c>
      <c r="G1729" t="s">
        <v>15</v>
      </c>
      <c r="H1729" t="s">
        <v>16</v>
      </c>
      <c r="I1729" s="3">
        <v>24</v>
      </c>
      <c r="J1729" s="2">
        <v>170</v>
      </c>
      <c r="K1729" s="3">
        <f t="shared" si="26"/>
        <v>4080</v>
      </c>
      <c r="L1729" s="3">
        <v>1917.6</v>
      </c>
    </row>
    <row r="1730" spans="1:12" x14ac:dyDescent="0.25">
      <c r="A1730" t="s">
        <v>26</v>
      </c>
      <c r="B1730">
        <v>1185732</v>
      </c>
      <c r="C1730" s="1">
        <v>44270</v>
      </c>
      <c r="D1730" t="s">
        <v>57</v>
      </c>
      <c r="E1730" t="s">
        <v>70</v>
      </c>
      <c r="F1730" t="s">
        <v>71</v>
      </c>
      <c r="G1730" t="s">
        <v>41</v>
      </c>
      <c r="H1730" t="s">
        <v>17</v>
      </c>
      <c r="I1730" s="3">
        <v>32</v>
      </c>
      <c r="J1730" s="2">
        <v>126</v>
      </c>
      <c r="K1730" s="3">
        <f t="shared" si="26"/>
        <v>4032</v>
      </c>
      <c r="L1730" s="3">
        <v>1854.7199999999998</v>
      </c>
    </row>
    <row r="1731" spans="1:12" x14ac:dyDescent="0.25">
      <c r="A1731" t="s">
        <v>26</v>
      </c>
      <c r="B1731">
        <v>1185732</v>
      </c>
      <c r="C1731" s="1">
        <v>44270</v>
      </c>
      <c r="D1731" t="s">
        <v>57</v>
      </c>
      <c r="E1731" t="s">
        <v>70</v>
      </c>
      <c r="F1731" t="s">
        <v>71</v>
      </c>
      <c r="G1731" t="s">
        <v>41</v>
      </c>
      <c r="H1731" t="s">
        <v>38</v>
      </c>
      <c r="I1731" s="3">
        <v>34</v>
      </c>
      <c r="J1731" s="2">
        <v>216</v>
      </c>
      <c r="K1731" s="3">
        <f t="shared" ref="K1731:K1794" si="27">I1731*J1731</f>
        <v>7344</v>
      </c>
      <c r="L1731" s="3">
        <v>2864.16</v>
      </c>
    </row>
    <row r="1732" spans="1:12" x14ac:dyDescent="0.25">
      <c r="A1732" t="s">
        <v>26</v>
      </c>
      <c r="B1732">
        <v>1197831</v>
      </c>
      <c r="C1732" s="1">
        <v>44270</v>
      </c>
      <c r="D1732" t="s">
        <v>52</v>
      </c>
      <c r="E1732" t="s">
        <v>97</v>
      </c>
      <c r="F1732" t="s">
        <v>98</v>
      </c>
      <c r="G1732" t="s">
        <v>41</v>
      </c>
      <c r="H1732" t="s">
        <v>16</v>
      </c>
      <c r="I1732" s="3">
        <v>33</v>
      </c>
      <c r="J1732" s="2">
        <v>125</v>
      </c>
      <c r="K1732" s="3">
        <f t="shared" si="27"/>
        <v>4125</v>
      </c>
      <c r="L1732" s="3">
        <v>1443.75</v>
      </c>
    </row>
    <row r="1733" spans="1:12" x14ac:dyDescent="0.25">
      <c r="A1733" t="s">
        <v>26</v>
      </c>
      <c r="B1733">
        <v>1185732</v>
      </c>
      <c r="C1733" s="1">
        <v>44270</v>
      </c>
      <c r="D1733" t="s">
        <v>57</v>
      </c>
      <c r="E1733" t="s">
        <v>70</v>
      </c>
      <c r="F1733" t="s">
        <v>71</v>
      </c>
      <c r="G1733" t="s">
        <v>41</v>
      </c>
      <c r="H1733" t="s">
        <v>16</v>
      </c>
      <c r="I1733" s="3">
        <v>33</v>
      </c>
      <c r="J1733" s="2">
        <v>143</v>
      </c>
      <c r="K1733" s="3">
        <f t="shared" si="27"/>
        <v>4719</v>
      </c>
      <c r="L1733" s="3">
        <v>1462.8899999999999</v>
      </c>
    </row>
    <row r="1734" spans="1:12" x14ac:dyDescent="0.25">
      <c r="A1734" t="s">
        <v>26</v>
      </c>
      <c r="B1734">
        <v>1128299</v>
      </c>
      <c r="C1734" s="1">
        <v>44271</v>
      </c>
      <c r="D1734" t="s">
        <v>32</v>
      </c>
      <c r="E1734" t="s">
        <v>33</v>
      </c>
      <c r="F1734" t="s">
        <v>34</v>
      </c>
      <c r="G1734" t="s">
        <v>15</v>
      </c>
      <c r="H1734" t="s">
        <v>22</v>
      </c>
      <c r="I1734" s="3">
        <v>65</v>
      </c>
      <c r="J1734" s="2">
        <v>175</v>
      </c>
      <c r="K1734" s="3">
        <f t="shared" si="27"/>
        <v>11375</v>
      </c>
      <c r="L1734" s="3">
        <v>9100</v>
      </c>
    </row>
    <row r="1735" spans="1:12" x14ac:dyDescent="0.25">
      <c r="A1735" t="s">
        <v>26</v>
      </c>
      <c r="B1735">
        <v>1128299</v>
      </c>
      <c r="C1735" s="1">
        <v>44271</v>
      </c>
      <c r="D1735" t="s">
        <v>32</v>
      </c>
      <c r="E1735" t="s">
        <v>33</v>
      </c>
      <c r="F1735" t="s">
        <v>34</v>
      </c>
      <c r="G1735" t="s">
        <v>15</v>
      </c>
      <c r="H1735" t="s">
        <v>17</v>
      </c>
      <c r="I1735" s="3">
        <v>60</v>
      </c>
      <c r="J1735" s="2">
        <v>400</v>
      </c>
      <c r="K1735" s="3">
        <f t="shared" si="27"/>
        <v>24000</v>
      </c>
      <c r="L1735" s="3">
        <v>18000</v>
      </c>
    </row>
    <row r="1736" spans="1:12" x14ac:dyDescent="0.25">
      <c r="A1736" t="s">
        <v>26</v>
      </c>
      <c r="B1736">
        <v>1128299</v>
      </c>
      <c r="C1736" s="1">
        <v>44271</v>
      </c>
      <c r="D1736" t="s">
        <v>32</v>
      </c>
      <c r="E1736" t="s">
        <v>33</v>
      </c>
      <c r="F1736" t="s">
        <v>34</v>
      </c>
      <c r="G1736" t="s">
        <v>15</v>
      </c>
      <c r="H1736" t="s">
        <v>38</v>
      </c>
      <c r="I1736" s="3">
        <v>50</v>
      </c>
      <c r="J1736" s="2">
        <v>550</v>
      </c>
      <c r="K1736" s="3">
        <f t="shared" si="27"/>
        <v>27500</v>
      </c>
      <c r="L1736" s="3">
        <v>19250</v>
      </c>
    </row>
    <row r="1737" spans="1:12" x14ac:dyDescent="0.25">
      <c r="A1737" t="s">
        <v>26</v>
      </c>
      <c r="B1737">
        <v>1128299</v>
      </c>
      <c r="C1737" s="1">
        <v>44271</v>
      </c>
      <c r="D1737" t="s">
        <v>32</v>
      </c>
      <c r="E1737" t="s">
        <v>33</v>
      </c>
      <c r="F1737" t="s">
        <v>34</v>
      </c>
      <c r="G1737" t="s">
        <v>15</v>
      </c>
      <c r="H1737" t="s">
        <v>37</v>
      </c>
      <c r="I1737" s="3">
        <v>60</v>
      </c>
      <c r="J1737" s="2">
        <v>325</v>
      </c>
      <c r="K1737" s="3">
        <f t="shared" si="27"/>
        <v>19500</v>
      </c>
      <c r="L1737" s="3">
        <v>13650</v>
      </c>
    </row>
    <row r="1738" spans="1:12" x14ac:dyDescent="0.25">
      <c r="A1738" t="s">
        <v>26</v>
      </c>
      <c r="B1738">
        <v>1128299</v>
      </c>
      <c r="C1738" s="1">
        <v>44271</v>
      </c>
      <c r="D1738" t="s">
        <v>32</v>
      </c>
      <c r="E1738" t="s">
        <v>33</v>
      </c>
      <c r="F1738" t="s">
        <v>34</v>
      </c>
      <c r="G1738" t="s">
        <v>15</v>
      </c>
      <c r="H1738" t="s">
        <v>35</v>
      </c>
      <c r="I1738" s="3">
        <v>64.999999999999986</v>
      </c>
      <c r="J1738" s="2">
        <v>425</v>
      </c>
      <c r="K1738" s="3">
        <f t="shared" si="27"/>
        <v>27624.999999999993</v>
      </c>
      <c r="L1738" s="3">
        <v>19337.499999999993</v>
      </c>
    </row>
    <row r="1739" spans="1:12" x14ac:dyDescent="0.25">
      <c r="A1739" t="s">
        <v>19</v>
      </c>
      <c r="B1739">
        <v>1185732</v>
      </c>
      <c r="C1739" s="1">
        <v>44271</v>
      </c>
      <c r="D1739" t="s">
        <v>52</v>
      </c>
      <c r="E1739" t="s">
        <v>112</v>
      </c>
      <c r="F1739" t="s">
        <v>113</v>
      </c>
      <c r="G1739" t="s">
        <v>41</v>
      </c>
      <c r="H1739" t="s">
        <v>22</v>
      </c>
      <c r="I1739" s="3">
        <v>35.000000000000007</v>
      </c>
      <c r="J1739" s="2">
        <v>325</v>
      </c>
      <c r="K1739" s="3">
        <f t="shared" si="27"/>
        <v>11375.000000000002</v>
      </c>
      <c r="L1739" s="3">
        <v>7393.7500000000027</v>
      </c>
    </row>
    <row r="1740" spans="1:12" x14ac:dyDescent="0.25">
      <c r="A1740" t="s">
        <v>27</v>
      </c>
      <c r="B1740">
        <v>1189833</v>
      </c>
      <c r="C1740" s="1">
        <v>44271</v>
      </c>
      <c r="D1740" t="s">
        <v>12</v>
      </c>
      <c r="E1740" t="s">
        <v>13</v>
      </c>
      <c r="F1740" t="s">
        <v>28</v>
      </c>
      <c r="G1740" t="s">
        <v>15</v>
      </c>
      <c r="H1740" t="s">
        <v>37</v>
      </c>
      <c r="I1740" s="3">
        <v>45</v>
      </c>
      <c r="J1740" s="2">
        <v>525</v>
      </c>
      <c r="K1740" s="3">
        <f t="shared" si="27"/>
        <v>23625</v>
      </c>
      <c r="L1740" s="3">
        <v>15356.25</v>
      </c>
    </row>
    <row r="1741" spans="1:12" x14ac:dyDescent="0.25">
      <c r="A1741" t="s">
        <v>26</v>
      </c>
      <c r="B1741">
        <v>1197831</v>
      </c>
      <c r="C1741" s="1">
        <v>44271</v>
      </c>
      <c r="D1741" t="s">
        <v>52</v>
      </c>
      <c r="E1741" t="s">
        <v>97</v>
      </c>
      <c r="F1741" t="s">
        <v>98</v>
      </c>
      <c r="G1741" t="s">
        <v>15</v>
      </c>
      <c r="H1741" t="s">
        <v>38</v>
      </c>
      <c r="I1741" s="3">
        <v>25</v>
      </c>
      <c r="J1741" s="2">
        <v>650</v>
      </c>
      <c r="K1741" s="3">
        <f t="shared" si="27"/>
        <v>16250</v>
      </c>
      <c r="L1741" s="3">
        <v>10562.5</v>
      </c>
    </row>
    <row r="1742" spans="1:12" x14ac:dyDescent="0.25">
      <c r="A1742" t="s">
        <v>11</v>
      </c>
      <c r="B1742">
        <v>1128299</v>
      </c>
      <c r="C1742" s="1">
        <v>44271</v>
      </c>
      <c r="D1742" t="s">
        <v>52</v>
      </c>
      <c r="E1742" t="s">
        <v>64</v>
      </c>
      <c r="F1742" t="s">
        <v>65</v>
      </c>
      <c r="G1742" t="s">
        <v>18</v>
      </c>
      <c r="H1742" t="s">
        <v>16</v>
      </c>
      <c r="I1742" s="3">
        <v>45</v>
      </c>
      <c r="J1742" s="2">
        <v>350</v>
      </c>
      <c r="K1742" s="3">
        <f t="shared" si="27"/>
        <v>15750</v>
      </c>
      <c r="L1742" s="3">
        <v>10237.5</v>
      </c>
    </row>
    <row r="1743" spans="1:12" x14ac:dyDescent="0.25">
      <c r="A1743" t="s">
        <v>19</v>
      </c>
      <c r="B1743">
        <v>1185732</v>
      </c>
      <c r="C1743" s="1">
        <v>44271</v>
      </c>
      <c r="D1743" t="s">
        <v>52</v>
      </c>
      <c r="E1743" t="s">
        <v>112</v>
      </c>
      <c r="F1743" t="s">
        <v>113</v>
      </c>
      <c r="G1743" t="s">
        <v>41</v>
      </c>
      <c r="H1743" t="s">
        <v>17</v>
      </c>
      <c r="I1743" s="3">
        <v>25</v>
      </c>
      <c r="J1743" s="2">
        <v>400</v>
      </c>
      <c r="K1743" s="3">
        <f t="shared" si="27"/>
        <v>10000</v>
      </c>
      <c r="L1743" s="3">
        <v>6500</v>
      </c>
    </row>
    <row r="1744" spans="1:12" x14ac:dyDescent="0.25">
      <c r="A1744" t="s">
        <v>11</v>
      </c>
      <c r="B1744">
        <v>1128299</v>
      </c>
      <c r="C1744" s="1">
        <v>44271</v>
      </c>
      <c r="D1744" t="s">
        <v>52</v>
      </c>
      <c r="E1744" t="s">
        <v>64</v>
      </c>
      <c r="F1744" t="s">
        <v>65</v>
      </c>
      <c r="G1744" t="s">
        <v>18</v>
      </c>
      <c r="H1744" t="s">
        <v>17</v>
      </c>
      <c r="I1744" s="3">
        <v>55.000000000000007</v>
      </c>
      <c r="J1744" s="2">
        <v>375</v>
      </c>
      <c r="K1744" s="3">
        <f t="shared" si="27"/>
        <v>20625.000000000004</v>
      </c>
      <c r="L1744" s="3">
        <v>12375.000000000004</v>
      </c>
    </row>
    <row r="1745" spans="1:12" x14ac:dyDescent="0.25">
      <c r="A1745" t="s">
        <v>11</v>
      </c>
      <c r="B1745">
        <v>1128299</v>
      </c>
      <c r="C1745" s="1">
        <v>44271</v>
      </c>
      <c r="D1745" t="s">
        <v>52</v>
      </c>
      <c r="E1745" t="s">
        <v>64</v>
      </c>
      <c r="F1745" t="s">
        <v>65</v>
      </c>
      <c r="G1745" t="s">
        <v>18</v>
      </c>
      <c r="H1745" t="s">
        <v>37</v>
      </c>
      <c r="I1745" s="3">
        <v>55.000000000000007</v>
      </c>
      <c r="J1745" s="2">
        <v>300</v>
      </c>
      <c r="K1745" s="3">
        <f t="shared" si="27"/>
        <v>16500.000000000004</v>
      </c>
      <c r="L1745" s="3">
        <v>9900.0000000000036</v>
      </c>
    </row>
    <row r="1746" spans="1:12" x14ac:dyDescent="0.25">
      <c r="A1746" t="s">
        <v>11</v>
      </c>
      <c r="B1746">
        <v>1128299</v>
      </c>
      <c r="C1746" s="1">
        <v>44271</v>
      </c>
      <c r="D1746" t="s">
        <v>52</v>
      </c>
      <c r="E1746" t="s">
        <v>64</v>
      </c>
      <c r="F1746" t="s">
        <v>65</v>
      </c>
      <c r="G1746" t="s">
        <v>18</v>
      </c>
      <c r="H1746" t="s">
        <v>38</v>
      </c>
      <c r="I1746" s="3">
        <v>45</v>
      </c>
      <c r="J1746" s="2">
        <v>525</v>
      </c>
      <c r="K1746" s="3">
        <f t="shared" si="27"/>
        <v>23625</v>
      </c>
      <c r="L1746" s="3">
        <v>14175</v>
      </c>
    </row>
    <row r="1747" spans="1:12" x14ac:dyDescent="0.25">
      <c r="A1747" t="s">
        <v>11</v>
      </c>
      <c r="B1747">
        <v>1128299</v>
      </c>
      <c r="C1747" s="1">
        <v>44271</v>
      </c>
      <c r="D1747" t="s">
        <v>52</v>
      </c>
      <c r="E1747" t="s">
        <v>64</v>
      </c>
      <c r="F1747" t="s">
        <v>65</v>
      </c>
      <c r="G1747" t="s">
        <v>18</v>
      </c>
      <c r="H1747" t="s">
        <v>35</v>
      </c>
      <c r="I1747" s="3">
        <v>60</v>
      </c>
      <c r="J1747" s="2">
        <v>400</v>
      </c>
      <c r="K1747" s="3">
        <f t="shared" si="27"/>
        <v>24000</v>
      </c>
      <c r="L1747" s="3">
        <v>14400</v>
      </c>
    </row>
    <row r="1748" spans="1:12" x14ac:dyDescent="0.25">
      <c r="A1748" t="s">
        <v>19</v>
      </c>
      <c r="B1748">
        <v>1185732</v>
      </c>
      <c r="C1748" s="1">
        <v>44271</v>
      </c>
      <c r="D1748" t="s">
        <v>52</v>
      </c>
      <c r="E1748" t="s">
        <v>112</v>
      </c>
      <c r="F1748" t="s">
        <v>113</v>
      </c>
      <c r="G1748" t="s">
        <v>41</v>
      </c>
      <c r="H1748" t="s">
        <v>38</v>
      </c>
      <c r="I1748" s="3">
        <v>25</v>
      </c>
      <c r="J1748" s="2">
        <v>720</v>
      </c>
      <c r="K1748" s="3">
        <f t="shared" si="27"/>
        <v>18000</v>
      </c>
      <c r="L1748" s="3">
        <v>10800</v>
      </c>
    </row>
    <row r="1749" spans="1:12" x14ac:dyDescent="0.25">
      <c r="A1749" t="s">
        <v>11</v>
      </c>
      <c r="B1749">
        <v>1185732</v>
      </c>
      <c r="C1749" s="1">
        <v>44271</v>
      </c>
      <c r="D1749" t="s">
        <v>29</v>
      </c>
      <c r="E1749" t="s">
        <v>105</v>
      </c>
      <c r="F1749" t="s">
        <v>47</v>
      </c>
      <c r="G1749" t="s">
        <v>18</v>
      </c>
      <c r="H1749" t="s">
        <v>38</v>
      </c>
      <c r="I1749" s="3">
        <v>30.000000000000004</v>
      </c>
      <c r="J1749" s="2">
        <v>570</v>
      </c>
      <c r="K1749" s="3">
        <f t="shared" si="27"/>
        <v>17100.000000000004</v>
      </c>
      <c r="L1749" s="3">
        <v>10260.000000000002</v>
      </c>
    </row>
    <row r="1750" spans="1:12" x14ac:dyDescent="0.25">
      <c r="A1750" t="s">
        <v>11</v>
      </c>
      <c r="B1750">
        <v>1185732</v>
      </c>
      <c r="C1750" s="1">
        <v>44271</v>
      </c>
      <c r="D1750" t="s">
        <v>29</v>
      </c>
      <c r="E1750" t="s">
        <v>105</v>
      </c>
      <c r="F1750" t="s">
        <v>47</v>
      </c>
      <c r="G1750" t="s">
        <v>18</v>
      </c>
      <c r="H1750" t="s">
        <v>17</v>
      </c>
      <c r="I1750" s="3">
        <v>30.000000000000004</v>
      </c>
      <c r="J1750" s="2">
        <v>275</v>
      </c>
      <c r="K1750" s="3">
        <f t="shared" si="27"/>
        <v>8250.0000000000018</v>
      </c>
      <c r="L1750" s="3">
        <v>4950.0000000000009</v>
      </c>
    </row>
    <row r="1751" spans="1:12" x14ac:dyDescent="0.25">
      <c r="A1751" t="s">
        <v>11</v>
      </c>
      <c r="B1751">
        <v>1185732</v>
      </c>
      <c r="C1751" s="1">
        <v>44271</v>
      </c>
      <c r="D1751" t="s">
        <v>29</v>
      </c>
      <c r="E1751" t="s">
        <v>105</v>
      </c>
      <c r="F1751" t="s">
        <v>47</v>
      </c>
      <c r="G1751" t="s">
        <v>18</v>
      </c>
      <c r="H1751" t="s">
        <v>35</v>
      </c>
      <c r="I1751" s="3">
        <v>20</v>
      </c>
      <c r="J1751" s="2">
        <v>325</v>
      </c>
      <c r="K1751" s="3">
        <f t="shared" si="27"/>
        <v>6500</v>
      </c>
      <c r="L1751" s="3">
        <v>3900</v>
      </c>
    </row>
    <row r="1752" spans="1:12" x14ac:dyDescent="0.25">
      <c r="A1752" t="s">
        <v>11</v>
      </c>
      <c r="B1752">
        <v>1185732</v>
      </c>
      <c r="C1752" s="1">
        <v>44271</v>
      </c>
      <c r="D1752" t="s">
        <v>29</v>
      </c>
      <c r="E1752" t="s">
        <v>105</v>
      </c>
      <c r="F1752" t="s">
        <v>47</v>
      </c>
      <c r="G1752" t="s">
        <v>18</v>
      </c>
      <c r="H1752" t="s">
        <v>22</v>
      </c>
      <c r="I1752" s="3">
        <v>40</v>
      </c>
      <c r="J1752" s="2">
        <v>225</v>
      </c>
      <c r="K1752" s="3">
        <f t="shared" si="27"/>
        <v>9000</v>
      </c>
      <c r="L1752" s="3">
        <v>5400</v>
      </c>
    </row>
    <row r="1753" spans="1:12" x14ac:dyDescent="0.25">
      <c r="A1753" t="s">
        <v>11</v>
      </c>
      <c r="B1753">
        <v>1185732</v>
      </c>
      <c r="C1753" s="1">
        <v>44271</v>
      </c>
      <c r="D1753" t="s">
        <v>29</v>
      </c>
      <c r="E1753" t="s">
        <v>105</v>
      </c>
      <c r="F1753" t="s">
        <v>47</v>
      </c>
      <c r="G1753" t="s">
        <v>18</v>
      </c>
      <c r="H1753" t="s">
        <v>16</v>
      </c>
      <c r="I1753" s="3">
        <v>30.000000000000004</v>
      </c>
      <c r="J1753" s="2">
        <v>325</v>
      </c>
      <c r="K1753" s="3">
        <f t="shared" si="27"/>
        <v>9750.0000000000018</v>
      </c>
      <c r="L1753" s="3">
        <v>5850.0000000000009</v>
      </c>
    </row>
    <row r="1754" spans="1:12" x14ac:dyDescent="0.25">
      <c r="A1754" t="s">
        <v>19</v>
      </c>
      <c r="B1754">
        <v>1185732</v>
      </c>
      <c r="C1754" s="1">
        <v>44271</v>
      </c>
      <c r="D1754" t="s">
        <v>52</v>
      </c>
      <c r="E1754" t="s">
        <v>112</v>
      </c>
      <c r="F1754" t="s">
        <v>113</v>
      </c>
      <c r="G1754" t="s">
        <v>41</v>
      </c>
      <c r="H1754" t="s">
        <v>35</v>
      </c>
      <c r="I1754" s="3">
        <v>15.000000000000002</v>
      </c>
      <c r="J1754" s="2">
        <v>425</v>
      </c>
      <c r="K1754" s="3">
        <f t="shared" si="27"/>
        <v>6375.0000000000009</v>
      </c>
      <c r="L1754" s="3">
        <v>3825</v>
      </c>
    </row>
    <row r="1755" spans="1:12" x14ac:dyDescent="0.25">
      <c r="A1755" t="s">
        <v>19</v>
      </c>
      <c r="B1755">
        <v>1185732</v>
      </c>
      <c r="C1755" s="1">
        <v>44271</v>
      </c>
      <c r="D1755" t="s">
        <v>52</v>
      </c>
      <c r="E1755" t="s">
        <v>112</v>
      </c>
      <c r="F1755" t="s">
        <v>113</v>
      </c>
      <c r="G1755" t="s">
        <v>41</v>
      </c>
      <c r="H1755" t="s">
        <v>37</v>
      </c>
      <c r="I1755" s="3">
        <v>19.999999999999996</v>
      </c>
      <c r="J1755" s="2">
        <v>275</v>
      </c>
      <c r="K1755" s="3">
        <f t="shared" si="27"/>
        <v>5499.9999999999991</v>
      </c>
      <c r="L1755" s="3">
        <v>3299.9999999999991</v>
      </c>
    </row>
    <row r="1756" spans="1:12" x14ac:dyDescent="0.25">
      <c r="A1756" t="s">
        <v>11</v>
      </c>
      <c r="B1756">
        <v>1185732</v>
      </c>
      <c r="C1756" s="1">
        <v>44271</v>
      </c>
      <c r="D1756" t="s">
        <v>29</v>
      </c>
      <c r="E1756" t="s">
        <v>105</v>
      </c>
      <c r="F1756" t="s">
        <v>47</v>
      </c>
      <c r="G1756" t="s">
        <v>18</v>
      </c>
      <c r="H1756" t="s">
        <v>37</v>
      </c>
      <c r="I1756" s="3">
        <v>24.999999999999993</v>
      </c>
      <c r="J1756" s="2">
        <v>175</v>
      </c>
      <c r="K1756" s="3">
        <f t="shared" si="27"/>
        <v>4374.9999999999991</v>
      </c>
      <c r="L1756" s="3">
        <v>2624.9999999999991</v>
      </c>
    </row>
    <row r="1757" spans="1:12" x14ac:dyDescent="0.25">
      <c r="A1757" t="s">
        <v>26</v>
      </c>
      <c r="B1757">
        <v>1128299</v>
      </c>
      <c r="C1757" s="1">
        <v>44271</v>
      </c>
      <c r="D1757" t="s">
        <v>32</v>
      </c>
      <c r="E1757" t="s">
        <v>33</v>
      </c>
      <c r="F1757" t="s">
        <v>34</v>
      </c>
      <c r="G1757" t="s">
        <v>15</v>
      </c>
      <c r="H1757" t="s">
        <v>16</v>
      </c>
      <c r="I1757" s="3">
        <v>60</v>
      </c>
      <c r="J1757" s="2">
        <v>375</v>
      </c>
      <c r="K1757" s="3">
        <f t="shared" si="27"/>
        <v>22500</v>
      </c>
      <c r="L1757" s="3">
        <v>12375</v>
      </c>
    </row>
    <row r="1758" spans="1:12" x14ac:dyDescent="0.25">
      <c r="A1758" t="s">
        <v>11</v>
      </c>
      <c r="B1758">
        <v>1128299</v>
      </c>
      <c r="C1758" s="1">
        <v>44271</v>
      </c>
      <c r="D1758" t="s">
        <v>52</v>
      </c>
      <c r="E1758" t="s">
        <v>64</v>
      </c>
      <c r="F1758" t="s">
        <v>65</v>
      </c>
      <c r="G1758" t="s">
        <v>18</v>
      </c>
      <c r="H1758" t="s">
        <v>22</v>
      </c>
      <c r="I1758" s="3">
        <v>60.000000000000007</v>
      </c>
      <c r="J1758" s="2">
        <v>150</v>
      </c>
      <c r="K1758" s="3">
        <f t="shared" si="27"/>
        <v>9000.0000000000018</v>
      </c>
      <c r="L1758" s="3">
        <v>4950.0000000000009</v>
      </c>
    </row>
    <row r="1759" spans="1:12" x14ac:dyDescent="0.25">
      <c r="A1759" t="s">
        <v>19</v>
      </c>
      <c r="B1759">
        <v>1185732</v>
      </c>
      <c r="C1759" s="1">
        <v>44271</v>
      </c>
      <c r="D1759" t="s">
        <v>52</v>
      </c>
      <c r="E1759" t="s">
        <v>112</v>
      </c>
      <c r="F1759" t="s">
        <v>113</v>
      </c>
      <c r="G1759" t="s">
        <v>41</v>
      </c>
      <c r="H1759" t="s">
        <v>16</v>
      </c>
      <c r="I1759" s="3">
        <v>25</v>
      </c>
      <c r="J1759" s="2">
        <v>425</v>
      </c>
      <c r="K1759" s="3">
        <f t="shared" si="27"/>
        <v>10625</v>
      </c>
      <c r="L1759" s="3">
        <v>5312.5</v>
      </c>
    </row>
    <row r="1760" spans="1:12" x14ac:dyDescent="0.25">
      <c r="A1760" t="s">
        <v>26</v>
      </c>
      <c r="B1760">
        <v>1128299</v>
      </c>
      <c r="C1760" s="1">
        <v>44271</v>
      </c>
      <c r="D1760" t="s">
        <v>32</v>
      </c>
      <c r="E1760" t="s">
        <v>33</v>
      </c>
      <c r="F1760" t="s">
        <v>34</v>
      </c>
      <c r="G1760" t="s">
        <v>15</v>
      </c>
      <c r="H1760" t="s">
        <v>22</v>
      </c>
      <c r="I1760" s="3">
        <v>44</v>
      </c>
      <c r="J1760" s="2">
        <v>60</v>
      </c>
      <c r="K1760" s="3">
        <f t="shared" si="27"/>
        <v>2640</v>
      </c>
      <c r="L1760" s="3">
        <v>1953.6</v>
      </c>
    </row>
    <row r="1761" spans="1:12" x14ac:dyDescent="0.25">
      <c r="A1761" t="s">
        <v>26</v>
      </c>
      <c r="B1761">
        <v>1128299</v>
      </c>
      <c r="C1761" s="1">
        <v>44271</v>
      </c>
      <c r="D1761" t="s">
        <v>32</v>
      </c>
      <c r="E1761" t="s">
        <v>33</v>
      </c>
      <c r="F1761" t="s">
        <v>34</v>
      </c>
      <c r="G1761" t="s">
        <v>15</v>
      </c>
      <c r="H1761" t="s">
        <v>17</v>
      </c>
      <c r="I1761" s="3">
        <v>44</v>
      </c>
      <c r="J1761" s="2">
        <v>124</v>
      </c>
      <c r="K1761" s="3">
        <f t="shared" si="27"/>
        <v>5456</v>
      </c>
      <c r="L1761" s="3">
        <v>3764.6400000000003</v>
      </c>
    </row>
    <row r="1762" spans="1:12" x14ac:dyDescent="0.25">
      <c r="A1762" t="s">
        <v>26</v>
      </c>
      <c r="B1762">
        <v>1128299</v>
      </c>
      <c r="C1762" s="1">
        <v>44271</v>
      </c>
      <c r="D1762" t="s">
        <v>32</v>
      </c>
      <c r="E1762" t="s">
        <v>33</v>
      </c>
      <c r="F1762" t="s">
        <v>34</v>
      </c>
      <c r="G1762" t="s">
        <v>15</v>
      </c>
      <c r="H1762" t="s">
        <v>35</v>
      </c>
      <c r="I1762" s="3">
        <v>47</v>
      </c>
      <c r="J1762" s="2">
        <v>149</v>
      </c>
      <c r="K1762" s="3">
        <f t="shared" si="27"/>
        <v>7003</v>
      </c>
      <c r="L1762" s="3">
        <v>4762.04</v>
      </c>
    </row>
    <row r="1763" spans="1:12" x14ac:dyDescent="0.25">
      <c r="A1763" t="s">
        <v>26</v>
      </c>
      <c r="B1763">
        <v>1128299</v>
      </c>
      <c r="C1763" s="1">
        <v>44271</v>
      </c>
      <c r="D1763" t="s">
        <v>32</v>
      </c>
      <c r="E1763" t="s">
        <v>33</v>
      </c>
      <c r="F1763" t="s">
        <v>34</v>
      </c>
      <c r="G1763" t="s">
        <v>41</v>
      </c>
      <c r="H1763" t="s">
        <v>22</v>
      </c>
      <c r="I1763" s="3">
        <v>61</v>
      </c>
      <c r="J1763" s="2">
        <v>44</v>
      </c>
      <c r="K1763" s="3">
        <f t="shared" si="27"/>
        <v>2684</v>
      </c>
      <c r="L1763" s="3">
        <v>1798.28</v>
      </c>
    </row>
    <row r="1764" spans="1:12" x14ac:dyDescent="0.25">
      <c r="A1764" t="s">
        <v>26</v>
      </c>
      <c r="B1764">
        <v>1128299</v>
      </c>
      <c r="C1764" s="1">
        <v>44271</v>
      </c>
      <c r="D1764" t="s">
        <v>32</v>
      </c>
      <c r="E1764" t="s">
        <v>33</v>
      </c>
      <c r="F1764" t="s">
        <v>34</v>
      </c>
      <c r="G1764" t="s">
        <v>15</v>
      </c>
      <c r="H1764" t="s">
        <v>38</v>
      </c>
      <c r="I1764" s="3">
        <v>35</v>
      </c>
      <c r="J1764" s="2">
        <v>171</v>
      </c>
      <c r="K1764" s="3">
        <f t="shared" si="27"/>
        <v>5985</v>
      </c>
      <c r="L1764" s="3">
        <v>3950.1000000000004</v>
      </c>
    </row>
    <row r="1765" spans="1:12" x14ac:dyDescent="0.25">
      <c r="A1765" t="s">
        <v>26</v>
      </c>
      <c r="B1765">
        <v>1128299</v>
      </c>
      <c r="C1765" s="1">
        <v>44271</v>
      </c>
      <c r="D1765" t="s">
        <v>32</v>
      </c>
      <c r="E1765" t="s">
        <v>33</v>
      </c>
      <c r="F1765" t="s">
        <v>34</v>
      </c>
      <c r="G1765" t="s">
        <v>15</v>
      </c>
      <c r="H1765" t="s">
        <v>37</v>
      </c>
      <c r="I1765" s="3">
        <v>42</v>
      </c>
      <c r="J1765" s="2">
        <v>114</v>
      </c>
      <c r="K1765" s="3">
        <f t="shared" si="27"/>
        <v>4788</v>
      </c>
      <c r="L1765" s="3">
        <v>3112.2</v>
      </c>
    </row>
    <row r="1766" spans="1:12" x14ac:dyDescent="0.25">
      <c r="A1766" t="s">
        <v>26</v>
      </c>
      <c r="B1766">
        <v>1197831</v>
      </c>
      <c r="C1766" s="1">
        <v>44271</v>
      </c>
      <c r="D1766" t="s">
        <v>52</v>
      </c>
      <c r="E1766" t="s">
        <v>97</v>
      </c>
      <c r="F1766" t="s">
        <v>98</v>
      </c>
      <c r="G1766" t="s">
        <v>15</v>
      </c>
      <c r="H1766" t="s">
        <v>38</v>
      </c>
      <c r="I1766" s="3">
        <v>18</v>
      </c>
      <c r="J1766" s="2">
        <v>202</v>
      </c>
      <c r="K1766" s="3">
        <f t="shared" si="27"/>
        <v>3636</v>
      </c>
      <c r="L1766" s="3">
        <v>2290.6800000000003</v>
      </c>
    </row>
    <row r="1767" spans="1:12" x14ac:dyDescent="0.25">
      <c r="A1767" t="s">
        <v>11</v>
      </c>
      <c r="B1767">
        <v>1128299</v>
      </c>
      <c r="C1767" s="1">
        <v>44271</v>
      </c>
      <c r="D1767" t="s">
        <v>52</v>
      </c>
      <c r="E1767" t="s">
        <v>64</v>
      </c>
      <c r="F1767" t="s">
        <v>65</v>
      </c>
      <c r="G1767" t="s">
        <v>15</v>
      </c>
      <c r="H1767" t="s">
        <v>16</v>
      </c>
      <c r="I1767" s="3">
        <v>29</v>
      </c>
      <c r="J1767" s="2">
        <v>109</v>
      </c>
      <c r="K1767" s="3">
        <f t="shared" si="27"/>
        <v>3161</v>
      </c>
      <c r="L1767" s="3">
        <v>1991.43</v>
      </c>
    </row>
    <row r="1768" spans="1:12" x14ac:dyDescent="0.25">
      <c r="A1768" t="s">
        <v>19</v>
      </c>
      <c r="B1768">
        <v>1185732</v>
      </c>
      <c r="C1768" s="1">
        <v>44271</v>
      </c>
      <c r="D1768" t="s">
        <v>52</v>
      </c>
      <c r="E1768" t="s">
        <v>112</v>
      </c>
      <c r="F1768" t="s">
        <v>113</v>
      </c>
      <c r="G1768" t="s">
        <v>15</v>
      </c>
      <c r="H1768" t="s">
        <v>22</v>
      </c>
      <c r="I1768" s="3">
        <v>25</v>
      </c>
      <c r="J1768" s="2">
        <v>104</v>
      </c>
      <c r="K1768" s="3">
        <f t="shared" si="27"/>
        <v>2600</v>
      </c>
      <c r="L1768" s="3">
        <v>1638</v>
      </c>
    </row>
    <row r="1769" spans="1:12" x14ac:dyDescent="0.25">
      <c r="A1769" t="s">
        <v>26</v>
      </c>
      <c r="B1769">
        <v>1128299</v>
      </c>
      <c r="C1769" s="1">
        <v>44271</v>
      </c>
      <c r="D1769" t="s">
        <v>32</v>
      </c>
      <c r="E1769" t="s">
        <v>33</v>
      </c>
      <c r="F1769" t="s">
        <v>34</v>
      </c>
      <c r="G1769" t="s">
        <v>41</v>
      </c>
      <c r="H1769" t="s">
        <v>17</v>
      </c>
      <c r="I1769" s="3">
        <v>58</v>
      </c>
      <c r="J1769" s="2">
        <v>100</v>
      </c>
      <c r="K1769" s="3">
        <f t="shared" si="27"/>
        <v>5800</v>
      </c>
      <c r="L1769" s="3">
        <v>3596</v>
      </c>
    </row>
    <row r="1770" spans="1:12" x14ac:dyDescent="0.25">
      <c r="A1770" t="s">
        <v>19</v>
      </c>
      <c r="B1770">
        <v>1185732</v>
      </c>
      <c r="C1770" s="1">
        <v>44271</v>
      </c>
      <c r="D1770" t="s">
        <v>52</v>
      </c>
      <c r="E1770" t="s">
        <v>112</v>
      </c>
      <c r="F1770" t="s">
        <v>113</v>
      </c>
      <c r="G1770" t="s">
        <v>15</v>
      </c>
      <c r="H1770" t="s">
        <v>17</v>
      </c>
      <c r="I1770" s="3">
        <v>20</v>
      </c>
      <c r="J1770" s="2">
        <v>128</v>
      </c>
      <c r="K1770" s="3">
        <f t="shared" si="27"/>
        <v>2560</v>
      </c>
      <c r="L1770" s="3">
        <v>1561.6000000000001</v>
      </c>
    </row>
    <row r="1771" spans="1:12" x14ac:dyDescent="0.25">
      <c r="A1771" t="s">
        <v>27</v>
      </c>
      <c r="B1771">
        <v>1189833</v>
      </c>
      <c r="C1771" s="1">
        <v>44271</v>
      </c>
      <c r="D1771" t="s">
        <v>12</v>
      </c>
      <c r="E1771" t="s">
        <v>13</v>
      </c>
      <c r="F1771" t="s">
        <v>28</v>
      </c>
      <c r="G1771" t="s">
        <v>15</v>
      </c>
      <c r="H1771" t="s">
        <v>37</v>
      </c>
      <c r="I1771" s="3">
        <v>34</v>
      </c>
      <c r="J1771" s="2">
        <v>179</v>
      </c>
      <c r="K1771" s="3">
        <f t="shared" si="27"/>
        <v>6086</v>
      </c>
      <c r="L1771" s="3">
        <v>3590.7400000000002</v>
      </c>
    </row>
    <row r="1772" spans="1:12" x14ac:dyDescent="0.25">
      <c r="A1772" t="s">
        <v>26</v>
      </c>
      <c r="B1772">
        <v>1128299</v>
      </c>
      <c r="C1772" s="1">
        <v>44271</v>
      </c>
      <c r="D1772" t="s">
        <v>32</v>
      </c>
      <c r="E1772" t="s">
        <v>33</v>
      </c>
      <c r="F1772" t="s">
        <v>34</v>
      </c>
      <c r="G1772" t="s">
        <v>41</v>
      </c>
      <c r="H1772" t="s">
        <v>38</v>
      </c>
      <c r="I1772" s="3">
        <v>46</v>
      </c>
      <c r="J1772" s="2">
        <v>160</v>
      </c>
      <c r="K1772" s="3">
        <f t="shared" si="27"/>
        <v>7360</v>
      </c>
      <c r="L1772" s="3">
        <v>4342.3999999999996</v>
      </c>
    </row>
    <row r="1773" spans="1:12" x14ac:dyDescent="0.25">
      <c r="A1773" t="s">
        <v>26</v>
      </c>
      <c r="B1773">
        <v>1128299</v>
      </c>
      <c r="C1773" s="1">
        <v>44271</v>
      </c>
      <c r="D1773" t="s">
        <v>32</v>
      </c>
      <c r="E1773" t="s">
        <v>33</v>
      </c>
      <c r="F1773" t="s">
        <v>34</v>
      </c>
      <c r="G1773" t="s">
        <v>41</v>
      </c>
      <c r="H1773" t="s">
        <v>37</v>
      </c>
      <c r="I1773" s="3">
        <v>58</v>
      </c>
      <c r="J1773" s="2">
        <v>91</v>
      </c>
      <c r="K1773" s="3">
        <f t="shared" si="27"/>
        <v>5278</v>
      </c>
      <c r="L1773" s="3">
        <v>3061.2400000000002</v>
      </c>
    </row>
    <row r="1774" spans="1:12" x14ac:dyDescent="0.25">
      <c r="A1774" t="s">
        <v>11</v>
      </c>
      <c r="B1774">
        <v>1128299</v>
      </c>
      <c r="C1774" s="1">
        <v>44271</v>
      </c>
      <c r="D1774" t="s">
        <v>52</v>
      </c>
      <c r="E1774" t="s">
        <v>64</v>
      </c>
      <c r="F1774" t="s">
        <v>65</v>
      </c>
      <c r="G1774" t="s">
        <v>15</v>
      </c>
      <c r="H1774" t="s">
        <v>37</v>
      </c>
      <c r="I1774" s="3">
        <v>43</v>
      </c>
      <c r="J1774" s="2">
        <v>96</v>
      </c>
      <c r="K1774" s="3">
        <f t="shared" si="27"/>
        <v>4128</v>
      </c>
      <c r="L1774" s="3">
        <v>2352.96</v>
      </c>
    </row>
    <row r="1775" spans="1:12" x14ac:dyDescent="0.25">
      <c r="A1775" t="s">
        <v>26</v>
      </c>
      <c r="B1775">
        <v>1128299</v>
      </c>
      <c r="C1775" s="1">
        <v>44271</v>
      </c>
      <c r="D1775" t="s">
        <v>32</v>
      </c>
      <c r="E1775" t="s">
        <v>33</v>
      </c>
      <c r="F1775" t="s">
        <v>34</v>
      </c>
      <c r="G1775" t="s">
        <v>41</v>
      </c>
      <c r="H1775" t="s">
        <v>35</v>
      </c>
      <c r="I1775" s="3">
        <v>59</v>
      </c>
      <c r="J1775" s="2">
        <v>115</v>
      </c>
      <c r="K1775" s="3">
        <f t="shared" si="27"/>
        <v>6785</v>
      </c>
      <c r="L1775" s="3">
        <v>3867.45</v>
      </c>
    </row>
    <row r="1776" spans="1:12" x14ac:dyDescent="0.25">
      <c r="A1776" t="s">
        <v>11</v>
      </c>
      <c r="B1776">
        <v>1128299</v>
      </c>
      <c r="C1776" s="1">
        <v>44271</v>
      </c>
      <c r="D1776" t="s">
        <v>52</v>
      </c>
      <c r="E1776" t="s">
        <v>64</v>
      </c>
      <c r="F1776" t="s">
        <v>65</v>
      </c>
      <c r="G1776" t="s">
        <v>15</v>
      </c>
      <c r="H1776" t="s">
        <v>17</v>
      </c>
      <c r="I1776" s="3">
        <v>38</v>
      </c>
      <c r="J1776" s="2">
        <v>120</v>
      </c>
      <c r="K1776" s="3">
        <f t="shared" si="27"/>
        <v>4560</v>
      </c>
      <c r="L1776" s="3">
        <v>2553.6000000000004</v>
      </c>
    </row>
    <row r="1777" spans="1:12" x14ac:dyDescent="0.25">
      <c r="A1777" t="s">
        <v>11</v>
      </c>
      <c r="B1777">
        <v>1128299</v>
      </c>
      <c r="C1777" s="1">
        <v>44271</v>
      </c>
      <c r="D1777" t="s">
        <v>52</v>
      </c>
      <c r="E1777" t="s">
        <v>64</v>
      </c>
      <c r="F1777" t="s">
        <v>65</v>
      </c>
      <c r="G1777" t="s">
        <v>41</v>
      </c>
      <c r="H1777" t="s">
        <v>16</v>
      </c>
      <c r="I1777" s="3">
        <v>41</v>
      </c>
      <c r="J1777" s="2">
        <v>95</v>
      </c>
      <c r="K1777" s="3">
        <f t="shared" si="27"/>
        <v>3895</v>
      </c>
      <c r="L1777" s="3">
        <v>2142.25</v>
      </c>
    </row>
    <row r="1778" spans="1:12" x14ac:dyDescent="0.25">
      <c r="A1778" t="s">
        <v>11</v>
      </c>
      <c r="B1778">
        <v>1128299</v>
      </c>
      <c r="C1778" s="1">
        <v>44271</v>
      </c>
      <c r="D1778" t="s">
        <v>52</v>
      </c>
      <c r="E1778" t="s">
        <v>64</v>
      </c>
      <c r="F1778" t="s">
        <v>65</v>
      </c>
      <c r="G1778" t="s">
        <v>15</v>
      </c>
      <c r="H1778" t="s">
        <v>35</v>
      </c>
      <c r="I1778" s="3">
        <v>39</v>
      </c>
      <c r="J1778" s="2">
        <v>120</v>
      </c>
      <c r="K1778" s="3">
        <f t="shared" si="27"/>
        <v>4680</v>
      </c>
      <c r="L1778" s="3">
        <v>2574</v>
      </c>
    </row>
    <row r="1779" spans="1:12" x14ac:dyDescent="0.25">
      <c r="A1779" t="s">
        <v>19</v>
      </c>
      <c r="B1779">
        <v>1185732</v>
      </c>
      <c r="C1779" s="1">
        <v>44271</v>
      </c>
      <c r="D1779" t="s">
        <v>52</v>
      </c>
      <c r="E1779" t="s">
        <v>112</v>
      </c>
      <c r="F1779" t="s">
        <v>113</v>
      </c>
      <c r="G1779" t="s">
        <v>15</v>
      </c>
      <c r="H1779" t="s">
        <v>37</v>
      </c>
      <c r="I1779" s="3">
        <v>15</v>
      </c>
      <c r="J1779" s="2">
        <v>85</v>
      </c>
      <c r="K1779" s="3">
        <f t="shared" si="27"/>
        <v>1275</v>
      </c>
      <c r="L1779" s="3">
        <v>701.25</v>
      </c>
    </row>
    <row r="1780" spans="1:12" x14ac:dyDescent="0.25">
      <c r="A1780" t="s">
        <v>19</v>
      </c>
      <c r="B1780">
        <v>1185732</v>
      </c>
      <c r="C1780" s="1">
        <v>44271</v>
      </c>
      <c r="D1780" t="s">
        <v>52</v>
      </c>
      <c r="E1780" t="s">
        <v>112</v>
      </c>
      <c r="F1780" t="s">
        <v>113</v>
      </c>
      <c r="G1780" t="s">
        <v>41</v>
      </c>
      <c r="H1780" t="s">
        <v>22</v>
      </c>
      <c r="I1780" s="3">
        <v>32</v>
      </c>
      <c r="J1780" s="2">
        <v>81</v>
      </c>
      <c r="K1780" s="3">
        <f t="shared" si="27"/>
        <v>2592</v>
      </c>
      <c r="L1780" s="3">
        <v>1399.68</v>
      </c>
    </row>
    <row r="1781" spans="1:12" x14ac:dyDescent="0.25">
      <c r="A1781" t="s">
        <v>11</v>
      </c>
      <c r="B1781">
        <v>1128299</v>
      </c>
      <c r="C1781" s="1">
        <v>44271</v>
      </c>
      <c r="D1781" t="s">
        <v>52</v>
      </c>
      <c r="E1781" t="s">
        <v>64</v>
      </c>
      <c r="F1781" t="s">
        <v>65</v>
      </c>
      <c r="G1781" t="s">
        <v>15</v>
      </c>
      <c r="H1781" t="s">
        <v>38</v>
      </c>
      <c r="I1781" s="3">
        <v>29</v>
      </c>
      <c r="J1781" s="2">
        <v>179</v>
      </c>
      <c r="K1781" s="3">
        <f t="shared" si="27"/>
        <v>5191</v>
      </c>
      <c r="L1781" s="3">
        <v>2803.1400000000003</v>
      </c>
    </row>
    <row r="1782" spans="1:12" x14ac:dyDescent="0.25">
      <c r="A1782" t="s">
        <v>19</v>
      </c>
      <c r="B1782">
        <v>1185732</v>
      </c>
      <c r="C1782" s="1">
        <v>44271</v>
      </c>
      <c r="D1782" t="s">
        <v>52</v>
      </c>
      <c r="E1782" t="s">
        <v>112</v>
      </c>
      <c r="F1782" t="s">
        <v>113</v>
      </c>
      <c r="G1782" t="s">
        <v>15</v>
      </c>
      <c r="H1782" t="s">
        <v>38</v>
      </c>
      <c r="I1782" s="3">
        <v>20</v>
      </c>
      <c r="J1782" s="2">
        <v>223</v>
      </c>
      <c r="K1782" s="3">
        <f t="shared" si="27"/>
        <v>4460</v>
      </c>
      <c r="L1782" s="3">
        <v>2408.4</v>
      </c>
    </row>
    <row r="1783" spans="1:12" x14ac:dyDescent="0.25">
      <c r="A1783" t="s">
        <v>19</v>
      </c>
      <c r="B1783">
        <v>1185732</v>
      </c>
      <c r="C1783" s="1">
        <v>44271</v>
      </c>
      <c r="D1783" t="s">
        <v>52</v>
      </c>
      <c r="E1783" t="s">
        <v>112</v>
      </c>
      <c r="F1783" t="s">
        <v>113</v>
      </c>
      <c r="G1783" t="s">
        <v>41</v>
      </c>
      <c r="H1783" t="s">
        <v>17</v>
      </c>
      <c r="I1783" s="3">
        <v>24</v>
      </c>
      <c r="J1783" s="2">
        <v>100</v>
      </c>
      <c r="K1783" s="3">
        <f t="shared" si="27"/>
        <v>2400</v>
      </c>
      <c r="L1783" s="3">
        <v>1272</v>
      </c>
    </row>
    <row r="1784" spans="1:12" x14ac:dyDescent="0.25">
      <c r="A1784" t="s">
        <v>26</v>
      </c>
      <c r="B1784">
        <v>1128299</v>
      </c>
      <c r="C1784" s="1">
        <v>44271</v>
      </c>
      <c r="D1784" t="s">
        <v>32</v>
      </c>
      <c r="E1784" t="s">
        <v>33</v>
      </c>
      <c r="F1784" t="s">
        <v>34</v>
      </c>
      <c r="G1784" t="s">
        <v>15</v>
      </c>
      <c r="H1784" t="s">
        <v>16</v>
      </c>
      <c r="I1784" s="3">
        <v>48</v>
      </c>
      <c r="J1784" s="2">
        <v>131</v>
      </c>
      <c r="K1784" s="3">
        <f t="shared" si="27"/>
        <v>6288</v>
      </c>
      <c r="L1784" s="3">
        <v>3332.64</v>
      </c>
    </row>
    <row r="1785" spans="1:12" x14ac:dyDescent="0.25">
      <c r="A1785" t="s">
        <v>19</v>
      </c>
      <c r="B1785">
        <v>1185732</v>
      </c>
      <c r="C1785" s="1">
        <v>44271</v>
      </c>
      <c r="D1785" t="s">
        <v>52</v>
      </c>
      <c r="E1785" t="s">
        <v>112</v>
      </c>
      <c r="F1785" t="s">
        <v>113</v>
      </c>
      <c r="G1785" t="s">
        <v>15</v>
      </c>
      <c r="H1785" t="s">
        <v>35</v>
      </c>
      <c r="I1785" s="3">
        <v>11</v>
      </c>
      <c r="J1785" s="2">
        <v>136</v>
      </c>
      <c r="K1785" s="3">
        <f t="shared" si="27"/>
        <v>1496</v>
      </c>
      <c r="L1785" s="3">
        <v>792.88</v>
      </c>
    </row>
    <row r="1786" spans="1:12" x14ac:dyDescent="0.25">
      <c r="A1786" t="s">
        <v>27</v>
      </c>
      <c r="B1786">
        <v>1189833</v>
      </c>
      <c r="C1786" s="1">
        <v>44271</v>
      </c>
      <c r="D1786" t="s">
        <v>12</v>
      </c>
      <c r="E1786" t="s">
        <v>13</v>
      </c>
      <c r="F1786" t="s">
        <v>28</v>
      </c>
      <c r="G1786" t="s">
        <v>41</v>
      </c>
      <c r="H1786" t="s">
        <v>37</v>
      </c>
      <c r="I1786" s="3">
        <v>41</v>
      </c>
      <c r="J1786" s="2">
        <v>152</v>
      </c>
      <c r="K1786" s="3">
        <f t="shared" si="27"/>
        <v>6232</v>
      </c>
      <c r="L1786" s="3">
        <v>3178.32</v>
      </c>
    </row>
    <row r="1787" spans="1:12" x14ac:dyDescent="0.25">
      <c r="A1787" t="s">
        <v>26</v>
      </c>
      <c r="B1787">
        <v>1197831</v>
      </c>
      <c r="C1787" s="1">
        <v>44271</v>
      </c>
      <c r="D1787" t="s">
        <v>52</v>
      </c>
      <c r="E1787" t="s">
        <v>97</v>
      </c>
      <c r="F1787" t="s">
        <v>98</v>
      </c>
      <c r="G1787" t="s">
        <v>41</v>
      </c>
      <c r="H1787" t="s">
        <v>38</v>
      </c>
      <c r="I1787" s="3">
        <v>24</v>
      </c>
      <c r="J1787" s="2">
        <v>169</v>
      </c>
      <c r="K1787" s="3">
        <f t="shared" si="27"/>
        <v>4056</v>
      </c>
      <c r="L1787" s="3">
        <v>2028</v>
      </c>
    </row>
    <row r="1788" spans="1:12" x14ac:dyDescent="0.25">
      <c r="A1788" t="s">
        <v>11</v>
      </c>
      <c r="B1788">
        <v>1185732</v>
      </c>
      <c r="C1788" s="1">
        <v>44271</v>
      </c>
      <c r="D1788" t="s">
        <v>29</v>
      </c>
      <c r="E1788" t="s">
        <v>105</v>
      </c>
      <c r="F1788" t="s">
        <v>47</v>
      </c>
      <c r="G1788" t="s">
        <v>41</v>
      </c>
      <c r="H1788" t="s">
        <v>22</v>
      </c>
      <c r="I1788" s="3">
        <v>37</v>
      </c>
      <c r="J1788" s="2">
        <v>59</v>
      </c>
      <c r="K1788" s="3">
        <f t="shared" si="27"/>
        <v>2183</v>
      </c>
      <c r="L1788" s="3">
        <v>1091.5</v>
      </c>
    </row>
    <row r="1789" spans="1:12" x14ac:dyDescent="0.25">
      <c r="A1789" t="s">
        <v>11</v>
      </c>
      <c r="B1789">
        <v>1128299</v>
      </c>
      <c r="C1789" s="1">
        <v>44271</v>
      </c>
      <c r="D1789" t="s">
        <v>52</v>
      </c>
      <c r="E1789" t="s">
        <v>64</v>
      </c>
      <c r="F1789" t="s">
        <v>65</v>
      </c>
      <c r="G1789" t="s">
        <v>41</v>
      </c>
      <c r="H1789" t="s">
        <v>38</v>
      </c>
      <c r="I1789" s="3">
        <v>44</v>
      </c>
      <c r="J1789" s="2">
        <v>147</v>
      </c>
      <c r="K1789" s="3">
        <f t="shared" si="27"/>
        <v>6468</v>
      </c>
      <c r="L1789" s="3">
        <v>3169.32</v>
      </c>
    </row>
    <row r="1790" spans="1:12" x14ac:dyDescent="0.25">
      <c r="A1790" t="s">
        <v>11</v>
      </c>
      <c r="B1790">
        <v>1185732</v>
      </c>
      <c r="C1790" s="1">
        <v>44271</v>
      </c>
      <c r="D1790" t="s">
        <v>29</v>
      </c>
      <c r="E1790" t="s">
        <v>105</v>
      </c>
      <c r="F1790" t="s">
        <v>47</v>
      </c>
      <c r="G1790" t="s">
        <v>41</v>
      </c>
      <c r="H1790" t="s">
        <v>38</v>
      </c>
      <c r="I1790" s="3">
        <v>28</v>
      </c>
      <c r="J1790" s="2">
        <v>165</v>
      </c>
      <c r="K1790" s="3">
        <f t="shared" si="27"/>
        <v>4620</v>
      </c>
      <c r="L1790" s="3">
        <v>2263.8000000000002</v>
      </c>
    </row>
    <row r="1791" spans="1:12" x14ac:dyDescent="0.25">
      <c r="A1791" t="s">
        <v>11</v>
      </c>
      <c r="B1791">
        <v>1128299</v>
      </c>
      <c r="C1791" s="1">
        <v>44271</v>
      </c>
      <c r="D1791" t="s">
        <v>52</v>
      </c>
      <c r="E1791" t="s">
        <v>64</v>
      </c>
      <c r="F1791" t="s">
        <v>65</v>
      </c>
      <c r="G1791" t="s">
        <v>15</v>
      </c>
      <c r="H1791" t="s">
        <v>22</v>
      </c>
      <c r="I1791" s="3">
        <v>40</v>
      </c>
      <c r="J1791" s="2">
        <v>50</v>
      </c>
      <c r="K1791" s="3">
        <f t="shared" si="27"/>
        <v>2000</v>
      </c>
      <c r="L1791" s="3">
        <v>980</v>
      </c>
    </row>
    <row r="1792" spans="1:12" x14ac:dyDescent="0.25">
      <c r="A1792" t="s">
        <v>19</v>
      </c>
      <c r="B1792">
        <v>1185732</v>
      </c>
      <c r="C1792" s="1">
        <v>44271</v>
      </c>
      <c r="D1792" t="s">
        <v>52</v>
      </c>
      <c r="E1792" t="s">
        <v>112</v>
      </c>
      <c r="F1792" t="s">
        <v>113</v>
      </c>
      <c r="G1792" t="s">
        <v>41</v>
      </c>
      <c r="H1792" t="s">
        <v>37</v>
      </c>
      <c r="I1792" s="3">
        <v>19</v>
      </c>
      <c r="J1792" s="2">
        <v>80</v>
      </c>
      <c r="K1792" s="3">
        <f t="shared" si="27"/>
        <v>1520</v>
      </c>
      <c r="L1792" s="3">
        <v>729.6</v>
      </c>
    </row>
    <row r="1793" spans="1:12" x14ac:dyDescent="0.25">
      <c r="A1793" t="s">
        <v>19</v>
      </c>
      <c r="B1793">
        <v>1185732</v>
      </c>
      <c r="C1793" s="1">
        <v>44271</v>
      </c>
      <c r="D1793" t="s">
        <v>52</v>
      </c>
      <c r="E1793" t="s">
        <v>112</v>
      </c>
      <c r="F1793" t="s">
        <v>113</v>
      </c>
      <c r="G1793" t="s">
        <v>41</v>
      </c>
      <c r="H1793" t="s">
        <v>35</v>
      </c>
      <c r="I1793" s="3">
        <v>14</v>
      </c>
      <c r="J1793" s="2">
        <v>128</v>
      </c>
      <c r="K1793" s="3">
        <f t="shared" si="27"/>
        <v>1792</v>
      </c>
      <c r="L1793" s="3">
        <v>842.24</v>
      </c>
    </row>
    <row r="1794" spans="1:12" x14ac:dyDescent="0.25">
      <c r="A1794" t="s">
        <v>11</v>
      </c>
      <c r="B1794">
        <v>1185732</v>
      </c>
      <c r="C1794" s="1">
        <v>44271</v>
      </c>
      <c r="D1794" t="s">
        <v>29</v>
      </c>
      <c r="E1794" t="s">
        <v>105</v>
      </c>
      <c r="F1794" t="s">
        <v>47</v>
      </c>
      <c r="G1794" t="s">
        <v>41</v>
      </c>
      <c r="H1794" t="s">
        <v>37</v>
      </c>
      <c r="I1794" s="3">
        <v>23</v>
      </c>
      <c r="J1794" s="2">
        <v>49</v>
      </c>
      <c r="K1794" s="3">
        <f t="shared" si="27"/>
        <v>1127</v>
      </c>
      <c r="L1794" s="3">
        <v>529.68999999999994</v>
      </c>
    </row>
    <row r="1795" spans="1:12" x14ac:dyDescent="0.25">
      <c r="A1795" t="s">
        <v>11</v>
      </c>
      <c r="B1795">
        <v>1185732</v>
      </c>
      <c r="C1795" s="1">
        <v>44271</v>
      </c>
      <c r="D1795" t="s">
        <v>29</v>
      </c>
      <c r="E1795" t="s">
        <v>105</v>
      </c>
      <c r="F1795" t="s">
        <v>47</v>
      </c>
      <c r="G1795" t="s">
        <v>41</v>
      </c>
      <c r="H1795" t="s">
        <v>17</v>
      </c>
      <c r="I1795" s="3">
        <v>27</v>
      </c>
      <c r="J1795" s="2">
        <v>69</v>
      </c>
      <c r="K1795" s="3">
        <f t="shared" ref="K1795:K1858" si="28">I1795*J1795</f>
        <v>1863</v>
      </c>
      <c r="L1795" s="3">
        <v>856.9799999999999</v>
      </c>
    </row>
    <row r="1796" spans="1:12" x14ac:dyDescent="0.25">
      <c r="A1796" t="s">
        <v>11</v>
      </c>
      <c r="B1796">
        <v>1185732</v>
      </c>
      <c r="C1796" s="1">
        <v>44271</v>
      </c>
      <c r="D1796" t="s">
        <v>29</v>
      </c>
      <c r="E1796" t="s">
        <v>105</v>
      </c>
      <c r="F1796" t="s">
        <v>47</v>
      </c>
      <c r="G1796" t="s">
        <v>41</v>
      </c>
      <c r="H1796" t="s">
        <v>35</v>
      </c>
      <c r="I1796" s="3">
        <v>19</v>
      </c>
      <c r="J1796" s="2">
        <v>91</v>
      </c>
      <c r="K1796" s="3">
        <f t="shared" si="28"/>
        <v>1729</v>
      </c>
      <c r="L1796" s="3">
        <v>795.33999999999992</v>
      </c>
    </row>
    <row r="1797" spans="1:12" x14ac:dyDescent="0.25">
      <c r="A1797" t="s">
        <v>11</v>
      </c>
      <c r="B1797">
        <v>1185732</v>
      </c>
      <c r="C1797" s="1">
        <v>44271</v>
      </c>
      <c r="D1797" t="s">
        <v>29</v>
      </c>
      <c r="E1797" t="s">
        <v>105</v>
      </c>
      <c r="F1797" t="s">
        <v>47</v>
      </c>
      <c r="G1797" t="s">
        <v>41</v>
      </c>
      <c r="H1797" t="s">
        <v>16</v>
      </c>
      <c r="I1797" s="3">
        <v>29</v>
      </c>
      <c r="J1797" s="2">
        <v>81</v>
      </c>
      <c r="K1797" s="3">
        <f t="shared" si="28"/>
        <v>2349</v>
      </c>
      <c r="L1797" s="3">
        <v>1080.54</v>
      </c>
    </row>
    <row r="1798" spans="1:12" x14ac:dyDescent="0.25">
      <c r="A1798" t="s">
        <v>19</v>
      </c>
      <c r="B1798">
        <v>1185732</v>
      </c>
      <c r="C1798" s="1">
        <v>44271</v>
      </c>
      <c r="D1798" t="s">
        <v>52</v>
      </c>
      <c r="E1798" t="s">
        <v>112</v>
      </c>
      <c r="F1798" t="s">
        <v>113</v>
      </c>
      <c r="G1798" t="s">
        <v>15</v>
      </c>
      <c r="H1798" t="s">
        <v>16</v>
      </c>
      <c r="I1798" s="3">
        <v>17</v>
      </c>
      <c r="J1798" s="2">
        <v>136</v>
      </c>
      <c r="K1798" s="3">
        <f t="shared" si="28"/>
        <v>2312</v>
      </c>
      <c r="L1798" s="3">
        <v>1063.52</v>
      </c>
    </row>
    <row r="1799" spans="1:12" x14ac:dyDescent="0.25">
      <c r="A1799" t="s">
        <v>11</v>
      </c>
      <c r="B1799">
        <v>1128299</v>
      </c>
      <c r="C1799" s="1">
        <v>44271</v>
      </c>
      <c r="D1799" t="s">
        <v>52</v>
      </c>
      <c r="E1799" t="s">
        <v>64</v>
      </c>
      <c r="F1799" t="s">
        <v>65</v>
      </c>
      <c r="G1799" t="s">
        <v>41</v>
      </c>
      <c r="H1799" t="s">
        <v>17</v>
      </c>
      <c r="I1799" s="3">
        <v>51</v>
      </c>
      <c r="J1799" s="2">
        <v>101</v>
      </c>
      <c r="K1799" s="3">
        <f t="shared" si="28"/>
        <v>5151</v>
      </c>
      <c r="L1799" s="3">
        <v>2317.9500000000003</v>
      </c>
    </row>
    <row r="1800" spans="1:12" x14ac:dyDescent="0.25">
      <c r="A1800" t="s">
        <v>11</v>
      </c>
      <c r="B1800">
        <v>1128299</v>
      </c>
      <c r="C1800" s="1">
        <v>44271</v>
      </c>
      <c r="D1800" t="s">
        <v>52</v>
      </c>
      <c r="E1800" t="s">
        <v>64</v>
      </c>
      <c r="F1800" t="s">
        <v>65</v>
      </c>
      <c r="G1800" t="s">
        <v>41</v>
      </c>
      <c r="H1800" t="s">
        <v>35</v>
      </c>
      <c r="I1800" s="3">
        <v>56</v>
      </c>
      <c r="J1800" s="2">
        <v>116</v>
      </c>
      <c r="K1800" s="3">
        <f t="shared" si="28"/>
        <v>6496</v>
      </c>
      <c r="L1800" s="3">
        <v>2923.2000000000003</v>
      </c>
    </row>
    <row r="1801" spans="1:12" x14ac:dyDescent="0.25">
      <c r="A1801" t="s">
        <v>11</v>
      </c>
      <c r="B1801">
        <v>1128299</v>
      </c>
      <c r="C1801" s="1">
        <v>44271</v>
      </c>
      <c r="D1801" t="s">
        <v>52</v>
      </c>
      <c r="E1801" t="s">
        <v>64</v>
      </c>
      <c r="F1801" t="s">
        <v>65</v>
      </c>
      <c r="G1801" t="s">
        <v>41</v>
      </c>
      <c r="H1801" t="s">
        <v>37</v>
      </c>
      <c r="I1801" s="3">
        <v>50</v>
      </c>
      <c r="J1801" s="2">
        <v>84</v>
      </c>
      <c r="K1801" s="3">
        <f t="shared" si="28"/>
        <v>4200</v>
      </c>
      <c r="L1801" s="3">
        <v>1890.0000000000005</v>
      </c>
    </row>
    <row r="1802" spans="1:12" x14ac:dyDescent="0.25">
      <c r="A1802" t="s">
        <v>19</v>
      </c>
      <c r="B1802">
        <v>1185732</v>
      </c>
      <c r="C1802" s="1">
        <v>44271</v>
      </c>
      <c r="D1802" t="s">
        <v>52</v>
      </c>
      <c r="E1802" t="s">
        <v>112</v>
      </c>
      <c r="F1802" t="s">
        <v>113</v>
      </c>
      <c r="G1802" t="s">
        <v>41</v>
      </c>
      <c r="H1802" t="s">
        <v>38</v>
      </c>
      <c r="I1802" s="3">
        <v>23</v>
      </c>
      <c r="J1802" s="2">
        <v>187</v>
      </c>
      <c r="K1802" s="3">
        <f t="shared" si="28"/>
        <v>4301</v>
      </c>
      <c r="L1802" s="3">
        <v>1935.4499999999998</v>
      </c>
    </row>
    <row r="1803" spans="1:12" x14ac:dyDescent="0.25">
      <c r="A1803" t="s">
        <v>26</v>
      </c>
      <c r="B1803">
        <v>1128299</v>
      </c>
      <c r="C1803" s="1">
        <v>44271</v>
      </c>
      <c r="D1803" t="s">
        <v>32</v>
      </c>
      <c r="E1803" t="s">
        <v>33</v>
      </c>
      <c r="F1803" t="s">
        <v>34</v>
      </c>
      <c r="G1803" t="s">
        <v>41</v>
      </c>
      <c r="H1803" t="s">
        <v>16</v>
      </c>
      <c r="I1803" s="3">
        <v>54</v>
      </c>
      <c r="J1803" s="2">
        <v>101</v>
      </c>
      <c r="K1803" s="3">
        <f t="shared" si="28"/>
        <v>5454</v>
      </c>
      <c r="L1803" s="3">
        <v>2181.6</v>
      </c>
    </row>
    <row r="1804" spans="1:12" x14ac:dyDescent="0.25">
      <c r="A1804" t="s">
        <v>11</v>
      </c>
      <c r="B1804">
        <v>1128299</v>
      </c>
      <c r="C1804" s="1">
        <v>44271</v>
      </c>
      <c r="D1804" t="s">
        <v>52</v>
      </c>
      <c r="E1804" t="s">
        <v>64</v>
      </c>
      <c r="F1804" t="s">
        <v>65</v>
      </c>
      <c r="G1804" t="s">
        <v>41</v>
      </c>
      <c r="H1804" t="s">
        <v>22</v>
      </c>
      <c r="I1804" s="3">
        <v>56</v>
      </c>
      <c r="J1804" s="2">
        <v>39</v>
      </c>
      <c r="K1804" s="3">
        <f t="shared" si="28"/>
        <v>2184</v>
      </c>
      <c r="L1804" s="3">
        <v>873.60000000000014</v>
      </c>
    </row>
    <row r="1805" spans="1:12" x14ac:dyDescent="0.25">
      <c r="A1805" t="s">
        <v>19</v>
      </c>
      <c r="B1805">
        <v>1185732</v>
      </c>
      <c r="C1805" s="1">
        <v>44271</v>
      </c>
      <c r="D1805" t="s">
        <v>52</v>
      </c>
      <c r="E1805" t="s">
        <v>112</v>
      </c>
      <c r="F1805" t="s">
        <v>113</v>
      </c>
      <c r="G1805" t="s">
        <v>41</v>
      </c>
      <c r="H1805" t="s">
        <v>16</v>
      </c>
      <c r="I1805" s="3">
        <v>24</v>
      </c>
      <c r="J1805" s="2">
        <v>123</v>
      </c>
      <c r="K1805" s="3">
        <f t="shared" si="28"/>
        <v>2952</v>
      </c>
      <c r="L1805" s="3">
        <v>1121.76</v>
      </c>
    </row>
    <row r="1806" spans="1:12" x14ac:dyDescent="0.25">
      <c r="A1806" t="s">
        <v>36</v>
      </c>
      <c r="B1806">
        <v>1185732</v>
      </c>
      <c r="C1806" s="1">
        <v>44272</v>
      </c>
      <c r="D1806" t="s">
        <v>29</v>
      </c>
      <c r="E1806" t="s">
        <v>68</v>
      </c>
      <c r="F1806" t="s">
        <v>69</v>
      </c>
      <c r="G1806" t="s">
        <v>18</v>
      </c>
      <c r="H1806" t="s">
        <v>35</v>
      </c>
      <c r="I1806" s="3">
        <v>40</v>
      </c>
      <c r="J1806" s="2">
        <v>300</v>
      </c>
      <c r="K1806" s="3">
        <f t="shared" si="28"/>
        <v>12000</v>
      </c>
      <c r="L1806" s="3">
        <v>8400</v>
      </c>
    </row>
    <row r="1807" spans="1:12" x14ac:dyDescent="0.25">
      <c r="A1807" t="s">
        <v>36</v>
      </c>
      <c r="B1807">
        <v>1185732</v>
      </c>
      <c r="C1807" s="1">
        <v>44272</v>
      </c>
      <c r="D1807" t="s">
        <v>29</v>
      </c>
      <c r="E1807" t="s">
        <v>68</v>
      </c>
      <c r="F1807" t="s">
        <v>69</v>
      </c>
      <c r="G1807" t="s">
        <v>18</v>
      </c>
      <c r="H1807" t="s">
        <v>22</v>
      </c>
      <c r="I1807" s="3">
        <v>60.000000000000007</v>
      </c>
      <c r="J1807" s="2">
        <v>200</v>
      </c>
      <c r="K1807" s="3">
        <f t="shared" si="28"/>
        <v>12000.000000000002</v>
      </c>
      <c r="L1807" s="3">
        <v>8400.0000000000018</v>
      </c>
    </row>
    <row r="1808" spans="1:12" x14ac:dyDescent="0.25">
      <c r="A1808" t="s">
        <v>36</v>
      </c>
      <c r="B1808">
        <v>1185732</v>
      </c>
      <c r="C1808" s="1">
        <v>44272</v>
      </c>
      <c r="D1808" t="s">
        <v>29</v>
      </c>
      <c r="E1808" t="s">
        <v>68</v>
      </c>
      <c r="F1808" t="s">
        <v>69</v>
      </c>
      <c r="G1808" t="s">
        <v>18</v>
      </c>
      <c r="H1808" t="s">
        <v>37</v>
      </c>
      <c r="I1808" s="3">
        <v>44.999999999999993</v>
      </c>
      <c r="J1808" s="2">
        <v>150</v>
      </c>
      <c r="K1808" s="3">
        <f t="shared" si="28"/>
        <v>6749.9999999999991</v>
      </c>
      <c r="L1808" s="3">
        <v>4724.9999999999982</v>
      </c>
    </row>
    <row r="1809" spans="1:12" x14ac:dyDescent="0.25">
      <c r="A1809" t="s">
        <v>19</v>
      </c>
      <c r="B1809">
        <v>1185732</v>
      </c>
      <c r="C1809" s="1">
        <v>44272</v>
      </c>
      <c r="D1809" t="s">
        <v>57</v>
      </c>
      <c r="E1809" t="s">
        <v>106</v>
      </c>
      <c r="F1809" t="s">
        <v>107</v>
      </c>
      <c r="G1809" t="s">
        <v>18</v>
      </c>
      <c r="H1809" t="s">
        <v>35</v>
      </c>
      <c r="I1809" s="3">
        <v>25.000000000000007</v>
      </c>
      <c r="J1809" s="2">
        <v>350</v>
      </c>
      <c r="K1809" s="3">
        <f t="shared" si="28"/>
        <v>8750.0000000000018</v>
      </c>
      <c r="L1809" s="3">
        <v>5687.5000000000018</v>
      </c>
    </row>
    <row r="1810" spans="1:12" x14ac:dyDescent="0.25">
      <c r="A1810" t="s">
        <v>26</v>
      </c>
      <c r="B1810">
        <v>1197831</v>
      </c>
      <c r="C1810" s="1">
        <v>44272</v>
      </c>
      <c r="D1810" t="s">
        <v>52</v>
      </c>
      <c r="E1810" t="s">
        <v>97</v>
      </c>
      <c r="F1810" t="s">
        <v>98</v>
      </c>
      <c r="G1810" t="s">
        <v>15</v>
      </c>
      <c r="H1810" t="s">
        <v>17</v>
      </c>
      <c r="I1810" s="3">
        <v>35</v>
      </c>
      <c r="J1810" s="2">
        <v>625</v>
      </c>
      <c r="K1810" s="3">
        <f t="shared" si="28"/>
        <v>21875</v>
      </c>
      <c r="L1810" s="3">
        <v>14218.75</v>
      </c>
    </row>
    <row r="1811" spans="1:12" x14ac:dyDescent="0.25">
      <c r="A1811" t="s">
        <v>19</v>
      </c>
      <c r="B1811">
        <v>1185732</v>
      </c>
      <c r="C1811" s="1">
        <v>44272</v>
      </c>
      <c r="D1811" t="s">
        <v>57</v>
      </c>
      <c r="E1811" t="s">
        <v>106</v>
      </c>
      <c r="F1811" t="s">
        <v>107</v>
      </c>
      <c r="G1811" t="s">
        <v>18</v>
      </c>
      <c r="H1811" t="s">
        <v>17</v>
      </c>
      <c r="I1811" s="3">
        <v>35</v>
      </c>
      <c r="J1811" s="2">
        <v>300</v>
      </c>
      <c r="K1811" s="3">
        <f t="shared" si="28"/>
        <v>10500</v>
      </c>
      <c r="L1811" s="3">
        <v>6825</v>
      </c>
    </row>
    <row r="1812" spans="1:12" x14ac:dyDescent="0.25">
      <c r="A1812" t="s">
        <v>19</v>
      </c>
      <c r="B1812">
        <v>1185732</v>
      </c>
      <c r="C1812" s="1">
        <v>44272</v>
      </c>
      <c r="D1812" t="s">
        <v>57</v>
      </c>
      <c r="E1812" t="s">
        <v>106</v>
      </c>
      <c r="F1812" t="s">
        <v>107</v>
      </c>
      <c r="G1812" t="s">
        <v>18</v>
      </c>
      <c r="H1812" t="s">
        <v>22</v>
      </c>
      <c r="I1812" s="3">
        <v>45</v>
      </c>
      <c r="J1812" s="2">
        <v>250</v>
      </c>
      <c r="K1812" s="3">
        <f t="shared" si="28"/>
        <v>11250</v>
      </c>
      <c r="L1812" s="3">
        <v>7312.5</v>
      </c>
    </row>
    <row r="1813" spans="1:12" x14ac:dyDescent="0.25">
      <c r="A1813" t="s">
        <v>36</v>
      </c>
      <c r="B1813">
        <v>1185732</v>
      </c>
      <c r="C1813" s="1">
        <v>44272</v>
      </c>
      <c r="D1813" t="s">
        <v>29</v>
      </c>
      <c r="E1813" t="s">
        <v>68</v>
      </c>
      <c r="F1813" t="s">
        <v>69</v>
      </c>
      <c r="G1813" t="s">
        <v>18</v>
      </c>
      <c r="H1813" t="s">
        <v>16</v>
      </c>
      <c r="I1813" s="3">
        <v>50</v>
      </c>
      <c r="J1813" s="2">
        <v>300</v>
      </c>
      <c r="K1813" s="3">
        <f t="shared" si="28"/>
        <v>15000</v>
      </c>
      <c r="L1813" s="3">
        <v>9750</v>
      </c>
    </row>
    <row r="1814" spans="1:12" x14ac:dyDescent="0.25">
      <c r="A1814" t="s">
        <v>19</v>
      </c>
      <c r="B1814">
        <v>1185732</v>
      </c>
      <c r="C1814" s="1">
        <v>44272</v>
      </c>
      <c r="D1814" t="s">
        <v>57</v>
      </c>
      <c r="E1814" t="s">
        <v>106</v>
      </c>
      <c r="F1814" t="s">
        <v>107</v>
      </c>
      <c r="G1814" t="s">
        <v>18</v>
      </c>
      <c r="H1814" t="s">
        <v>38</v>
      </c>
      <c r="I1814" s="3">
        <v>35</v>
      </c>
      <c r="J1814" s="2">
        <v>620</v>
      </c>
      <c r="K1814" s="3">
        <f t="shared" si="28"/>
        <v>21700</v>
      </c>
      <c r="L1814" s="3">
        <v>13020</v>
      </c>
    </row>
    <row r="1815" spans="1:12" x14ac:dyDescent="0.25">
      <c r="A1815" t="s">
        <v>19</v>
      </c>
      <c r="B1815">
        <v>1185732</v>
      </c>
      <c r="C1815" s="1">
        <v>44272</v>
      </c>
      <c r="D1815" t="s">
        <v>57</v>
      </c>
      <c r="E1815" t="s">
        <v>106</v>
      </c>
      <c r="F1815" t="s">
        <v>107</v>
      </c>
      <c r="G1815" t="s">
        <v>18</v>
      </c>
      <c r="H1815" t="s">
        <v>37</v>
      </c>
      <c r="I1815" s="3">
        <v>30</v>
      </c>
      <c r="J1815" s="2">
        <v>200</v>
      </c>
      <c r="K1815" s="3">
        <f t="shared" si="28"/>
        <v>6000</v>
      </c>
      <c r="L1815" s="3">
        <v>3600</v>
      </c>
    </row>
    <row r="1816" spans="1:12" x14ac:dyDescent="0.25">
      <c r="A1816" t="s">
        <v>36</v>
      </c>
      <c r="B1816">
        <v>1185732</v>
      </c>
      <c r="C1816" s="1">
        <v>44272</v>
      </c>
      <c r="D1816" t="s">
        <v>29</v>
      </c>
      <c r="E1816" t="s">
        <v>68</v>
      </c>
      <c r="F1816" t="s">
        <v>69</v>
      </c>
      <c r="G1816" t="s">
        <v>18</v>
      </c>
      <c r="H1816" t="s">
        <v>38</v>
      </c>
      <c r="I1816" s="3">
        <v>50</v>
      </c>
      <c r="J1816" s="2">
        <v>570</v>
      </c>
      <c r="K1816" s="3">
        <f t="shared" si="28"/>
        <v>28500</v>
      </c>
      <c r="L1816" s="3">
        <v>17100</v>
      </c>
    </row>
    <row r="1817" spans="1:12" x14ac:dyDescent="0.25">
      <c r="A1817" t="s">
        <v>36</v>
      </c>
      <c r="B1817">
        <v>1185732</v>
      </c>
      <c r="C1817" s="1">
        <v>44272</v>
      </c>
      <c r="D1817" t="s">
        <v>29</v>
      </c>
      <c r="E1817" t="s">
        <v>68</v>
      </c>
      <c r="F1817" t="s">
        <v>69</v>
      </c>
      <c r="G1817" t="s">
        <v>18</v>
      </c>
      <c r="H1817" t="s">
        <v>17</v>
      </c>
      <c r="I1817" s="3">
        <v>50</v>
      </c>
      <c r="J1817" s="2">
        <v>275</v>
      </c>
      <c r="K1817" s="3">
        <f t="shared" si="28"/>
        <v>13750</v>
      </c>
      <c r="L1817" s="3">
        <v>8250</v>
      </c>
    </row>
    <row r="1818" spans="1:12" x14ac:dyDescent="0.25">
      <c r="A1818" t="s">
        <v>19</v>
      </c>
      <c r="B1818">
        <v>1185732</v>
      </c>
      <c r="C1818" s="1">
        <v>44272</v>
      </c>
      <c r="D1818" t="s">
        <v>57</v>
      </c>
      <c r="E1818" t="s">
        <v>106</v>
      </c>
      <c r="F1818" t="s">
        <v>107</v>
      </c>
      <c r="G1818" t="s">
        <v>18</v>
      </c>
      <c r="H1818" t="s">
        <v>16</v>
      </c>
      <c r="I1818" s="3">
        <v>35</v>
      </c>
      <c r="J1818" s="2">
        <v>350</v>
      </c>
      <c r="K1818" s="3">
        <f t="shared" si="28"/>
        <v>12250</v>
      </c>
      <c r="L1818" s="3">
        <v>6125</v>
      </c>
    </row>
    <row r="1819" spans="1:12" x14ac:dyDescent="0.25">
      <c r="A1819" t="s">
        <v>27</v>
      </c>
      <c r="B1819">
        <v>1189833</v>
      </c>
      <c r="C1819" s="1">
        <v>44272</v>
      </c>
      <c r="D1819" t="s">
        <v>12</v>
      </c>
      <c r="E1819" t="s">
        <v>13</v>
      </c>
      <c r="F1819" t="s">
        <v>28</v>
      </c>
      <c r="G1819" t="s">
        <v>15</v>
      </c>
      <c r="H1819" t="s">
        <v>22</v>
      </c>
      <c r="I1819" s="3">
        <v>50</v>
      </c>
      <c r="J1819" s="2">
        <v>450</v>
      </c>
      <c r="K1819" s="3">
        <f t="shared" si="28"/>
        <v>22500</v>
      </c>
      <c r="L1819" s="3">
        <v>10124.999999999998</v>
      </c>
    </row>
    <row r="1820" spans="1:12" x14ac:dyDescent="0.25">
      <c r="A1820" t="s">
        <v>36</v>
      </c>
      <c r="B1820">
        <v>1185732</v>
      </c>
      <c r="C1820" s="1">
        <v>44272</v>
      </c>
      <c r="D1820" t="s">
        <v>29</v>
      </c>
      <c r="E1820" t="s">
        <v>68</v>
      </c>
      <c r="F1820" t="s">
        <v>69</v>
      </c>
      <c r="G1820" t="s">
        <v>15</v>
      </c>
      <c r="H1820" t="s">
        <v>22</v>
      </c>
      <c r="I1820" s="3">
        <v>47</v>
      </c>
      <c r="J1820" s="2">
        <v>60</v>
      </c>
      <c r="K1820" s="3">
        <f t="shared" si="28"/>
        <v>2820</v>
      </c>
      <c r="L1820" s="3">
        <v>1889.4</v>
      </c>
    </row>
    <row r="1821" spans="1:12" x14ac:dyDescent="0.25">
      <c r="A1821" t="s">
        <v>36</v>
      </c>
      <c r="B1821">
        <v>1185732</v>
      </c>
      <c r="C1821" s="1">
        <v>44272</v>
      </c>
      <c r="D1821" t="s">
        <v>29</v>
      </c>
      <c r="E1821" t="s">
        <v>68</v>
      </c>
      <c r="F1821" t="s">
        <v>69</v>
      </c>
      <c r="G1821" t="s">
        <v>15</v>
      </c>
      <c r="H1821" t="s">
        <v>35</v>
      </c>
      <c r="I1821" s="3">
        <v>32</v>
      </c>
      <c r="J1821" s="2">
        <v>105</v>
      </c>
      <c r="K1821" s="3">
        <f t="shared" si="28"/>
        <v>3360</v>
      </c>
      <c r="L1821" s="3">
        <v>2217.6000000000004</v>
      </c>
    </row>
    <row r="1822" spans="1:12" x14ac:dyDescent="0.25">
      <c r="A1822" t="s">
        <v>36</v>
      </c>
      <c r="B1822">
        <v>1185732</v>
      </c>
      <c r="C1822" s="1">
        <v>44272</v>
      </c>
      <c r="D1822" t="s">
        <v>29</v>
      </c>
      <c r="E1822" t="s">
        <v>68</v>
      </c>
      <c r="F1822" t="s">
        <v>69</v>
      </c>
      <c r="G1822" t="s">
        <v>15</v>
      </c>
      <c r="H1822" t="s">
        <v>37</v>
      </c>
      <c r="I1822" s="3">
        <v>33</v>
      </c>
      <c r="J1822" s="2">
        <v>45</v>
      </c>
      <c r="K1822" s="3">
        <f t="shared" si="28"/>
        <v>1485</v>
      </c>
      <c r="L1822" s="3">
        <v>935.55</v>
      </c>
    </row>
    <row r="1823" spans="1:12" x14ac:dyDescent="0.25">
      <c r="A1823" t="s">
        <v>36</v>
      </c>
      <c r="B1823">
        <v>1185732</v>
      </c>
      <c r="C1823" s="1">
        <v>44272</v>
      </c>
      <c r="D1823" t="s">
        <v>29</v>
      </c>
      <c r="E1823" t="s">
        <v>68</v>
      </c>
      <c r="F1823" t="s">
        <v>69</v>
      </c>
      <c r="G1823" t="s">
        <v>15</v>
      </c>
      <c r="H1823" t="s">
        <v>16</v>
      </c>
      <c r="I1823" s="3">
        <v>36</v>
      </c>
      <c r="J1823" s="2">
        <v>99</v>
      </c>
      <c r="K1823" s="3">
        <f t="shared" si="28"/>
        <v>3564</v>
      </c>
      <c r="L1823" s="3">
        <v>2209.6800000000003</v>
      </c>
    </row>
    <row r="1824" spans="1:12" x14ac:dyDescent="0.25">
      <c r="A1824" t="s">
        <v>26</v>
      </c>
      <c r="B1824">
        <v>1197831</v>
      </c>
      <c r="C1824" s="1">
        <v>44272</v>
      </c>
      <c r="D1824" t="s">
        <v>52</v>
      </c>
      <c r="E1824" t="s">
        <v>97</v>
      </c>
      <c r="F1824" t="s">
        <v>98</v>
      </c>
      <c r="G1824" t="s">
        <v>15</v>
      </c>
      <c r="H1824" t="s">
        <v>17</v>
      </c>
      <c r="I1824" s="3">
        <v>23</v>
      </c>
      <c r="J1824" s="2">
        <v>219</v>
      </c>
      <c r="K1824" s="3">
        <f t="shared" si="28"/>
        <v>5037</v>
      </c>
      <c r="L1824" s="3">
        <v>3072.57</v>
      </c>
    </row>
    <row r="1825" spans="1:12" x14ac:dyDescent="0.25">
      <c r="A1825" t="s">
        <v>36</v>
      </c>
      <c r="B1825">
        <v>1185732</v>
      </c>
      <c r="C1825" s="1">
        <v>44272</v>
      </c>
      <c r="D1825" t="s">
        <v>29</v>
      </c>
      <c r="E1825" t="s">
        <v>68</v>
      </c>
      <c r="F1825" t="s">
        <v>69</v>
      </c>
      <c r="G1825" t="s">
        <v>41</v>
      </c>
      <c r="H1825" t="s">
        <v>35</v>
      </c>
      <c r="I1825" s="3">
        <v>38</v>
      </c>
      <c r="J1825" s="2">
        <v>75</v>
      </c>
      <c r="K1825" s="3">
        <f t="shared" si="28"/>
        <v>2850</v>
      </c>
      <c r="L1825" s="3">
        <v>1681.5</v>
      </c>
    </row>
    <row r="1826" spans="1:12" x14ac:dyDescent="0.25">
      <c r="A1826" t="s">
        <v>36</v>
      </c>
      <c r="B1826">
        <v>1185732</v>
      </c>
      <c r="C1826" s="1">
        <v>44272</v>
      </c>
      <c r="D1826" t="s">
        <v>29</v>
      </c>
      <c r="E1826" t="s">
        <v>68</v>
      </c>
      <c r="F1826" t="s">
        <v>69</v>
      </c>
      <c r="G1826" t="s">
        <v>41</v>
      </c>
      <c r="H1826" t="s">
        <v>37</v>
      </c>
      <c r="I1826" s="3">
        <v>44</v>
      </c>
      <c r="J1826" s="2">
        <v>38</v>
      </c>
      <c r="K1826" s="3">
        <f t="shared" si="28"/>
        <v>1672</v>
      </c>
      <c r="L1826" s="3">
        <v>969.76</v>
      </c>
    </row>
    <row r="1827" spans="1:12" x14ac:dyDescent="0.25">
      <c r="A1827" t="s">
        <v>19</v>
      </c>
      <c r="B1827">
        <v>1185732</v>
      </c>
      <c r="C1827" s="1">
        <v>44272</v>
      </c>
      <c r="D1827" t="s">
        <v>57</v>
      </c>
      <c r="E1827" t="s">
        <v>106</v>
      </c>
      <c r="F1827" t="s">
        <v>107</v>
      </c>
      <c r="G1827" t="s">
        <v>41</v>
      </c>
      <c r="H1827" t="s">
        <v>17</v>
      </c>
      <c r="I1827" s="3">
        <v>34</v>
      </c>
      <c r="J1827" s="2">
        <v>87</v>
      </c>
      <c r="K1827" s="3">
        <f t="shared" si="28"/>
        <v>2958</v>
      </c>
      <c r="L1827" s="3">
        <v>1626.9</v>
      </c>
    </row>
    <row r="1828" spans="1:12" x14ac:dyDescent="0.25">
      <c r="A1828" t="s">
        <v>36</v>
      </c>
      <c r="B1828">
        <v>1185732</v>
      </c>
      <c r="C1828" s="1">
        <v>44272</v>
      </c>
      <c r="D1828" t="s">
        <v>29</v>
      </c>
      <c r="E1828" t="s">
        <v>68</v>
      </c>
      <c r="F1828" t="s">
        <v>69</v>
      </c>
      <c r="G1828" t="s">
        <v>41</v>
      </c>
      <c r="H1828" t="s">
        <v>22</v>
      </c>
      <c r="I1828" s="3">
        <v>58</v>
      </c>
      <c r="J1828" s="2">
        <v>60</v>
      </c>
      <c r="K1828" s="3">
        <f t="shared" si="28"/>
        <v>3480</v>
      </c>
      <c r="L1828" s="3">
        <v>1914.0000000000002</v>
      </c>
    </row>
    <row r="1829" spans="1:12" x14ac:dyDescent="0.25">
      <c r="A1829" t="s">
        <v>19</v>
      </c>
      <c r="B1829">
        <v>1185732</v>
      </c>
      <c r="C1829" s="1">
        <v>44272</v>
      </c>
      <c r="D1829" t="s">
        <v>57</v>
      </c>
      <c r="E1829" t="s">
        <v>106</v>
      </c>
      <c r="F1829" t="s">
        <v>107</v>
      </c>
      <c r="G1829" t="s">
        <v>41</v>
      </c>
      <c r="H1829" t="s">
        <v>35</v>
      </c>
      <c r="I1829" s="3">
        <v>23</v>
      </c>
      <c r="J1829" s="2">
        <v>95</v>
      </c>
      <c r="K1829" s="3">
        <f t="shared" si="28"/>
        <v>2185</v>
      </c>
      <c r="L1829" s="3">
        <v>1179.9000000000001</v>
      </c>
    </row>
    <row r="1830" spans="1:12" x14ac:dyDescent="0.25">
      <c r="A1830" t="s">
        <v>36</v>
      </c>
      <c r="B1830">
        <v>1185732</v>
      </c>
      <c r="C1830" s="1">
        <v>44272</v>
      </c>
      <c r="D1830" t="s">
        <v>29</v>
      </c>
      <c r="E1830" t="s">
        <v>68</v>
      </c>
      <c r="F1830" t="s">
        <v>69</v>
      </c>
      <c r="G1830" t="s">
        <v>15</v>
      </c>
      <c r="H1830" t="s">
        <v>17</v>
      </c>
      <c r="I1830" s="3">
        <v>36</v>
      </c>
      <c r="J1830" s="2">
        <v>88</v>
      </c>
      <c r="K1830" s="3">
        <f t="shared" si="28"/>
        <v>3168</v>
      </c>
      <c r="L1830" s="3">
        <v>1710.72</v>
      </c>
    </row>
    <row r="1831" spans="1:12" x14ac:dyDescent="0.25">
      <c r="A1831" t="s">
        <v>36</v>
      </c>
      <c r="B1831">
        <v>1185732</v>
      </c>
      <c r="C1831" s="1">
        <v>44272</v>
      </c>
      <c r="D1831" t="s">
        <v>29</v>
      </c>
      <c r="E1831" t="s">
        <v>68</v>
      </c>
      <c r="F1831" t="s">
        <v>69</v>
      </c>
      <c r="G1831" t="s">
        <v>15</v>
      </c>
      <c r="H1831" t="s">
        <v>38</v>
      </c>
      <c r="I1831" s="3">
        <v>39</v>
      </c>
      <c r="J1831" s="2">
        <v>188</v>
      </c>
      <c r="K1831" s="3">
        <f t="shared" si="28"/>
        <v>7332</v>
      </c>
      <c r="L1831" s="3">
        <v>3959.2799999999997</v>
      </c>
    </row>
    <row r="1832" spans="1:12" x14ac:dyDescent="0.25">
      <c r="A1832" t="s">
        <v>36</v>
      </c>
      <c r="B1832">
        <v>1185732</v>
      </c>
      <c r="C1832" s="1">
        <v>44272</v>
      </c>
      <c r="D1832" t="s">
        <v>29</v>
      </c>
      <c r="E1832" t="s">
        <v>68</v>
      </c>
      <c r="F1832" t="s">
        <v>69</v>
      </c>
      <c r="G1832" t="s">
        <v>41</v>
      </c>
      <c r="H1832" t="s">
        <v>16</v>
      </c>
      <c r="I1832" s="3">
        <v>45</v>
      </c>
      <c r="J1832" s="2">
        <v>75</v>
      </c>
      <c r="K1832" s="3">
        <f t="shared" si="28"/>
        <v>3375</v>
      </c>
      <c r="L1832" s="3">
        <v>1788.75</v>
      </c>
    </row>
    <row r="1833" spans="1:12" x14ac:dyDescent="0.25">
      <c r="A1833" t="s">
        <v>26</v>
      </c>
      <c r="B1833">
        <v>1197831</v>
      </c>
      <c r="C1833" s="1">
        <v>44272</v>
      </c>
      <c r="D1833" t="s">
        <v>52</v>
      </c>
      <c r="E1833" t="s">
        <v>97</v>
      </c>
      <c r="F1833" t="s">
        <v>98</v>
      </c>
      <c r="G1833" t="s">
        <v>41</v>
      </c>
      <c r="H1833" t="s">
        <v>17</v>
      </c>
      <c r="I1833" s="3">
        <v>33</v>
      </c>
      <c r="J1833" s="2">
        <v>181</v>
      </c>
      <c r="K1833" s="3">
        <f t="shared" si="28"/>
        <v>5973</v>
      </c>
      <c r="L1833" s="3">
        <v>3105.96</v>
      </c>
    </row>
    <row r="1834" spans="1:12" x14ac:dyDescent="0.25">
      <c r="A1834" t="s">
        <v>19</v>
      </c>
      <c r="B1834">
        <v>1185732</v>
      </c>
      <c r="C1834" s="1">
        <v>44272</v>
      </c>
      <c r="D1834" t="s">
        <v>57</v>
      </c>
      <c r="E1834" t="s">
        <v>106</v>
      </c>
      <c r="F1834" t="s">
        <v>107</v>
      </c>
      <c r="G1834" t="s">
        <v>41</v>
      </c>
      <c r="H1834" t="s">
        <v>22</v>
      </c>
      <c r="I1834" s="3">
        <v>41</v>
      </c>
      <c r="J1834" s="2">
        <v>75</v>
      </c>
      <c r="K1834" s="3">
        <f t="shared" si="28"/>
        <v>3075</v>
      </c>
      <c r="L1834" s="3">
        <v>1568.25</v>
      </c>
    </row>
    <row r="1835" spans="1:12" x14ac:dyDescent="0.25">
      <c r="A1835" t="s">
        <v>36</v>
      </c>
      <c r="B1835">
        <v>1185732</v>
      </c>
      <c r="C1835" s="1">
        <v>44272</v>
      </c>
      <c r="D1835" t="s">
        <v>29</v>
      </c>
      <c r="E1835" t="s">
        <v>68</v>
      </c>
      <c r="F1835" t="s">
        <v>69</v>
      </c>
      <c r="G1835" t="s">
        <v>41</v>
      </c>
      <c r="H1835" t="s">
        <v>38</v>
      </c>
      <c r="I1835" s="3">
        <v>49</v>
      </c>
      <c r="J1835" s="2">
        <v>165</v>
      </c>
      <c r="K1835" s="3">
        <f t="shared" si="28"/>
        <v>8085</v>
      </c>
      <c r="L1835" s="3">
        <v>4042.5</v>
      </c>
    </row>
    <row r="1836" spans="1:12" x14ac:dyDescent="0.25">
      <c r="A1836" t="s">
        <v>19</v>
      </c>
      <c r="B1836">
        <v>1185732</v>
      </c>
      <c r="C1836" s="1">
        <v>44272</v>
      </c>
      <c r="D1836" t="s">
        <v>57</v>
      </c>
      <c r="E1836" t="s">
        <v>106</v>
      </c>
      <c r="F1836" t="s">
        <v>107</v>
      </c>
      <c r="G1836" t="s">
        <v>41</v>
      </c>
      <c r="H1836" t="s">
        <v>38</v>
      </c>
      <c r="I1836" s="3">
        <v>34</v>
      </c>
      <c r="J1836" s="2">
        <v>186</v>
      </c>
      <c r="K1836" s="3">
        <f t="shared" si="28"/>
        <v>6324</v>
      </c>
      <c r="L1836" s="3">
        <v>3098.7599999999998</v>
      </c>
    </row>
    <row r="1837" spans="1:12" x14ac:dyDescent="0.25">
      <c r="A1837" t="s">
        <v>19</v>
      </c>
      <c r="B1837">
        <v>1185732</v>
      </c>
      <c r="C1837" s="1">
        <v>44272</v>
      </c>
      <c r="D1837" t="s">
        <v>57</v>
      </c>
      <c r="E1837" t="s">
        <v>106</v>
      </c>
      <c r="F1837" t="s">
        <v>107</v>
      </c>
      <c r="G1837" t="s">
        <v>41</v>
      </c>
      <c r="H1837" t="s">
        <v>37</v>
      </c>
      <c r="I1837" s="3">
        <v>28</v>
      </c>
      <c r="J1837" s="2">
        <v>54</v>
      </c>
      <c r="K1837" s="3">
        <f t="shared" si="28"/>
        <v>1512</v>
      </c>
      <c r="L1837" s="3">
        <v>740.88</v>
      </c>
    </row>
    <row r="1838" spans="1:12" x14ac:dyDescent="0.25">
      <c r="A1838" t="s">
        <v>36</v>
      </c>
      <c r="B1838">
        <v>1185732</v>
      </c>
      <c r="C1838" s="1">
        <v>44272</v>
      </c>
      <c r="D1838" t="s">
        <v>29</v>
      </c>
      <c r="E1838" t="s">
        <v>68</v>
      </c>
      <c r="F1838" t="s">
        <v>69</v>
      </c>
      <c r="G1838" t="s">
        <v>41</v>
      </c>
      <c r="H1838" t="s">
        <v>17</v>
      </c>
      <c r="I1838" s="3">
        <v>49</v>
      </c>
      <c r="J1838" s="2">
        <v>69</v>
      </c>
      <c r="K1838" s="3">
        <f t="shared" si="28"/>
        <v>3381</v>
      </c>
      <c r="L1838" s="3">
        <v>1656.69</v>
      </c>
    </row>
    <row r="1839" spans="1:12" x14ac:dyDescent="0.25">
      <c r="A1839" t="s">
        <v>27</v>
      </c>
      <c r="B1839">
        <v>1189833</v>
      </c>
      <c r="C1839" s="1">
        <v>44272</v>
      </c>
      <c r="D1839" t="s">
        <v>12</v>
      </c>
      <c r="E1839" t="s">
        <v>13</v>
      </c>
      <c r="F1839" t="s">
        <v>28</v>
      </c>
      <c r="G1839" t="s">
        <v>15</v>
      </c>
      <c r="H1839" t="s">
        <v>22</v>
      </c>
      <c r="I1839" s="3">
        <v>40</v>
      </c>
      <c r="J1839" s="2">
        <v>140</v>
      </c>
      <c r="K1839" s="3">
        <f t="shared" si="28"/>
        <v>5600</v>
      </c>
      <c r="L1839" s="3">
        <v>2407.9999999999995</v>
      </c>
    </row>
    <row r="1840" spans="1:12" x14ac:dyDescent="0.25">
      <c r="A1840" t="s">
        <v>19</v>
      </c>
      <c r="B1840">
        <v>1185732</v>
      </c>
      <c r="C1840" s="1">
        <v>44272</v>
      </c>
      <c r="D1840" t="s">
        <v>57</v>
      </c>
      <c r="E1840" t="s">
        <v>106</v>
      </c>
      <c r="F1840" t="s">
        <v>107</v>
      </c>
      <c r="G1840" t="s">
        <v>41</v>
      </c>
      <c r="H1840" t="s">
        <v>16</v>
      </c>
      <c r="I1840" s="3">
        <v>34</v>
      </c>
      <c r="J1840" s="2">
        <v>102</v>
      </c>
      <c r="K1840" s="3">
        <f t="shared" si="28"/>
        <v>3468</v>
      </c>
      <c r="L1840" s="3">
        <v>1213.7999999999997</v>
      </c>
    </row>
    <row r="1841" spans="1:12" x14ac:dyDescent="0.25">
      <c r="A1841" t="s">
        <v>27</v>
      </c>
      <c r="B1841">
        <v>1189833</v>
      </c>
      <c r="C1841" s="1">
        <v>44272</v>
      </c>
      <c r="D1841" t="s">
        <v>12</v>
      </c>
      <c r="E1841" t="s">
        <v>13</v>
      </c>
      <c r="F1841" t="s">
        <v>28</v>
      </c>
      <c r="G1841" t="s">
        <v>41</v>
      </c>
      <c r="H1841" t="s">
        <v>22</v>
      </c>
      <c r="I1841" s="3">
        <v>46</v>
      </c>
      <c r="J1841" s="2">
        <v>113</v>
      </c>
      <c r="K1841" s="3">
        <f t="shared" si="28"/>
        <v>5198</v>
      </c>
      <c r="L1841" s="3">
        <v>1663.3599999999997</v>
      </c>
    </row>
    <row r="1842" spans="1:12" x14ac:dyDescent="0.25">
      <c r="A1842" t="s">
        <v>27</v>
      </c>
      <c r="B1842">
        <v>1189833</v>
      </c>
      <c r="C1842" s="1">
        <v>44273</v>
      </c>
      <c r="D1842" t="s">
        <v>12</v>
      </c>
      <c r="E1842" t="s">
        <v>13</v>
      </c>
      <c r="F1842" t="s">
        <v>28</v>
      </c>
      <c r="G1842" t="s">
        <v>15</v>
      </c>
      <c r="H1842" t="s">
        <v>16</v>
      </c>
      <c r="I1842" s="3">
        <v>45</v>
      </c>
      <c r="J1842" s="2">
        <v>650</v>
      </c>
      <c r="K1842" s="3">
        <f t="shared" si="28"/>
        <v>29250</v>
      </c>
      <c r="L1842" s="3">
        <v>23400</v>
      </c>
    </row>
    <row r="1843" spans="1:12" x14ac:dyDescent="0.25">
      <c r="A1843" t="s">
        <v>26</v>
      </c>
      <c r="B1843">
        <v>1197831</v>
      </c>
      <c r="C1843" s="1">
        <v>44273</v>
      </c>
      <c r="D1843" t="s">
        <v>52</v>
      </c>
      <c r="E1843" t="s">
        <v>97</v>
      </c>
      <c r="F1843" t="s">
        <v>98</v>
      </c>
      <c r="G1843" t="s">
        <v>15</v>
      </c>
      <c r="H1843" t="s">
        <v>35</v>
      </c>
      <c r="I1843" s="3">
        <v>35</v>
      </c>
      <c r="J1843" s="2">
        <v>450</v>
      </c>
      <c r="K1843" s="3">
        <f t="shared" si="28"/>
        <v>15750</v>
      </c>
      <c r="L1843" s="3">
        <v>10237.5</v>
      </c>
    </row>
    <row r="1844" spans="1:12" x14ac:dyDescent="0.25">
      <c r="A1844" t="s">
        <v>27</v>
      </c>
      <c r="B1844">
        <v>1189833</v>
      </c>
      <c r="C1844" s="1">
        <v>44273</v>
      </c>
      <c r="D1844" t="s">
        <v>12</v>
      </c>
      <c r="E1844" t="s">
        <v>13</v>
      </c>
      <c r="F1844" t="s">
        <v>28</v>
      </c>
      <c r="G1844" t="s">
        <v>15</v>
      </c>
      <c r="H1844" t="s">
        <v>16</v>
      </c>
      <c r="I1844" s="3">
        <v>32</v>
      </c>
      <c r="J1844" s="2">
        <v>208</v>
      </c>
      <c r="K1844" s="3">
        <f t="shared" si="28"/>
        <v>6656</v>
      </c>
      <c r="L1844" s="3">
        <v>4925.4400000000005</v>
      </c>
    </row>
    <row r="1845" spans="1:12" x14ac:dyDescent="0.25">
      <c r="A1845" t="s">
        <v>27</v>
      </c>
      <c r="B1845">
        <v>1189833</v>
      </c>
      <c r="C1845" s="1">
        <v>44273</v>
      </c>
      <c r="D1845" t="s">
        <v>12</v>
      </c>
      <c r="E1845" t="s">
        <v>13</v>
      </c>
      <c r="F1845" t="s">
        <v>28</v>
      </c>
      <c r="G1845" t="s">
        <v>41</v>
      </c>
      <c r="H1845" t="s">
        <v>16</v>
      </c>
      <c r="I1845" s="3">
        <v>41</v>
      </c>
      <c r="J1845" s="2">
        <v>176</v>
      </c>
      <c r="K1845" s="3">
        <f t="shared" si="28"/>
        <v>7216</v>
      </c>
      <c r="L1845" s="3">
        <v>5051.2</v>
      </c>
    </row>
    <row r="1846" spans="1:12" x14ac:dyDescent="0.25">
      <c r="A1846" t="s">
        <v>26</v>
      </c>
      <c r="B1846">
        <v>1197831</v>
      </c>
      <c r="C1846" s="1">
        <v>44273</v>
      </c>
      <c r="D1846" t="s">
        <v>52</v>
      </c>
      <c r="E1846" t="s">
        <v>97</v>
      </c>
      <c r="F1846" t="s">
        <v>98</v>
      </c>
      <c r="G1846" t="s">
        <v>15</v>
      </c>
      <c r="H1846" t="s">
        <v>35</v>
      </c>
      <c r="I1846" s="3">
        <v>23</v>
      </c>
      <c r="J1846" s="2">
        <v>140</v>
      </c>
      <c r="K1846" s="3">
        <f t="shared" si="28"/>
        <v>3220</v>
      </c>
      <c r="L1846" s="3">
        <v>1964.2</v>
      </c>
    </row>
    <row r="1847" spans="1:12" x14ac:dyDescent="0.25">
      <c r="A1847" t="s">
        <v>26</v>
      </c>
      <c r="B1847">
        <v>1197831</v>
      </c>
      <c r="C1847" s="1">
        <v>44273</v>
      </c>
      <c r="D1847" t="s">
        <v>52</v>
      </c>
      <c r="E1847" t="s">
        <v>97</v>
      </c>
      <c r="F1847" t="s">
        <v>98</v>
      </c>
      <c r="G1847" t="s">
        <v>41</v>
      </c>
      <c r="H1847" t="s">
        <v>35</v>
      </c>
      <c r="I1847" s="3">
        <v>32</v>
      </c>
      <c r="J1847" s="2">
        <v>122</v>
      </c>
      <c r="K1847" s="3">
        <f t="shared" si="28"/>
        <v>3904</v>
      </c>
      <c r="L1847" s="3">
        <v>2030.0800000000002</v>
      </c>
    </row>
    <row r="1848" spans="1:12" x14ac:dyDescent="0.25">
      <c r="A1848" t="s">
        <v>11</v>
      </c>
      <c r="B1848">
        <v>1197831</v>
      </c>
      <c r="C1848" s="1">
        <v>44274</v>
      </c>
      <c r="D1848" t="s">
        <v>52</v>
      </c>
      <c r="E1848" t="s">
        <v>116</v>
      </c>
      <c r="F1848" t="s">
        <v>117</v>
      </c>
      <c r="G1848" t="s">
        <v>41</v>
      </c>
      <c r="H1848" t="s">
        <v>22</v>
      </c>
      <c r="I1848" s="3">
        <v>35.000000000000007</v>
      </c>
      <c r="J1848" s="2">
        <v>175</v>
      </c>
      <c r="K1848" s="3">
        <f t="shared" si="28"/>
        <v>6125.0000000000009</v>
      </c>
      <c r="L1848" s="3">
        <v>3981.2500000000014</v>
      </c>
    </row>
    <row r="1849" spans="1:12" x14ac:dyDescent="0.25">
      <c r="A1849" t="s">
        <v>23</v>
      </c>
      <c r="B1849">
        <v>1197831</v>
      </c>
      <c r="C1849" s="1">
        <v>44274</v>
      </c>
      <c r="D1849" t="s">
        <v>52</v>
      </c>
      <c r="E1849" t="s">
        <v>114</v>
      </c>
      <c r="F1849" t="s">
        <v>115</v>
      </c>
      <c r="G1849" t="s">
        <v>41</v>
      </c>
      <c r="H1849" t="s">
        <v>22</v>
      </c>
      <c r="I1849" s="3">
        <v>35.000000000000007</v>
      </c>
      <c r="J1849" s="2">
        <v>250</v>
      </c>
      <c r="K1849" s="3">
        <f t="shared" si="28"/>
        <v>8750.0000000000018</v>
      </c>
      <c r="L1849" s="3">
        <v>5687.5000000000018</v>
      </c>
    </row>
    <row r="1850" spans="1:12" x14ac:dyDescent="0.25">
      <c r="A1850" t="s">
        <v>23</v>
      </c>
      <c r="B1850">
        <v>1197831</v>
      </c>
      <c r="C1850" s="1">
        <v>44274</v>
      </c>
      <c r="D1850" t="s">
        <v>52</v>
      </c>
      <c r="E1850" t="s">
        <v>114</v>
      </c>
      <c r="F1850" t="s">
        <v>115</v>
      </c>
      <c r="G1850" t="s">
        <v>41</v>
      </c>
      <c r="H1850" t="s">
        <v>17</v>
      </c>
      <c r="I1850" s="3">
        <v>20</v>
      </c>
      <c r="J1850" s="2">
        <v>325</v>
      </c>
      <c r="K1850" s="3">
        <f t="shared" si="28"/>
        <v>6500</v>
      </c>
      <c r="L1850" s="3">
        <v>4225</v>
      </c>
    </row>
    <row r="1851" spans="1:12" x14ac:dyDescent="0.25">
      <c r="A1851" t="s">
        <v>11</v>
      </c>
      <c r="B1851">
        <v>1197831</v>
      </c>
      <c r="C1851" s="1">
        <v>44274</v>
      </c>
      <c r="D1851" t="s">
        <v>52</v>
      </c>
      <c r="E1851" t="s">
        <v>116</v>
      </c>
      <c r="F1851" t="s">
        <v>117</v>
      </c>
      <c r="G1851" t="s">
        <v>41</v>
      </c>
      <c r="H1851" t="s">
        <v>17</v>
      </c>
      <c r="I1851" s="3">
        <v>20</v>
      </c>
      <c r="J1851" s="2">
        <v>250</v>
      </c>
      <c r="K1851" s="3">
        <f t="shared" si="28"/>
        <v>5000</v>
      </c>
      <c r="L1851" s="3">
        <v>3250</v>
      </c>
    </row>
    <row r="1852" spans="1:12" x14ac:dyDescent="0.25">
      <c r="A1852" t="s">
        <v>27</v>
      </c>
      <c r="B1852">
        <v>1189833</v>
      </c>
      <c r="C1852" s="1">
        <v>44274</v>
      </c>
      <c r="D1852" t="s">
        <v>12</v>
      </c>
      <c r="E1852" t="s">
        <v>13</v>
      </c>
      <c r="F1852" t="s">
        <v>28</v>
      </c>
      <c r="G1852" t="s">
        <v>15</v>
      </c>
      <c r="H1852" t="s">
        <v>38</v>
      </c>
      <c r="I1852" s="3">
        <v>35</v>
      </c>
      <c r="J1852" s="2">
        <v>800</v>
      </c>
      <c r="K1852" s="3">
        <f t="shared" si="28"/>
        <v>28000</v>
      </c>
      <c r="L1852" s="3">
        <v>16800</v>
      </c>
    </row>
    <row r="1853" spans="1:12" x14ac:dyDescent="0.25">
      <c r="A1853" t="s">
        <v>23</v>
      </c>
      <c r="B1853">
        <v>1197831</v>
      </c>
      <c r="C1853" s="1">
        <v>44274</v>
      </c>
      <c r="D1853" t="s">
        <v>52</v>
      </c>
      <c r="E1853" t="s">
        <v>114</v>
      </c>
      <c r="F1853" t="s">
        <v>115</v>
      </c>
      <c r="G1853" t="s">
        <v>41</v>
      </c>
      <c r="H1853" t="s">
        <v>38</v>
      </c>
      <c r="I1853" s="3">
        <v>20</v>
      </c>
      <c r="J1853" s="2">
        <v>645</v>
      </c>
      <c r="K1853" s="3">
        <f t="shared" si="28"/>
        <v>12900</v>
      </c>
      <c r="L1853" s="3">
        <v>7740</v>
      </c>
    </row>
    <row r="1854" spans="1:12" x14ac:dyDescent="0.25">
      <c r="A1854" t="s">
        <v>23</v>
      </c>
      <c r="B1854">
        <v>1197831</v>
      </c>
      <c r="C1854" s="1">
        <v>44274</v>
      </c>
      <c r="D1854" t="s">
        <v>52</v>
      </c>
      <c r="E1854" t="s">
        <v>114</v>
      </c>
      <c r="F1854" t="s">
        <v>115</v>
      </c>
      <c r="G1854" t="s">
        <v>41</v>
      </c>
      <c r="H1854" t="s">
        <v>35</v>
      </c>
      <c r="I1854" s="3">
        <v>10.000000000000002</v>
      </c>
      <c r="J1854" s="2">
        <v>350</v>
      </c>
      <c r="K1854" s="3">
        <f t="shared" si="28"/>
        <v>3500.0000000000005</v>
      </c>
      <c r="L1854" s="3">
        <v>2100.0000000000005</v>
      </c>
    </row>
    <row r="1855" spans="1:12" x14ac:dyDescent="0.25">
      <c r="A1855" t="s">
        <v>23</v>
      </c>
      <c r="B1855">
        <v>1197831</v>
      </c>
      <c r="C1855" s="1">
        <v>44274</v>
      </c>
      <c r="D1855" t="s">
        <v>52</v>
      </c>
      <c r="E1855" t="s">
        <v>114</v>
      </c>
      <c r="F1855" t="s">
        <v>115</v>
      </c>
      <c r="G1855" t="s">
        <v>41</v>
      </c>
      <c r="H1855" t="s">
        <v>16</v>
      </c>
      <c r="I1855" s="3">
        <v>25</v>
      </c>
      <c r="J1855" s="2">
        <v>350</v>
      </c>
      <c r="K1855" s="3">
        <f t="shared" si="28"/>
        <v>8750</v>
      </c>
      <c r="L1855" s="3">
        <v>5250</v>
      </c>
    </row>
    <row r="1856" spans="1:12" x14ac:dyDescent="0.25">
      <c r="A1856" t="s">
        <v>11</v>
      </c>
      <c r="B1856">
        <v>1197831</v>
      </c>
      <c r="C1856" s="1">
        <v>44274</v>
      </c>
      <c r="D1856" t="s">
        <v>52</v>
      </c>
      <c r="E1856" t="s">
        <v>116</v>
      </c>
      <c r="F1856" t="s">
        <v>117</v>
      </c>
      <c r="G1856" t="s">
        <v>41</v>
      </c>
      <c r="H1856" t="s">
        <v>38</v>
      </c>
      <c r="I1856" s="3">
        <v>20</v>
      </c>
      <c r="J1856" s="2">
        <v>570</v>
      </c>
      <c r="K1856" s="3">
        <f t="shared" si="28"/>
        <v>11400</v>
      </c>
      <c r="L1856" s="3">
        <v>6840</v>
      </c>
    </row>
    <row r="1857" spans="1:12" x14ac:dyDescent="0.25">
      <c r="A1857" t="s">
        <v>11</v>
      </c>
      <c r="B1857">
        <v>1197831</v>
      </c>
      <c r="C1857" s="1">
        <v>44274</v>
      </c>
      <c r="D1857" t="s">
        <v>52</v>
      </c>
      <c r="E1857" t="s">
        <v>116</v>
      </c>
      <c r="F1857" t="s">
        <v>117</v>
      </c>
      <c r="G1857" t="s">
        <v>41</v>
      </c>
      <c r="H1857" t="s">
        <v>16</v>
      </c>
      <c r="I1857" s="3">
        <v>25</v>
      </c>
      <c r="J1857" s="2">
        <v>275</v>
      </c>
      <c r="K1857" s="3">
        <f t="shared" si="28"/>
        <v>6875</v>
      </c>
      <c r="L1857" s="3">
        <v>4125</v>
      </c>
    </row>
    <row r="1858" spans="1:12" x14ac:dyDescent="0.25">
      <c r="A1858" t="s">
        <v>23</v>
      </c>
      <c r="B1858">
        <v>1197831</v>
      </c>
      <c r="C1858" s="1">
        <v>44274</v>
      </c>
      <c r="D1858" t="s">
        <v>52</v>
      </c>
      <c r="E1858" t="s">
        <v>114</v>
      </c>
      <c r="F1858" t="s">
        <v>115</v>
      </c>
      <c r="G1858" t="s">
        <v>41</v>
      </c>
      <c r="H1858" t="s">
        <v>37</v>
      </c>
      <c r="I1858" s="3">
        <v>19.999999999999996</v>
      </c>
      <c r="J1858" s="2">
        <v>200</v>
      </c>
      <c r="K1858" s="3">
        <f t="shared" si="28"/>
        <v>3999.9999999999991</v>
      </c>
      <c r="L1858" s="3">
        <v>2399.9999999999991</v>
      </c>
    </row>
    <row r="1859" spans="1:12" x14ac:dyDescent="0.25">
      <c r="A1859" t="s">
        <v>11</v>
      </c>
      <c r="B1859">
        <v>1197831</v>
      </c>
      <c r="C1859" s="1">
        <v>44274</v>
      </c>
      <c r="D1859" t="s">
        <v>52</v>
      </c>
      <c r="E1859" t="s">
        <v>116</v>
      </c>
      <c r="F1859" t="s">
        <v>117</v>
      </c>
      <c r="G1859" t="s">
        <v>41</v>
      </c>
      <c r="H1859" t="s">
        <v>35</v>
      </c>
      <c r="I1859" s="3">
        <v>10.000000000000002</v>
      </c>
      <c r="J1859" s="2">
        <v>275</v>
      </c>
      <c r="K1859" s="3">
        <f t="shared" ref="K1859:K1922" si="29">I1859*J1859</f>
        <v>2750.0000000000005</v>
      </c>
      <c r="L1859" s="3">
        <v>1650</v>
      </c>
    </row>
    <row r="1860" spans="1:12" x14ac:dyDescent="0.25">
      <c r="A1860" t="s">
        <v>11</v>
      </c>
      <c r="B1860">
        <v>1197831</v>
      </c>
      <c r="C1860" s="1">
        <v>44274</v>
      </c>
      <c r="D1860" t="s">
        <v>52</v>
      </c>
      <c r="E1860" t="s">
        <v>116</v>
      </c>
      <c r="F1860" t="s">
        <v>117</v>
      </c>
      <c r="G1860" t="s">
        <v>41</v>
      </c>
      <c r="H1860" t="s">
        <v>37</v>
      </c>
      <c r="I1860" s="3">
        <v>19.999999999999996</v>
      </c>
      <c r="J1860" s="2">
        <v>125</v>
      </c>
      <c r="K1860" s="3">
        <f t="shared" si="29"/>
        <v>2499.9999999999995</v>
      </c>
      <c r="L1860" s="3">
        <v>1499.9999999999995</v>
      </c>
    </row>
    <row r="1861" spans="1:12" x14ac:dyDescent="0.25">
      <c r="A1861" t="s">
        <v>26</v>
      </c>
      <c r="B1861">
        <v>1197831</v>
      </c>
      <c r="C1861" s="1">
        <v>44274</v>
      </c>
      <c r="D1861" t="s">
        <v>52</v>
      </c>
      <c r="E1861" t="s">
        <v>97</v>
      </c>
      <c r="F1861" t="s">
        <v>98</v>
      </c>
      <c r="G1861" t="s">
        <v>15</v>
      </c>
      <c r="H1861" t="s">
        <v>37</v>
      </c>
      <c r="I1861" s="3">
        <v>35</v>
      </c>
      <c r="J1861" s="2">
        <v>400</v>
      </c>
      <c r="K1861" s="3">
        <f t="shared" si="29"/>
        <v>14000</v>
      </c>
      <c r="L1861" s="3">
        <v>7700</v>
      </c>
    </row>
    <row r="1862" spans="1:12" x14ac:dyDescent="0.25">
      <c r="A1862" t="s">
        <v>23</v>
      </c>
      <c r="B1862">
        <v>1197831</v>
      </c>
      <c r="C1862" s="1">
        <v>44274</v>
      </c>
      <c r="D1862" t="s">
        <v>52</v>
      </c>
      <c r="E1862" t="s">
        <v>114</v>
      </c>
      <c r="F1862" t="s">
        <v>115</v>
      </c>
      <c r="G1862" t="s">
        <v>15</v>
      </c>
      <c r="H1862" t="s">
        <v>17</v>
      </c>
      <c r="I1862" s="3">
        <v>14</v>
      </c>
      <c r="J1862" s="2">
        <v>107</v>
      </c>
      <c r="K1862" s="3">
        <f t="shared" si="29"/>
        <v>1498</v>
      </c>
      <c r="L1862" s="3">
        <v>943.74</v>
      </c>
    </row>
    <row r="1863" spans="1:12" x14ac:dyDescent="0.25">
      <c r="A1863" t="s">
        <v>23</v>
      </c>
      <c r="B1863">
        <v>1197831</v>
      </c>
      <c r="C1863" s="1">
        <v>44274</v>
      </c>
      <c r="D1863" t="s">
        <v>52</v>
      </c>
      <c r="E1863" t="s">
        <v>114</v>
      </c>
      <c r="F1863" t="s">
        <v>115</v>
      </c>
      <c r="G1863" t="s">
        <v>15</v>
      </c>
      <c r="H1863" t="s">
        <v>22</v>
      </c>
      <c r="I1863" s="3">
        <v>24</v>
      </c>
      <c r="J1863" s="2">
        <v>88</v>
      </c>
      <c r="K1863" s="3">
        <f t="shared" si="29"/>
        <v>2112</v>
      </c>
      <c r="L1863" s="3">
        <v>1267.2</v>
      </c>
    </row>
    <row r="1864" spans="1:12" x14ac:dyDescent="0.25">
      <c r="A1864" t="s">
        <v>11</v>
      </c>
      <c r="B1864">
        <v>1197831</v>
      </c>
      <c r="C1864" s="1">
        <v>44274</v>
      </c>
      <c r="D1864" t="s">
        <v>52</v>
      </c>
      <c r="E1864" t="s">
        <v>116</v>
      </c>
      <c r="F1864" t="s">
        <v>117</v>
      </c>
      <c r="G1864" t="s">
        <v>15</v>
      </c>
      <c r="H1864" t="s">
        <v>17</v>
      </c>
      <c r="I1864" s="3">
        <v>15</v>
      </c>
      <c r="J1864" s="2">
        <v>78</v>
      </c>
      <c r="K1864" s="3">
        <f t="shared" si="29"/>
        <v>1170</v>
      </c>
      <c r="L1864" s="3">
        <v>690.3</v>
      </c>
    </row>
    <row r="1865" spans="1:12" x14ac:dyDescent="0.25">
      <c r="A1865" t="s">
        <v>11</v>
      </c>
      <c r="B1865">
        <v>1197831</v>
      </c>
      <c r="C1865" s="1">
        <v>44274</v>
      </c>
      <c r="D1865" t="s">
        <v>52</v>
      </c>
      <c r="E1865" t="s">
        <v>116</v>
      </c>
      <c r="F1865" t="s">
        <v>117</v>
      </c>
      <c r="G1865" t="s">
        <v>15</v>
      </c>
      <c r="H1865" t="s">
        <v>22</v>
      </c>
      <c r="I1865" s="3">
        <v>26</v>
      </c>
      <c r="J1865" s="2">
        <v>61</v>
      </c>
      <c r="K1865" s="3">
        <f t="shared" si="29"/>
        <v>1586</v>
      </c>
      <c r="L1865" s="3">
        <v>919.88</v>
      </c>
    </row>
    <row r="1866" spans="1:12" x14ac:dyDescent="0.25">
      <c r="A1866" t="s">
        <v>27</v>
      </c>
      <c r="B1866">
        <v>1189833</v>
      </c>
      <c r="C1866" s="1">
        <v>44274</v>
      </c>
      <c r="D1866" t="s">
        <v>12</v>
      </c>
      <c r="E1866" t="s">
        <v>13</v>
      </c>
      <c r="F1866" t="s">
        <v>28</v>
      </c>
      <c r="G1866" t="s">
        <v>15</v>
      </c>
      <c r="H1866" t="s">
        <v>38</v>
      </c>
      <c r="I1866" s="3">
        <v>24</v>
      </c>
      <c r="J1866" s="2">
        <v>264</v>
      </c>
      <c r="K1866" s="3">
        <f t="shared" si="29"/>
        <v>6336</v>
      </c>
      <c r="L1866" s="3">
        <v>3548.16</v>
      </c>
    </row>
    <row r="1867" spans="1:12" x14ac:dyDescent="0.25">
      <c r="A1867" t="s">
        <v>11</v>
      </c>
      <c r="B1867">
        <v>1197831</v>
      </c>
      <c r="C1867" s="1">
        <v>44274</v>
      </c>
      <c r="D1867" t="s">
        <v>52</v>
      </c>
      <c r="E1867" t="s">
        <v>116</v>
      </c>
      <c r="F1867" t="s">
        <v>117</v>
      </c>
      <c r="G1867" t="s">
        <v>15</v>
      </c>
      <c r="H1867" t="s">
        <v>35</v>
      </c>
      <c r="I1867" s="3">
        <v>7</v>
      </c>
      <c r="J1867" s="2">
        <v>83</v>
      </c>
      <c r="K1867" s="3">
        <f t="shared" si="29"/>
        <v>581</v>
      </c>
      <c r="L1867" s="3">
        <v>319.55</v>
      </c>
    </row>
    <row r="1868" spans="1:12" x14ac:dyDescent="0.25">
      <c r="A1868" t="s">
        <v>23</v>
      </c>
      <c r="B1868">
        <v>1197831</v>
      </c>
      <c r="C1868" s="1">
        <v>44274</v>
      </c>
      <c r="D1868" t="s">
        <v>52</v>
      </c>
      <c r="E1868" t="s">
        <v>114</v>
      </c>
      <c r="F1868" t="s">
        <v>115</v>
      </c>
      <c r="G1868" t="s">
        <v>41</v>
      </c>
      <c r="H1868" t="s">
        <v>17</v>
      </c>
      <c r="I1868" s="3">
        <v>20</v>
      </c>
      <c r="J1868" s="2">
        <v>98</v>
      </c>
      <c r="K1868" s="3">
        <f t="shared" si="29"/>
        <v>1960</v>
      </c>
      <c r="L1868" s="3">
        <v>1078</v>
      </c>
    </row>
    <row r="1869" spans="1:12" x14ac:dyDescent="0.25">
      <c r="A1869" t="s">
        <v>23</v>
      </c>
      <c r="B1869">
        <v>1197831</v>
      </c>
      <c r="C1869" s="1">
        <v>44274</v>
      </c>
      <c r="D1869" t="s">
        <v>52</v>
      </c>
      <c r="E1869" t="s">
        <v>114</v>
      </c>
      <c r="F1869" t="s">
        <v>115</v>
      </c>
      <c r="G1869" t="s">
        <v>15</v>
      </c>
      <c r="H1869" t="s">
        <v>35</v>
      </c>
      <c r="I1869" s="3">
        <v>8</v>
      </c>
      <c r="J1869" s="2">
        <v>112</v>
      </c>
      <c r="K1869" s="3">
        <f t="shared" si="29"/>
        <v>896</v>
      </c>
      <c r="L1869" s="3">
        <v>492.8</v>
      </c>
    </row>
    <row r="1870" spans="1:12" x14ac:dyDescent="0.25">
      <c r="A1870" t="s">
        <v>23</v>
      </c>
      <c r="B1870">
        <v>1197831</v>
      </c>
      <c r="C1870" s="1">
        <v>44274</v>
      </c>
      <c r="D1870" t="s">
        <v>52</v>
      </c>
      <c r="E1870" t="s">
        <v>114</v>
      </c>
      <c r="F1870" t="s">
        <v>115</v>
      </c>
      <c r="G1870" t="s">
        <v>41</v>
      </c>
      <c r="H1870" t="s">
        <v>22</v>
      </c>
      <c r="I1870" s="3">
        <v>32</v>
      </c>
      <c r="J1870" s="2">
        <v>65</v>
      </c>
      <c r="K1870" s="3">
        <f t="shared" si="29"/>
        <v>2080</v>
      </c>
      <c r="L1870" s="3">
        <v>1123.2</v>
      </c>
    </row>
    <row r="1871" spans="1:12" x14ac:dyDescent="0.25">
      <c r="A1871" t="s">
        <v>11</v>
      </c>
      <c r="B1871">
        <v>1197831</v>
      </c>
      <c r="C1871" s="1">
        <v>44274</v>
      </c>
      <c r="D1871" t="s">
        <v>52</v>
      </c>
      <c r="E1871" t="s">
        <v>116</v>
      </c>
      <c r="F1871" t="s">
        <v>117</v>
      </c>
      <c r="G1871" t="s">
        <v>15</v>
      </c>
      <c r="H1871" t="s">
        <v>16</v>
      </c>
      <c r="I1871" s="3">
        <v>18</v>
      </c>
      <c r="J1871" s="2">
        <v>88</v>
      </c>
      <c r="K1871" s="3">
        <f t="shared" si="29"/>
        <v>1584</v>
      </c>
      <c r="L1871" s="3">
        <v>855.36</v>
      </c>
    </row>
    <row r="1872" spans="1:12" x14ac:dyDescent="0.25">
      <c r="A1872" t="s">
        <v>23</v>
      </c>
      <c r="B1872">
        <v>1197831</v>
      </c>
      <c r="C1872" s="1">
        <v>44274</v>
      </c>
      <c r="D1872" t="s">
        <v>52</v>
      </c>
      <c r="E1872" t="s">
        <v>114</v>
      </c>
      <c r="F1872" t="s">
        <v>115</v>
      </c>
      <c r="G1872" t="s">
        <v>15</v>
      </c>
      <c r="H1872" t="s">
        <v>16</v>
      </c>
      <c r="I1872" s="3">
        <v>20</v>
      </c>
      <c r="J1872" s="2">
        <v>112</v>
      </c>
      <c r="K1872" s="3">
        <f t="shared" si="29"/>
        <v>2240</v>
      </c>
      <c r="L1872" s="3">
        <v>1209.5999999999999</v>
      </c>
    </row>
    <row r="1873" spans="1:12" x14ac:dyDescent="0.25">
      <c r="A1873" t="s">
        <v>11</v>
      </c>
      <c r="B1873">
        <v>1197831</v>
      </c>
      <c r="C1873" s="1">
        <v>44274</v>
      </c>
      <c r="D1873" t="s">
        <v>52</v>
      </c>
      <c r="E1873" t="s">
        <v>116</v>
      </c>
      <c r="F1873" t="s">
        <v>117</v>
      </c>
      <c r="G1873" t="s">
        <v>15</v>
      </c>
      <c r="H1873" t="s">
        <v>38</v>
      </c>
      <c r="I1873" s="3">
        <v>14</v>
      </c>
      <c r="J1873" s="2">
        <v>182</v>
      </c>
      <c r="K1873" s="3">
        <f t="shared" si="29"/>
        <v>2548</v>
      </c>
      <c r="L1873" s="3">
        <v>1375.9199999999998</v>
      </c>
    </row>
    <row r="1874" spans="1:12" x14ac:dyDescent="0.25">
      <c r="A1874" t="s">
        <v>11</v>
      </c>
      <c r="B1874">
        <v>1197831</v>
      </c>
      <c r="C1874" s="1">
        <v>44274</v>
      </c>
      <c r="D1874" t="s">
        <v>52</v>
      </c>
      <c r="E1874" t="s">
        <v>116</v>
      </c>
      <c r="F1874" t="s">
        <v>117</v>
      </c>
      <c r="G1874" t="s">
        <v>41</v>
      </c>
      <c r="H1874" t="s">
        <v>22</v>
      </c>
      <c r="I1874" s="3">
        <v>34</v>
      </c>
      <c r="J1874" s="2">
        <v>49</v>
      </c>
      <c r="K1874" s="3">
        <f t="shared" si="29"/>
        <v>1666</v>
      </c>
      <c r="L1874" s="3">
        <v>882.98</v>
      </c>
    </row>
    <row r="1875" spans="1:12" x14ac:dyDescent="0.25">
      <c r="A1875" t="s">
        <v>23</v>
      </c>
      <c r="B1875">
        <v>1197831</v>
      </c>
      <c r="C1875" s="1">
        <v>44274</v>
      </c>
      <c r="D1875" t="s">
        <v>52</v>
      </c>
      <c r="E1875" t="s">
        <v>114</v>
      </c>
      <c r="F1875" t="s">
        <v>115</v>
      </c>
      <c r="G1875" t="s">
        <v>15</v>
      </c>
      <c r="H1875" t="s">
        <v>37</v>
      </c>
      <c r="I1875" s="3">
        <v>15</v>
      </c>
      <c r="J1875" s="2">
        <v>70</v>
      </c>
      <c r="K1875" s="3">
        <f t="shared" si="29"/>
        <v>1050</v>
      </c>
      <c r="L1875" s="3">
        <v>556.5</v>
      </c>
    </row>
    <row r="1876" spans="1:12" x14ac:dyDescent="0.25">
      <c r="A1876" t="s">
        <v>11</v>
      </c>
      <c r="B1876">
        <v>1197831</v>
      </c>
      <c r="C1876" s="1">
        <v>44274</v>
      </c>
      <c r="D1876" t="s">
        <v>52</v>
      </c>
      <c r="E1876" t="s">
        <v>116</v>
      </c>
      <c r="F1876" t="s">
        <v>117</v>
      </c>
      <c r="G1876" t="s">
        <v>15</v>
      </c>
      <c r="H1876" t="s">
        <v>37</v>
      </c>
      <c r="I1876" s="3">
        <v>16</v>
      </c>
      <c r="J1876" s="2">
        <v>39</v>
      </c>
      <c r="K1876" s="3">
        <f t="shared" si="29"/>
        <v>624</v>
      </c>
      <c r="L1876" s="3">
        <v>330.71999999999997</v>
      </c>
    </row>
    <row r="1877" spans="1:12" x14ac:dyDescent="0.25">
      <c r="A1877" t="s">
        <v>23</v>
      </c>
      <c r="B1877">
        <v>1197831</v>
      </c>
      <c r="C1877" s="1">
        <v>44274</v>
      </c>
      <c r="D1877" t="s">
        <v>52</v>
      </c>
      <c r="E1877" t="s">
        <v>114</v>
      </c>
      <c r="F1877" t="s">
        <v>115</v>
      </c>
      <c r="G1877" t="s">
        <v>15</v>
      </c>
      <c r="H1877" t="s">
        <v>38</v>
      </c>
      <c r="I1877" s="3">
        <v>15</v>
      </c>
      <c r="J1877" s="2">
        <v>206</v>
      </c>
      <c r="K1877" s="3">
        <f t="shared" si="29"/>
        <v>3090</v>
      </c>
      <c r="L1877" s="3">
        <v>1637.6999999999998</v>
      </c>
    </row>
    <row r="1878" spans="1:12" x14ac:dyDescent="0.25">
      <c r="A1878" t="s">
        <v>11</v>
      </c>
      <c r="B1878">
        <v>1197831</v>
      </c>
      <c r="C1878" s="1">
        <v>44274</v>
      </c>
      <c r="D1878" t="s">
        <v>52</v>
      </c>
      <c r="E1878" t="s">
        <v>116</v>
      </c>
      <c r="F1878" t="s">
        <v>117</v>
      </c>
      <c r="G1878" t="s">
        <v>41</v>
      </c>
      <c r="H1878" t="s">
        <v>17</v>
      </c>
      <c r="I1878" s="3">
        <v>19</v>
      </c>
      <c r="J1878" s="2">
        <v>73</v>
      </c>
      <c r="K1878" s="3">
        <f t="shared" si="29"/>
        <v>1387</v>
      </c>
      <c r="L1878" s="3">
        <v>721.24</v>
      </c>
    </row>
    <row r="1879" spans="1:12" x14ac:dyDescent="0.25">
      <c r="A1879" t="s">
        <v>26</v>
      </c>
      <c r="B1879">
        <v>1197831</v>
      </c>
      <c r="C1879" s="1">
        <v>44274</v>
      </c>
      <c r="D1879" t="s">
        <v>52</v>
      </c>
      <c r="E1879" t="s">
        <v>97</v>
      </c>
      <c r="F1879" t="s">
        <v>98</v>
      </c>
      <c r="G1879" t="s">
        <v>15</v>
      </c>
      <c r="H1879" t="s">
        <v>37</v>
      </c>
      <c r="I1879" s="3">
        <v>28</v>
      </c>
      <c r="J1879" s="2">
        <v>128</v>
      </c>
      <c r="K1879" s="3">
        <f t="shared" si="29"/>
        <v>3584</v>
      </c>
      <c r="L1879" s="3">
        <v>1827.8400000000001</v>
      </c>
    </row>
    <row r="1880" spans="1:12" x14ac:dyDescent="0.25">
      <c r="A1880" t="s">
        <v>27</v>
      </c>
      <c r="B1880">
        <v>1189833</v>
      </c>
      <c r="C1880" s="1">
        <v>44274</v>
      </c>
      <c r="D1880" t="s">
        <v>12</v>
      </c>
      <c r="E1880" t="s">
        <v>13</v>
      </c>
      <c r="F1880" t="s">
        <v>28</v>
      </c>
      <c r="G1880" t="s">
        <v>41</v>
      </c>
      <c r="H1880" t="s">
        <v>38</v>
      </c>
      <c r="I1880" s="3">
        <v>32</v>
      </c>
      <c r="J1880" s="2">
        <v>216</v>
      </c>
      <c r="K1880" s="3">
        <f t="shared" si="29"/>
        <v>6912</v>
      </c>
      <c r="L1880" s="3">
        <v>3456</v>
      </c>
    </row>
    <row r="1881" spans="1:12" x14ac:dyDescent="0.25">
      <c r="A1881" t="s">
        <v>11</v>
      </c>
      <c r="B1881">
        <v>1197831</v>
      </c>
      <c r="C1881" s="1">
        <v>44274</v>
      </c>
      <c r="D1881" t="s">
        <v>52</v>
      </c>
      <c r="E1881" t="s">
        <v>116</v>
      </c>
      <c r="F1881" t="s">
        <v>117</v>
      </c>
      <c r="G1881" t="s">
        <v>41</v>
      </c>
      <c r="H1881" t="s">
        <v>38</v>
      </c>
      <c r="I1881" s="3">
        <v>19</v>
      </c>
      <c r="J1881" s="2">
        <v>154</v>
      </c>
      <c r="K1881" s="3">
        <f t="shared" si="29"/>
        <v>2926</v>
      </c>
      <c r="L1881" s="3">
        <v>1463</v>
      </c>
    </row>
    <row r="1882" spans="1:12" x14ac:dyDescent="0.25">
      <c r="A1882" t="s">
        <v>11</v>
      </c>
      <c r="B1882">
        <v>1197831</v>
      </c>
      <c r="C1882" s="1">
        <v>44274</v>
      </c>
      <c r="D1882" t="s">
        <v>52</v>
      </c>
      <c r="E1882" t="s">
        <v>116</v>
      </c>
      <c r="F1882" t="s">
        <v>117</v>
      </c>
      <c r="G1882" t="s">
        <v>41</v>
      </c>
      <c r="H1882" t="s">
        <v>35</v>
      </c>
      <c r="I1882" s="3">
        <v>9</v>
      </c>
      <c r="J1882" s="2">
        <v>80</v>
      </c>
      <c r="K1882" s="3">
        <f t="shared" si="29"/>
        <v>720</v>
      </c>
      <c r="L1882" s="3">
        <v>360</v>
      </c>
    </row>
    <row r="1883" spans="1:12" x14ac:dyDescent="0.25">
      <c r="A1883" t="s">
        <v>11</v>
      </c>
      <c r="B1883">
        <v>1197831</v>
      </c>
      <c r="C1883" s="1">
        <v>44274</v>
      </c>
      <c r="D1883" t="s">
        <v>52</v>
      </c>
      <c r="E1883" t="s">
        <v>116</v>
      </c>
      <c r="F1883" t="s">
        <v>117</v>
      </c>
      <c r="G1883" t="s">
        <v>41</v>
      </c>
      <c r="H1883" t="s">
        <v>37</v>
      </c>
      <c r="I1883" s="3">
        <v>20</v>
      </c>
      <c r="J1883" s="2">
        <v>34</v>
      </c>
      <c r="K1883" s="3">
        <f t="shared" si="29"/>
        <v>680</v>
      </c>
      <c r="L1883" s="3">
        <v>340</v>
      </c>
    </row>
    <row r="1884" spans="1:12" x14ac:dyDescent="0.25">
      <c r="A1884" t="s">
        <v>23</v>
      </c>
      <c r="B1884">
        <v>1197831</v>
      </c>
      <c r="C1884" s="1">
        <v>44274</v>
      </c>
      <c r="D1884" t="s">
        <v>52</v>
      </c>
      <c r="E1884" t="s">
        <v>114</v>
      </c>
      <c r="F1884" t="s">
        <v>115</v>
      </c>
      <c r="G1884" t="s">
        <v>41</v>
      </c>
      <c r="H1884" t="s">
        <v>16</v>
      </c>
      <c r="I1884" s="3">
        <v>24</v>
      </c>
      <c r="J1884" s="2">
        <v>102</v>
      </c>
      <c r="K1884" s="3">
        <f t="shared" si="29"/>
        <v>2448</v>
      </c>
      <c r="L1884" s="3">
        <v>1199.52</v>
      </c>
    </row>
    <row r="1885" spans="1:12" x14ac:dyDescent="0.25">
      <c r="A1885" t="s">
        <v>23</v>
      </c>
      <c r="B1885">
        <v>1197831</v>
      </c>
      <c r="C1885" s="1">
        <v>44274</v>
      </c>
      <c r="D1885" t="s">
        <v>52</v>
      </c>
      <c r="E1885" t="s">
        <v>114</v>
      </c>
      <c r="F1885" t="s">
        <v>115</v>
      </c>
      <c r="G1885" t="s">
        <v>41</v>
      </c>
      <c r="H1885" t="s">
        <v>37</v>
      </c>
      <c r="I1885" s="3">
        <v>19</v>
      </c>
      <c r="J1885" s="2">
        <v>60</v>
      </c>
      <c r="K1885" s="3">
        <f t="shared" si="29"/>
        <v>1140</v>
      </c>
      <c r="L1885" s="3">
        <v>547.19999999999993</v>
      </c>
    </row>
    <row r="1886" spans="1:12" x14ac:dyDescent="0.25">
      <c r="A1886" t="s">
        <v>23</v>
      </c>
      <c r="B1886">
        <v>1197831</v>
      </c>
      <c r="C1886" s="1">
        <v>44274</v>
      </c>
      <c r="D1886" t="s">
        <v>52</v>
      </c>
      <c r="E1886" t="s">
        <v>114</v>
      </c>
      <c r="F1886" t="s">
        <v>115</v>
      </c>
      <c r="G1886" t="s">
        <v>41</v>
      </c>
      <c r="H1886" t="s">
        <v>38</v>
      </c>
      <c r="I1886" s="3">
        <v>18</v>
      </c>
      <c r="J1886" s="2">
        <v>181</v>
      </c>
      <c r="K1886" s="3">
        <f t="shared" si="29"/>
        <v>3258</v>
      </c>
      <c r="L1886" s="3">
        <v>1531.26</v>
      </c>
    </row>
    <row r="1887" spans="1:12" x14ac:dyDescent="0.25">
      <c r="A1887" t="s">
        <v>23</v>
      </c>
      <c r="B1887">
        <v>1197831</v>
      </c>
      <c r="C1887" s="1">
        <v>44274</v>
      </c>
      <c r="D1887" t="s">
        <v>52</v>
      </c>
      <c r="E1887" t="s">
        <v>114</v>
      </c>
      <c r="F1887" t="s">
        <v>115</v>
      </c>
      <c r="G1887" t="s">
        <v>41</v>
      </c>
      <c r="H1887" t="s">
        <v>35</v>
      </c>
      <c r="I1887" s="3">
        <v>10</v>
      </c>
      <c r="J1887" s="2">
        <v>88</v>
      </c>
      <c r="K1887" s="3">
        <f t="shared" si="29"/>
        <v>880</v>
      </c>
      <c r="L1887" s="3">
        <v>404.79999999999995</v>
      </c>
    </row>
    <row r="1888" spans="1:12" x14ac:dyDescent="0.25">
      <c r="A1888" t="s">
        <v>11</v>
      </c>
      <c r="B1888">
        <v>1197831</v>
      </c>
      <c r="C1888" s="1">
        <v>44274</v>
      </c>
      <c r="D1888" t="s">
        <v>52</v>
      </c>
      <c r="E1888" t="s">
        <v>116</v>
      </c>
      <c r="F1888" t="s">
        <v>117</v>
      </c>
      <c r="G1888" t="s">
        <v>41</v>
      </c>
      <c r="H1888" t="s">
        <v>16</v>
      </c>
      <c r="I1888" s="3">
        <v>23</v>
      </c>
      <c r="J1888" s="2">
        <v>69</v>
      </c>
      <c r="K1888" s="3">
        <f t="shared" si="29"/>
        <v>1587</v>
      </c>
      <c r="L1888" s="3">
        <v>730.02</v>
      </c>
    </row>
    <row r="1889" spans="1:12" x14ac:dyDescent="0.25">
      <c r="A1889" t="s">
        <v>26</v>
      </c>
      <c r="B1889">
        <v>1197831</v>
      </c>
      <c r="C1889" s="1">
        <v>44274</v>
      </c>
      <c r="D1889" t="s">
        <v>52</v>
      </c>
      <c r="E1889" t="s">
        <v>97</v>
      </c>
      <c r="F1889" t="s">
        <v>98</v>
      </c>
      <c r="G1889" t="s">
        <v>41</v>
      </c>
      <c r="H1889" t="s">
        <v>37</v>
      </c>
      <c r="I1889" s="3">
        <v>33</v>
      </c>
      <c r="J1889" s="2">
        <v>108</v>
      </c>
      <c r="K1889" s="3">
        <f t="shared" si="29"/>
        <v>3564</v>
      </c>
      <c r="L1889" s="3">
        <v>1425.6</v>
      </c>
    </row>
    <row r="1890" spans="1:12" x14ac:dyDescent="0.25">
      <c r="A1890" t="s">
        <v>36</v>
      </c>
      <c r="B1890">
        <v>1185732</v>
      </c>
      <c r="C1890" s="1">
        <v>44275</v>
      </c>
      <c r="D1890" t="s">
        <v>12</v>
      </c>
      <c r="E1890" t="s">
        <v>24</v>
      </c>
      <c r="F1890" t="s">
        <v>25</v>
      </c>
      <c r="G1890" t="s">
        <v>15</v>
      </c>
      <c r="H1890" t="s">
        <v>22</v>
      </c>
      <c r="I1890" s="3">
        <v>65.000000000000014</v>
      </c>
      <c r="J1890" s="2">
        <v>175</v>
      </c>
      <c r="K1890" s="3">
        <f t="shared" si="29"/>
        <v>11375.000000000002</v>
      </c>
      <c r="L1890" s="3">
        <v>8531.2500000000036</v>
      </c>
    </row>
    <row r="1891" spans="1:12" x14ac:dyDescent="0.25">
      <c r="A1891" t="s">
        <v>27</v>
      </c>
      <c r="B1891">
        <v>1189833</v>
      </c>
      <c r="C1891" s="1">
        <v>44275</v>
      </c>
      <c r="D1891" t="s">
        <v>12</v>
      </c>
      <c r="E1891" t="s">
        <v>13</v>
      </c>
      <c r="F1891" t="s">
        <v>28</v>
      </c>
      <c r="G1891" t="s">
        <v>15</v>
      </c>
      <c r="H1891" t="s">
        <v>17</v>
      </c>
      <c r="I1891" s="3">
        <v>45</v>
      </c>
      <c r="J1891" s="2">
        <v>650</v>
      </c>
      <c r="K1891" s="3">
        <f t="shared" si="29"/>
        <v>29250</v>
      </c>
      <c r="L1891" s="3">
        <v>21937.5</v>
      </c>
    </row>
    <row r="1892" spans="1:12" x14ac:dyDescent="0.25">
      <c r="A1892" t="s">
        <v>36</v>
      </c>
      <c r="B1892">
        <v>1185732</v>
      </c>
      <c r="C1892" s="1">
        <v>44275</v>
      </c>
      <c r="D1892" t="s">
        <v>12</v>
      </c>
      <c r="E1892" t="s">
        <v>24</v>
      </c>
      <c r="F1892" t="s">
        <v>25</v>
      </c>
      <c r="G1892" t="s">
        <v>15</v>
      </c>
      <c r="H1892" t="s">
        <v>35</v>
      </c>
      <c r="I1892" s="3">
        <v>45</v>
      </c>
      <c r="J1892" s="2">
        <v>275</v>
      </c>
      <c r="K1892" s="3">
        <f t="shared" si="29"/>
        <v>12375</v>
      </c>
      <c r="L1892" s="3">
        <v>9281.25</v>
      </c>
    </row>
    <row r="1893" spans="1:12" x14ac:dyDescent="0.25">
      <c r="A1893" t="s">
        <v>36</v>
      </c>
      <c r="B1893">
        <v>1185732</v>
      </c>
      <c r="C1893" s="1">
        <v>44275</v>
      </c>
      <c r="D1893" t="s">
        <v>12</v>
      </c>
      <c r="E1893" t="s">
        <v>24</v>
      </c>
      <c r="F1893" t="s">
        <v>25</v>
      </c>
      <c r="G1893" t="s">
        <v>15</v>
      </c>
      <c r="H1893" t="s">
        <v>37</v>
      </c>
      <c r="I1893" s="3">
        <v>49.999999999999993</v>
      </c>
      <c r="J1893" s="2">
        <v>125</v>
      </c>
      <c r="K1893" s="3">
        <f t="shared" si="29"/>
        <v>6249.9999999999991</v>
      </c>
      <c r="L1893" s="3">
        <v>4687.4999999999991</v>
      </c>
    </row>
    <row r="1894" spans="1:12" x14ac:dyDescent="0.25">
      <c r="A1894" t="s">
        <v>36</v>
      </c>
      <c r="B1894">
        <v>1185732</v>
      </c>
      <c r="C1894" s="1">
        <v>44275</v>
      </c>
      <c r="D1894" t="s">
        <v>12</v>
      </c>
      <c r="E1894" t="s">
        <v>24</v>
      </c>
      <c r="F1894" t="s">
        <v>25</v>
      </c>
      <c r="G1894" t="s">
        <v>15</v>
      </c>
      <c r="H1894" t="s">
        <v>16</v>
      </c>
      <c r="I1894" s="3">
        <v>55.000000000000007</v>
      </c>
      <c r="J1894" s="2">
        <v>275</v>
      </c>
      <c r="K1894" s="3">
        <f t="shared" si="29"/>
        <v>15125.000000000002</v>
      </c>
      <c r="L1894" s="3">
        <v>10587.500000000004</v>
      </c>
    </row>
    <row r="1895" spans="1:12" x14ac:dyDescent="0.25">
      <c r="A1895" t="s">
        <v>26</v>
      </c>
      <c r="B1895">
        <v>1197831</v>
      </c>
      <c r="C1895" s="1">
        <v>44275</v>
      </c>
      <c r="D1895" t="s">
        <v>52</v>
      </c>
      <c r="E1895" t="s">
        <v>97</v>
      </c>
      <c r="F1895" t="s">
        <v>98</v>
      </c>
      <c r="G1895" t="s">
        <v>15</v>
      </c>
      <c r="H1895" t="s">
        <v>22</v>
      </c>
      <c r="I1895" s="3">
        <v>40</v>
      </c>
      <c r="J1895" s="2">
        <v>275</v>
      </c>
      <c r="K1895" s="3">
        <f t="shared" si="29"/>
        <v>11000</v>
      </c>
      <c r="L1895" s="3">
        <v>7700</v>
      </c>
    </row>
    <row r="1896" spans="1:12" x14ac:dyDescent="0.25">
      <c r="A1896" t="s">
        <v>11</v>
      </c>
      <c r="B1896">
        <v>1185732</v>
      </c>
      <c r="C1896" s="1">
        <v>44275</v>
      </c>
      <c r="D1896" t="s">
        <v>29</v>
      </c>
      <c r="E1896" t="s">
        <v>87</v>
      </c>
      <c r="F1896" t="s">
        <v>88</v>
      </c>
      <c r="G1896" t="s">
        <v>18</v>
      </c>
      <c r="H1896" t="s">
        <v>22</v>
      </c>
      <c r="I1896" s="3">
        <v>45</v>
      </c>
      <c r="J1896" s="2">
        <v>75</v>
      </c>
      <c r="K1896" s="3">
        <f t="shared" si="29"/>
        <v>3375</v>
      </c>
      <c r="L1896" s="3">
        <v>2362.5</v>
      </c>
    </row>
    <row r="1897" spans="1:12" x14ac:dyDescent="0.25">
      <c r="A1897" t="s">
        <v>11</v>
      </c>
      <c r="B1897">
        <v>1185732</v>
      </c>
      <c r="C1897" s="1">
        <v>44275</v>
      </c>
      <c r="D1897" t="s">
        <v>29</v>
      </c>
      <c r="E1897" t="s">
        <v>87</v>
      </c>
      <c r="F1897" t="s">
        <v>88</v>
      </c>
      <c r="G1897" t="s">
        <v>18</v>
      </c>
      <c r="H1897" t="s">
        <v>16</v>
      </c>
      <c r="I1897" s="3">
        <v>35</v>
      </c>
      <c r="J1897" s="2">
        <v>175</v>
      </c>
      <c r="K1897" s="3">
        <f t="shared" si="29"/>
        <v>6125</v>
      </c>
      <c r="L1897" s="3">
        <v>4287.5</v>
      </c>
    </row>
    <row r="1898" spans="1:12" x14ac:dyDescent="0.25">
      <c r="A1898" t="s">
        <v>11</v>
      </c>
      <c r="B1898">
        <v>1185732</v>
      </c>
      <c r="C1898" s="1">
        <v>44275</v>
      </c>
      <c r="D1898" t="s">
        <v>29</v>
      </c>
      <c r="E1898" t="s">
        <v>87</v>
      </c>
      <c r="F1898" t="s">
        <v>88</v>
      </c>
      <c r="G1898" t="s">
        <v>18</v>
      </c>
      <c r="H1898" t="s">
        <v>35</v>
      </c>
      <c r="I1898" s="3">
        <v>25.000000000000007</v>
      </c>
      <c r="J1898" s="2">
        <v>175</v>
      </c>
      <c r="K1898" s="3">
        <f t="shared" si="29"/>
        <v>4375.0000000000009</v>
      </c>
      <c r="L1898" s="3">
        <v>2843.7500000000009</v>
      </c>
    </row>
    <row r="1899" spans="1:12" x14ac:dyDescent="0.25">
      <c r="A1899" t="s">
        <v>36</v>
      </c>
      <c r="B1899">
        <v>1185732</v>
      </c>
      <c r="C1899" s="1">
        <v>44275</v>
      </c>
      <c r="D1899" t="s">
        <v>12</v>
      </c>
      <c r="E1899" t="s">
        <v>24</v>
      </c>
      <c r="F1899" t="s">
        <v>25</v>
      </c>
      <c r="G1899" t="s">
        <v>15</v>
      </c>
      <c r="H1899" t="s">
        <v>38</v>
      </c>
      <c r="I1899" s="3">
        <v>55.000000000000007</v>
      </c>
      <c r="J1899" s="2">
        <v>545</v>
      </c>
      <c r="K1899" s="3">
        <f t="shared" si="29"/>
        <v>29975.000000000004</v>
      </c>
      <c r="L1899" s="3">
        <v>19483.750000000004</v>
      </c>
    </row>
    <row r="1900" spans="1:12" x14ac:dyDescent="0.25">
      <c r="A1900" t="s">
        <v>36</v>
      </c>
      <c r="B1900">
        <v>1185732</v>
      </c>
      <c r="C1900" s="1">
        <v>44275</v>
      </c>
      <c r="D1900" t="s">
        <v>12</v>
      </c>
      <c r="E1900" t="s">
        <v>24</v>
      </c>
      <c r="F1900" t="s">
        <v>25</v>
      </c>
      <c r="G1900" t="s">
        <v>15</v>
      </c>
      <c r="H1900" t="s">
        <v>17</v>
      </c>
      <c r="I1900" s="3">
        <v>55.000000000000007</v>
      </c>
      <c r="J1900" s="2">
        <v>250</v>
      </c>
      <c r="K1900" s="3">
        <f t="shared" si="29"/>
        <v>13750.000000000002</v>
      </c>
      <c r="L1900" s="3">
        <v>8937.5000000000018</v>
      </c>
    </row>
    <row r="1901" spans="1:12" x14ac:dyDescent="0.25">
      <c r="A1901" t="s">
        <v>11</v>
      </c>
      <c r="B1901">
        <v>1185732</v>
      </c>
      <c r="C1901" s="1">
        <v>44275</v>
      </c>
      <c r="D1901" t="s">
        <v>29</v>
      </c>
      <c r="E1901" t="s">
        <v>87</v>
      </c>
      <c r="F1901" t="s">
        <v>88</v>
      </c>
      <c r="G1901" t="s">
        <v>18</v>
      </c>
      <c r="H1901" t="s">
        <v>17</v>
      </c>
      <c r="I1901" s="3">
        <v>35</v>
      </c>
      <c r="J1901" s="2">
        <v>150</v>
      </c>
      <c r="K1901" s="3">
        <f t="shared" si="29"/>
        <v>5250</v>
      </c>
      <c r="L1901" s="3">
        <v>3412.5</v>
      </c>
    </row>
    <row r="1902" spans="1:12" x14ac:dyDescent="0.25">
      <c r="A1902" t="s">
        <v>11</v>
      </c>
      <c r="B1902">
        <v>1185732</v>
      </c>
      <c r="C1902" s="1">
        <v>44275</v>
      </c>
      <c r="D1902" t="s">
        <v>29</v>
      </c>
      <c r="E1902" t="s">
        <v>87</v>
      </c>
      <c r="F1902" t="s">
        <v>88</v>
      </c>
      <c r="G1902" t="s">
        <v>18</v>
      </c>
      <c r="H1902" t="s">
        <v>37</v>
      </c>
      <c r="I1902" s="3">
        <v>30</v>
      </c>
      <c r="J1902" s="2">
        <v>25</v>
      </c>
      <c r="K1902" s="3">
        <f t="shared" si="29"/>
        <v>750</v>
      </c>
      <c r="L1902" s="3">
        <v>487.5</v>
      </c>
    </row>
    <row r="1903" spans="1:12" x14ac:dyDescent="0.25">
      <c r="A1903" t="s">
        <v>11</v>
      </c>
      <c r="B1903">
        <v>1185732</v>
      </c>
      <c r="C1903" s="1">
        <v>44275</v>
      </c>
      <c r="D1903" t="s">
        <v>29</v>
      </c>
      <c r="E1903" t="s">
        <v>87</v>
      </c>
      <c r="F1903" t="s">
        <v>88</v>
      </c>
      <c r="G1903" t="s">
        <v>18</v>
      </c>
      <c r="H1903" t="s">
        <v>38</v>
      </c>
      <c r="I1903" s="3">
        <v>35</v>
      </c>
      <c r="J1903" s="2">
        <v>445</v>
      </c>
      <c r="K1903" s="3">
        <f t="shared" si="29"/>
        <v>15575</v>
      </c>
      <c r="L1903" s="3">
        <v>9345</v>
      </c>
    </row>
    <row r="1904" spans="1:12" x14ac:dyDescent="0.25">
      <c r="A1904" t="s">
        <v>27</v>
      </c>
      <c r="B1904">
        <v>1189833</v>
      </c>
      <c r="C1904" s="1">
        <v>44275</v>
      </c>
      <c r="D1904" t="s">
        <v>12</v>
      </c>
      <c r="E1904" t="s">
        <v>13</v>
      </c>
      <c r="F1904" t="s">
        <v>28</v>
      </c>
      <c r="G1904" t="s">
        <v>15</v>
      </c>
      <c r="H1904" t="s">
        <v>17</v>
      </c>
      <c r="I1904" s="3">
        <v>36</v>
      </c>
      <c r="J1904" s="2">
        <v>228</v>
      </c>
      <c r="K1904" s="3">
        <f t="shared" si="29"/>
        <v>8208</v>
      </c>
      <c r="L1904" s="3">
        <v>5909.76</v>
      </c>
    </row>
    <row r="1905" spans="1:12" x14ac:dyDescent="0.25">
      <c r="A1905" t="s">
        <v>26</v>
      </c>
      <c r="B1905">
        <v>1197831</v>
      </c>
      <c r="C1905" s="1">
        <v>44275</v>
      </c>
      <c r="D1905" t="s">
        <v>52</v>
      </c>
      <c r="E1905" t="s">
        <v>97</v>
      </c>
      <c r="F1905" t="s">
        <v>98</v>
      </c>
      <c r="G1905" t="s">
        <v>15</v>
      </c>
      <c r="H1905" t="s">
        <v>22</v>
      </c>
      <c r="I1905" s="3">
        <v>29</v>
      </c>
      <c r="J1905" s="2">
        <v>94</v>
      </c>
      <c r="K1905" s="3">
        <f t="shared" si="29"/>
        <v>2726</v>
      </c>
      <c r="L1905" s="3">
        <v>1853.6799999999998</v>
      </c>
    </row>
    <row r="1906" spans="1:12" x14ac:dyDescent="0.25">
      <c r="A1906" t="s">
        <v>27</v>
      </c>
      <c r="B1906">
        <v>1189833</v>
      </c>
      <c r="C1906" s="1">
        <v>44275</v>
      </c>
      <c r="D1906" t="s">
        <v>12</v>
      </c>
      <c r="E1906" t="s">
        <v>13</v>
      </c>
      <c r="F1906" t="s">
        <v>28</v>
      </c>
      <c r="G1906" t="s">
        <v>41</v>
      </c>
      <c r="H1906" t="s">
        <v>17</v>
      </c>
      <c r="I1906" s="3">
        <v>41</v>
      </c>
      <c r="J1906" s="2">
        <v>195</v>
      </c>
      <c r="K1906" s="3">
        <f t="shared" si="29"/>
        <v>7995</v>
      </c>
      <c r="L1906" s="3">
        <v>5196.75</v>
      </c>
    </row>
    <row r="1907" spans="1:12" x14ac:dyDescent="0.25">
      <c r="A1907" t="s">
        <v>36</v>
      </c>
      <c r="B1907">
        <v>1185732</v>
      </c>
      <c r="C1907" s="1">
        <v>44275</v>
      </c>
      <c r="D1907" t="s">
        <v>12</v>
      </c>
      <c r="E1907" t="s">
        <v>24</v>
      </c>
      <c r="F1907" t="s">
        <v>25</v>
      </c>
      <c r="G1907" t="s">
        <v>41</v>
      </c>
      <c r="H1907" t="s">
        <v>35</v>
      </c>
      <c r="I1907" s="3">
        <v>41</v>
      </c>
      <c r="J1907" s="2">
        <v>69</v>
      </c>
      <c r="K1907" s="3">
        <f t="shared" si="29"/>
        <v>2829</v>
      </c>
      <c r="L1907" s="3">
        <v>1782.27</v>
      </c>
    </row>
    <row r="1908" spans="1:12" x14ac:dyDescent="0.25">
      <c r="A1908" t="s">
        <v>36</v>
      </c>
      <c r="B1908">
        <v>1185732</v>
      </c>
      <c r="C1908" s="1">
        <v>44275</v>
      </c>
      <c r="D1908" t="s">
        <v>12</v>
      </c>
      <c r="E1908" t="s">
        <v>24</v>
      </c>
      <c r="F1908" t="s">
        <v>25</v>
      </c>
      <c r="G1908" t="s">
        <v>41</v>
      </c>
      <c r="H1908" t="s">
        <v>37</v>
      </c>
      <c r="I1908" s="3">
        <v>49</v>
      </c>
      <c r="J1908" s="2">
        <v>36</v>
      </c>
      <c r="K1908" s="3">
        <f t="shared" si="29"/>
        <v>1764</v>
      </c>
      <c r="L1908" s="3">
        <v>1093.6799999999998</v>
      </c>
    </row>
    <row r="1909" spans="1:12" x14ac:dyDescent="0.25">
      <c r="A1909" t="s">
        <v>36</v>
      </c>
      <c r="B1909">
        <v>1185732</v>
      </c>
      <c r="C1909" s="1">
        <v>44275</v>
      </c>
      <c r="D1909" t="s">
        <v>12</v>
      </c>
      <c r="E1909" t="s">
        <v>24</v>
      </c>
      <c r="F1909" t="s">
        <v>25</v>
      </c>
      <c r="G1909" t="s">
        <v>41</v>
      </c>
      <c r="H1909" t="s">
        <v>22</v>
      </c>
      <c r="I1909" s="3">
        <v>64</v>
      </c>
      <c r="J1909" s="2">
        <v>53</v>
      </c>
      <c r="K1909" s="3">
        <f t="shared" si="29"/>
        <v>3392</v>
      </c>
      <c r="L1909" s="3">
        <v>2069.12</v>
      </c>
    </row>
    <row r="1910" spans="1:12" x14ac:dyDescent="0.25">
      <c r="A1910" t="s">
        <v>36</v>
      </c>
      <c r="B1910">
        <v>1185732</v>
      </c>
      <c r="C1910" s="1">
        <v>44275</v>
      </c>
      <c r="D1910" t="s">
        <v>12</v>
      </c>
      <c r="E1910" t="s">
        <v>24</v>
      </c>
      <c r="F1910" t="s">
        <v>25</v>
      </c>
      <c r="G1910" t="s">
        <v>41</v>
      </c>
      <c r="H1910" t="s">
        <v>16</v>
      </c>
      <c r="I1910" s="3">
        <v>53</v>
      </c>
      <c r="J1910" s="2">
        <v>72</v>
      </c>
      <c r="K1910" s="3">
        <f t="shared" si="29"/>
        <v>3816</v>
      </c>
      <c r="L1910" s="3">
        <v>2289.6</v>
      </c>
    </row>
    <row r="1911" spans="1:12" x14ac:dyDescent="0.25">
      <c r="A1911" t="s">
        <v>26</v>
      </c>
      <c r="B1911">
        <v>1197831</v>
      </c>
      <c r="C1911" s="1">
        <v>44275</v>
      </c>
      <c r="D1911" t="s">
        <v>52</v>
      </c>
      <c r="E1911" t="s">
        <v>97</v>
      </c>
      <c r="F1911" t="s">
        <v>98</v>
      </c>
      <c r="G1911" t="s">
        <v>41</v>
      </c>
      <c r="H1911" t="s">
        <v>22</v>
      </c>
      <c r="I1911" s="3">
        <v>37</v>
      </c>
      <c r="J1911" s="2">
        <v>83</v>
      </c>
      <c r="K1911" s="3">
        <f t="shared" si="29"/>
        <v>3071</v>
      </c>
      <c r="L1911" s="3">
        <v>1811.89</v>
      </c>
    </row>
    <row r="1912" spans="1:12" x14ac:dyDescent="0.25">
      <c r="A1912" t="s">
        <v>11</v>
      </c>
      <c r="B1912">
        <v>1185732</v>
      </c>
      <c r="C1912" s="1">
        <v>44275</v>
      </c>
      <c r="D1912" t="s">
        <v>29</v>
      </c>
      <c r="E1912" t="s">
        <v>87</v>
      </c>
      <c r="F1912" t="s">
        <v>88</v>
      </c>
      <c r="G1912" t="s">
        <v>41</v>
      </c>
      <c r="H1912" t="s">
        <v>22</v>
      </c>
      <c r="I1912" s="3">
        <v>43</v>
      </c>
      <c r="J1912" s="2">
        <v>22</v>
      </c>
      <c r="K1912" s="3">
        <f t="shared" si="29"/>
        <v>946</v>
      </c>
      <c r="L1912" s="3">
        <v>539.22</v>
      </c>
    </row>
    <row r="1913" spans="1:12" x14ac:dyDescent="0.25">
      <c r="A1913" t="s">
        <v>11</v>
      </c>
      <c r="B1913">
        <v>1185732</v>
      </c>
      <c r="C1913" s="1">
        <v>44275</v>
      </c>
      <c r="D1913" t="s">
        <v>29</v>
      </c>
      <c r="E1913" t="s">
        <v>87</v>
      </c>
      <c r="F1913" t="s">
        <v>88</v>
      </c>
      <c r="G1913" t="s">
        <v>41</v>
      </c>
      <c r="H1913" t="s">
        <v>16</v>
      </c>
      <c r="I1913" s="3">
        <v>33</v>
      </c>
      <c r="J1913" s="2">
        <v>49</v>
      </c>
      <c r="K1913" s="3">
        <f t="shared" si="29"/>
        <v>1617</v>
      </c>
      <c r="L1913" s="3">
        <v>889.35</v>
      </c>
    </row>
    <row r="1914" spans="1:12" x14ac:dyDescent="0.25">
      <c r="A1914" t="s">
        <v>11</v>
      </c>
      <c r="B1914">
        <v>1185732</v>
      </c>
      <c r="C1914" s="1">
        <v>44275</v>
      </c>
      <c r="D1914" t="s">
        <v>29</v>
      </c>
      <c r="E1914" t="s">
        <v>87</v>
      </c>
      <c r="F1914" t="s">
        <v>88</v>
      </c>
      <c r="G1914" t="s">
        <v>41</v>
      </c>
      <c r="H1914" t="s">
        <v>37</v>
      </c>
      <c r="I1914" s="3">
        <v>29</v>
      </c>
      <c r="J1914" s="2">
        <v>7</v>
      </c>
      <c r="K1914" s="3">
        <f t="shared" si="29"/>
        <v>203</v>
      </c>
      <c r="L1914" s="3">
        <v>109.62</v>
      </c>
    </row>
    <row r="1915" spans="1:12" x14ac:dyDescent="0.25">
      <c r="A1915" t="s">
        <v>11</v>
      </c>
      <c r="B1915">
        <v>1185732</v>
      </c>
      <c r="C1915" s="1">
        <v>44275</v>
      </c>
      <c r="D1915" t="s">
        <v>29</v>
      </c>
      <c r="E1915" t="s">
        <v>87</v>
      </c>
      <c r="F1915" t="s">
        <v>88</v>
      </c>
      <c r="G1915" t="s">
        <v>41</v>
      </c>
      <c r="H1915" t="s">
        <v>17</v>
      </c>
      <c r="I1915" s="3">
        <v>34</v>
      </c>
      <c r="J1915" s="2">
        <v>39</v>
      </c>
      <c r="K1915" s="3">
        <f t="shared" si="29"/>
        <v>1326</v>
      </c>
      <c r="L1915" s="3">
        <v>702.78000000000009</v>
      </c>
    </row>
    <row r="1916" spans="1:12" x14ac:dyDescent="0.25">
      <c r="A1916" t="s">
        <v>36</v>
      </c>
      <c r="B1916">
        <v>1185732</v>
      </c>
      <c r="C1916" s="1">
        <v>44275</v>
      </c>
      <c r="D1916" t="s">
        <v>12</v>
      </c>
      <c r="E1916" t="s">
        <v>24</v>
      </c>
      <c r="F1916" t="s">
        <v>25</v>
      </c>
      <c r="G1916" t="s">
        <v>41</v>
      </c>
      <c r="H1916" t="s">
        <v>38</v>
      </c>
      <c r="I1916" s="3">
        <v>53</v>
      </c>
      <c r="J1916" s="2">
        <v>153</v>
      </c>
      <c r="K1916" s="3">
        <f t="shared" si="29"/>
        <v>8109</v>
      </c>
      <c r="L1916" s="3">
        <v>4135.59</v>
      </c>
    </row>
    <row r="1917" spans="1:12" x14ac:dyDescent="0.25">
      <c r="A1917" t="s">
        <v>11</v>
      </c>
      <c r="B1917">
        <v>1185732</v>
      </c>
      <c r="C1917" s="1">
        <v>44275</v>
      </c>
      <c r="D1917" t="s">
        <v>29</v>
      </c>
      <c r="E1917" t="s">
        <v>87</v>
      </c>
      <c r="F1917" t="s">
        <v>88</v>
      </c>
      <c r="G1917" t="s">
        <v>41</v>
      </c>
      <c r="H1917" t="s">
        <v>35</v>
      </c>
      <c r="I1917" s="3">
        <v>24</v>
      </c>
      <c r="J1917" s="2">
        <v>53</v>
      </c>
      <c r="K1917" s="3">
        <f t="shared" si="29"/>
        <v>1272</v>
      </c>
      <c r="L1917" s="3">
        <v>648.72</v>
      </c>
    </row>
    <row r="1918" spans="1:12" x14ac:dyDescent="0.25">
      <c r="A1918" t="s">
        <v>36</v>
      </c>
      <c r="B1918">
        <v>1185732</v>
      </c>
      <c r="C1918" s="1">
        <v>44275</v>
      </c>
      <c r="D1918" t="s">
        <v>12</v>
      </c>
      <c r="E1918" t="s">
        <v>24</v>
      </c>
      <c r="F1918" t="s">
        <v>25</v>
      </c>
      <c r="G1918" t="s">
        <v>41</v>
      </c>
      <c r="H1918" t="s">
        <v>17</v>
      </c>
      <c r="I1918" s="3">
        <v>52</v>
      </c>
      <c r="J1918" s="2">
        <v>65</v>
      </c>
      <c r="K1918" s="3">
        <f t="shared" si="29"/>
        <v>3380</v>
      </c>
      <c r="L1918" s="3">
        <v>1690</v>
      </c>
    </row>
    <row r="1919" spans="1:12" x14ac:dyDescent="0.25">
      <c r="A1919" t="s">
        <v>11</v>
      </c>
      <c r="B1919">
        <v>1185732</v>
      </c>
      <c r="C1919" s="1">
        <v>44275</v>
      </c>
      <c r="D1919" t="s">
        <v>29</v>
      </c>
      <c r="E1919" t="s">
        <v>87</v>
      </c>
      <c r="F1919" t="s">
        <v>88</v>
      </c>
      <c r="G1919" t="s">
        <v>41</v>
      </c>
      <c r="H1919" t="s">
        <v>38</v>
      </c>
      <c r="I1919" s="3">
        <v>32</v>
      </c>
      <c r="J1919" s="2">
        <v>125</v>
      </c>
      <c r="K1919" s="3">
        <f t="shared" si="29"/>
        <v>4000</v>
      </c>
      <c r="L1919" s="3">
        <v>1880</v>
      </c>
    </row>
    <row r="1920" spans="1:12" x14ac:dyDescent="0.25">
      <c r="A1920" t="s">
        <v>36</v>
      </c>
      <c r="B1920">
        <v>1185732</v>
      </c>
      <c r="C1920" s="1">
        <v>44276</v>
      </c>
      <c r="D1920" t="s">
        <v>32</v>
      </c>
      <c r="E1920" t="s">
        <v>120</v>
      </c>
      <c r="F1920" t="s">
        <v>121</v>
      </c>
      <c r="G1920" t="s">
        <v>41</v>
      </c>
      <c r="H1920" t="s">
        <v>17</v>
      </c>
      <c r="I1920" s="3">
        <v>45</v>
      </c>
      <c r="J1920" s="2">
        <v>225</v>
      </c>
      <c r="K1920" s="3">
        <f t="shared" si="29"/>
        <v>10125</v>
      </c>
      <c r="L1920" s="3">
        <v>6581.25</v>
      </c>
    </row>
    <row r="1921" spans="1:12" x14ac:dyDescent="0.25">
      <c r="A1921" t="s">
        <v>36</v>
      </c>
      <c r="B1921">
        <v>1185732</v>
      </c>
      <c r="C1921" s="1">
        <v>44276</v>
      </c>
      <c r="D1921" t="s">
        <v>32</v>
      </c>
      <c r="E1921" t="s">
        <v>120</v>
      </c>
      <c r="F1921" t="s">
        <v>121</v>
      </c>
      <c r="G1921" t="s">
        <v>41</v>
      </c>
      <c r="H1921" t="s">
        <v>22</v>
      </c>
      <c r="I1921" s="3">
        <v>54.999999999999993</v>
      </c>
      <c r="J1921" s="2">
        <v>150</v>
      </c>
      <c r="K1921" s="3">
        <f t="shared" si="29"/>
        <v>8249.9999999999982</v>
      </c>
      <c r="L1921" s="3">
        <v>5362.4999999999991</v>
      </c>
    </row>
    <row r="1922" spans="1:12" x14ac:dyDescent="0.25">
      <c r="A1922" t="s">
        <v>27</v>
      </c>
      <c r="B1922">
        <v>1189833</v>
      </c>
      <c r="C1922" s="1">
        <v>44276</v>
      </c>
      <c r="D1922" t="s">
        <v>12</v>
      </c>
      <c r="E1922" t="s">
        <v>13</v>
      </c>
      <c r="F1922" t="s">
        <v>28</v>
      </c>
      <c r="G1922" t="s">
        <v>15</v>
      </c>
      <c r="H1922" t="s">
        <v>35</v>
      </c>
      <c r="I1922" s="3">
        <v>45</v>
      </c>
      <c r="J1922" s="2">
        <v>650</v>
      </c>
      <c r="K1922" s="3">
        <f t="shared" si="29"/>
        <v>29250</v>
      </c>
      <c r="L1922" s="3">
        <v>17550</v>
      </c>
    </row>
    <row r="1923" spans="1:12" x14ac:dyDescent="0.25">
      <c r="A1923" t="s">
        <v>36</v>
      </c>
      <c r="B1923">
        <v>1185732</v>
      </c>
      <c r="C1923" s="1">
        <v>44276</v>
      </c>
      <c r="D1923" t="s">
        <v>32</v>
      </c>
      <c r="E1923" t="s">
        <v>120</v>
      </c>
      <c r="F1923" t="s">
        <v>121</v>
      </c>
      <c r="G1923" t="s">
        <v>41</v>
      </c>
      <c r="H1923" t="s">
        <v>38</v>
      </c>
      <c r="I1923" s="3">
        <v>45</v>
      </c>
      <c r="J1923" s="2">
        <v>520</v>
      </c>
      <c r="K1923" s="3">
        <f t="shared" ref="K1923:K1986" si="30">I1923*J1923</f>
        <v>23400</v>
      </c>
      <c r="L1923" s="3">
        <v>14040</v>
      </c>
    </row>
    <row r="1924" spans="1:12" x14ac:dyDescent="0.25">
      <c r="A1924" t="s">
        <v>36</v>
      </c>
      <c r="B1924">
        <v>1185732</v>
      </c>
      <c r="C1924" s="1">
        <v>44276</v>
      </c>
      <c r="D1924" t="s">
        <v>32</v>
      </c>
      <c r="E1924" t="s">
        <v>120</v>
      </c>
      <c r="F1924" t="s">
        <v>121</v>
      </c>
      <c r="G1924" t="s">
        <v>41</v>
      </c>
      <c r="H1924" t="s">
        <v>35</v>
      </c>
      <c r="I1924" s="3">
        <v>35</v>
      </c>
      <c r="J1924" s="2">
        <v>250</v>
      </c>
      <c r="K1924" s="3">
        <f t="shared" si="30"/>
        <v>8750</v>
      </c>
      <c r="L1924" s="3">
        <v>5250</v>
      </c>
    </row>
    <row r="1925" spans="1:12" x14ac:dyDescent="0.25">
      <c r="A1925" t="s">
        <v>36</v>
      </c>
      <c r="B1925">
        <v>1185732</v>
      </c>
      <c r="C1925" s="1">
        <v>44276</v>
      </c>
      <c r="D1925" t="s">
        <v>32</v>
      </c>
      <c r="E1925" t="s">
        <v>120</v>
      </c>
      <c r="F1925" t="s">
        <v>121</v>
      </c>
      <c r="G1925" t="s">
        <v>41</v>
      </c>
      <c r="H1925" t="s">
        <v>37</v>
      </c>
      <c r="I1925" s="3">
        <v>40</v>
      </c>
      <c r="J1925" s="2">
        <v>100</v>
      </c>
      <c r="K1925" s="3">
        <f t="shared" si="30"/>
        <v>4000</v>
      </c>
      <c r="L1925" s="3">
        <v>2400</v>
      </c>
    </row>
    <row r="1926" spans="1:12" x14ac:dyDescent="0.25">
      <c r="A1926" t="s">
        <v>36</v>
      </c>
      <c r="B1926">
        <v>1185732</v>
      </c>
      <c r="C1926" s="1">
        <v>44276</v>
      </c>
      <c r="D1926" t="s">
        <v>32</v>
      </c>
      <c r="E1926" t="s">
        <v>120</v>
      </c>
      <c r="F1926" t="s">
        <v>121</v>
      </c>
      <c r="G1926" t="s">
        <v>41</v>
      </c>
      <c r="H1926" t="s">
        <v>16</v>
      </c>
      <c r="I1926" s="3">
        <v>45</v>
      </c>
      <c r="J1926" s="2">
        <v>250</v>
      </c>
      <c r="K1926" s="3">
        <f t="shared" si="30"/>
        <v>11250</v>
      </c>
      <c r="L1926" s="3">
        <v>6750</v>
      </c>
    </row>
    <row r="1927" spans="1:12" x14ac:dyDescent="0.25">
      <c r="A1927" t="s">
        <v>26</v>
      </c>
      <c r="B1927">
        <v>1197831</v>
      </c>
      <c r="C1927" s="1">
        <v>44276</v>
      </c>
      <c r="D1927" t="s">
        <v>52</v>
      </c>
      <c r="E1927" t="s">
        <v>97</v>
      </c>
      <c r="F1927" t="s">
        <v>98</v>
      </c>
      <c r="G1927" t="s">
        <v>15</v>
      </c>
      <c r="H1927" t="s">
        <v>16</v>
      </c>
      <c r="I1927" s="3">
        <v>35</v>
      </c>
      <c r="J1927" s="2">
        <v>475</v>
      </c>
      <c r="K1927" s="3">
        <f t="shared" si="30"/>
        <v>16625</v>
      </c>
      <c r="L1927" s="3">
        <v>8312.5</v>
      </c>
    </row>
    <row r="1928" spans="1:12" x14ac:dyDescent="0.25">
      <c r="A1928" t="s">
        <v>36</v>
      </c>
      <c r="B1928">
        <v>1185732</v>
      </c>
      <c r="C1928" s="1">
        <v>44276</v>
      </c>
      <c r="D1928" t="s">
        <v>32</v>
      </c>
      <c r="E1928" t="s">
        <v>120</v>
      </c>
      <c r="F1928" t="s">
        <v>121</v>
      </c>
      <c r="G1928" t="s">
        <v>41</v>
      </c>
      <c r="H1928" t="s">
        <v>22</v>
      </c>
      <c r="I1928" s="3">
        <v>52</v>
      </c>
      <c r="J1928" s="2">
        <v>44</v>
      </c>
      <c r="K1928" s="3">
        <f t="shared" si="30"/>
        <v>2288</v>
      </c>
      <c r="L1928" s="3">
        <v>1235.52</v>
      </c>
    </row>
    <row r="1929" spans="1:12" x14ac:dyDescent="0.25">
      <c r="A1929" t="s">
        <v>27</v>
      </c>
      <c r="B1929">
        <v>1189833</v>
      </c>
      <c r="C1929" s="1">
        <v>44276</v>
      </c>
      <c r="D1929" t="s">
        <v>12</v>
      </c>
      <c r="E1929" t="s">
        <v>13</v>
      </c>
      <c r="F1929" t="s">
        <v>28</v>
      </c>
      <c r="G1929" t="s">
        <v>15</v>
      </c>
      <c r="H1929" t="s">
        <v>35</v>
      </c>
      <c r="I1929" s="3">
        <v>33</v>
      </c>
      <c r="J1929" s="2">
        <v>221</v>
      </c>
      <c r="K1929" s="3">
        <f t="shared" si="30"/>
        <v>7293</v>
      </c>
      <c r="L1929" s="3">
        <v>3938.22</v>
      </c>
    </row>
    <row r="1930" spans="1:12" x14ac:dyDescent="0.25">
      <c r="A1930" t="s">
        <v>36</v>
      </c>
      <c r="B1930">
        <v>1185732</v>
      </c>
      <c r="C1930" s="1">
        <v>44276</v>
      </c>
      <c r="D1930" t="s">
        <v>32</v>
      </c>
      <c r="E1930" t="s">
        <v>120</v>
      </c>
      <c r="F1930" t="s">
        <v>121</v>
      </c>
      <c r="G1930" t="s">
        <v>41</v>
      </c>
      <c r="H1930" t="s">
        <v>17</v>
      </c>
      <c r="I1930" s="3">
        <v>41</v>
      </c>
      <c r="J1930" s="2">
        <v>59</v>
      </c>
      <c r="K1930" s="3">
        <f t="shared" si="30"/>
        <v>2419</v>
      </c>
      <c r="L1930" s="3">
        <v>1233.69</v>
      </c>
    </row>
    <row r="1931" spans="1:12" x14ac:dyDescent="0.25">
      <c r="A1931" t="s">
        <v>36</v>
      </c>
      <c r="B1931">
        <v>1185732</v>
      </c>
      <c r="C1931" s="1">
        <v>44276</v>
      </c>
      <c r="D1931" t="s">
        <v>32</v>
      </c>
      <c r="E1931" t="s">
        <v>120</v>
      </c>
      <c r="F1931" t="s">
        <v>121</v>
      </c>
      <c r="G1931" t="s">
        <v>41</v>
      </c>
      <c r="H1931" t="s">
        <v>35</v>
      </c>
      <c r="I1931" s="3">
        <v>34</v>
      </c>
      <c r="J1931" s="2">
        <v>73</v>
      </c>
      <c r="K1931" s="3">
        <f t="shared" si="30"/>
        <v>2482</v>
      </c>
      <c r="L1931" s="3">
        <v>1241</v>
      </c>
    </row>
    <row r="1932" spans="1:12" x14ac:dyDescent="0.25">
      <c r="A1932" t="s">
        <v>36</v>
      </c>
      <c r="B1932">
        <v>1185732</v>
      </c>
      <c r="C1932" s="1">
        <v>44276</v>
      </c>
      <c r="D1932" t="s">
        <v>32</v>
      </c>
      <c r="E1932" t="s">
        <v>120</v>
      </c>
      <c r="F1932" t="s">
        <v>121</v>
      </c>
      <c r="G1932" t="s">
        <v>41</v>
      </c>
      <c r="H1932" t="s">
        <v>38</v>
      </c>
      <c r="I1932" s="3">
        <v>41</v>
      </c>
      <c r="J1932" s="2">
        <v>156</v>
      </c>
      <c r="K1932" s="3">
        <f t="shared" si="30"/>
        <v>6396</v>
      </c>
      <c r="L1932" s="3">
        <v>3134.04</v>
      </c>
    </row>
    <row r="1933" spans="1:12" x14ac:dyDescent="0.25">
      <c r="A1933" t="s">
        <v>36</v>
      </c>
      <c r="B1933">
        <v>1185732</v>
      </c>
      <c r="C1933" s="1">
        <v>44276</v>
      </c>
      <c r="D1933" t="s">
        <v>32</v>
      </c>
      <c r="E1933" t="s">
        <v>120</v>
      </c>
      <c r="F1933" t="s">
        <v>121</v>
      </c>
      <c r="G1933" t="s">
        <v>41</v>
      </c>
      <c r="H1933" t="s">
        <v>16</v>
      </c>
      <c r="I1933" s="3">
        <v>42</v>
      </c>
      <c r="J1933" s="2">
        <v>65</v>
      </c>
      <c r="K1933" s="3">
        <f t="shared" si="30"/>
        <v>2730</v>
      </c>
      <c r="L1933" s="3">
        <v>1337.7</v>
      </c>
    </row>
    <row r="1934" spans="1:12" x14ac:dyDescent="0.25">
      <c r="A1934" t="s">
        <v>36</v>
      </c>
      <c r="B1934">
        <v>1185732</v>
      </c>
      <c r="C1934" s="1">
        <v>44276</v>
      </c>
      <c r="D1934" t="s">
        <v>32</v>
      </c>
      <c r="E1934" t="s">
        <v>120</v>
      </c>
      <c r="F1934" t="s">
        <v>121</v>
      </c>
      <c r="G1934" t="s">
        <v>41</v>
      </c>
      <c r="H1934" t="s">
        <v>37</v>
      </c>
      <c r="I1934" s="3">
        <v>36</v>
      </c>
      <c r="J1934" s="2">
        <v>27</v>
      </c>
      <c r="K1934" s="3">
        <f t="shared" si="30"/>
        <v>972</v>
      </c>
      <c r="L1934" s="3">
        <v>466.56</v>
      </c>
    </row>
    <row r="1935" spans="1:12" x14ac:dyDescent="0.25">
      <c r="A1935" t="s">
        <v>27</v>
      </c>
      <c r="B1935">
        <v>1189833</v>
      </c>
      <c r="C1935" s="1">
        <v>44276</v>
      </c>
      <c r="D1935" t="s">
        <v>12</v>
      </c>
      <c r="E1935" t="s">
        <v>13</v>
      </c>
      <c r="F1935" t="s">
        <v>28</v>
      </c>
      <c r="G1935" t="s">
        <v>41</v>
      </c>
      <c r="H1935" t="s">
        <v>35</v>
      </c>
      <c r="I1935" s="3">
        <v>42</v>
      </c>
      <c r="J1935" s="2">
        <v>169</v>
      </c>
      <c r="K1935" s="3">
        <f t="shared" si="30"/>
        <v>7098</v>
      </c>
      <c r="L1935" s="3">
        <v>3194.1</v>
      </c>
    </row>
    <row r="1936" spans="1:12" x14ac:dyDescent="0.25">
      <c r="A1936" t="s">
        <v>26</v>
      </c>
      <c r="B1936">
        <v>1197831</v>
      </c>
      <c r="C1936" s="1">
        <v>44276</v>
      </c>
      <c r="D1936" t="s">
        <v>52</v>
      </c>
      <c r="E1936" t="s">
        <v>97</v>
      </c>
      <c r="F1936" t="s">
        <v>98</v>
      </c>
      <c r="G1936" t="s">
        <v>15</v>
      </c>
      <c r="H1936" t="s">
        <v>16</v>
      </c>
      <c r="I1936" s="3">
        <v>28</v>
      </c>
      <c r="J1936" s="2">
        <v>143</v>
      </c>
      <c r="K1936" s="3">
        <f t="shared" si="30"/>
        <v>4004</v>
      </c>
      <c r="L1936" s="3">
        <v>1761.7599999999998</v>
      </c>
    </row>
    <row r="1937" spans="1:12" x14ac:dyDescent="0.25">
      <c r="A1937" t="s">
        <v>26</v>
      </c>
      <c r="B1937">
        <v>1197831</v>
      </c>
      <c r="C1937" s="1">
        <v>44276</v>
      </c>
      <c r="D1937" t="s">
        <v>52</v>
      </c>
      <c r="E1937" t="s">
        <v>97</v>
      </c>
      <c r="F1937" t="s">
        <v>98</v>
      </c>
      <c r="G1937" t="s">
        <v>41</v>
      </c>
      <c r="H1937" t="s">
        <v>16</v>
      </c>
      <c r="I1937" s="3">
        <v>32</v>
      </c>
      <c r="J1937" s="2">
        <v>133</v>
      </c>
      <c r="K1937" s="3">
        <f t="shared" si="30"/>
        <v>4256</v>
      </c>
      <c r="L1937" s="3">
        <v>1532.1599999999999</v>
      </c>
    </row>
    <row r="1938" spans="1:12" x14ac:dyDescent="0.25">
      <c r="A1938" t="s">
        <v>19</v>
      </c>
      <c r="B1938">
        <v>1128299</v>
      </c>
      <c r="C1938" s="1">
        <v>44277</v>
      </c>
      <c r="D1938" t="s">
        <v>12</v>
      </c>
      <c r="E1938" t="s">
        <v>39</v>
      </c>
      <c r="F1938" t="s">
        <v>40</v>
      </c>
      <c r="G1938" t="s">
        <v>41</v>
      </c>
      <c r="H1938" t="s">
        <v>16</v>
      </c>
      <c r="I1938" s="3">
        <v>50</v>
      </c>
      <c r="J1938" s="2">
        <v>325</v>
      </c>
      <c r="K1938" s="3">
        <f t="shared" si="30"/>
        <v>16250</v>
      </c>
      <c r="L1938" s="3">
        <v>12187.5</v>
      </c>
    </row>
    <row r="1939" spans="1:12" x14ac:dyDescent="0.25">
      <c r="A1939" t="s">
        <v>19</v>
      </c>
      <c r="B1939">
        <v>1128299</v>
      </c>
      <c r="C1939" s="1">
        <v>44277</v>
      </c>
      <c r="D1939" t="s">
        <v>12</v>
      </c>
      <c r="E1939" t="s">
        <v>39</v>
      </c>
      <c r="F1939" t="s">
        <v>40</v>
      </c>
      <c r="G1939" t="s">
        <v>41</v>
      </c>
      <c r="H1939" t="s">
        <v>22</v>
      </c>
      <c r="I1939" s="3">
        <v>55.000000000000007</v>
      </c>
      <c r="J1939" s="2">
        <v>125</v>
      </c>
      <c r="K1939" s="3">
        <f t="shared" si="30"/>
        <v>6875.0000000000009</v>
      </c>
      <c r="L1939" s="3">
        <v>4812.5000000000018</v>
      </c>
    </row>
    <row r="1940" spans="1:12" x14ac:dyDescent="0.25">
      <c r="A1940" t="s">
        <v>27</v>
      </c>
      <c r="B1940">
        <v>1189833</v>
      </c>
      <c r="C1940" s="1">
        <v>44277</v>
      </c>
      <c r="D1940" t="s">
        <v>12</v>
      </c>
      <c r="E1940" t="s">
        <v>13</v>
      </c>
      <c r="F1940" t="s">
        <v>28</v>
      </c>
      <c r="G1940" t="s">
        <v>15</v>
      </c>
      <c r="H1940" t="s">
        <v>37</v>
      </c>
      <c r="I1940" s="3">
        <v>45</v>
      </c>
      <c r="J1940" s="2">
        <v>550</v>
      </c>
      <c r="K1940" s="3">
        <f t="shared" si="30"/>
        <v>24750</v>
      </c>
      <c r="L1940" s="3">
        <v>16087.5</v>
      </c>
    </row>
    <row r="1941" spans="1:12" x14ac:dyDescent="0.25">
      <c r="A1941" t="s">
        <v>19</v>
      </c>
      <c r="B1941">
        <v>1128299</v>
      </c>
      <c r="C1941" s="1">
        <v>44277</v>
      </c>
      <c r="D1941" t="s">
        <v>12</v>
      </c>
      <c r="E1941" t="s">
        <v>39</v>
      </c>
      <c r="F1941" t="s">
        <v>40</v>
      </c>
      <c r="G1941" t="s">
        <v>41</v>
      </c>
      <c r="H1941" t="s">
        <v>38</v>
      </c>
      <c r="I1941" s="3">
        <v>40</v>
      </c>
      <c r="J1941" s="2">
        <v>500</v>
      </c>
      <c r="K1941" s="3">
        <f t="shared" si="30"/>
        <v>20000</v>
      </c>
      <c r="L1941" s="3">
        <v>13000</v>
      </c>
    </row>
    <row r="1942" spans="1:12" x14ac:dyDescent="0.25">
      <c r="A1942" t="s">
        <v>19</v>
      </c>
      <c r="B1942">
        <v>1128299</v>
      </c>
      <c r="C1942" s="1">
        <v>44277</v>
      </c>
      <c r="D1942" t="s">
        <v>12</v>
      </c>
      <c r="E1942" t="s">
        <v>39</v>
      </c>
      <c r="F1942" t="s">
        <v>40</v>
      </c>
      <c r="G1942" t="s">
        <v>41</v>
      </c>
      <c r="H1942" t="s">
        <v>35</v>
      </c>
      <c r="I1942" s="3">
        <v>50</v>
      </c>
      <c r="J1942" s="2">
        <v>350</v>
      </c>
      <c r="K1942" s="3">
        <f t="shared" si="30"/>
        <v>17500</v>
      </c>
      <c r="L1942" s="3">
        <v>11375</v>
      </c>
    </row>
    <row r="1943" spans="1:12" x14ac:dyDescent="0.25">
      <c r="A1943" t="s">
        <v>19</v>
      </c>
      <c r="B1943">
        <v>1128299</v>
      </c>
      <c r="C1943" s="1">
        <v>44277</v>
      </c>
      <c r="D1943" t="s">
        <v>12</v>
      </c>
      <c r="E1943" t="s">
        <v>39</v>
      </c>
      <c r="F1943" t="s">
        <v>40</v>
      </c>
      <c r="G1943" t="s">
        <v>41</v>
      </c>
      <c r="H1943" t="s">
        <v>37</v>
      </c>
      <c r="I1943" s="3">
        <v>50</v>
      </c>
      <c r="J1943" s="2">
        <v>225</v>
      </c>
      <c r="K1943" s="3">
        <f t="shared" si="30"/>
        <v>11250</v>
      </c>
      <c r="L1943" s="3">
        <v>7312.5</v>
      </c>
    </row>
    <row r="1944" spans="1:12" x14ac:dyDescent="0.25">
      <c r="A1944" t="s">
        <v>26</v>
      </c>
      <c r="B1944">
        <v>1197831</v>
      </c>
      <c r="C1944" s="1">
        <v>44277</v>
      </c>
      <c r="D1944" t="s">
        <v>52</v>
      </c>
      <c r="E1944" t="s">
        <v>97</v>
      </c>
      <c r="F1944" t="s">
        <v>98</v>
      </c>
      <c r="G1944" t="s">
        <v>15</v>
      </c>
      <c r="H1944" t="s">
        <v>38</v>
      </c>
      <c r="I1944" s="3">
        <v>30</v>
      </c>
      <c r="J1944" s="2">
        <v>650</v>
      </c>
      <c r="K1944" s="3">
        <f t="shared" si="30"/>
        <v>19500</v>
      </c>
      <c r="L1944" s="3">
        <v>11700</v>
      </c>
    </row>
    <row r="1945" spans="1:12" x14ac:dyDescent="0.25">
      <c r="A1945" t="s">
        <v>19</v>
      </c>
      <c r="B1945">
        <v>1128299</v>
      </c>
      <c r="C1945" s="1">
        <v>44277</v>
      </c>
      <c r="D1945" t="s">
        <v>12</v>
      </c>
      <c r="E1945" t="s">
        <v>39</v>
      </c>
      <c r="F1945" t="s">
        <v>40</v>
      </c>
      <c r="G1945" t="s">
        <v>41</v>
      </c>
      <c r="H1945" t="s">
        <v>17</v>
      </c>
      <c r="I1945" s="3">
        <v>50</v>
      </c>
      <c r="J1945" s="2">
        <v>350</v>
      </c>
      <c r="K1945" s="3">
        <f t="shared" si="30"/>
        <v>17500</v>
      </c>
      <c r="L1945" s="3">
        <v>10500</v>
      </c>
    </row>
    <row r="1946" spans="1:12" x14ac:dyDescent="0.25">
      <c r="A1946" t="s">
        <v>19</v>
      </c>
      <c r="B1946">
        <v>1128299</v>
      </c>
      <c r="C1946" s="1">
        <v>44277</v>
      </c>
      <c r="D1946" t="s">
        <v>12</v>
      </c>
      <c r="E1946" t="s">
        <v>39</v>
      </c>
      <c r="F1946" t="s">
        <v>40</v>
      </c>
      <c r="G1946" t="s">
        <v>15</v>
      </c>
      <c r="H1946" t="s">
        <v>16</v>
      </c>
      <c r="I1946" s="3">
        <v>37</v>
      </c>
      <c r="J1946" s="2">
        <v>107</v>
      </c>
      <c r="K1946" s="3">
        <f t="shared" si="30"/>
        <v>3959</v>
      </c>
      <c r="L1946" s="3">
        <v>2890.0699999999997</v>
      </c>
    </row>
    <row r="1947" spans="1:12" x14ac:dyDescent="0.25">
      <c r="A1947" t="s">
        <v>19</v>
      </c>
      <c r="B1947">
        <v>1128299</v>
      </c>
      <c r="C1947" s="1">
        <v>44277</v>
      </c>
      <c r="D1947" t="s">
        <v>12</v>
      </c>
      <c r="E1947" t="s">
        <v>39</v>
      </c>
      <c r="F1947" t="s">
        <v>40</v>
      </c>
      <c r="G1947" t="s">
        <v>15</v>
      </c>
      <c r="H1947" t="s">
        <v>22</v>
      </c>
      <c r="I1947" s="3">
        <v>41</v>
      </c>
      <c r="J1947" s="2">
        <v>39</v>
      </c>
      <c r="K1947" s="3">
        <f t="shared" si="30"/>
        <v>1599</v>
      </c>
      <c r="L1947" s="3">
        <v>1087.32</v>
      </c>
    </row>
    <row r="1948" spans="1:12" x14ac:dyDescent="0.25">
      <c r="A1948" t="s">
        <v>19</v>
      </c>
      <c r="B1948">
        <v>1128299</v>
      </c>
      <c r="C1948" s="1">
        <v>44277</v>
      </c>
      <c r="D1948" t="s">
        <v>12</v>
      </c>
      <c r="E1948" t="s">
        <v>39</v>
      </c>
      <c r="F1948" t="s">
        <v>40</v>
      </c>
      <c r="G1948" t="s">
        <v>15</v>
      </c>
      <c r="H1948" t="s">
        <v>37</v>
      </c>
      <c r="I1948" s="3">
        <v>38</v>
      </c>
      <c r="J1948" s="2">
        <v>68</v>
      </c>
      <c r="K1948" s="3">
        <f t="shared" si="30"/>
        <v>2584</v>
      </c>
      <c r="L1948" s="3">
        <v>1627.92</v>
      </c>
    </row>
    <row r="1949" spans="1:12" x14ac:dyDescent="0.25">
      <c r="A1949" t="s">
        <v>27</v>
      </c>
      <c r="B1949">
        <v>1189833</v>
      </c>
      <c r="C1949" s="1">
        <v>44277</v>
      </c>
      <c r="D1949" t="s">
        <v>12</v>
      </c>
      <c r="E1949" t="s">
        <v>13</v>
      </c>
      <c r="F1949" t="s">
        <v>28</v>
      </c>
      <c r="G1949" t="s">
        <v>15</v>
      </c>
      <c r="H1949" t="s">
        <v>37</v>
      </c>
      <c r="I1949" s="3">
        <v>36</v>
      </c>
      <c r="J1949" s="2">
        <v>176</v>
      </c>
      <c r="K1949" s="3">
        <f t="shared" si="30"/>
        <v>6336</v>
      </c>
      <c r="L1949" s="3">
        <v>3864.9600000000005</v>
      </c>
    </row>
    <row r="1950" spans="1:12" x14ac:dyDescent="0.25">
      <c r="A1950" t="s">
        <v>19</v>
      </c>
      <c r="B1950">
        <v>1128299</v>
      </c>
      <c r="C1950" s="1">
        <v>44277</v>
      </c>
      <c r="D1950" t="s">
        <v>12</v>
      </c>
      <c r="E1950" t="s">
        <v>39</v>
      </c>
      <c r="F1950" t="s">
        <v>40</v>
      </c>
      <c r="G1950" t="s">
        <v>41</v>
      </c>
      <c r="H1950" t="s">
        <v>16</v>
      </c>
      <c r="I1950" s="3">
        <v>47</v>
      </c>
      <c r="J1950" s="2">
        <v>88</v>
      </c>
      <c r="K1950" s="3">
        <f t="shared" si="30"/>
        <v>4136</v>
      </c>
      <c r="L1950" s="3">
        <v>2481.6</v>
      </c>
    </row>
    <row r="1951" spans="1:12" x14ac:dyDescent="0.25">
      <c r="A1951" t="s">
        <v>19</v>
      </c>
      <c r="B1951">
        <v>1128299</v>
      </c>
      <c r="C1951" s="1">
        <v>44277</v>
      </c>
      <c r="D1951" t="s">
        <v>12</v>
      </c>
      <c r="E1951" t="s">
        <v>39</v>
      </c>
      <c r="F1951" t="s">
        <v>40</v>
      </c>
      <c r="G1951" t="s">
        <v>15</v>
      </c>
      <c r="H1951" t="s">
        <v>38</v>
      </c>
      <c r="I1951" s="3">
        <v>29</v>
      </c>
      <c r="J1951" s="2">
        <v>160</v>
      </c>
      <c r="K1951" s="3">
        <f t="shared" si="30"/>
        <v>4640</v>
      </c>
      <c r="L1951" s="3">
        <v>2784</v>
      </c>
    </row>
    <row r="1952" spans="1:12" x14ac:dyDescent="0.25">
      <c r="A1952" t="s">
        <v>19</v>
      </c>
      <c r="B1952">
        <v>1128299</v>
      </c>
      <c r="C1952" s="1">
        <v>44277</v>
      </c>
      <c r="D1952" t="s">
        <v>12</v>
      </c>
      <c r="E1952" t="s">
        <v>39</v>
      </c>
      <c r="F1952" t="s">
        <v>40</v>
      </c>
      <c r="G1952" t="s">
        <v>15</v>
      </c>
      <c r="H1952" t="s">
        <v>35</v>
      </c>
      <c r="I1952" s="3">
        <v>37</v>
      </c>
      <c r="J1952" s="2">
        <v>119</v>
      </c>
      <c r="K1952" s="3">
        <f t="shared" si="30"/>
        <v>4403</v>
      </c>
      <c r="L1952" s="3">
        <v>2597.7700000000004</v>
      </c>
    </row>
    <row r="1953" spans="1:12" x14ac:dyDescent="0.25">
      <c r="A1953" t="s">
        <v>19</v>
      </c>
      <c r="B1953">
        <v>1128299</v>
      </c>
      <c r="C1953" s="1">
        <v>44277</v>
      </c>
      <c r="D1953" t="s">
        <v>12</v>
      </c>
      <c r="E1953" t="s">
        <v>39</v>
      </c>
      <c r="F1953" t="s">
        <v>40</v>
      </c>
      <c r="G1953" t="s">
        <v>41</v>
      </c>
      <c r="H1953" t="s">
        <v>22</v>
      </c>
      <c r="I1953" s="3">
        <v>54</v>
      </c>
      <c r="J1953" s="2">
        <v>31</v>
      </c>
      <c r="K1953" s="3">
        <f t="shared" si="30"/>
        <v>1674</v>
      </c>
      <c r="L1953" s="3">
        <v>987.66000000000008</v>
      </c>
    </row>
    <row r="1954" spans="1:12" x14ac:dyDescent="0.25">
      <c r="A1954" t="s">
        <v>26</v>
      </c>
      <c r="B1954">
        <v>1197831</v>
      </c>
      <c r="C1954" s="1">
        <v>44277</v>
      </c>
      <c r="D1954" t="s">
        <v>52</v>
      </c>
      <c r="E1954" t="s">
        <v>97</v>
      </c>
      <c r="F1954" t="s">
        <v>98</v>
      </c>
      <c r="G1954" t="s">
        <v>15</v>
      </c>
      <c r="H1954" t="s">
        <v>38</v>
      </c>
      <c r="I1954" s="3">
        <v>20</v>
      </c>
      <c r="J1954" s="2">
        <v>221</v>
      </c>
      <c r="K1954" s="3">
        <f t="shared" si="30"/>
        <v>4420</v>
      </c>
      <c r="L1954" s="3">
        <v>2519.4000000000005</v>
      </c>
    </row>
    <row r="1955" spans="1:12" x14ac:dyDescent="0.25">
      <c r="A1955" t="s">
        <v>19</v>
      </c>
      <c r="B1955">
        <v>1128299</v>
      </c>
      <c r="C1955" s="1">
        <v>44277</v>
      </c>
      <c r="D1955" t="s">
        <v>12</v>
      </c>
      <c r="E1955" t="s">
        <v>39</v>
      </c>
      <c r="F1955" t="s">
        <v>40</v>
      </c>
      <c r="G1955" t="s">
        <v>15</v>
      </c>
      <c r="H1955" t="s">
        <v>17</v>
      </c>
      <c r="I1955" s="3">
        <v>38</v>
      </c>
      <c r="J1955" s="2">
        <v>116</v>
      </c>
      <c r="K1955" s="3">
        <f t="shared" si="30"/>
        <v>4408</v>
      </c>
      <c r="L1955" s="3">
        <v>2468.48</v>
      </c>
    </row>
    <row r="1956" spans="1:12" x14ac:dyDescent="0.25">
      <c r="A1956" t="s">
        <v>27</v>
      </c>
      <c r="B1956">
        <v>1189833</v>
      </c>
      <c r="C1956" s="1">
        <v>44277</v>
      </c>
      <c r="D1956" t="s">
        <v>12</v>
      </c>
      <c r="E1956" t="s">
        <v>13</v>
      </c>
      <c r="F1956" t="s">
        <v>28</v>
      </c>
      <c r="G1956" t="s">
        <v>41</v>
      </c>
      <c r="H1956" t="s">
        <v>37</v>
      </c>
      <c r="I1956" s="3">
        <v>41</v>
      </c>
      <c r="J1956" s="2">
        <v>154</v>
      </c>
      <c r="K1956" s="3">
        <f t="shared" si="30"/>
        <v>6314</v>
      </c>
      <c r="L1956" s="3">
        <v>3472.7000000000003</v>
      </c>
    </row>
    <row r="1957" spans="1:12" x14ac:dyDescent="0.25">
      <c r="A1957" t="s">
        <v>19</v>
      </c>
      <c r="B1957">
        <v>1128299</v>
      </c>
      <c r="C1957" s="1">
        <v>44277</v>
      </c>
      <c r="D1957" t="s">
        <v>12</v>
      </c>
      <c r="E1957" t="s">
        <v>39</v>
      </c>
      <c r="F1957" t="s">
        <v>40</v>
      </c>
      <c r="G1957" t="s">
        <v>41</v>
      </c>
      <c r="H1957" t="s">
        <v>37</v>
      </c>
      <c r="I1957" s="3">
        <v>47</v>
      </c>
      <c r="J1957" s="2">
        <v>68</v>
      </c>
      <c r="K1957" s="3">
        <f t="shared" si="30"/>
        <v>3196</v>
      </c>
      <c r="L1957" s="3">
        <v>1725.8400000000001</v>
      </c>
    </row>
    <row r="1958" spans="1:12" x14ac:dyDescent="0.25">
      <c r="A1958" t="s">
        <v>19</v>
      </c>
      <c r="B1958">
        <v>1128299</v>
      </c>
      <c r="C1958" s="1">
        <v>44277</v>
      </c>
      <c r="D1958" t="s">
        <v>12</v>
      </c>
      <c r="E1958" t="s">
        <v>39</v>
      </c>
      <c r="F1958" t="s">
        <v>40</v>
      </c>
      <c r="G1958" t="s">
        <v>41</v>
      </c>
      <c r="H1958" t="s">
        <v>38</v>
      </c>
      <c r="I1958" s="3">
        <v>37</v>
      </c>
      <c r="J1958" s="2">
        <v>145</v>
      </c>
      <c r="K1958" s="3">
        <f t="shared" si="30"/>
        <v>5365</v>
      </c>
      <c r="L1958" s="3">
        <v>2843.4500000000003</v>
      </c>
    </row>
    <row r="1959" spans="1:12" x14ac:dyDescent="0.25">
      <c r="A1959" t="s">
        <v>19</v>
      </c>
      <c r="B1959">
        <v>1128299</v>
      </c>
      <c r="C1959" s="1">
        <v>44277</v>
      </c>
      <c r="D1959" t="s">
        <v>12</v>
      </c>
      <c r="E1959" t="s">
        <v>39</v>
      </c>
      <c r="F1959" t="s">
        <v>40</v>
      </c>
      <c r="G1959" t="s">
        <v>41</v>
      </c>
      <c r="H1959" t="s">
        <v>35</v>
      </c>
      <c r="I1959" s="3">
        <v>49</v>
      </c>
      <c r="J1959" s="2">
        <v>91</v>
      </c>
      <c r="K1959" s="3">
        <f t="shared" si="30"/>
        <v>4459</v>
      </c>
      <c r="L1959" s="3">
        <v>2229.5</v>
      </c>
    </row>
    <row r="1960" spans="1:12" x14ac:dyDescent="0.25">
      <c r="A1960" t="s">
        <v>26</v>
      </c>
      <c r="B1960">
        <v>1197831</v>
      </c>
      <c r="C1960" s="1">
        <v>44277</v>
      </c>
      <c r="D1960" t="s">
        <v>52</v>
      </c>
      <c r="E1960" t="s">
        <v>97</v>
      </c>
      <c r="F1960" t="s">
        <v>98</v>
      </c>
      <c r="G1960" t="s">
        <v>41</v>
      </c>
      <c r="H1960" t="s">
        <v>38</v>
      </c>
      <c r="I1960" s="3">
        <v>27</v>
      </c>
      <c r="J1960" s="2">
        <v>189</v>
      </c>
      <c r="K1960" s="3">
        <f t="shared" si="30"/>
        <v>5103</v>
      </c>
      <c r="L1960" s="3">
        <v>2500.4699999999998</v>
      </c>
    </row>
    <row r="1961" spans="1:12" x14ac:dyDescent="0.25">
      <c r="A1961" t="s">
        <v>19</v>
      </c>
      <c r="B1961">
        <v>1128299</v>
      </c>
      <c r="C1961" s="1">
        <v>44277</v>
      </c>
      <c r="D1961" t="s">
        <v>12</v>
      </c>
      <c r="E1961" t="s">
        <v>39</v>
      </c>
      <c r="F1961" t="s">
        <v>40</v>
      </c>
      <c r="G1961" t="s">
        <v>41</v>
      </c>
      <c r="H1961" t="s">
        <v>17</v>
      </c>
      <c r="I1961" s="3">
        <v>48</v>
      </c>
      <c r="J1961" s="2">
        <v>95</v>
      </c>
      <c r="K1961" s="3">
        <f t="shared" si="30"/>
        <v>4560</v>
      </c>
      <c r="L1961" s="3">
        <v>2052</v>
      </c>
    </row>
    <row r="1962" spans="1:12" x14ac:dyDescent="0.25">
      <c r="A1962" t="s">
        <v>19</v>
      </c>
      <c r="B1962">
        <v>1128299</v>
      </c>
      <c r="C1962" s="1">
        <v>44278</v>
      </c>
      <c r="D1962" t="s">
        <v>32</v>
      </c>
      <c r="E1962" t="s">
        <v>82</v>
      </c>
      <c r="F1962" t="s">
        <v>83</v>
      </c>
      <c r="G1962" t="s">
        <v>18</v>
      </c>
      <c r="H1962" t="s">
        <v>16</v>
      </c>
      <c r="I1962" s="3">
        <v>50</v>
      </c>
      <c r="J1962" s="2">
        <v>300</v>
      </c>
      <c r="K1962" s="3">
        <f t="shared" si="30"/>
        <v>15000</v>
      </c>
      <c r="L1962" s="3">
        <v>10500</v>
      </c>
    </row>
    <row r="1963" spans="1:12" x14ac:dyDescent="0.25">
      <c r="A1963" t="s">
        <v>11</v>
      </c>
      <c r="B1963">
        <v>1128299</v>
      </c>
      <c r="C1963" s="1">
        <v>44278</v>
      </c>
      <c r="D1963" t="s">
        <v>12</v>
      </c>
      <c r="E1963" t="s">
        <v>84</v>
      </c>
      <c r="F1963" t="s">
        <v>31</v>
      </c>
      <c r="G1963" t="s">
        <v>18</v>
      </c>
      <c r="H1963" t="s">
        <v>16</v>
      </c>
      <c r="I1963" s="3">
        <v>50</v>
      </c>
      <c r="J1963" s="2">
        <v>300</v>
      </c>
      <c r="K1963" s="3">
        <f t="shared" si="30"/>
        <v>15000</v>
      </c>
      <c r="L1963" s="3">
        <v>10500</v>
      </c>
    </row>
    <row r="1964" spans="1:12" x14ac:dyDescent="0.25">
      <c r="A1964" t="s">
        <v>19</v>
      </c>
      <c r="B1964">
        <v>1128299</v>
      </c>
      <c r="C1964" s="1">
        <v>44278</v>
      </c>
      <c r="D1964" t="s">
        <v>32</v>
      </c>
      <c r="E1964" t="s">
        <v>82</v>
      </c>
      <c r="F1964" t="s">
        <v>83</v>
      </c>
      <c r="G1964" t="s">
        <v>18</v>
      </c>
      <c r="H1964" t="s">
        <v>38</v>
      </c>
      <c r="I1964" s="3">
        <v>40</v>
      </c>
      <c r="J1964" s="2">
        <v>475</v>
      </c>
      <c r="K1964" s="3">
        <f t="shared" si="30"/>
        <v>19000</v>
      </c>
      <c r="L1964" s="3">
        <v>12350</v>
      </c>
    </row>
    <row r="1965" spans="1:12" x14ac:dyDescent="0.25">
      <c r="A1965" t="s">
        <v>19</v>
      </c>
      <c r="B1965">
        <v>1128299</v>
      </c>
      <c r="C1965" s="1">
        <v>44278</v>
      </c>
      <c r="D1965" t="s">
        <v>32</v>
      </c>
      <c r="E1965" t="s">
        <v>82</v>
      </c>
      <c r="F1965" t="s">
        <v>83</v>
      </c>
      <c r="G1965" t="s">
        <v>18</v>
      </c>
      <c r="H1965" t="s">
        <v>17</v>
      </c>
      <c r="I1965" s="3">
        <v>50</v>
      </c>
      <c r="J1965" s="2">
        <v>325</v>
      </c>
      <c r="K1965" s="3">
        <f t="shared" si="30"/>
        <v>16250</v>
      </c>
      <c r="L1965" s="3">
        <v>10562.5</v>
      </c>
    </row>
    <row r="1966" spans="1:12" x14ac:dyDescent="0.25">
      <c r="A1966" t="s">
        <v>19</v>
      </c>
      <c r="B1966">
        <v>1128299</v>
      </c>
      <c r="C1966" s="1">
        <v>44278</v>
      </c>
      <c r="D1966" t="s">
        <v>32</v>
      </c>
      <c r="E1966" t="s">
        <v>82</v>
      </c>
      <c r="F1966" t="s">
        <v>83</v>
      </c>
      <c r="G1966" t="s">
        <v>18</v>
      </c>
      <c r="H1966" t="s">
        <v>35</v>
      </c>
      <c r="I1966" s="3">
        <v>54.999999999999993</v>
      </c>
      <c r="J1966" s="2">
        <v>350</v>
      </c>
      <c r="K1966" s="3">
        <f t="shared" si="30"/>
        <v>19249.999999999996</v>
      </c>
      <c r="L1966" s="3">
        <v>12512.499999999998</v>
      </c>
    </row>
    <row r="1967" spans="1:12" x14ac:dyDescent="0.25">
      <c r="A1967" t="s">
        <v>19</v>
      </c>
      <c r="B1967">
        <v>1128299</v>
      </c>
      <c r="C1967" s="1">
        <v>44278</v>
      </c>
      <c r="D1967" t="s">
        <v>32</v>
      </c>
      <c r="E1967" t="s">
        <v>82</v>
      </c>
      <c r="F1967" t="s">
        <v>83</v>
      </c>
      <c r="G1967" t="s">
        <v>18</v>
      </c>
      <c r="H1967" t="s">
        <v>37</v>
      </c>
      <c r="I1967" s="3">
        <v>50</v>
      </c>
      <c r="J1967" s="2">
        <v>250</v>
      </c>
      <c r="K1967" s="3">
        <f t="shared" si="30"/>
        <v>12500</v>
      </c>
      <c r="L1967" s="3">
        <v>8125</v>
      </c>
    </row>
    <row r="1968" spans="1:12" x14ac:dyDescent="0.25">
      <c r="A1968" t="s">
        <v>11</v>
      </c>
      <c r="B1968">
        <v>1128299</v>
      </c>
      <c r="C1968" s="1">
        <v>44278</v>
      </c>
      <c r="D1968" t="s">
        <v>12</v>
      </c>
      <c r="E1968" t="s">
        <v>84</v>
      </c>
      <c r="F1968" t="s">
        <v>31</v>
      </c>
      <c r="G1968" t="s">
        <v>18</v>
      </c>
      <c r="H1968" t="s">
        <v>38</v>
      </c>
      <c r="I1968" s="3">
        <v>40</v>
      </c>
      <c r="J1968" s="2">
        <v>475</v>
      </c>
      <c r="K1968" s="3">
        <f t="shared" si="30"/>
        <v>19000</v>
      </c>
      <c r="L1968" s="3">
        <v>12350</v>
      </c>
    </row>
    <row r="1969" spans="1:12" x14ac:dyDescent="0.25">
      <c r="A1969" t="s">
        <v>11</v>
      </c>
      <c r="B1969">
        <v>1128299</v>
      </c>
      <c r="C1969" s="1">
        <v>44278</v>
      </c>
      <c r="D1969" t="s">
        <v>12</v>
      </c>
      <c r="E1969" t="s">
        <v>84</v>
      </c>
      <c r="F1969" t="s">
        <v>31</v>
      </c>
      <c r="G1969" t="s">
        <v>18</v>
      </c>
      <c r="H1969" t="s">
        <v>17</v>
      </c>
      <c r="I1969" s="3">
        <v>50</v>
      </c>
      <c r="J1969" s="2">
        <v>325</v>
      </c>
      <c r="K1969" s="3">
        <f t="shared" si="30"/>
        <v>16250</v>
      </c>
      <c r="L1969" s="3">
        <v>10562.5</v>
      </c>
    </row>
    <row r="1970" spans="1:12" x14ac:dyDescent="0.25">
      <c r="A1970" t="s">
        <v>11</v>
      </c>
      <c r="B1970">
        <v>1128299</v>
      </c>
      <c r="C1970" s="1">
        <v>44278</v>
      </c>
      <c r="D1970" t="s">
        <v>12</v>
      </c>
      <c r="E1970" t="s">
        <v>84</v>
      </c>
      <c r="F1970" t="s">
        <v>31</v>
      </c>
      <c r="G1970" t="s">
        <v>18</v>
      </c>
      <c r="H1970" t="s">
        <v>35</v>
      </c>
      <c r="I1970" s="3">
        <v>54.999999999999993</v>
      </c>
      <c r="J1970" s="2">
        <v>350</v>
      </c>
      <c r="K1970" s="3">
        <f t="shared" si="30"/>
        <v>19249.999999999996</v>
      </c>
      <c r="L1970" s="3">
        <v>12512.499999999998</v>
      </c>
    </row>
    <row r="1971" spans="1:12" x14ac:dyDescent="0.25">
      <c r="A1971" t="s">
        <v>11</v>
      </c>
      <c r="B1971">
        <v>1128299</v>
      </c>
      <c r="C1971" s="1">
        <v>44278</v>
      </c>
      <c r="D1971" t="s">
        <v>12</v>
      </c>
      <c r="E1971" t="s">
        <v>84</v>
      </c>
      <c r="F1971" t="s">
        <v>31</v>
      </c>
      <c r="G1971" t="s">
        <v>18</v>
      </c>
      <c r="H1971" t="s">
        <v>37</v>
      </c>
      <c r="I1971" s="3">
        <v>50</v>
      </c>
      <c r="J1971" s="2">
        <v>250</v>
      </c>
      <c r="K1971" s="3">
        <f t="shared" si="30"/>
        <v>12500</v>
      </c>
      <c r="L1971" s="3">
        <v>8125</v>
      </c>
    </row>
    <row r="1972" spans="1:12" x14ac:dyDescent="0.25">
      <c r="A1972" t="s">
        <v>26</v>
      </c>
      <c r="B1972">
        <v>1197831</v>
      </c>
      <c r="C1972" s="1">
        <v>44278</v>
      </c>
      <c r="D1972" t="s">
        <v>52</v>
      </c>
      <c r="E1972" t="s">
        <v>97</v>
      </c>
      <c r="F1972" t="s">
        <v>98</v>
      </c>
      <c r="G1972" t="s">
        <v>15</v>
      </c>
      <c r="H1972" t="s">
        <v>17</v>
      </c>
      <c r="I1972" s="3">
        <v>40</v>
      </c>
      <c r="J1972" s="2">
        <v>650</v>
      </c>
      <c r="K1972" s="3">
        <f t="shared" si="30"/>
        <v>26000</v>
      </c>
      <c r="L1972" s="3">
        <v>15600</v>
      </c>
    </row>
    <row r="1973" spans="1:12" x14ac:dyDescent="0.25">
      <c r="A1973" t="s">
        <v>19</v>
      </c>
      <c r="B1973">
        <v>1128299</v>
      </c>
      <c r="C1973" s="1">
        <v>44278</v>
      </c>
      <c r="D1973" t="s">
        <v>32</v>
      </c>
      <c r="E1973" t="s">
        <v>82</v>
      </c>
      <c r="F1973" t="s">
        <v>83</v>
      </c>
      <c r="G1973" t="s">
        <v>18</v>
      </c>
      <c r="H1973" t="s">
        <v>22</v>
      </c>
      <c r="I1973" s="3">
        <v>55.000000000000007</v>
      </c>
      <c r="J1973" s="2">
        <v>100</v>
      </c>
      <c r="K1973" s="3">
        <f t="shared" si="30"/>
        <v>5500.0000000000009</v>
      </c>
      <c r="L1973" s="3">
        <v>3300</v>
      </c>
    </row>
    <row r="1974" spans="1:12" x14ac:dyDescent="0.25">
      <c r="A1974" t="s">
        <v>11</v>
      </c>
      <c r="B1974">
        <v>1128299</v>
      </c>
      <c r="C1974" s="1">
        <v>44278</v>
      </c>
      <c r="D1974" t="s">
        <v>12</v>
      </c>
      <c r="E1974" t="s">
        <v>84</v>
      </c>
      <c r="F1974" t="s">
        <v>31</v>
      </c>
      <c r="G1974" t="s">
        <v>18</v>
      </c>
      <c r="H1974" t="s">
        <v>22</v>
      </c>
      <c r="I1974" s="3">
        <v>55.000000000000007</v>
      </c>
      <c r="J1974" s="2">
        <v>100</v>
      </c>
      <c r="K1974" s="3">
        <f t="shared" si="30"/>
        <v>5500.0000000000009</v>
      </c>
      <c r="L1974" s="3">
        <v>3300</v>
      </c>
    </row>
    <row r="1975" spans="1:12" x14ac:dyDescent="0.25">
      <c r="A1975" t="s">
        <v>27</v>
      </c>
      <c r="B1975">
        <v>1189833</v>
      </c>
      <c r="C1975" s="1">
        <v>44278</v>
      </c>
      <c r="D1975" t="s">
        <v>12</v>
      </c>
      <c r="E1975" t="s">
        <v>13</v>
      </c>
      <c r="F1975" t="s">
        <v>28</v>
      </c>
      <c r="G1975" t="s">
        <v>15</v>
      </c>
      <c r="H1975" t="s">
        <v>22</v>
      </c>
      <c r="I1975" s="3">
        <v>50</v>
      </c>
      <c r="J1975" s="2">
        <v>425</v>
      </c>
      <c r="K1975" s="3">
        <f t="shared" si="30"/>
        <v>21250</v>
      </c>
      <c r="L1975" s="3">
        <v>9562.4999999999982</v>
      </c>
    </row>
    <row r="1976" spans="1:12" x14ac:dyDescent="0.25">
      <c r="A1976" t="s">
        <v>11</v>
      </c>
      <c r="B1976">
        <v>1128299</v>
      </c>
      <c r="C1976" s="1">
        <v>44278</v>
      </c>
      <c r="D1976" t="s">
        <v>12</v>
      </c>
      <c r="E1976" t="s">
        <v>84</v>
      </c>
      <c r="F1976" t="s">
        <v>31</v>
      </c>
      <c r="G1976" t="s">
        <v>15</v>
      </c>
      <c r="H1976" t="s">
        <v>16</v>
      </c>
      <c r="I1976" s="3">
        <v>40</v>
      </c>
      <c r="J1976" s="2">
        <v>90</v>
      </c>
      <c r="K1976" s="3">
        <f t="shared" si="30"/>
        <v>3600</v>
      </c>
      <c r="L1976" s="3">
        <v>2340</v>
      </c>
    </row>
    <row r="1977" spans="1:12" x14ac:dyDescent="0.25">
      <c r="A1977" t="s">
        <v>19</v>
      </c>
      <c r="B1977">
        <v>1128299</v>
      </c>
      <c r="C1977" s="1">
        <v>44278</v>
      </c>
      <c r="D1977" t="s">
        <v>32</v>
      </c>
      <c r="E1977" t="s">
        <v>82</v>
      </c>
      <c r="F1977" t="s">
        <v>83</v>
      </c>
      <c r="G1977" t="s">
        <v>15</v>
      </c>
      <c r="H1977" t="s">
        <v>16</v>
      </c>
      <c r="I1977" s="3">
        <v>35</v>
      </c>
      <c r="J1977" s="2">
        <v>102</v>
      </c>
      <c r="K1977" s="3">
        <f t="shared" si="30"/>
        <v>3570</v>
      </c>
      <c r="L1977" s="3">
        <v>2284.8000000000002</v>
      </c>
    </row>
    <row r="1978" spans="1:12" x14ac:dyDescent="0.25">
      <c r="A1978" t="s">
        <v>11</v>
      </c>
      <c r="B1978">
        <v>1128299</v>
      </c>
      <c r="C1978" s="1">
        <v>44278</v>
      </c>
      <c r="D1978" t="s">
        <v>12</v>
      </c>
      <c r="E1978" t="s">
        <v>84</v>
      </c>
      <c r="F1978" t="s">
        <v>31</v>
      </c>
      <c r="G1978" t="s">
        <v>15</v>
      </c>
      <c r="H1978" t="s">
        <v>37</v>
      </c>
      <c r="I1978" s="3">
        <v>39</v>
      </c>
      <c r="J1978" s="2">
        <v>75</v>
      </c>
      <c r="K1978" s="3">
        <f t="shared" si="30"/>
        <v>2925</v>
      </c>
      <c r="L1978" s="3">
        <v>1842.75</v>
      </c>
    </row>
    <row r="1979" spans="1:12" x14ac:dyDescent="0.25">
      <c r="A1979" t="s">
        <v>11</v>
      </c>
      <c r="B1979">
        <v>1128299</v>
      </c>
      <c r="C1979" s="1">
        <v>44278</v>
      </c>
      <c r="D1979" t="s">
        <v>12</v>
      </c>
      <c r="E1979" t="s">
        <v>84</v>
      </c>
      <c r="F1979" t="s">
        <v>31</v>
      </c>
      <c r="G1979" t="s">
        <v>15</v>
      </c>
      <c r="H1979" t="s">
        <v>35</v>
      </c>
      <c r="I1979" s="3">
        <v>41</v>
      </c>
      <c r="J1979" s="2">
        <v>112</v>
      </c>
      <c r="K1979" s="3">
        <f t="shared" si="30"/>
        <v>4592</v>
      </c>
      <c r="L1979" s="3">
        <v>2847.04</v>
      </c>
    </row>
    <row r="1980" spans="1:12" x14ac:dyDescent="0.25">
      <c r="A1980" t="s">
        <v>19</v>
      </c>
      <c r="B1980">
        <v>1128299</v>
      </c>
      <c r="C1980" s="1">
        <v>44278</v>
      </c>
      <c r="D1980" t="s">
        <v>32</v>
      </c>
      <c r="E1980" t="s">
        <v>82</v>
      </c>
      <c r="F1980" t="s">
        <v>83</v>
      </c>
      <c r="G1980" t="s">
        <v>15</v>
      </c>
      <c r="H1980" t="s">
        <v>38</v>
      </c>
      <c r="I1980" s="3">
        <v>30</v>
      </c>
      <c r="J1980" s="2">
        <v>162</v>
      </c>
      <c r="K1980" s="3">
        <f t="shared" si="30"/>
        <v>4860</v>
      </c>
      <c r="L1980" s="3">
        <v>3013.2</v>
      </c>
    </row>
    <row r="1981" spans="1:12" x14ac:dyDescent="0.25">
      <c r="A1981" t="s">
        <v>19</v>
      </c>
      <c r="B1981">
        <v>1128299</v>
      </c>
      <c r="C1981" s="1">
        <v>44278</v>
      </c>
      <c r="D1981" t="s">
        <v>32</v>
      </c>
      <c r="E1981" t="s">
        <v>82</v>
      </c>
      <c r="F1981" t="s">
        <v>83</v>
      </c>
      <c r="G1981" t="s">
        <v>15</v>
      </c>
      <c r="H1981" t="s">
        <v>37</v>
      </c>
      <c r="I1981" s="3">
        <v>38</v>
      </c>
      <c r="J1981" s="2">
        <v>78</v>
      </c>
      <c r="K1981" s="3">
        <f t="shared" si="30"/>
        <v>2964</v>
      </c>
      <c r="L1981" s="3">
        <v>1808.0400000000002</v>
      </c>
    </row>
    <row r="1982" spans="1:12" x14ac:dyDescent="0.25">
      <c r="A1982" t="s">
        <v>11</v>
      </c>
      <c r="B1982">
        <v>1128299</v>
      </c>
      <c r="C1982" s="1">
        <v>44278</v>
      </c>
      <c r="D1982" t="s">
        <v>12</v>
      </c>
      <c r="E1982" t="s">
        <v>84</v>
      </c>
      <c r="F1982" t="s">
        <v>31</v>
      </c>
      <c r="G1982" t="s">
        <v>15</v>
      </c>
      <c r="H1982" t="s">
        <v>38</v>
      </c>
      <c r="I1982" s="3">
        <v>28</v>
      </c>
      <c r="J1982" s="2">
        <v>143</v>
      </c>
      <c r="K1982" s="3">
        <f t="shared" si="30"/>
        <v>4004</v>
      </c>
      <c r="L1982" s="3">
        <v>2402.4</v>
      </c>
    </row>
    <row r="1983" spans="1:12" x14ac:dyDescent="0.25">
      <c r="A1983" t="s">
        <v>19</v>
      </c>
      <c r="B1983">
        <v>1128299</v>
      </c>
      <c r="C1983" s="1">
        <v>44278</v>
      </c>
      <c r="D1983" t="s">
        <v>32</v>
      </c>
      <c r="E1983" t="s">
        <v>82</v>
      </c>
      <c r="F1983" t="s">
        <v>83</v>
      </c>
      <c r="G1983" t="s">
        <v>15</v>
      </c>
      <c r="H1983" t="s">
        <v>17</v>
      </c>
      <c r="I1983" s="3">
        <v>35</v>
      </c>
      <c r="J1983" s="2">
        <v>98</v>
      </c>
      <c r="K1983" s="3">
        <f t="shared" si="30"/>
        <v>3430</v>
      </c>
      <c r="L1983" s="3">
        <v>2023.7</v>
      </c>
    </row>
    <row r="1984" spans="1:12" x14ac:dyDescent="0.25">
      <c r="A1984" t="s">
        <v>19</v>
      </c>
      <c r="B1984">
        <v>1128299</v>
      </c>
      <c r="C1984" s="1">
        <v>44278</v>
      </c>
      <c r="D1984" t="s">
        <v>32</v>
      </c>
      <c r="E1984" t="s">
        <v>82</v>
      </c>
      <c r="F1984" t="s">
        <v>83</v>
      </c>
      <c r="G1984" t="s">
        <v>15</v>
      </c>
      <c r="H1984" t="s">
        <v>35</v>
      </c>
      <c r="I1984" s="3">
        <v>43</v>
      </c>
      <c r="J1984" s="2">
        <v>112</v>
      </c>
      <c r="K1984" s="3">
        <f t="shared" si="30"/>
        <v>4816</v>
      </c>
      <c r="L1984" s="3">
        <v>2841.44</v>
      </c>
    </row>
    <row r="1985" spans="1:12" x14ac:dyDescent="0.25">
      <c r="A1985" t="s">
        <v>11</v>
      </c>
      <c r="B1985">
        <v>1128299</v>
      </c>
      <c r="C1985" s="1">
        <v>44278</v>
      </c>
      <c r="D1985" t="s">
        <v>12</v>
      </c>
      <c r="E1985" t="s">
        <v>84</v>
      </c>
      <c r="F1985" t="s">
        <v>31</v>
      </c>
      <c r="G1985" t="s">
        <v>15</v>
      </c>
      <c r="H1985" t="s">
        <v>17</v>
      </c>
      <c r="I1985" s="3">
        <v>40</v>
      </c>
      <c r="J1985" s="2">
        <v>98</v>
      </c>
      <c r="K1985" s="3">
        <f t="shared" si="30"/>
        <v>3920</v>
      </c>
      <c r="L1985" s="3">
        <v>2312.8000000000002</v>
      </c>
    </row>
    <row r="1986" spans="1:12" x14ac:dyDescent="0.25">
      <c r="A1986" t="s">
        <v>19</v>
      </c>
      <c r="B1986">
        <v>1128299</v>
      </c>
      <c r="C1986" s="1">
        <v>44278</v>
      </c>
      <c r="D1986" t="s">
        <v>32</v>
      </c>
      <c r="E1986" t="s">
        <v>82</v>
      </c>
      <c r="F1986" t="s">
        <v>83</v>
      </c>
      <c r="G1986" t="s">
        <v>41</v>
      </c>
      <c r="H1986" t="s">
        <v>16</v>
      </c>
      <c r="I1986" s="3">
        <v>49</v>
      </c>
      <c r="J1986" s="2">
        <v>78</v>
      </c>
      <c r="K1986" s="3">
        <f t="shared" si="30"/>
        <v>3822</v>
      </c>
      <c r="L1986" s="3">
        <v>2216.7600000000002</v>
      </c>
    </row>
    <row r="1987" spans="1:12" x14ac:dyDescent="0.25">
      <c r="A1987" t="s">
        <v>11</v>
      </c>
      <c r="B1987">
        <v>1128299</v>
      </c>
      <c r="C1987" s="1">
        <v>44278</v>
      </c>
      <c r="D1987" t="s">
        <v>12</v>
      </c>
      <c r="E1987" t="s">
        <v>84</v>
      </c>
      <c r="F1987" t="s">
        <v>31</v>
      </c>
      <c r="G1987" t="s">
        <v>41</v>
      </c>
      <c r="H1987" t="s">
        <v>16</v>
      </c>
      <c r="I1987" s="3">
        <v>49</v>
      </c>
      <c r="J1987" s="2">
        <v>87</v>
      </c>
      <c r="K1987" s="3">
        <f t="shared" ref="K1987:K2050" si="31">I1987*J1987</f>
        <v>4263</v>
      </c>
      <c r="L1987" s="3">
        <v>2472.54</v>
      </c>
    </row>
    <row r="1988" spans="1:12" x14ac:dyDescent="0.25">
      <c r="A1988" t="s">
        <v>19</v>
      </c>
      <c r="B1988">
        <v>1128299</v>
      </c>
      <c r="C1988" s="1">
        <v>44278</v>
      </c>
      <c r="D1988" t="s">
        <v>32</v>
      </c>
      <c r="E1988" t="s">
        <v>82</v>
      </c>
      <c r="F1988" t="s">
        <v>83</v>
      </c>
      <c r="G1988" t="s">
        <v>15</v>
      </c>
      <c r="H1988" t="s">
        <v>22</v>
      </c>
      <c r="I1988" s="3">
        <v>43</v>
      </c>
      <c r="J1988" s="2">
        <v>33</v>
      </c>
      <c r="K1988" s="3">
        <f t="shared" si="31"/>
        <v>1419</v>
      </c>
      <c r="L1988" s="3">
        <v>823.02</v>
      </c>
    </row>
    <row r="1989" spans="1:12" x14ac:dyDescent="0.25">
      <c r="A1989" t="s">
        <v>11</v>
      </c>
      <c r="B1989">
        <v>1128299</v>
      </c>
      <c r="C1989" s="1">
        <v>44278</v>
      </c>
      <c r="D1989" t="s">
        <v>12</v>
      </c>
      <c r="E1989" t="s">
        <v>84</v>
      </c>
      <c r="F1989" t="s">
        <v>31</v>
      </c>
      <c r="G1989" t="s">
        <v>15</v>
      </c>
      <c r="H1989" t="s">
        <v>22</v>
      </c>
      <c r="I1989" s="3">
        <v>43</v>
      </c>
      <c r="J1989" s="2">
        <v>30</v>
      </c>
      <c r="K1989" s="3">
        <f t="shared" si="31"/>
        <v>1290</v>
      </c>
      <c r="L1989" s="3">
        <v>722.4</v>
      </c>
    </row>
    <row r="1990" spans="1:12" x14ac:dyDescent="0.25">
      <c r="A1990" t="s">
        <v>11</v>
      </c>
      <c r="B1990">
        <v>1128299</v>
      </c>
      <c r="C1990" s="1">
        <v>44278</v>
      </c>
      <c r="D1990" t="s">
        <v>12</v>
      </c>
      <c r="E1990" t="s">
        <v>84</v>
      </c>
      <c r="F1990" t="s">
        <v>31</v>
      </c>
      <c r="G1990" t="s">
        <v>41</v>
      </c>
      <c r="H1990" t="s">
        <v>35</v>
      </c>
      <c r="I1990" s="3">
        <v>54</v>
      </c>
      <c r="J1990" s="2">
        <v>88</v>
      </c>
      <c r="K1990" s="3">
        <f t="shared" si="31"/>
        <v>4752</v>
      </c>
      <c r="L1990" s="3">
        <v>2613.6000000000004</v>
      </c>
    </row>
    <row r="1991" spans="1:12" x14ac:dyDescent="0.25">
      <c r="A1991" t="s">
        <v>19</v>
      </c>
      <c r="B1991">
        <v>1128299</v>
      </c>
      <c r="C1991" s="1">
        <v>44278</v>
      </c>
      <c r="D1991" t="s">
        <v>32</v>
      </c>
      <c r="E1991" t="s">
        <v>82</v>
      </c>
      <c r="F1991" t="s">
        <v>83</v>
      </c>
      <c r="G1991" t="s">
        <v>41</v>
      </c>
      <c r="H1991" t="s">
        <v>37</v>
      </c>
      <c r="I1991" s="3">
        <v>48</v>
      </c>
      <c r="J1991" s="2">
        <v>65</v>
      </c>
      <c r="K1991" s="3">
        <f t="shared" si="31"/>
        <v>3120</v>
      </c>
      <c r="L1991" s="3">
        <v>1684.8000000000002</v>
      </c>
    </row>
    <row r="1992" spans="1:12" x14ac:dyDescent="0.25">
      <c r="A1992" t="s">
        <v>26</v>
      </c>
      <c r="B1992">
        <v>1197831</v>
      </c>
      <c r="C1992" s="1">
        <v>44278</v>
      </c>
      <c r="D1992" t="s">
        <v>52</v>
      </c>
      <c r="E1992" t="s">
        <v>97</v>
      </c>
      <c r="F1992" t="s">
        <v>98</v>
      </c>
      <c r="G1992" t="s">
        <v>15</v>
      </c>
      <c r="H1992" t="s">
        <v>17</v>
      </c>
      <c r="I1992" s="3">
        <v>31</v>
      </c>
      <c r="J1992" s="2">
        <v>195</v>
      </c>
      <c r="K1992" s="3">
        <f t="shared" si="31"/>
        <v>6045</v>
      </c>
      <c r="L1992" s="3">
        <v>3203.8500000000004</v>
      </c>
    </row>
    <row r="1993" spans="1:12" x14ac:dyDescent="0.25">
      <c r="A1993" t="s">
        <v>19</v>
      </c>
      <c r="B1993">
        <v>1128299</v>
      </c>
      <c r="C1993" s="1">
        <v>44278</v>
      </c>
      <c r="D1993" t="s">
        <v>32</v>
      </c>
      <c r="E1993" t="s">
        <v>82</v>
      </c>
      <c r="F1993" t="s">
        <v>83</v>
      </c>
      <c r="G1993" t="s">
        <v>41</v>
      </c>
      <c r="H1993" t="s">
        <v>17</v>
      </c>
      <c r="I1993" s="3">
        <v>45</v>
      </c>
      <c r="J1993" s="2">
        <v>85</v>
      </c>
      <c r="K1993" s="3">
        <f t="shared" si="31"/>
        <v>3825</v>
      </c>
      <c r="L1993" s="3">
        <v>2027.25</v>
      </c>
    </row>
    <row r="1994" spans="1:12" x14ac:dyDescent="0.25">
      <c r="A1994" t="s">
        <v>19</v>
      </c>
      <c r="B1994">
        <v>1128299</v>
      </c>
      <c r="C1994" s="1">
        <v>44278</v>
      </c>
      <c r="D1994" t="s">
        <v>32</v>
      </c>
      <c r="E1994" t="s">
        <v>82</v>
      </c>
      <c r="F1994" t="s">
        <v>83</v>
      </c>
      <c r="G1994" t="s">
        <v>41</v>
      </c>
      <c r="H1994" t="s">
        <v>38</v>
      </c>
      <c r="I1994" s="3">
        <v>38</v>
      </c>
      <c r="J1994" s="2">
        <v>143</v>
      </c>
      <c r="K1994" s="3">
        <f t="shared" si="31"/>
        <v>5434</v>
      </c>
      <c r="L1994" s="3">
        <v>2880.02</v>
      </c>
    </row>
    <row r="1995" spans="1:12" x14ac:dyDescent="0.25">
      <c r="A1995" t="s">
        <v>11</v>
      </c>
      <c r="B1995">
        <v>1128299</v>
      </c>
      <c r="C1995" s="1">
        <v>44278</v>
      </c>
      <c r="D1995" t="s">
        <v>12</v>
      </c>
      <c r="E1995" t="s">
        <v>84</v>
      </c>
      <c r="F1995" t="s">
        <v>31</v>
      </c>
      <c r="G1995" t="s">
        <v>41</v>
      </c>
      <c r="H1995" t="s">
        <v>17</v>
      </c>
      <c r="I1995" s="3">
        <v>45</v>
      </c>
      <c r="J1995" s="2">
        <v>85</v>
      </c>
      <c r="K1995" s="3">
        <f t="shared" si="31"/>
        <v>3825</v>
      </c>
      <c r="L1995" s="3">
        <v>1989</v>
      </c>
    </row>
    <row r="1996" spans="1:12" x14ac:dyDescent="0.25">
      <c r="A1996" t="s">
        <v>11</v>
      </c>
      <c r="B1996">
        <v>1128299</v>
      </c>
      <c r="C1996" s="1">
        <v>44278</v>
      </c>
      <c r="D1996" t="s">
        <v>12</v>
      </c>
      <c r="E1996" t="s">
        <v>84</v>
      </c>
      <c r="F1996" t="s">
        <v>31</v>
      </c>
      <c r="G1996" t="s">
        <v>41</v>
      </c>
      <c r="H1996" t="s">
        <v>37</v>
      </c>
      <c r="I1996" s="3">
        <v>49</v>
      </c>
      <c r="J1996" s="2">
        <v>65</v>
      </c>
      <c r="K1996" s="3">
        <f t="shared" si="31"/>
        <v>3185</v>
      </c>
      <c r="L1996" s="3">
        <v>1656.2</v>
      </c>
    </row>
    <row r="1997" spans="1:12" x14ac:dyDescent="0.25">
      <c r="A1997" t="s">
        <v>19</v>
      </c>
      <c r="B1997">
        <v>1128299</v>
      </c>
      <c r="C1997" s="1">
        <v>44278</v>
      </c>
      <c r="D1997" t="s">
        <v>32</v>
      </c>
      <c r="E1997" t="s">
        <v>82</v>
      </c>
      <c r="F1997" t="s">
        <v>83</v>
      </c>
      <c r="G1997" t="s">
        <v>41</v>
      </c>
      <c r="H1997" t="s">
        <v>35</v>
      </c>
      <c r="I1997" s="3">
        <v>52</v>
      </c>
      <c r="J1997" s="2">
        <v>91</v>
      </c>
      <c r="K1997" s="3">
        <f t="shared" si="31"/>
        <v>4732</v>
      </c>
      <c r="L1997" s="3">
        <v>2460.64</v>
      </c>
    </row>
    <row r="1998" spans="1:12" x14ac:dyDescent="0.25">
      <c r="A1998" t="s">
        <v>11</v>
      </c>
      <c r="B1998">
        <v>1128299</v>
      </c>
      <c r="C1998" s="1">
        <v>44278</v>
      </c>
      <c r="D1998" t="s">
        <v>12</v>
      </c>
      <c r="E1998" t="s">
        <v>84</v>
      </c>
      <c r="F1998" t="s">
        <v>31</v>
      </c>
      <c r="G1998" t="s">
        <v>41</v>
      </c>
      <c r="H1998" t="s">
        <v>38</v>
      </c>
      <c r="I1998" s="3">
        <v>38</v>
      </c>
      <c r="J1998" s="2">
        <v>128</v>
      </c>
      <c r="K1998" s="3">
        <f t="shared" si="31"/>
        <v>4864</v>
      </c>
      <c r="L1998" s="3">
        <v>2480.64</v>
      </c>
    </row>
    <row r="1999" spans="1:12" x14ac:dyDescent="0.25">
      <c r="A1999" t="s">
        <v>26</v>
      </c>
      <c r="B1999">
        <v>1197831</v>
      </c>
      <c r="C1999" s="1">
        <v>44278</v>
      </c>
      <c r="D1999" t="s">
        <v>52</v>
      </c>
      <c r="E1999" t="s">
        <v>97</v>
      </c>
      <c r="F1999" t="s">
        <v>98</v>
      </c>
      <c r="G1999" t="s">
        <v>41</v>
      </c>
      <c r="H1999" t="s">
        <v>17</v>
      </c>
      <c r="I1999" s="3">
        <v>37</v>
      </c>
      <c r="J1999" s="2">
        <v>163</v>
      </c>
      <c r="K1999" s="3">
        <f t="shared" si="31"/>
        <v>6031</v>
      </c>
      <c r="L1999" s="3">
        <v>2894.88</v>
      </c>
    </row>
    <row r="2000" spans="1:12" x14ac:dyDescent="0.25">
      <c r="A2000" t="s">
        <v>19</v>
      </c>
      <c r="B2000">
        <v>1128299</v>
      </c>
      <c r="C2000" s="1">
        <v>44278</v>
      </c>
      <c r="D2000" t="s">
        <v>32</v>
      </c>
      <c r="E2000" t="s">
        <v>82</v>
      </c>
      <c r="F2000" t="s">
        <v>83</v>
      </c>
      <c r="G2000" t="s">
        <v>41</v>
      </c>
      <c r="H2000" t="s">
        <v>22</v>
      </c>
      <c r="I2000" s="3">
        <v>51</v>
      </c>
      <c r="J2000" s="2">
        <v>30</v>
      </c>
      <c r="K2000" s="3">
        <f t="shared" si="31"/>
        <v>1530</v>
      </c>
      <c r="L2000" s="3">
        <v>734.4</v>
      </c>
    </row>
    <row r="2001" spans="1:12" x14ac:dyDescent="0.25">
      <c r="A2001" t="s">
        <v>11</v>
      </c>
      <c r="B2001">
        <v>1128299</v>
      </c>
      <c r="C2001" s="1">
        <v>44278</v>
      </c>
      <c r="D2001" t="s">
        <v>12</v>
      </c>
      <c r="E2001" t="s">
        <v>84</v>
      </c>
      <c r="F2001" t="s">
        <v>31</v>
      </c>
      <c r="G2001" t="s">
        <v>41</v>
      </c>
      <c r="H2001" t="s">
        <v>22</v>
      </c>
      <c r="I2001" s="3">
        <v>54</v>
      </c>
      <c r="J2001" s="2">
        <v>26</v>
      </c>
      <c r="K2001" s="3">
        <f t="shared" si="31"/>
        <v>1404</v>
      </c>
      <c r="L2001" s="3">
        <v>659.88</v>
      </c>
    </row>
    <row r="2002" spans="1:12" x14ac:dyDescent="0.25">
      <c r="A2002" t="s">
        <v>27</v>
      </c>
      <c r="B2002">
        <v>1189833</v>
      </c>
      <c r="C2002" s="1">
        <v>44278</v>
      </c>
      <c r="D2002" t="s">
        <v>12</v>
      </c>
      <c r="E2002" t="s">
        <v>13</v>
      </c>
      <c r="F2002" t="s">
        <v>28</v>
      </c>
      <c r="G2002" t="s">
        <v>15</v>
      </c>
      <c r="H2002" t="s">
        <v>22</v>
      </c>
      <c r="I2002" s="3">
        <v>36</v>
      </c>
      <c r="J2002" s="2">
        <v>128</v>
      </c>
      <c r="K2002" s="3">
        <f t="shared" si="31"/>
        <v>4608</v>
      </c>
      <c r="L2002" s="3">
        <v>1889.2799999999997</v>
      </c>
    </row>
    <row r="2003" spans="1:12" x14ac:dyDescent="0.25">
      <c r="A2003" t="s">
        <v>27</v>
      </c>
      <c r="B2003">
        <v>1189833</v>
      </c>
      <c r="C2003" s="1">
        <v>44278</v>
      </c>
      <c r="D2003" t="s">
        <v>12</v>
      </c>
      <c r="E2003" t="s">
        <v>13</v>
      </c>
      <c r="F2003" t="s">
        <v>28</v>
      </c>
      <c r="G2003" t="s">
        <v>41</v>
      </c>
      <c r="H2003" t="s">
        <v>22</v>
      </c>
      <c r="I2003" s="3">
        <v>46</v>
      </c>
      <c r="J2003" s="2">
        <v>106</v>
      </c>
      <c r="K2003" s="3">
        <f t="shared" si="31"/>
        <v>4876</v>
      </c>
      <c r="L2003" s="3">
        <v>1560.3199999999997</v>
      </c>
    </row>
    <row r="2004" spans="1:12" x14ac:dyDescent="0.25">
      <c r="A2004" t="s">
        <v>26</v>
      </c>
      <c r="B2004">
        <v>1197831</v>
      </c>
      <c r="C2004" s="1">
        <v>44279</v>
      </c>
      <c r="D2004" t="s">
        <v>52</v>
      </c>
      <c r="E2004" t="s">
        <v>97</v>
      </c>
      <c r="F2004" t="s">
        <v>98</v>
      </c>
      <c r="G2004" t="s">
        <v>15</v>
      </c>
      <c r="H2004" t="s">
        <v>35</v>
      </c>
      <c r="I2004" s="3">
        <v>30</v>
      </c>
      <c r="J2004" s="2">
        <v>475</v>
      </c>
      <c r="K2004" s="3">
        <f t="shared" si="31"/>
        <v>14250</v>
      </c>
      <c r="L2004" s="3">
        <v>8550</v>
      </c>
    </row>
    <row r="2005" spans="1:12" x14ac:dyDescent="0.25">
      <c r="A2005" t="s">
        <v>26</v>
      </c>
      <c r="B2005">
        <v>1197831</v>
      </c>
      <c r="C2005" s="1">
        <v>44279</v>
      </c>
      <c r="D2005" t="s">
        <v>52</v>
      </c>
      <c r="E2005" t="s">
        <v>97</v>
      </c>
      <c r="F2005" t="s">
        <v>98</v>
      </c>
      <c r="G2005" t="s">
        <v>15</v>
      </c>
      <c r="H2005" t="s">
        <v>35</v>
      </c>
      <c r="I2005" s="3">
        <v>22</v>
      </c>
      <c r="J2005" s="2">
        <v>166</v>
      </c>
      <c r="K2005" s="3">
        <f t="shared" si="31"/>
        <v>3652</v>
      </c>
      <c r="L2005" s="3">
        <v>2081.6400000000003</v>
      </c>
    </row>
    <row r="2006" spans="1:12" x14ac:dyDescent="0.25">
      <c r="A2006" t="s">
        <v>26</v>
      </c>
      <c r="B2006">
        <v>1197831</v>
      </c>
      <c r="C2006" s="1">
        <v>44279</v>
      </c>
      <c r="D2006" t="s">
        <v>52</v>
      </c>
      <c r="E2006" t="s">
        <v>97</v>
      </c>
      <c r="F2006" t="s">
        <v>98</v>
      </c>
      <c r="G2006" t="s">
        <v>41</v>
      </c>
      <c r="H2006" t="s">
        <v>35</v>
      </c>
      <c r="I2006" s="3">
        <v>28</v>
      </c>
      <c r="J2006" s="2">
        <v>124</v>
      </c>
      <c r="K2006" s="3">
        <f t="shared" si="31"/>
        <v>3472</v>
      </c>
      <c r="L2006" s="3">
        <v>1562.4000000000003</v>
      </c>
    </row>
    <row r="2007" spans="1:12" x14ac:dyDescent="0.25">
      <c r="A2007" t="s">
        <v>27</v>
      </c>
      <c r="B2007">
        <v>1128299</v>
      </c>
      <c r="C2007" s="1">
        <v>44280</v>
      </c>
      <c r="D2007" t="s">
        <v>12</v>
      </c>
      <c r="E2007" t="s">
        <v>42</v>
      </c>
      <c r="F2007" t="s">
        <v>43</v>
      </c>
      <c r="G2007" t="s">
        <v>41</v>
      </c>
      <c r="H2007" t="s">
        <v>16</v>
      </c>
      <c r="I2007" s="3">
        <v>55.000000000000007</v>
      </c>
      <c r="J2007" s="2">
        <v>375</v>
      </c>
      <c r="K2007" s="3">
        <f t="shared" si="31"/>
        <v>20625.000000000004</v>
      </c>
      <c r="L2007" s="3">
        <v>15468.750000000004</v>
      </c>
    </row>
    <row r="2008" spans="1:12" x14ac:dyDescent="0.25">
      <c r="A2008" t="s">
        <v>27</v>
      </c>
      <c r="B2008">
        <v>1128299</v>
      </c>
      <c r="C2008" s="1">
        <v>44280</v>
      </c>
      <c r="D2008" t="s">
        <v>12</v>
      </c>
      <c r="E2008" t="s">
        <v>42</v>
      </c>
      <c r="F2008" t="s">
        <v>43</v>
      </c>
      <c r="G2008" t="s">
        <v>41</v>
      </c>
      <c r="H2008" t="s">
        <v>22</v>
      </c>
      <c r="I2008" s="3">
        <v>60.000000000000007</v>
      </c>
      <c r="J2008" s="2">
        <v>175</v>
      </c>
      <c r="K2008" s="3">
        <f t="shared" si="31"/>
        <v>10500.000000000002</v>
      </c>
      <c r="L2008" s="3">
        <v>7350.0000000000018</v>
      </c>
    </row>
    <row r="2009" spans="1:12" x14ac:dyDescent="0.25">
      <c r="A2009" t="s">
        <v>27</v>
      </c>
      <c r="B2009">
        <v>1128299</v>
      </c>
      <c r="C2009" s="1">
        <v>44280</v>
      </c>
      <c r="D2009" t="s">
        <v>12</v>
      </c>
      <c r="E2009" t="s">
        <v>42</v>
      </c>
      <c r="F2009" t="s">
        <v>43</v>
      </c>
      <c r="G2009" t="s">
        <v>41</v>
      </c>
      <c r="H2009" t="s">
        <v>37</v>
      </c>
      <c r="I2009" s="3">
        <v>55.000000000000007</v>
      </c>
      <c r="J2009" s="2">
        <v>275</v>
      </c>
      <c r="K2009" s="3">
        <f t="shared" si="31"/>
        <v>15125.000000000002</v>
      </c>
      <c r="L2009" s="3">
        <v>9831.2500000000036</v>
      </c>
    </row>
    <row r="2010" spans="1:12" x14ac:dyDescent="0.25">
      <c r="A2010" t="s">
        <v>27</v>
      </c>
      <c r="B2010">
        <v>1128299</v>
      </c>
      <c r="C2010" s="1">
        <v>44280</v>
      </c>
      <c r="D2010" t="s">
        <v>12</v>
      </c>
      <c r="E2010" t="s">
        <v>42</v>
      </c>
      <c r="F2010" t="s">
        <v>43</v>
      </c>
      <c r="G2010" t="s">
        <v>41</v>
      </c>
      <c r="H2010" t="s">
        <v>38</v>
      </c>
      <c r="I2010" s="3">
        <v>45</v>
      </c>
      <c r="J2010" s="2">
        <v>550</v>
      </c>
      <c r="K2010" s="3">
        <f t="shared" si="31"/>
        <v>24750</v>
      </c>
      <c r="L2010" s="3">
        <v>16087.5</v>
      </c>
    </row>
    <row r="2011" spans="1:12" x14ac:dyDescent="0.25">
      <c r="A2011" t="s">
        <v>27</v>
      </c>
      <c r="B2011">
        <v>1128299</v>
      </c>
      <c r="C2011" s="1">
        <v>44280</v>
      </c>
      <c r="D2011" t="s">
        <v>12</v>
      </c>
      <c r="E2011" t="s">
        <v>42</v>
      </c>
      <c r="F2011" t="s">
        <v>43</v>
      </c>
      <c r="G2011" t="s">
        <v>41</v>
      </c>
      <c r="H2011" t="s">
        <v>35</v>
      </c>
      <c r="I2011" s="3">
        <v>55.000000000000007</v>
      </c>
      <c r="J2011" s="2">
        <v>400</v>
      </c>
      <c r="K2011" s="3">
        <f t="shared" si="31"/>
        <v>22000.000000000004</v>
      </c>
      <c r="L2011" s="3">
        <v>14300.000000000004</v>
      </c>
    </row>
    <row r="2012" spans="1:12" x14ac:dyDescent="0.25">
      <c r="A2012" t="s">
        <v>27</v>
      </c>
      <c r="B2012">
        <v>1128299</v>
      </c>
      <c r="C2012" s="1">
        <v>44280</v>
      </c>
      <c r="D2012" t="s">
        <v>12</v>
      </c>
      <c r="E2012" t="s">
        <v>42</v>
      </c>
      <c r="F2012" t="s">
        <v>43</v>
      </c>
      <c r="G2012" t="s">
        <v>41</v>
      </c>
      <c r="H2012" t="s">
        <v>17</v>
      </c>
      <c r="I2012" s="3">
        <v>55.000000000000007</v>
      </c>
      <c r="J2012" s="2">
        <v>400</v>
      </c>
      <c r="K2012" s="3">
        <f t="shared" si="31"/>
        <v>22000.000000000004</v>
      </c>
      <c r="L2012" s="3">
        <v>13200</v>
      </c>
    </row>
    <row r="2013" spans="1:12" x14ac:dyDescent="0.25">
      <c r="A2013" t="s">
        <v>26</v>
      </c>
      <c r="B2013">
        <v>1197831</v>
      </c>
      <c r="C2013" s="1">
        <v>44280</v>
      </c>
      <c r="D2013" t="s">
        <v>52</v>
      </c>
      <c r="E2013" t="s">
        <v>97</v>
      </c>
      <c r="F2013" t="s">
        <v>98</v>
      </c>
      <c r="G2013" t="s">
        <v>15</v>
      </c>
      <c r="H2013" t="s">
        <v>37</v>
      </c>
      <c r="I2013" s="3">
        <v>35</v>
      </c>
      <c r="J2013" s="2">
        <v>375</v>
      </c>
      <c r="K2013" s="3">
        <f t="shared" si="31"/>
        <v>13125</v>
      </c>
      <c r="L2013" s="3">
        <v>6562.5</v>
      </c>
    </row>
    <row r="2014" spans="1:12" x14ac:dyDescent="0.25">
      <c r="A2014" t="s">
        <v>27</v>
      </c>
      <c r="B2014">
        <v>1128299</v>
      </c>
      <c r="C2014" s="1">
        <v>44280</v>
      </c>
      <c r="D2014" t="s">
        <v>12</v>
      </c>
      <c r="E2014" t="s">
        <v>42</v>
      </c>
      <c r="F2014" t="s">
        <v>43</v>
      </c>
      <c r="G2014" t="s">
        <v>15</v>
      </c>
      <c r="H2014" t="s">
        <v>16</v>
      </c>
      <c r="I2014" s="3">
        <v>44</v>
      </c>
      <c r="J2014" s="2">
        <v>131</v>
      </c>
      <c r="K2014" s="3">
        <f t="shared" si="31"/>
        <v>5764</v>
      </c>
      <c r="L2014" s="3">
        <v>3977.16</v>
      </c>
    </row>
    <row r="2015" spans="1:12" x14ac:dyDescent="0.25">
      <c r="A2015" t="s">
        <v>27</v>
      </c>
      <c r="B2015">
        <v>1128299</v>
      </c>
      <c r="C2015" s="1">
        <v>44280</v>
      </c>
      <c r="D2015" t="s">
        <v>12</v>
      </c>
      <c r="E2015" t="s">
        <v>42</v>
      </c>
      <c r="F2015" t="s">
        <v>43</v>
      </c>
      <c r="G2015" t="s">
        <v>15</v>
      </c>
      <c r="H2015" t="s">
        <v>22</v>
      </c>
      <c r="I2015" s="3">
        <v>41</v>
      </c>
      <c r="J2015" s="2">
        <v>53</v>
      </c>
      <c r="K2015" s="3">
        <f t="shared" si="31"/>
        <v>2173</v>
      </c>
      <c r="L2015" s="3">
        <v>1477.6399999999999</v>
      </c>
    </row>
    <row r="2016" spans="1:12" x14ac:dyDescent="0.25">
      <c r="A2016" t="s">
        <v>27</v>
      </c>
      <c r="B2016">
        <v>1128299</v>
      </c>
      <c r="C2016" s="1">
        <v>44280</v>
      </c>
      <c r="D2016" t="s">
        <v>12</v>
      </c>
      <c r="E2016" t="s">
        <v>42</v>
      </c>
      <c r="F2016" t="s">
        <v>43</v>
      </c>
      <c r="G2016" t="s">
        <v>41</v>
      </c>
      <c r="H2016" t="s">
        <v>16</v>
      </c>
      <c r="I2016" s="3">
        <v>50</v>
      </c>
      <c r="J2016" s="2">
        <v>98</v>
      </c>
      <c r="K2016" s="3">
        <f t="shared" si="31"/>
        <v>4900</v>
      </c>
      <c r="L2016" s="3">
        <v>3038</v>
      </c>
    </row>
    <row r="2017" spans="1:12" x14ac:dyDescent="0.25">
      <c r="A2017" t="s">
        <v>27</v>
      </c>
      <c r="B2017">
        <v>1128299</v>
      </c>
      <c r="C2017" s="1">
        <v>44280</v>
      </c>
      <c r="D2017" t="s">
        <v>12</v>
      </c>
      <c r="E2017" t="s">
        <v>42</v>
      </c>
      <c r="F2017" t="s">
        <v>43</v>
      </c>
      <c r="G2017" t="s">
        <v>15</v>
      </c>
      <c r="H2017" t="s">
        <v>35</v>
      </c>
      <c r="I2017" s="3">
        <v>44</v>
      </c>
      <c r="J2017" s="2">
        <v>124</v>
      </c>
      <c r="K2017" s="3">
        <f t="shared" si="31"/>
        <v>5456</v>
      </c>
      <c r="L2017" s="3">
        <v>3382.72</v>
      </c>
    </row>
    <row r="2018" spans="1:12" x14ac:dyDescent="0.25">
      <c r="A2018" t="s">
        <v>27</v>
      </c>
      <c r="B2018">
        <v>1128299</v>
      </c>
      <c r="C2018" s="1">
        <v>44280</v>
      </c>
      <c r="D2018" t="s">
        <v>12</v>
      </c>
      <c r="E2018" t="s">
        <v>42</v>
      </c>
      <c r="F2018" t="s">
        <v>43</v>
      </c>
      <c r="G2018" t="s">
        <v>15</v>
      </c>
      <c r="H2018" t="s">
        <v>37</v>
      </c>
      <c r="I2018" s="3">
        <v>37</v>
      </c>
      <c r="J2018" s="2">
        <v>88</v>
      </c>
      <c r="K2018" s="3">
        <f t="shared" si="31"/>
        <v>3256</v>
      </c>
      <c r="L2018" s="3">
        <v>1986.16</v>
      </c>
    </row>
    <row r="2019" spans="1:12" x14ac:dyDescent="0.25">
      <c r="A2019" t="s">
        <v>27</v>
      </c>
      <c r="B2019">
        <v>1128299</v>
      </c>
      <c r="C2019" s="1">
        <v>44280</v>
      </c>
      <c r="D2019" t="s">
        <v>12</v>
      </c>
      <c r="E2019" t="s">
        <v>42</v>
      </c>
      <c r="F2019" t="s">
        <v>43</v>
      </c>
      <c r="G2019" t="s">
        <v>15</v>
      </c>
      <c r="H2019" t="s">
        <v>38</v>
      </c>
      <c r="I2019" s="3">
        <v>30</v>
      </c>
      <c r="J2019" s="2">
        <v>187</v>
      </c>
      <c r="K2019" s="3">
        <f t="shared" si="31"/>
        <v>5610</v>
      </c>
      <c r="L2019" s="3">
        <v>3309.9</v>
      </c>
    </row>
    <row r="2020" spans="1:12" x14ac:dyDescent="0.25">
      <c r="A2020" t="s">
        <v>27</v>
      </c>
      <c r="B2020">
        <v>1128299</v>
      </c>
      <c r="C2020" s="1">
        <v>44280</v>
      </c>
      <c r="D2020" t="s">
        <v>12</v>
      </c>
      <c r="E2020" t="s">
        <v>42</v>
      </c>
      <c r="F2020" t="s">
        <v>43</v>
      </c>
      <c r="G2020" t="s">
        <v>41</v>
      </c>
      <c r="H2020" t="s">
        <v>22</v>
      </c>
      <c r="I2020" s="3">
        <v>55</v>
      </c>
      <c r="J2020" s="2">
        <v>53</v>
      </c>
      <c r="K2020" s="3">
        <f t="shared" si="31"/>
        <v>2915</v>
      </c>
      <c r="L2020" s="3">
        <v>1661.55</v>
      </c>
    </row>
    <row r="2021" spans="1:12" x14ac:dyDescent="0.25">
      <c r="A2021" t="s">
        <v>27</v>
      </c>
      <c r="B2021">
        <v>1128299</v>
      </c>
      <c r="C2021" s="1">
        <v>44280</v>
      </c>
      <c r="D2021" t="s">
        <v>12</v>
      </c>
      <c r="E2021" t="s">
        <v>42</v>
      </c>
      <c r="F2021" t="s">
        <v>43</v>
      </c>
      <c r="G2021" t="s">
        <v>15</v>
      </c>
      <c r="H2021" t="s">
        <v>17</v>
      </c>
      <c r="I2021" s="3">
        <v>36</v>
      </c>
      <c r="J2021" s="2">
        <v>136</v>
      </c>
      <c r="K2021" s="3">
        <f t="shared" si="31"/>
        <v>4896</v>
      </c>
      <c r="L2021" s="3">
        <v>2692.7999999999997</v>
      </c>
    </row>
    <row r="2022" spans="1:12" x14ac:dyDescent="0.25">
      <c r="A2022" t="s">
        <v>27</v>
      </c>
      <c r="B2022">
        <v>1128299</v>
      </c>
      <c r="C2022" s="1">
        <v>44280</v>
      </c>
      <c r="D2022" t="s">
        <v>12</v>
      </c>
      <c r="E2022" t="s">
        <v>42</v>
      </c>
      <c r="F2022" t="s">
        <v>43</v>
      </c>
      <c r="G2022" t="s">
        <v>41</v>
      </c>
      <c r="H2022" t="s">
        <v>37</v>
      </c>
      <c r="I2022" s="3">
        <v>50</v>
      </c>
      <c r="J2022" s="2">
        <v>83</v>
      </c>
      <c r="K2022" s="3">
        <f t="shared" si="31"/>
        <v>4150</v>
      </c>
      <c r="L2022" s="3">
        <v>2241</v>
      </c>
    </row>
    <row r="2023" spans="1:12" x14ac:dyDescent="0.25">
      <c r="A2023" t="s">
        <v>27</v>
      </c>
      <c r="B2023">
        <v>1128299</v>
      </c>
      <c r="C2023" s="1">
        <v>44280</v>
      </c>
      <c r="D2023" t="s">
        <v>12</v>
      </c>
      <c r="E2023" t="s">
        <v>42</v>
      </c>
      <c r="F2023" t="s">
        <v>43</v>
      </c>
      <c r="G2023" t="s">
        <v>41</v>
      </c>
      <c r="H2023" t="s">
        <v>35</v>
      </c>
      <c r="I2023" s="3">
        <v>52</v>
      </c>
      <c r="J2023" s="2">
        <v>112</v>
      </c>
      <c r="K2023" s="3">
        <f t="shared" si="31"/>
        <v>5824</v>
      </c>
      <c r="L2023" s="3">
        <v>2970.2400000000002</v>
      </c>
    </row>
    <row r="2024" spans="1:12" x14ac:dyDescent="0.25">
      <c r="A2024" t="s">
        <v>27</v>
      </c>
      <c r="B2024">
        <v>1128299</v>
      </c>
      <c r="C2024" s="1">
        <v>44280</v>
      </c>
      <c r="D2024" t="s">
        <v>12</v>
      </c>
      <c r="E2024" t="s">
        <v>42</v>
      </c>
      <c r="F2024" t="s">
        <v>43</v>
      </c>
      <c r="G2024" t="s">
        <v>41</v>
      </c>
      <c r="H2024" t="s">
        <v>38</v>
      </c>
      <c r="I2024" s="3">
        <v>44</v>
      </c>
      <c r="J2024" s="2">
        <v>165</v>
      </c>
      <c r="K2024" s="3">
        <f t="shared" si="31"/>
        <v>7260</v>
      </c>
      <c r="L2024" s="3">
        <v>3630</v>
      </c>
    </row>
    <row r="2025" spans="1:12" x14ac:dyDescent="0.25">
      <c r="A2025" t="s">
        <v>27</v>
      </c>
      <c r="B2025">
        <v>1128299</v>
      </c>
      <c r="C2025" s="1">
        <v>44280</v>
      </c>
      <c r="D2025" t="s">
        <v>12</v>
      </c>
      <c r="E2025" t="s">
        <v>42</v>
      </c>
      <c r="F2025" t="s">
        <v>43</v>
      </c>
      <c r="G2025" t="s">
        <v>41</v>
      </c>
      <c r="H2025" t="s">
        <v>17</v>
      </c>
      <c r="I2025" s="3">
        <v>51</v>
      </c>
      <c r="J2025" s="2">
        <v>112</v>
      </c>
      <c r="K2025" s="3">
        <f t="shared" si="31"/>
        <v>5712</v>
      </c>
      <c r="L2025" s="3">
        <v>2684.64</v>
      </c>
    </row>
    <row r="2026" spans="1:12" x14ac:dyDescent="0.25">
      <c r="A2026" t="s">
        <v>26</v>
      </c>
      <c r="B2026">
        <v>1197831</v>
      </c>
      <c r="C2026" s="1">
        <v>44280</v>
      </c>
      <c r="D2026" t="s">
        <v>52</v>
      </c>
      <c r="E2026" t="s">
        <v>97</v>
      </c>
      <c r="F2026" t="s">
        <v>98</v>
      </c>
      <c r="G2026" t="s">
        <v>15</v>
      </c>
      <c r="H2026" t="s">
        <v>37</v>
      </c>
      <c r="I2026" s="3">
        <v>25</v>
      </c>
      <c r="J2026" s="2">
        <v>124</v>
      </c>
      <c r="K2026" s="3">
        <f t="shared" si="31"/>
        <v>3100</v>
      </c>
      <c r="L2026" s="3">
        <v>1363.9999999999998</v>
      </c>
    </row>
    <row r="2027" spans="1:12" x14ac:dyDescent="0.25">
      <c r="A2027" t="s">
        <v>26</v>
      </c>
      <c r="B2027">
        <v>1197831</v>
      </c>
      <c r="C2027" s="1">
        <v>44280</v>
      </c>
      <c r="D2027" t="s">
        <v>52</v>
      </c>
      <c r="E2027" t="s">
        <v>97</v>
      </c>
      <c r="F2027" t="s">
        <v>98</v>
      </c>
      <c r="G2027" t="s">
        <v>41</v>
      </c>
      <c r="H2027" t="s">
        <v>37</v>
      </c>
      <c r="I2027" s="3">
        <v>33</v>
      </c>
      <c r="J2027" s="2">
        <v>101</v>
      </c>
      <c r="K2027" s="3">
        <f t="shared" si="31"/>
        <v>3333</v>
      </c>
      <c r="L2027" s="3">
        <v>1199.8800000000001</v>
      </c>
    </row>
    <row r="2028" spans="1:12" x14ac:dyDescent="0.25">
      <c r="A2028" t="s">
        <v>26</v>
      </c>
      <c r="B2028">
        <v>1197831</v>
      </c>
      <c r="C2028" s="1">
        <v>44281</v>
      </c>
      <c r="D2028" t="s">
        <v>52</v>
      </c>
      <c r="E2028" t="s">
        <v>97</v>
      </c>
      <c r="F2028" t="s">
        <v>98</v>
      </c>
      <c r="G2028" t="s">
        <v>15</v>
      </c>
      <c r="H2028" t="s">
        <v>22</v>
      </c>
      <c r="I2028" s="3">
        <v>40</v>
      </c>
      <c r="J2028" s="2">
        <v>275</v>
      </c>
      <c r="K2028" s="3">
        <f t="shared" si="31"/>
        <v>11000</v>
      </c>
      <c r="L2028" s="3">
        <v>7150</v>
      </c>
    </row>
    <row r="2029" spans="1:12" x14ac:dyDescent="0.25">
      <c r="A2029" t="s">
        <v>26</v>
      </c>
      <c r="B2029">
        <v>1197831</v>
      </c>
      <c r="C2029" s="1">
        <v>44281</v>
      </c>
      <c r="D2029" t="s">
        <v>52</v>
      </c>
      <c r="E2029" t="s">
        <v>97</v>
      </c>
      <c r="F2029" t="s">
        <v>98</v>
      </c>
      <c r="G2029" t="s">
        <v>15</v>
      </c>
      <c r="H2029" t="s">
        <v>22</v>
      </c>
      <c r="I2029" s="3">
        <v>27</v>
      </c>
      <c r="J2029" s="2">
        <v>88</v>
      </c>
      <c r="K2029" s="3">
        <f t="shared" si="31"/>
        <v>2376</v>
      </c>
      <c r="L2029" s="3">
        <v>1401.8400000000001</v>
      </c>
    </row>
    <row r="2030" spans="1:12" x14ac:dyDescent="0.25">
      <c r="A2030" t="s">
        <v>26</v>
      </c>
      <c r="B2030">
        <v>1197831</v>
      </c>
      <c r="C2030" s="1">
        <v>44281</v>
      </c>
      <c r="D2030" t="s">
        <v>52</v>
      </c>
      <c r="E2030" t="s">
        <v>97</v>
      </c>
      <c r="F2030" t="s">
        <v>98</v>
      </c>
      <c r="G2030" t="s">
        <v>41</v>
      </c>
      <c r="H2030" t="s">
        <v>22</v>
      </c>
      <c r="I2030" s="3">
        <v>39</v>
      </c>
      <c r="J2030" s="2">
        <v>69</v>
      </c>
      <c r="K2030" s="3">
        <f t="shared" si="31"/>
        <v>2691</v>
      </c>
      <c r="L2030" s="3">
        <v>1426.23</v>
      </c>
    </row>
    <row r="2031" spans="1:12" x14ac:dyDescent="0.25">
      <c r="A2031" t="s">
        <v>26</v>
      </c>
      <c r="B2031">
        <v>1197831</v>
      </c>
      <c r="C2031" s="1">
        <v>44282</v>
      </c>
      <c r="D2031" t="s">
        <v>52</v>
      </c>
      <c r="E2031" t="s">
        <v>97</v>
      </c>
      <c r="F2031" t="s">
        <v>98</v>
      </c>
      <c r="G2031" t="s">
        <v>15</v>
      </c>
      <c r="H2031" t="s">
        <v>16</v>
      </c>
      <c r="I2031" s="3">
        <v>35</v>
      </c>
      <c r="J2031" s="2">
        <v>425</v>
      </c>
      <c r="K2031" s="3">
        <f t="shared" si="31"/>
        <v>14875</v>
      </c>
      <c r="L2031" s="3">
        <v>6693.75</v>
      </c>
    </row>
    <row r="2032" spans="1:12" x14ac:dyDescent="0.25">
      <c r="A2032" t="s">
        <v>26</v>
      </c>
      <c r="B2032">
        <v>1197831</v>
      </c>
      <c r="C2032" s="1">
        <v>44282</v>
      </c>
      <c r="D2032" t="s">
        <v>52</v>
      </c>
      <c r="E2032" t="s">
        <v>97</v>
      </c>
      <c r="F2032" t="s">
        <v>98</v>
      </c>
      <c r="G2032" t="s">
        <v>15</v>
      </c>
      <c r="H2032" t="s">
        <v>16</v>
      </c>
      <c r="I2032" s="3">
        <v>25</v>
      </c>
      <c r="J2032" s="2">
        <v>145</v>
      </c>
      <c r="K2032" s="3">
        <f t="shared" si="31"/>
        <v>3625</v>
      </c>
      <c r="L2032" s="3">
        <v>1413.7499999999995</v>
      </c>
    </row>
    <row r="2033" spans="1:12" x14ac:dyDescent="0.25">
      <c r="A2033" t="s">
        <v>26</v>
      </c>
      <c r="B2033">
        <v>1197831</v>
      </c>
      <c r="C2033" s="1">
        <v>44282</v>
      </c>
      <c r="D2033" t="s">
        <v>52</v>
      </c>
      <c r="E2033" t="s">
        <v>97</v>
      </c>
      <c r="F2033" t="s">
        <v>98</v>
      </c>
      <c r="G2033" t="s">
        <v>41</v>
      </c>
      <c r="H2033" t="s">
        <v>16</v>
      </c>
      <c r="I2033" s="3">
        <v>33</v>
      </c>
      <c r="J2033" s="2">
        <v>111</v>
      </c>
      <c r="K2033" s="3">
        <f t="shared" si="31"/>
        <v>3663</v>
      </c>
      <c r="L2033" s="3">
        <v>1245.42</v>
      </c>
    </row>
    <row r="2034" spans="1:12" x14ac:dyDescent="0.25">
      <c r="A2034" t="s">
        <v>26</v>
      </c>
      <c r="B2034">
        <v>1197831</v>
      </c>
      <c r="C2034" s="1">
        <v>44283</v>
      </c>
      <c r="D2034" t="s">
        <v>52</v>
      </c>
      <c r="E2034" t="s">
        <v>97</v>
      </c>
      <c r="F2034" t="s">
        <v>98</v>
      </c>
      <c r="G2034" t="s">
        <v>15</v>
      </c>
      <c r="H2034" t="s">
        <v>38</v>
      </c>
      <c r="I2034" s="3">
        <v>20</v>
      </c>
      <c r="J2034" s="2">
        <v>675</v>
      </c>
      <c r="K2034" s="3">
        <f t="shared" si="31"/>
        <v>13500</v>
      </c>
      <c r="L2034" s="3">
        <v>8100</v>
      </c>
    </row>
    <row r="2035" spans="1:12" x14ac:dyDescent="0.25">
      <c r="A2035" t="s">
        <v>26</v>
      </c>
      <c r="B2035">
        <v>1197831</v>
      </c>
      <c r="C2035" s="1">
        <v>44283</v>
      </c>
      <c r="D2035" t="s">
        <v>52</v>
      </c>
      <c r="E2035" t="s">
        <v>97</v>
      </c>
      <c r="F2035" t="s">
        <v>98</v>
      </c>
      <c r="G2035" t="s">
        <v>15</v>
      </c>
      <c r="H2035" t="s">
        <v>38</v>
      </c>
      <c r="I2035" s="3">
        <v>13</v>
      </c>
      <c r="J2035" s="2">
        <v>203</v>
      </c>
      <c r="K2035" s="3">
        <f t="shared" si="31"/>
        <v>2639</v>
      </c>
      <c r="L2035" s="3">
        <v>1451.45</v>
      </c>
    </row>
    <row r="2036" spans="1:12" x14ac:dyDescent="0.25">
      <c r="A2036" t="s">
        <v>26</v>
      </c>
      <c r="B2036">
        <v>1197831</v>
      </c>
      <c r="C2036" s="1">
        <v>44283</v>
      </c>
      <c r="D2036" t="s">
        <v>52</v>
      </c>
      <c r="E2036" t="s">
        <v>97</v>
      </c>
      <c r="F2036" t="s">
        <v>98</v>
      </c>
      <c r="G2036" t="s">
        <v>41</v>
      </c>
      <c r="H2036" t="s">
        <v>38</v>
      </c>
      <c r="I2036" s="3">
        <v>19</v>
      </c>
      <c r="J2036" s="2">
        <v>169</v>
      </c>
      <c r="K2036" s="3">
        <f t="shared" si="31"/>
        <v>3211</v>
      </c>
      <c r="L2036" s="3">
        <v>1605.5</v>
      </c>
    </row>
    <row r="2037" spans="1:12" x14ac:dyDescent="0.25">
      <c r="A2037" t="s">
        <v>26</v>
      </c>
      <c r="B2037">
        <v>1197831</v>
      </c>
      <c r="C2037" s="1">
        <v>44284</v>
      </c>
      <c r="D2037" t="s">
        <v>52</v>
      </c>
      <c r="E2037" t="s">
        <v>97</v>
      </c>
      <c r="F2037" t="s">
        <v>98</v>
      </c>
      <c r="G2037" t="s">
        <v>15</v>
      </c>
      <c r="H2037" t="s">
        <v>17</v>
      </c>
      <c r="I2037" s="3">
        <v>25.000000000000007</v>
      </c>
      <c r="J2037" s="2">
        <v>675</v>
      </c>
      <c r="K2037" s="3">
        <f t="shared" si="31"/>
        <v>16875.000000000004</v>
      </c>
      <c r="L2037" s="3">
        <v>10125.000000000004</v>
      </c>
    </row>
    <row r="2038" spans="1:12" x14ac:dyDescent="0.25">
      <c r="A2038" t="s">
        <v>26</v>
      </c>
      <c r="B2038">
        <v>1197831</v>
      </c>
      <c r="C2038" s="1">
        <v>44284</v>
      </c>
      <c r="D2038" t="s">
        <v>52</v>
      </c>
      <c r="E2038" t="s">
        <v>97</v>
      </c>
      <c r="F2038" t="s">
        <v>98</v>
      </c>
      <c r="G2038" t="s">
        <v>15</v>
      </c>
      <c r="H2038" t="s">
        <v>17</v>
      </c>
      <c r="I2038" s="3">
        <v>17</v>
      </c>
      <c r="J2038" s="2">
        <v>203</v>
      </c>
      <c r="K2038" s="3">
        <f t="shared" si="31"/>
        <v>3451</v>
      </c>
      <c r="L2038" s="3">
        <v>2001.5800000000002</v>
      </c>
    </row>
    <row r="2039" spans="1:12" x14ac:dyDescent="0.25">
      <c r="A2039" t="s">
        <v>26</v>
      </c>
      <c r="B2039">
        <v>1197831</v>
      </c>
      <c r="C2039" s="1">
        <v>44284</v>
      </c>
      <c r="D2039" t="s">
        <v>52</v>
      </c>
      <c r="E2039" t="s">
        <v>97</v>
      </c>
      <c r="F2039" t="s">
        <v>98</v>
      </c>
      <c r="G2039" t="s">
        <v>41</v>
      </c>
      <c r="H2039" t="s">
        <v>17</v>
      </c>
      <c r="I2039" s="3">
        <v>24</v>
      </c>
      <c r="J2039" s="2">
        <v>176</v>
      </c>
      <c r="K2039" s="3">
        <f t="shared" si="31"/>
        <v>4224</v>
      </c>
      <c r="L2039" s="3">
        <v>2069.7599999999998</v>
      </c>
    </row>
    <row r="2040" spans="1:12" x14ac:dyDescent="0.25">
      <c r="A2040" t="s">
        <v>26</v>
      </c>
      <c r="B2040">
        <v>1197831</v>
      </c>
      <c r="C2040" s="1">
        <v>44285</v>
      </c>
      <c r="D2040" t="s">
        <v>52</v>
      </c>
      <c r="E2040" t="s">
        <v>97</v>
      </c>
      <c r="F2040" t="s">
        <v>98</v>
      </c>
      <c r="G2040" t="s">
        <v>15</v>
      </c>
      <c r="H2040" t="s">
        <v>35</v>
      </c>
      <c r="I2040" s="3">
        <v>19.999999999999996</v>
      </c>
      <c r="J2040" s="2">
        <v>500</v>
      </c>
      <c r="K2040" s="3">
        <f t="shared" si="31"/>
        <v>9999.9999999999982</v>
      </c>
      <c r="L2040" s="3">
        <v>5999.9999999999991</v>
      </c>
    </row>
    <row r="2041" spans="1:12" x14ac:dyDescent="0.25">
      <c r="A2041" t="s">
        <v>26</v>
      </c>
      <c r="B2041">
        <v>1197831</v>
      </c>
      <c r="C2041" s="1">
        <v>44285</v>
      </c>
      <c r="D2041" t="s">
        <v>52</v>
      </c>
      <c r="E2041" t="s">
        <v>97</v>
      </c>
      <c r="F2041" t="s">
        <v>98</v>
      </c>
      <c r="G2041" t="s">
        <v>15</v>
      </c>
      <c r="H2041" t="s">
        <v>35</v>
      </c>
      <c r="I2041" s="3">
        <v>15</v>
      </c>
      <c r="J2041" s="2">
        <v>170</v>
      </c>
      <c r="K2041" s="3">
        <f t="shared" si="31"/>
        <v>2550</v>
      </c>
      <c r="L2041" s="3">
        <v>1428.0000000000002</v>
      </c>
    </row>
    <row r="2042" spans="1:12" x14ac:dyDescent="0.25">
      <c r="A2042" t="s">
        <v>26</v>
      </c>
      <c r="B2042">
        <v>1197831</v>
      </c>
      <c r="C2042" s="1">
        <v>44285</v>
      </c>
      <c r="D2042" t="s">
        <v>52</v>
      </c>
      <c r="E2042" t="s">
        <v>97</v>
      </c>
      <c r="F2042" t="s">
        <v>98</v>
      </c>
      <c r="G2042" t="s">
        <v>41</v>
      </c>
      <c r="H2042" t="s">
        <v>35</v>
      </c>
      <c r="I2042" s="3">
        <v>19</v>
      </c>
      <c r="J2042" s="2">
        <v>135</v>
      </c>
      <c r="K2042" s="3">
        <f t="shared" si="31"/>
        <v>2565</v>
      </c>
      <c r="L2042" s="3">
        <v>1154.2500000000002</v>
      </c>
    </row>
    <row r="2043" spans="1:12" x14ac:dyDescent="0.25">
      <c r="A2043" t="s">
        <v>26</v>
      </c>
      <c r="B2043">
        <v>1197831</v>
      </c>
      <c r="C2043" s="1">
        <v>44286</v>
      </c>
      <c r="D2043" t="s">
        <v>52</v>
      </c>
      <c r="E2043" t="s">
        <v>97</v>
      </c>
      <c r="F2043" t="s">
        <v>98</v>
      </c>
      <c r="G2043" t="s">
        <v>15</v>
      </c>
      <c r="H2043" t="s">
        <v>37</v>
      </c>
      <c r="I2043" s="3">
        <v>25.000000000000007</v>
      </c>
      <c r="J2043" s="2">
        <v>400</v>
      </c>
      <c r="K2043" s="3">
        <f t="shared" si="31"/>
        <v>10000.000000000004</v>
      </c>
      <c r="L2043" s="3">
        <v>5000.0000000000018</v>
      </c>
    </row>
    <row r="2044" spans="1:12" x14ac:dyDescent="0.25">
      <c r="A2044" t="s">
        <v>26</v>
      </c>
      <c r="B2044">
        <v>1197831</v>
      </c>
      <c r="C2044" s="1">
        <v>44286</v>
      </c>
      <c r="D2044" t="s">
        <v>52</v>
      </c>
      <c r="E2044" t="s">
        <v>97</v>
      </c>
      <c r="F2044" t="s">
        <v>98</v>
      </c>
      <c r="G2044" t="s">
        <v>15</v>
      </c>
      <c r="H2044" t="s">
        <v>37</v>
      </c>
      <c r="I2044" s="3">
        <v>20</v>
      </c>
      <c r="J2044" s="2">
        <v>128</v>
      </c>
      <c r="K2044" s="3">
        <f t="shared" si="31"/>
        <v>2560</v>
      </c>
      <c r="L2044" s="3">
        <v>1126.3999999999999</v>
      </c>
    </row>
    <row r="2045" spans="1:12" x14ac:dyDescent="0.25">
      <c r="A2045" t="s">
        <v>26</v>
      </c>
      <c r="B2045">
        <v>1197831</v>
      </c>
      <c r="C2045" s="1">
        <v>44286</v>
      </c>
      <c r="D2045" t="s">
        <v>52</v>
      </c>
      <c r="E2045" t="s">
        <v>97</v>
      </c>
      <c r="F2045" t="s">
        <v>98</v>
      </c>
      <c r="G2045" t="s">
        <v>41</v>
      </c>
      <c r="H2045" t="s">
        <v>37</v>
      </c>
      <c r="I2045" s="3">
        <v>23</v>
      </c>
      <c r="J2045" s="2">
        <v>112</v>
      </c>
      <c r="K2045" s="3">
        <f t="shared" si="31"/>
        <v>2576</v>
      </c>
      <c r="L2045" s="3">
        <v>901.59999999999991</v>
      </c>
    </row>
    <row r="2046" spans="1:12" x14ac:dyDescent="0.25">
      <c r="A2046" t="s">
        <v>26</v>
      </c>
      <c r="B2046">
        <v>1197831</v>
      </c>
      <c r="C2046" s="1">
        <v>44287</v>
      </c>
      <c r="D2046" t="s">
        <v>52</v>
      </c>
      <c r="E2046" t="s">
        <v>97</v>
      </c>
      <c r="F2046" t="s">
        <v>98</v>
      </c>
      <c r="G2046" t="s">
        <v>15</v>
      </c>
      <c r="H2046" t="s">
        <v>22</v>
      </c>
      <c r="I2046" s="3">
        <v>30</v>
      </c>
      <c r="J2046" s="2">
        <v>300</v>
      </c>
      <c r="K2046" s="3">
        <f t="shared" si="31"/>
        <v>9000</v>
      </c>
      <c r="L2046" s="3">
        <v>5850</v>
      </c>
    </row>
    <row r="2047" spans="1:12" x14ac:dyDescent="0.25">
      <c r="A2047" t="s">
        <v>26</v>
      </c>
      <c r="B2047">
        <v>1197831</v>
      </c>
      <c r="C2047" s="1">
        <v>44287</v>
      </c>
      <c r="D2047" t="s">
        <v>52</v>
      </c>
      <c r="E2047" t="s">
        <v>97</v>
      </c>
      <c r="F2047" t="s">
        <v>98</v>
      </c>
      <c r="G2047" t="s">
        <v>15</v>
      </c>
      <c r="H2047" t="s">
        <v>22</v>
      </c>
      <c r="I2047" s="3">
        <v>20</v>
      </c>
      <c r="J2047" s="2">
        <v>105</v>
      </c>
      <c r="K2047" s="3">
        <f t="shared" si="31"/>
        <v>2100</v>
      </c>
      <c r="L2047" s="3">
        <v>1302</v>
      </c>
    </row>
    <row r="2048" spans="1:12" x14ac:dyDescent="0.25">
      <c r="A2048" t="s">
        <v>26</v>
      </c>
      <c r="B2048">
        <v>1197831</v>
      </c>
      <c r="C2048" s="1">
        <v>44287</v>
      </c>
      <c r="D2048" t="s">
        <v>52</v>
      </c>
      <c r="E2048" t="s">
        <v>97</v>
      </c>
      <c r="F2048" t="s">
        <v>98</v>
      </c>
      <c r="G2048" t="s">
        <v>41</v>
      </c>
      <c r="H2048" t="s">
        <v>22</v>
      </c>
      <c r="I2048" s="3">
        <v>28</v>
      </c>
      <c r="J2048" s="2">
        <v>84</v>
      </c>
      <c r="K2048" s="3">
        <f t="shared" si="31"/>
        <v>2352</v>
      </c>
      <c r="L2048" s="3">
        <v>1293.6000000000001</v>
      </c>
    </row>
    <row r="2049" spans="1:12" x14ac:dyDescent="0.25">
      <c r="A2049" t="s">
        <v>26</v>
      </c>
      <c r="B2049">
        <v>1197831</v>
      </c>
      <c r="C2049" s="1">
        <v>44288</v>
      </c>
      <c r="D2049" t="s">
        <v>52</v>
      </c>
      <c r="E2049" t="s">
        <v>97</v>
      </c>
      <c r="F2049" t="s">
        <v>98</v>
      </c>
      <c r="G2049" t="s">
        <v>15</v>
      </c>
      <c r="H2049" t="s">
        <v>16</v>
      </c>
      <c r="I2049" s="3">
        <v>25.000000000000007</v>
      </c>
      <c r="J2049" s="2">
        <v>575</v>
      </c>
      <c r="K2049" s="3">
        <f t="shared" si="31"/>
        <v>14375.000000000004</v>
      </c>
      <c r="L2049" s="3">
        <v>6468.75</v>
      </c>
    </row>
    <row r="2050" spans="1:12" x14ac:dyDescent="0.25">
      <c r="A2050" t="s">
        <v>26</v>
      </c>
      <c r="B2050">
        <v>1197831</v>
      </c>
      <c r="C2050" s="1">
        <v>44288</v>
      </c>
      <c r="D2050" t="s">
        <v>52</v>
      </c>
      <c r="E2050" t="s">
        <v>97</v>
      </c>
      <c r="F2050" t="s">
        <v>98</v>
      </c>
      <c r="G2050" t="s">
        <v>15</v>
      </c>
      <c r="H2050" t="s">
        <v>16</v>
      </c>
      <c r="I2050" s="3">
        <v>18</v>
      </c>
      <c r="J2050" s="2">
        <v>196</v>
      </c>
      <c r="K2050" s="3">
        <f t="shared" si="31"/>
        <v>3528</v>
      </c>
      <c r="L2050" s="3">
        <v>1375.9199999999996</v>
      </c>
    </row>
    <row r="2051" spans="1:12" x14ac:dyDescent="0.25">
      <c r="A2051" t="s">
        <v>26</v>
      </c>
      <c r="B2051">
        <v>1197831</v>
      </c>
      <c r="C2051" s="1">
        <v>44288</v>
      </c>
      <c r="D2051" t="s">
        <v>52</v>
      </c>
      <c r="E2051" t="s">
        <v>97</v>
      </c>
      <c r="F2051" t="s">
        <v>98</v>
      </c>
      <c r="G2051" t="s">
        <v>41</v>
      </c>
      <c r="H2051" t="s">
        <v>16</v>
      </c>
      <c r="I2051" s="3">
        <v>24</v>
      </c>
      <c r="J2051" s="2">
        <v>161</v>
      </c>
      <c r="K2051" s="3">
        <f t="shared" ref="K2051:K2114" si="32">I2051*J2051</f>
        <v>3864</v>
      </c>
      <c r="L2051" s="3">
        <v>1236.48</v>
      </c>
    </row>
    <row r="2052" spans="1:12" x14ac:dyDescent="0.25">
      <c r="A2052" t="s">
        <v>11</v>
      </c>
      <c r="B2052">
        <v>1185732</v>
      </c>
      <c r="C2052" s="1">
        <v>44289</v>
      </c>
      <c r="D2052" t="s">
        <v>57</v>
      </c>
      <c r="E2052" t="s">
        <v>85</v>
      </c>
      <c r="F2052" t="s">
        <v>86</v>
      </c>
      <c r="G2052" t="s">
        <v>18</v>
      </c>
      <c r="H2052" t="s">
        <v>35</v>
      </c>
      <c r="I2052" s="3">
        <v>10.000000000000004</v>
      </c>
      <c r="J2052" s="2">
        <v>150</v>
      </c>
      <c r="K2052" s="3">
        <f t="shared" si="32"/>
        <v>1500.0000000000005</v>
      </c>
      <c r="L2052" s="3">
        <v>1050.0000000000005</v>
      </c>
    </row>
    <row r="2053" spans="1:12" x14ac:dyDescent="0.25">
      <c r="A2053" t="s">
        <v>11</v>
      </c>
      <c r="B2053">
        <v>1185732</v>
      </c>
      <c r="C2053" s="1">
        <v>44289</v>
      </c>
      <c r="D2053" t="s">
        <v>57</v>
      </c>
      <c r="E2053" t="s">
        <v>85</v>
      </c>
      <c r="F2053" t="s">
        <v>86</v>
      </c>
      <c r="G2053" t="s">
        <v>18</v>
      </c>
      <c r="H2053" t="s">
        <v>38</v>
      </c>
      <c r="I2053" s="3">
        <v>20.000000000000004</v>
      </c>
      <c r="J2053" s="2">
        <v>450</v>
      </c>
      <c r="K2053" s="3">
        <f t="shared" si="32"/>
        <v>9000.0000000000018</v>
      </c>
      <c r="L2053" s="3">
        <v>6300.0000000000018</v>
      </c>
    </row>
    <row r="2054" spans="1:12" x14ac:dyDescent="0.25">
      <c r="A2054" t="s">
        <v>11</v>
      </c>
      <c r="B2054">
        <v>1185732</v>
      </c>
      <c r="C2054" s="1">
        <v>44289</v>
      </c>
      <c r="D2054" t="s">
        <v>57</v>
      </c>
      <c r="E2054" t="s">
        <v>85</v>
      </c>
      <c r="F2054" t="s">
        <v>86</v>
      </c>
      <c r="G2054" t="s">
        <v>18</v>
      </c>
      <c r="H2054" t="s">
        <v>37</v>
      </c>
      <c r="I2054" s="3">
        <v>14.999999999999996</v>
      </c>
      <c r="J2054" s="2">
        <v>75</v>
      </c>
      <c r="K2054" s="3">
        <f t="shared" si="32"/>
        <v>1124.9999999999998</v>
      </c>
      <c r="L2054" s="3">
        <v>787.49999999999977</v>
      </c>
    </row>
    <row r="2055" spans="1:12" x14ac:dyDescent="0.25">
      <c r="A2055" t="s">
        <v>26</v>
      </c>
      <c r="B2055">
        <v>1185732</v>
      </c>
      <c r="C2055" s="1">
        <v>44289</v>
      </c>
      <c r="D2055" t="s">
        <v>32</v>
      </c>
      <c r="E2055" t="s">
        <v>108</v>
      </c>
      <c r="F2055" t="s">
        <v>109</v>
      </c>
      <c r="G2055" t="s">
        <v>41</v>
      </c>
      <c r="H2055" t="s">
        <v>17</v>
      </c>
      <c r="I2055" s="3">
        <v>30</v>
      </c>
      <c r="J2055" s="2">
        <v>575</v>
      </c>
      <c r="K2055" s="3">
        <f t="shared" si="32"/>
        <v>17250</v>
      </c>
      <c r="L2055" s="3">
        <v>11212.5</v>
      </c>
    </row>
    <row r="2056" spans="1:12" x14ac:dyDescent="0.25">
      <c r="A2056" t="s">
        <v>26</v>
      </c>
      <c r="B2056">
        <v>1185732</v>
      </c>
      <c r="C2056" s="1">
        <v>44289</v>
      </c>
      <c r="D2056" t="s">
        <v>32</v>
      </c>
      <c r="E2056" t="s">
        <v>108</v>
      </c>
      <c r="F2056" t="s">
        <v>109</v>
      </c>
      <c r="G2056" t="s">
        <v>41</v>
      </c>
      <c r="H2056" t="s">
        <v>22</v>
      </c>
      <c r="I2056" s="3">
        <v>45</v>
      </c>
      <c r="J2056" s="2">
        <v>525</v>
      </c>
      <c r="K2056" s="3">
        <f t="shared" si="32"/>
        <v>23625</v>
      </c>
      <c r="L2056" s="3">
        <v>15356.25</v>
      </c>
    </row>
    <row r="2057" spans="1:12" x14ac:dyDescent="0.25">
      <c r="A2057" t="s">
        <v>11</v>
      </c>
      <c r="B2057">
        <v>1185732</v>
      </c>
      <c r="C2057" s="1">
        <v>44289</v>
      </c>
      <c r="D2057" t="s">
        <v>57</v>
      </c>
      <c r="E2057" t="s">
        <v>85</v>
      </c>
      <c r="F2057" t="s">
        <v>86</v>
      </c>
      <c r="G2057" t="s">
        <v>18</v>
      </c>
      <c r="H2057" t="s">
        <v>17</v>
      </c>
      <c r="I2057" s="3">
        <v>20.000000000000004</v>
      </c>
      <c r="J2057" s="2">
        <v>150</v>
      </c>
      <c r="K2057" s="3">
        <f t="shared" si="32"/>
        <v>3000.0000000000005</v>
      </c>
      <c r="L2057" s="3">
        <v>1950.0000000000005</v>
      </c>
    </row>
    <row r="2058" spans="1:12" x14ac:dyDescent="0.25">
      <c r="A2058" t="s">
        <v>26</v>
      </c>
      <c r="B2058">
        <v>1185732</v>
      </c>
      <c r="C2058" s="1">
        <v>44289</v>
      </c>
      <c r="D2058" t="s">
        <v>32</v>
      </c>
      <c r="E2058" t="s">
        <v>108</v>
      </c>
      <c r="F2058" t="s">
        <v>109</v>
      </c>
      <c r="G2058" t="s">
        <v>41</v>
      </c>
      <c r="H2058" t="s">
        <v>38</v>
      </c>
      <c r="I2058" s="3">
        <v>30</v>
      </c>
      <c r="J2058" s="2">
        <v>875</v>
      </c>
      <c r="K2058" s="3">
        <f t="shared" si="32"/>
        <v>26250</v>
      </c>
      <c r="L2058" s="3">
        <v>15750</v>
      </c>
    </row>
    <row r="2059" spans="1:12" x14ac:dyDescent="0.25">
      <c r="A2059" t="s">
        <v>26</v>
      </c>
      <c r="B2059">
        <v>1185732</v>
      </c>
      <c r="C2059" s="1">
        <v>44289</v>
      </c>
      <c r="D2059" t="s">
        <v>32</v>
      </c>
      <c r="E2059" t="s">
        <v>108</v>
      </c>
      <c r="F2059" t="s">
        <v>109</v>
      </c>
      <c r="G2059" t="s">
        <v>41</v>
      </c>
      <c r="H2059" t="s">
        <v>35</v>
      </c>
      <c r="I2059" s="3">
        <v>20</v>
      </c>
      <c r="J2059" s="2">
        <v>575</v>
      </c>
      <c r="K2059" s="3">
        <f t="shared" si="32"/>
        <v>11500</v>
      </c>
      <c r="L2059" s="3">
        <v>6900</v>
      </c>
    </row>
    <row r="2060" spans="1:12" x14ac:dyDescent="0.25">
      <c r="A2060" t="s">
        <v>11</v>
      </c>
      <c r="B2060">
        <v>1185732</v>
      </c>
      <c r="C2060" s="1">
        <v>44289</v>
      </c>
      <c r="D2060" t="s">
        <v>57</v>
      </c>
      <c r="E2060" t="s">
        <v>85</v>
      </c>
      <c r="F2060" t="s">
        <v>86</v>
      </c>
      <c r="G2060" t="s">
        <v>18</v>
      </c>
      <c r="H2060" t="s">
        <v>16</v>
      </c>
      <c r="I2060" s="3">
        <v>50</v>
      </c>
      <c r="J2060" s="2">
        <v>225</v>
      </c>
      <c r="K2060" s="3">
        <f t="shared" si="32"/>
        <v>11250</v>
      </c>
      <c r="L2060" s="3">
        <v>6750</v>
      </c>
    </row>
    <row r="2061" spans="1:12" x14ac:dyDescent="0.25">
      <c r="A2061" t="s">
        <v>26</v>
      </c>
      <c r="B2061">
        <v>1197831</v>
      </c>
      <c r="C2061" s="1">
        <v>44289</v>
      </c>
      <c r="D2061" t="s">
        <v>52</v>
      </c>
      <c r="E2061" t="s">
        <v>97</v>
      </c>
      <c r="F2061" t="s">
        <v>98</v>
      </c>
      <c r="G2061" t="s">
        <v>15</v>
      </c>
      <c r="H2061" t="s">
        <v>38</v>
      </c>
      <c r="I2061" s="3">
        <v>14.999999999999996</v>
      </c>
      <c r="J2061" s="2">
        <v>725</v>
      </c>
      <c r="K2061" s="3">
        <f t="shared" si="32"/>
        <v>10874.999999999998</v>
      </c>
      <c r="L2061" s="3">
        <v>6524.9999999999982</v>
      </c>
    </row>
    <row r="2062" spans="1:12" x14ac:dyDescent="0.25">
      <c r="A2062" t="s">
        <v>26</v>
      </c>
      <c r="B2062">
        <v>1185732</v>
      </c>
      <c r="C2062" s="1">
        <v>44289</v>
      </c>
      <c r="D2062" t="s">
        <v>32</v>
      </c>
      <c r="E2062" t="s">
        <v>108</v>
      </c>
      <c r="F2062" t="s">
        <v>109</v>
      </c>
      <c r="G2062" t="s">
        <v>41</v>
      </c>
      <c r="H2062" t="s">
        <v>37</v>
      </c>
      <c r="I2062" s="3">
        <v>24.999999999999993</v>
      </c>
      <c r="J2062" s="2">
        <v>500</v>
      </c>
      <c r="K2062" s="3">
        <f t="shared" si="32"/>
        <v>12499.999999999996</v>
      </c>
      <c r="L2062" s="3">
        <v>7499.9999999999973</v>
      </c>
    </row>
    <row r="2063" spans="1:12" x14ac:dyDescent="0.25">
      <c r="A2063" t="s">
        <v>26</v>
      </c>
      <c r="B2063">
        <v>1185732</v>
      </c>
      <c r="C2063" s="1">
        <v>44289</v>
      </c>
      <c r="D2063" t="s">
        <v>32</v>
      </c>
      <c r="E2063" t="s">
        <v>108</v>
      </c>
      <c r="F2063" t="s">
        <v>109</v>
      </c>
      <c r="G2063" t="s">
        <v>41</v>
      </c>
      <c r="H2063" t="s">
        <v>16</v>
      </c>
      <c r="I2063" s="3">
        <v>35</v>
      </c>
      <c r="J2063" s="2">
        <v>675</v>
      </c>
      <c r="K2063" s="3">
        <f t="shared" si="32"/>
        <v>23625</v>
      </c>
      <c r="L2063" s="3">
        <v>11812.5</v>
      </c>
    </row>
    <row r="2064" spans="1:12" x14ac:dyDescent="0.25">
      <c r="A2064" t="s">
        <v>11</v>
      </c>
      <c r="B2064">
        <v>1185732</v>
      </c>
      <c r="C2064" s="1">
        <v>44289</v>
      </c>
      <c r="D2064" t="s">
        <v>57</v>
      </c>
      <c r="E2064" t="s">
        <v>85</v>
      </c>
      <c r="F2064" t="s">
        <v>86</v>
      </c>
      <c r="G2064" t="s">
        <v>18</v>
      </c>
      <c r="H2064" t="s">
        <v>22</v>
      </c>
      <c r="I2064" s="3">
        <v>60</v>
      </c>
      <c r="J2064" s="2">
        <v>100</v>
      </c>
      <c r="K2064" s="3">
        <f t="shared" si="32"/>
        <v>6000</v>
      </c>
      <c r="L2064" s="3">
        <v>3000</v>
      </c>
    </row>
    <row r="2065" spans="1:12" x14ac:dyDescent="0.25">
      <c r="A2065" t="s">
        <v>11</v>
      </c>
      <c r="B2065">
        <v>1185732</v>
      </c>
      <c r="C2065" s="1">
        <v>44289</v>
      </c>
      <c r="D2065" t="s">
        <v>57</v>
      </c>
      <c r="E2065" t="s">
        <v>85</v>
      </c>
      <c r="F2065" t="s">
        <v>86</v>
      </c>
      <c r="G2065" t="s">
        <v>41</v>
      </c>
      <c r="H2065" t="s">
        <v>38</v>
      </c>
      <c r="I2065" s="3">
        <v>18</v>
      </c>
      <c r="J2065" s="2">
        <v>122</v>
      </c>
      <c r="K2065" s="3">
        <f t="shared" si="32"/>
        <v>2196</v>
      </c>
      <c r="L2065" s="3">
        <v>1295.6400000000001</v>
      </c>
    </row>
    <row r="2066" spans="1:12" x14ac:dyDescent="0.25">
      <c r="A2066" t="s">
        <v>11</v>
      </c>
      <c r="B2066">
        <v>1185732</v>
      </c>
      <c r="C2066" s="1">
        <v>44289</v>
      </c>
      <c r="D2066" t="s">
        <v>57</v>
      </c>
      <c r="E2066" t="s">
        <v>85</v>
      </c>
      <c r="F2066" t="s">
        <v>86</v>
      </c>
      <c r="G2066" t="s">
        <v>41</v>
      </c>
      <c r="H2066" t="s">
        <v>37</v>
      </c>
      <c r="I2066" s="3">
        <v>15</v>
      </c>
      <c r="J2066" s="2">
        <v>22</v>
      </c>
      <c r="K2066" s="3">
        <f t="shared" si="32"/>
        <v>330</v>
      </c>
      <c r="L2066" s="3">
        <v>194.70000000000002</v>
      </c>
    </row>
    <row r="2067" spans="1:12" x14ac:dyDescent="0.25">
      <c r="A2067" t="s">
        <v>11</v>
      </c>
      <c r="B2067">
        <v>1185732</v>
      </c>
      <c r="C2067" s="1">
        <v>44289</v>
      </c>
      <c r="D2067" t="s">
        <v>57</v>
      </c>
      <c r="E2067" t="s">
        <v>85</v>
      </c>
      <c r="F2067" t="s">
        <v>86</v>
      </c>
      <c r="G2067" t="s">
        <v>41</v>
      </c>
      <c r="H2067" t="s">
        <v>35</v>
      </c>
      <c r="I2067" s="3">
        <v>9</v>
      </c>
      <c r="J2067" s="2">
        <v>41</v>
      </c>
      <c r="K2067" s="3">
        <f t="shared" si="32"/>
        <v>369</v>
      </c>
      <c r="L2067" s="3">
        <v>210.33</v>
      </c>
    </row>
    <row r="2068" spans="1:12" x14ac:dyDescent="0.25">
      <c r="A2068" t="s">
        <v>26</v>
      </c>
      <c r="B2068">
        <v>1197831</v>
      </c>
      <c r="C2068" s="1">
        <v>44289</v>
      </c>
      <c r="D2068" t="s">
        <v>52</v>
      </c>
      <c r="E2068" t="s">
        <v>97</v>
      </c>
      <c r="F2068" t="s">
        <v>98</v>
      </c>
      <c r="G2068" t="s">
        <v>15</v>
      </c>
      <c r="H2068" t="s">
        <v>38</v>
      </c>
      <c r="I2068" s="3">
        <v>12</v>
      </c>
      <c r="J2068" s="2">
        <v>247</v>
      </c>
      <c r="K2068" s="3">
        <f t="shared" si="32"/>
        <v>2964</v>
      </c>
      <c r="L2068" s="3">
        <v>1630.2</v>
      </c>
    </row>
    <row r="2069" spans="1:12" x14ac:dyDescent="0.25">
      <c r="A2069" t="s">
        <v>11</v>
      </c>
      <c r="B2069">
        <v>1185732</v>
      </c>
      <c r="C2069" s="1">
        <v>44289</v>
      </c>
      <c r="D2069" t="s">
        <v>57</v>
      </c>
      <c r="E2069" t="s">
        <v>85</v>
      </c>
      <c r="F2069" t="s">
        <v>86</v>
      </c>
      <c r="G2069" t="s">
        <v>41</v>
      </c>
      <c r="H2069" t="s">
        <v>17</v>
      </c>
      <c r="I2069" s="3">
        <v>20</v>
      </c>
      <c r="J2069" s="2">
        <v>39</v>
      </c>
      <c r="K2069" s="3">
        <f t="shared" si="32"/>
        <v>780</v>
      </c>
      <c r="L2069" s="3">
        <v>421.20000000000005</v>
      </c>
    </row>
    <row r="2070" spans="1:12" x14ac:dyDescent="0.25">
      <c r="A2070" t="s">
        <v>26</v>
      </c>
      <c r="B2070">
        <v>1185732</v>
      </c>
      <c r="C2070" s="1">
        <v>44289</v>
      </c>
      <c r="D2070" t="s">
        <v>32</v>
      </c>
      <c r="E2070" t="s">
        <v>108</v>
      </c>
      <c r="F2070" t="s">
        <v>109</v>
      </c>
      <c r="G2070" t="s">
        <v>41</v>
      </c>
      <c r="H2070" t="s">
        <v>17</v>
      </c>
      <c r="I2070" s="3">
        <v>28</v>
      </c>
      <c r="J2070" s="2">
        <v>155</v>
      </c>
      <c r="K2070" s="3">
        <f t="shared" si="32"/>
        <v>4340</v>
      </c>
      <c r="L2070" s="3">
        <v>2300.1999999999998</v>
      </c>
    </row>
    <row r="2071" spans="1:12" x14ac:dyDescent="0.25">
      <c r="A2071" t="s">
        <v>26</v>
      </c>
      <c r="B2071">
        <v>1197831</v>
      </c>
      <c r="C2071" s="1">
        <v>44289</v>
      </c>
      <c r="D2071" t="s">
        <v>52</v>
      </c>
      <c r="E2071" t="s">
        <v>97</v>
      </c>
      <c r="F2071" t="s">
        <v>98</v>
      </c>
      <c r="G2071" t="s">
        <v>41</v>
      </c>
      <c r="H2071" t="s">
        <v>38</v>
      </c>
      <c r="I2071" s="3">
        <v>14</v>
      </c>
      <c r="J2071" s="2">
        <v>189</v>
      </c>
      <c r="K2071" s="3">
        <f t="shared" si="32"/>
        <v>2646</v>
      </c>
      <c r="L2071" s="3">
        <v>1323</v>
      </c>
    </row>
    <row r="2072" spans="1:12" x14ac:dyDescent="0.25">
      <c r="A2072" t="s">
        <v>26</v>
      </c>
      <c r="B2072">
        <v>1185732</v>
      </c>
      <c r="C2072" s="1">
        <v>44289</v>
      </c>
      <c r="D2072" t="s">
        <v>32</v>
      </c>
      <c r="E2072" t="s">
        <v>108</v>
      </c>
      <c r="F2072" t="s">
        <v>109</v>
      </c>
      <c r="G2072" t="s">
        <v>41</v>
      </c>
      <c r="H2072" t="s">
        <v>22</v>
      </c>
      <c r="I2072" s="3">
        <v>42</v>
      </c>
      <c r="J2072" s="2">
        <v>131</v>
      </c>
      <c r="K2072" s="3">
        <f t="shared" si="32"/>
        <v>5502</v>
      </c>
      <c r="L2072" s="3">
        <v>2751</v>
      </c>
    </row>
    <row r="2073" spans="1:12" x14ac:dyDescent="0.25">
      <c r="A2073" t="s">
        <v>26</v>
      </c>
      <c r="B2073">
        <v>1185732</v>
      </c>
      <c r="C2073" s="1">
        <v>44289</v>
      </c>
      <c r="D2073" t="s">
        <v>32</v>
      </c>
      <c r="E2073" t="s">
        <v>108</v>
      </c>
      <c r="F2073" t="s">
        <v>109</v>
      </c>
      <c r="G2073" t="s">
        <v>41</v>
      </c>
      <c r="H2073" t="s">
        <v>38</v>
      </c>
      <c r="I2073" s="3">
        <v>27</v>
      </c>
      <c r="J2073" s="2">
        <v>263</v>
      </c>
      <c r="K2073" s="3">
        <f t="shared" si="32"/>
        <v>7101</v>
      </c>
      <c r="L2073" s="3">
        <v>3266.4599999999996</v>
      </c>
    </row>
    <row r="2074" spans="1:12" x14ac:dyDescent="0.25">
      <c r="A2074" t="s">
        <v>26</v>
      </c>
      <c r="B2074">
        <v>1185732</v>
      </c>
      <c r="C2074" s="1">
        <v>44289</v>
      </c>
      <c r="D2074" t="s">
        <v>32</v>
      </c>
      <c r="E2074" t="s">
        <v>108</v>
      </c>
      <c r="F2074" t="s">
        <v>109</v>
      </c>
      <c r="G2074" t="s">
        <v>41</v>
      </c>
      <c r="H2074" t="s">
        <v>37</v>
      </c>
      <c r="I2074" s="3">
        <v>24</v>
      </c>
      <c r="J2074" s="2">
        <v>140</v>
      </c>
      <c r="K2074" s="3">
        <f t="shared" si="32"/>
        <v>3360</v>
      </c>
      <c r="L2074" s="3">
        <v>1545.6</v>
      </c>
    </row>
    <row r="2075" spans="1:12" x14ac:dyDescent="0.25">
      <c r="A2075" t="s">
        <v>26</v>
      </c>
      <c r="B2075">
        <v>1185732</v>
      </c>
      <c r="C2075" s="1">
        <v>44289</v>
      </c>
      <c r="D2075" t="s">
        <v>32</v>
      </c>
      <c r="E2075" t="s">
        <v>108</v>
      </c>
      <c r="F2075" t="s">
        <v>109</v>
      </c>
      <c r="G2075" t="s">
        <v>41</v>
      </c>
      <c r="H2075" t="s">
        <v>35</v>
      </c>
      <c r="I2075" s="3">
        <v>20</v>
      </c>
      <c r="J2075" s="2">
        <v>144</v>
      </c>
      <c r="K2075" s="3">
        <f t="shared" si="32"/>
        <v>2880</v>
      </c>
      <c r="L2075" s="3">
        <v>1295.9999999999998</v>
      </c>
    </row>
    <row r="2076" spans="1:12" x14ac:dyDescent="0.25">
      <c r="A2076" t="s">
        <v>11</v>
      </c>
      <c r="B2076">
        <v>1185732</v>
      </c>
      <c r="C2076" s="1">
        <v>44289</v>
      </c>
      <c r="D2076" t="s">
        <v>57</v>
      </c>
      <c r="E2076" t="s">
        <v>85</v>
      </c>
      <c r="F2076" t="s">
        <v>86</v>
      </c>
      <c r="G2076" t="s">
        <v>41</v>
      </c>
      <c r="H2076" t="s">
        <v>16</v>
      </c>
      <c r="I2076" s="3">
        <v>49</v>
      </c>
      <c r="J2076" s="2">
        <v>61</v>
      </c>
      <c r="K2076" s="3">
        <f t="shared" si="32"/>
        <v>2989</v>
      </c>
      <c r="L2076" s="3">
        <v>1345.05</v>
      </c>
    </row>
    <row r="2077" spans="1:12" x14ac:dyDescent="0.25">
      <c r="A2077" t="s">
        <v>26</v>
      </c>
      <c r="B2077">
        <v>1185732</v>
      </c>
      <c r="C2077" s="1">
        <v>44289</v>
      </c>
      <c r="D2077" t="s">
        <v>32</v>
      </c>
      <c r="E2077" t="s">
        <v>108</v>
      </c>
      <c r="F2077" t="s">
        <v>109</v>
      </c>
      <c r="G2077" t="s">
        <v>41</v>
      </c>
      <c r="H2077" t="s">
        <v>16</v>
      </c>
      <c r="I2077" s="3">
        <v>32</v>
      </c>
      <c r="J2077" s="2">
        <v>189</v>
      </c>
      <c r="K2077" s="3">
        <f t="shared" si="32"/>
        <v>6048</v>
      </c>
      <c r="L2077" s="3">
        <v>2358.7200000000003</v>
      </c>
    </row>
    <row r="2078" spans="1:12" x14ac:dyDescent="0.25">
      <c r="A2078" t="s">
        <v>11</v>
      </c>
      <c r="B2078">
        <v>1185732</v>
      </c>
      <c r="C2078" s="1">
        <v>44289</v>
      </c>
      <c r="D2078" t="s">
        <v>57</v>
      </c>
      <c r="E2078" t="s">
        <v>85</v>
      </c>
      <c r="F2078" t="s">
        <v>86</v>
      </c>
      <c r="G2078" t="s">
        <v>41</v>
      </c>
      <c r="H2078" t="s">
        <v>22</v>
      </c>
      <c r="I2078" s="3">
        <v>55</v>
      </c>
      <c r="J2078" s="2">
        <v>26</v>
      </c>
      <c r="K2078" s="3">
        <f t="shared" si="32"/>
        <v>1430</v>
      </c>
      <c r="L2078" s="3">
        <v>543.4</v>
      </c>
    </row>
    <row r="2079" spans="1:12" x14ac:dyDescent="0.25">
      <c r="A2079" t="s">
        <v>26</v>
      </c>
      <c r="B2079">
        <v>1185732</v>
      </c>
      <c r="C2079" s="1">
        <v>44290</v>
      </c>
      <c r="D2079" t="s">
        <v>29</v>
      </c>
      <c r="E2079" t="s">
        <v>93</v>
      </c>
      <c r="F2079" t="s">
        <v>94</v>
      </c>
      <c r="G2079" t="s">
        <v>18</v>
      </c>
      <c r="H2079" t="s">
        <v>35</v>
      </c>
      <c r="I2079" s="3">
        <v>30.000000000000004</v>
      </c>
      <c r="J2079" s="2">
        <v>200</v>
      </c>
      <c r="K2079" s="3">
        <f t="shared" si="32"/>
        <v>6000.0000000000009</v>
      </c>
      <c r="L2079" s="3">
        <v>4200.0000000000009</v>
      </c>
    </row>
    <row r="2080" spans="1:12" x14ac:dyDescent="0.25">
      <c r="A2080" t="s">
        <v>26</v>
      </c>
      <c r="B2080">
        <v>1185732</v>
      </c>
      <c r="C2080" s="1">
        <v>44290</v>
      </c>
      <c r="D2080" t="s">
        <v>29</v>
      </c>
      <c r="E2080" t="s">
        <v>93</v>
      </c>
      <c r="F2080" t="s">
        <v>94</v>
      </c>
      <c r="G2080" t="s">
        <v>18</v>
      </c>
      <c r="H2080" t="s">
        <v>37</v>
      </c>
      <c r="I2080" s="3">
        <v>35</v>
      </c>
      <c r="J2080" s="2">
        <v>125</v>
      </c>
      <c r="K2080" s="3">
        <f t="shared" si="32"/>
        <v>4375</v>
      </c>
      <c r="L2080" s="3">
        <v>3062.5</v>
      </c>
    </row>
    <row r="2081" spans="1:12" x14ac:dyDescent="0.25">
      <c r="A2081" t="s">
        <v>26</v>
      </c>
      <c r="B2081">
        <v>1185732</v>
      </c>
      <c r="C2081" s="1">
        <v>44290</v>
      </c>
      <c r="D2081" t="s">
        <v>29</v>
      </c>
      <c r="E2081" t="s">
        <v>93</v>
      </c>
      <c r="F2081" t="s">
        <v>94</v>
      </c>
      <c r="G2081" t="s">
        <v>18</v>
      </c>
      <c r="H2081" t="s">
        <v>22</v>
      </c>
      <c r="I2081" s="3">
        <v>50</v>
      </c>
      <c r="J2081" s="2">
        <v>125</v>
      </c>
      <c r="K2081" s="3">
        <f t="shared" si="32"/>
        <v>6250</v>
      </c>
      <c r="L2081" s="3">
        <v>4375</v>
      </c>
    </row>
    <row r="2082" spans="1:12" x14ac:dyDescent="0.25">
      <c r="A2082" t="s">
        <v>26</v>
      </c>
      <c r="B2082">
        <v>1185732</v>
      </c>
      <c r="C2082" s="1">
        <v>44290</v>
      </c>
      <c r="D2082" t="s">
        <v>29</v>
      </c>
      <c r="E2082" t="s">
        <v>93</v>
      </c>
      <c r="F2082" t="s">
        <v>94</v>
      </c>
      <c r="G2082" t="s">
        <v>18</v>
      </c>
      <c r="H2082" t="s">
        <v>16</v>
      </c>
      <c r="I2082" s="3">
        <v>40</v>
      </c>
      <c r="J2082" s="2">
        <v>275</v>
      </c>
      <c r="K2082" s="3">
        <f t="shared" si="32"/>
        <v>11000</v>
      </c>
      <c r="L2082" s="3">
        <v>7150</v>
      </c>
    </row>
    <row r="2083" spans="1:12" x14ac:dyDescent="0.25">
      <c r="A2083" t="s">
        <v>26</v>
      </c>
      <c r="B2083">
        <v>1197831</v>
      </c>
      <c r="C2083" s="1">
        <v>44290</v>
      </c>
      <c r="D2083" t="s">
        <v>52</v>
      </c>
      <c r="E2083" t="s">
        <v>97</v>
      </c>
      <c r="F2083" t="s">
        <v>98</v>
      </c>
      <c r="G2083" t="s">
        <v>15</v>
      </c>
      <c r="H2083" t="s">
        <v>17</v>
      </c>
      <c r="I2083" s="3">
        <v>25.000000000000007</v>
      </c>
      <c r="J2083" s="2">
        <v>750</v>
      </c>
      <c r="K2083" s="3">
        <f t="shared" si="32"/>
        <v>18750.000000000004</v>
      </c>
      <c r="L2083" s="3">
        <v>11250.000000000004</v>
      </c>
    </row>
    <row r="2084" spans="1:12" x14ac:dyDescent="0.25">
      <c r="A2084" t="s">
        <v>26</v>
      </c>
      <c r="B2084">
        <v>1185732</v>
      </c>
      <c r="C2084" s="1">
        <v>44290</v>
      </c>
      <c r="D2084" t="s">
        <v>29</v>
      </c>
      <c r="E2084" t="s">
        <v>93</v>
      </c>
      <c r="F2084" t="s">
        <v>94</v>
      </c>
      <c r="G2084" t="s">
        <v>18</v>
      </c>
      <c r="H2084" t="s">
        <v>38</v>
      </c>
      <c r="I2084" s="3">
        <v>40</v>
      </c>
      <c r="J2084" s="2">
        <v>500</v>
      </c>
      <c r="K2084" s="3">
        <f t="shared" si="32"/>
        <v>20000</v>
      </c>
      <c r="L2084" s="3">
        <v>12000</v>
      </c>
    </row>
    <row r="2085" spans="1:12" x14ac:dyDescent="0.25">
      <c r="A2085" t="s">
        <v>26</v>
      </c>
      <c r="B2085">
        <v>1185732</v>
      </c>
      <c r="C2085" s="1">
        <v>44290</v>
      </c>
      <c r="D2085" t="s">
        <v>29</v>
      </c>
      <c r="E2085" t="s">
        <v>93</v>
      </c>
      <c r="F2085" t="s">
        <v>94</v>
      </c>
      <c r="G2085" t="s">
        <v>18</v>
      </c>
      <c r="H2085" t="s">
        <v>17</v>
      </c>
      <c r="I2085" s="3">
        <v>40</v>
      </c>
      <c r="J2085" s="2">
        <v>200</v>
      </c>
      <c r="K2085" s="3">
        <f t="shared" si="32"/>
        <v>8000</v>
      </c>
      <c r="L2085" s="3">
        <v>4800</v>
      </c>
    </row>
    <row r="2086" spans="1:12" x14ac:dyDescent="0.25">
      <c r="A2086" t="s">
        <v>26</v>
      </c>
      <c r="B2086">
        <v>1185732</v>
      </c>
      <c r="C2086" s="1">
        <v>44290</v>
      </c>
      <c r="D2086" t="s">
        <v>29</v>
      </c>
      <c r="E2086" t="s">
        <v>93</v>
      </c>
      <c r="F2086" t="s">
        <v>94</v>
      </c>
      <c r="G2086" t="s">
        <v>15</v>
      </c>
      <c r="H2086" t="s">
        <v>37</v>
      </c>
      <c r="I2086" s="3">
        <v>26</v>
      </c>
      <c r="J2086" s="2">
        <v>41</v>
      </c>
      <c r="K2086" s="3">
        <f t="shared" si="32"/>
        <v>1066</v>
      </c>
      <c r="L2086" s="3">
        <v>724.88</v>
      </c>
    </row>
    <row r="2087" spans="1:12" x14ac:dyDescent="0.25">
      <c r="A2087" t="s">
        <v>26</v>
      </c>
      <c r="B2087">
        <v>1185732</v>
      </c>
      <c r="C2087" s="1">
        <v>44290</v>
      </c>
      <c r="D2087" t="s">
        <v>29</v>
      </c>
      <c r="E2087" t="s">
        <v>93</v>
      </c>
      <c r="F2087" t="s">
        <v>94</v>
      </c>
      <c r="G2087" t="s">
        <v>15</v>
      </c>
      <c r="H2087" t="s">
        <v>22</v>
      </c>
      <c r="I2087" s="3">
        <v>37</v>
      </c>
      <c r="J2087" s="2">
        <v>40</v>
      </c>
      <c r="K2087" s="3">
        <f t="shared" si="32"/>
        <v>1480</v>
      </c>
      <c r="L2087" s="3">
        <v>976.80000000000007</v>
      </c>
    </row>
    <row r="2088" spans="1:12" x14ac:dyDescent="0.25">
      <c r="A2088" t="s">
        <v>26</v>
      </c>
      <c r="B2088">
        <v>1185732</v>
      </c>
      <c r="C2088" s="1">
        <v>44290</v>
      </c>
      <c r="D2088" t="s">
        <v>29</v>
      </c>
      <c r="E2088" t="s">
        <v>93</v>
      </c>
      <c r="F2088" t="s">
        <v>94</v>
      </c>
      <c r="G2088" t="s">
        <v>15</v>
      </c>
      <c r="H2088" t="s">
        <v>35</v>
      </c>
      <c r="I2088" s="3">
        <v>20</v>
      </c>
      <c r="J2088" s="2">
        <v>64</v>
      </c>
      <c r="K2088" s="3">
        <f t="shared" si="32"/>
        <v>1280</v>
      </c>
      <c r="L2088" s="3">
        <v>819.2</v>
      </c>
    </row>
    <row r="2089" spans="1:12" x14ac:dyDescent="0.25">
      <c r="A2089" t="s">
        <v>26</v>
      </c>
      <c r="B2089">
        <v>1185732</v>
      </c>
      <c r="C2089" s="1">
        <v>44290</v>
      </c>
      <c r="D2089" t="s">
        <v>29</v>
      </c>
      <c r="E2089" t="s">
        <v>93</v>
      </c>
      <c r="F2089" t="s">
        <v>94</v>
      </c>
      <c r="G2089" t="s">
        <v>15</v>
      </c>
      <c r="H2089" t="s">
        <v>16</v>
      </c>
      <c r="I2089" s="3">
        <v>26</v>
      </c>
      <c r="J2089" s="2">
        <v>94</v>
      </c>
      <c r="K2089" s="3">
        <f t="shared" si="32"/>
        <v>2444</v>
      </c>
      <c r="L2089" s="3">
        <v>1417.52</v>
      </c>
    </row>
    <row r="2090" spans="1:12" x14ac:dyDescent="0.25">
      <c r="A2090" t="s">
        <v>26</v>
      </c>
      <c r="B2090">
        <v>1185732</v>
      </c>
      <c r="C2090" s="1">
        <v>44290</v>
      </c>
      <c r="D2090" t="s">
        <v>29</v>
      </c>
      <c r="E2090" t="s">
        <v>93</v>
      </c>
      <c r="F2090" t="s">
        <v>94</v>
      </c>
      <c r="G2090" t="s">
        <v>41</v>
      </c>
      <c r="H2090" t="s">
        <v>35</v>
      </c>
      <c r="I2090" s="3">
        <v>29</v>
      </c>
      <c r="J2090" s="2">
        <v>56</v>
      </c>
      <c r="K2090" s="3">
        <f t="shared" si="32"/>
        <v>1624</v>
      </c>
      <c r="L2090" s="3">
        <v>925.68000000000006</v>
      </c>
    </row>
    <row r="2091" spans="1:12" x14ac:dyDescent="0.25">
      <c r="A2091" t="s">
        <v>26</v>
      </c>
      <c r="B2091">
        <v>1197831</v>
      </c>
      <c r="C2091" s="1">
        <v>44290</v>
      </c>
      <c r="D2091" t="s">
        <v>52</v>
      </c>
      <c r="E2091" t="s">
        <v>97</v>
      </c>
      <c r="F2091" t="s">
        <v>98</v>
      </c>
      <c r="G2091" t="s">
        <v>15</v>
      </c>
      <c r="H2091" t="s">
        <v>17</v>
      </c>
      <c r="I2091" s="3">
        <v>20</v>
      </c>
      <c r="J2091" s="2">
        <v>240</v>
      </c>
      <c r="K2091" s="3">
        <f t="shared" si="32"/>
        <v>4800</v>
      </c>
      <c r="L2091" s="3">
        <v>2688.0000000000005</v>
      </c>
    </row>
    <row r="2092" spans="1:12" x14ac:dyDescent="0.25">
      <c r="A2092" t="s">
        <v>26</v>
      </c>
      <c r="B2092">
        <v>1185732</v>
      </c>
      <c r="C2092" s="1">
        <v>44290</v>
      </c>
      <c r="D2092" t="s">
        <v>29</v>
      </c>
      <c r="E2092" t="s">
        <v>93</v>
      </c>
      <c r="F2092" t="s">
        <v>94</v>
      </c>
      <c r="G2092" t="s">
        <v>15</v>
      </c>
      <c r="H2092" t="s">
        <v>17</v>
      </c>
      <c r="I2092" s="3">
        <v>30</v>
      </c>
      <c r="J2092" s="2">
        <v>64</v>
      </c>
      <c r="K2092" s="3">
        <f t="shared" si="32"/>
        <v>1920</v>
      </c>
      <c r="L2092" s="3">
        <v>1075.2</v>
      </c>
    </row>
    <row r="2093" spans="1:12" x14ac:dyDescent="0.25">
      <c r="A2093" t="s">
        <v>26</v>
      </c>
      <c r="B2093">
        <v>1185732</v>
      </c>
      <c r="C2093" s="1">
        <v>44290</v>
      </c>
      <c r="D2093" t="s">
        <v>29</v>
      </c>
      <c r="E2093" t="s">
        <v>93</v>
      </c>
      <c r="F2093" t="s">
        <v>94</v>
      </c>
      <c r="G2093" t="s">
        <v>41</v>
      </c>
      <c r="H2093" t="s">
        <v>37</v>
      </c>
      <c r="I2093" s="3">
        <v>32</v>
      </c>
      <c r="J2093" s="2">
        <v>38</v>
      </c>
      <c r="K2093" s="3">
        <f t="shared" si="32"/>
        <v>1216</v>
      </c>
      <c r="L2093" s="3">
        <v>668.80000000000007</v>
      </c>
    </row>
    <row r="2094" spans="1:12" x14ac:dyDescent="0.25">
      <c r="A2094" t="s">
        <v>26</v>
      </c>
      <c r="B2094">
        <v>1185732</v>
      </c>
      <c r="C2094" s="1">
        <v>44290</v>
      </c>
      <c r="D2094" t="s">
        <v>29</v>
      </c>
      <c r="E2094" t="s">
        <v>93</v>
      </c>
      <c r="F2094" t="s">
        <v>94</v>
      </c>
      <c r="G2094" t="s">
        <v>41</v>
      </c>
      <c r="H2094" t="s">
        <v>22</v>
      </c>
      <c r="I2094" s="3">
        <v>46</v>
      </c>
      <c r="J2094" s="2">
        <v>35</v>
      </c>
      <c r="K2094" s="3">
        <f t="shared" si="32"/>
        <v>1610</v>
      </c>
      <c r="L2094" s="3">
        <v>885.50000000000011</v>
      </c>
    </row>
    <row r="2095" spans="1:12" x14ac:dyDescent="0.25">
      <c r="A2095" t="s">
        <v>26</v>
      </c>
      <c r="B2095">
        <v>1185732</v>
      </c>
      <c r="C2095" s="1">
        <v>44290</v>
      </c>
      <c r="D2095" t="s">
        <v>29</v>
      </c>
      <c r="E2095" t="s">
        <v>93</v>
      </c>
      <c r="F2095" t="s">
        <v>94</v>
      </c>
      <c r="G2095" t="s">
        <v>15</v>
      </c>
      <c r="H2095" t="s">
        <v>38</v>
      </c>
      <c r="I2095" s="3">
        <v>28</v>
      </c>
      <c r="J2095" s="2">
        <v>155</v>
      </c>
      <c r="K2095" s="3">
        <f t="shared" si="32"/>
        <v>4340</v>
      </c>
      <c r="L2095" s="3">
        <v>2343.6</v>
      </c>
    </row>
    <row r="2096" spans="1:12" x14ac:dyDescent="0.25">
      <c r="A2096" t="s">
        <v>26</v>
      </c>
      <c r="B2096">
        <v>1197831</v>
      </c>
      <c r="C2096" s="1">
        <v>44290</v>
      </c>
      <c r="D2096" t="s">
        <v>52</v>
      </c>
      <c r="E2096" t="s">
        <v>97</v>
      </c>
      <c r="F2096" t="s">
        <v>98</v>
      </c>
      <c r="G2096" t="s">
        <v>41</v>
      </c>
      <c r="H2096" t="s">
        <v>17</v>
      </c>
      <c r="I2096" s="3">
        <v>23</v>
      </c>
      <c r="J2096" s="2">
        <v>218</v>
      </c>
      <c r="K2096" s="3">
        <f t="shared" si="32"/>
        <v>5014</v>
      </c>
      <c r="L2096" s="3">
        <v>2507</v>
      </c>
    </row>
    <row r="2097" spans="1:12" x14ac:dyDescent="0.25">
      <c r="A2097" t="s">
        <v>26</v>
      </c>
      <c r="B2097">
        <v>1185732</v>
      </c>
      <c r="C2097" s="1">
        <v>44290</v>
      </c>
      <c r="D2097" t="s">
        <v>29</v>
      </c>
      <c r="E2097" t="s">
        <v>93</v>
      </c>
      <c r="F2097" t="s">
        <v>94</v>
      </c>
      <c r="G2097" t="s">
        <v>41</v>
      </c>
      <c r="H2097" t="s">
        <v>38</v>
      </c>
      <c r="I2097" s="3">
        <v>36</v>
      </c>
      <c r="J2097" s="2">
        <v>150</v>
      </c>
      <c r="K2097" s="3">
        <f t="shared" si="32"/>
        <v>5400</v>
      </c>
      <c r="L2097" s="3">
        <v>2700</v>
      </c>
    </row>
    <row r="2098" spans="1:12" x14ac:dyDescent="0.25">
      <c r="A2098" t="s">
        <v>26</v>
      </c>
      <c r="B2098">
        <v>1185732</v>
      </c>
      <c r="C2098" s="1">
        <v>44290</v>
      </c>
      <c r="D2098" t="s">
        <v>29</v>
      </c>
      <c r="E2098" t="s">
        <v>93</v>
      </c>
      <c r="F2098" t="s">
        <v>94</v>
      </c>
      <c r="G2098" t="s">
        <v>41</v>
      </c>
      <c r="H2098" t="s">
        <v>16</v>
      </c>
      <c r="I2098" s="3">
        <v>36</v>
      </c>
      <c r="J2098" s="2">
        <v>69</v>
      </c>
      <c r="K2098" s="3">
        <f t="shared" si="32"/>
        <v>2484</v>
      </c>
      <c r="L2098" s="3">
        <v>1242</v>
      </c>
    </row>
    <row r="2099" spans="1:12" x14ac:dyDescent="0.25">
      <c r="A2099" t="s">
        <v>26</v>
      </c>
      <c r="B2099">
        <v>1185732</v>
      </c>
      <c r="C2099" s="1">
        <v>44290</v>
      </c>
      <c r="D2099" t="s">
        <v>29</v>
      </c>
      <c r="E2099" t="s">
        <v>93</v>
      </c>
      <c r="F2099" t="s">
        <v>94</v>
      </c>
      <c r="G2099" t="s">
        <v>41</v>
      </c>
      <c r="H2099" t="s">
        <v>17</v>
      </c>
      <c r="I2099" s="3">
        <v>38</v>
      </c>
      <c r="J2099" s="2">
        <v>58</v>
      </c>
      <c r="K2099" s="3">
        <f t="shared" si="32"/>
        <v>2204</v>
      </c>
      <c r="L2099" s="3">
        <v>991.8</v>
      </c>
    </row>
    <row r="2100" spans="1:12" x14ac:dyDescent="0.25">
      <c r="A2100" t="s">
        <v>11</v>
      </c>
      <c r="B2100">
        <v>1197831</v>
      </c>
      <c r="C2100" s="1">
        <v>44291</v>
      </c>
      <c r="D2100" t="s">
        <v>12</v>
      </c>
      <c r="E2100" t="s">
        <v>66</v>
      </c>
      <c r="F2100" t="s">
        <v>67</v>
      </c>
      <c r="G2100" t="s">
        <v>41</v>
      </c>
      <c r="H2100" t="s">
        <v>22</v>
      </c>
      <c r="I2100" s="3">
        <v>35</v>
      </c>
      <c r="J2100" s="2">
        <v>275</v>
      </c>
      <c r="K2100" s="3">
        <f t="shared" si="32"/>
        <v>9625</v>
      </c>
      <c r="L2100" s="3">
        <v>6737.5</v>
      </c>
    </row>
    <row r="2101" spans="1:12" x14ac:dyDescent="0.25">
      <c r="A2101" t="s">
        <v>11</v>
      </c>
      <c r="B2101">
        <v>1197831</v>
      </c>
      <c r="C2101" s="1">
        <v>44291</v>
      </c>
      <c r="D2101" t="s">
        <v>12</v>
      </c>
      <c r="E2101" t="s">
        <v>66</v>
      </c>
      <c r="F2101" t="s">
        <v>67</v>
      </c>
      <c r="G2101" t="s">
        <v>41</v>
      </c>
      <c r="H2101" t="s">
        <v>17</v>
      </c>
      <c r="I2101" s="3">
        <v>30.000000000000004</v>
      </c>
      <c r="J2101" s="2">
        <v>650</v>
      </c>
      <c r="K2101" s="3">
        <f t="shared" si="32"/>
        <v>19500.000000000004</v>
      </c>
      <c r="L2101" s="3">
        <v>12675.000000000004</v>
      </c>
    </row>
    <row r="2102" spans="1:12" x14ac:dyDescent="0.25">
      <c r="A2102" t="s">
        <v>11</v>
      </c>
      <c r="B2102">
        <v>1197831</v>
      </c>
      <c r="C2102" s="1">
        <v>44291</v>
      </c>
      <c r="D2102" t="s">
        <v>12</v>
      </c>
      <c r="E2102" t="s">
        <v>66</v>
      </c>
      <c r="F2102" t="s">
        <v>67</v>
      </c>
      <c r="G2102" t="s">
        <v>41</v>
      </c>
      <c r="H2102" t="s">
        <v>35</v>
      </c>
      <c r="I2102" s="3">
        <v>24.999999999999996</v>
      </c>
      <c r="J2102" s="2">
        <v>475</v>
      </c>
      <c r="K2102" s="3">
        <f t="shared" si="32"/>
        <v>11874.999999999998</v>
      </c>
      <c r="L2102" s="3">
        <v>7718.75</v>
      </c>
    </row>
    <row r="2103" spans="1:12" x14ac:dyDescent="0.25">
      <c r="A2103" t="s">
        <v>11</v>
      </c>
      <c r="B2103">
        <v>1197831</v>
      </c>
      <c r="C2103" s="1">
        <v>44291</v>
      </c>
      <c r="D2103" t="s">
        <v>12</v>
      </c>
      <c r="E2103" t="s">
        <v>66</v>
      </c>
      <c r="F2103" t="s">
        <v>67</v>
      </c>
      <c r="G2103" t="s">
        <v>41</v>
      </c>
      <c r="H2103" t="s">
        <v>38</v>
      </c>
      <c r="I2103" s="3">
        <v>20</v>
      </c>
      <c r="J2103" s="2">
        <v>650</v>
      </c>
      <c r="K2103" s="3">
        <f t="shared" si="32"/>
        <v>13000</v>
      </c>
      <c r="L2103" s="3">
        <v>8450</v>
      </c>
    </row>
    <row r="2104" spans="1:12" x14ac:dyDescent="0.25">
      <c r="A2104" t="s">
        <v>26</v>
      </c>
      <c r="B2104">
        <v>1197831</v>
      </c>
      <c r="C2104" s="1">
        <v>44291</v>
      </c>
      <c r="D2104" t="s">
        <v>52</v>
      </c>
      <c r="E2104" t="s">
        <v>97</v>
      </c>
      <c r="F2104" t="s">
        <v>98</v>
      </c>
      <c r="G2104" t="s">
        <v>15</v>
      </c>
      <c r="H2104" t="s">
        <v>35</v>
      </c>
      <c r="I2104" s="3">
        <v>19.999999999999996</v>
      </c>
      <c r="J2104" s="2">
        <v>600</v>
      </c>
      <c r="K2104" s="3">
        <f t="shared" si="32"/>
        <v>11999.999999999998</v>
      </c>
      <c r="L2104" s="3">
        <v>7200</v>
      </c>
    </row>
    <row r="2105" spans="1:12" x14ac:dyDescent="0.25">
      <c r="A2105" t="s">
        <v>11</v>
      </c>
      <c r="B2105">
        <v>1197831</v>
      </c>
      <c r="C2105" s="1">
        <v>44291</v>
      </c>
      <c r="D2105" t="s">
        <v>12</v>
      </c>
      <c r="E2105" t="s">
        <v>66</v>
      </c>
      <c r="F2105" t="s">
        <v>67</v>
      </c>
      <c r="G2105" t="s">
        <v>41</v>
      </c>
      <c r="H2105" t="s">
        <v>37</v>
      </c>
      <c r="I2105" s="3">
        <v>30.000000000000004</v>
      </c>
      <c r="J2105" s="2">
        <v>375</v>
      </c>
      <c r="K2105" s="3">
        <f t="shared" si="32"/>
        <v>11250.000000000002</v>
      </c>
      <c r="L2105" s="3">
        <v>6187.5000000000009</v>
      </c>
    </row>
    <row r="2106" spans="1:12" x14ac:dyDescent="0.25">
      <c r="A2106" t="s">
        <v>11</v>
      </c>
      <c r="B2106">
        <v>1197831</v>
      </c>
      <c r="C2106" s="1">
        <v>44291</v>
      </c>
      <c r="D2106" t="s">
        <v>12</v>
      </c>
      <c r="E2106" t="s">
        <v>66</v>
      </c>
      <c r="F2106" t="s">
        <v>67</v>
      </c>
      <c r="G2106" t="s">
        <v>41</v>
      </c>
      <c r="H2106" t="s">
        <v>16</v>
      </c>
      <c r="I2106" s="3">
        <v>30.000000000000004</v>
      </c>
      <c r="J2106" s="2">
        <v>550</v>
      </c>
      <c r="K2106" s="3">
        <f t="shared" si="32"/>
        <v>16500.000000000004</v>
      </c>
      <c r="L2106" s="3">
        <v>8250.0000000000018</v>
      </c>
    </row>
    <row r="2107" spans="1:12" x14ac:dyDescent="0.25">
      <c r="A2107" t="s">
        <v>11</v>
      </c>
      <c r="B2107">
        <v>1197831</v>
      </c>
      <c r="C2107" s="1">
        <v>44291</v>
      </c>
      <c r="D2107" t="s">
        <v>12</v>
      </c>
      <c r="E2107" t="s">
        <v>66</v>
      </c>
      <c r="F2107" t="s">
        <v>67</v>
      </c>
      <c r="G2107" t="s">
        <v>15</v>
      </c>
      <c r="H2107" t="s">
        <v>22</v>
      </c>
      <c r="I2107" s="3">
        <v>27</v>
      </c>
      <c r="J2107" s="2">
        <v>91</v>
      </c>
      <c r="K2107" s="3">
        <f t="shared" si="32"/>
        <v>2457</v>
      </c>
      <c r="L2107" s="3">
        <v>1670.76</v>
      </c>
    </row>
    <row r="2108" spans="1:12" x14ac:dyDescent="0.25">
      <c r="A2108" t="s">
        <v>11</v>
      </c>
      <c r="B2108">
        <v>1197831</v>
      </c>
      <c r="C2108" s="1">
        <v>44291</v>
      </c>
      <c r="D2108" t="s">
        <v>12</v>
      </c>
      <c r="E2108" t="s">
        <v>66</v>
      </c>
      <c r="F2108" t="s">
        <v>67</v>
      </c>
      <c r="G2108" t="s">
        <v>15</v>
      </c>
      <c r="H2108" t="s">
        <v>35</v>
      </c>
      <c r="I2108" s="3">
        <v>19</v>
      </c>
      <c r="J2108" s="2">
        <v>162</v>
      </c>
      <c r="K2108" s="3">
        <f t="shared" si="32"/>
        <v>3078</v>
      </c>
      <c r="L2108" s="3">
        <v>1939.14</v>
      </c>
    </row>
    <row r="2109" spans="1:12" x14ac:dyDescent="0.25">
      <c r="A2109" t="s">
        <v>11</v>
      </c>
      <c r="B2109">
        <v>1197831</v>
      </c>
      <c r="C2109" s="1">
        <v>44291</v>
      </c>
      <c r="D2109" t="s">
        <v>12</v>
      </c>
      <c r="E2109" t="s">
        <v>66</v>
      </c>
      <c r="F2109" t="s">
        <v>67</v>
      </c>
      <c r="G2109" t="s">
        <v>15</v>
      </c>
      <c r="H2109" t="s">
        <v>17</v>
      </c>
      <c r="I2109" s="3">
        <v>21</v>
      </c>
      <c r="J2109" s="2">
        <v>215</v>
      </c>
      <c r="K2109" s="3">
        <f t="shared" si="32"/>
        <v>4515</v>
      </c>
      <c r="L2109" s="3">
        <v>2754.15</v>
      </c>
    </row>
    <row r="2110" spans="1:12" x14ac:dyDescent="0.25">
      <c r="A2110" t="s">
        <v>11</v>
      </c>
      <c r="B2110">
        <v>1197831</v>
      </c>
      <c r="C2110" s="1">
        <v>44291</v>
      </c>
      <c r="D2110" t="s">
        <v>12</v>
      </c>
      <c r="E2110" t="s">
        <v>66</v>
      </c>
      <c r="F2110" t="s">
        <v>67</v>
      </c>
      <c r="G2110" t="s">
        <v>15</v>
      </c>
      <c r="H2110" t="s">
        <v>38</v>
      </c>
      <c r="I2110" s="3">
        <v>15</v>
      </c>
      <c r="J2110" s="2">
        <v>215</v>
      </c>
      <c r="K2110" s="3">
        <f t="shared" si="32"/>
        <v>3225</v>
      </c>
      <c r="L2110" s="3">
        <v>1870.5</v>
      </c>
    </row>
    <row r="2111" spans="1:12" x14ac:dyDescent="0.25">
      <c r="A2111" t="s">
        <v>11</v>
      </c>
      <c r="B2111">
        <v>1197831</v>
      </c>
      <c r="C2111" s="1">
        <v>44291</v>
      </c>
      <c r="D2111" t="s">
        <v>12</v>
      </c>
      <c r="E2111" t="s">
        <v>66</v>
      </c>
      <c r="F2111" t="s">
        <v>67</v>
      </c>
      <c r="G2111" t="s">
        <v>41</v>
      </c>
      <c r="H2111" t="s">
        <v>22</v>
      </c>
      <c r="I2111" s="3">
        <v>34</v>
      </c>
      <c r="J2111" s="2">
        <v>72</v>
      </c>
      <c r="K2111" s="3">
        <f t="shared" si="32"/>
        <v>2448</v>
      </c>
      <c r="L2111" s="3">
        <v>1395.3600000000001</v>
      </c>
    </row>
    <row r="2112" spans="1:12" x14ac:dyDescent="0.25">
      <c r="A2112" t="s">
        <v>26</v>
      </c>
      <c r="B2112">
        <v>1197831</v>
      </c>
      <c r="C2112" s="1">
        <v>44291</v>
      </c>
      <c r="D2112" t="s">
        <v>52</v>
      </c>
      <c r="E2112" t="s">
        <v>97</v>
      </c>
      <c r="F2112" t="s">
        <v>98</v>
      </c>
      <c r="G2112" t="s">
        <v>15</v>
      </c>
      <c r="H2112" t="s">
        <v>35</v>
      </c>
      <c r="I2112" s="3">
        <v>14</v>
      </c>
      <c r="J2112" s="2">
        <v>204</v>
      </c>
      <c r="K2112" s="3">
        <f t="shared" si="32"/>
        <v>2856</v>
      </c>
      <c r="L2112" s="3">
        <v>1542.24</v>
      </c>
    </row>
    <row r="2113" spans="1:12" x14ac:dyDescent="0.25">
      <c r="A2113" t="s">
        <v>11</v>
      </c>
      <c r="B2113">
        <v>1197831</v>
      </c>
      <c r="C2113" s="1">
        <v>44291</v>
      </c>
      <c r="D2113" t="s">
        <v>12</v>
      </c>
      <c r="E2113" t="s">
        <v>66</v>
      </c>
      <c r="F2113" t="s">
        <v>67</v>
      </c>
      <c r="G2113" t="s">
        <v>41</v>
      </c>
      <c r="H2113" t="s">
        <v>38</v>
      </c>
      <c r="I2113" s="3">
        <v>19</v>
      </c>
      <c r="J2113" s="2">
        <v>195</v>
      </c>
      <c r="K2113" s="3">
        <f t="shared" si="32"/>
        <v>3705</v>
      </c>
      <c r="L2113" s="3">
        <v>1963.65</v>
      </c>
    </row>
    <row r="2114" spans="1:12" x14ac:dyDescent="0.25">
      <c r="A2114" t="s">
        <v>11</v>
      </c>
      <c r="B2114">
        <v>1197831</v>
      </c>
      <c r="C2114" s="1">
        <v>44291</v>
      </c>
      <c r="D2114" t="s">
        <v>12</v>
      </c>
      <c r="E2114" t="s">
        <v>66</v>
      </c>
      <c r="F2114" t="s">
        <v>67</v>
      </c>
      <c r="G2114" t="s">
        <v>41</v>
      </c>
      <c r="H2114" t="s">
        <v>35</v>
      </c>
      <c r="I2114" s="3">
        <v>24</v>
      </c>
      <c r="J2114" s="2">
        <v>138</v>
      </c>
      <c r="K2114" s="3">
        <f t="shared" si="32"/>
        <v>3312</v>
      </c>
      <c r="L2114" s="3">
        <v>1755.3600000000001</v>
      </c>
    </row>
    <row r="2115" spans="1:12" x14ac:dyDescent="0.25">
      <c r="A2115" t="s">
        <v>11</v>
      </c>
      <c r="B2115">
        <v>1197831</v>
      </c>
      <c r="C2115" s="1">
        <v>44291</v>
      </c>
      <c r="D2115" t="s">
        <v>12</v>
      </c>
      <c r="E2115" t="s">
        <v>66</v>
      </c>
      <c r="F2115" t="s">
        <v>67</v>
      </c>
      <c r="G2115" t="s">
        <v>41</v>
      </c>
      <c r="H2115" t="s">
        <v>17</v>
      </c>
      <c r="I2115" s="3">
        <v>29</v>
      </c>
      <c r="J2115" s="2">
        <v>195</v>
      </c>
      <c r="K2115" s="3">
        <f t="shared" ref="K2115:K2178" si="33">I2115*J2115</f>
        <v>5655</v>
      </c>
      <c r="L2115" s="3">
        <v>2940.6</v>
      </c>
    </row>
    <row r="2116" spans="1:12" x14ac:dyDescent="0.25">
      <c r="A2116" t="s">
        <v>11</v>
      </c>
      <c r="B2116">
        <v>1197831</v>
      </c>
      <c r="C2116" s="1">
        <v>44291</v>
      </c>
      <c r="D2116" t="s">
        <v>12</v>
      </c>
      <c r="E2116" t="s">
        <v>66</v>
      </c>
      <c r="F2116" t="s">
        <v>67</v>
      </c>
      <c r="G2116" t="s">
        <v>15</v>
      </c>
      <c r="H2116" t="s">
        <v>37</v>
      </c>
      <c r="I2116" s="3">
        <v>20</v>
      </c>
      <c r="J2116" s="2">
        <v>116</v>
      </c>
      <c r="K2116" s="3">
        <f t="shared" si="33"/>
        <v>2320</v>
      </c>
      <c r="L2116" s="3">
        <v>1183.2</v>
      </c>
    </row>
    <row r="2117" spans="1:12" x14ac:dyDescent="0.25">
      <c r="A2117" t="s">
        <v>26</v>
      </c>
      <c r="B2117">
        <v>1197831</v>
      </c>
      <c r="C2117" s="1">
        <v>44291</v>
      </c>
      <c r="D2117" t="s">
        <v>52</v>
      </c>
      <c r="E2117" t="s">
        <v>97</v>
      </c>
      <c r="F2117" t="s">
        <v>98</v>
      </c>
      <c r="G2117" t="s">
        <v>41</v>
      </c>
      <c r="H2117" t="s">
        <v>35</v>
      </c>
      <c r="I2117" s="3">
        <v>19</v>
      </c>
      <c r="J2117" s="2">
        <v>180</v>
      </c>
      <c r="K2117" s="3">
        <f t="shared" si="33"/>
        <v>3420</v>
      </c>
      <c r="L2117" s="3">
        <v>1573.1999999999998</v>
      </c>
    </row>
    <row r="2118" spans="1:12" x14ac:dyDescent="0.25">
      <c r="A2118" t="s">
        <v>11</v>
      </c>
      <c r="B2118">
        <v>1197831</v>
      </c>
      <c r="C2118" s="1">
        <v>44291</v>
      </c>
      <c r="D2118" t="s">
        <v>12</v>
      </c>
      <c r="E2118" t="s">
        <v>66</v>
      </c>
      <c r="F2118" t="s">
        <v>67</v>
      </c>
      <c r="G2118" t="s">
        <v>41</v>
      </c>
      <c r="H2118" t="s">
        <v>37</v>
      </c>
      <c r="I2118" s="3">
        <v>29</v>
      </c>
      <c r="J2118" s="2">
        <v>113</v>
      </c>
      <c r="K2118" s="3">
        <f t="shared" si="33"/>
        <v>3277</v>
      </c>
      <c r="L2118" s="3">
        <v>1474.6499999999999</v>
      </c>
    </row>
    <row r="2119" spans="1:12" x14ac:dyDescent="0.25">
      <c r="A2119" t="s">
        <v>11</v>
      </c>
      <c r="B2119">
        <v>1197831</v>
      </c>
      <c r="C2119" s="1">
        <v>44291</v>
      </c>
      <c r="D2119" t="s">
        <v>12</v>
      </c>
      <c r="E2119" t="s">
        <v>66</v>
      </c>
      <c r="F2119" t="s">
        <v>67</v>
      </c>
      <c r="G2119" t="s">
        <v>15</v>
      </c>
      <c r="H2119" t="s">
        <v>16</v>
      </c>
      <c r="I2119" s="3">
        <v>23</v>
      </c>
      <c r="J2119" s="2">
        <v>176</v>
      </c>
      <c r="K2119" s="3">
        <f t="shared" si="33"/>
        <v>4048</v>
      </c>
      <c r="L2119" s="3">
        <v>1740.6399999999999</v>
      </c>
    </row>
    <row r="2120" spans="1:12" x14ac:dyDescent="0.25">
      <c r="A2120" t="s">
        <v>11</v>
      </c>
      <c r="B2120">
        <v>1197831</v>
      </c>
      <c r="C2120" s="1">
        <v>44291</v>
      </c>
      <c r="D2120" t="s">
        <v>12</v>
      </c>
      <c r="E2120" t="s">
        <v>66</v>
      </c>
      <c r="F2120" t="s">
        <v>67</v>
      </c>
      <c r="G2120" t="s">
        <v>41</v>
      </c>
      <c r="H2120" t="s">
        <v>16</v>
      </c>
      <c r="I2120" s="3">
        <v>28</v>
      </c>
      <c r="J2120" s="2">
        <v>138</v>
      </c>
      <c r="K2120" s="3">
        <f t="shared" si="33"/>
        <v>3864</v>
      </c>
      <c r="L2120" s="3">
        <v>1506.96</v>
      </c>
    </row>
    <row r="2121" spans="1:12" x14ac:dyDescent="0.25">
      <c r="A2121" t="s">
        <v>27</v>
      </c>
      <c r="B2121">
        <v>1189833</v>
      </c>
      <c r="C2121" s="1">
        <v>44292</v>
      </c>
      <c r="D2121" t="s">
        <v>12</v>
      </c>
      <c r="E2121" t="s">
        <v>13</v>
      </c>
      <c r="F2121" t="s">
        <v>28</v>
      </c>
      <c r="G2121" t="s">
        <v>15</v>
      </c>
      <c r="H2121" t="s">
        <v>16</v>
      </c>
      <c r="I2121" s="3">
        <v>45</v>
      </c>
      <c r="J2121" s="2">
        <v>625</v>
      </c>
      <c r="K2121" s="3">
        <f t="shared" si="33"/>
        <v>28125</v>
      </c>
      <c r="L2121" s="3">
        <v>22500</v>
      </c>
    </row>
    <row r="2122" spans="1:12" x14ac:dyDescent="0.25">
      <c r="A2122" t="s">
        <v>19</v>
      </c>
      <c r="B2122">
        <v>1185732</v>
      </c>
      <c r="C2122" s="1">
        <v>44292</v>
      </c>
      <c r="D2122" t="s">
        <v>32</v>
      </c>
      <c r="E2122" t="s">
        <v>46</v>
      </c>
      <c r="F2122" t="s">
        <v>47</v>
      </c>
      <c r="G2122" t="s">
        <v>41</v>
      </c>
      <c r="H2122" t="s">
        <v>35</v>
      </c>
      <c r="I2122" s="3">
        <v>25</v>
      </c>
      <c r="J2122" s="2">
        <v>675</v>
      </c>
      <c r="K2122" s="3">
        <f t="shared" si="33"/>
        <v>16875</v>
      </c>
      <c r="L2122" s="3">
        <v>12656.25</v>
      </c>
    </row>
    <row r="2123" spans="1:12" x14ac:dyDescent="0.25">
      <c r="A2123" t="s">
        <v>19</v>
      </c>
      <c r="B2123">
        <v>1185732</v>
      </c>
      <c r="C2123" s="1">
        <v>44292</v>
      </c>
      <c r="D2123" t="s">
        <v>57</v>
      </c>
      <c r="E2123" t="s">
        <v>78</v>
      </c>
      <c r="F2123" t="s">
        <v>79</v>
      </c>
      <c r="G2123" t="s">
        <v>18</v>
      </c>
      <c r="H2123" t="s">
        <v>35</v>
      </c>
      <c r="I2123" s="3">
        <v>10.000000000000004</v>
      </c>
      <c r="J2123" s="2">
        <v>175</v>
      </c>
      <c r="K2123" s="3">
        <f t="shared" si="33"/>
        <v>1750.0000000000007</v>
      </c>
      <c r="L2123" s="3">
        <v>1225.0000000000005</v>
      </c>
    </row>
    <row r="2124" spans="1:12" x14ac:dyDescent="0.25">
      <c r="A2124" t="s">
        <v>19</v>
      </c>
      <c r="B2124">
        <v>1185732</v>
      </c>
      <c r="C2124" s="1">
        <v>44292</v>
      </c>
      <c r="D2124" t="s">
        <v>32</v>
      </c>
      <c r="E2124" t="s">
        <v>46</v>
      </c>
      <c r="F2124" t="s">
        <v>47</v>
      </c>
      <c r="G2124" t="s">
        <v>41</v>
      </c>
      <c r="H2124" t="s">
        <v>37</v>
      </c>
      <c r="I2124" s="3">
        <v>29.999999999999993</v>
      </c>
      <c r="J2124" s="2">
        <v>600</v>
      </c>
      <c r="K2124" s="3">
        <f t="shared" si="33"/>
        <v>17999.999999999996</v>
      </c>
      <c r="L2124" s="3">
        <v>12599.999999999996</v>
      </c>
    </row>
    <row r="2125" spans="1:12" x14ac:dyDescent="0.25">
      <c r="A2125" t="s">
        <v>19</v>
      </c>
      <c r="B2125">
        <v>1185732</v>
      </c>
      <c r="C2125" s="1">
        <v>44292</v>
      </c>
      <c r="D2125" t="s">
        <v>57</v>
      </c>
      <c r="E2125" t="s">
        <v>78</v>
      </c>
      <c r="F2125" t="s">
        <v>79</v>
      </c>
      <c r="G2125" t="s">
        <v>18</v>
      </c>
      <c r="H2125" t="s">
        <v>38</v>
      </c>
      <c r="I2125" s="3">
        <v>20.000000000000004</v>
      </c>
      <c r="J2125" s="2">
        <v>475</v>
      </c>
      <c r="K2125" s="3">
        <f t="shared" si="33"/>
        <v>9500.0000000000018</v>
      </c>
      <c r="L2125" s="3">
        <v>6650.0000000000018</v>
      </c>
    </row>
    <row r="2126" spans="1:12" x14ac:dyDescent="0.25">
      <c r="A2126" t="s">
        <v>19</v>
      </c>
      <c r="B2126">
        <v>1185732</v>
      </c>
      <c r="C2126" s="1">
        <v>44292</v>
      </c>
      <c r="D2126" t="s">
        <v>57</v>
      </c>
      <c r="E2126" t="s">
        <v>78</v>
      </c>
      <c r="F2126" t="s">
        <v>79</v>
      </c>
      <c r="G2126" t="s">
        <v>18</v>
      </c>
      <c r="H2126" t="s">
        <v>37</v>
      </c>
      <c r="I2126" s="3">
        <v>14.999999999999996</v>
      </c>
      <c r="J2126" s="2">
        <v>100</v>
      </c>
      <c r="K2126" s="3">
        <f t="shared" si="33"/>
        <v>1499.9999999999995</v>
      </c>
      <c r="L2126" s="3">
        <v>1049.9999999999995</v>
      </c>
    </row>
    <row r="2127" spans="1:12" x14ac:dyDescent="0.25">
      <c r="A2127" t="s">
        <v>19</v>
      </c>
      <c r="B2127">
        <v>1185732</v>
      </c>
      <c r="C2127" s="1">
        <v>44292</v>
      </c>
      <c r="D2127" t="s">
        <v>57</v>
      </c>
      <c r="E2127" t="s">
        <v>78</v>
      </c>
      <c r="F2127" t="s">
        <v>79</v>
      </c>
      <c r="G2127" t="s">
        <v>18</v>
      </c>
      <c r="H2127" t="s">
        <v>17</v>
      </c>
      <c r="I2127" s="3">
        <v>20.000000000000004</v>
      </c>
      <c r="J2127" s="2">
        <v>175</v>
      </c>
      <c r="K2127" s="3">
        <f t="shared" si="33"/>
        <v>3500.0000000000005</v>
      </c>
      <c r="L2127" s="3">
        <v>2275.0000000000009</v>
      </c>
    </row>
    <row r="2128" spans="1:12" x14ac:dyDescent="0.25">
      <c r="A2128" t="s">
        <v>19</v>
      </c>
      <c r="B2128">
        <v>1185732</v>
      </c>
      <c r="C2128" s="1">
        <v>44292</v>
      </c>
      <c r="D2128" t="s">
        <v>32</v>
      </c>
      <c r="E2128" t="s">
        <v>46</v>
      </c>
      <c r="F2128" t="s">
        <v>47</v>
      </c>
      <c r="G2128" t="s">
        <v>41</v>
      </c>
      <c r="H2128" t="s">
        <v>17</v>
      </c>
      <c r="I2128" s="3">
        <v>35</v>
      </c>
      <c r="J2128" s="2">
        <v>675</v>
      </c>
      <c r="K2128" s="3">
        <f t="shared" si="33"/>
        <v>23625</v>
      </c>
      <c r="L2128" s="3">
        <v>15356.25</v>
      </c>
    </row>
    <row r="2129" spans="1:12" x14ac:dyDescent="0.25">
      <c r="A2129" t="s">
        <v>19</v>
      </c>
      <c r="B2129">
        <v>1185732</v>
      </c>
      <c r="C2129" s="1">
        <v>44292</v>
      </c>
      <c r="D2129" t="s">
        <v>32</v>
      </c>
      <c r="E2129" t="s">
        <v>46</v>
      </c>
      <c r="F2129" t="s">
        <v>47</v>
      </c>
      <c r="G2129" t="s">
        <v>41</v>
      </c>
      <c r="H2129" t="s">
        <v>22</v>
      </c>
      <c r="I2129" s="3">
        <v>50</v>
      </c>
      <c r="J2129" s="2">
        <v>625</v>
      </c>
      <c r="K2129" s="3">
        <f t="shared" si="33"/>
        <v>31250</v>
      </c>
      <c r="L2129" s="3">
        <v>20312.5</v>
      </c>
    </row>
    <row r="2130" spans="1:12" x14ac:dyDescent="0.25">
      <c r="A2130" t="s">
        <v>19</v>
      </c>
      <c r="B2130">
        <v>1185732</v>
      </c>
      <c r="C2130" s="1">
        <v>44292</v>
      </c>
      <c r="D2130" t="s">
        <v>57</v>
      </c>
      <c r="E2130" t="s">
        <v>78</v>
      </c>
      <c r="F2130" t="s">
        <v>79</v>
      </c>
      <c r="G2130" t="s">
        <v>18</v>
      </c>
      <c r="H2130" t="s">
        <v>16</v>
      </c>
      <c r="I2130" s="3">
        <v>50</v>
      </c>
      <c r="J2130" s="2">
        <v>250</v>
      </c>
      <c r="K2130" s="3">
        <f t="shared" si="33"/>
        <v>12500</v>
      </c>
      <c r="L2130" s="3">
        <v>7500</v>
      </c>
    </row>
    <row r="2131" spans="1:12" x14ac:dyDescent="0.25">
      <c r="A2131" t="s">
        <v>19</v>
      </c>
      <c r="B2131">
        <v>1185732</v>
      </c>
      <c r="C2131" s="1">
        <v>44292</v>
      </c>
      <c r="D2131" t="s">
        <v>32</v>
      </c>
      <c r="E2131" t="s">
        <v>46</v>
      </c>
      <c r="F2131" t="s">
        <v>47</v>
      </c>
      <c r="G2131" t="s">
        <v>41</v>
      </c>
      <c r="H2131" t="s">
        <v>38</v>
      </c>
      <c r="I2131" s="3">
        <v>35</v>
      </c>
      <c r="J2131" s="2">
        <v>975</v>
      </c>
      <c r="K2131" s="3">
        <f t="shared" si="33"/>
        <v>34125</v>
      </c>
      <c r="L2131" s="3">
        <v>18768.75</v>
      </c>
    </row>
    <row r="2132" spans="1:12" x14ac:dyDescent="0.25">
      <c r="A2132" t="s">
        <v>26</v>
      </c>
      <c r="B2132">
        <v>1197831</v>
      </c>
      <c r="C2132" s="1">
        <v>44292</v>
      </c>
      <c r="D2132" t="s">
        <v>52</v>
      </c>
      <c r="E2132" t="s">
        <v>97</v>
      </c>
      <c r="F2132" t="s">
        <v>98</v>
      </c>
      <c r="G2132" t="s">
        <v>15</v>
      </c>
      <c r="H2132" t="s">
        <v>37</v>
      </c>
      <c r="I2132" s="3">
        <v>30.000000000000004</v>
      </c>
      <c r="J2132" s="2">
        <v>525</v>
      </c>
      <c r="K2132" s="3">
        <f t="shared" si="33"/>
        <v>15750.000000000002</v>
      </c>
      <c r="L2132" s="3">
        <v>7875.0000000000018</v>
      </c>
    </row>
    <row r="2133" spans="1:12" x14ac:dyDescent="0.25">
      <c r="A2133" t="s">
        <v>19</v>
      </c>
      <c r="B2133">
        <v>1185732</v>
      </c>
      <c r="C2133" s="1">
        <v>44292</v>
      </c>
      <c r="D2133" t="s">
        <v>32</v>
      </c>
      <c r="E2133" t="s">
        <v>46</v>
      </c>
      <c r="F2133" t="s">
        <v>47</v>
      </c>
      <c r="G2133" t="s">
        <v>41</v>
      </c>
      <c r="H2133" t="s">
        <v>16</v>
      </c>
      <c r="I2133" s="3">
        <v>40</v>
      </c>
      <c r="J2133" s="2">
        <v>775</v>
      </c>
      <c r="K2133" s="3">
        <f t="shared" si="33"/>
        <v>31000</v>
      </c>
      <c r="L2133" s="3">
        <v>15500</v>
      </c>
    </row>
    <row r="2134" spans="1:12" x14ac:dyDescent="0.25">
      <c r="A2134" t="s">
        <v>19</v>
      </c>
      <c r="B2134">
        <v>1185732</v>
      </c>
      <c r="C2134" s="1">
        <v>44292</v>
      </c>
      <c r="D2134" t="s">
        <v>57</v>
      </c>
      <c r="E2134" t="s">
        <v>78</v>
      </c>
      <c r="F2134" t="s">
        <v>79</v>
      </c>
      <c r="G2134" t="s">
        <v>18</v>
      </c>
      <c r="H2134" t="s">
        <v>22</v>
      </c>
      <c r="I2134" s="3">
        <v>60</v>
      </c>
      <c r="J2134" s="2">
        <v>125</v>
      </c>
      <c r="K2134" s="3">
        <f t="shared" si="33"/>
        <v>7500</v>
      </c>
      <c r="L2134" s="3">
        <v>3750</v>
      </c>
    </row>
    <row r="2135" spans="1:12" x14ac:dyDescent="0.25">
      <c r="A2135" t="s">
        <v>27</v>
      </c>
      <c r="B2135">
        <v>1189833</v>
      </c>
      <c r="C2135" s="1">
        <v>44292</v>
      </c>
      <c r="D2135" t="s">
        <v>12</v>
      </c>
      <c r="E2135" t="s">
        <v>13</v>
      </c>
      <c r="F2135" t="s">
        <v>28</v>
      </c>
      <c r="G2135" t="s">
        <v>15</v>
      </c>
      <c r="H2135" t="s">
        <v>16</v>
      </c>
      <c r="I2135" s="3">
        <v>33</v>
      </c>
      <c r="J2135" s="2">
        <v>194</v>
      </c>
      <c r="K2135" s="3">
        <f t="shared" si="33"/>
        <v>6402</v>
      </c>
      <c r="L2135" s="3">
        <v>4929.54</v>
      </c>
    </row>
    <row r="2136" spans="1:12" x14ac:dyDescent="0.25">
      <c r="A2136" t="s">
        <v>27</v>
      </c>
      <c r="B2136">
        <v>1189833</v>
      </c>
      <c r="C2136" s="1">
        <v>44292</v>
      </c>
      <c r="D2136" t="s">
        <v>12</v>
      </c>
      <c r="E2136" t="s">
        <v>13</v>
      </c>
      <c r="F2136" t="s">
        <v>28</v>
      </c>
      <c r="G2136" t="s">
        <v>41</v>
      </c>
      <c r="H2136" t="s">
        <v>16</v>
      </c>
      <c r="I2136" s="3">
        <v>41</v>
      </c>
      <c r="J2136" s="2">
        <v>188</v>
      </c>
      <c r="K2136" s="3">
        <f t="shared" si="33"/>
        <v>7708</v>
      </c>
      <c r="L2136" s="3">
        <v>5010.2000000000007</v>
      </c>
    </row>
    <row r="2137" spans="1:12" x14ac:dyDescent="0.25">
      <c r="A2137" t="s">
        <v>19</v>
      </c>
      <c r="B2137">
        <v>1185732</v>
      </c>
      <c r="C2137" s="1">
        <v>44292</v>
      </c>
      <c r="D2137" t="s">
        <v>32</v>
      </c>
      <c r="E2137" t="s">
        <v>46</v>
      </c>
      <c r="F2137" t="s">
        <v>47</v>
      </c>
      <c r="G2137" t="s">
        <v>41</v>
      </c>
      <c r="H2137" t="s">
        <v>35</v>
      </c>
      <c r="I2137" s="3">
        <v>24</v>
      </c>
      <c r="J2137" s="2">
        <v>182</v>
      </c>
      <c r="K2137" s="3">
        <f t="shared" si="33"/>
        <v>4368</v>
      </c>
      <c r="L2137" s="3">
        <v>2708.16</v>
      </c>
    </row>
    <row r="2138" spans="1:12" x14ac:dyDescent="0.25">
      <c r="A2138" t="s">
        <v>19</v>
      </c>
      <c r="B2138">
        <v>1185732</v>
      </c>
      <c r="C2138" s="1">
        <v>44292</v>
      </c>
      <c r="D2138" t="s">
        <v>32</v>
      </c>
      <c r="E2138" t="s">
        <v>46</v>
      </c>
      <c r="F2138" t="s">
        <v>47</v>
      </c>
      <c r="G2138" t="s">
        <v>41</v>
      </c>
      <c r="H2138" t="s">
        <v>37</v>
      </c>
      <c r="I2138" s="3">
        <v>27</v>
      </c>
      <c r="J2138" s="2">
        <v>180</v>
      </c>
      <c r="K2138" s="3">
        <f t="shared" si="33"/>
        <v>4860</v>
      </c>
      <c r="L2138" s="3">
        <v>2770.2</v>
      </c>
    </row>
    <row r="2139" spans="1:12" x14ac:dyDescent="0.25">
      <c r="A2139" t="s">
        <v>19</v>
      </c>
      <c r="B2139">
        <v>1185732</v>
      </c>
      <c r="C2139" s="1">
        <v>44292</v>
      </c>
      <c r="D2139" t="s">
        <v>57</v>
      </c>
      <c r="E2139" t="s">
        <v>78</v>
      </c>
      <c r="F2139" t="s">
        <v>79</v>
      </c>
      <c r="G2139" t="s">
        <v>41</v>
      </c>
      <c r="H2139" t="s">
        <v>35</v>
      </c>
      <c r="I2139" s="3">
        <v>10</v>
      </c>
      <c r="J2139" s="2">
        <v>53</v>
      </c>
      <c r="K2139" s="3">
        <f t="shared" si="33"/>
        <v>530</v>
      </c>
      <c r="L2139" s="3">
        <v>296.8</v>
      </c>
    </row>
    <row r="2140" spans="1:12" x14ac:dyDescent="0.25">
      <c r="A2140" t="s">
        <v>19</v>
      </c>
      <c r="B2140">
        <v>1185732</v>
      </c>
      <c r="C2140" s="1">
        <v>44292</v>
      </c>
      <c r="D2140" t="s">
        <v>57</v>
      </c>
      <c r="E2140" t="s">
        <v>78</v>
      </c>
      <c r="F2140" t="s">
        <v>79</v>
      </c>
      <c r="G2140" t="s">
        <v>41</v>
      </c>
      <c r="H2140" t="s">
        <v>37</v>
      </c>
      <c r="I2140" s="3">
        <v>15</v>
      </c>
      <c r="J2140" s="2">
        <v>28</v>
      </c>
      <c r="K2140" s="3">
        <f t="shared" si="33"/>
        <v>420</v>
      </c>
      <c r="L2140" s="3">
        <v>231.00000000000003</v>
      </c>
    </row>
    <row r="2141" spans="1:12" x14ac:dyDescent="0.25">
      <c r="A2141" t="s">
        <v>19</v>
      </c>
      <c r="B2141">
        <v>1185732</v>
      </c>
      <c r="C2141" s="1">
        <v>44292</v>
      </c>
      <c r="D2141" t="s">
        <v>57</v>
      </c>
      <c r="E2141" t="s">
        <v>78</v>
      </c>
      <c r="F2141" t="s">
        <v>79</v>
      </c>
      <c r="G2141" t="s">
        <v>41</v>
      </c>
      <c r="H2141" t="s">
        <v>38</v>
      </c>
      <c r="I2141" s="3">
        <v>20</v>
      </c>
      <c r="J2141" s="2">
        <v>124</v>
      </c>
      <c r="K2141" s="3">
        <f t="shared" si="33"/>
        <v>2480</v>
      </c>
      <c r="L2141" s="3">
        <v>1364</v>
      </c>
    </row>
    <row r="2142" spans="1:12" x14ac:dyDescent="0.25">
      <c r="A2142" t="s">
        <v>19</v>
      </c>
      <c r="B2142">
        <v>1185732</v>
      </c>
      <c r="C2142" s="1">
        <v>44292</v>
      </c>
      <c r="D2142" t="s">
        <v>32</v>
      </c>
      <c r="E2142" t="s">
        <v>46</v>
      </c>
      <c r="F2142" t="s">
        <v>47</v>
      </c>
      <c r="G2142" t="s">
        <v>41</v>
      </c>
      <c r="H2142" t="s">
        <v>17</v>
      </c>
      <c r="I2142" s="3">
        <v>34</v>
      </c>
      <c r="J2142" s="2">
        <v>182</v>
      </c>
      <c r="K2142" s="3">
        <f t="shared" si="33"/>
        <v>6188</v>
      </c>
      <c r="L2142" s="3">
        <v>3341.5200000000004</v>
      </c>
    </row>
    <row r="2143" spans="1:12" x14ac:dyDescent="0.25">
      <c r="A2143" t="s">
        <v>19</v>
      </c>
      <c r="B2143">
        <v>1185732</v>
      </c>
      <c r="C2143" s="1">
        <v>44292</v>
      </c>
      <c r="D2143" t="s">
        <v>57</v>
      </c>
      <c r="E2143" t="s">
        <v>78</v>
      </c>
      <c r="F2143" t="s">
        <v>79</v>
      </c>
      <c r="G2143" t="s">
        <v>41</v>
      </c>
      <c r="H2143" t="s">
        <v>17</v>
      </c>
      <c r="I2143" s="3">
        <v>18</v>
      </c>
      <c r="J2143" s="2">
        <v>49</v>
      </c>
      <c r="K2143" s="3">
        <f t="shared" si="33"/>
        <v>882</v>
      </c>
      <c r="L2143" s="3">
        <v>449.82</v>
      </c>
    </row>
    <row r="2144" spans="1:12" x14ac:dyDescent="0.25">
      <c r="A2144" t="s">
        <v>19</v>
      </c>
      <c r="B2144">
        <v>1185732</v>
      </c>
      <c r="C2144" s="1">
        <v>44292</v>
      </c>
      <c r="D2144" t="s">
        <v>32</v>
      </c>
      <c r="E2144" t="s">
        <v>46</v>
      </c>
      <c r="F2144" t="s">
        <v>47</v>
      </c>
      <c r="G2144" t="s">
        <v>41</v>
      </c>
      <c r="H2144" t="s">
        <v>22</v>
      </c>
      <c r="I2144" s="3">
        <v>47</v>
      </c>
      <c r="J2144" s="2">
        <v>188</v>
      </c>
      <c r="K2144" s="3">
        <f t="shared" si="33"/>
        <v>8836</v>
      </c>
      <c r="L2144" s="3">
        <v>4418</v>
      </c>
    </row>
    <row r="2145" spans="1:12" x14ac:dyDescent="0.25">
      <c r="A2145" t="s">
        <v>19</v>
      </c>
      <c r="B2145">
        <v>1185732</v>
      </c>
      <c r="C2145" s="1">
        <v>44292</v>
      </c>
      <c r="D2145" t="s">
        <v>57</v>
      </c>
      <c r="E2145" t="s">
        <v>78</v>
      </c>
      <c r="F2145" t="s">
        <v>79</v>
      </c>
      <c r="G2145" t="s">
        <v>41</v>
      </c>
      <c r="H2145" t="s">
        <v>16</v>
      </c>
      <c r="I2145" s="3">
        <v>46</v>
      </c>
      <c r="J2145" s="2">
        <v>63</v>
      </c>
      <c r="K2145" s="3">
        <f t="shared" si="33"/>
        <v>2898</v>
      </c>
      <c r="L2145" s="3">
        <v>1391.04</v>
      </c>
    </row>
    <row r="2146" spans="1:12" x14ac:dyDescent="0.25">
      <c r="A2146" t="s">
        <v>26</v>
      </c>
      <c r="B2146">
        <v>1197831</v>
      </c>
      <c r="C2146" s="1">
        <v>44292</v>
      </c>
      <c r="D2146" t="s">
        <v>52</v>
      </c>
      <c r="E2146" t="s">
        <v>97</v>
      </c>
      <c r="F2146" t="s">
        <v>98</v>
      </c>
      <c r="G2146" t="s">
        <v>15</v>
      </c>
      <c r="H2146" t="s">
        <v>37</v>
      </c>
      <c r="I2146" s="3">
        <v>20</v>
      </c>
      <c r="J2146" s="2">
        <v>179</v>
      </c>
      <c r="K2146" s="3">
        <f t="shared" si="33"/>
        <v>3580</v>
      </c>
      <c r="L2146" s="3">
        <v>1646.8</v>
      </c>
    </row>
    <row r="2147" spans="1:12" x14ac:dyDescent="0.25">
      <c r="A2147" t="s">
        <v>19</v>
      </c>
      <c r="B2147">
        <v>1185732</v>
      </c>
      <c r="C2147" s="1">
        <v>44292</v>
      </c>
      <c r="D2147" t="s">
        <v>32</v>
      </c>
      <c r="E2147" t="s">
        <v>46</v>
      </c>
      <c r="F2147" t="s">
        <v>47</v>
      </c>
      <c r="G2147" t="s">
        <v>41</v>
      </c>
      <c r="H2147" t="s">
        <v>38</v>
      </c>
      <c r="I2147" s="3">
        <v>33</v>
      </c>
      <c r="J2147" s="2">
        <v>283</v>
      </c>
      <c r="K2147" s="3">
        <f t="shared" si="33"/>
        <v>9339</v>
      </c>
      <c r="L2147" s="3">
        <v>4015.7699999999995</v>
      </c>
    </row>
    <row r="2148" spans="1:12" x14ac:dyDescent="0.25">
      <c r="A2148" t="s">
        <v>26</v>
      </c>
      <c r="B2148">
        <v>1197831</v>
      </c>
      <c r="C2148" s="1">
        <v>44292</v>
      </c>
      <c r="D2148" t="s">
        <v>52</v>
      </c>
      <c r="E2148" t="s">
        <v>97</v>
      </c>
      <c r="F2148" t="s">
        <v>98</v>
      </c>
      <c r="G2148" t="s">
        <v>41</v>
      </c>
      <c r="H2148" t="s">
        <v>37</v>
      </c>
      <c r="I2148" s="3">
        <v>27</v>
      </c>
      <c r="J2148" s="2">
        <v>142</v>
      </c>
      <c r="K2148" s="3">
        <f t="shared" si="33"/>
        <v>3834</v>
      </c>
      <c r="L2148" s="3">
        <v>1533.6</v>
      </c>
    </row>
    <row r="2149" spans="1:12" x14ac:dyDescent="0.25">
      <c r="A2149" t="s">
        <v>19</v>
      </c>
      <c r="B2149">
        <v>1185732</v>
      </c>
      <c r="C2149" s="1">
        <v>44292</v>
      </c>
      <c r="D2149" t="s">
        <v>57</v>
      </c>
      <c r="E2149" t="s">
        <v>78</v>
      </c>
      <c r="F2149" t="s">
        <v>79</v>
      </c>
      <c r="G2149" t="s">
        <v>41</v>
      </c>
      <c r="H2149" t="s">
        <v>22</v>
      </c>
      <c r="I2149" s="3">
        <v>55</v>
      </c>
      <c r="J2149" s="2">
        <v>34</v>
      </c>
      <c r="K2149" s="3">
        <f t="shared" si="33"/>
        <v>1870</v>
      </c>
      <c r="L2149" s="3">
        <v>729.3</v>
      </c>
    </row>
    <row r="2150" spans="1:12" x14ac:dyDescent="0.25">
      <c r="A2150" t="s">
        <v>19</v>
      </c>
      <c r="B2150">
        <v>1185732</v>
      </c>
      <c r="C2150" s="1">
        <v>44292</v>
      </c>
      <c r="D2150" t="s">
        <v>32</v>
      </c>
      <c r="E2150" t="s">
        <v>46</v>
      </c>
      <c r="F2150" t="s">
        <v>47</v>
      </c>
      <c r="G2150" t="s">
        <v>41</v>
      </c>
      <c r="H2150" t="s">
        <v>16</v>
      </c>
      <c r="I2150" s="3">
        <v>39</v>
      </c>
      <c r="J2150" s="2">
        <v>209</v>
      </c>
      <c r="K2150" s="3">
        <f t="shared" si="33"/>
        <v>8151</v>
      </c>
      <c r="L2150" s="3">
        <v>3015.87</v>
      </c>
    </row>
    <row r="2151" spans="1:12" x14ac:dyDescent="0.25">
      <c r="A2151" t="s">
        <v>27</v>
      </c>
      <c r="B2151">
        <v>1185732</v>
      </c>
      <c r="C2151" s="1">
        <v>44293</v>
      </c>
      <c r="D2151" t="s">
        <v>29</v>
      </c>
      <c r="E2151" t="s">
        <v>91</v>
      </c>
      <c r="F2151" t="s">
        <v>92</v>
      </c>
      <c r="G2151" t="s">
        <v>18</v>
      </c>
      <c r="H2151" t="s">
        <v>22</v>
      </c>
      <c r="I2151" s="3">
        <v>45</v>
      </c>
      <c r="J2151" s="2">
        <v>100</v>
      </c>
      <c r="K2151" s="3">
        <f t="shared" si="33"/>
        <v>4500</v>
      </c>
      <c r="L2151" s="3">
        <v>3150</v>
      </c>
    </row>
    <row r="2152" spans="1:12" x14ac:dyDescent="0.25">
      <c r="A2152" t="s">
        <v>19</v>
      </c>
      <c r="B2152">
        <v>1185732</v>
      </c>
      <c r="C2152" s="1">
        <v>44293</v>
      </c>
      <c r="D2152" t="s">
        <v>29</v>
      </c>
      <c r="E2152" t="s">
        <v>48</v>
      </c>
      <c r="F2152" t="s">
        <v>49</v>
      </c>
      <c r="G2152" t="s">
        <v>18</v>
      </c>
      <c r="H2152" t="s">
        <v>22</v>
      </c>
      <c r="I2152" s="3">
        <v>45</v>
      </c>
      <c r="J2152" s="2">
        <v>50</v>
      </c>
      <c r="K2152" s="3">
        <f t="shared" si="33"/>
        <v>2250</v>
      </c>
      <c r="L2152" s="3">
        <v>1575</v>
      </c>
    </row>
    <row r="2153" spans="1:12" x14ac:dyDescent="0.25">
      <c r="A2153" t="s">
        <v>26</v>
      </c>
      <c r="B2153">
        <v>1197831</v>
      </c>
      <c r="C2153" s="1">
        <v>44293</v>
      </c>
      <c r="D2153" t="s">
        <v>52</v>
      </c>
      <c r="E2153" t="s">
        <v>97</v>
      </c>
      <c r="F2153" t="s">
        <v>98</v>
      </c>
      <c r="G2153" t="s">
        <v>15</v>
      </c>
      <c r="H2153" t="s">
        <v>22</v>
      </c>
      <c r="I2153" s="3">
        <v>45</v>
      </c>
      <c r="J2153" s="2">
        <v>425</v>
      </c>
      <c r="K2153" s="3">
        <f t="shared" si="33"/>
        <v>19125</v>
      </c>
      <c r="L2153" s="3">
        <v>12431.25</v>
      </c>
    </row>
    <row r="2154" spans="1:12" x14ac:dyDescent="0.25">
      <c r="A2154" t="s">
        <v>27</v>
      </c>
      <c r="B2154">
        <v>1185732</v>
      </c>
      <c r="C2154" s="1">
        <v>44293</v>
      </c>
      <c r="D2154" t="s">
        <v>29</v>
      </c>
      <c r="E2154" t="s">
        <v>91</v>
      </c>
      <c r="F2154" t="s">
        <v>92</v>
      </c>
      <c r="G2154" t="s">
        <v>18</v>
      </c>
      <c r="H2154" t="s">
        <v>38</v>
      </c>
      <c r="I2154" s="3">
        <v>35</v>
      </c>
      <c r="J2154" s="2">
        <v>475</v>
      </c>
      <c r="K2154" s="3">
        <f t="shared" si="33"/>
        <v>16625</v>
      </c>
      <c r="L2154" s="3">
        <v>10806.25</v>
      </c>
    </row>
    <row r="2155" spans="1:12" x14ac:dyDescent="0.25">
      <c r="A2155" t="s">
        <v>27</v>
      </c>
      <c r="B2155">
        <v>1185732</v>
      </c>
      <c r="C2155" s="1">
        <v>44293</v>
      </c>
      <c r="D2155" t="s">
        <v>29</v>
      </c>
      <c r="E2155" t="s">
        <v>91</v>
      </c>
      <c r="F2155" t="s">
        <v>92</v>
      </c>
      <c r="G2155" t="s">
        <v>18</v>
      </c>
      <c r="H2155" t="s">
        <v>17</v>
      </c>
      <c r="I2155" s="3">
        <v>35</v>
      </c>
      <c r="J2155" s="2">
        <v>175</v>
      </c>
      <c r="K2155" s="3">
        <f t="shared" si="33"/>
        <v>6125</v>
      </c>
      <c r="L2155" s="3">
        <v>3981.25</v>
      </c>
    </row>
    <row r="2156" spans="1:12" x14ac:dyDescent="0.25">
      <c r="A2156" t="s">
        <v>19</v>
      </c>
      <c r="B2156">
        <v>1185732</v>
      </c>
      <c r="C2156" s="1">
        <v>44293</v>
      </c>
      <c r="D2156" t="s">
        <v>29</v>
      </c>
      <c r="E2156" t="s">
        <v>48</v>
      </c>
      <c r="F2156" t="s">
        <v>49</v>
      </c>
      <c r="G2156" t="s">
        <v>18</v>
      </c>
      <c r="H2156" t="s">
        <v>38</v>
      </c>
      <c r="I2156" s="3">
        <v>35</v>
      </c>
      <c r="J2156" s="2">
        <v>425</v>
      </c>
      <c r="K2156" s="3">
        <f t="shared" si="33"/>
        <v>14875</v>
      </c>
      <c r="L2156" s="3">
        <v>9668.75</v>
      </c>
    </row>
    <row r="2157" spans="1:12" x14ac:dyDescent="0.25">
      <c r="A2157" t="s">
        <v>19</v>
      </c>
      <c r="B2157">
        <v>1185732</v>
      </c>
      <c r="C2157" s="1">
        <v>44293</v>
      </c>
      <c r="D2157" t="s">
        <v>29</v>
      </c>
      <c r="E2157" t="s">
        <v>48</v>
      </c>
      <c r="F2157" t="s">
        <v>49</v>
      </c>
      <c r="G2157" t="s">
        <v>18</v>
      </c>
      <c r="H2157" t="s">
        <v>17</v>
      </c>
      <c r="I2157" s="3">
        <v>35</v>
      </c>
      <c r="J2157" s="2">
        <v>125</v>
      </c>
      <c r="K2157" s="3">
        <f t="shared" si="33"/>
        <v>4375</v>
      </c>
      <c r="L2157" s="3">
        <v>2843.75</v>
      </c>
    </row>
    <row r="2158" spans="1:12" x14ac:dyDescent="0.25">
      <c r="A2158" t="s">
        <v>27</v>
      </c>
      <c r="B2158">
        <v>1185732</v>
      </c>
      <c r="C2158" s="1">
        <v>44293</v>
      </c>
      <c r="D2158" t="s">
        <v>29</v>
      </c>
      <c r="E2158" t="s">
        <v>91</v>
      </c>
      <c r="F2158" t="s">
        <v>92</v>
      </c>
      <c r="G2158" t="s">
        <v>18</v>
      </c>
      <c r="H2158" t="s">
        <v>35</v>
      </c>
      <c r="I2158" s="3">
        <v>25.000000000000007</v>
      </c>
      <c r="J2158" s="2">
        <v>175</v>
      </c>
      <c r="K2158" s="3">
        <f t="shared" si="33"/>
        <v>4375.0000000000009</v>
      </c>
      <c r="L2158" s="3">
        <v>2625.0000000000009</v>
      </c>
    </row>
    <row r="2159" spans="1:12" x14ac:dyDescent="0.25">
      <c r="A2159" t="s">
        <v>27</v>
      </c>
      <c r="B2159">
        <v>1189833</v>
      </c>
      <c r="C2159" s="1">
        <v>44293</v>
      </c>
      <c r="D2159" t="s">
        <v>12</v>
      </c>
      <c r="E2159" t="s">
        <v>13</v>
      </c>
      <c r="F2159" t="s">
        <v>28</v>
      </c>
      <c r="G2159" t="s">
        <v>15</v>
      </c>
      <c r="H2159" t="s">
        <v>38</v>
      </c>
      <c r="I2159" s="3">
        <v>45</v>
      </c>
      <c r="J2159" s="2">
        <v>800</v>
      </c>
      <c r="K2159" s="3">
        <f t="shared" si="33"/>
        <v>36000</v>
      </c>
      <c r="L2159" s="3">
        <v>21600</v>
      </c>
    </row>
    <row r="2160" spans="1:12" x14ac:dyDescent="0.25">
      <c r="A2160" t="s">
        <v>27</v>
      </c>
      <c r="B2160">
        <v>1185732</v>
      </c>
      <c r="C2160" s="1">
        <v>44293</v>
      </c>
      <c r="D2160" t="s">
        <v>29</v>
      </c>
      <c r="E2160" t="s">
        <v>91</v>
      </c>
      <c r="F2160" t="s">
        <v>92</v>
      </c>
      <c r="G2160" t="s">
        <v>18</v>
      </c>
      <c r="H2160" t="s">
        <v>37</v>
      </c>
      <c r="I2160" s="3">
        <v>30</v>
      </c>
      <c r="J2160" s="2">
        <v>100</v>
      </c>
      <c r="K2160" s="3">
        <f t="shared" si="33"/>
        <v>3000</v>
      </c>
      <c r="L2160" s="3">
        <v>1800</v>
      </c>
    </row>
    <row r="2161" spans="1:12" x14ac:dyDescent="0.25">
      <c r="A2161" t="s">
        <v>27</v>
      </c>
      <c r="B2161">
        <v>1185732</v>
      </c>
      <c r="C2161" s="1">
        <v>44293</v>
      </c>
      <c r="D2161" t="s">
        <v>29</v>
      </c>
      <c r="E2161" t="s">
        <v>91</v>
      </c>
      <c r="F2161" t="s">
        <v>92</v>
      </c>
      <c r="G2161" t="s">
        <v>18</v>
      </c>
      <c r="H2161" t="s">
        <v>16</v>
      </c>
      <c r="I2161" s="3">
        <v>35</v>
      </c>
      <c r="J2161" s="2">
        <v>250</v>
      </c>
      <c r="K2161" s="3">
        <f t="shared" si="33"/>
        <v>8750</v>
      </c>
      <c r="L2161" s="3">
        <v>5250</v>
      </c>
    </row>
    <row r="2162" spans="1:12" x14ac:dyDescent="0.25">
      <c r="A2162" t="s">
        <v>19</v>
      </c>
      <c r="B2162">
        <v>1185732</v>
      </c>
      <c r="C2162" s="1">
        <v>44293</v>
      </c>
      <c r="D2162" t="s">
        <v>29</v>
      </c>
      <c r="E2162" t="s">
        <v>48</v>
      </c>
      <c r="F2162" t="s">
        <v>49</v>
      </c>
      <c r="G2162" t="s">
        <v>18</v>
      </c>
      <c r="H2162" t="s">
        <v>35</v>
      </c>
      <c r="I2162" s="3">
        <v>25.000000000000007</v>
      </c>
      <c r="J2162" s="2">
        <v>125</v>
      </c>
      <c r="K2162" s="3">
        <f t="shared" si="33"/>
        <v>3125.0000000000009</v>
      </c>
      <c r="L2162" s="3">
        <v>1875.0000000000005</v>
      </c>
    </row>
    <row r="2163" spans="1:12" x14ac:dyDescent="0.25">
      <c r="A2163" t="s">
        <v>19</v>
      </c>
      <c r="B2163">
        <v>1185732</v>
      </c>
      <c r="C2163" s="1">
        <v>44293</v>
      </c>
      <c r="D2163" t="s">
        <v>29</v>
      </c>
      <c r="E2163" t="s">
        <v>48</v>
      </c>
      <c r="F2163" t="s">
        <v>49</v>
      </c>
      <c r="G2163" t="s">
        <v>18</v>
      </c>
      <c r="H2163" t="s">
        <v>37</v>
      </c>
      <c r="I2163" s="3">
        <v>30</v>
      </c>
      <c r="J2163" s="2">
        <v>50</v>
      </c>
      <c r="K2163" s="3">
        <f t="shared" si="33"/>
        <v>1500</v>
      </c>
      <c r="L2163" s="3">
        <v>900</v>
      </c>
    </row>
    <row r="2164" spans="1:12" x14ac:dyDescent="0.25">
      <c r="A2164" t="s">
        <v>19</v>
      </c>
      <c r="B2164">
        <v>1185732</v>
      </c>
      <c r="C2164" s="1">
        <v>44293</v>
      </c>
      <c r="D2164" t="s">
        <v>29</v>
      </c>
      <c r="E2164" t="s">
        <v>48</v>
      </c>
      <c r="F2164" t="s">
        <v>49</v>
      </c>
      <c r="G2164" t="s">
        <v>18</v>
      </c>
      <c r="H2164" t="s">
        <v>16</v>
      </c>
      <c r="I2164" s="3">
        <v>35</v>
      </c>
      <c r="J2164" s="2">
        <v>200</v>
      </c>
      <c r="K2164" s="3">
        <f t="shared" si="33"/>
        <v>7000</v>
      </c>
      <c r="L2164" s="3">
        <v>4200</v>
      </c>
    </row>
    <row r="2165" spans="1:12" x14ac:dyDescent="0.25">
      <c r="A2165" t="s">
        <v>19</v>
      </c>
      <c r="B2165">
        <v>1185732</v>
      </c>
      <c r="C2165" s="1">
        <v>44293</v>
      </c>
      <c r="D2165" t="s">
        <v>29</v>
      </c>
      <c r="E2165" t="s">
        <v>48</v>
      </c>
      <c r="F2165" t="s">
        <v>49</v>
      </c>
      <c r="G2165" t="s">
        <v>15</v>
      </c>
      <c r="H2165" t="s">
        <v>22</v>
      </c>
      <c r="I2165" s="3">
        <v>33</v>
      </c>
      <c r="J2165" s="2">
        <v>15</v>
      </c>
      <c r="K2165" s="3">
        <f t="shared" si="33"/>
        <v>495</v>
      </c>
      <c r="L2165" s="3">
        <v>336.6</v>
      </c>
    </row>
    <row r="2166" spans="1:12" x14ac:dyDescent="0.25">
      <c r="A2166" t="s">
        <v>19</v>
      </c>
      <c r="B2166">
        <v>1185732</v>
      </c>
      <c r="C2166" s="1">
        <v>44293</v>
      </c>
      <c r="D2166" t="s">
        <v>29</v>
      </c>
      <c r="E2166" t="s">
        <v>48</v>
      </c>
      <c r="F2166" t="s">
        <v>49</v>
      </c>
      <c r="G2166" t="s">
        <v>41</v>
      </c>
      <c r="H2166" t="s">
        <v>22</v>
      </c>
      <c r="I2166" s="3">
        <v>44</v>
      </c>
      <c r="J2166" s="2">
        <v>15</v>
      </c>
      <c r="K2166" s="3">
        <f t="shared" si="33"/>
        <v>660</v>
      </c>
      <c r="L2166" s="3">
        <v>396</v>
      </c>
    </row>
    <row r="2167" spans="1:12" x14ac:dyDescent="0.25">
      <c r="A2167" t="s">
        <v>19</v>
      </c>
      <c r="B2167">
        <v>1185732</v>
      </c>
      <c r="C2167" s="1">
        <v>44293</v>
      </c>
      <c r="D2167" t="s">
        <v>29</v>
      </c>
      <c r="E2167" t="s">
        <v>48</v>
      </c>
      <c r="F2167" t="s">
        <v>49</v>
      </c>
      <c r="G2167" t="s">
        <v>15</v>
      </c>
      <c r="H2167" t="s">
        <v>17</v>
      </c>
      <c r="I2167" s="3">
        <v>23</v>
      </c>
      <c r="J2167" s="2">
        <v>40</v>
      </c>
      <c r="K2167" s="3">
        <f t="shared" si="33"/>
        <v>920</v>
      </c>
      <c r="L2167" s="3">
        <v>552</v>
      </c>
    </row>
    <row r="2168" spans="1:12" x14ac:dyDescent="0.25">
      <c r="A2168" t="s">
        <v>26</v>
      </c>
      <c r="B2168">
        <v>1197831</v>
      </c>
      <c r="C2168" s="1">
        <v>44293</v>
      </c>
      <c r="D2168" t="s">
        <v>52</v>
      </c>
      <c r="E2168" t="s">
        <v>97</v>
      </c>
      <c r="F2168" t="s">
        <v>98</v>
      </c>
      <c r="G2168" t="s">
        <v>15</v>
      </c>
      <c r="H2168" t="s">
        <v>22</v>
      </c>
      <c r="I2168" s="3">
        <v>33</v>
      </c>
      <c r="J2168" s="2">
        <v>132</v>
      </c>
      <c r="K2168" s="3">
        <f t="shared" si="33"/>
        <v>4356</v>
      </c>
      <c r="L2168" s="3">
        <v>2570.04</v>
      </c>
    </row>
    <row r="2169" spans="1:12" x14ac:dyDescent="0.25">
      <c r="A2169" t="s">
        <v>19</v>
      </c>
      <c r="B2169">
        <v>1185732</v>
      </c>
      <c r="C2169" s="1">
        <v>44293</v>
      </c>
      <c r="D2169" t="s">
        <v>29</v>
      </c>
      <c r="E2169" t="s">
        <v>48</v>
      </c>
      <c r="F2169" t="s">
        <v>49</v>
      </c>
      <c r="G2169" t="s">
        <v>15</v>
      </c>
      <c r="H2169" t="s">
        <v>38</v>
      </c>
      <c r="I2169" s="3">
        <v>28</v>
      </c>
      <c r="J2169" s="2">
        <v>132</v>
      </c>
      <c r="K2169" s="3">
        <f t="shared" si="33"/>
        <v>3696</v>
      </c>
      <c r="L2169" s="3">
        <v>2143.6800000000003</v>
      </c>
    </row>
    <row r="2170" spans="1:12" x14ac:dyDescent="0.25">
      <c r="A2170" t="s">
        <v>19</v>
      </c>
      <c r="B2170">
        <v>1185732</v>
      </c>
      <c r="C2170" s="1">
        <v>44293</v>
      </c>
      <c r="D2170" t="s">
        <v>29</v>
      </c>
      <c r="E2170" t="s">
        <v>48</v>
      </c>
      <c r="F2170" t="s">
        <v>49</v>
      </c>
      <c r="G2170" t="s">
        <v>15</v>
      </c>
      <c r="H2170" t="s">
        <v>35</v>
      </c>
      <c r="I2170" s="3">
        <v>16</v>
      </c>
      <c r="J2170" s="2">
        <v>44</v>
      </c>
      <c r="K2170" s="3">
        <f t="shared" si="33"/>
        <v>704</v>
      </c>
      <c r="L2170" s="3">
        <v>408.32</v>
      </c>
    </row>
    <row r="2171" spans="1:12" x14ac:dyDescent="0.25">
      <c r="A2171" t="s">
        <v>27</v>
      </c>
      <c r="B2171">
        <v>1185732</v>
      </c>
      <c r="C2171" s="1">
        <v>44293</v>
      </c>
      <c r="D2171" t="s">
        <v>29</v>
      </c>
      <c r="E2171" t="s">
        <v>91</v>
      </c>
      <c r="F2171" t="s">
        <v>92</v>
      </c>
      <c r="G2171" t="s">
        <v>41</v>
      </c>
      <c r="H2171" t="s">
        <v>22</v>
      </c>
      <c r="I2171" s="3">
        <v>44</v>
      </c>
      <c r="J2171" s="2">
        <v>27</v>
      </c>
      <c r="K2171" s="3">
        <f t="shared" si="33"/>
        <v>1188</v>
      </c>
      <c r="L2171" s="3">
        <v>665.28</v>
      </c>
    </row>
    <row r="2172" spans="1:12" x14ac:dyDescent="0.25">
      <c r="A2172" t="s">
        <v>19</v>
      </c>
      <c r="B2172">
        <v>1185732</v>
      </c>
      <c r="C2172" s="1">
        <v>44293</v>
      </c>
      <c r="D2172" t="s">
        <v>29</v>
      </c>
      <c r="E2172" t="s">
        <v>48</v>
      </c>
      <c r="F2172" t="s">
        <v>49</v>
      </c>
      <c r="G2172" t="s">
        <v>15</v>
      </c>
      <c r="H2172" t="s">
        <v>16</v>
      </c>
      <c r="I2172" s="3">
        <v>26</v>
      </c>
      <c r="J2172" s="2">
        <v>60</v>
      </c>
      <c r="K2172" s="3">
        <f t="shared" si="33"/>
        <v>1560</v>
      </c>
      <c r="L2172" s="3">
        <v>873.6</v>
      </c>
    </row>
    <row r="2173" spans="1:12" x14ac:dyDescent="0.25">
      <c r="A2173" t="s">
        <v>19</v>
      </c>
      <c r="B2173">
        <v>1185732</v>
      </c>
      <c r="C2173" s="1">
        <v>44293</v>
      </c>
      <c r="D2173" t="s">
        <v>29</v>
      </c>
      <c r="E2173" t="s">
        <v>48</v>
      </c>
      <c r="F2173" t="s">
        <v>49</v>
      </c>
      <c r="G2173" t="s">
        <v>15</v>
      </c>
      <c r="H2173" t="s">
        <v>37</v>
      </c>
      <c r="I2173" s="3">
        <v>21</v>
      </c>
      <c r="J2173" s="2">
        <v>17</v>
      </c>
      <c r="K2173" s="3">
        <f t="shared" si="33"/>
        <v>357</v>
      </c>
      <c r="L2173" s="3">
        <v>196.35</v>
      </c>
    </row>
    <row r="2174" spans="1:12" x14ac:dyDescent="0.25">
      <c r="A2174" t="s">
        <v>27</v>
      </c>
      <c r="B2174">
        <v>1185732</v>
      </c>
      <c r="C2174" s="1">
        <v>44293</v>
      </c>
      <c r="D2174" t="s">
        <v>29</v>
      </c>
      <c r="E2174" t="s">
        <v>91</v>
      </c>
      <c r="F2174" t="s">
        <v>92</v>
      </c>
      <c r="G2174" t="s">
        <v>41</v>
      </c>
      <c r="H2174" t="s">
        <v>17</v>
      </c>
      <c r="I2174" s="3">
        <v>33</v>
      </c>
      <c r="J2174" s="2">
        <v>51</v>
      </c>
      <c r="K2174" s="3">
        <f t="shared" si="33"/>
        <v>1683</v>
      </c>
      <c r="L2174" s="3">
        <v>908.82</v>
      </c>
    </row>
    <row r="2175" spans="1:12" x14ac:dyDescent="0.25">
      <c r="A2175" t="s">
        <v>27</v>
      </c>
      <c r="B2175">
        <v>1189833</v>
      </c>
      <c r="C2175" s="1">
        <v>44293</v>
      </c>
      <c r="D2175" t="s">
        <v>12</v>
      </c>
      <c r="E2175" t="s">
        <v>13</v>
      </c>
      <c r="F2175" t="s">
        <v>28</v>
      </c>
      <c r="G2175" t="s">
        <v>15</v>
      </c>
      <c r="H2175" t="s">
        <v>38</v>
      </c>
      <c r="I2175" s="3">
        <v>31</v>
      </c>
      <c r="J2175" s="2">
        <v>248</v>
      </c>
      <c r="K2175" s="3">
        <f t="shared" si="33"/>
        <v>7688</v>
      </c>
      <c r="L2175" s="3">
        <v>4151.5200000000004</v>
      </c>
    </row>
    <row r="2176" spans="1:12" x14ac:dyDescent="0.25">
      <c r="A2176" t="s">
        <v>26</v>
      </c>
      <c r="B2176">
        <v>1197831</v>
      </c>
      <c r="C2176" s="1">
        <v>44293</v>
      </c>
      <c r="D2176" t="s">
        <v>52</v>
      </c>
      <c r="E2176" t="s">
        <v>97</v>
      </c>
      <c r="F2176" t="s">
        <v>98</v>
      </c>
      <c r="G2176" t="s">
        <v>41</v>
      </c>
      <c r="H2176" t="s">
        <v>22</v>
      </c>
      <c r="I2176" s="3">
        <v>41</v>
      </c>
      <c r="J2176" s="2">
        <v>106</v>
      </c>
      <c r="K2176" s="3">
        <f t="shared" si="33"/>
        <v>4346</v>
      </c>
      <c r="L2176" s="3">
        <v>2216.46</v>
      </c>
    </row>
    <row r="2177" spans="1:12" x14ac:dyDescent="0.25">
      <c r="A2177" t="s">
        <v>19</v>
      </c>
      <c r="B2177">
        <v>1185732</v>
      </c>
      <c r="C2177" s="1">
        <v>44293</v>
      </c>
      <c r="D2177" t="s">
        <v>29</v>
      </c>
      <c r="E2177" t="s">
        <v>48</v>
      </c>
      <c r="F2177" t="s">
        <v>49</v>
      </c>
      <c r="G2177" t="s">
        <v>41</v>
      </c>
      <c r="H2177" t="s">
        <v>38</v>
      </c>
      <c r="I2177" s="3">
        <v>32</v>
      </c>
      <c r="J2177" s="2">
        <v>111</v>
      </c>
      <c r="K2177" s="3">
        <f t="shared" si="33"/>
        <v>3552</v>
      </c>
      <c r="L2177" s="3">
        <v>1811.52</v>
      </c>
    </row>
    <row r="2178" spans="1:12" x14ac:dyDescent="0.25">
      <c r="A2178" t="s">
        <v>27</v>
      </c>
      <c r="B2178">
        <v>1189833</v>
      </c>
      <c r="C2178" s="1">
        <v>44293</v>
      </c>
      <c r="D2178" t="s">
        <v>12</v>
      </c>
      <c r="E2178" t="s">
        <v>13</v>
      </c>
      <c r="F2178" t="s">
        <v>28</v>
      </c>
      <c r="G2178" t="s">
        <v>41</v>
      </c>
      <c r="H2178" t="s">
        <v>38</v>
      </c>
      <c r="I2178" s="3">
        <v>43</v>
      </c>
      <c r="J2178" s="2">
        <v>240</v>
      </c>
      <c r="K2178" s="3">
        <f t="shared" si="33"/>
        <v>10320</v>
      </c>
      <c r="L2178" s="3">
        <v>5160</v>
      </c>
    </row>
    <row r="2179" spans="1:12" x14ac:dyDescent="0.25">
      <c r="A2179" t="s">
        <v>27</v>
      </c>
      <c r="B2179">
        <v>1185732</v>
      </c>
      <c r="C2179" s="1">
        <v>44293</v>
      </c>
      <c r="D2179" t="s">
        <v>29</v>
      </c>
      <c r="E2179" t="s">
        <v>91</v>
      </c>
      <c r="F2179" t="s">
        <v>92</v>
      </c>
      <c r="G2179" t="s">
        <v>41</v>
      </c>
      <c r="H2179" t="s">
        <v>38</v>
      </c>
      <c r="I2179" s="3">
        <v>34</v>
      </c>
      <c r="J2179" s="2">
        <v>133</v>
      </c>
      <c r="K2179" s="3">
        <f t="shared" ref="K2179:K2242" si="34">I2179*J2179</f>
        <v>4522</v>
      </c>
      <c r="L2179" s="3">
        <v>2261</v>
      </c>
    </row>
    <row r="2180" spans="1:12" x14ac:dyDescent="0.25">
      <c r="A2180" t="s">
        <v>27</v>
      </c>
      <c r="B2180">
        <v>1185732</v>
      </c>
      <c r="C2180" s="1">
        <v>44293</v>
      </c>
      <c r="D2180" t="s">
        <v>29</v>
      </c>
      <c r="E2180" t="s">
        <v>91</v>
      </c>
      <c r="F2180" t="s">
        <v>92</v>
      </c>
      <c r="G2180" t="s">
        <v>41</v>
      </c>
      <c r="H2180" t="s">
        <v>35</v>
      </c>
      <c r="I2180" s="3">
        <v>24</v>
      </c>
      <c r="J2180" s="2">
        <v>51</v>
      </c>
      <c r="K2180" s="3">
        <f t="shared" si="34"/>
        <v>1224</v>
      </c>
      <c r="L2180" s="3">
        <v>612</v>
      </c>
    </row>
    <row r="2181" spans="1:12" x14ac:dyDescent="0.25">
      <c r="A2181" t="s">
        <v>19</v>
      </c>
      <c r="B2181">
        <v>1185732</v>
      </c>
      <c r="C2181" s="1">
        <v>44293</v>
      </c>
      <c r="D2181" t="s">
        <v>29</v>
      </c>
      <c r="E2181" t="s">
        <v>48</v>
      </c>
      <c r="F2181" t="s">
        <v>49</v>
      </c>
      <c r="G2181" t="s">
        <v>41</v>
      </c>
      <c r="H2181" t="s">
        <v>17</v>
      </c>
      <c r="I2181" s="3">
        <v>32</v>
      </c>
      <c r="J2181" s="2">
        <v>33</v>
      </c>
      <c r="K2181" s="3">
        <f t="shared" si="34"/>
        <v>1056</v>
      </c>
      <c r="L2181" s="3">
        <v>528</v>
      </c>
    </row>
    <row r="2182" spans="1:12" x14ac:dyDescent="0.25">
      <c r="A2182" t="s">
        <v>27</v>
      </c>
      <c r="B2182">
        <v>1185732</v>
      </c>
      <c r="C2182" s="1">
        <v>44293</v>
      </c>
      <c r="D2182" t="s">
        <v>29</v>
      </c>
      <c r="E2182" t="s">
        <v>91</v>
      </c>
      <c r="F2182" t="s">
        <v>92</v>
      </c>
      <c r="G2182" t="s">
        <v>41</v>
      </c>
      <c r="H2182" t="s">
        <v>37</v>
      </c>
      <c r="I2182" s="3">
        <v>27</v>
      </c>
      <c r="J2182" s="2">
        <v>27</v>
      </c>
      <c r="K2182" s="3">
        <f t="shared" si="34"/>
        <v>729</v>
      </c>
      <c r="L2182" s="3">
        <v>357.21</v>
      </c>
    </row>
    <row r="2183" spans="1:12" x14ac:dyDescent="0.25">
      <c r="A2183" t="s">
        <v>19</v>
      </c>
      <c r="B2183">
        <v>1185732</v>
      </c>
      <c r="C2183" s="1">
        <v>44293</v>
      </c>
      <c r="D2183" t="s">
        <v>29</v>
      </c>
      <c r="E2183" t="s">
        <v>48</v>
      </c>
      <c r="F2183" t="s">
        <v>49</v>
      </c>
      <c r="G2183" t="s">
        <v>41</v>
      </c>
      <c r="H2183" t="s">
        <v>35</v>
      </c>
      <c r="I2183" s="3">
        <v>24</v>
      </c>
      <c r="J2183" s="2">
        <v>36</v>
      </c>
      <c r="K2183" s="3">
        <f t="shared" si="34"/>
        <v>864</v>
      </c>
      <c r="L2183" s="3">
        <v>414.71999999999997</v>
      </c>
    </row>
    <row r="2184" spans="1:12" x14ac:dyDescent="0.25">
      <c r="A2184" t="s">
        <v>19</v>
      </c>
      <c r="B2184">
        <v>1185732</v>
      </c>
      <c r="C2184" s="1">
        <v>44293</v>
      </c>
      <c r="D2184" t="s">
        <v>29</v>
      </c>
      <c r="E2184" t="s">
        <v>48</v>
      </c>
      <c r="F2184" t="s">
        <v>49</v>
      </c>
      <c r="G2184" t="s">
        <v>41</v>
      </c>
      <c r="H2184" t="s">
        <v>16</v>
      </c>
      <c r="I2184" s="3">
        <v>33</v>
      </c>
      <c r="J2184" s="2">
        <v>50</v>
      </c>
      <c r="K2184" s="3">
        <f t="shared" si="34"/>
        <v>1650</v>
      </c>
      <c r="L2184" s="3">
        <v>792</v>
      </c>
    </row>
    <row r="2185" spans="1:12" x14ac:dyDescent="0.25">
      <c r="A2185" t="s">
        <v>19</v>
      </c>
      <c r="B2185">
        <v>1185732</v>
      </c>
      <c r="C2185" s="1">
        <v>44293</v>
      </c>
      <c r="D2185" t="s">
        <v>29</v>
      </c>
      <c r="E2185" t="s">
        <v>48</v>
      </c>
      <c r="F2185" t="s">
        <v>49</v>
      </c>
      <c r="G2185" t="s">
        <v>41</v>
      </c>
      <c r="H2185" t="s">
        <v>37</v>
      </c>
      <c r="I2185" s="3">
        <v>29</v>
      </c>
      <c r="J2185" s="2">
        <v>13</v>
      </c>
      <c r="K2185" s="3">
        <f t="shared" si="34"/>
        <v>377</v>
      </c>
      <c r="L2185" s="3">
        <v>177.19</v>
      </c>
    </row>
    <row r="2186" spans="1:12" x14ac:dyDescent="0.25">
      <c r="A2186" t="s">
        <v>27</v>
      </c>
      <c r="B2186">
        <v>1185732</v>
      </c>
      <c r="C2186" s="1">
        <v>44293</v>
      </c>
      <c r="D2186" t="s">
        <v>29</v>
      </c>
      <c r="E2186" t="s">
        <v>91</v>
      </c>
      <c r="F2186" t="s">
        <v>92</v>
      </c>
      <c r="G2186" t="s">
        <v>41</v>
      </c>
      <c r="H2186" t="s">
        <v>16</v>
      </c>
      <c r="I2186" s="3">
        <v>33</v>
      </c>
      <c r="J2186" s="2">
        <v>68</v>
      </c>
      <c r="K2186" s="3">
        <f t="shared" si="34"/>
        <v>2244</v>
      </c>
      <c r="L2186" s="3">
        <v>1032.24</v>
      </c>
    </row>
    <row r="2187" spans="1:12" x14ac:dyDescent="0.25">
      <c r="A2187" t="s">
        <v>27</v>
      </c>
      <c r="B2187">
        <v>1189833</v>
      </c>
      <c r="C2187" s="1">
        <v>44294</v>
      </c>
      <c r="D2187" t="s">
        <v>12</v>
      </c>
      <c r="E2187" t="s">
        <v>13</v>
      </c>
      <c r="F2187" t="s">
        <v>28</v>
      </c>
      <c r="G2187" t="s">
        <v>15</v>
      </c>
      <c r="H2187" t="s">
        <v>17</v>
      </c>
      <c r="I2187" s="3">
        <v>50</v>
      </c>
      <c r="J2187" s="2">
        <v>600</v>
      </c>
      <c r="K2187" s="3">
        <f t="shared" si="34"/>
        <v>30000</v>
      </c>
      <c r="L2187" s="3">
        <v>22500</v>
      </c>
    </row>
    <row r="2188" spans="1:12" x14ac:dyDescent="0.25">
      <c r="A2188" t="s">
        <v>26</v>
      </c>
      <c r="B2188">
        <v>1197831</v>
      </c>
      <c r="C2188" s="1">
        <v>44294</v>
      </c>
      <c r="D2188" t="s">
        <v>52</v>
      </c>
      <c r="E2188" t="s">
        <v>97</v>
      </c>
      <c r="F2188" t="s">
        <v>98</v>
      </c>
      <c r="G2188" t="s">
        <v>15</v>
      </c>
      <c r="H2188" t="s">
        <v>16</v>
      </c>
      <c r="I2188" s="3">
        <v>40</v>
      </c>
      <c r="J2188" s="2">
        <v>775</v>
      </c>
      <c r="K2188" s="3">
        <f t="shared" si="34"/>
        <v>31000</v>
      </c>
      <c r="L2188" s="3">
        <v>13950</v>
      </c>
    </row>
    <row r="2189" spans="1:12" x14ac:dyDescent="0.25">
      <c r="A2189" t="s">
        <v>27</v>
      </c>
      <c r="B2189">
        <v>1189833</v>
      </c>
      <c r="C2189" s="1">
        <v>44294</v>
      </c>
      <c r="D2189" t="s">
        <v>12</v>
      </c>
      <c r="E2189" t="s">
        <v>13</v>
      </c>
      <c r="F2189" t="s">
        <v>28</v>
      </c>
      <c r="G2189" t="s">
        <v>15</v>
      </c>
      <c r="H2189" t="s">
        <v>17</v>
      </c>
      <c r="I2189" s="3">
        <v>34</v>
      </c>
      <c r="J2189" s="2">
        <v>210</v>
      </c>
      <c r="K2189" s="3">
        <f t="shared" si="34"/>
        <v>7140</v>
      </c>
      <c r="L2189" s="3">
        <v>5069.3999999999996</v>
      </c>
    </row>
    <row r="2190" spans="1:12" x14ac:dyDescent="0.25">
      <c r="A2190" t="s">
        <v>27</v>
      </c>
      <c r="B2190">
        <v>1189833</v>
      </c>
      <c r="C2190" s="1">
        <v>44294</v>
      </c>
      <c r="D2190" t="s">
        <v>12</v>
      </c>
      <c r="E2190" t="s">
        <v>13</v>
      </c>
      <c r="F2190" t="s">
        <v>28</v>
      </c>
      <c r="G2190" t="s">
        <v>41</v>
      </c>
      <c r="H2190" t="s">
        <v>17</v>
      </c>
      <c r="I2190" s="3">
        <v>49</v>
      </c>
      <c r="J2190" s="2">
        <v>156</v>
      </c>
      <c r="K2190" s="3">
        <f t="shared" si="34"/>
        <v>7644</v>
      </c>
      <c r="L2190" s="3">
        <v>4892.16</v>
      </c>
    </row>
    <row r="2191" spans="1:12" x14ac:dyDescent="0.25">
      <c r="A2191" t="s">
        <v>26</v>
      </c>
      <c r="B2191">
        <v>1197831</v>
      </c>
      <c r="C2191" s="1">
        <v>44294</v>
      </c>
      <c r="D2191" t="s">
        <v>52</v>
      </c>
      <c r="E2191" t="s">
        <v>97</v>
      </c>
      <c r="F2191" t="s">
        <v>98</v>
      </c>
      <c r="G2191" t="s">
        <v>15</v>
      </c>
      <c r="H2191" t="s">
        <v>16</v>
      </c>
      <c r="I2191" s="3">
        <v>31</v>
      </c>
      <c r="J2191" s="2">
        <v>271</v>
      </c>
      <c r="K2191" s="3">
        <f t="shared" si="34"/>
        <v>8401</v>
      </c>
      <c r="L2191" s="3">
        <v>3444.4099999999989</v>
      </c>
    </row>
    <row r="2192" spans="1:12" x14ac:dyDescent="0.25">
      <c r="A2192" t="s">
        <v>26</v>
      </c>
      <c r="B2192">
        <v>1197831</v>
      </c>
      <c r="C2192" s="1">
        <v>44294</v>
      </c>
      <c r="D2192" t="s">
        <v>52</v>
      </c>
      <c r="E2192" t="s">
        <v>97</v>
      </c>
      <c r="F2192" t="s">
        <v>98</v>
      </c>
      <c r="G2192" t="s">
        <v>41</v>
      </c>
      <c r="H2192" t="s">
        <v>16</v>
      </c>
      <c r="I2192" s="3">
        <v>38</v>
      </c>
      <c r="J2192" s="2">
        <v>202</v>
      </c>
      <c r="K2192" s="3">
        <f t="shared" si="34"/>
        <v>7676</v>
      </c>
      <c r="L2192" s="3">
        <v>2533.08</v>
      </c>
    </row>
    <row r="2193" spans="1:12" x14ac:dyDescent="0.25">
      <c r="A2193" t="s">
        <v>11</v>
      </c>
      <c r="B2193">
        <v>1185732</v>
      </c>
      <c r="C2193" s="1">
        <v>44295</v>
      </c>
      <c r="D2193" t="s">
        <v>29</v>
      </c>
      <c r="E2193" t="s">
        <v>60</v>
      </c>
      <c r="F2193" t="s">
        <v>61</v>
      </c>
      <c r="G2193" t="s">
        <v>18</v>
      </c>
      <c r="H2193" t="s">
        <v>35</v>
      </c>
      <c r="I2193" s="3">
        <v>35</v>
      </c>
      <c r="J2193" s="2">
        <v>525</v>
      </c>
      <c r="K2193" s="3">
        <f t="shared" si="34"/>
        <v>18375</v>
      </c>
      <c r="L2193" s="3">
        <v>13781.25</v>
      </c>
    </row>
    <row r="2194" spans="1:12" x14ac:dyDescent="0.25">
      <c r="A2194" t="s">
        <v>11</v>
      </c>
      <c r="B2194">
        <v>1185732</v>
      </c>
      <c r="C2194" s="1">
        <v>44295</v>
      </c>
      <c r="D2194" t="s">
        <v>29</v>
      </c>
      <c r="E2194" t="s">
        <v>60</v>
      </c>
      <c r="F2194" t="s">
        <v>61</v>
      </c>
      <c r="G2194" t="s">
        <v>18</v>
      </c>
      <c r="H2194" t="s">
        <v>37</v>
      </c>
      <c r="I2194" s="3">
        <v>40</v>
      </c>
      <c r="J2194" s="2">
        <v>450</v>
      </c>
      <c r="K2194" s="3">
        <f t="shared" si="34"/>
        <v>18000</v>
      </c>
      <c r="L2194" s="3">
        <v>12600</v>
      </c>
    </row>
    <row r="2195" spans="1:12" x14ac:dyDescent="0.25">
      <c r="A2195" t="s">
        <v>26</v>
      </c>
      <c r="B2195">
        <v>1185732</v>
      </c>
      <c r="C2195" s="1">
        <v>44295</v>
      </c>
      <c r="D2195" t="s">
        <v>57</v>
      </c>
      <c r="E2195" t="s">
        <v>76</v>
      </c>
      <c r="F2195" t="s">
        <v>77</v>
      </c>
      <c r="G2195" t="s">
        <v>41</v>
      </c>
      <c r="H2195" t="s">
        <v>17</v>
      </c>
      <c r="I2195" s="3">
        <v>30.000000000000004</v>
      </c>
      <c r="J2195" s="2">
        <v>150</v>
      </c>
      <c r="K2195" s="3">
        <f t="shared" si="34"/>
        <v>4500.0000000000009</v>
      </c>
      <c r="L2195" s="3">
        <v>3150.0000000000009</v>
      </c>
    </row>
    <row r="2196" spans="1:12" x14ac:dyDescent="0.25">
      <c r="A2196" t="s">
        <v>26</v>
      </c>
      <c r="B2196">
        <v>1185732</v>
      </c>
      <c r="C2196" s="1">
        <v>44295</v>
      </c>
      <c r="D2196" t="s">
        <v>57</v>
      </c>
      <c r="E2196" t="s">
        <v>76</v>
      </c>
      <c r="F2196" t="s">
        <v>77</v>
      </c>
      <c r="G2196" t="s">
        <v>41</v>
      </c>
      <c r="H2196" t="s">
        <v>35</v>
      </c>
      <c r="I2196" s="3">
        <v>20.000000000000004</v>
      </c>
      <c r="J2196" s="2">
        <v>150</v>
      </c>
      <c r="K2196" s="3">
        <f t="shared" si="34"/>
        <v>3000.0000000000005</v>
      </c>
      <c r="L2196" s="3">
        <v>2100.0000000000005</v>
      </c>
    </row>
    <row r="2197" spans="1:12" x14ac:dyDescent="0.25">
      <c r="A2197" t="s">
        <v>26</v>
      </c>
      <c r="B2197">
        <v>1185732</v>
      </c>
      <c r="C2197" s="1">
        <v>44295</v>
      </c>
      <c r="D2197" t="s">
        <v>57</v>
      </c>
      <c r="E2197" t="s">
        <v>76</v>
      </c>
      <c r="F2197" t="s">
        <v>77</v>
      </c>
      <c r="G2197" t="s">
        <v>41</v>
      </c>
      <c r="H2197" t="s">
        <v>37</v>
      </c>
      <c r="I2197" s="3">
        <v>24.999999999999996</v>
      </c>
      <c r="J2197" s="2">
        <v>75</v>
      </c>
      <c r="K2197" s="3">
        <f t="shared" si="34"/>
        <v>1874.9999999999998</v>
      </c>
      <c r="L2197" s="3">
        <v>1312.4999999999995</v>
      </c>
    </row>
    <row r="2198" spans="1:12" x14ac:dyDescent="0.25">
      <c r="A2198" t="s">
        <v>26</v>
      </c>
      <c r="B2198">
        <v>1185732</v>
      </c>
      <c r="C2198" s="1">
        <v>44295</v>
      </c>
      <c r="D2198" t="s">
        <v>57</v>
      </c>
      <c r="E2198" t="s">
        <v>76</v>
      </c>
      <c r="F2198" t="s">
        <v>77</v>
      </c>
      <c r="G2198" t="s">
        <v>41</v>
      </c>
      <c r="H2198" t="s">
        <v>38</v>
      </c>
      <c r="I2198" s="3">
        <v>30.000000000000004</v>
      </c>
      <c r="J2198" s="2">
        <v>450</v>
      </c>
      <c r="K2198" s="3">
        <f t="shared" si="34"/>
        <v>13500.000000000002</v>
      </c>
      <c r="L2198" s="3">
        <v>8775.0000000000036</v>
      </c>
    </row>
    <row r="2199" spans="1:12" x14ac:dyDescent="0.25">
      <c r="A2199" t="s">
        <v>11</v>
      </c>
      <c r="B2199">
        <v>1185732</v>
      </c>
      <c r="C2199" s="1">
        <v>44295</v>
      </c>
      <c r="D2199" t="s">
        <v>29</v>
      </c>
      <c r="E2199" t="s">
        <v>60</v>
      </c>
      <c r="F2199" t="s">
        <v>61</v>
      </c>
      <c r="G2199" t="s">
        <v>18</v>
      </c>
      <c r="H2199" t="s">
        <v>17</v>
      </c>
      <c r="I2199" s="3">
        <v>45</v>
      </c>
      <c r="J2199" s="2">
        <v>525</v>
      </c>
      <c r="K2199" s="3">
        <f t="shared" si="34"/>
        <v>23625</v>
      </c>
      <c r="L2199" s="3">
        <v>15356.25</v>
      </c>
    </row>
    <row r="2200" spans="1:12" x14ac:dyDescent="0.25">
      <c r="A2200" t="s">
        <v>11</v>
      </c>
      <c r="B2200">
        <v>1185732</v>
      </c>
      <c r="C2200" s="1">
        <v>44295</v>
      </c>
      <c r="D2200" t="s">
        <v>29</v>
      </c>
      <c r="E2200" t="s">
        <v>60</v>
      </c>
      <c r="F2200" t="s">
        <v>61</v>
      </c>
      <c r="G2200" t="s">
        <v>18</v>
      </c>
      <c r="H2200" t="s">
        <v>22</v>
      </c>
      <c r="I2200" s="3">
        <v>55.000000000000007</v>
      </c>
      <c r="J2200" s="2">
        <v>475</v>
      </c>
      <c r="K2200" s="3">
        <f t="shared" si="34"/>
        <v>26125.000000000004</v>
      </c>
      <c r="L2200" s="3">
        <v>16981.250000000004</v>
      </c>
    </row>
    <row r="2201" spans="1:12" x14ac:dyDescent="0.25">
      <c r="A2201" t="s">
        <v>26</v>
      </c>
      <c r="B2201">
        <v>1185732</v>
      </c>
      <c r="C2201" s="1">
        <v>44295</v>
      </c>
      <c r="D2201" t="s">
        <v>57</v>
      </c>
      <c r="E2201" t="s">
        <v>76</v>
      </c>
      <c r="F2201" t="s">
        <v>77</v>
      </c>
      <c r="G2201" t="s">
        <v>18</v>
      </c>
      <c r="H2201" t="s">
        <v>22</v>
      </c>
      <c r="I2201" s="3">
        <v>60</v>
      </c>
      <c r="J2201" s="2">
        <v>100</v>
      </c>
      <c r="K2201" s="3">
        <f t="shared" si="34"/>
        <v>6000</v>
      </c>
      <c r="L2201" s="3">
        <v>3900</v>
      </c>
    </row>
    <row r="2202" spans="1:12" x14ac:dyDescent="0.25">
      <c r="A2202" t="s">
        <v>27</v>
      </c>
      <c r="B2202">
        <v>1189833</v>
      </c>
      <c r="C2202" s="1">
        <v>44295</v>
      </c>
      <c r="D2202" t="s">
        <v>12</v>
      </c>
      <c r="E2202" t="s">
        <v>13</v>
      </c>
      <c r="F2202" t="s">
        <v>28</v>
      </c>
      <c r="G2202" t="s">
        <v>15</v>
      </c>
      <c r="H2202" t="s">
        <v>35</v>
      </c>
      <c r="I2202" s="3">
        <v>50</v>
      </c>
      <c r="J2202" s="2">
        <v>625</v>
      </c>
      <c r="K2202" s="3">
        <f t="shared" si="34"/>
        <v>31250</v>
      </c>
      <c r="L2202" s="3">
        <v>18750</v>
      </c>
    </row>
    <row r="2203" spans="1:12" x14ac:dyDescent="0.25">
      <c r="A2203" t="s">
        <v>26</v>
      </c>
      <c r="B2203">
        <v>1197831</v>
      </c>
      <c r="C2203" s="1">
        <v>44295</v>
      </c>
      <c r="D2203" t="s">
        <v>52</v>
      </c>
      <c r="E2203" t="s">
        <v>97</v>
      </c>
      <c r="F2203" t="s">
        <v>98</v>
      </c>
      <c r="G2203" t="s">
        <v>15</v>
      </c>
      <c r="H2203" t="s">
        <v>38</v>
      </c>
      <c r="I2203" s="3">
        <v>40</v>
      </c>
      <c r="J2203" s="2">
        <v>775</v>
      </c>
      <c r="K2203" s="3">
        <f t="shared" si="34"/>
        <v>31000</v>
      </c>
      <c r="L2203" s="3">
        <v>18600</v>
      </c>
    </row>
    <row r="2204" spans="1:12" x14ac:dyDescent="0.25">
      <c r="A2204" t="s">
        <v>26</v>
      </c>
      <c r="B2204">
        <v>1185732</v>
      </c>
      <c r="C2204" s="1">
        <v>44295</v>
      </c>
      <c r="D2204" t="s">
        <v>57</v>
      </c>
      <c r="E2204" t="s">
        <v>76</v>
      </c>
      <c r="F2204" t="s">
        <v>77</v>
      </c>
      <c r="G2204" t="s">
        <v>18</v>
      </c>
      <c r="H2204" t="s">
        <v>16</v>
      </c>
      <c r="I2204" s="3">
        <v>50</v>
      </c>
      <c r="J2204" s="2">
        <v>225</v>
      </c>
      <c r="K2204" s="3">
        <f t="shared" si="34"/>
        <v>11250</v>
      </c>
      <c r="L2204" s="3">
        <v>6750</v>
      </c>
    </row>
    <row r="2205" spans="1:12" x14ac:dyDescent="0.25">
      <c r="A2205" t="s">
        <v>11</v>
      </c>
      <c r="B2205">
        <v>1185732</v>
      </c>
      <c r="C2205" s="1">
        <v>44295</v>
      </c>
      <c r="D2205" t="s">
        <v>29</v>
      </c>
      <c r="E2205" t="s">
        <v>60</v>
      </c>
      <c r="F2205" t="s">
        <v>61</v>
      </c>
      <c r="G2205" t="s">
        <v>18</v>
      </c>
      <c r="H2205" t="s">
        <v>38</v>
      </c>
      <c r="I2205" s="3">
        <v>45</v>
      </c>
      <c r="J2205" s="2">
        <v>825</v>
      </c>
      <c r="K2205" s="3">
        <f t="shared" si="34"/>
        <v>37125</v>
      </c>
      <c r="L2205" s="3">
        <v>20418.75</v>
      </c>
    </row>
    <row r="2206" spans="1:12" x14ac:dyDescent="0.25">
      <c r="A2206" t="s">
        <v>11</v>
      </c>
      <c r="B2206">
        <v>1185732</v>
      </c>
      <c r="C2206" s="1">
        <v>44295</v>
      </c>
      <c r="D2206" t="s">
        <v>29</v>
      </c>
      <c r="E2206" t="s">
        <v>60</v>
      </c>
      <c r="F2206" t="s">
        <v>61</v>
      </c>
      <c r="G2206" t="s">
        <v>18</v>
      </c>
      <c r="H2206" t="s">
        <v>16</v>
      </c>
      <c r="I2206" s="3">
        <v>45</v>
      </c>
      <c r="J2206" s="2">
        <v>600</v>
      </c>
      <c r="K2206" s="3">
        <f t="shared" si="34"/>
        <v>27000</v>
      </c>
      <c r="L2206" s="3">
        <v>13500</v>
      </c>
    </row>
    <row r="2207" spans="1:12" x14ac:dyDescent="0.25">
      <c r="A2207" t="s">
        <v>11</v>
      </c>
      <c r="B2207">
        <v>1185732</v>
      </c>
      <c r="C2207" s="1">
        <v>44295</v>
      </c>
      <c r="D2207" t="s">
        <v>29</v>
      </c>
      <c r="E2207" t="s">
        <v>60</v>
      </c>
      <c r="F2207" t="s">
        <v>61</v>
      </c>
      <c r="G2207" t="s">
        <v>41</v>
      </c>
      <c r="H2207" t="s">
        <v>35</v>
      </c>
      <c r="I2207" s="3">
        <v>34</v>
      </c>
      <c r="J2207" s="2">
        <v>152</v>
      </c>
      <c r="K2207" s="3">
        <f t="shared" si="34"/>
        <v>5168</v>
      </c>
      <c r="L2207" s="3">
        <v>3307.52</v>
      </c>
    </row>
    <row r="2208" spans="1:12" x14ac:dyDescent="0.25">
      <c r="A2208" t="s">
        <v>11</v>
      </c>
      <c r="B2208">
        <v>1185732</v>
      </c>
      <c r="C2208" s="1">
        <v>44295</v>
      </c>
      <c r="D2208" t="s">
        <v>29</v>
      </c>
      <c r="E2208" t="s">
        <v>60</v>
      </c>
      <c r="F2208" t="s">
        <v>61</v>
      </c>
      <c r="G2208" t="s">
        <v>41</v>
      </c>
      <c r="H2208" t="s">
        <v>37</v>
      </c>
      <c r="I2208" s="3">
        <v>37</v>
      </c>
      <c r="J2208" s="2">
        <v>135</v>
      </c>
      <c r="K2208" s="3">
        <f t="shared" si="34"/>
        <v>4995</v>
      </c>
      <c r="L2208" s="3">
        <v>2947.05</v>
      </c>
    </row>
    <row r="2209" spans="1:12" x14ac:dyDescent="0.25">
      <c r="A2209" t="s">
        <v>26</v>
      </c>
      <c r="B2209">
        <v>1185732</v>
      </c>
      <c r="C2209" s="1">
        <v>44295</v>
      </c>
      <c r="D2209" t="s">
        <v>57</v>
      </c>
      <c r="E2209" t="s">
        <v>76</v>
      </c>
      <c r="F2209" t="s">
        <v>77</v>
      </c>
      <c r="G2209" t="s">
        <v>41</v>
      </c>
      <c r="H2209" t="s">
        <v>35</v>
      </c>
      <c r="I2209" s="3">
        <v>19</v>
      </c>
      <c r="J2209" s="2">
        <v>41</v>
      </c>
      <c r="K2209" s="3">
        <f t="shared" si="34"/>
        <v>779</v>
      </c>
      <c r="L2209" s="3">
        <v>451.82</v>
      </c>
    </row>
    <row r="2210" spans="1:12" x14ac:dyDescent="0.25">
      <c r="A2210" t="s">
        <v>26</v>
      </c>
      <c r="B2210">
        <v>1185732</v>
      </c>
      <c r="C2210" s="1">
        <v>44295</v>
      </c>
      <c r="D2210" t="s">
        <v>57</v>
      </c>
      <c r="E2210" t="s">
        <v>76</v>
      </c>
      <c r="F2210" t="s">
        <v>77</v>
      </c>
      <c r="G2210" t="s">
        <v>41</v>
      </c>
      <c r="H2210" t="s">
        <v>37</v>
      </c>
      <c r="I2210" s="3">
        <v>24</v>
      </c>
      <c r="J2210" s="2">
        <v>22</v>
      </c>
      <c r="K2210" s="3">
        <f t="shared" si="34"/>
        <v>528</v>
      </c>
      <c r="L2210" s="3">
        <v>300.96000000000004</v>
      </c>
    </row>
    <row r="2211" spans="1:12" x14ac:dyDescent="0.25">
      <c r="A2211" t="s">
        <v>26</v>
      </c>
      <c r="B2211">
        <v>1185732</v>
      </c>
      <c r="C2211" s="1">
        <v>44295</v>
      </c>
      <c r="D2211" t="s">
        <v>57</v>
      </c>
      <c r="E2211" t="s">
        <v>76</v>
      </c>
      <c r="F2211" t="s">
        <v>77</v>
      </c>
      <c r="G2211" t="s">
        <v>41</v>
      </c>
      <c r="H2211" t="s">
        <v>17</v>
      </c>
      <c r="I2211" s="3">
        <v>28</v>
      </c>
      <c r="J2211" s="2">
        <v>44</v>
      </c>
      <c r="K2211" s="3">
        <f t="shared" si="34"/>
        <v>1232</v>
      </c>
      <c r="L2211" s="3">
        <v>702.24</v>
      </c>
    </row>
    <row r="2212" spans="1:12" x14ac:dyDescent="0.25">
      <c r="A2212" t="s">
        <v>11</v>
      </c>
      <c r="B2212">
        <v>1185732</v>
      </c>
      <c r="C2212" s="1">
        <v>44295</v>
      </c>
      <c r="D2212" t="s">
        <v>29</v>
      </c>
      <c r="E2212" t="s">
        <v>60</v>
      </c>
      <c r="F2212" t="s">
        <v>61</v>
      </c>
      <c r="G2212" t="s">
        <v>41</v>
      </c>
      <c r="H2212" t="s">
        <v>17</v>
      </c>
      <c r="I2212" s="3">
        <v>43</v>
      </c>
      <c r="J2212" s="2">
        <v>147</v>
      </c>
      <c r="K2212" s="3">
        <f t="shared" si="34"/>
        <v>6321</v>
      </c>
      <c r="L2212" s="3">
        <v>3476.55</v>
      </c>
    </row>
    <row r="2213" spans="1:12" x14ac:dyDescent="0.25">
      <c r="A2213" t="s">
        <v>11</v>
      </c>
      <c r="B2213">
        <v>1185732</v>
      </c>
      <c r="C2213" s="1">
        <v>44295</v>
      </c>
      <c r="D2213" t="s">
        <v>29</v>
      </c>
      <c r="E2213" t="s">
        <v>60</v>
      </c>
      <c r="F2213" t="s">
        <v>61</v>
      </c>
      <c r="G2213" t="s">
        <v>41</v>
      </c>
      <c r="H2213" t="s">
        <v>22</v>
      </c>
      <c r="I2213" s="3">
        <v>50</v>
      </c>
      <c r="J2213" s="2">
        <v>124</v>
      </c>
      <c r="K2213" s="3">
        <f t="shared" si="34"/>
        <v>6200</v>
      </c>
      <c r="L2213" s="3">
        <v>3286</v>
      </c>
    </row>
    <row r="2214" spans="1:12" x14ac:dyDescent="0.25">
      <c r="A2214" t="s">
        <v>27</v>
      </c>
      <c r="B2214">
        <v>1189833</v>
      </c>
      <c r="C2214" s="1">
        <v>44295</v>
      </c>
      <c r="D2214" t="s">
        <v>12</v>
      </c>
      <c r="E2214" t="s">
        <v>13</v>
      </c>
      <c r="F2214" t="s">
        <v>28</v>
      </c>
      <c r="G2214" t="s">
        <v>15</v>
      </c>
      <c r="H2214" t="s">
        <v>35</v>
      </c>
      <c r="I2214" s="3">
        <v>38</v>
      </c>
      <c r="J2214" s="2">
        <v>206</v>
      </c>
      <c r="K2214" s="3">
        <f t="shared" si="34"/>
        <v>7828</v>
      </c>
      <c r="L2214" s="3">
        <v>4148.84</v>
      </c>
    </row>
    <row r="2215" spans="1:12" x14ac:dyDescent="0.25">
      <c r="A2215" t="s">
        <v>26</v>
      </c>
      <c r="B2215">
        <v>1197831</v>
      </c>
      <c r="C2215" s="1">
        <v>44295</v>
      </c>
      <c r="D2215" t="s">
        <v>52</v>
      </c>
      <c r="E2215" t="s">
        <v>97</v>
      </c>
      <c r="F2215" t="s">
        <v>98</v>
      </c>
      <c r="G2215" t="s">
        <v>15</v>
      </c>
      <c r="H2215" t="s">
        <v>38</v>
      </c>
      <c r="I2215" s="3">
        <v>28</v>
      </c>
      <c r="J2215" s="2">
        <v>256</v>
      </c>
      <c r="K2215" s="3">
        <f t="shared" si="34"/>
        <v>7168</v>
      </c>
      <c r="L2215" s="3">
        <v>3799.04</v>
      </c>
    </row>
    <row r="2216" spans="1:12" x14ac:dyDescent="0.25">
      <c r="A2216" t="s">
        <v>26</v>
      </c>
      <c r="B2216">
        <v>1185732</v>
      </c>
      <c r="C2216" s="1">
        <v>44295</v>
      </c>
      <c r="D2216" t="s">
        <v>57</v>
      </c>
      <c r="E2216" t="s">
        <v>76</v>
      </c>
      <c r="F2216" t="s">
        <v>77</v>
      </c>
      <c r="G2216" t="s">
        <v>41</v>
      </c>
      <c r="H2216" t="s">
        <v>22</v>
      </c>
      <c r="I2216" s="3">
        <v>58</v>
      </c>
      <c r="J2216" s="2">
        <v>30</v>
      </c>
      <c r="K2216" s="3">
        <f t="shared" si="34"/>
        <v>1740</v>
      </c>
      <c r="L2216" s="3">
        <v>904.80000000000007</v>
      </c>
    </row>
    <row r="2217" spans="1:12" x14ac:dyDescent="0.25">
      <c r="A2217" t="s">
        <v>26</v>
      </c>
      <c r="B2217">
        <v>1185732</v>
      </c>
      <c r="C2217" s="1">
        <v>44295</v>
      </c>
      <c r="D2217" t="s">
        <v>57</v>
      </c>
      <c r="E2217" t="s">
        <v>76</v>
      </c>
      <c r="F2217" t="s">
        <v>77</v>
      </c>
      <c r="G2217" t="s">
        <v>41</v>
      </c>
      <c r="H2217" t="s">
        <v>38</v>
      </c>
      <c r="I2217" s="3">
        <v>28</v>
      </c>
      <c r="J2217" s="2">
        <v>113</v>
      </c>
      <c r="K2217" s="3">
        <f t="shared" si="34"/>
        <v>3164</v>
      </c>
      <c r="L2217" s="3">
        <v>1613.64</v>
      </c>
    </row>
    <row r="2218" spans="1:12" x14ac:dyDescent="0.25">
      <c r="A2218" t="s">
        <v>26</v>
      </c>
      <c r="B2218">
        <v>1197831</v>
      </c>
      <c r="C2218" s="1">
        <v>44295</v>
      </c>
      <c r="D2218" t="s">
        <v>52</v>
      </c>
      <c r="E2218" t="s">
        <v>97</v>
      </c>
      <c r="F2218" t="s">
        <v>98</v>
      </c>
      <c r="G2218" t="s">
        <v>41</v>
      </c>
      <c r="H2218" t="s">
        <v>38</v>
      </c>
      <c r="I2218" s="3">
        <v>36</v>
      </c>
      <c r="J2218" s="2">
        <v>217</v>
      </c>
      <c r="K2218" s="3">
        <f t="shared" si="34"/>
        <v>7812</v>
      </c>
      <c r="L2218" s="3">
        <v>3827.88</v>
      </c>
    </row>
    <row r="2219" spans="1:12" x14ac:dyDescent="0.25">
      <c r="A2219" t="s">
        <v>26</v>
      </c>
      <c r="B2219">
        <v>1185732</v>
      </c>
      <c r="C2219" s="1">
        <v>44295</v>
      </c>
      <c r="D2219" t="s">
        <v>57</v>
      </c>
      <c r="E2219" t="s">
        <v>76</v>
      </c>
      <c r="F2219" t="s">
        <v>77</v>
      </c>
      <c r="G2219" t="s">
        <v>41</v>
      </c>
      <c r="H2219" t="s">
        <v>16</v>
      </c>
      <c r="I2219" s="3">
        <v>49</v>
      </c>
      <c r="J2219" s="2">
        <v>68</v>
      </c>
      <c r="K2219" s="3">
        <f t="shared" si="34"/>
        <v>3332</v>
      </c>
      <c r="L2219" s="3">
        <v>1566.04</v>
      </c>
    </row>
    <row r="2220" spans="1:12" x14ac:dyDescent="0.25">
      <c r="A2220" t="s">
        <v>27</v>
      </c>
      <c r="B2220">
        <v>1189833</v>
      </c>
      <c r="C2220" s="1">
        <v>44295</v>
      </c>
      <c r="D2220" t="s">
        <v>12</v>
      </c>
      <c r="E2220" t="s">
        <v>13</v>
      </c>
      <c r="F2220" t="s">
        <v>28</v>
      </c>
      <c r="G2220" t="s">
        <v>41</v>
      </c>
      <c r="H2220" t="s">
        <v>35</v>
      </c>
      <c r="I2220" s="3">
        <v>49</v>
      </c>
      <c r="J2220" s="2">
        <v>175</v>
      </c>
      <c r="K2220" s="3">
        <f t="shared" si="34"/>
        <v>8575</v>
      </c>
      <c r="L2220" s="3">
        <v>3858.75</v>
      </c>
    </row>
    <row r="2221" spans="1:12" x14ac:dyDescent="0.25">
      <c r="A2221" t="s">
        <v>11</v>
      </c>
      <c r="B2221">
        <v>1185732</v>
      </c>
      <c r="C2221" s="1">
        <v>44295</v>
      </c>
      <c r="D2221" t="s">
        <v>29</v>
      </c>
      <c r="E2221" t="s">
        <v>60</v>
      </c>
      <c r="F2221" t="s">
        <v>61</v>
      </c>
      <c r="G2221" t="s">
        <v>41</v>
      </c>
      <c r="H2221" t="s">
        <v>38</v>
      </c>
      <c r="I2221" s="3">
        <v>42</v>
      </c>
      <c r="J2221" s="2">
        <v>248</v>
      </c>
      <c r="K2221" s="3">
        <f t="shared" si="34"/>
        <v>10416</v>
      </c>
      <c r="L2221" s="3">
        <v>4583.0399999999991</v>
      </c>
    </row>
    <row r="2222" spans="1:12" x14ac:dyDescent="0.25">
      <c r="A2222" t="s">
        <v>11</v>
      </c>
      <c r="B2222">
        <v>1185732</v>
      </c>
      <c r="C2222" s="1">
        <v>44295</v>
      </c>
      <c r="D2222" t="s">
        <v>29</v>
      </c>
      <c r="E2222" t="s">
        <v>60</v>
      </c>
      <c r="F2222" t="s">
        <v>61</v>
      </c>
      <c r="G2222" t="s">
        <v>41</v>
      </c>
      <c r="H2222" t="s">
        <v>16</v>
      </c>
      <c r="I2222" s="3">
        <v>41</v>
      </c>
      <c r="J2222" s="2">
        <v>156</v>
      </c>
      <c r="K2222" s="3">
        <f t="shared" si="34"/>
        <v>6396</v>
      </c>
      <c r="L2222" s="3">
        <v>2238.5999999999995</v>
      </c>
    </row>
    <row r="2223" spans="1:12" x14ac:dyDescent="0.25">
      <c r="A2223" t="s">
        <v>19</v>
      </c>
      <c r="B2223">
        <v>1128299</v>
      </c>
      <c r="C2223" s="1">
        <v>44296</v>
      </c>
      <c r="D2223" t="s">
        <v>12</v>
      </c>
      <c r="E2223" t="s">
        <v>20</v>
      </c>
      <c r="F2223" t="s">
        <v>21</v>
      </c>
      <c r="G2223" t="s">
        <v>15</v>
      </c>
      <c r="H2223" t="s">
        <v>22</v>
      </c>
      <c r="I2223" s="3">
        <v>55.000000000000007</v>
      </c>
      <c r="J2223" s="2">
        <v>150</v>
      </c>
      <c r="K2223" s="3">
        <f t="shared" si="34"/>
        <v>8250.0000000000018</v>
      </c>
      <c r="L2223" s="3">
        <v>7012.5000000000018</v>
      </c>
    </row>
    <row r="2224" spans="1:12" x14ac:dyDescent="0.25">
      <c r="A2224" t="s">
        <v>19</v>
      </c>
      <c r="B2224">
        <v>1128299</v>
      </c>
      <c r="C2224" s="1">
        <v>44296</v>
      </c>
      <c r="D2224" t="s">
        <v>12</v>
      </c>
      <c r="E2224" t="s">
        <v>20</v>
      </c>
      <c r="F2224" t="s">
        <v>21</v>
      </c>
      <c r="G2224" t="s">
        <v>15</v>
      </c>
      <c r="H2224" t="s">
        <v>17</v>
      </c>
      <c r="I2224" s="3">
        <v>65</v>
      </c>
      <c r="J2224" s="2">
        <v>300</v>
      </c>
      <c r="K2224" s="3">
        <f t="shared" si="34"/>
        <v>19500</v>
      </c>
      <c r="L2224" s="3">
        <v>15600</v>
      </c>
    </row>
    <row r="2225" spans="1:12" x14ac:dyDescent="0.25">
      <c r="A2225" t="s">
        <v>19</v>
      </c>
      <c r="B2225">
        <v>1128299</v>
      </c>
      <c r="C2225" s="1">
        <v>44296</v>
      </c>
      <c r="D2225" t="s">
        <v>12</v>
      </c>
      <c r="E2225" t="s">
        <v>20</v>
      </c>
      <c r="F2225" t="s">
        <v>21</v>
      </c>
      <c r="G2225" t="s">
        <v>15</v>
      </c>
      <c r="H2225" t="s">
        <v>38</v>
      </c>
      <c r="I2225" s="3">
        <v>60</v>
      </c>
      <c r="J2225" s="2">
        <v>500</v>
      </c>
      <c r="K2225" s="3">
        <f t="shared" si="34"/>
        <v>30000</v>
      </c>
      <c r="L2225" s="3">
        <v>22500</v>
      </c>
    </row>
    <row r="2226" spans="1:12" x14ac:dyDescent="0.25">
      <c r="A2226" t="s">
        <v>19</v>
      </c>
      <c r="B2226">
        <v>1128299</v>
      </c>
      <c r="C2226" s="1">
        <v>44296</v>
      </c>
      <c r="D2226" t="s">
        <v>12</v>
      </c>
      <c r="E2226" t="s">
        <v>20</v>
      </c>
      <c r="F2226" t="s">
        <v>21</v>
      </c>
      <c r="G2226" t="s">
        <v>15</v>
      </c>
      <c r="H2226" t="s">
        <v>35</v>
      </c>
      <c r="I2226" s="3">
        <v>65</v>
      </c>
      <c r="J2226" s="2">
        <v>350</v>
      </c>
      <c r="K2226" s="3">
        <f t="shared" si="34"/>
        <v>22750</v>
      </c>
      <c r="L2226" s="3">
        <v>17062.5</v>
      </c>
    </row>
    <row r="2227" spans="1:12" x14ac:dyDescent="0.25">
      <c r="A2227" t="s">
        <v>19</v>
      </c>
      <c r="B2227">
        <v>1128299</v>
      </c>
      <c r="C2227" s="1">
        <v>44296</v>
      </c>
      <c r="D2227" t="s">
        <v>12</v>
      </c>
      <c r="E2227" t="s">
        <v>20</v>
      </c>
      <c r="F2227" t="s">
        <v>21</v>
      </c>
      <c r="G2227" t="s">
        <v>15</v>
      </c>
      <c r="H2227" t="s">
        <v>37</v>
      </c>
      <c r="I2227" s="3">
        <v>50</v>
      </c>
      <c r="J2227" s="2">
        <v>250</v>
      </c>
      <c r="K2227" s="3">
        <f t="shared" si="34"/>
        <v>12500</v>
      </c>
      <c r="L2227" s="3">
        <v>9375</v>
      </c>
    </row>
    <row r="2228" spans="1:12" x14ac:dyDescent="0.25">
      <c r="A2228" t="s">
        <v>11</v>
      </c>
      <c r="B2228">
        <v>1185732</v>
      </c>
      <c r="C2228" s="1">
        <v>44296</v>
      </c>
      <c r="D2228" t="s">
        <v>57</v>
      </c>
      <c r="E2228" t="s">
        <v>103</v>
      </c>
      <c r="F2228" t="s">
        <v>104</v>
      </c>
      <c r="G2228" t="s">
        <v>18</v>
      </c>
      <c r="H2228" t="s">
        <v>22</v>
      </c>
      <c r="I2228" s="3">
        <v>65</v>
      </c>
      <c r="J2228" s="2">
        <v>150</v>
      </c>
      <c r="K2228" s="3">
        <f t="shared" si="34"/>
        <v>9750</v>
      </c>
      <c r="L2228" s="3">
        <v>6825</v>
      </c>
    </row>
    <row r="2229" spans="1:12" x14ac:dyDescent="0.25">
      <c r="A2229" t="s">
        <v>27</v>
      </c>
      <c r="B2229">
        <v>1189833</v>
      </c>
      <c r="C2229" s="1">
        <v>44296</v>
      </c>
      <c r="D2229" t="s">
        <v>12</v>
      </c>
      <c r="E2229" t="s">
        <v>13</v>
      </c>
      <c r="F2229" t="s">
        <v>28</v>
      </c>
      <c r="G2229" t="s">
        <v>15</v>
      </c>
      <c r="H2229" t="s">
        <v>37</v>
      </c>
      <c r="I2229" s="3">
        <v>45</v>
      </c>
      <c r="J2229" s="2">
        <v>525</v>
      </c>
      <c r="K2229" s="3">
        <f t="shared" si="34"/>
        <v>23625</v>
      </c>
      <c r="L2229" s="3">
        <v>15356.25</v>
      </c>
    </row>
    <row r="2230" spans="1:12" x14ac:dyDescent="0.25">
      <c r="A2230" t="s">
        <v>36</v>
      </c>
      <c r="B2230">
        <v>1185732</v>
      </c>
      <c r="C2230" s="1">
        <v>44296</v>
      </c>
      <c r="D2230" t="s">
        <v>57</v>
      </c>
      <c r="E2230" t="s">
        <v>110</v>
      </c>
      <c r="F2230" t="s">
        <v>111</v>
      </c>
      <c r="G2230" t="s">
        <v>41</v>
      </c>
      <c r="H2230" t="s">
        <v>17</v>
      </c>
      <c r="I2230" s="3">
        <v>30</v>
      </c>
      <c r="J2230" s="2">
        <v>425</v>
      </c>
      <c r="K2230" s="3">
        <f t="shared" si="34"/>
        <v>12750</v>
      </c>
      <c r="L2230" s="3">
        <v>8287.5</v>
      </c>
    </row>
    <row r="2231" spans="1:12" x14ac:dyDescent="0.25">
      <c r="A2231" t="s">
        <v>36</v>
      </c>
      <c r="B2231">
        <v>1185732</v>
      </c>
      <c r="C2231" s="1">
        <v>44296</v>
      </c>
      <c r="D2231" t="s">
        <v>57</v>
      </c>
      <c r="E2231" t="s">
        <v>110</v>
      </c>
      <c r="F2231" t="s">
        <v>111</v>
      </c>
      <c r="G2231" t="s">
        <v>41</v>
      </c>
      <c r="H2231" t="s">
        <v>22</v>
      </c>
      <c r="I2231" s="3">
        <v>45</v>
      </c>
      <c r="J2231" s="2">
        <v>375</v>
      </c>
      <c r="K2231" s="3">
        <f t="shared" si="34"/>
        <v>16875</v>
      </c>
      <c r="L2231" s="3">
        <v>10968.75</v>
      </c>
    </row>
    <row r="2232" spans="1:12" x14ac:dyDescent="0.25">
      <c r="A2232" t="s">
        <v>11</v>
      </c>
      <c r="B2232">
        <v>1185732</v>
      </c>
      <c r="C2232" s="1">
        <v>44296</v>
      </c>
      <c r="D2232" t="s">
        <v>57</v>
      </c>
      <c r="E2232" t="s">
        <v>103</v>
      </c>
      <c r="F2232" t="s">
        <v>104</v>
      </c>
      <c r="G2232" t="s">
        <v>18</v>
      </c>
      <c r="H2232" t="s">
        <v>35</v>
      </c>
      <c r="I2232" s="3">
        <v>15.000000000000002</v>
      </c>
      <c r="J2232" s="2">
        <v>200</v>
      </c>
      <c r="K2232" s="3">
        <f t="shared" si="34"/>
        <v>3000.0000000000005</v>
      </c>
      <c r="L2232" s="3">
        <v>1950.0000000000005</v>
      </c>
    </row>
    <row r="2233" spans="1:12" x14ac:dyDescent="0.25">
      <c r="A2233" t="s">
        <v>11</v>
      </c>
      <c r="B2233">
        <v>1185732</v>
      </c>
      <c r="C2233" s="1">
        <v>44296</v>
      </c>
      <c r="D2233" t="s">
        <v>57</v>
      </c>
      <c r="E2233" t="s">
        <v>103</v>
      </c>
      <c r="F2233" t="s">
        <v>104</v>
      </c>
      <c r="G2233" t="s">
        <v>18</v>
      </c>
      <c r="H2233" t="s">
        <v>37</v>
      </c>
      <c r="I2233" s="3">
        <v>19.999999999999996</v>
      </c>
      <c r="J2233" s="2">
        <v>125</v>
      </c>
      <c r="K2233" s="3">
        <f t="shared" si="34"/>
        <v>2499.9999999999995</v>
      </c>
      <c r="L2233" s="3">
        <v>1624.9999999999998</v>
      </c>
    </row>
    <row r="2234" spans="1:12" x14ac:dyDescent="0.25">
      <c r="A2234" t="s">
        <v>26</v>
      </c>
      <c r="B2234">
        <v>1197831</v>
      </c>
      <c r="C2234" s="1">
        <v>44296</v>
      </c>
      <c r="D2234" t="s">
        <v>52</v>
      </c>
      <c r="E2234" t="s">
        <v>97</v>
      </c>
      <c r="F2234" t="s">
        <v>98</v>
      </c>
      <c r="G2234" t="s">
        <v>15</v>
      </c>
      <c r="H2234" t="s">
        <v>17</v>
      </c>
      <c r="I2234" s="3">
        <v>45</v>
      </c>
      <c r="J2234" s="2">
        <v>775</v>
      </c>
      <c r="K2234" s="3">
        <f t="shared" si="34"/>
        <v>34875</v>
      </c>
      <c r="L2234" s="3">
        <v>20925</v>
      </c>
    </row>
    <row r="2235" spans="1:12" x14ac:dyDescent="0.25">
      <c r="A2235" t="s">
        <v>19</v>
      </c>
      <c r="B2235">
        <v>1128299</v>
      </c>
      <c r="C2235" s="1">
        <v>44296</v>
      </c>
      <c r="D2235" t="s">
        <v>12</v>
      </c>
      <c r="E2235" t="s">
        <v>20</v>
      </c>
      <c r="F2235" t="s">
        <v>21</v>
      </c>
      <c r="G2235" t="s">
        <v>15</v>
      </c>
      <c r="H2235" t="s">
        <v>16</v>
      </c>
      <c r="I2235" s="3">
        <v>70</v>
      </c>
      <c r="J2235" s="2">
        <v>325</v>
      </c>
      <c r="K2235" s="3">
        <f t="shared" si="34"/>
        <v>22750</v>
      </c>
      <c r="L2235" s="3">
        <v>13650</v>
      </c>
    </row>
    <row r="2236" spans="1:12" x14ac:dyDescent="0.25">
      <c r="A2236" t="s">
        <v>36</v>
      </c>
      <c r="B2236">
        <v>1185732</v>
      </c>
      <c r="C2236" s="1">
        <v>44296</v>
      </c>
      <c r="D2236" t="s">
        <v>57</v>
      </c>
      <c r="E2236" t="s">
        <v>110</v>
      </c>
      <c r="F2236" t="s">
        <v>111</v>
      </c>
      <c r="G2236" t="s">
        <v>41</v>
      </c>
      <c r="H2236" t="s">
        <v>38</v>
      </c>
      <c r="I2236" s="3">
        <v>30</v>
      </c>
      <c r="J2236" s="2">
        <v>725</v>
      </c>
      <c r="K2236" s="3">
        <f t="shared" si="34"/>
        <v>21750</v>
      </c>
      <c r="L2236" s="3">
        <v>13050</v>
      </c>
    </row>
    <row r="2237" spans="1:12" x14ac:dyDescent="0.25">
      <c r="A2237" t="s">
        <v>36</v>
      </c>
      <c r="B2237">
        <v>1185732</v>
      </c>
      <c r="C2237" s="1">
        <v>44296</v>
      </c>
      <c r="D2237" t="s">
        <v>57</v>
      </c>
      <c r="E2237" t="s">
        <v>110</v>
      </c>
      <c r="F2237" t="s">
        <v>111</v>
      </c>
      <c r="G2237" t="s">
        <v>41</v>
      </c>
      <c r="H2237" t="s">
        <v>35</v>
      </c>
      <c r="I2237" s="3">
        <v>20</v>
      </c>
      <c r="J2237" s="2">
        <v>425</v>
      </c>
      <c r="K2237" s="3">
        <f t="shared" si="34"/>
        <v>8500</v>
      </c>
      <c r="L2237" s="3">
        <v>5100</v>
      </c>
    </row>
    <row r="2238" spans="1:12" x14ac:dyDescent="0.25">
      <c r="A2238" t="s">
        <v>11</v>
      </c>
      <c r="B2238">
        <v>1185732</v>
      </c>
      <c r="C2238" s="1">
        <v>44296</v>
      </c>
      <c r="D2238" t="s">
        <v>57</v>
      </c>
      <c r="E2238" t="s">
        <v>103</v>
      </c>
      <c r="F2238" t="s">
        <v>104</v>
      </c>
      <c r="G2238" t="s">
        <v>18</v>
      </c>
      <c r="H2238" t="s">
        <v>38</v>
      </c>
      <c r="I2238" s="3">
        <v>25.000000000000007</v>
      </c>
      <c r="J2238" s="2">
        <v>500</v>
      </c>
      <c r="K2238" s="3">
        <f t="shared" si="34"/>
        <v>12500.000000000004</v>
      </c>
      <c r="L2238" s="3">
        <v>7500.0000000000018</v>
      </c>
    </row>
    <row r="2239" spans="1:12" x14ac:dyDescent="0.25">
      <c r="A2239" t="s">
        <v>11</v>
      </c>
      <c r="B2239">
        <v>1185732</v>
      </c>
      <c r="C2239" s="1">
        <v>44296</v>
      </c>
      <c r="D2239" t="s">
        <v>57</v>
      </c>
      <c r="E2239" t="s">
        <v>103</v>
      </c>
      <c r="F2239" t="s">
        <v>104</v>
      </c>
      <c r="G2239" t="s">
        <v>18</v>
      </c>
      <c r="H2239" t="s">
        <v>17</v>
      </c>
      <c r="I2239" s="3">
        <v>25.000000000000007</v>
      </c>
      <c r="J2239" s="2">
        <v>200</v>
      </c>
      <c r="K2239" s="3">
        <f t="shared" si="34"/>
        <v>5000.0000000000018</v>
      </c>
      <c r="L2239" s="3">
        <v>3000.0000000000009</v>
      </c>
    </row>
    <row r="2240" spans="1:12" x14ac:dyDescent="0.25">
      <c r="A2240" t="s">
        <v>11</v>
      </c>
      <c r="B2240">
        <v>1185732</v>
      </c>
      <c r="C2240" s="1">
        <v>44296</v>
      </c>
      <c r="D2240" t="s">
        <v>57</v>
      </c>
      <c r="E2240" t="s">
        <v>103</v>
      </c>
      <c r="F2240" t="s">
        <v>104</v>
      </c>
      <c r="G2240" t="s">
        <v>18</v>
      </c>
      <c r="H2240" t="s">
        <v>16</v>
      </c>
      <c r="I2240" s="3">
        <v>50</v>
      </c>
      <c r="J2240" s="2">
        <v>275</v>
      </c>
      <c r="K2240" s="3">
        <f t="shared" si="34"/>
        <v>13750</v>
      </c>
      <c r="L2240" s="3">
        <v>8250</v>
      </c>
    </row>
    <row r="2241" spans="1:12" x14ac:dyDescent="0.25">
      <c r="A2241" t="s">
        <v>36</v>
      </c>
      <c r="B2241">
        <v>1185732</v>
      </c>
      <c r="C2241" s="1">
        <v>44296</v>
      </c>
      <c r="D2241" t="s">
        <v>57</v>
      </c>
      <c r="E2241" t="s">
        <v>110</v>
      </c>
      <c r="F2241" t="s">
        <v>111</v>
      </c>
      <c r="G2241" t="s">
        <v>41</v>
      </c>
      <c r="H2241" t="s">
        <v>37</v>
      </c>
      <c r="I2241" s="3">
        <v>24.999999999999993</v>
      </c>
      <c r="J2241" s="2">
        <v>350</v>
      </c>
      <c r="K2241" s="3">
        <f t="shared" si="34"/>
        <v>8749.9999999999982</v>
      </c>
      <c r="L2241" s="3">
        <v>5249.9999999999982</v>
      </c>
    </row>
    <row r="2242" spans="1:12" x14ac:dyDescent="0.25">
      <c r="A2242" t="s">
        <v>36</v>
      </c>
      <c r="B2242">
        <v>1185732</v>
      </c>
      <c r="C2242" s="1">
        <v>44296</v>
      </c>
      <c r="D2242" t="s">
        <v>57</v>
      </c>
      <c r="E2242" t="s">
        <v>110</v>
      </c>
      <c r="F2242" t="s">
        <v>111</v>
      </c>
      <c r="G2242" t="s">
        <v>41</v>
      </c>
      <c r="H2242" t="s">
        <v>16</v>
      </c>
      <c r="I2242" s="3">
        <v>35</v>
      </c>
      <c r="J2242" s="2">
        <v>525</v>
      </c>
      <c r="K2242" s="3">
        <f t="shared" si="34"/>
        <v>18375</v>
      </c>
      <c r="L2242" s="3">
        <v>9187.5</v>
      </c>
    </row>
    <row r="2243" spans="1:12" x14ac:dyDescent="0.25">
      <c r="A2243" t="s">
        <v>19</v>
      </c>
      <c r="B2243">
        <v>1128299</v>
      </c>
      <c r="C2243" s="1">
        <v>44296</v>
      </c>
      <c r="D2243" t="s">
        <v>12</v>
      </c>
      <c r="E2243" t="s">
        <v>20</v>
      </c>
      <c r="F2243" t="s">
        <v>21</v>
      </c>
      <c r="G2243" t="s">
        <v>41</v>
      </c>
      <c r="H2243" t="s">
        <v>22</v>
      </c>
      <c r="I2243" s="3">
        <v>52</v>
      </c>
      <c r="J2243" s="2">
        <v>42</v>
      </c>
      <c r="K2243" s="3">
        <f t="shared" ref="K2243:K2306" si="35">I2243*J2243</f>
        <v>2184</v>
      </c>
      <c r="L2243" s="3">
        <v>1594.32</v>
      </c>
    </row>
    <row r="2244" spans="1:12" x14ac:dyDescent="0.25">
      <c r="A2244" t="s">
        <v>19</v>
      </c>
      <c r="B2244">
        <v>1128299</v>
      </c>
      <c r="C2244" s="1">
        <v>44296</v>
      </c>
      <c r="D2244" t="s">
        <v>12</v>
      </c>
      <c r="E2244" t="s">
        <v>20</v>
      </c>
      <c r="F2244" t="s">
        <v>21</v>
      </c>
      <c r="G2244" t="s">
        <v>41</v>
      </c>
      <c r="H2244" t="s">
        <v>37</v>
      </c>
      <c r="I2244" s="3">
        <v>48</v>
      </c>
      <c r="J2244" s="2">
        <v>73</v>
      </c>
      <c r="K2244" s="3">
        <f t="shared" si="35"/>
        <v>3504</v>
      </c>
      <c r="L2244" s="3">
        <v>2277.6000000000004</v>
      </c>
    </row>
    <row r="2245" spans="1:12" x14ac:dyDescent="0.25">
      <c r="A2245" t="s">
        <v>19</v>
      </c>
      <c r="B2245">
        <v>1128299</v>
      </c>
      <c r="C2245" s="1">
        <v>44296</v>
      </c>
      <c r="D2245" t="s">
        <v>12</v>
      </c>
      <c r="E2245" t="s">
        <v>20</v>
      </c>
      <c r="F2245" t="s">
        <v>21</v>
      </c>
      <c r="G2245" t="s">
        <v>41</v>
      </c>
      <c r="H2245" t="s">
        <v>17</v>
      </c>
      <c r="I2245" s="3">
        <v>61</v>
      </c>
      <c r="J2245" s="2">
        <v>81</v>
      </c>
      <c r="K2245" s="3">
        <f t="shared" si="35"/>
        <v>4941</v>
      </c>
      <c r="L2245" s="3">
        <v>3211.65</v>
      </c>
    </row>
    <row r="2246" spans="1:12" x14ac:dyDescent="0.25">
      <c r="A2246" t="s">
        <v>19</v>
      </c>
      <c r="B2246">
        <v>1128299</v>
      </c>
      <c r="C2246" s="1">
        <v>44296</v>
      </c>
      <c r="D2246" t="s">
        <v>12</v>
      </c>
      <c r="E2246" t="s">
        <v>20</v>
      </c>
      <c r="F2246" t="s">
        <v>21</v>
      </c>
      <c r="G2246" t="s">
        <v>41</v>
      </c>
      <c r="H2246" t="s">
        <v>38</v>
      </c>
      <c r="I2246" s="3">
        <v>59</v>
      </c>
      <c r="J2246" s="2">
        <v>130</v>
      </c>
      <c r="K2246" s="3">
        <f t="shared" si="35"/>
        <v>7670</v>
      </c>
      <c r="L2246" s="3">
        <v>4908.8</v>
      </c>
    </row>
    <row r="2247" spans="1:12" x14ac:dyDescent="0.25">
      <c r="A2247" t="s">
        <v>27</v>
      </c>
      <c r="B2247">
        <v>1189833</v>
      </c>
      <c r="C2247" s="1">
        <v>44296</v>
      </c>
      <c r="D2247" t="s">
        <v>12</v>
      </c>
      <c r="E2247" t="s">
        <v>13</v>
      </c>
      <c r="F2247" t="s">
        <v>28</v>
      </c>
      <c r="G2247" t="s">
        <v>15</v>
      </c>
      <c r="H2247" t="s">
        <v>37</v>
      </c>
      <c r="I2247" s="3">
        <v>31</v>
      </c>
      <c r="J2247" s="2">
        <v>173</v>
      </c>
      <c r="K2247" s="3">
        <f t="shared" si="35"/>
        <v>5363</v>
      </c>
      <c r="L2247" s="3">
        <v>3325.06</v>
      </c>
    </row>
    <row r="2248" spans="1:12" x14ac:dyDescent="0.25">
      <c r="A2248" t="s">
        <v>19</v>
      </c>
      <c r="B2248">
        <v>1128299</v>
      </c>
      <c r="C2248" s="1">
        <v>44296</v>
      </c>
      <c r="D2248" t="s">
        <v>12</v>
      </c>
      <c r="E2248" t="s">
        <v>20</v>
      </c>
      <c r="F2248" t="s">
        <v>21</v>
      </c>
      <c r="G2248" t="s">
        <v>41</v>
      </c>
      <c r="H2248" t="s">
        <v>35</v>
      </c>
      <c r="I2248" s="3">
        <v>60</v>
      </c>
      <c r="J2248" s="2">
        <v>91</v>
      </c>
      <c r="K2248" s="3">
        <f t="shared" si="35"/>
        <v>5460</v>
      </c>
      <c r="L2248" s="3">
        <v>3385.2</v>
      </c>
    </row>
    <row r="2249" spans="1:12" x14ac:dyDescent="0.25">
      <c r="A2249" t="s">
        <v>11</v>
      </c>
      <c r="B2249">
        <v>1185732</v>
      </c>
      <c r="C2249" s="1">
        <v>44296</v>
      </c>
      <c r="D2249" t="s">
        <v>57</v>
      </c>
      <c r="E2249" t="s">
        <v>103</v>
      </c>
      <c r="F2249" t="s">
        <v>104</v>
      </c>
      <c r="G2249" t="s">
        <v>41</v>
      </c>
      <c r="H2249" t="s">
        <v>22</v>
      </c>
      <c r="I2249" s="3">
        <v>61</v>
      </c>
      <c r="J2249" s="2">
        <v>45</v>
      </c>
      <c r="K2249" s="3">
        <f t="shared" si="35"/>
        <v>2745</v>
      </c>
      <c r="L2249" s="3">
        <v>1537.2</v>
      </c>
    </row>
    <row r="2250" spans="1:12" x14ac:dyDescent="0.25">
      <c r="A2250" t="s">
        <v>36</v>
      </c>
      <c r="B2250">
        <v>1185732</v>
      </c>
      <c r="C2250" s="1">
        <v>44296</v>
      </c>
      <c r="D2250" t="s">
        <v>57</v>
      </c>
      <c r="E2250" t="s">
        <v>110</v>
      </c>
      <c r="F2250" t="s">
        <v>111</v>
      </c>
      <c r="G2250" t="s">
        <v>41</v>
      </c>
      <c r="H2250" t="s">
        <v>22</v>
      </c>
      <c r="I2250" s="3">
        <v>42</v>
      </c>
      <c r="J2250" s="2">
        <v>101</v>
      </c>
      <c r="K2250" s="3">
        <f t="shared" si="35"/>
        <v>4242</v>
      </c>
      <c r="L2250" s="3">
        <v>2248.2600000000002</v>
      </c>
    </row>
    <row r="2251" spans="1:12" x14ac:dyDescent="0.25">
      <c r="A2251" t="s">
        <v>26</v>
      </c>
      <c r="B2251">
        <v>1197831</v>
      </c>
      <c r="C2251" s="1">
        <v>44296</v>
      </c>
      <c r="D2251" t="s">
        <v>52</v>
      </c>
      <c r="E2251" t="s">
        <v>97</v>
      </c>
      <c r="F2251" t="s">
        <v>98</v>
      </c>
      <c r="G2251" t="s">
        <v>15</v>
      </c>
      <c r="H2251" t="s">
        <v>17</v>
      </c>
      <c r="I2251" s="3">
        <v>32</v>
      </c>
      <c r="J2251" s="2">
        <v>240</v>
      </c>
      <c r="K2251" s="3">
        <f t="shared" si="35"/>
        <v>7680</v>
      </c>
      <c r="L2251" s="3">
        <v>4070.4</v>
      </c>
    </row>
    <row r="2252" spans="1:12" x14ac:dyDescent="0.25">
      <c r="A2252" t="s">
        <v>11</v>
      </c>
      <c r="B2252">
        <v>1185732</v>
      </c>
      <c r="C2252" s="1">
        <v>44296</v>
      </c>
      <c r="D2252" t="s">
        <v>57</v>
      </c>
      <c r="E2252" t="s">
        <v>103</v>
      </c>
      <c r="F2252" t="s">
        <v>104</v>
      </c>
      <c r="G2252" t="s">
        <v>41</v>
      </c>
      <c r="H2252" t="s">
        <v>37</v>
      </c>
      <c r="I2252" s="3">
        <v>19</v>
      </c>
      <c r="J2252" s="2">
        <v>36</v>
      </c>
      <c r="K2252" s="3">
        <f t="shared" si="35"/>
        <v>684</v>
      </c>
      <c r="L2252" s="3">
        <v>355.68</v>
      </c>
    </row>
    <row r="2253" spans="1:12" x14ac:dyDescent="0.25">
      <c r="A2253" t="s">
        <v>27</v>
      </c>
      <c r="B2253">
        <v>1189833</v>
      </c>
      <c r="C2253" s="1">
        <v>44296</v>
      </c>
      <c r="D2253" t="s">
        <v>12</v>
      </c>
      <c r="E2253" t="s">
        <v>13</v>
      </c>
      <c r="F2253" t="s">
        <v>28</v>
      </c>
      <c r="G2253" t="s">
        <v>41</v>
      </c>
      <c r="H2253" t="s">
        <v>37</v>
      </c>
      <c r="I2253" s="3">
        <v>43</v>
      </c>
      <c r="J2253" s="2">
        <v>152</v>
      </c>
      <c r="K2253" s="3">
        <f t="shared" si="35"/>
        <v>6536</v>
      </c>
      <c r="L2253" s="3">
        <v>3333.36</v>
      </c>
    </row>
    <row r="2254" spans="1:12" x14ac:dyDescent="0.25">
      <c r="A2254" t="s">
        <v>36</v>
      </c>
      <c r="B2254">
        <v>1185732</v>
      </c>
      <c r="C2254" s="1">
        <v>44296</v>
      </c>
      <c r="D2254" t="s">
        <v>57</v>
      </c>
      <c r="E2254" t="s">
        <v>110</v>
      </c>
      <c r="F2254" t="s">
        <v>111</v>
      </c>
      <c r="G2254" t="s">
        <v>41</v>
      </c>
      <c r="H2254" t="s">
        <v>17</v>
      </c>
      <c r="I2254" s="3">
        <v>28</v>
      </c>
      <c r="J2254" s="2">
        <v>111</v>
      </c>
      <c r="K2254" s="3">
        <f t="shared" si="35"/>
        <v>3108</v>
      </c>
      <c r="L2254" s="3">
        <v>1585.08</v>
      </c>
    </row>
    <row r="2255" spans="1:12" x14ac:dyDescent="0.25">
      <c r="A2255" t="s">
        <v>19</v>
      </c>
      <c r="B2255">
        <v>1128299</v>
      </c>
      <c r="C2255" s="1">
        <v>44296</v>
      </c>
      <c r="D2255" t="s">
        <v>12</v>
      </c>
      <c r="E2255" t="s">
        <v>20</v>
      </c>
      <c r="F2255" t="s">
        <v>21</v>
      </c>
      <c r="G2255" t="s">
        <v>41</v>
      </c>
      <c r="H2255" t="s">
        <v>16</v>
      </c>
      <c r="I2255" s="3">
        <v>66</v>
      </c>
      <c r="J2255" s="2">
        <v>94</v>
      </c>
      <c r="K2255" s="3">
        <f t="shared" si="35"/>
        <v>6204</v>
      </c>
      <c r="L2255" s="3">
        <v>3102</v>
      </c>
    </row>
    <row r="2256" spans="1:12" x14ac:dyDescent="0.25">
      <c r="A2256" t="s">
        <v>36</v>
      </c>
      <c r="B2256">
        <v>1185732</v>
      </c>
      <c r="C2256" s="1">
        <v>44296</v>
      </c>
      <c r="D2256" t="s">
        <v>57</v>
      </c>
      <c r="E2256" t="s">
        <v>110</v>
      </c>
      <c r="F2256" t="s">
        <v>111</v>
      </c>
      <c r="G2256" t="s">
        <v>41</v>
      </c>
      <c r="H2256" t="s">
        <v>37</v>
      </c>
      <c r="I2256" s="3">
        <v>24</v>
      </c>
      <c r="J2256" s="2">
        <v>102</v>
      </c>
      <c r="K2256" s="3">
        <f t="shared" si="35"/>
        <v>2448</v>
      </c>
      <c r="L2256" s="3">
        <v>1224</v>
      </c>
    </row>
    <row r="2257" spans="1:12" x14ac:dyDescent="0.25">
      <c r="A2257" t="s">
        <v>11</v>
      </c>
      <c r="B2257">
        <v>1185732</v>
      </c>
      <c r="C2257" s="1">
        <v>44296</v>
      </c>
      <c r="D2257" t="s">
        <v>57</v>
      </c>
      <c r="E2257" t="s">
        <v>103</v>
      </c>
      <c r="F2257" t="s">
        <v>104</v>
      </c>
      <c r="G2257" t="s">
        <v>41</v>
      </c>
      <c r="H2257" t="s">
        <v>35</v>
      </c>
      <c r="I2257" s="3">
        <v>14</v>
      </c>
      <c r="J2257" s="2">
        <v>52</v>
      </c>
      <c r="K2257" s="3">
        <f t="shared" si="35"/>
        <v>728</v>
      </c>
      <c r="L2257" s="3">
        <v>364</v>
      </c>
    </row>
    <row r="2258" spans="1:12" x14ac:dyDescent="0.25">
      <c r="A2258" t="s">
        <v>26</v>
      </c>
      <c r="B2258">
        <v>1197831</v>
      </c>
      <c r="C2258" s="1">
        <v>44296</v>
      </c>
      <c r="D2258" t="s">
        <v>52</v>
      </c>
      <c r="E2258" t="s">
        <v>97</v>
      </c>
      <c r="F2258" t="s">
        <v>98</v>
      </c>
      <c r="G2258" t="s">
        <v>41</v>
      </c>
      <c r="H2258" t="s">
        <v>17</v>
      </c>
      <c r="I2258" s="3">
        <v>42</v>
      </c>
      <c r="J2258" s="2">
        <v>202</v>
      </c>
      <c r="K2258" s="3">
        <f t="shared" si="35"/>
        <v>8484</v>
      </c>
      <c r="L2258" s="3">
        <v>4157.16</v>
      </c>
    </row>
    <row r="2259" spans="1:12" x14ac:dyDescent="0.25">
      <c r="A2259" t="s">
        <v>11</v>
      </c>
      <c r="B2259">
        <v>1185732</v>
      </c>
      <c r="C2259" s="1">
        <v>44296</v>
      </c>
      <c r="D2259" t="s">
        <v>57</v>
      </c>
      <c r="E2259" t="s">
        <v>103</v>
      </c>
      <c r="F2259" t="s">
        <v>104</v>
      </c>
      <c r="G2259" t="s">
        <v>41</v>
      </c>
      <c r="H2259" t="s">
        <v>17</v>
      </c>
      <c r="I2259" s="3">
        <v>23</v>
      </c>
      <c r="J2259" s="2">
        <v>54</v>
      </c>
      <c r="K2259" s="3">
        <f t="shared" si="35"/>
        <v>1242</v>
      </c>
      <c r="L2259" s="3">
        <v>596.16</v>
      </c>
    </row>
    <row r="2260" spans="1:12" x14ac:dyDescent="0.25">
      <c r="A2260" t="s">
        <v>36</v>
      </c>
      <c r="B2260">
        <v>1185732</v>
      </c>
      <c r="C2260" s="1">
        <v>44296</v>
      </c>
      <c r="D2260" t="s">
        <v>57</v>
      </c>
      <c r="E2260" t="s">
        <v>110</v>
      </c>
      <c r="F2260" t="s">
        <v>111</v>
      </c>
      <c r="G2260" t="s">
        <v>41</v>
      </c>
      <c r="H2260" t="s">
        <v>35</v>
      </c>
      <c r="I2260" s="3">
        <v>19</v>
      </c>
      <c r="J2260" s="2">
        <v>106</v>
      </c>
      <c r="K2260" s="3">
        <f t="shared" si="35"/>
        <v>2014</v>
      </c>
      <c r="L2260" s="3">
        <v>946.57999999999993</v>
      </c>
    </row>
    <row r="2261" spans="1:12" x14ac:dyDescent="0.25">
      <c r="A2261" t="s">
        <v>36</v>
      </c>
      <c r="B2261">
        <v>1185732</v>
      </c>
      <c r="C2261" s="1">
        <v>44296</v>
      </c>
      <c r="D2261" t="s">
        <v>57</v>
      </c>
      <c r="E2261" t="s">
        <v>110</v>
      </c>
      <c r="F2261" t="s">
        <v>111</v>
      </c>
      <c r="G2261" t="s">
        <v>41</v>
      </c>
      <c r="H2261" t="s">
        <v>38</v>
      </c>
      <c r="I2261" s="3">
        <v>28</v>
      </c>
      <c r="J2261" s="2">
        <v>218</v>
      </c>
      <c r="K2261" s="3">
        <f t="shared" si="35"/>
        <v>6104</v>
      </c>
      <c r="L2261" s="3">
        <v>2746.7999999999997</v>
      </c>
    </row>
    <row r="2262" spans="1:12" x14ac:dyDescent="0.25">
      <c r="A2262" t="s">
        <v>11</v>
      </c>
      <c r="B2262">
        <v>1185732</v>
      </c>
      <c r="C2262" s="1">
        <v>44296</v>
      </c>
      <c r="D2262" t="s">
        <v>57</v>
      </c>
      <c r="E2262" t="s">
        <v>103</v>
      </c>
      <c r="F2262" t="s">
        <v>104</v>
      </c>
      <c r="G2262" t="s">
        <v>41</v>
      </c>
      <c r="H2262" t="s">
        <v>38</v>
      </c>
      <c r="I2262" s="3">
        <v>23</v>
      </c>
      <c r="J2262" s="2">
        <v>125</v>
      </c>
      <c r="K2262" s="3">
        <f t="shared" si="35"/>
        <v>2875</v>
      </c>
      <c r="L2262" s="3">
        <v>1293.7499999999998</v>
      </c>
    </row>
    <row r="2263" spans="1:12" x14ac:dyDescent="0.25">
      <c r="A2263" t="s">
        <v>11</v>
      </c>
      <c r="B2263">
        <v>1185732</v>
      </c>
      <c r="C2263" s="1">
        <v>44296</v>
      </c>
      <c r="D2263" t="s">
        <v>57</v>
      </c>
      <c r="E2263" t="s">
        <v>103</v>
      </c>
      <c r="F2263" t="s">
        <v>104</v>
      </c>
      <c r="G2263" t="s">
        <v>41</v>
      </c>
      <c r="H2263" t="s">
        <v>16</v>
      </c>
      <c r="I2263" s="3">
        <v>47</v>
      </c>
      <c r="J2263" s="2">
        <v>72</v>
      </c>
      <c r="K2263" s="3">
        <f t="shared" si="35"/>
        <v>3384</v>
      </c>
      <c r="L2263" s="3">
        <v>1522.8</v>
      </c>
    </row>
    <row r="2264" spans="1:12" x14ac:dyDescent="0.25">
      <c r="A2264" t="s">
        <v>36</v>
      </c>
      <c r="B2264">
        <v>1185732</v>
      </c>
      <c r="C2264" s="1">
        <v>44296</v>
      </c>
      <c r="D2264" t="s">
        <v>57</v>
      </c>
      <c r="E2264" t="s">
        <v>110</v>
      </c>
      <c r="F2264" t="s">
        <v>111</v>
      </c>
      <c r="G2264" t="s">
        <v>41</v>
      </c>
      <c r="H2264" t="s">
        <v>16</v>
      </c>
      <c r="I2264" s="3">
        <v>34</v>
      </c>
      <c r="J2264" s="2">
        <v>137</v>
      </c>
      <c r="K2264" s="3">
        <f t="shared" si="35"/>
        <v>4658</v>
      </c>
      <c r="L2264" s="3">
        <v>1630.2999999999997</v>
      </c>
    </row>
    <row r="2265" spans="1:12" x14ac:dyDescent="0.25">
      <c r="A2265" t="s">
        <v>27</v>
      </c>
      <c r="B2265">
        <v>1185732</v>
      </c>
      <c r="C2265" s="1">
        <v>44297</v>
      </c>
      <c r="D2265" t="s">
        <v>12</v>
      </c>
      <c r="E2265" t="s">
        <v>62</v>
      </c>
      <c r="F2265" t="s">
        <v>63</v>
      </c>
      <c r="G2265" t="s">
        <v>18</v>
      </c>
      <c r="H2265" t="s">
        <v>16</v>
      </c>
      <c r="I2265" s="3">
        <v>40</v>
      </c>
      <c r="J2265" s="2">
        <v>550</v>
      </c>
      <c r="K2265" s="3">
        <f t="shared" si="35"/>
        <v>22000</v>
      </c>
      <c r="L2265" s="3">
        <v>16500</v>
      </c>
    </row>
    <row r="2266" spans="1:12" x14ac:dyDescent="0.25">
      <c r="A2266" t="s">
        <v>27</v>
      </c>
      <c r="B2266">
        <v>1185732</v>
      </c>
      <c r="C2266" s="1">
        <v>44297</v>
      </c>
      <c r="D2266" t="s">
        <v>12</v>
      </c>
      <c r="E2266" t="s">
        <v>62</v>
      </c>
      <c r="F2266" t="s">
        <v>63</v>
      </c>
      <c r="G2266" t="s">
        <v>18</v>
      </c>
      <c r="H2266" t="s">
        <v>17</v>
      </c>
      <c r="I2266" s="3">
        <v>40</v>
      </c>
      <c r="J2266" s="2">
        <v>500</v>
      </c>
      <c r="K2266" s="3">
        <f t="shared" si="35"/>
        <v>20000</v>
      </c>
      <c r="L2266" s="3">
        <v>14000</v>
      </c>
    </row>
    <row r="2267" spans="1:12" x14ac:dyDescent="0.25">
      <c r="A2267" t="s">
        <v>27</v>
      </c>
      <c r="B2267">
        <v>1185732</v>
      </c>
      <c r="C2267" s="1">
        <v>44297</v>
      </c>
      <c r="D2267" t="s">
        <v>12</v>
      </c>
      <c r="E2267" t="s">
        <v>62</v>
      </c>
      <c r="F2267" t="s">
        <v>63</v>
      </c>
      <c r="G2267" t="s">
        <v>18</v>
      </c>
      <c r="H2267" t="s">
        <v>22</v>
      </c>
      <c r="I2267" s="3">
        <v>50</v>
      </c>
      <c r="J2267" s="2">
        <v>425</v>
      </c>
      <c r="K2267" s="3">
        <f t="shared" si="35"/>
        <v>21250</v>
      </c>
      <c r="L2267" s="3">
        <v>14875</v>
      </c>
    </row>
    <row r="2268" spans="1:12" x14ac:dyDescent="0.25">
      <c r="A2268" t="s">
        <v>27</v>
      </c>
      <c r="B2268">
        <v>1185732</v>
      </c>
      <c r="C2268" s="1">
        <v>44297</v>
      </c>
      <c r="D2268" t="s">
        <v>12</v>
      </c>
      <c r="E2268" t="s">
        <v>62</v>
      </c>
      <c r="F2268" t="s">
        <v>63</v>
      </c>
      <c r="G2268" t="s">
        <v>18</v>
      </c>
      <c r="H2268" t="s">
        <v>35</v>
      </c>
      <c r="I2268" s="3">
        <v>30.000000000000004</v>
      </c>
      <c r="J2268" s="2">
        <v>500</v>
      </c>
      <c r="K2268" s="3">
        <f t="shared" si="35"/>
        <v>15000.000000000002</v>
      </c>
      <c r="L2268" s="3">
        <v>9750.0000000000036</v>
      </c>
    </row>
    <row r="2269" spans="1:12" x14ac:dyDescent="0.25">
      <c r="A2269" t="s">
        <v>11</v>
      </c>
      <c r="B2269">
        <v>1185732</v>
      </c>
      <c r="C2269" s="1">
        <v>44297</v>
      </c>
      <c r="D2269" t="s">
        <v>12</v>
      </c>
      <c r="E2269" t="s">
        <v>101</v>
      </c>
      <c r="F2269" t="s">
        <v>102</v>
      </c>
      <c r="G2269" t="s">
        <v>18</v>
      </c>
      <c r="H2269" t="s">
        <v>17</v>
      </c>
      <c r="I2269" s="3">
        <v>25.000000000000007</v>
      </c>
      <c r="J2269" s="2">
        <v>325</v>
      </c>
      <c r="K2269" s="3">
        <f t="shared" si="35"/>
        <v>8125.0000000000027</v>
      </c>
      <c r="L2269" s="3">
        <v>5281.2500000000018</v>
      </c>
    </row>
    <row r="2270" spans="1:12" x14ac:dyDescent="0.25">
      <c r="A2270" t="s">
        <v>36</v>
      </c>
      <c r="B2270">
        <v>1185732</v>
      </c>
      <c r="C2270" s="1">
        <v>44297</v>
      </c>
      <c r="D2270" t="s">
        <v>29</v>
      </c>
      <c r="E2270" t="s">
        <v>80</v>
      </c>
      <c r="F2270" t="s">
        <v>81</v>
      </c>
      <c r="G2270" t="s">
        <v>18</v>
      </c>
      <c r="H2270" t="s">
        <v>22</v>
      </c>
      <c r="I2270" s="3">
        <v>55.000000000000007</v>
      </c>
      <c r="J2270" s="2">
        <v>150</v>
      </c>
      <c r="K2270" s="3">
        <f t="shared" si="35"/>
        <v>8250.0000000000018</v>
      </c>
      <c r="L2270" s="3">
        <v>5362.5000000000018</v>
      </c>
    </row>
    <row r="2271" spans="1:12" x14ac:dyDescent="0.25">
      <c r="A2271" t="s">
        <v>27</v>
      </c>
      <c r="B2271">
        <v>1185732</v>
      </c>
      <c r="C2271" s="1">
        <v>44297</v>
      </c>
      <c r="D2271" t="s">
        <v>12</v>
      </c>
      <c r="E2271" t="s">
        <v>62</v>
      </c>
      <c r="F2271" t="s">
        <v>63</v>
      </c>
      <c r="G2271" t="s">
        <v>18</v>
      </c>
      <c r="H2271" t="s">
        <v>37</v>
      </c>
      <c r="I2271" s="3">
        <v>35</v>
      </c>
      <c r="J2271" s="2">
        <v>425</v>
      </c>
      <c r="K2271" s="3">
        <f t="shared" si="35"/>
        <v>14875</v>
      </c>
      <c r="L2271" s="3">
        <v>9668.75</v>
      </c>
    </row>
    <row r="2272" spans="1:12" x14ac:dyDescent="0.25">
      <c r="A2272" t="s">
        <v>11</v>
      </c>
      <c r="B2272">
        <v>1185732</v>
      </c>
      <c r="C2272" s="1">
        <v>44297</v>
      </c>
      <c r="D2272" t="s">
        <v>12</v>
      </c>
      <c r="E2272" t="s">
        <v>101</v>
      </c>
      <c r="F2272" t="s">
        <v>102</v>
      </c>
      <c r="G2272" t="s">
        <v>18</v>
      </c>
      <c r="H2272" t="s">
        <v>22</v>
      </c>
      <c r="I2272" s="3">
        <v>35</v>
      </c>
      <c r="J2272" s="2">
        <v>275</v>
      </c>
      <c r="K2272" s="3">
        <f t="shared" si="35"/>
        <v>9625</v>
      </c>
      <c r="L2272" s="3">
        <v>6256.25</v>
      </c>
    </row>
    <row r="2273" spans="1:12" x14ac:dyDescent="0.25">
      <c r="A2273" t="s">
        <v>36</v>
      </c>
      <c r="B2273">
        <v>1185732</v>
      </c>
      <c r="C2273" s="1">
        <v>44297</v>
      </c>
      <c r="D2273" t="s">
        <v>29</v>
      </c>
      <c r="E2273" t="s">
        <v>80</v>
      </c>
      <c r="F2273" t="s">
        <v>81</v>
      </c>
      <c r="G2273" t="s">
        <v>18</v>
      </c>
      <c r="H2273" t="s">
        <v>35</v>
      </c>
      <c r="I2273" s="3">
        <v>35</v>
      </c>
      <c r="J2273" s="2">
        <v>225</v>
      </c>
      <c r="K2273" s="3">
        <f t="shared" si="35"/>
        <v>7875</v>
      </c>
      <c r="L2273" s="3">
        <v>5118.75</v>
      </c>
    </row>
    <row r="2274" spans="1:12" x14ac:dyDescent="0.25">
      <c r="A2274" t="s">
        <v>36</v>
      </c>
      <c r="B2274">
        <v>1185732</v>
      </c>
      <c r="C2274" s="1">
        <v>44297</v>
      </c>
      <c r="D2274" t="s">
        <v>29</v>
      </c>
      <c r="E2274" t="s">
        <v>80</v>
      </c>
      <c r="F2274" t="s">
        <v>81</v>
      </c>
      <c r="G2274" t="s">
        <v>18</v>
      </c>
      <c r="H2274" t="s">
        <v>37</v>
      </c>
      <c r="I2274" s="3">
        <v>40</v>
      </c>
      <c r="J2274" s="2">
        <v>150</v>
      </c>
      <c r="K2274" s="3">
        <f t="shared" si="35"/>
        <v>6000</v>
      </c>
      <c r="L2274" s="3">
        <v>3900</v>
      </c>
    </row>
    <row r="2275" spans="1:12" x14ac:dyDescent="0.25">
      <c r="A2275" t="s">
        <v>11</v>
      </c>
      <c r="B2275">
        <v>1185732</v>
      </c>
      <c r="C2275" s="1">
        <v>44297</v>
      </c>
      <c r="D2275" t="s">
        <v>12</v>
      </c>
      <c r="E2275" t="s">
        <v>101</v>
      </c>
      <c r="F2275" t="s">
        <v>102</v>
      </c>
      <c r="G2275" t="s">
        <v>18</v>
      </c>
      <c r="H2275" t="s">
        <v>35</v>
      </c>
      <c r="I2275" s="3">
        <v>15.000000000000007</v>
      </c>
      <c r="J2275" s="2">
        <v>325</v>
      </c>
      <c r="K2275" s="3">
        <f t="shared" si="35"/>
        <v>4875.0000000000027</v>
      </c>
      <c r="L2275" s="3">
        <v>3168.7500000000014</v>
      </c>
    </row>
    <row r="2276" spans="1:12" x14ac:dyDescent="0.25">
      <c r="A2276" t="s">
        <v>26</v>
      </c>
      <c r="B2276">
        <v>1197831</v>
      </c>
      <c r="C2276" s="1">
        <v>44297</v>
      </c>
      <c r="D2276" t="s">
        <v>52</v>
      </c>
      <c r="E2276" t="s">
        <v>97</v>
      </c>
      <c r="F2276" t="s">
        <v>98</v>
      </c>
      <c r="G2276" t="s">
        <v>15</v>
      </c>
      <c r="H2276" t="s">
        <v>35</v>
      </c>
      <c r="I2276" s="3">
        <v>40</v>
      </c>
      <c r="J2276" s="2">
        <v>650</v>
      </c>
      <c r="K2276" s="3">
        <f t="shared" si="35"/>
        <v>26000</v>
      </c>
      <c r="L2276" s="3">
        <v>15600</v>
      </c>
    </row>
    <row r="2277" spans="1:12" x14ac:dyDescent="0.25">
      <c r="A2277" t="s">
        <v>11</v>
      </c>
      <c r="B2277">
        <v>1185732</v>
      </c>
      <c r="C2277" s="1">
        <v>44297</v>
      </c>
      <c r="D2277" t="s">
        <v>12</v>
      </c>
      <c r="E2277" t="s">
        <v>101</v>
      </c>
      <c r="F2277" t="s">
        <v>102</v>
      </c>
      <c r="G2277" t="s">
        <v>18</v>
      </c>
      <c r="H2277" t="s">
        <v>38</v>
      </c>
      <c r="I2277" s="3">
        <v>30.000000000000004</v>
      </c>
      <c r="J2277" s="2">
        <v>625</v>
      </c>
      <c r="K2277" s="3">
        <f t="shared" si="35"/>
        <v>18750.000000000004</v>
      </c>
      <c r="L2277" s="3">
        <v>11250.000000000002</v>
      </c>
    </row>
    <row r="2278" spans="1:12" x14ac:dyDescent="0.25">
      <c r="A2278" t="s">
        <v>11</v>
      </c>
      <c r="B2278">
        <v>1185732</v>
      </c>
      <c r="C2278" s="1">
        <v>44297</v>
      </c>
      <c r="D2278" t="s">
        <v>12</v>
      </c>
      <c r="E2278" t="s">
        <v>101</v>
      </c>
      <c r="F2278" t="s">
        <v>102</v>
      </c>
      <c r="G2278" t="s">
        <v>18</v>
      </c>
      <c r="H2278" t="s">
        <v>37</v>
      </c>
      <c r="I2278" s="3">
        <v>20</v>
      </c>
      <c r="J2278" s="2">
        <v>250</v>
      </c>
      <c r="K2278" s="3">
        <f t="shared" si="35"/>
        <v>5000</v>
      </c>
      <c r="L2278" s="3">
        <v>3000</v>
      </c>
    </row>
    <row r="2279" spans="1:12" x14ac:dyDescent="0.25">
      <c r="A2279" t="s">
        <v>36</v>
      </c>
      <c r="B2279">
        <v>1185732</v>
      </c>
      <c r="C2279" s="1">
        <v>44297</v>
      </c>
      <c r="D2279" t="s">
        <v>29</v>
      </c>
      <c r="E2279" t="s">
        <v>80</v>
      </c>
      <c r="F2279" t="s">
        <v>81</v>
      </c>
      <c r="G2279" t="s">
        <v>18</v>
      </c>
      <c r="H2279" t="s">
        <v>16</v>
      </c>
      <c r="I2279" s="3">
        <v>45</v>
      </c>
      <c r="J2279" s="2">
        <v>300</v>
      </c>
      <c r="K2279" s="3">
        <f t="shared" si="35"/>
        <v>13500</v>
      </c>
      <c r="L2279" s="3">
        <v>8100</v>
      </c>
    </row>
    <row r="2280" spans="1:12" x14ac:dyDescent="0.25">
      <c r="A2280" t="s">
        <v>36</v>
      </c>
      <c r="B2280">
        <v>1185732</v>
      </c>
      <c r="C2280" s="1">
        <v>44297</v>
      </c>
      <c r="D2280" t="s">
        <v>29</v>
      </c>
      <c r="E2280" t="s">
        <v>80</v>
      </c>
      <c r="F2280" t="s">
        <v>81</v>
      </c>
      <c r="G2280" t="s">
        <v>18</v>
      </c>
      <c r="H2280" t="s">
        <v>38</v>
      </c>
      <c r="I2280" s="3">
        <v>45</v>
      </c>
      <c r="J2280" s="2">
        <v>525</v>
      </c>
      <c r="K2280" s="3">
        <f t="shared" si="35"/>
        <v>23625</v>
      </c>
      <c r="L2280" s="3">
        <v>12993.75</v>
      </c>
    </row>
    <row r="2281" spans="1:12" x14ac:dyDescent="0.25">
      <c r="A2281" t="s">
        <v>36</v>
      </c>
      <c r="B2281">
        <v>1185732</v>
      </c>
      <c r="C2281" s="1">
        <v>44297</v>
      </c>
      <c r="D2281" t="s">
        <v>29</v>
      </c>
      <c r="E2281" t="s">
        <v>80</v>
      </c>
      <c r="F2281" t="s">
        <v>81</v>
      </c>
      <c r="G2281" t="s">
        <v>18</v>
      </c>
      <c r="H2281" t="s">
        <v>17</v>
      </c>
      <c r="I2281" s="3">
        <v>45</v>
      </c>
      <c r="J2281" s="2">
        <v>225</v>
      </c>
      <c r="K2281" s="3">
        <f t="shared" si="35"/>
        <v>10125</v>
      </c>
      <c r="L2281" s="3">
        <v>5568.75</v>
      </c>
    </row>
    <row r="2282" spans="1:12" x14ac:dyDescent="0.25">
      <c r="A2282" t="s">
        <v>27</v>
      </c>
      <c r="B2282">
        <v>1185732</v>
      </c>
      <c r="C2282" s="1">
        <v>44297</v>
      </c>
      <c r="D2282" t="s">
        <v>12</v>
      </c>
      <c r="E2282" t="s">
        <v>62</v>
      </c>
      <c r="F2282" t="s">
        <v>63</v>
      </c>
      <c r="G2282" t="s">
        <v>18</v>
      </c>
      <c r="H2282" t="s">
        <v>38</v>
      </c>
      <c r="I2282" s="3">
        <v>40</v>
      </c>
      <c r="J2282" s="2">
        <v>800</v>
      </c>
      <c r="K2282" s="3">
        <f t="shared" si="35"/>
        <v>32000</v>
      </c>
      <c r="L2282" s="3">
        <v>16000</v>
      </c>
    </row>
    <row r="2283" spans="1:12" x14ac:dyDescent="0.25">
      <c r="A2283" t="s">
        <v>11</v>
      </c>
      <c r="B2283">
        <v>1185732</v>
      </c>
      <c r="C2283" s="1">
        <v>44297</v>
      </c>
      <c r="D2283" t="s">
        <v>12</v>
      </c>
      <c r="E2283" t="s">
        <v>101</v>
      </c>
      <c r="F2283" t="s">
        <v>102</v>
      </c>
      <c r="G2283" t="s">
        <v>18</v>
      </c>
      <c r="H2283" t="s">
        <v>16</v>
      </c>
      <c r="I2283" s="3">
        <v>25.000000000000007</v>
      </c>
      <c r="J2283" s="2">
        <v>400</v>
      </c>
      <c r="K2283" s="3">
        <f t="shared" si="35"/>
        <v>10000.000000000004</v>
      </c>
      <c r="L2283" s="3">
        <v>5000.0000000000018</v>
      </c>
    </row>
    <row r="2284" spans="1:12" x14ac:dyDescent="0.25">
      <c r="A2284" t="s">
        <v>27</v>
      </c>
      <c r="B2284">
        <v>1189833</v>
      </c>
      <c r="C2284" s="1">
        <v>44297</v>
      </c>
      <c r="D2284" t="s">
        <v>12</v>
      </c>
      <c r="E2284" t="s">
        <v>13</v>
      </c>
      <c r="F2284" t="s">
        <v>28</v>
      </c>
      <c r="G2284" t="s">
        <v>15</v>
      </c>
      <c r="H2284" t="s">
        <v>22</v>
      </c>
      <c r="I2284" s="3">
        <v>50</v>
      </c>
      <c r="J2284" s="2">
        <v>425</v>
      </c>
      <c r="K2284" s="3">
        <f t="shared" si="35"/>
        <v>21250</v>
      </c>
      <c r="L2284" s="3">
        <v>9562.4999999999982</v>
      </c>
    </row>
    <row r="2285" spans="1:12" x14ac:dyDescent="0.25">
      <c r="A2285" t="s">
        <v>27</v>
      </c>
      <c r="B2285">
        <v>1185732</v>
      </c>
      <c r="C2285" s="1">
        <v>44297</v>
      </c>
      <c r="D2285" t="s">
        <v>12</v>
      </c>
      <c r="E2285" t="s">
        <v>62</v>
      </c>
      <c r="F2285" t="s">
        <v>63</v>
      </c>
      <c r="G2285" t="s">
        <v>41</v>
      </c>
      <c r="H2285" t="s">
        <v>16</v>
      </c>
      <c r="I2285" s="3">
        <v>36</v>
      </c>
      <c r="J2285" s="2">
        <v>149</v>
      </c>
      <c r="K2285" s="3">
        <f t="shared" si="35"/>
        <v>5364</v>
      </c>
      <c r="L2285" s="3">
        <v>3486.6000000000004</v>
      </c>
    </row>
    <row r="2286" spans="1:12" x14ac:dyDescent="0.25">
      <c r="A2286" t="s">
        <v>11</v>
      </c>
      <c r="B2286">
        <v>1185732</v>
      </c>
      <c r="C2286" s="1">
        <v>44297</v>
      </c>
      <c r="D2286" t="s">
        <v>12</v>
      </c>
      <c r="E2286" t="s">
        <v>101</v>
      </c>
      <c r="F2286" t="s">
        <v>102</v>
      </c>
      <c r="G2286" t="s">
        <v>15</v>
      </c>
      <c r="H2286" t="s">
        <v>17</v>
      </c>
      <c r="I2286" s="3">
        <v>20</v>
      </c>
      <c r="J2286" s="2">
        <v>111</v>
      </c>
      <c r="K2286" s="3">
        <f t="shared" si="35"/>
        <v>2220</v>
      </c>
      <c r="L2286" s="3">
        <v>1398.6</v>
      </c>
    </row>
    <row r="2287" spans="1:12" x14ac:dyDescent="0.25">
      <c r="A2287" t="s">
        <v>11</v>
      </c>
      <c r="B2287">
        <v>1185732</v>
      </c>
      <c r="C2287" s="1">
        <v>44297</v>
      </c>
      <c r="D2287" t="s">
        <v>12</v>
      </c>
      <c r="E2287" t="s">
        <v>101</v>
      </c>
      <c r="F2287" t="s">
        <v>102</v>
      </c>
      <c r="G2287" t="s">
        <v>15</v>
      </c>
      <c r="H2287" t="s">
        <v>22</v>
      </c>
      <c r="I2287" s="3">
        <v>24</v>
      </c>
      <c r="J2287" s="2">
        <v>88</v>
      </c>
      <c r="K2287" s="3">
        <f t="shared" si="35"/>
        <v>2112</v>
      </c>
      <c r="L2287" s="3">
        <v>1288.3200000000002</v>
      </c>
    </row>
    <row r="2288" spans="1:12" x14ac:dyDescent="0.25">
      <c r="A2288" t="s">
        <v>36</v>
      </c>
      <c r="B2288">
        <v>1185732</v>
      </c>
      <c r="C2288" s="1">
        <v>44297</v>
      </c>
      <c r="D2288" t="s">
        <v>29</v>
      </c>
      <c r="E2288" t="s">
        <v>80</v>
      </c>
      <c r="F2288" t="s">
        <v>81</v>
      </c>
      <c r="G2288" t="s">
        <v>15</v>
      </c>
      <c r="H2288" t="s">
        <v>37</v>
      </c>
      <c r="I2288" s="3">
        <v>30</v>
      </c>
      <c r="J2288" s="2">
        <v>50</v>
      </c>
      <c r="K2288" s="3">
        <f t="shared" si="35"/>
        <v>1500</v>
      </c>
      <c r="L2288" s="3">
        <v>900</v>
      </c>
    </row>
    <row r="2289" spans="1:12" x14ac:dyDescent="0.25">
      <c r="A2289" t="s">
        <v>11</v>
      </c>
      <c r="B2289">
        <v>1185732</v>
      </c>
      <c r="C2289" s="1">
        <v>44297</v>
      </c>
      <c r="D2289" t="s">
        <v>12</v>
      </c>
      <c r="E2289" t="s">
        <v>101</v>
      </c>
      <c r="F2289" t="s">
        <v>102</v>
      </c>
      <c r="G2289" t="s">
        <v>15</v>
      </c>
      <c r="H2289" t="s">
        <v>35</v>
      </c>
      <c r="I2289" s="3">
        <v>10</v>
      </c>
      <c r="J2289" s="2">
        <v>107</v>
      </c>
      <c r="K2289" s="3">
        <f t="shared" si="35"/>
        <v>1070</v>
      </c>
      <c r="L2289" s="3">
        <v>631.29999999999995</v>
      </c>
    </row>
    <row r="2290" spans="1:12" x14ac:dyDescent="0.25">
      <c r="A2290" t="s">
        <v>36</v>
      </c>
      <c r="B2290">
        <v>1185732</v>
      </c>
      <c r="C2290" s="1">
        <v>44297</v>
      </c>
      <c r="D2290" t="s">
        <v>29</v>
      </c>
      <c r="E2290" t="s">
        <v>80</v>
      </c>
      <c r="F2290" t="s">
        <v>81</v>
      </c>
      <c r="G2290" t="s">
        <v>15</v>
      </c>
      <c r="H2290" t="s">
        <v>22</v>
      </c>
      <c r="I2290" s="3">
        <v>41</v>
      </c>
      <c r="J2290" s="2">
        <v>53</v>
      </c>
      <c r="K2290" s="3">
        <f t="shared" si="35"/>
        <v>2173</v>
      </c>
      <c r="L2290" s="3">
        <v>1260.3400000000001</v>
      </c>
    </row>
    <row r="2291" spans="1:12" x14ac:dyDescent="0.25">
      <c r="A2291" t="s">
        <v>27</v>
      </c>
      <c r="B2291">
        <v>1185732</v>
      </c>
      <c r="C2291" s="1">
        <v>44297</v>
      </c>
      <c r="D2291" t="s">
        <v>12</v>
      </c>
      <c r="E2291" t="s">
        <v>62</v>
      </c>
      <c r="F2291" t="s">
        <v>63</v>
      </c>
      <c r="G2291" t="s">
        <v>41</v>
      </c>
      <c r="H2291" t="s">
        <v>22</v>
      </c>
      <c r="I2291" s="3">
        <v>47</v>
      </c>
      <c r="J2291" s="2">
        <v>106</v>
      </c>
      <c r="K2291" s="3">
        <f t="shared" si="35"/>
        <v>4982</v>
      </c>
      <c r="L2291" s="3">
        <v>2889.56</v>
      </c>
    </row>
    <row r="2292" spans="1:12" x14ac:dyDescent="0.25">
      <c r="A2292" t="s">
        <v>36</v>
      </c>
      <c r="B2292">
        <v>1185732</v>
      </c>
      <c r="C2292" s="1">
        <v>44297</v>
      </c>
      <c r="D2292" t="s">
        <v>29</v>
      </c>
      <c r="E2292" t="s">
        <v>80</v>
      </c>
      <c r="F2292" t="s">
        <v>81</v>
      </c>
      <c r="G2292" t="s">
        <v>15</v>
      </c>
      <c r="H2292" t="s">
        <v>35</v>
      </c>
      <c r="I2292" s="3">
        <v>25</v>
      </c>
      <c r="J2292" s="2">
        <v>74</v>
      </c>
      <c r="K2292" s="3">
        <f t="shared" si="35"/>
        <v>1850</v>
      </c>
      <c r="L2292" s="3">
        <v>1073</v>
      </c>
    </row>
    <row r="2293" spans="1:12" x14ac:dyDescent="0.25">
      <c r="A2293" t="s">
        <v>26</v>
      </c>
      <c r="B2293">
        <v>1197831</v>
      </c>
      <c r="C2293" s="1">
        <v>44297</v>
      </c>
      <c r="D2293" t="s">
        <v>52</v>
      </c>
      <c r="E2293" t="s">
        <v>97</v>
      </c>
      <c r="F2293" t="s">
        <v>98</v>
      </c>
      <c r="G2293" t="s">
        <v>15</v>
      </c>
      <c r="H2293" t="s">
        <v>35</v>
      </c>
      <c r="I2293" s="3">
        <v>26</v>
      </c>
      <c r="J2293" s="2">
        <v>202</v>
      </c>
      <c r="K2293" s="3">
        <f t="shared" si="35"/>
        <v>5252</v>
      </c>
      <c r="L2293" s="3">
        <v>2941.1200000000003</v>
      </c>
    </row>
    <row r="2294" spans="1:12" x14ac:dyDescent="0.25">
      <c r="A2294" t="s">
        <v>36</v>
      </c>
      <c r="B2294">
        <v>1185732</v>
      </c>
      <c r="C2294" s="1">
        <v>44297</v>
      </c>
      <c r="D2294" t="s">
        <v>29</v>
      </c>
      <c r="E2294" t="s">
        <v>80</v>
      </c>
      <c r="F2294" t="s">
        <v>81</v>
      </c>
      <c r="G2294" t="s">
        <v>15</v>
      </c>
      <c r="H2294" t="s">
        <v>16</v>
      </c>
      <c r="I2294" s="3">
        <v>36</v>
      </c>
      <c r="J2294" s="2">
        <v>90</v>
      </c>
      <c r="K2294" s="3">
        <f t="shared" si="35"/>
        <v>3240</v>
      </c>
      <c r="L2294" s="3">
        <v>1814.4</v>
      </c>
    </row>
    <row r="2295" spans="1:12" x14ac:dyDescent="0.25">
      <c r="A2295" t="s">
        <v>27</v>
      </c>
      <c r="B2295">
        <v>1185732</v>
      </c>
      <c r="C2295" s="1">
        <v>44297</v>
      </c>
      <c r="D2295" t="s">
        <v>12</v>
      </c>
      <c r="E2295" t="s">
        <v>62</v>
      </c>
      <c r="F2295" t="s">
        <v>63</v>
      </c>
      <c r="G2295" t="s">
        <v>41</v>
      </c>
      <c r="H2295" t="s">
        <v>17</v>
      </c>
      <c r="I2295" s="3">
        <v>39</v>
      </c>
      <c r="J2295" s="2">
        <v>140</v>
      </c>
      <c r="K2295" s="3">
        <f t="shared" si="35"/>
        <v>5460</v>
      </c>
      <c r="L2295" s="3">
        <v>3003.0000000000005</v>
      </c>
    </row>
    <row r="2296" spans="1:12" x14ac:dyDescent="0.25">
      <c r="A2296" t="s">
        <v>11</v>
      </c>
      <c r="B2296">
        <v>1185732</v>
      </c>
      <c r="C2296" s="1">
        <v>44297</v>
      </c>
      <c r="D2296" t="s">
        <v>12</v>
      </c>
      <c r="E2296" t="s">
        <v>101</v>
      </c>
      <c r="F2296" t="s">
        <v>102</v>
      </c>
      <c r="G2296" t="s">
        <v>41</v>
      </c>
      <c r="H2296" t="s">
        <v>17</v>
      </c>
      <c r="I2296" s="3">
        <v>25</v>
      </c>
      <c r="J2296" s="2">
        <v>94</v>
      </c>
      <c r="K2296" s="3">
        <f t="shared" si="35"/>
        <v>2350</v>
      </c>
      <c r="L2296" s="3">
        <v>1292.5</v>
      </c>
    </row>
    <row r="2297" spans="1:12" x14ac:dyDescent="0.25">
      <c r="A2297" t="s">
        <v>11</v>
      </c>
      <c r="B2297">
        <v>1185732</v>
      </c>
      <c r="C2297" s="1">
        <v>44297</v>
      </c>
      <c r="D2297" t="s">
        <v>12</v>
      </c>
      <c r="E2297" t="s">
        <v>101</v>
      </c>
      <c r="F2297" t="s">
        <v>102</v>
      </c>
      <c r="G2297" t="s">
        <v>15</v>
      </c>
      <c r="H2297" t="s">
        <v>37</v>
      </c>
      <c r="I2297" s="3">
        <v>14</v>
      </c>
      <c r="J2297" s="2">
        <v>75</v>
      </c>
      <c r="K2297" s="3">
        <f t="shared" si="35"/>
        <v>1050</v>
      </c>
      <c r="L2297" s="3">
        <v>577.5</v>
      </c>
    </row>
    <row r="2298" spans="1:12" x14ac:dyDescent="0.25">
      <c r="A2298" t="s">
        <v>27</v>
      </c>
      <c r="B2298">
        <v>1185732</v>
      </c>
      <c r="C2298" s="1">
        <v>44297</v>
      </c>
      <c r="D2298" t="s">
        <v>12</v>
      </c>
      <c r="E2298" t="s">
        <v>62</v>
      </c>
      <c r="F2298" t="s">
        <v>63</v>
      </c>
      <c r="G2298" t="s">
        <v>41</v>
      </c>
      <c r="H2298" t="s">
        <v>35</v>
      </c>
      <c r="I2298" s="3">
        <v>28</v>
      </c>
      <c r="J2298" s="2">
        <v>145</v>
      </c>
      <c r="K2298" s="3">
        <f t="shared" si="35"/>
        <v>4060</v>
      </c>
      <c r="L2298" s="3">
        <v>2192.4</v>
      </c>
    </row>
    <row r="2299" spans="1:12" x14ac:dyDescent="0.25">
      <c r="A2299" t="s">
        <v>11</v>
      </c>
      <c r="B2299">
        <v>1185732</v>
      </c>
      <c r="C2299" s="1">
        <v>44297</v>
      </c>
      <c r="D2299" t="s">
        <v>12</v>
      </c>
      <c r="E2299" t="s">
        <v>101</v>
      </c>
      <c r="F2299" t="s">
        <v>102</v>
      </c>
      <c r="G2299" t="s">
        <v>41</v>
      </c>
      <c r="H2299" t="s">
        <v>22</v>
      </c>
      <c r="I2299" s="3">
        <v>33</v>
      </c>
      <c r="J2299" s="2">
        <v>74</v>
      </c>
      <c r="K2299" s="3">
        <f t="shared" si="35"/>
        <v>2442</v>
      </c>
      <c r="L2299" s="3">
        <v>1318.68</v>
      </c>
    </row>
    <row r="2300" spans="1:12" x14ac:dyDescent="0.25">
      <c r="A2300" t="s">
        <v>11</v>
      </c>
      <c r="B2300">
        <v>1185732</v>
      </c>
      <c r="C2300" s="1">
        <v>44297</v>
      </c>
      <c r="D2300" t="s">
        <v>12</v>
      </c>
      <c r="E2300" t="s">
        <v>101</v>
      </c>
      <c r="F2300" t="s">
        <v>102</v>
      </c>
      <c r="G2300" t="s">
        <v>41</v>
      </c>
      <c r="H2300" t="s">
        <v>35</v>
      </c>
      <c r="I2300" s="3">
        <v>14</v>
      </c>
      <c r="J2300" s="2">
        <v>98</v>
      </c>
      <c r="K2300" s="3">
        <f t="shared" si="35"/>
        <v>1372</v>
      </c>
      <c r="L2300" s="3">
        <v>740.88</v>
      </c>
    </row>
    <row r="2301" spans="1:12" x14ac:dyDescent="0.25">
      <c r="A2301" t="s">
        <v>36</v>
      </c>
      <c r="B2301">
        <v>1185732</v>
      </c>
      <c r="C2301" s="1">
        <v>44297</v>
      </c>
      <c r="D2301" t="s">
        <v>29</v>
      </c>
      <c r="E2301" t="s">
        <v>80</v>
      </c>
      <c r="F2301" t="s">
        <v>81</v>
      </c>
      <c r="G2301" t="s">
        <v>41</v>
      </c>
      <c r="H2301" t="s">
        <v>22</v>
      </c>
      <c r="I2301" s="3">
        <v>51</v>
      </c>
      <c r="J2301" s="2">
        <v>38</v>
      </c>
      <c r="K2301" s="3">
        <f t="shared" si="35"/>
        <v>1938</v>
      </c>
      <c r="L2301" s="3">
        <v>1046.52</v>
      </c>
    </row>
    <row r="2302" spans="1:12" x14ac:dyDescent="0.25">
      <c r="A2302" t="s">
        <v>11</v>
      </c>
      <c r="B2302">
        <v>1185732</v>
      </c>
      <c r="C2302" s="1">
        <v>44297</v>
      </c>
      <c r="D2302" t="s">
        <v>12</v>
      </c>
      <c r="E2302" t="s">
        <v>101</v>
      </c>
      <c r="F2302" t="s">
        <v>102</v>
      </c>
      <c r="G2302" t="s">
        <v>15</v>
      </c>
      <c r="H2302" t="s">
        <v>38</v>
      </c>
      <c r="I2302" s="3">
        <v>20</v>
      </c>
      <c r="J2302" s="2">
        <v>194</v>
      </c>
      <c r="K2302" s="3">
        <f t="shared" si="35"/>
        <v>3880</v>
      </c>
      <c r="L2302" s="3">
        <v>2095.1999999999998</v>
      </c>
    </row>
    <row r="2303" spans="1:12" x14ac:dyDescent="0.25">
      <c r="A2303" t="s">
        <v>27</v>
      </c>
      <c r="B2303">
        <v>1185732</v>
      </c>
      <c r="C2303" s="1">
        <v>44297</v>
      </c>
      <c r="D2303" t="s">
        <v>12</v>
      </c>
      <c r="E2303" t="s">
        <v>62</v>
      </c>
      <c r="F2303" t="s">
        <v>63</v>
      </c>
      <c r="G2303" t="s">
        <v>41</v>
      </c>
      <c r="H2303" t="s">
        <v>37</v>
      </c>
      <c r="I2303" s="3">
        <v>33</v>
      </c>
      <c r="J2303" s="2">
        <v>119</v>
      </c>
      <c r="K2303" s="3">
        <f t="shared" si="35"/>
        <v>3927</v>
      </c>
      <c r="L2303" s="3">
        <v>2081.3100000000004</v>
      </c>
    </row>
    <row r="2304" spans="1:12" x14ac:dyDescent="0.25">
      <c r="A2304" t="s">
        <v>36</v>
      </c>
      <c r="B2304">
        <v>1185732</v>
      </c>
      <c r="C2304" s="1">
        <v>44297</v>
      </c>
      <c r="D2304" t="s">
        <v>29</v>
      </c>
      <c r="E2304" t="s">
        <v>80</v>
      </c>
      <c r="F2304" t="s">
        <v>81</v>
      </c>
      <c r="G2304" t="s">
        <v>15</v>
      </c>
      <c r="H2304" t="s">
        <v>17</v>
      </c>
      <c r="I2304" s="3">
        <v>35</v>
      </c>
      <c r="J2304" s="2">
        <v>68</v>
      </c>
      <c r="K2304" s="3">
        <f t="shared" si="35"/>
        <v>2380</v>
      </c>
      <c r="L2304" s="3">
        <v>1261.3999999999999</v>
      </c>
    </row>
    <row r="2305" spans="1:12" x14ac:dyDescent="0.25">
      <c r="A2305" t="s">
        <v>11</v>
      </c>
      <c r="B2305">
        <v>1185732</v>
      </c>
      <c r="C2305" s="1">
        <v>44297</v>
      </c>
      <c r="D2305" t="s">
        <v>12</v>
      </c>
      <c r="E2305" t="s">
        <v>101</v>
      </c>
      <c r="F2305" t="s">
        <v>102</v>
      </c>
      <c r="G2305" t="s">
        <v>41</v>
      </c>
      <c r="H2305" t="s">
        <v>38</v>
      </c>
      <c r="I2305" s="3">
        <v>27</v>
      </c>
      <c r="J2305" s="2">
        <v>181</v>
      </c>
      <c r="K2305" s="3">
        <f t="shared" si="35"/>
        <v>4887</v>
      </c>
      <c r="L2305" s="3">
        <v>2443.5</v>
      </c>
    </row>
    <row r="2306" spans="1:12" x14ac:dyDescent="0.25">
      <c r="A2306" t="s">
        <v>36</v>
      </c>
      <c r="B2306">
        <v>1185732</v>
      </c>
      <c r="C2306" s="1">
        <v>44297</v>
      </c>
      <c r="D2306" t="s">
        <v>29</v>
      </c>
      <c r="E2306" t="s">
        <v>80</v>
      </c>
      <c r="F2306" t="s">
        <v>81</v>
      </c>
      <c r="G2306" t="s">
        <v>41</v>
      </c>
      <c r="H2306" t="s">
        <v>35</v>
      </c>
      <c r="I2306" s="3">
        <v>32</v>
      </c>
      <c r="J2306" s="2">
        <v>65</v>
      </c>
      <c r="K2306" s="3">
        <f t="shared" si="35"/>
        <v>2080</v>
      </c>
      <c r="L2306" s="3">
        <v>1040</v>
      </c>
    </row>
    <row r="2307" spans="1:12" x14ac:dyDescent="0.25">
      <c r="A2307" t="s">
        <v>36</v>
      </c>
      <c r="B2307">
        <v>1185732</v>
      </c>
      <c r="C2307" s="1">
        <v>44297</v>
      </c>
      <c r="D2307" t="s">
        <v>29</v>
      </c>
      <c r="E2307" t="s">
        <v>80</v>
      </c>
      <c r="F2307" t="s">
        <v>81</v>
      </c>
      <c r="G2307" t="s">
        <v>41</v>
      </c>
      <c r="H2307" t="s">
        <v>37</v>
      </c>
      <c r="I2307" s="3">
        <v>36</v>
      </c>
      <c r="J2307" s="2">
        <v>44</v>
      </c>
      <c r="K2307" s="3">
        <f t="shared" ref="K2307:K2370" si="36">I2307*J2307</f>
        <v>1584</v>
      </c>
      <c r="L2307" s="3">
        <v>792</v>
      </c>
    </row>
    <row r="2308" spans="1:12" x14ac:dyDescent="0.25">
      <c r="A2308" t="s">
        <v>26</v>
      </c>
      <c r="B2308">
        <v>1197831</v>
      </c>
      <c r="C2308" s="1">
        <v>44297</v>
      </c>
      <c r="D2308" t="s">
        <v>52</v>
      </c>
      <c r="E2308" t="s">
        <v>97</v>
      </c>
      <c r="F2308" t="s">
        <v>98</v>
      </c>
      <c r="G2308" t="s">
        <v>41</v>
      </c>
      <c r="H2308" t="s">
        <v>35</v>
      </c>
      <c r="I2308" s="3">
        <v>36</v>
      </c>
      <c r="J2308" s="2">
        <v>169</v>
      </c>
      <c r="K2308" s="3">
        <f t="shared" si="36"/>
        <v>6084</v>
      </c>
      <c r="L2308" s="3">
        <v>2981.16</v>
      </c>
    </row>
    <row r="2309" spans="1:12" x14ac:dyDescent="0.25">
      <c r="A2309" t="s">
        <v>36</v>
      </c>
      <c r="B2309">
        <v>1185732</v>
      </c>
      <c r="C2309" s="1">
        <v>44297</v>
      </c>
      <c r="D2309" t="s">
        <v>29</v>
      </c>
      <c r="E2309" t="s">
        <v>80</v>
      </c>
      <c r="F2309" t="s">
        <v>81</v>
      </c>
      <c r="G2309" t="s">
        <v>41</v>
      </c>
      <c r="H2309" t="s">
        <v>16</v>
      </c>
      <c r="I2309" s="3">
        <v>44</v>
      </c>
      <c r="J2309" s="2">
        <v>90</v>
      </c>
      <c r="K2309" s="3">
        <f t="shared" si="36"/>
        <v>3960</v>
      </c>
      <c r="L2309" s="3">
        <v>1940.3999999999999</v>
      </c>
    </row>
    <row r="2310" spans="1:12" x14ac:dyDescent="0.25">
      <c r="A2310" t="s">
        <v>11</v>
      </c>
      <c r="B2310">
        <v>1185732</v>
      </c>
      <c r="C2310" s="1">
        <v>44297</v>
      </c>
      <c r="D2310" t="s">
        <v>12</v>
      </c>
      <c r="E2310" t="s">
        <v>101</v>
      </c>
      <c r="F2310" t="s">
        <v>102</v>
      </c>
      <c r="G2310" t="s">
        <v>15</v>
      </c>
      <c r="H2310" t="s">
        <v>16</v>
      </c>
      <c r="I2310" s="3">
        <v>20</v>
      </c>
      <c r="J2310" s="2">
        <v>136</v>
      </c>
      <c r="K2310" s="3">
        <f t="shared" si="36"/>
        <v>2720</v>
      </c>
      <c r="L2310" s="3">
        <v>1305.5999999999999</v>
      </c>
    </row>
    <row r="2311" spans="1:12" x14ac:dyDescent="0.25">
      <c r="A2311" t="s">
        <v>36</v>
      </c>
      <c r="B2311">
        <v>1185732</v>
      </c>
      <c r="C2311" s="1">
        <v>44297</v>
      </c>
      <c r="D2311" t="s">
        <v>29</v>
      </c>
      <c r="E2311" t="s">
        <v>80</v>
      </c>
      <c r="F2311" t="s">
        <v>81</v>
      </c>
      <c r="G2311" t="s">
        <v>15</v>
      </c>
      <c r="H2311" t="s">
        <v>38</v>
      </c>
      <c r="I2311" s="3">
        <v>30</v>
      </c>
      <c r="J2311" s="2">
        <v>168</v>
      </c>
      <c r="K2311" s="3">
        <f t="shared" si="36"/>
        <v>5040</v>
      </c>
      <c r="L2311" s="3">
        <v>2419.1999999999998</v>
      </c>
    </row>
    <row r="2312" spans="1:12" x14ac:dyDescent="0.25">
      <c r="A2312" t="s">
        <v>11</v>
      </c>
      <c r="B2312">
        <v>1185732</v>
      </c>
      <c r="C2312" s="1">
        <v>44297</v>
      </c>
      <c r="D2312" t="s">
        <v>12</v>
      </c>
      <c r="E2312" t="s">
        <v>101</v>
      </c>
      <c r="F2312" t="s">
        <v>102</v>
      </c>
      <c r="G2312" t="s">
        <v>41</v>
      </c>
      <c r="H2312" t="s">
        <v>37</v>
      </c>
      <c r="I2312" s="3">
        <v>18</v>
      </c>
      <c r="J2312" s="2">
        <v>70</v>
      </c>
      <c r="K2312" s="3">
        <f t="shared" si="36"/>
        <v>1260</v>
      </c>
      <c r="L2312" s="3">
        <v>592.19999999999993</v>
      </c>
    </row>
    <row r="2313" spans="1:12" x14ac:dyDescent="0.25">
      <c r="A2313" t="s">
        <v>36</v>
      </c>
      <c r="B2313">
        <v>1185732</v>
      </c>
      <c r="C2313" s="1">
        <v>44297</v>
      </c>
      <c r="D2313" t="s">
        <v>29</v>
      </c>
      <c r="E2313" t="s">
        <v>80</v>
      </c>
      <c r="F2313" t="s">
        <v>81</v>
      </c>
      <c r="G2313" t="s">
        <v>41</v>
      </c>
      <c r="H2313" t="s">
        <v>38</v>
      </c>
      <c r="I2313" s="3">
        <v>41</v>
      </c>
      <c r="J2313" s="2">
        <v>137</v>
      </c>
      <c r="K2313" s="3">
        <f t="shared" si="36"/>
        <v>5617</v>
      </c>
      <c r="L2313" s="3">
        <v>2471.4799999999996</v>
      </c>
    </row>
    <row r="2314" spans="1:12" x14ac:dyDescent="0.25">
      <c r="A2314" t="s">
        <v>36</v>
      </c>
      <c r="B2314">
        <v>1185732</v>
      </c>
      <c r="C2314" s="1">
        <v>44297</v>
      </c>
      <c r="D2314" t="s">
        <v>29</v>
      </c>
      <c r="E2314" t="s">
        <v>80</v>
      </c>
      <c r="F2314" t="s">
        <v>81</v>
      </c>
      <c r="G2314" t="s">
        <v>41</v>
      </c>
      <c r="H2314" t="s">
        <v>17</v>
      </c>
      <c r="I2314" s="3">
        <v>43</v>
      </c>
      <c r="J2314" s="2">
        <v>56</v>
      </c>
      <c r="K2314" s="3">
        <f t="shared" si="36"/>
        <v>2408</v>
      </c>
      <c r="L2314" s="3">
        <v>1011.3599999999999</v>
      </c>
    </row>
    <row r="2315" spans="1:12" x14ac:dyDescent="0.25">
      <c r="A2315" t="s">
        <v>11</v>
      </c>
      <c r="B2315">
        <v>1185732</v>
      </c>
      <c r="C2315" s="1">
        <v>44297</v>
      </c>
      <c r="D2315" t="s">
        <v>12</v>
      </c>
      <c r="E2315" t="s">
        <v>101</v>
      </c>
      <c r="F2315" t="s">
        <v>102</v>
      </c>
      <c r="G2315" t="s">
        <v>41</v>
      </c>
      <c r="H2315" t="s">
        <v>16</v>
      </c>
      <c r="I2315" s="3">
        <v>24</v>
      </c>
      <c r="J2315" s="2">
        <v>112</v>
      </c>
      <c r="K2315" s="3">
        <f t="shared" si="36"/>
        <v>2688</v>
      </c>
      <c r="L2315" s="3">
        <v>1075.2</v>
      </c>
    </row>
    <row r="2316" spans="1:12" x14ac:dyDescent="0.25">
      <c r="A2316" t="s">
        <v>27</v>
      </c>
      <c r="B2316">
        <v>1189833</v>
      </c>
      <c r="C2316" s="1">
        <v>44297</v>
      </c>
      <c r="D2316" t="s">
        <v>12</v>
      </c>
      <c r="E2316" t="s">
        <v>13</v>
      </c>
      <c r="F2316" t="s">
        <v>28</v>
      </c>
      <c r="G2316" t="s">
        <v>15</v>
      </c>
      <c r="H2316" t="s">
        <v>22</v>
      </c>
      <c r="I2316" s="3">
        <v>38</v>
      </c>
      <c r="J2316" s="2">
        <v>149</v>
      </c>
      <c r="K2316" s="3">
        <f t="shared" si="36"/>
        <v>5662</v>
      </c>
      <c r="L2316" s="3">
        <v>2208.1799999999994</v>
      </c>
    </row>
    <row r="2317" spans="1:12" x14ac:dyDescent="0.25">
      <c r="A2317" t="s">
        <v>27</v>
      </c>
      <c r="B2317">
        <v>1185732</v>
      </c>
      <c r="C2317" s="1">
        <v>44297</v>
      </c>
      <c r="D2317" t="s">
        <v>12</v>
      </c>
      <c r="E2317" t="s">
        <v>62</v>
      </c>
      <c r="F2317" t="s">
        <v>63</v>
      </c>
      <c r="G2317" t="s">
        <v>41</v>
      </c>
      <c r="H2317" t="s">
        <v>38</v>
      </c>
      <c r="I2317" s="3">
        <v>39</v>
      </c>
      <c r="J2317" s="2">
        <v>208</v>
      </c>
      <c r="K2317" s="3">
        <f t="shared" si="36"/>
        <v>8112</v>
      </c>
      <c r="L2317" s="3">
        <v>3082.5600000000004</v>
      </c>
    </row>
    <row r="2318" spans="1:12" x14ac:dyDescent="0.25">
      <c r="A2318" t="s">
        <v>27</v>
      </c>
      <c r="B2318">
        <v>1189833</v>
      </c>
      <c r="C2318" s="1">
        <v>44297</v>
      </c>
      <c r="D2318" t="s">
        <v>12</v>
      </c>
      <c r="E2318" t="s">
        <v>13</v>
      </c>
      <c r="F2318" t="s">
        <v>28</v>
      </c>
      <c r="G2318" t="s">
        <v>41</v>
      </c>
      <c r="H2318" t="s">
        <v>22</v>
      </c>
      <c r="I2318" s="3">
        <v>49</v>
      </c>
      <c r="J2318" s="2">
        <v>119</v>
      </c>
      <c r="K2318" s="3">
        <f t="shared" si="36"/>
        <v>5831</v>
      </c>
      <c r="L2318" s="3">
        <v>1982.54</v>
      </c>
    </row>
    <row r="2319" spans="1:12" x14ac:dyDescent="0.25">
      <c r="A2319" t="s">
        <v>27</v>
      </c>
      <c r="B2319">
        <v>1189833</v>
      </c>
      <c r="C2319" s="1">
        <v>44298</v>
      </c>
      <c r="D2319" t="s">
        <v>12</v>
      </c>
      <c r="E2319" t="s">
        <v>13</v>
      </c>
      <c r="F2319" t="s">
        <v>28</v>
      </c>
      <c r="G2319" t="s">
        <v>15</v>
      </c>
      <c r="H2319" t="s">
        <v>16</v>
      </c>
      <c r="I2319" s="3">
        <v>65</v>
      </c>
      <c r="J2319" s="2">
        <v>600</v>
      </c>
      <c r="K2319" s="3">
        <f t="shared" si="36"/>
        <v>39000</v>
      </c>
      <c r="L2319" s="3">
        <v>31200</v>
      </c>
    </row>
    <row r="2320" spans="1:12" x14ac:dyDescent="0.25">
      <c r="A2320" t="s">
        <v>19</v>
      </c>
      <c r="B2320">
        <v>1185732</v>
      </c>
      <c r="C2320" s="1">
        <v>44298</v>
      </c>
      <c r="D2320" t="s">
        <v>57</v>
      </c>
      <c r="E2320" t="s">
        <v>74</v>
      </c>
      <c r="F2320" t="s">
        <v>75</v>
      </c>
      <c r="G2320" t="s">
        <v>41</v>
      </c>
      <c r="H2320" t="s">
        <v>17</v>
      </c>
      <c r="I2320" s="3">
        <v>40</v>
      </c>
      <c r="J2320" s="2">
        <v>150</v>
      </c>
      <c r="K2320" s="3">
        <f t="shared" si="36"/>
        <v>6000</v>
      </c>
      <c r="L2320" s="3">
        <v>4200</v>
      </c>
    </row>
    <row r="2321" spans="1:12" x14ac:dyDescent="0.25">
      <c r="A2321" t="s">
        <v>19</v>
      </c>
      <c r="B2321">
        <v>1185732</v>
      </c>
      <c r="C2321" s="1">
        <v>44298</v>
      </c>
      <c r="D2321" t="s">
        <v>57</v>
      </c>
      <c r="E2321" t="s">
        <v>74</v>
      </c>
      <c r="F2321" t="s">
        <v>75</v>
      </c>
      <c r="G2321" t="s">
        <v>41</v>
      </c>
      <c r="H2321" t="s">
        <v>35</v>
      </c>
      <c r="I2321" s="3">
        <v>30.000000000000004</v>
      </c>
      <c r="J2321" s="2">
        <v>150</v>
      </c>
      <c r="K2321" s="3">
        <f t="shared" si="36"/>
        <v>4500.0000000000009</v>
      </c>
      <c r="L2321" s="3">
        <v>3150.0000000000009</v>
      </c>
    </row>
    <row r="2322" spans="1:12" x14ac:dyDescent="0.25">
      <c r="A2322" t="s">
        <v>19</v>
      </c>
      <c r="B2322">
        <v>1185732</v>
      </c>
      <c r="C2322" s="1">
        <v>44298</v>
      </c>
      <c r="D2322" t="s">
        <v>57</v>
      </c>
      <c r="E2322" t="s">
        <v>74</v>
      </c>
      <c r="F2322" t="s">
        <v>75</v>
      </c>
      <c r="G2322" t="s">
        <v>41</v>
      </c>
      <c r="H2322" t="s">
        <v>37</v>
      </c>
      <c r="I2322" s="3">
        <v>35</v>
      </c>
      <c r="J2322" s="2">
        <v>75</v>
      </c>
      <c r="K2322" s="3">
        <f t="shared" si="36"/>
        <v>2625</v>
      </c>
      <c r="L2322" s="3">
        <v>1837.5</v>
      </c>
    </row>
    <row r="2323" spans="1:12" x14ac:dyDescent="0.25">
      <c r="A2323" t="s">
        <v>19</v>
      </c>
      <c r="B2323">
        <v>1185732</v>
      </c>
      <c r="C2323" s="1">
        <v>44298</v>
      </c>
      <c r="D2323" t="s">
        <v>57</v>
      </c>
      <c r="E2323" t="s">
        <v>74</v>
      </c>
      <c r="F2323" t="s">
        <v>75</v>
      </c>
      <c r="G2323" t="s">
        <v>41</v>
      </c>
      <c r="H2323" t="s">
        <v>38</v>
      </c>
      <c r="I2323" s="3">
        <v>40</v>
      </c>
      <c r="J2323" s="2">
        <v>450</v>
      </c>
      <c r="K2323" s="3">
        <f t="shared" si="36"/>
        <v>18000</v>
      </c>
      <c r="L2323" s="3">
        <v>11700</v>
      </c>
    </row>
    <row r="2324" spans="1:12" x14ac:dyDescent="0.25">
      <c r="A2324" t="s">
        <v>19</v>
      </c>
      <c r="B2324">
        <v>1185732</v>
      </c>
      <c r="C2324" s="1">
        <v>44298</v>
      </c>
      <c r="D2324" t="s">
        <v>57</v>
      </c>
      <c r="E2324" t="s">
        <v>74</v>
      </c>
      <c r="F2324" t="s">
        <v>75</v>
      </c>
      <c r="G2324" t="s">
        <v>41</v>
      </c>
      <c r="H2324" t="s">
        <v>22</v>
      </c>
      <c r="I2324" s="3">
        <v>60</v>
      </c>
      <c r="J2324" s="2">
        <v>100</v>
      </c>
      <c r="K2324" s="3">
        <f t="shared" si="36"/>
        <v>6000</v>
      </c>
      <c r="L2324" s="3">
        <v>3900</v>
      </c>
    </row>
    <row r="2325" spans="1:12" x14ac:dyDescent="0.25">
      <c r="A2325" t="s">
        <v>19</v>
      </c>
      <c r="B2325">
        <v>1185732</v>
      </c>
      <c r="C2325" s="1">
        <v>44298</v>
      </c>
      <c r="D2325" t="s">
        <v>57</v>
      </c>
      <c r="E2325" t="s">
        <v>74</v>
      </c>
      <c r="F2325" t="s">
        <v>75</v>
      </c>
      <c r="G2325" t="s">
        <v>41</v>
      </c>
      <c r="H2325" t="s">
        <v>16</v>
      </c>
      <c r="I2325" s="3">
        <v>50</v>
      </c>
      <c r="J2325" s="2">
        <v>225</v>
      </c>
      <c r="K2325" s="3">
        <f t="shared" si="36"/>
        <v>11250</v>
      </c>
      <c r="L2325" s="3">
        <v>6750</v>
      </c>
    </row>
    <row r="2326" spans="1:12" x14ac:dyDescent="0.25">
      <c r="A2326" t="s">
        <v>26</v>
      </c>
      <c r="B2326">
        <v>1197831</v>
      </c>
      <c r="C2326" s="1">
        <v>44298</v>
      </c>
      <c r="D2326" t="s">
        <v>52</v>
      </c>
      <c r="E2326" t="s">
        <v>97</v>
      </c>
      <c r="F2326" t="s">
        <v>98</v>
      </c>
      <c r="G2326" t="s">
        <v>15</v>
      </c>
      <c r="H2326" t="s">
        <v>37</v>
      </c>
      <c r="I2326" s="3">
        <v>40</v>
      </c>
      <c r="J2326" s="2">
        <v>600</v>
      </c>
      <c r="K2326" s="3">
        <f t="shared" si="36"/>
        <v>24000</v>
      </c>
      <c r="L2326" s="3">
        <v>12000</v>
      </c>
    </row>
    <row r="2327" spans="1:12" x14ac:dyDescent="0.25">
      <c r="A2327" t="s">
        <v>27</v>
      </c>
      <c r="B2327">
        <v>1189833</v>
      </c>
      <c r="C2327" s="1">
        <v>44298</v>
      </c>
      <c r="D2327" t="s">
        <v>12</v>
      </c>
      <c r="E2327" t="s">
        <v>13</v>
      </c>
      <c r="F2327" t="s">
        <v>28</v>
      </c>
      <c r="G2327" t="s">
        <v>15</v>
      </c>
      <c r="H2327" t="s">
        <v>16</v>
      </c>
      <c r="I2327" s="3">
        <v>49</v>
      </c>
      <c r="J2327" s="2">
        <v>198</v>
      </c>
      <c r="K2327" s="3">
        <f t="shared" si="36"/>
        <v>9702</v>
      </c>
      <c r="L2327" s="3">
        <v>7082.46</v>
      </c>
    </row>
    <row r="2328" spans="1:12" x14ac:dyDescent="0.25">
      <c r="A2328" t="s">
        <v>27</v>
      </c>
      <c r="B2328">
        <v>1189833</v>
      </c>
      <c r="C2328" s="1">
        <v>44298</v>
      </c>
      <c r="D2328" t="s">
        <v>12</v>
      </c>
      <c r="E2328" t="s">
        <v>13</v>
      </c>
      <c r="F2328" t="s">
        <v>28</v>
      </c>
      <c r="G2328" t="s">
        <v>41</v>
      </c>
      <c r="H2328" t="s">
        <v>16</v>
      </c>
      <c r="I2328" s="3">
        <v>62</v>
      </c>
      <c r="J2328" s="2">
        <v>174</v>
      </c>
      <c r="K2328" s="3">
        <f t="shared" si="36"/>
        <v>10788</v>
      </c>
      <c r="L2328" s="3">
        <v>7227.96</v>
      </c>
    </row>
    <row r="2329" spans="1:12" x14ac:dyDescent="0.25">
      <c r="A2329" t="s">
        <v>19</v>
      </c>
      <c r="B2329">
        <v>1185732</v>
      </c>
      <c r="C2329" s="1">
        <v>44298</v>
      </c>
      <c r="D2329" t="s">
        <v>57</v>
      </c>
      <c r="E2329" t="s">
        <v>74</v>
      </c>
      <c r="F2329" t="s">
        <v>75</v>
      </c>
      <c r="G2329" t="s">
        <v>41</v>
      </c>
      <c r="H2329" t="s">
        <v>35</v>
      </c>
      <c r="I2329" s="3">
        <v>29</v>
      </c>
      <c r="J2329" s="2">
        <v>45</v>
      </c>
      <c r="K2329" s="3">
        <f t="shared" si="36"/>
        <v>1305</v>
      </c>
      <c r="L2329" s="3">
        <v>783</v>
      </c>
    </row>
    <row r="2330" spans="1:12" x14ac:dyDescent="0.25">
      <c r="A2330" t="s">
        <v>19</v>
      </c>
      <c r="B2330">
        <v>1185732</v>
      </c>
      <c r="C2330" s="1">
        <v>44298</v>
      </c>
      <c r="D2330" t="s">
        <v>57</v>
      </c>
      <c r="E2330" t="s">
        <v>74</v>
      </c>
      <c r="F2330" t="s">
        <v>75</v>
      </c>
      <c r="G2330" t="s">
        <v>41</v>
      </c>
      <c r="H2330" t="s">
        <v>17</v>
      </c>
      <c r="I2330" s="3">
        <v>39</v>
      </c>
      <c r="J2330" s="2">
        <v>42</v>
      </c>
      <c r="K2330" s="3">
        <f t="shared" si="36"/>
        <v>1638</v>
      </c>
      <c r="L2330" s="3">
        <v>966.42000000000007</v>
      </c>
    </row>
    <row r="2331" spans="1:12" x14ac:dyDescent="0.25">
      <c r="A2331" t="s">
        <v>19</v>
      </c>
      <c r="B2331">
        <v>1185732</v>
      </c>
      <c r="C2331" s="1">
        <v>44298</v>
      </c>
      <c r="D2331" t="s">
        <v>57</v>
      </c>
      <c r="E2331" t="s">
        <v>74</v>
      </c>
      <c r="F2331" t="s">
        <v>75</v>
      </c>
      <c r="G2331" t="s">
        <v>41</v>
      </c>
      <c r="H2331" t="s">
        <v>37</v>
      </c>
      <c r="I2331" s="3">
        <v>34</v>
      </c>
      <c r="J2331" s="2">
        <v>20</v>
      </c>
      <c r="K2331" s="3">
        <f t="shared" si="36"/>
        <v>680</v>
      </c>
      <c r="L2331" s="3">
        <v>387.6</v>
      </c>
    </row>
    <row r="2332" spans="1:12" x14ac:dyDescent="0.25">
      <c r="A2332" t="s">
        <v>19</v>
      </c>
      <c r="B2332">
        <v>1185732</v>
      </c>
      <c r="C2332" s="1">
        <v>44298</v>
      </c>
      <c r="D2332" t="s">
        <v>57</v>
      </c>
      <c r="E2332" t="s">
        <v>74</v>
      </c>
      <c r="F2332" t="s">
        <v>75</v>
      </c>
      <c r="G2332" t="s">
        <v>41</v>
      </c>
      <c r="H2332" t="s">
        <v>38</v>
      </c>
      <c r="I2332" s="3">
        <v>38</v>
      </c>
      <c r="J2332" s="2">
        <v>113</v>
      </c>
      <c r="K2332" s="3">
        <f t="shared" si="36"/>
        <v>4294</v>
      </c>
      <c r="L2332" s="3">
        <v>2318.7600000000002</v>
      </c>
    </row>
    <row r="2333" spans="1:12" x14ac:dyDescent="0.25">
      <c r="A2333" t="s">
        <v>19</v>
      </c>
      <c r="B2333">
        <v>1185732</v>
      </c>
      <c r="C2333" s="1">
        <v>44298</v>
      </c>
      <c r="D2333" t="s">
        <v>57</v>
      </c>
      <c r="E2333" t="s">
        <v>74</v>
      </c>
      <c r="F2333" t="s">
        <v>75</v>
      </c>
      <c r="G2333" t="s">
        <v>41</v>
      </c>
      <c r="H2333" t="s">
        <v>22</v>
      </c>
      <c r="I2333" s="3">
        <v>56</v>
      </c>
      <c r="J2333" s="2">
        <v>29</v>
      </c>
      <c r="K2333" s="3">
        <f t="shared" si="36"/>
        <v>1624</v>
      </c>
      <c r="L2333" s="3">
        <v>876.96</v>
      </c>
    </row>
    <row r="2334" spans="1:12" x14ac:dyDescent="0.25">
      <c r="A2334" t="s">
        <v>19</v>
      </c>
      <c r="B2334">
        <v>1185732</v>
      </c>
      <c r="C2334" s="1">
        <v>44298</v>
      </c>
      <c r="D2334" t="s">
        <v>57</v>
      </c>
      <c r="E2334" t="s">
        <v>74</v>
      </c>
      <c r="F2334" t="s">
        <v>75</v>
      </c>
      <c r="G2334" t="s">
        <v>41</v>
      </c>
      <c r="H2334" t="s">
        <v>16</v>
      </c>
      <c r="I2334" s="3">
        <v>48</v>
      </c>
      <c r="J2334" s="2">
        <v>61</v>
      </c>
      <c r="K2334" s="3">
        <f t="shared" si="36"/>
        <v>2928</v>
      </c>
      <c r="L2334" s="3">
        <v>1376.1599999999999</v>
      </c>
    </row>
    <row r="2335" spans="1:12" x14ac:dyDescent="0.25">
      <c r="A2335" t="s">
        <v>26</v>
      </c>
      <c r="B2335">
        <v>1197831</v>
      </c>
      <c r="C2335" s="1">
        <v>44298</v>
      </c>
      <c r="D2335" t="s">
        <v>52</v>
      </c>
      <c r="E2335" t="s">
        <v>97</v>
      </c>
      <c r="F2335" t="s">
        <v>98</v>
      </c>
      <c r="G2335" t="s">
        <v>15</v>
      </c>
      <c r="H2335" t="s">
        <v>37</v>
      </c>
      <c r="I2335" s="3">
        <v>29</v>
      </c>
      <c r="J2335" s="2">
        <v>198</v>
      </c>
      <c r="K2335" s="3">
        <f t="shared" si="36"/>
        <v>5742</v>
      </c>
      <c r="L2335" s="3">
        <v>2526.4799999999996</v>
      </c>
    </row>
    <row r="2336" spans="1:12" x14ac:dyDescent="0.25">
      <c r="A2336" t="s">
        <v>26</v>
      </c>
      <c r="B2336">
        <v>1197831</v>
      </c>
      <c r="C2336" s="1">
        <v>44298</v>
      </c>
      <c r="D2336" t="s">
        <v>52</v>
      </c>
      <c r="E2336" t="s">
        <v>97</v>
      </c>
      <c r="F2336" t="s">
        <v>98</v>
      </c>
      <c r="G2336" t="s">
        <v>41</v>
      </c>
      <c r="H2336" t="s">
        <v>37</v>
      </c>
      <c r="I2336" s="3">
        <v>36</v>
      </c>
      <c r="J2336" s="2">
        <v>174</v>
      </c>
      <c r="K2336" s="3">
        <f t="shared" si="36"/>
        <v>6264</v>
      </c>
      <c r="L2336" s="3">
        <v>2442.96</v>
      </c>
    </row>
    <row r="2337" spans="1:12" x14ac:dyDescent="0.25">
      <c r="A2337" t="s">
        <v>26</v>
      </c>
      <c r="B2337">
        <v>1128299</v>
      </c>
      <c r="C2337" s="1">
        <v>44299</v>
      </c>
      <c r="D2337" t="s">
        <v>32</v>
      </c>
      <c r="E2337" t="s">
        <v>44</v>
      </c>
      <c r="F2337" t="s">
        <v>45</v>
      </c>
      <c r="G2337" t="s">
        <v>41</v>
      </c>
      <c r="H2337" t="s">
        <v>16</v>
      </c>
      <c r="I2337" s="3">
        <v>70</v>
      </c>
      <c r="J2337" s="2">
        <v>350</v>
      </c>
      <c r="K2337" s="3">
        <f t="shared" si="36"/>
        <v>24500</v>
      </c>
      <c r="L2337" s="3">
        <v>18375</v>
      </c>
    </row>
    <row r="2338" spans="1:12" x14ac:dyDescent="0.25">
      <c r="A2338" t="s">
        <v>26</v>
      </c>
      <c r="B2338">
        <v>1128299</v>
      </c>
      <c r="C2338" s="1">
        <v>44299</v>
      </c>
      <c r="D2338" t="s">
        <v>32</v>
      </c>
      <c r="E2338" t="s">
        <v>44</v>
      </c>
      <c r="F2338" t="s">
        <v>45</v>
      </c>
      <c r="G2338" t="s">
        <v>41</v>
      </c>
      <c r="H2338" t="s">
        <v>22</v>
      </c>
      <c r="I2338" s="3">
        <v>55.000000000000007</v>
      </c>
      <c r="J2338" s="2">
        <v>175</v>
      </c>
      <c r="K2338" s="3">
        <f t="shared" si="36"/>
        <v>9625.0000000000018</v>
      </c>
      <c r="L2338" s="3">
        <v>6256.2500000000018</v>
      </c>
    </row>
    <row r="2339" spans="1:12" x14ac:dyDescent="0.25">
      <c r="A2339" t="s">
        <v>27</v>
      </c>
      <c r="B2339">
        <v>1197831</v>
      </c>
      <c r="C2339" s="1">
        <v>44299</v>
      </c>
      <c r="D2339" t="s">
        <v>57</v>
      </c>
      <c r="E2339" t="s">
        <v>72</v>
      </c>
      <c r="F2339" t="s">
        <v>73</v>
      </c>
      <c r="G2339" t="s">
        <v>41</v>
      </c>
      <c r="H2339" t="s">
        <v>16</v>
      </c>
      <c r="I2339" s="3">
        <v>30.000000000000004</v>
      </c>
      <c r="J2339" s="2">
        <v>300</v>
      </c>
      <c r="K2339" s="3">
        <f t="shared" si="36"/>
        <v>9000.0000000000018</v>
      </c>
      <c r="L2339" s="3">
        <v>5850.0000000000018</v>
      </c>
    </row>
    <row r="2340" spans="1:12" x14ac:dyDescent="0.25">
      <c r="A2340" t="s">
        <v>26</v>
      </c>
      <c r="B2340">
        <v>1197831</v>
      </c>
      <c r="C2340" s="1">
        <v>44299</v>
      </c>
      <c r="D2340" t="s">
        <v>52</v>
      </c>
      <c r="E2340" t="s">
        <v>97</v>
      </c>
      <c r="F2340" t="s">
        <v>98</v>
      </c>
      <c r="G2340" t="s">
        <v>15</v>
      </c>
      <c r="H2340" t="s">
        <v>22</v>
      </c>
      <c r="I2340" s="3">
        <v>45</v>
      </c>
      <c r="J2340" s="2">
        <v>500</v>
      </c>
      <c r="K2340" s="3">
        <f t="shared" si="36"/>
        <v>22500</v>
      </c>
      <c r="L2340" s="3">
        <v>14625</v>
      </c>
    </row>
    <row r="2341" spans="1:12" x14ac:dyDescent="0.25">
      <c r="A2341" t="s">
        <v>26</v>
      </c>
      <c r="B2341">
        <v>1128299</v>
      </c>
      <c r="C2341" s="1">
        <v>44299</v>
      </c>
      <c r="D2341" t="s">
        <v>32</v>
      </c>
      <c r="E2341" t="s">
        <v>44</v>
      </c>
      <c r="F2341" t="s">
        <v>45</v>
      </c>
      <c r="G2341" t="s">
        <v>41</v>
      </c>
      <c r="H2341" t="s">
        <v>35</v>
      </c>
      <c r="I2341" s="3">
        <v>55.000000000000007</v>
      </c>
      <c r="J2341" s="2">
        <v>375</v>
      </c>
      <c r="K2341" s="3">
        <f t="shared" si="36"/>
        <v>20625.000000000004</v>
      </c>
      <c r="L2341" s="3">
        <v>13406.250000000004</v>
      </c>
    </row>
    <row r="2342" spans="1:12" x14ac:dyDescent="0.25">
      <c r="A2342" t="s">
        <v>27</v>
      </c>
      <c r="B2342">
        <v>1197831</v>
      </c>
      <c r="C2342" s="1">
        <v>44299</v>
      </c>
      <c r="D2342" t="s">
        <v>57</v>
      </c>
      <c r="E2342" t="s">
        <v>72</v>
      </c>
      <c r="F2342" t="s">
        <v>73</v>
      </c>
      <c r="G2342" t="s">
        <v>41</v>
      </c>
      <c r="H2342" t="s">
        <v>38</v>
      </c>
      <c r="I2342" s="3">
        <v>25</v>
      </c>
      <c r="J2342" s="2">
        <v>500</v>
      </c>
      <c r="K2342" s="3">
        <f t="shared" si="36"/>
        <v>12500</v>
      </c>
      <c r="L2342" s="3">
        <v>8125</v>
      </c>
    </row>
    <row r="2343" spans="1:12" x14ac:dyDescent="0.25">
      <c r="A2343" t="s">
        <v>27</v>
      </c>
      <c r="B2343">
        <v>1197831</v>
      </c>
      <c r="C2343" s="1">
        <v>44299</v>
      </c>
      <c r="D2343" t="s">
        <v>57</v>
      </c>
      <c r="E2343" t="s">
        <v>72</v>
      </c>
      <c r="F2343" t="s">
        <v>73</v>
      </c>
      <c r="G2343" t="s">
        <v>41</v>
      </c>
      <c r="H2343" t="s">
        <v>17</v>
      </c>
      <c r="I2343" s="3">
        <v>25</v>
      </c>
      <c r="J2343" s="2">
        <v>200</v>
      </c>
      <c r="K2343" s="3">
        <f t="shared" si="36"/>
        <v>5000</v>
      </c>
      <c r="L2343" s="3">
        <v>3250</v>
      </c>
    </row>
    <row r="2344" spans="1:12" x14ac:dyDescent="0.25">
      <c r="A2344" t="s">
        <v>27</v>
      </c>
      <c r="B2344">
        <v>1197831</v>
      </c>
      <c r="C2344" s="1">
        <v>44299</v>
      </c>
      <c r="D2344" t="s">
        <v>57</v>
      </c>
      <c r="E2344" t="s">
        <v>72</v>
      </c>
      <c r="F2344" t="s">
        <v>73</v>
      </c>
      <c r="G2344" t="s">
        <v>41</v>
      </c>
      <c r="H2344" t="s">
        <v>35</v>
      </c>
      <c r="I2344" s="3">
        <v>15.000000000000002</v>
      </c>
      <c r="J2344" s="2">
        <v>200</v>
      </c>
      <c r="K2344" s="3">
        <f t="shared" si="36"/>
        <v>3000.0000000000005</v>
      </c>
      <c r="L2344" s="3">
        <v>1950.0000000000005</v>
      </c>
    </row>
    <row r="2345" spans="1:12" x14ac:dyDescent="0.25">
      <c r="A2345" t="s">
        <v>27</v>
      </c>
      <c r="B2345">
        <v>1197831</v>
      </c>
      <c r="C2345" s="1">
        <v>44299</v>
      </c>
      <c r="D2345" t="s">
        <v>57</v>
      </c>
      <c r="E2345" t="s">
        <v>72</v>
      </c>
      <c r="F2345" t="s">
        <v>73</v>
      </c>
      <c r="G2345" t="s">
        <v>41</v>
      </c>
      <c r="H2345" t="s">
        <v>37</v>
      </c>
      <c r="I2345" s="3">
        <v>19.999999999999996</v>
      </c>
      <c r="J2345" s="2">
        <v>125</v>
      </c>
      <c r="K2345" s="3">
        <f t="shared" si="36"/>
        <v>2499.9999999999995</v>
      </c>
      <c r="L2345" s="3">
        <v>1624.9999999999998</v>
      </c>
    </row>
    <row r="2346" spans="1:12" x14ac:dyDescent="0.25">
      <c r="A2346" t="s">
        <v>27</v>
      </c>
      <c r="B2346">
        <v>1197831</v>
      </c>
      <c r="C2346" s="1">
        <v>44299</v>
      </c>
      <c r="D2346" t="s">
        <v>57</v>
      </c>
      <c r="E2346" t="s">
        <v>72</v>
      </c>
      <c r="F2346" t="s">
        <v>73</v>
      </c>
      <c r="G2346" t="s">
        <v>41</v>
      </c>
      <c r="H2346" t="s">
        <v>22</v>
      </c>
      <c r="I2346" s="3">
        <v>40</v>
      </c>
      <c r="J2346" s="2">
        <v>150</v>
      </c>
      <c r="K2346" s="3">
        <f t="shared" si="36"/>
        <v>6000</v>
      </c>
      <c r="L2346" s="3">
        <v>3900</v>
      </c>
    </row>
    <row r="2347" spans="1:12" x14ac:dyDescent="0.25">
      <c r="A2347" t="s">
        <v>27</v>
      </c>
      <c r="B2347">
        <v>1189833</v>
      </c>
      <c r="C2347" s="1">
        <v>44299</v>
      </c>
      <c r="D2347" t="s">
        <v>12</v>
      </c>
      <c r="E2347" t="s">
        <v>13</v>
      </c>
      <c r="F2347" t="s">
        <v>28</v>
      </c>
      <c r="G2347" t="s">
        <v>15</v>
      </c>
      <c r="H2347" t="s">
        <v>38</v>
      </c>
      <c r="I2347" s="3">
        <v>45</v>
      </c>
      <c r="J2347" s="2">
        <v>800</v>
      </c>
      <c r="K2347" s="3">
        <f t="shared" si="36"/>
        <v>36000</v>
      </c>
      <c r="L2347" s="3">
        <v>21600</v>
      </c>
    </row>
    <row r="2348" spans="1:12" x14ac:dyDescent="0.25">
      <c r="A2348" t="s">
        <v>26</v>
      </c>
      <c r="B2348">
        <v>1128299</v>
      </c>
      <c r="C2348" s="1">
        <v>44299</v>
      </c>
      <c r="D2348" t="s">
        <v>32</v>
      </c>
      <c r="E2348" t="s">
        <v>44</v>
      </c>
      <c r="F2348" t="s">
        <v>45</v>
      </c>
      <c r="G2348" t="s">
        <v>41</v>
      </c>
      <c r="H2348" t="s">
        <v>38</v>
      </c>
      <c r="I2348" s="3">
        <v>50</v>
      </c>
      <c r="J2348" s="2">
        <v>525</v>
      </c>
      <c r="K2348" s="3">
        <f t="shared" si="36"/>
        <v>26250</v>
      </c>
      <c r="L2348" s="3">
        <v>15750</v>
      </c>
    </row>
    <row r="2349" spans="1:12" x14ac:dyDescent="0.25">
      <c r="A2349" t="s">
        <v>26</v>
      </c>
      <c r="B2349">
        <v>1128299</v>
      </c>
      <c r="C2349" s="1">
        <v>44299</v>
      </c>
      <c r="D2349" t="s">
        <v>32</v>
      </c>
      <c r="E2349" t="s">
        <v>44</v>
      </c>
      <c r="F2349" t="s">
        <v>45</v>
      </c>
      <c r="G2349" t="s">
        <v>41</v>
      </c>
      <c r="H2349" t="s">
        <v>17</v>
      </c>
      <c r="I2349" s="3">
        <v>55.000000000000007</v>
      </c>
      <c r="J2349" s="2">
        <v>325</v>
      </c>
      <c r="K2349" s="3">
        <f t="shared" si="36"/>
        <v>17875.000000000004</v>
      </c>
      <c r="L2349" s="3">
        <v>10725.000000000002</v>
      </c>
    </row>
    <row r="2350" spans="1:12" x14ac:dyDescent="0.25">
      <c r="A2350" t="s">
        <v>26</v>
      </c>
      <c r="B2350">
        <v>1128299</v>
      </c>
      <c r="C2350" s="1">
        <v>44299</v>
      </c>
      <c r="D2350" t="s">
        <v>32</v>
      </c>
      <c r="E2350" t="s">
        <v>44</v>
      </c>
      <c r="F2350" t="s">
        <v>45</v>
      </c>
      <c r="G2350" t="s">
        <v>41</v>
      </c>
      <c r="H2350" t="s">
        <v>37</v>
      </c>
      <c r="I2350" s="3">
        <v>50</v>
      </c>
      <c r="J2350" s="2">
        <v>275</v>
      </c>
      <c r="K2350" s="3">
        <f t="shared" si="36"/>
        <v>13750</v>
      </c>
      <c r="L2350" s="3">
        <v>8250</v>
      </c>
    </row>
    <row r="2351" spans="1:12" x14ac:dyDescent="0.25">
      <c r="A2351" t="s">
        <v>26</v>
      </c>
      <c r="B2351">
        <v>1128299</v>
      </c>
      <c r="C2351" s="1">
        <v>44299</v>
      </c>
      <c r="D2351" t="s">
        <v>32</v>
      </c>
      <c r="E2351" t="s">
        <v>44</v>
      </c>
      <c r="F2351" t="s">
        <v>45</v>
      </c>
      <c r="G2351" t="s">
        <v>15</v>
      </c>
      <c r="H2351" t="s">
        <v>16</v>
      </c>
      <c r="I2351" s="3">
        <v>56</v>
      </c>
      <c r="J2351" s="2">
        <v>112</v>
      </c>
      <c r="K2351" s="3">
        <f t="shared" si="36"/>
        <v>6272</v>
      </c>
      <c r="L2351" s="3">
        <v>4515.84</v>
      </c>
    </row>
    <row r="2352" spans="1:12" x14ac:dyDescent="0.25">
      <c r="A2352" t="s">
        <v>26</v>
      </c>
      <c r="B2352">
        <v>1128299</v>
      </c>
      <c r="C2352" s="1">
        <v>44299</v>
      </c>
      <c r="D2352" t="s">
        <v>32</v>
      </c>
      <c r="E2352" t="s">
        <v>44</v>
      </c>
      <c r="F2352" t="s">
        <v>45</v>
      </c>
      <c r="G2352" t="s">
        <v>15</v>
      </c>
      <c r="H2352" t="s">
        <v>35</v>
      </c>
      <c r="I2352" s="3">
        <v>36</v>
      </c>
      <c r="J2352" s="2">
        <v>113</v>
      </c>
      <c r="K2352" s="3">
        <f t="shared" si="36"/>
        <v>4068</v>
      </c>
      <c r="L2352" s="3">
        <v>2562.84</v>
      </c>
    </row>
    <row r="2353" spans="1:12" x14ac:dyDescent="0.25">
      <c r="A2353" t="s">
        <v>26</v>
      </c>
      <c r="B2353">
        <v>1197831</v>
      </c>
      <c r="C2353" s="1">
        <v>44299</v>
      </c>
      <c r="D2353" t="s">
        <v>52</v>
      </c>
      <c r="E2353" t="s">
        <v>97</v>
      </c>
      <c r="F2353" t="s">
        <v>98</v>
      </c>
      <c r="G2353" t="s">
        <v>15</v>
      </c>
      <c r="H2353" t="s">
        <v>22</v>
      </c>
      <c r="I2353" s="3">
        <v>30</v>
      </c>
      <c r="J2353" s="2">
        <v>150</v>
      </c>
      <c r="K2353" s="3">
        <f t="shared" si="36"/>
        <v>4500</v>
      </c>
      <c r="L2353" s="3">
        <v>2745</v>
      </c>
    </row>
    <row r="2354" spans="1:12" x14ac:dyDescent="0.25">
      <c r="A2354" t="s">
        <v>26</v>
      </c>
      <c r="B2354">
        <v>1128299</v>
      </c>
      <c r="C2354" s="1">
        <v>44299</v>
      </c>
      <c r="D2354" t="s">
        <v>32</v>
      </c>
      <c r="E2354" t="s">
        <v>44</v>
      </c>
      <c r="F2354" t="s">
        <v>45</v>
      </c>
      <c r="G2354" t="s">
        <v>41</v>
      </c>
      <c r="H2354" t="s">
        <v>16</v>
      </c>
      <c r="I2354" s="3">
        <v>63</v>
      </c>
      <c r="J2354" s="2">
        <v>105</v>
      </c>
      <c r="K2354" s="3">
        <f t="shared" si="36"/>
        <v>6615</v>
      </c>
      <c r="L2354" s="3">
        <v>3969</v>
      </c>
    </row>
    <row r="2355" spans="1:12" x14ac:dyDescent="0.25">
      <c r="A2355" t="s">
        <v>26</v>
      </c>
      <c r="B2355">
        <v>1128299</v>
      </c>
      <c r="C2355" s="1">
        <v>44299</v>
      </c>
      <c r="D2355" t="s">
        <v>32</v>
      </c>
      <c r="E2355" t="s">
        <v>44</v>
      </c>
      <c r="F2355" t="s">
        <v>45</v>
      </c>
      <c r="G2355" t="s">
        <v>15</v>
      </c>
      <c r="H2355" t="s">
        <v>22</v>
      </c>
      <c r="I2355" s="3">
        <v>38</v>
      </c>
      <c r="J2355" s="2">
        <v>56</v>
      </c>
      <c r="K2355" s="3">
        <f t="shared" si="36"/>
        <v>2128</v>
      </c>
      <c r="L2355" s="3">
        <v>1234.24</v>
      </c>
    </row>
    <row r="2356" spans="1:12" x14ac:dyDescent="0.25">
      <c r="A2356" t="s">
        <v>26</v>
      </c>
      <c r="B2356">
        <v>1128299</v>
      </c>
      <c r="C2356" s="1">
        <v>44299</v>
      </c>
      <c r="D2356" t="s">
        <v>32</v>
      </c>
      <c r="E2356" t="s">
        <v>44</v>
      </c>
      <c r="F2356" t="s">
        <v>45</v>
      </c>
      <c r="G2356" t="s">
        <v>15</v>
      </c>
      <c r="H2356" t="s">
        <v>17</v>
      </c>
      <c r="I2356" s="3">
        <v>40</v>
      </c>
      <c r="J2356" s="2">
        <v>111</v>
      </c>
      <c r="K2356" s="3">
        <f t="shared" si="36"/>
        <v>4440</v>
      </c>
      <c r="L2356" s="3">
        <v>2575.1999999999998</v>
      </c>
    </row>
    <row r="2357" spans="1:12" x14ac:dyDescent="0.25">
      <c r="A2357" t="s">
        <v>26</v>
      </c>
      <c r="B2357">
        <v>1128299</v>
      </c>
      <c r="C2357" s="1">
        <v>44299</v>
      </c>
      <c r="D2357" t="s">
        <v>32</v>
      </c>
      <c r="E2357" t="s">
        <v>44</v>
      </c>
      <c r="F2357" t="s">
        <v>45</v>
      </c>
      <c r="G2357" t="s">
        <v>15</v>
      </c>
      <c r="H2357" t="s">
        <v>38</v>
      </c>
      <c r="I2357" s="3">
        <v>37</v>
      </c>
      <c r="J2357" s="2">
        <v>179</v>
      </c>
      <c r="K2357" s="3">
        <f t="shared" si="36"/>
        <v>6623</v>
      </c>
      <c r="L2357" s="3">
        <v>3775.1099999999997</v>
      </c>
    </row>
    <row r="2358" spans="1:12" x14ac:dyDescent="0.25">
      <c r="A2358" t="s">
        <v>27</v>
      </c>
      <c r="B2358">
        <v>1197831</v>
      </c>
      <c r="C2358" s="1">
        <v>44299</v>
      </c>
      <c r="D2358" t="s">
        <v>57</v>
      </c>
      <c r="E2358" t="s">
        <v>72</v>
      </c>
      <c r="F2358" t="s">
        <v>73</v>
      </c>
      <c r="G2358" t="s">
        <v>41</v>
      </c>
      <c r="H2358" t="s">
        <v>37</v>
      </c>
      <c r="I2358" s="3">
        <v>19</v>
      </c>
      <c r="J2358" s="2">
        <v>35</v>
      </c>
      <c r="K2358" s="3">
        <f t="shared" si="36"/>
        <v>665</v>
      </c>
      <c r="L2358" s="3">
        <v>365.75000000000006</v>
      </c>
    </row>
    <row r="2359" spans="1:12" x14ac:dyDescent="0.25">
      <c r="A2359" t="s">
        <v>27</v>
      </c>
      <c r="B2359">
        <v>1197831</v>
      </c>
      <c r="C2359" s="1">
        <v>44299</v>
      </c>
      <c r="D2359" t="s">
        <v>57</v>
      </c>
      <c r="E2359" t="s">
        <v>72</v>
      </c>
      <c r="F2359" t="s">
        <v>73</v>
      </c>
      <c r="G2359" t="s">
        <v>41</v>
      </c>
      <c r="H2359" t="s">
        <v>38</v>
      </c>
      <c r="I2359" s="3">
        <v>24</v>
      </c>
      <c r="J2359" s="2">
        <v>150</v>
      </c>
      <c r="K2359" s="3">
        <f t="shared" si="36"/>
        <v>3600</v>
      </c>
      <c r="L2359" s="3">
        <v>1980.0000000000002</v>
      </c>
    </row>
    <row r="2360" spans="1:12" x14ac:dyDescent="0.25">
      <c r="A2360" t="s">
        <v>26</v>
      </c>
      <c r="B2360">
        <v>1128299</v>
      </c>
      <c r="C2360" s="1">
        <v>44299</v>
      </c>
      <c r="D2360" t="s">
        <v>32</v>
      </c>
      <c r="E2360" t="s">
        <v>44</v>
      </c>
      <c r="F2360" t="s">
        <v>45</v>
      </c>
      <c r="G2360" t="s">
        <v>15</v>
      </c>
      <c r="H2360" t="s">
        <v>37</v>
      </c>
      <c r="I2360" s="3">
        <v>40</v>
      </c>
      <c r="J2360" s="2">
        <v>96</v>
      </c>
      <c r="K2360" s="3">
        <f t="shared" si="36"/>
        <v>3840</v>
      </c>
      <c r="L2360" s="3">
        <v>2112</v>
      </c>
    </row>
    <row r="2361" spans="1:12" x14ac:dyDescent="0.25">
      <c r="A2361" t="s">
        <v>27</v>
      </c>
      <c r="B2361">
        <v>1189833</v>
      </c>
      <c r="C2361" s="1">
        <v>44299</v>
      </c>
      <c r="D2361" t="s">
        <v>12</v>
      </c>
      <c r="E2361" t="s">
        <v>13</v>
      </c>
      <c r="F2361" t="s">
        <v>28</v>
      </c>
      <c r="G2361" t="s">
        <v>15</v>
      </c>
      <c r="H2361" t="s">
        <v>38</v>
      </c>
      <c r="I2361" s="3">
        <v>32</v>
      </c>
      <c r="J2361" s="2">
        <v>240</v>
      </c>
      <c r="K2361" s="3">
        <f t="shared" si="36"/>
        <v>7680</v>
      </c>
      <c r="L2361" s="3">
        <v>4070.3999999999996</v>
      </c>
    </row>
    <row r="2362" spans="1:12" x14ac:dyDescent="0.25">
      <c r="A2362" t="s">
        <v>26</v>
      </c>
      <c r="B2362">
        <v>1197831</v>
      </c>
      <c r="C2362" s="1">
        <v>44299</v>
      </c>
      <c r="D2362" t="s">
        <v>52</v>
      </c>
      <c r="E2362" t="s">
        <v>97</v>
      </c>
      <c r="F2362" t="s">
        <v>98</v>
      </c>
      <c r="G2362" t="s">
        <v>41</v>
      </c>
      <c r="H2362" t="s">
        <v>22</v>
      </c>
      <c r="I2362" s="3">
        <v>43</v>
      </c>
      <c r="J2362" s="2">
        <v>145</v>
      </c>
      <c r="K2362" s="3">
        <f t="shared" si="36"/>
        <v>6235</v>
      </c>
      <c r="L2362" s="3">
        <v>3242.2000000000003</v>
      </c>
    </row>
    <row r="2363" spans="1:12" x14ac:dyDescent="0.25">
      <c r="A2363" t="s">
        <v>26</v>
      </c>
      <c r="B2363">
        <v>1128299</v>
      </c>
      <c r="C2363" s="1">
        <v>44299</v>
      </c>
      <c r="D2363" t="s">
        <v>32</v>
      </c>
      <c r="E2363" t="s">
        <v>44</v>
      </c>
      <c r="F2363" t="s">
        <v>45</v>
      </c>
      <c r="G2363" t="s">
        <v>41</v>
      </c>
      <c r="H2363" t="s">
        <v>22</v>
      </c>
      <c r="I2363" s="3">
        <v>52</v>
      </c>
      <c r="J2363" s="2">
        <v>53</v>
      </c>
      <c r="K2363" s="3">
        <f t="shared" si="36"/>
        <v>2756</v>
      </c>
      <c r="L2363" s="3">
        <v>1433.1200000000001</v>
      </c>
    </row>
    <row r="2364" spans="1:12" x14ac:dyDescent="0.25">
      <c r="A2364" t="s">
        <v>27</v>
      </c>
      <c r="B2364">
        <v>1197831</v>
      </c>
      <c r="C2364" s="1">
        <v>44299</v>
      </c>
      <c r="D2364" t="s">
        <v>57</v>
      </c>
      <c r="E2364" t="s">
        <v>72</v>
      </c>
      <c r="F2364" t="s">
        <v>73</v>
      </c>
      <c r="G2364" t="s">
        <v>41</v>
      </c>
      <c r="H2364" t="s">
        <v>17</v>
      </c>
      <c r="I2364" s="3">
        <v>25</v>
      </c>
      <c r="J2364" s="2">
        <v>58</v>
      </c>
      <c r="K2364" s="3">
        <f t="shared" si="36"/>
        <v>1450</v>
      </c>
      <c r="L2364" s="3">
        <v>754</v>
      </c>
    </row>
    <row r="2365" spans="1:12" x14ac:dyDescent="0.25">
      <c r="A2365" t="s">
        <v>27</v>
      </c>
      <c r="B2365">
        <v>1197831</v>
      </c>
      <c r="C2365" s="1">
        <v>44299</v>
      </c>
      <c r="D2365" t="s">
        <v>57</v>
      </c>
      <c r="E2365" t="s">
        <v>72</v>
      </c>
      <c r="F2365" t="s">
        <v>73</v>
      </c>
      <c r="G2365" t="s">
        <v>41</v>
      </c>
      <c r="H2365" t="s">
        <v>22</v>
      </c>
      <c r="I2365" s="3">
        <v>39</v>
      </c>
      <c r="J2365" s="2">
        <v>38</v>
      </c>
      <c r="K2365" s="3">
        <f t="shared" si="36"/>
        <v>1482</v>
      </c>
      <c r="L2365" s="3">
        <v>755.82</v>
      </c>
    </row>
    <row r="2366" spans="1:12" x14ac:dyDescent="0.25">
      <c r="A2366" t="s">
        <v>27</v>
      </c>
      <c r="B2366">
        <v>1197831</v>
      </c>
      <c r="C2366" s="1">
        <v>44299</v>
      </c>
      <c r="D2366" t="s">
        <v>57</v>
      </c>
      <c r="E2366" t="s">
        <v>72</v>
      </c>
      <c r="F2366" t="s">
        <v>73</v>
      </c>
      <c r="G2366" t="s">
        <v>41</v>
      </c>
      <c r="H2366" t="s">
        <v>16</v>
      </c>
      <c r="I2366" s="3">
        <v>29</v>
      </c>
      <c r="J2366" s="2">
        <v>81</v>
      </c>
      <c r="K2366" s="3">
        <f t="shared" si="36"/>
        <v>2349</v>
      </c>
      <c r="L2366" s="3">
        <v>1197.99</v>
      </c>
    </row>
    <row r="2367" spans="1:12" x14ac:dyDescent="0.25">
      <c r="A2367" t="s">
        <v>26</v>
      </c>
      <c r="B2367">
        <v>1128299</v>
      </c>
      <c r="C2367" s="1">
        <v>44299</v>
      </c>
      <c r="D2367" t="s">
        <v>32</v>
      </c>
      <c r="E2367" t="s">
        <v>44</v>
      </c>
      <c r="F2367" t="s">
        <v>45</v>
      </c>
      <c r="G2367" t="s">
        <v>41</v>
      </c>
      <c r="H2367" t="s">
        <v>17</v>
      </c>
      <c r="I2367" s="3">
        <v>51</v>
      </c>
      <c r="J2367" s="2">
        <v>88</v>
      </c>
      <c r="K2367" s="3">
        <f t="shared" si="36"/>
        <v>4488</v>
      </c>
      <c r="L2367" s="3">
        <v>2244</v>
      </c>
    </row>
    <row r="2368" spans="1:12" x14ac:dyDescent="0.25">
      <c r="A2368" t="s">
        <v>26</v>
      </c>
      <c r="B2368">
        <v>1128299</v>
      </c>
      <c r="C2368" s="1">
        <v>44299</v>
      </c>
      <c r="D2368" t="s">
        <v>32</v>
      </c>
      <c r="E2368" t="s">
        <v>44</v>
      </c>
      <c r="F2368" t="s">
        <v>45</v>
      </c>
      <c r="G2368" t="s">
        <v>41</v>
      </c>
      <c r="H2368" t="s">
        <v>35</v>
      </c>
      <c r="I2368" s="3">
        <v>50</v>
      </c>
      <c r="J2368" s="2">
        <v>94</v>
      </c>
      <c r="K2368" s="3">
        <f t="shared" si="36"/>
        <v>4700</v>
      </c>
      <c r="L2368" s="3">
        <v>2350</v>
      </c>
    </row>
    <row r="2369" spans="1:12" x14ac:dyDescent="0.25">
      <c r="A2369" t="s">
        <v>27</v>
      </c>
      <c r="B2369">
        <v>1197831</v>
      </c>
      <c r="C2369" s="1">
        <v>44299</v>
      </c>
      <c r="D2369" t="s">
        <v>57</v>
      </c>
      <c r="E2369" t="s">
        <v>72</v>
      </c>
      <c r="F2369" t="s">
        <v>73</v>
      </c>
      <c r="G2369" t="s">
        <v>41</v>
      </c>
      <c r="H2369" t="s">
        <v>35</v>
      </c>
      <c r="I2369" s="3">
        <v>14</v>
      </c>
      <c r="J2369" s="2">
        <v>60</v>
      </c>
      <c r="K2369" s="3">
        <f t="shared" si="36"/>
        <v>840</v>
      </c>
      <c r="L2369" s="3">
        <v>420</v>
      </c>
    </row>
    <row r="2370" spans="1:12" x14ac:dyDescent="0.25">
      <c r="A2370" t="s">
        <v>26</v>
      </c>
      <c r="B2370">
        <v>1128299</v>
      </c>
      <c r="C2370" s="1">
        <v>44299</v>
      </c>
      <c r="D2370" t="s">
        <v>32</v>
      </c>
      <c r="E2370" t="s">
        <v>44</v>
      </c>
      <c r="F2370" t="s">
        <v>45</v>
      </c>
      <c r="G2370" t="s">
        <v>41</v>
      </c>
      <c r="H2370" t="s">
        <v>38</v>
      </c>
      <c r="I2370" s="3">
        <v>45</v>
      </c>
      <c r="J2370" s="2">
        <v>142</v>
      </c>
      <c r="K2370" s="3">
        <f t="shared" si="36"/>
        <v>6390</v>
      </c>
      <c r="L2370" s="3">
        <v>3131.1</v>
      </c>
    </row>
    <row r="2371" spans="1:12" x14ac:dyDescent="0.25">
      <c r="A2371" t="s">
        <v>27</v>
      </c>
      <c r="B2371">
        <v>1189833</v>
      </c>
      <c r="C2371" s="1">
        <v>44299</v>
      </c>
      <c r="D2371" t="s">
        <v>12</v>
      </c>
      <c r="E2371" t="s">
        <v>13</v>
      </c>
      <c r="F2371" t="s">
        <v>28</v>
      </c>
      <c r="G2371" t="s">
        <v>41</v>
      </c>
      <c r="H2371" t="s">
        <v>38</v>
      </c>
      <c r="I2371" s="3">
        <v>41</v>
      </c>
      <c r="J2371" s="2">
        <v>208</v>
      </c>
      <c r="K2371" s="3">
        <f t="shared" ref="K2371:K2434" si="37">I2371*J2371</f>
        <v>8528</v>
      </c>
      <c r="L2371" s="3">
        <v>4093.4399999999996</v>
      </c>
    </row>
    <row r="2372" spans="1:12" x14ac:dyDescent="0.25">
      <c r="A2372" t="s">
        <v>26</v>
      </c>
      <c r="B2372">
        <v>1128299</v>
      </c>
      <c r="C2372" s="1">
        <v>44299</v>
      </c>
      <c r="D2372" t="s">
        <v>32</v>
      </c>
      <c r="E2372" t="s">
        <v>44</v>
      </c>
      <c r="F2372" t="s">
        <v>45</v>
      </c>
      <c r="G2372" t="s">
        <v>41</v>
      </c>
      <c r="H2372" t="s">
        <v>37</v>
      </c>
      <c r="I2372" s="3">
        <v>48</v>
      </c>
      <c r="J2372" s="2">
        <v>69</v>
      </c>
      <c r="K2372" s="3">
        <f t="shared" si="37"/>
        <v>3312</v>
      </c>
      <c r="L2372" s="3">
        <v>1490.3999999999999</v>
      </c>
    </row>
    <row r="2373" spans="1:12" x14ac:dyDescent="0.25">
      <c r="A2373" t="s">
        <v>27</v>
      </c>
      <c r="B2373">
        <v>1189833</v>
      </c>
      <c r="C2373" s="1">
        <v>44300</v>
      </c>
      <c r="D2373" t="s">
        <v>12</v>
      </c>
      <c r="E2373" t="s">
        <v>13</v>
      </c>
      <c r="F2373" t="s">
        <v>28</v>
      </c>
      <c r="G2373" t="s">
        <v>15</v>
      </c>
      <c r="H2373" t="s">
        <v>17</v>
      </c>
      <c r="I2373" s="3">
        <v>50</v>
      </c>
      <c r="J2373" s="2">
        <v>650</v>
      </c>
      <c r="K2373" s="3">
        <f t="shared" si="37"/>
        <v>32500</v>
      </c>
      <c r="L2373" s="3">
        <v>24375</v>
      </c>
    </row>
    <row r="2374" spans="1:12" x14ac:dyDescent="0.25">
      <c r="A2374" t="s">
        <v>26</v>
      </c>
      <c r="B2374">
        <v>1185732</v>
      </c>
      <c r="C2374" s="1">
        <v>44300</v>
      </c>
      <c r="D2374" t="s">
        <v>29</v>
      </c>
      <c r="E2374" t="s">
        <v>50</v>
      </c>
      <c r="F2374" t="s">
        <v>51</v>
      </c>
      <c r="G2374" t="s">
        <v>18</v>
      </c>
      <c r="H2374" t="s">
        <v>35</v>
      </c>
      <c r="I2374" s="3">
        <v>30.000000000000004</v>
      </c>
      <c r="J2374" s="2">
        <v>150</v>
      </c>
      <c r="K2374" s="3">
        <f t="shared" si="37"/>
        <v>4500.0000000000009</v>
      </c>
      <c r="L2374" s="3">
        <v>3375.0000000000009</v>
      </c>
    </row>
    <row r="2375" spans="1:12" x14ac:dyDescent="0.25">
      <c r="A2375" t="s">
        <v>26</v>
      </c>
      <c r="B2375">
        <v>1185732</v>
      </c>
      <c r="C2375" s="1">
        <v>44300</v>
      </c>
      <c r="D2375" t="s">
        <v>29</v>
      </c>
      <c r="E2375" t="s">
        <v>50</v>
      </c>
      <c r="F2375" t="s">
        <v>51</v>
      </c>
      <c r="G2375" t="s">
        <v>18</v>
      </c>
      <c r="H2375" t="s">
        <v>37</v>
      </c>
      <c r="I2375" s="3">
        <v>35</v>
      </c>
      <c r="J2375" s="2">
        <v>125</v>
      </c>
      <c r="K2375" s="3">
        <f t="shared" si="37"/>
        <v>4375</v>
      </c>
      <c r="L2375" s="3">
        <v>3281.25</v>
      </c>
    </row>
    <row r="2376" spans="1:12" x14ac:dyDescent="0.25">
      <c r="A2376" t="s">
        <v>26</v>
      </c>
      <c r="B2376">
        <v>1185732</v>
      </c>
      <c r="C2376" s="1">
        <v>44300</v>
      </c>
      <c r="D2376" t="s">
        <v>29</v>
      </c>
      <c r="E2376" t="s">
        <v>50</v>
      </c>
      <c r="F2376" t="s">
        <v>51</v>
      </c>
      <c r="G2376" t="s">
        <v>18</v>
      </c>
      <c r="H2376" t="s">
        <v>22</v>
      </c>
      <c r="I2376" s="3">
        <v>50</v>
      </c>
      <c r="J2376" s="2">
        <v>125</v>
      </c>
      <c r="K2376" s="3">
        <f t="shared" si="37"/>
        <v>6250</v>
      </c>
      <c r="L2376" s="3">
        <v>4687.5</v>
      </c>
    </row>
    <row r="2377" spans="1:12" x14ac:dyDescent="0.25">
      <c r="A2377" t="s">
        <v>19</v>
      </c>
      <c r="B2377">
        <v>1185732</v>
      </c>
      <c r="C2377" s="1">
        <v>44300</v>
      </c>
      <c r="D2377" t="s">
        <v>29</v>
      </c>
      <c r="E2377" t="s">
        <v>89</v>
      </c>
      <c r="F2377" t="s">
        <v>90</v>
      </c>
      <c r="G2377" t="s">
        <v>18</v>
      </c>
      <c r="H2377" t="s">
        <v>22</v>
      </c>
      <c r="I2377" s="3">
        <v>50</v>
      </c>
      <c r="J2377" s="2">
        <v>150</v>
      </c>
      <c r="K2377" s="3">
        <f t="shared" si="37"/>
        <v>7500</v>
      </c>
      <c r="L2377" s="3">
        <v>5250</v>
      </c>
    </row>
    <row r="2378" spans="1:12" x14ac:dyDescent="0.25">
      <c r="A2378" t="s">
        <v>26</v>
      </c>
      <c r="B2378">
        <v>1185732</v>
      </c>
      <c r="C2378" s="1">
        <v>44300</v>
      </c>
      <c r="D2378" t="s">
        <v>29</v>
      </c>
      <c r="E2378" t="s">
        <v>50</v>
      </c>
      <c r="F2378" t="s">
        <v>51</v>
      </c>
      <c r="G2378" t="s">
        <v>18</v>
      </c>
      <c r="H2378" t="s">
        <v>38</v>
      </c>
      <c r="I2378" s="3">
        <v>40</v>
      </c>
      <c r="J2378" s="2">
        <v>450</v>
      </c>
      <c r="K2378" s="3">
        <f t="shared" si="37"/>
        <v>18000</v>
      </c>
      <c r="L2378" s="3">
        <v>12600</v>
      </c>
    </row>
    <row r="2379" spans="1:12" x14ac:dyDescent="0.25">
      <c r="A2379" t="s">
        <v>26</v>
      </c>
      <c r="B2379">
        <v>1185732</v>
      </c>
      <c r="C2379" s="1">
        <v>44300</v>
      </c>
      <c r="D2379" t="s">
        <v>29</v>
      </c>
      <c r="E2379" t="s">
        <v>50</v>
      </c>
      <c r="F2379" t="s">
        <v>51</v>
      </c>
      <c r="G2379" t="s">
        <v>18</v>
      </c>
      <c r="H2379" t="s">
        <v>17</v>
      </c>
      <c r="I2379" s="3">
        <v>40</v>
      </c>
      <c r="J2379" s="2">
        <v>150</v>
      </c>
      <c r="K2379" s="3">
        <f t="shared" si="37"/>
        <v>6000</v>
      </c>
      <c r="L2379" s="3">
        <v>4200</v>
      </c>
    </row>
    <row r="2380" spans="1:12" x14ac:dyDescent="0.25">
      <c r="A2380" t="s">
        <v>26</v>
      </c>
      <c r="B2380">
        <v>1185732</v>
      </c>
      <c r="C2380" s="1">
        <v>44300</v>
      </c>
      <c r="D2380" t="s">
        <v>29</v>
      </c>
      <c r="E2380" t="s">
        <v>50</v>
      </c>
      <c r="F2380" t="s">
        <v>51</v>
      </c>
      <c r="G2380" t="s">
        <v>18</v>
      </c>
      <c r="H2380" t="s">
        <v>16</v>
      </c>
      <c r="I2380" s="3">
        <v>40</v>
      </c>
      <c r="J2380" s="2">
        <v>275</v>
      </c>
      <c r="K2380" s="3">
        <f t="shared" si="37"/>
        <v>11000</v>
      </c>
      <c r="L2380" s="3">
        <v>7700</v>
      </c>
    </row>
    <row r="2381" spans="1:12" x14ac:dyDescent="0.25">
      <c r="A2381" t="s">
        <v>19</v>
      </c>
      <c r="B2381">
        <v>1185732</v>
      </c>
      <c r="C2381" s="1">
        <v>44300</v>
      </c>
      <c r="D2381" t="s">
        <v>29</v>
      </c>
      <c r="E2381" t="s">
        <v>89</v>
      </c>
      <c r="F2381" t="s">
        <v>90</v>
      </c>
      <c r="G2381" t="s">
        <v>18</v>
      </c>
      <c r="H2381" t="s">
        <v>38</v>
      </c>
      <c r="I2381" s="3">
        <v>40</v>
      </c>
      <c r="J2381" s="2">
        <v>525</v>
      </c>
      <c r="K2381" s="3">
        <f t="shared" si="37"/>
        <v>21000</v>
      </c>
      <c r="L2381" s="3">
        <v>13650</v>
      </c>
    </row>
    <row r="2382" spans="1:12" x14ac:dyDescent="0.25">
      <c r="A2382" t="s">
        <v>19</v>
      </c>
      <c r="B2382">
        <v>1185732</v>
      </c>
      <c r="C2382" s="1">
        <v>44300</v>
      </c>
      <c r="D2382" t="s">
        <v>29</v>
      </c>
      <c r="E2382" t="s">
        <v>89</v>
      </c>
      <c r="F2382" t="s">
        <v>90</v>
      </c>
      <c r="G2382" t="s">
        <v>18</v>
      </c>
      <c r="H2382" t="s">
        <v>17</v>
      </c>
      <c r="I2382" s="3">
        <v>40</v>
      </c>
      <c r="J2382" s="2">
        <v>225</v>
      </c>
      <c r="K2382" s="3">
        <f t="shared" si="37"/>
        <v>9000</v>
      </c>
      <c r="L2382" s="3">
        <v>5850</v>
      </c>
    </row>
    <row r="2383" spans="1:12" x14ac:dyDescent="0.25">
      <c r="A2383" t="s">
        <v>19</v>
      </c>
      <c r="B2383">
        <v>1185732</v>
      </c>
      <c r="C2383" s="1">
        <v>44300</v>
      </c>
      <c r="D2383" t="s">
        <v>29</v>
      </c>
      <c r="E2383" t="s">
        <v>89</v>
      </c>
      <c r="F2383" t="s">
        <v>90</v>
      </c>
      <c r="G2383" t="s">
        <v>18</v>
      </c>
      <c r="H2383" t="s">
        <v>35</v>
      </c>
      <c r="I2383" s="3">
        <v>30.000000000000004</v>
      </c>
      <c r="J2383" s="2">
        <v>225</v>
      </c>
      <c r="K2383" s="3">
        <f t="shared" si="37"/>
        <v>6750.0000000000009</v>
      </c>
      <c r="L2383" s="3">
        <v>4050.0000000000009</v>
      </c>
    </row>
    <row r="2384" spans="1:12" x14ac:dyDescent="0.25">
      <c r="A2384" t="s">
        <v>19</v>
      </c>
      <c r="B2384">
        <v>1185732</v>
      </c>
      <c r="C2384" s="1">
        <v>44300</v>
      </c>
      <c r="D2384" t="s">
        <v>29</v>
      </c>
      <c r="E2384" t="s">
        <v>89</v>
      </c>
      <c r="F2384" t="s">
        <v>90</v>
      </c>
      <c r="G2384" t="s">
        <v>18</v>
      </c>
      <c r="H2384" t="s">
        <v>37</v>
      </c>
      <c r="I2384" s="3">
        <v>35</v>
      </c>
      <c r="J2384" s="2">
        <v>150</v>
      </c>
      <c r="K2384" s="3">
        <f t="shared" si="37"/>
        <v>5250</v>
      </c>
      <c r="L2384" s="3">
        <v>3150</v>
      </c>
    </row>
    <row r="2385" spans="1:12" x14ac:dyDescent="0.25">
      <c r="A2385" t="s">
        <v>19</v>
      </c>
      <c r="B2385">
        <v>1185732</v>
      </c>
      <c r="C2385" s="1">
        <v>44300</v>
      </c>
      <c r="D2385" t="s">
        <v>29</v>
      </c>
      <c r="E2385" t="s">
        <v>89</v>
      </c>
      <c r="F2385" t="s">
        <v>90</v>
      </c>
      <c r="G2385" t="s">
        <v>18</v>
      </c>
      <c r="H2385" t="s">
        <v>16</v>
      </c>
      <c r="I2385" s="3">
        <v>40</v>
      </c>
      <c r="J2385" s="2">
        <v>300</v>
      </c>
      <c r="K2385" s="3">
        <f t="shared" si="37"/>
        <v>12000</v>
      </c>
      <c r="L2385" s="3">
        <v>7200</v>
      </c>
    </row>
    <row r="2386" spans="1:12" x14ac:dyDescent="0.25">
      <c r="A2386" t="s">
        <v>26</v>
      </c>
      <c r="B2386">
        <v>1197831</v>
      </c>
      <c r="C2386" s="1">
        <v>44300</v>
      </c>
      <c r="D2386" t="s">
        <v>52</v>
      </c>
      <c r="E2386" t="s">
        <v>97</v>
      </c>
      <c r="F2386" t="s">
        <v>98</v>
      </c>
      <c r="G2386" t="s">
        <v>15</v>
      </c>
      <c r="H2386" t="s">
        <v>16</v>
      </c>
      <c r="I2386" s="3">
        <v>50</v>
      </c>
      <c r="J2386" s="2">
        <v>875</v>
      </c>
      <c r="K2386" s="3">
        <f t="shared" si="37"/>
        <v>43750</v>
      </c>
      <c r="L2386" s="3">
        <v>19687.499999999996</v>
      </c>
    </row>
    <row r="2387" spans="1:12" x14ac:dyDescent="0.25">
      <c r="A2387" t="s">
        <v>26</v>
      </c>
      <c r="B2387">
        <v>1185732</v>
      </c>
      <c r="C2387" s="1">
        <v>44300</v>
      </c>
      <c r="D2387" t="s">
        <v>29</v>
      </c>
      <c r="E2387" t="s">
        <v>50</v>
      </c>
      <c r="F2387" t="s">
        <v>51</v>
      </c>
      <c r="G2387" t="s">
        <v>15</v>
      </c>
      <c r="H2387" t="s">
        <v>22</v>
      </c>
      <c r="I2387" s="3">
        <v>33</v>
      </c>
      <c r="J2387" s="2">
        <v>44</v>
      </c>
      <c r="K2387" s="3">
        <f t="shared" si="37"/>
        <v>1452</v>
      </c>
      <c r="L2387" s="3">
        <v>1059.96</v>
      </c>
    </row>
    <row r="2388" spans="1:12" x14ac:dyDescent="0.25">
      <c r="A2388" t="s">
        <v>26</v>
      </c>
      <c r="B2388">
        <v>1185732</v>
      </c>
      <c r="C2388" s="1">
        <v>44300</v>
      </c>
      <c r="D2388" t="s">
        <v>29</v>
      </c>
      <c r="E2388" t="s">
        <v>50</v>
      </c>
      <c r="F2388" t="s">
        <v>51</v>
      </c>
      <c r="G2388" t="s">
        <v>15</v>
      </c>
      <c r="H2388" t="s">
        <v>37</v>
      </c>
      <c r="I2388" s="3">
        <v>23</v>
      </c>
      <c r="J2388" s="2">
        <v>39</v>
      </c>
      <c r="K2388" s="3">
        <f t="shared" si="37"/>
        <v>897</v>
      </c>
      <c r="L2388" s="3">
        <v>645.83999999999992</v>
      </c>
    </row>
    <row r="2389" spans="1:12" x14ac:dyDescent="0.25">
      <c r="A2389" t="s">
        <v>27</v>
      </c>
      <c r="B2389">
        <v>1189833</v>
      </c>
      <c r="C2389" s="1">
        <v>44300</v>
      </c>
      <c r="D2389" t="s">
        <v>12</v>
      </c>
      <c r="E2389" t="s">
        <v>13</v>
      </c>
      <c r="F2389" t="s">
        <v>28</v>
      </c>
      <c r="G2389" t="s">
        <v>15</v>
      </c>
      <c r="H2389" t="s">
        <v>17</v>
      </c>
      <c r="I2389" s="3">
        <v>34</v>
      </c>
      <c r="J2389" s="2">
        <v>221</v>
      </c>
      <c r="K2389" s="3">
        <f t="shared" si="37"/>
        <v>7514</v>
      </c>
      <c r="L2389" s="3">
        <v>5259.8</v>
      </c>
    </row>
    <row r="2390" spans="1:12" x14ac:dyDescent="0.25">
      <c r="A2390" t="s">
        <v>26</v>
      </c>
      <c r="B2390">
        <v>1185732</v>
      </c>
      <c r="C2390" s="1">
        <v>44300</v>
      </c>
      <c r="D2390" t="s">
        <v>29</v>
      </c>
      <c r="E2390" t="s">
        <v>50</v>
      </c>
      <c r="F2390" t="s">
        <v>51</v>
      </c>
      <c r="G2390" t="s">
        <v>15</v>
      </c>
      <c r="H2390" t="s">
        <v>35</v>
      </c>
      <c r="I2390" s="3">
        <v>22</v>
      </c>
      <c r="J2390" s="2">
        <v>51</v>
      </c>
      <c r="K2390" s="3">
        <f t="shared" si="37"/>
        <v>1122</v>
      </c>
      <c r="L2390" s="3">
        <v>774.18000000000006</v>
      </c>
    </row>
    <row r="2391" spans="1:12" x14ac:dyDescent="0.25">
      <c r="A2391" t="s">
        <v>26</v>
      </c>
      <c r="B2391">
        <v>1185732</v>
      </c>
      <c r="C2391" s="1">
        <v>44300</v>
      </c>
      <c r="D2391" t="s">
        <v>29</v>
      </c>
      <c r="E2391" t="s">
        <v>50</v>
      </c>
      <c r="F2391" t="s">
        <v>51</v>
      </c>
      <c r="G2391" t="s">
        <v>15</v>
      </c>
      <c r="H2391" t="s">
        <v>38</v>
      </c>
      <c r="I2391" s="3">
        <v>28</v>
      </c>
      <c r="J2391" s="2">
        <v>149</v>
      </c>
      <c r="K2391" s="3">
        <f t="shared" si="37"/>
        <v>4172</v>
      </c>
      <c r="L2391" s="3">
        <v>2795.2400000000002</v>
      </c>
    </row>
    <row r="2392" spans="1:12" x14ac:dyDescent="0.25">
      <c r="A2392" t="s">
        <v>27</v>
      </c>
      <c r="B2392">
        <v>1189833</v>
      </c>
      <c r="C2392" s="1">
        <v>44300</v>
      </c>
      <c r="D2392" t="s">
        <v>12</v>
      </c>
      <c r="E2392" t="s">
        <v>13</v>
      </c>
      <c r="F2392" t="s">
        <v>28</v>
      </c>
      <c r="G2392" t="s">
        <v>41</v>
      </c>
      <c r="H2392" t="s">
        <v>17</v>
      </c>
      <c r="I2392" s="3">
        <v>47</v>
      </c>
      <c r="J2392" s="2">
        <v>169</v>
      </c>
      <c r="K2392" s="3">
        <f t="shared" si="37"/>
        <v>7943</v>
      </c>
      <c r="L2392" s="3">
        <v>5162.9500000000007</v>
      </c>
    </row>
    <row r="2393" spans="1:12" x14ac:dyDescent="0.25">
      <c r="A2393" t="s">
        <v>26</v>
      </c>
      <c r="B2393">
        <v>1185732</v>
      </c>
      <c r="C2393" s="1">
        <v>44300</v>
      </c>
      <c r="D2393" t="s">
        <v>29</v>
      </c>
      <c r="E2393" t="s">
        <v>50</v>
      </c>
      <c r="F2393" t="s">
        <v>51</v>
      </c>
      <c r="G2393" t="s">
        <v>41</v>
      </c>
      <c r="H2393" t="s">
        <v>35</v>
      </c>
      <c r="I2393" s="3">
        <v>29</v>
      </c>
      <c r="J2393" s="2">
        <v>41</v>
      </c>
      <c r="K2393" s="3">
        <f t="shared" si="37"/>
        <v>1189</v>
      </c>
      <c r="L2393" s="3">
        <v>772.85</v>
      </c>
    </row>
    <row r="2394" spans="1:12" x14ac:dyDescent="0.25">
      <c r="A2394" t="s">
        <v>26</v>
      </c>
      <c r="B2394">
        <v>1185732</v>
      </c>
      <c r="C2394" s="1">
        <v>44300</v>
      </c>
      <c r="D2394" t="s">
        <v>29</v>
      </c>
      <c r="E2394" t="s">
        <v>50</v>
      </c>
      <c r="F2394" t="s">
        <v>51</v>
      </c>
      <c r="G2394" t="s">
        <v>15</v>
      </c>
      <c r="H2394" t="s">
        <v>17</v>
      </c>
      <c r="I2394" s="3">
        <v>28</v>
      </c>
      <c r="J2394" s="2">
        <v>51</v>
      </c>
      <c r="K2394" s="3">
        <f t="shared" si="37"/>
        <v>1428</v>
      </c>
      <c r="L2394" s="3">
        <v>913.92000000000007</v>
      </c>
    </row>
    <row r="2395" spans="1:12" x14ac:dyDescent="0.25">
      <c r="A2395" t="s">
        <v>26</v>
      </c>
      <c r="B2395">
        <v>1185732</v>
      </c>
      <c r="C2395" s="1">
        <v>44300</v>
      </c>
      <c r="D2395" t="s">
        <v>29</v>
      </c>
      <c r="E2395" t="s">
        <v>50</v>
      </c>
      <c r="F2395" t="s">
        <v>51</v>
      </c>
      <c r="G2395" t="s">
        <v>15</v>
      </c>
      <c r="H2395" t="s">
        <v>16</v>
      </c>
      <c r="I2395" s="3">
        <v>30</v>
      </c>
      <c r="J2395" s="2">
        <v>94</v>
      </c>
      <c r="K2395" s="3">
        <f t="shared" si="37"/>
        <v>2820</v>
      </c>
      <c r="L2395" s="3">
        <v>1804.8000000000002</v>
      </c>
    </row>
    <row r="2396" spans="1:12" x14ac:dyDescent="0.25">
      <c r="A2396" t="s">
        <v>26</v>
      </c>
      <c r="B2396">
        <v>1185732</v>
      </c>
      <c r="C2396" s="1">
        <v>44300</v>
      </c>
      <c r="D2396" t="s">
        <v>29</v>
      </c>
      <c r="E2396" t="s">
        <v>50</v>
      </c>
      <c r="F2396" t="s">
        <v>51</v>
      </c>
      <c r="G2396" t="s">
        <v>41</v>
      </c>
      <c r="H2396" t="s">
        <v>22</v>
      </c>
      <c r="I2396" s="3">
        <v>49</v>
      </c>
      <c r="J2396" s="2">
        <v>33</v>
      </c>
      <c r="K2396" s="3">
        <f t="shared" si="37"/>
        <v>1617</v>
      </c>
      <c r="L2396" s="3">
        <v>1002.54</v>
      </c>
    </row>
    <row r="2397" spans="1:12" x14ac:dyDescent="0.25">
      <c r="A2397" t="s">
        <v>26</v>
      </c>
      <c r="B2397">
        <v>1185732</v>
      </c>
      <c r="C2397" s="1">
        <v>44300</v>
      </c>
      <c r="D2397" t="s">
        <v>29</v>
      </c>
      <c r="E2397" t="s">
        <v>50</v>
      </c>
      <c r="F2397" t="s">
        <v>51</v>
      </c>
      <c r="G2397" t="s">
        <v>41</v>
      </c>
      <c r="H2397" t="s">
        <v>37</v>
      </c>
      <c r="I2397" s="3">
        <v>32</v>
      </c>
      <c r="J2397" s="2">
        <v>35</v>
      </c>
      <c r="K2397" s="3">
        <f t="shared" si="37"/>
        <v>1120</v>
      </c>
      <c r="L2397" s="3">
        <v>683.2</v>
      </c>
    </row>
    <row r="2398" spans="1:12" x14ac:dyDescent="0.25">
      <c r="A2398" t="s">
        <v>26</v>
      </c>
      <c r="B2398">
        <v>1185732</v>
      </c>
      <c r="C2398" s="1">
        <v>44300</v>
      </c>
      <c r="D2398" t="s">
        <v>29</v>
      </c>
      <c r="E2398" t="s">
        <v>50</v>
      </c>
      <c r="F2398" t="s">
        <v>51</v>
      </c>
      <c r="G2398" t="s">
        <v>41</v>
      </c>
      <c r="H2398" t="s">
        <v>17</v>
      </c>
      <c r="I2398" s="3">
        <v>37</v>
      </c>
      <c r="J2398" s="2">
        <v>45</v>
      </c>
      <c r="K2398" s="3">
        <f t="shared" si="37"/>
        <v>1665</v>
      </c>
      <c r="L2398" s="3">
        <v>932.4</v>
      </c>
    </row>
    <row r="2399" spans="1:12" x14ac:dyDescent="0.25">
      <c r="A2399" t="s">
        <v>26</v>
      </c>
      <c r="B2399">
        <v>1185732</v>
      </c>
      <c r="C2399" s="1">
        <v>44300</v>
      </c>
      <c r="D2399" t="s">
        <v>29</v>
      </c>
      <c r="E2399" t="s">
        <v>50</v>
      </c>
      <c r="F2399" t="s">
        <v>51</v>
      </c>
      <c r="G2399" t="s">
        <v>41</v>
      </c>
      <c r="H2399" t="s">
        <v>16</v>
      </c>
      <c r="I2399" s="3">
        <v>39</v>
      </c>
      <c r="J2399" s="2">
        <v>83</v>
      </c>
      <c r="K2399" s="3">
        <f t="shared" si="37"/>
        <v>3237</v>
      </c>
      <c r="L2399" s="3">
        <v>1812.72</v>
      </c>
    </row>
    <row r="2400" spans="1:12" x14ac:dyDescent="0.25">
      <c r="A2400" t="s">
        <v>26</v>
      </c>
      <c r="B2400">
        <v>1185732</v>
      </c>
      <c r="C2400" s="1">
        <v>44300</v>
      </c>
      <c r="D2400" t="s">
        <v>29</v>
      </c>
      <c r="E2400" t="s">
        <v>50</v>
      </c>
      <c r="F2400" t="s">
        <v>51</v>
      </c>
      <c r="G2400" t="s">
        <v>41</v>
      </c>
      <c r="H2400" t="s">
        <v>38</v>
      </c>
      <c r="I2400" s="3">
        <v>38</v>
      </c>
      <c r="J2400" s="2">
        <v>117</v>
      </c>
      <c r="K2400" s="3">
        <f t="shared" si="37"/>
        <v>4446</v>
      </c>
      <c r="L2400" s="3">
        <v>2445.3000000000002</v>
      </c>
    </row>
    <row r="2401" spans="1:12" x14ac:dyDescent="0.25">
      <c r="A2401" t="s">
        <v>19</v>
      </c>
      <c r="B2401">
        <v>1185732</v>
      </c>
      <c r="C2401" s="1">
        <v>44300</v>
      </c>
      <c r="D2401" t="s">
        <v>29</v>
      </c>
      <c r="E2401" t="s">
        <v>89</v>
      </c>
      <c r="F2401" t="s">
        <v>90</v>
      </c>
      <c r="G2401" t="s">
        <v>41</v>
      </c>
      <c r="H2401" t="s">
        <v>22</v>
      </c>
      <c r="I2401" s="3">
        <v>47</v>
      </c>
      <c r="J2401" s="2">
        <v>45</v>
      </c>
      <c r="K2401" s="3">
        <f t="shared" si="37"/>
        <v>2115</v>
      </c>
      <c r="L2401" s="3">
        <v>1163.25</v>
      </c>
    </row>
    <row r="2402" spans="1:12" x14ac:dyDescent="0.25">
      <c r="A2402" t="s">
        <v>19</v>
      </c>
      <c r="B2402">
        <v>1185732</v>
      </c>
      <c r="C2402" s="1">
        <v>44300</v>
      </c>
      <c r="D2402" t="s">
        <v>29</v>
      </c>
      <c r="E2402" t="s">
        <v>89</v>
      </c>
      <c r="F2402" t="s">
        <v>90</v>
      </c>
      <c r="G2402" t="s">
        <v>41</v>
      </c>
      <c r="H2402" t="s">
        <v>17</v>
      </c>
      <c r="I2402" s="3">
        <v>38</v>
      </c>
      <c r="J2402" s="2">
        <v>61</v>
      </c>
      <c r="K2402" s="3">
        <f t="shared" si="37"/>
        <v>2318</v>
      </c>
      <c r="L2402" s="3">
        <v>1228.54</v>
      </c>
    </row>
    <row r="2403" spans="1:12" x14ac:dyDescent="0.25">
      <c r="A2403" t="s">
        <v>19</v>
      </c>
      <c r="B2403">
        <v>1185732</v>
      </c>
      <c r="C2403" s="1">
        <v>44300</v>
      </c>
      <c r="D2403" t="s">
        <v>29</v>
      </c>
      <c r="E2403" t="s">
        <v>89</v>
      </c>
      <c r="F2403" t="s">
        <v>90</v>
      </c>
      <c r="G2403" t="s">
        <v>41</v>
      </c>
      <c r="H2403" t="s">
        <v>38</v>
      </c>
      <c r="I2403" s="3">
        <v>36</v>
      </c>
      <c r="J2403" s="2">
        <v>131</v>
      </c>
      <c r="K2403" s="3">
        <f t="shared" si="37"/>
        <v>4716</v>
      </c>
      <c r="L2403" s="3">
        <v>2358</v>
      </c>
    </row>
    <row r="2404" spans="1:12" x14ac:dyDescent="0.25">
      <c r="A2404" t="s">
        <v>19</v>
      </c>
      <c r="B2404">
        <v>1185732</v>
      </c>
      <c r="C2404" s="1">
        <v>44300</v>
      </c>
      <c r="D2404" t="s">
        <v>29</v>
      </c>
      <c r="E2404" t="s">
        <v>89</v>
      </c>
      <c r="F2404" t="s">
        <v>90</v>
      </c>
      <c r="G2404" t="s">
        <v>41</v>
      </c>
      <c r="H2404" t="s">
        <v>37</v>
      </c>
      <c r="I2404" s="3">
        <v>32</v>
      </c>
      <c r="J2404" s="2">
        <v>44</v>
      </c>
      <c r="K2404" s="3">
        <f t="shared" si="37"/>
        <v>1408</v>
      </c>
      <c r="L2404" s="3">
        <v>689.92</v>
      </c>
    </row>
    <row r="2405" spans="1:12" x14ac:dyDescent="0.25">
      <c r="A2405" t="s">
        <v>19</v>
      </c>
      <c r="B2405">
        <v>1185732</v>
      </c>
      <c r="C2405" s="1">
        <v>44300</v>
      </c>
      <c r="D2405" t="s">
        <v>29</v>
      </c>
      <c r="E2405" t="s">
        <v>89</v>
      </c>
      <c r="F2405" t="s">
        <v>90</v>
      </c>
      <c r="G2405" t="s">
        <v>41</v>
      </c>
      <c r="H2405" t="s">
        <v>16</v>
      </c>
      <c r="I2405" s="3">
        <v>38</v>
      </c>
      <c r="J2405" s="2">
        <v>78</v>
      </c>
      <c r="K2405" s="3">
        <f t="shared" si="37"/>
        <v>2964</v>
      </c>
      <c r="L2405" s="3">
        <v>1363.4399999999998</v>
      </c>
    </row>
    <row r="2406" spans="1:12" x14ac:dyDescent="0.25">
      <c r="A2406" t="s">
        <v>19</v>
      </c>
      <c r="B2406">
        <v>1185732</v>
      </c>
      <c r="C2406" s="1">
        <v>44300</v>
      </c>
      <c r="D2406" t="s">
        <v>29</v>
      </c>
      <c r="E2406" t="s">
        <v>89</v>
      </c>
      <c r="F2406" t="s">
        <v>90</v>
      </c>
      <c r="G2406" t="s">
        <v>41</v>
      </c>
      <c r="H2406" t="s">
        <v>35</v>
      </c>
      <c r="I2406" s="3">
        <v>27</v>
      </c>
      <c r="J2406" s="2">
        <v>59</v>
      </c>
      <c r="K2406" s="3">
        <f t="shared" si="37"/>
        <v>1593</v>
      </c>
      <c r="L2406" s="3">
        <v>716.84999999999991</v>
      </c>
    </row>
    <row r="2407" spans="1:12" x14ac:dyDescent="0.25">
      <c r="A2407" t="s">
        <v>26</v>
      </c>
      <c r="B2407">
        <v>1197831</v>
      </c>
      <c r="C2407" s="1">
        <v>44300</v>
      </c>
      <c r="D2407" t="s">
        <v>52</v>
      </c>
      <c r="E2407" t="s">
        <v>97</v>
      </c>
      <c r="F2407" t="s">
        <v>98</v>
      </c>
      <c r="G2407" t="s">
        <v>15</v>
      </c>
      <c r="H2407" t="s">
        <v>16</v>
      </c>
      <c r="I2407" s="3">
        <v>37</v>
      </c>
      <c r="J2407" s="2">
        <v>306</v>
      </c>
      <c r="K2407" s="3">
        <f t="shared" si="37"/>
        <v>11322</v>
      </c>
      <c r="L2407" s="3">
        <v>4642.0199999999995</v>
      </c>
    </row>
    <row r="2408" spans="1:12" x14ac:dyDescent="0.25">
      <c r="A2408" t="s">
        <v>26</v>
      </c>
      <c r="B2408">
        <v>1197831</v>
      </c>
      <c r="C2408" s="1">
        <v>44300</v>
      </c>
      <c r="D2408" t="s">
        <v>52</v>
      </c>
      <c r="E2408" t="s">
        <v>97</v>
      </c>
      <c r="F2408" t="s">
        <v>98</v>
      </c>
      <c r="G2408" t="s">
        <v>41</v>
      </c>
      <c r="H2408" t="s">
        <v>16</v>
      </c>
      <c r="I2408" s="3">
        <v>49</v>
      </c>
      <c r="J2408" s="2">
        <v>236</v>
      </c>
      <c r="K2408" s="3">
        <f t="shared" si="37"/>
        <v>11564</v>
      </c>
      <c r="L2408" s="3">
        <v>4047.3999999999996</v>
      </c>
    </row>
    <row r="2409" spans="1:12" x14ac:dyDescent="0.25">
      <c r="A2409" t="s">
        <v>27</v>
      </c>
      <c r="B2409">
        <v>1189833</v>
      </c>
      <c r="C2409" s="1">
        <v>44301</v>
      </c>
      <c r="D2409" t="s">
        <v>12</v>
      </c>
      <c r="E2409" t="s">
        <v>13</v>
      </c>
      <c r="F2409" t="s">
        <v>28</v>
      </c>
      <c r="G2409" t="s">
        <v>15</v>
      </c>
      <c r="H2409" t="s">
        <v>35</v>
      </c>
      <c r="I2409" s="3">
        <v>50</v>
      </c>
      <c r="J2409" s="2">
        <v>650</v>
      </c>
      <c r="K2409" s="3">
        <f t="shared" si="37"/>
        <v>32500</v>
      </c>
      <c r="L2409" s="3">
        <v>19500</v>
      </c>
    </row>
    <row r="2410" spans="1:12" x14ac:dyDescent="0.25">
      <c r="A2410" t="s">
        <v>26</v>
      </c>
      <c r="B2410">
        <v>1197831</v>
      </c>
      <c r="C2410" s="1">
        <v>44301</v>
      </c>
      <c r="D2410" t="s">
        <v>52</v>
      </c>
      <c r="E2410" t="s">
        <v>97</v>
      </c>
      <c r="F2410" t="s">
        <v>98</v>
      </c>
      <c r="G2410" t="s">
        <v>15</v>
      </c>
      <c r="H2410" t="s">
        <v>38</v>
      </c>
      <c r="I2410" s="3">
        <v>40</v>
      </c>
      <c r="J2410" s="2">
        <v>825</v>
      </c>
      <c r="K2410" s="3">
        <f t="shared" si="37"/>
        <v>33000</v>
      </c>
      <c r="L2410" s="3">
        <v>18150.000000000004</v>
      </c>
    </row>
    <row r="2411" spans="1:12" x14ac:dyDescent="0.25">
      <c r="A2411" t="s">
        <v>27</v>
      </c>
      <c r="B2411">
        <v>1189833</v>
      </c>
      <c r="C2411" s="1">
        <v>44301</v>
      </c>
      <c r="D2411" t="s">
        <v>12</v>
      </c>
      <c r="E2411" t="s">
        <v>13</v>
      </c>
      <c r="F2411" t="s">
        <v>28</v>
      </c>
      <c r="G2411" t="s">
        <v>15</v>
      </c>
      <c r="H2411" t="s">
        <v>35</v>
      </c>
      <c r="I2411" s="3">
        <v>36</v>
      </c>
      <c r="J2411" s="2">
        <v>215</v>
      </c>
      <c r="K2411" s="3">
        <f t="shared" si="37"/>
        <v>7740</v>
      </c>
      <c r="L2411" s="3">
        <v>4257</v>
      </c>
    </row>
    <row r="2412" spans="1:12" x14ac:dyDescent="0.25">
      <c r="A2412" t="s">
        <v>26</v>
      </c>
      <c r="B2412">
        <v>1197831</v>
      </c>
      <c r="C2412" s="1">
        <v>44301</v>
      </c>
      <c r="D2412" t="s">
        <v>52</v>
      </c>
      <c r="E2412" t="s">
        <v>97</v>
      </c>
      <c r="F2412" t="s">
        <v>98</v>
      </c>
      <c r="G2412" t="s">
        <v>15</v>
      </c>
      <c r="H2412" t="s">
        <v>38</v>
      </c>
      <c r="I2412" s="3">
        <v>29</v>
      </c>
      <c r="J2412" s="2">
        <v>272</v>
      </c>
      <c r="K2412" s="3">
        <f t="shared" si="37"/>
        <v>7888</v>
      </c>
      <c r="L2412" s="3">
        <v>3944.0000000000005</v>
      </c>
    </row>
    <row r="2413" spans="1:12" x14ac:dyDescent="0.25">
      <c r="A2413" t="s">
        <v>27</v>
      </c>
      <c r="B2413">
        <v>1189833</v>
      </c>
      <c r="C2413" s="1">
        <v>44301</v>
      </c>
      <c r="D2413" t="s">
        <v>12</v>
      </c>
      <c r="E2413" t="s">
        <v>13</v>
      </c>
      <c r="F2413" t="s">
        <v>28</v>
      </c>
      <c r="G2413" t="s">
        <v>41</v>
      </c>
      <c r="H2413" t="s">
        <v>35</v>
      </c>
      <c r="I2413" s="3">
        <v>45</v>
      </c>
      <c r="J2413" s="2">
        <v>163</v>
      </c>
      <c r="K2413" s="3">
        <f t="shared" si="37"/>
        <v>7335</v>
      </c>
      <c r="L2413" s="3">
        <v>3520.7999999999997</v>
      </c>
    </row>
    <row r="2414" spans="1:12" x14ac:dyDescent="0.25">
      <c r="A2414" t="s">
        <v>26</v>
      </c>
      <c r="B2414">
        <v>1197831</v>
      </c>
      <c r="C2414" s="1">
        <v>44301</v>
      </c>
      <c r="D2414" t="s">
        <v>52</v>
      </c>
      <c r="E2414" t="s">
        <v>97</v>
      </c>
      <c r="F2414" t="s">
        <v>98</v>
      </c>
      <c r="G2414" t="s">
        <v>41</v>
      </c>
      <c r="H2414" t="s">
        <v>38</v>
      </c>
      <c r="I2414" s="3">
        <v>36</v>
      </c>
      <c r="J2414" s="2">
        <v>215</v>
      </c>
      <c r="K2414" s="3">
        <f t="shared" si="37"/>
        <v>7740</v>
      </c>
      <c r="L2414" s="3">
        <v>3328.2000000000007</v>
      </c>
    </row>
    <row r="2415" spans="1:12" x14ac:dyDescent="0.25">
      <c r="A2415" t="s">
        <v>26</v>
      </c>
      <c r="B2415">
        <v>1185732</v>
      </c>
      <c r="C2415" s="1">
        <v>44302</v>
      </c>
      <c r="D2415" t="s">
        <v>57</v>
      </c>
      <c r="E2415" t="s">
        <v>70</v>
      </c>
      <c r="F2415" t="s">
        <v>71</v>
      </c>
      <c r="G2415" t="s">
        <v>18</v>
      </c>
      <c r="H2415" t="s">
        <v>35</v>
      </c>
      <c r="I2415" s="3">
        <v>30.000000000000004</v>
      </c>
      <c r="J2415" s="2">
        <v>450</v>
      </c>
      <c r="K2415" s="3">
        <f t="shared" si="37"/>
        <v>13500.000000000002</v>
      </c>
      <c r="L2415" s="3">
        <v>9450.0000000000036</v>
      </c>
    </row>
    <row r="2416" spans="1:12" x14ac:dyDescent="0.25">
      <c r="A2416" t="s">
        <v>27</v>
      </c>
      <c r="B2416">
        <v>1189833</v>
      </c>
      <c r="C2416" s="1">
        <v>44302</v>
      </c>
      <c r="D2416" t="s">
        <v>12</v>
      </c>
      <c r="E2416" t="s">
        <v>13</v>
      </c>
      <c r="F2416" t="s">
        <v>28</v>
      </c>
      <c r="G2416" t="s">
        <v>15</v>
      </c>
      <c r="H2416" t="s">
        <v>37</v>
      </c>
      <c r="I2416" s="3">
        <v>45</v>
      </c>
      <c r="J2416" s="2">
        <v>550</v>
      </c>
      <c r="K2416" s="3">
        <f t="shared" si="37"/>
        <v>24750</v>
      </c>
      <c r="L2416" s="3">
        <v>16087.5</v>
      </c>
    </row>
    <row r="2417" spans="1:12" x14ac:dyDescent="0.25">
      <c r="A2417" t="s">
        <v>26</v>
      </c>
      <c r="B2417">
        <v>1185732</v>
      </c>
      <c r="C2417" s="1">
        <v>44302</v>
      </c>
      <c r="D2417" t="s">
        <v>57</v>
      </c>
      <c r="E2417" t="s">
        <v>70</v>
      </c>
      <c r="F2417" t="s">
        <v>71</v>
      </c>
      <c r="G2417" t="s">
        <v>18</v>
      </c>
      <c r="H2417" t="s">
        <v>37</v>
      </c>
      <c r="I2417" s="3">
        <v>35</v>
      </c>
      <c r="J2417" s="2">
        <v>375</v>
      </c>
      <c r="K2417" s="3">
        <f t="shared" si="37"/>
        <v>13125</v>
      </c>
      <c r="L2417" s="3">
        <v>8531.25</v>
      </c>
    </row>
    <row r="2418" spans="1:12" x14ac:dyDescent="0.25">
      <c r="A2418" t="s">
        <v>26</v>
      </c>
      <c r="B2418">
        <v>1185732</v>
      </c>
      <c r="C2418" s="1">
        <v>44302</v>
      </c>
      <c r="D2418" t="s">
        <v>57</v>
      </c>
      <c r="E2418" t="s">
        <v>70</v>
      </c>
      <c r="F2418" t="s">
        <v>71</v>
      </c>
      <c r="G2418" t="s">
        <v>18</v>
      </c>
      <c r="H2418" t="s">
        <v>17</v>
      </c>
      <c r="I2418" s="3">
        <v>40</v>
      </c>
      <c r="J2418" s="2">
        <v>425</v>
      </c>
      <c r="K2418" s="3">
        <f t="shared" si="37"/>
        <v>17000</v>
      </c>
      <c r="L2418" s="3">
        <v>10200</v>
      </c>
    </row>
    <row r="2419" spans="1:12" x14ac:dyDescent="0.25">
      <c r="A2419" t="s">
        <v>26</v>
      </c>
      <c r="B2419">
        <v>1185732</v>
      </c>
      <c r="C2419" s="1">
        <v>44302</v>
      </c>
      <c r="D2419" t="s">
        <v>57</v>
      </c>
      <c r="E2419" t="s">
        <v>70</v>
      </c>
      <c r="F2419" t="s">
        <v>71</v>
      </c>
      <c r="G2419" t="s">
        <v>18</v>
      </c>
      <c r="H2419" t="s">
        <v>22</v>
      </c>
      <c r="I2419" s="3">
        <v>50</v>
      </c>
      <c r="J2419" s="2">
        <v>400</v>
      </c>
      <c r="K2419" s="3">
        <f t="shared" si="37"/>
        <v>20000</v>
      </c>
      <c r="L2419" s="3">
        <v>12000</v>
      </c>
    </row>
    <row r="2420" spans="1:12" x14ac:dyDescent="0.25">
      <c r="A2420" t="s">
        <v>26</v>
      </c>
      <c r="B2420">
        <v>1197831</v>
      </c>
      <c r="C2420" s="1">
        <v>44302</v>
      </c>
      <c r="D2420" t="s">
        <v>52</v>
      </c>
      <c r="E2420" t="s">
        <v>97</v>
      </c>
      <c r="F2420" t="s">
        <v>98</v>
      </c>
      <c r="G2420" t="s">
        <v>15</v>
      </c>
      <c r="H2420" t="s">
        <v>17</v>
      </c>
      <c r="I2420" s="3">
        <v>45</v>
      </c>
      <c r="J2420" s="2">
        <v>825</v>
      </c>
      <c r="K2420" s="3">
        <f t="shared" si="37"/>
        <v>37125</v>
      </c>
      <c r="L2420" s="3">
        <v>20418.750000000004</v>
      </c>
    </row>
    <row r="2421" spans="1:12" x14ac:dyDescent="0.25">
      <c r="A2421" t="s">
        <v>26</v>
      </c>
      <c r="B2421">
        <v>1185732</v>
      </c>
      <c r="C2421" s="1">
        <v>44302</v>
      </c>
      <c r="D2421" t="s">
        <v>57</v>
      </c>
      <c r="E2421" t="s">
        <v>70</v>
      </c>
      <c r="F2421" t="s">
        <v>71</v>
      </c>
      <c r="G2421" t="s">
        <v>18</v>
      </c>
      <c r="H2421" t="s">
        <v>38</v>
      </c>
      <c r="I2421" s="3">
        <v>35</v>
      </c>
      <c r="J2421" s="2">
        <v>725</v>
      </c>
      <c r="K2421" s="3">
        <f t="shared" si="37"/>
        <v>25375</v>
      </c>
      <c r="L2421" s="3">
        <v>12687.5</v>
      </c>
    </row>
    <row r="2422" spans="1:12" x14ac:dyDescent="0.25">
      <c r="A2422" t="s">
        <v>26</v>
      </c>
      <c r="B2422">
        <v>1185732</v>
      </c>
      <c r="C2422" s="1">
        <v>44302</v>
      </c>
      <c r="D2422" t="s">
        <v>57</v>
      </c>
      <c r="E2422" t="s">
        <v>70</v>
      </c>
      <c r="F2422" t="s">
        <v>71</v>
      </c>
      <c r="G2422" t="s">
        <v>18</v>
      </c>
      <c r="H2422" t="s">
        <v>16</v>
      </c>
      <c r="I2422" s="3">
        <v>40</v>
      </c>
      <c r="J2422" s="2">
        <v>525</v>
      </c>
      <c r="K2422" s="3">
        <f t="shared" si="37"/>
        <v>21000</v>
      </c>
      <c r="L2422" s="3">
        <v>9449.9999999999982</v>
      </c>
    </row>
    <row r="2423" spans="1:12" x14ac:dyDescent="0.25">
      <c r="A2423" t="s">
        <v>27</v>
      </c>
      <c r="B2423">
        <v>1189833</v>
      </c>
      <c r="C2423" s="1">
        <v>44302</v>
      </c>
      <c r="D2423" t="s">
        <v>12</v>
      </c>
      <c r="E2423" t="s">
        <v>13</v>
      </c>
      <c r="F2423" t="s">
        <v>28</v>
      </c>
      <c r="G2423" t="s">
        <v>15</v>
      </c>
      <c r="H2423" t="s">
        <v>37</v>
      </c>
      <c r="I2423" s="3">
        <v>33</v>
      </c>
      <c r="J2423" s="2">
        <v>193</v>
      </c>
      <c r="K2423" s="3">
        <f t="shared" si="37"/>
        <v>6369</v>
      </c>
      <c r="L2423" s="3">
        <v>3948.7799999999997</v>
      </c>
    </row>
    <row r="2424" spans="1:12" x14ac:dyDescent="0.25">
      <c r="A2424" t="s">
        <v>26</v>
      </c>
      <c r="B2424">
        <v>1185732</v>
      </c>
      <c r="C2424" s="1">
        <v>44302</v>
      </c>
      <c r="D2424" t="s">
        <v>57</v>
      </c>
      <c r="E2424" t="s">
        <v>70</v>
      </c>
      <c r="F2424" t="s">
        <v>71</v>
      </c>
      <c r="G2424" t="s">
        <v>41</v>
      </c>
      <c r="H2424" t="s">
        <v>35</v>
      </c>
      <c r="I2424" s="3">
        <v>27</v>
      </c>
      <c r="J2424" s="2">
        <v>135</v>
      </c>
      <c r="K2424" s="3">
        <f t="shared" si="37"/>
        <v>3645</v>
      </c>
      <c r="L2424" s="3">
        <v>2114.1000000000004</v>
      </c>
    </row>
    <row r="2425" spans="1:12" x14ac:dyDescent="0.25">
      <c r="A2425" t="s">
        <v>26</v>
      </c>
      <c r="B2425">
        <v>1185732</v>
      </c>
      <c r="C2425" s="1">
        <v>44302</v>
      </c>
      <c r="D2425" t="s">
        <v>57</v>
      </c>
      <c r="E2425" t="s">
        <v>70</v>
      </c>
      <c r="F2425" t="s">
        <v>71</v>
      </c>
      <c r="G2425" t="s">
        <v>41</v>
      </c>
      <c r="H2425" t="s">
        <v>37</v>
      </c>
      <c r="I2425" s="3">
        <v>32</v>
      </c>
      <c r="J2425" s="2">
        <v>109</v>
      </c>
      <c r="K2425" s="3">
        <f t="shared" si="37"/>
        <v>3488</v>
      </c>
      <c r="L2425" s="3">
        <v>1883.5200000000002</v>
      </c>
    </row>
    <row r="2426" spans="1:12" x14ac:dyDescent="0.25">
      <c r="A2426" t="s">
        <v>27</v>
      </c>
      <c r="B2426">
        <v>1189833</v>
      </c>
      <c r="C2426" s="1">
        <v>44302</v>
      </c>
      <c r="D2426" t="s">
        <v>12</v>
      </c>
      <c r="E2426" t="s">
        <v>13</v>
      </c>
      <c r="F2426" t="s">
        <v>28</v>
      </c>
      <c r="G2426" t="s">
        <v>41</v>
      </c>
      <c r="H2426" t="s">
        <v>37</v>
      </c>
      <c r="I2426" s="3">
        <v>41</v>
      </c>
      <c r="J2426" s="2">
        <v>154</v>
      </c>
      <c r="K2426" s="3">
        <f t="shared" si="37"/>
        <v>6314</v>
      </c>
      <c r="L2426" s="3">
        <v>3283.28</v>
      </c>
    </row>
    <row r="2427" spans="1:12" x14ac:dyDescent="0.25">
      <c r="A2427" t="s">
        <v>26</v>
      </c>
      <c r="B2427">
        <v>1197831</v>
      </c>
      <c r="C2427" s="1">
        <v>44302</v>
      </c>
      <c r="D2427" t="s">
        <v>52</v>
      </c>
      <c r="E2427" t="s">
        <v>97</v>
      </c>
      <c r="F2427" t="s">
        <v>98</v>
      </c>
      <c r="G2427" t="s">
        <v>15</v>
      </c>
      <c r="H2427" t="s">
        <v>17</v>
      </c>
      <c r="I2427" s="3">
        <v>30</v>
      </c>
      <c r="J2427" s="2">
        <v>264</v>
      </c>
      <c r="K2427" s="3">
        <f t="shared" si="37"/>
        <v>7920</v>
      </c>
      <c r="L2427" s="3">
        <v>3960.0000000000005</v>
      </c>
    </row>
    <row r="2428" spans="1:12" x14ac:dyDescent="0.25">
      <c r="A2428" t="s">
        <v>26</v>
      </c>
      <c r="B2428">
        <v>1185732</v>
      </c>
      <c r="C2428" s="1">
        <v>44302</v>
      </c>
      <c r="D2428" t="s">
        <v>57</v>
      </c>
      <c r="E2428" t="s">
        <v>70</v>
      </c>
      <c r="F2428" t="s">
        <v>71</v>
      </c>
      <c r="G2428" t="s">
        <v>41</v>
      </c>
      <c r="H2428" t="s">
        <v>22</v>
      </c>
      <c r="I2428" s="3">
        <v>45</v>
      </c>
      <c r="J2428" s="2">
        <v>120</v>
      </c>
      <c r="K2428" s="3">
        <f t="shared" si="37"/>
        <v>5400</v>
      </c>
      <c r="L2428" s="3">
        <v>2700</v>
      </c>
    </row>
    <row r="2429" spans="1:12" x14ac:dyDescent="0.25">
      <c r="A2429" t="s">
        <v>26</v>
      </c>
      <c r="B2429">
        <v>1185732</v>
      </c>
      <c r="C2429" s="1">
        <v>44302</v>
      </c>
      <c r="D2429" t="s">
        <v>57</v>
      </c>
      <c r="E2429" t="s">
        <v>70</v>
      </c>
      <c r="F2429" t="s">
        <v>71</v>
      </c>
      <c r="G2429" t="s">
        <v>41</v>
      </c>
      <c r="H2429" t="s">
        <v>17</v>
      </c>
      <c r="I2429" s="3">
        <v>38</v>
      </c>
      <c r="J2429" s="2">
        <v>111</v>
      </c>
      <c r="K2429" s="3">
        <f t="shared" si="37"/>
        <v>4218</v>
      </c>
      <c r="L2429" s="3">
        <v>1982.46</v>
      </c>
    </row>
    <row r="2430" spans="1:12" x14ac:dyDescent="0.25">
      <c r="A2430" t="s">
        <v>26</v>
      </c>
      <c r="B2430">
        <v>1197831</v>
      </c>
      <c r="C2430" s="1">
        <v>44302</v>
      </c>
      <c r="D2430" t="s">
        <v>52</v>
      </c>
      <c r="E2430" t="s">
        <v>97</v>
      </c>
      <c r="F2430" t="s">
        <v>98</v>
      </c>
      <c r="G2430" t="s">
        <v>41</v>
      </c>
      <c r="H2430" t="s">
        <v>17</v>
      </c>
      <c r="I2430" s="3">
        <v>43</v>
      </c>
      <c r="J2430" s="2">
        <v>206</v>
      </c>
      <c r="K2430" s="3">
        <f t="shared" si="37"/>
        <v>8858</v>
      </c>
      <c r="L2430" s="3">
        <v>3720.3600000000006</v>
      </c>
    </row>
    <row r="2431" spans="1:12" x14ac:dyDescent="0.25">
      <c r="A2431" t="s">
        <v>26</v>
      </c>
      <c r="B2431">
        <v>1185732</v>
      </c>
      <c r="C2431" s="1">
        <v>44302</v>
      </c>
      <c r="D2431" t="s">
        <v>57</v>
      </c>
      <c r="E2431" t="s">
        <v>70</v>
      </c>
      <c r="F2431" t="s">
        <v>71</v>
      </c>
      <c r="G2431" t="s">
        <v>41</v>
      </c>
      <c r="H2431" t="s">
        <v>38</v>
      </c>
      <c r="I2431" s="3">
        <v>32</v>
      </c>
      <c r="J2431" s="2">
        <v>181</v>
      </c>
      <c r="K2431" s="3">
        <f t="shared" si="37"/>
        <v>5792</v>
      </c>
      <c r="L2431" s="3">
        <v>2316.8000000000002</v>
      </c>
    </row>
    <row r="2432" spans="1:12" x14ac:dyDescent="0.25">
      <c r="A2432" t="s">
        <v>26</v>
      </c>
      <c r="B2432">
        <v>1185732</v>
      </c>
      <c r="C2432" s="1">
        <v>44302</v>
      </c>
      <c r="D2432" t="s">
        <v>57</v>
      </c>
      <c r="E2432" t="s">
        <v>70</v>
      </c>
      <c r="F2432" t="s">
        <v>71</v>
      </c>
      <c r="G2432" t="s">
        <v>41</v>
      </c>
      <c r="H2432" t="s">
        <v>16</v>
      </c>
      <c r="I2432" s="3">
        <v>37</v>
      </c>
      <c r="J2432" s="2">
        <v>152</v>
      </c>
      <c r="K2432" s="3">
        <f t="shared" si="37"/>
        <v>5624</v>
      </c>
      <c r="L2432" s="3">
        <v>1743.4399999999996</v>
      </c>
    </row>
    <row r="2433" spans="1:12" x14ac:dyDescent="0.25">
      <c r="A2433" t="s">
        <v>23</v>
      </c>
      <c r="B2433">
        <v>1128299</v>
      </c>
      <c r="C2433" s="1">
        <v>44303</v>
      </c>
      <c r="D2433" t="s">
        <v>32</v>
      </c>
      <c r="E2433" t="s">
        <v>33</v>
      </c>
      <c r="F2433" t="s">
        <v>34</v>
      </c>
      <c r="G2433" t="s">
        <v>15</v>
      </c>
      <c r="H2433" t="s">
        <v>22</v>
      </c>
      <c r="I2433" s="3">
        <v>60.000000000000007</v>
      </c>
      <c r="J2433" s="2">
        <v>200</v>
      </c>
      <c r="K2433" s="3">
        <f t="shared" si="37"/>
        <v>12000.000000000002</v>
      </c>
      <c r="L2433" s="3">
        <v>9600.0000000000018</v>
      </c>
    </row>
    <row r="2434" spans="1:12" x14ac:dyDescent="0.25">
      <c r="A2434" t="s">
        <v>23</v>
      </c>
      <c r="B2434">
        <v>1128299</v>
      </c>
      <c r="C2434" s="1">
        <v>44303</v>
      </c>
      <c r="D2434" t="s">
        <v>32</v>
      </c>
      <c r="E2434" t="s">
        <v>33</v>
      </c>
      <c r="F2434" t="s">
        <v>34</v>
      </c>
      <c r="G2434" t="s">
        <v>15</v>
      </c>
      <c r="H2434" t="s">
        <v>17</v>
      </c>
      <c r="I2434" s="3">
        <v>70</v>
      </c>
      <c r="J2434" s="2">
        <v>350</v>
      </c>
      <c r="K2434" s="3">
        <f t="shared" si="37"/>
        <v>24500</v>
      </c>
      <c r="L2434" s="3">
        <v>18375</v>
      </c>
    </row>
    <row r="2435" spans="1:12" x14ac:dyDescent="0.25">
      <c r="A2435" t="s">
        <v>23</v>
      </c>
      <c r="B2435">
        <v>1128299</v>
      </c>
      <c r="C2435" s="1">
        <v>44303</v>
      </c>
      <c r="D2435" t="s">
        <v>32</v>
      </c>
      <c r="E2435" t="s">
        <v>33</v>
      </c>
      <c r="F2435" t="s">
        <v>34</v>
      </c>
      <c r="G2435" t="s">
        <v>15</v>
      </c>
      <c r="H2435" t="s">
        <v>38</v>
      </c>
      <c r="I2435" s="3">
        <v>65</v>
      </c>
      <c r="J2435" s="2">
        <v>550</v>
      </c>
      <c r="K2435" s="3">
        <f t="shared" ref="K2435:K2498" si="38">I2435*J2435</f>
        <v>35750</v>
      </c>
      <c r="L2435" s="3">
        <v>25025</v>
      </c>
    </row>
    <row r="2436" spans="1:12" x14ac:dyDescent="0.25">
      <c r="A2436" t="s">
        <v>23</v>
      </c>
      <c r="B2436">
        <v>1128299</v>
      </c>
      <c r="C2436" s="1">
        <v>44303</v>
      </c>
      <c r="D2436" t="s">
        <v>32</v>
      </c>
      <c r="E2436" t="s">
        <v>33</v>
      </c>
      <c r="F2436" t="s">
        <v>34</v>
      </c>
      <c r="G2436" t="s">
        <v>15</v>
      </c>
      <c r="H2436" t="s">
        <v>35</v>
      </c>
      <c r="I2436" s="3">
        <v>70</v>
      </c>
      <c r="J2436" s="2">
        <v>400</v>
      </c>
      <c r="K2436" s="3">
        <f t="shared" si="38"/>
        <v>28000</v>
      </c>
      <c r="L2436" s="3">
        <v>19600</v>
      </c>
    </row>
    <row r="2437" spans="1:12" x14ac:dyDescent="0.25">
      <c r="A2437" t="s">
        <v>23</v>
      </c>
      <c r="B2437">
        <v>1128299</v>
      </c>
      <c r="C2437" s="1">
        <v>44303</v>
      </c>
      <c r="D2437" t="s">
        <v>32</v>
      </c>
      <c r="E2437" t="s">
        <v>33</v>
      </c>
      <c r="F2437" t="s">
        <v>34</v>
      </c>
      <c r="G2437" t="s">
        <v>15</v>
      </c>
      <c r="H2437" t="s">
        <v>37</v>
      </c>
      <c r="I2437" s="3">
        <v>55.000000000000007</v>
      </c>
      <c r="J2437" s="2">
        <v>300</v>
      </c>
      <c r="K2437" s="3">
        <f t="shared" si="38"/>
        <v>16500.000000000004</v>
      </c>
      <c r="L2437" s="3">
        <v>11550.000000000004</v>
      </c>
    </row>
    <row r="2438" spans="1:12" x14ac:dyDescent="0.25">
      <c r="A2438" t="s">
        <v>11</v>
      </c>
      <c r="B2438">
        <v>1128299</v>
      </c>
      <c r="C2438" s="1">
        <v>44303</v>
      </c>
      <c r="D2438" t="s">
        <v>52</v>
      </c>
      <c r="E2438" t="s">
        <v>64</v>
      </c>
      <c r="F2438" t="s">
        <v>65</v>
      </c>
      <c r="G2438" t="s">
        <v>18</v>
      </c>
      <c r="H2438" t="s">
        <v>16</v>
      </c>
      <c r="I2438" s="3">
        <v>60.000000000000007</v>
      </c>
      <c r="J2438" s="2">
        <v>350</v>
      </c>
      <c r="K2438" s="3">
        <f t="shared" si="38"/>
        <v>21000.000000000004</v>
      </c>
      <c r="L2438" s="3">
        <v>13650.000000000004</v>
      </c>
    </row>
    <row r="2439" spans="1:12" x14ac:dyDescent="0.25">
      <c r="A2439" t="s">
        <v>19</v>
      </c>
      <c r="B2439">
        <v>1185732</v>
      </c>
      <c r="C2439" s="1">
        <v>44303</v>
      </c>
      <c r="D2439" t="s">
        <v>52</v>
      </c>
      <c r="E2439" t="s">
        <v>112</v>
      </c>
      <c r="F2439" t="s">
        <v>113</v>
      </c>
      <c r="G2439" t="s">
        <v>41</v>
      </c>
      <c r="H2439" t="s">
        <v>17</v>
      </c>
      <c r="I2439" s="3">
        <v>25</v>
      </c>
      <c r="J2439" s="2">
        <v>375</v>
      </c>
      <c r="K2439" s="3">
        <f t="shared" si="38"/>
        <v>9375</v>
      </c>
      <c r="L2439" s="3">
        <v>6093.75</v>
      </c>
    </row>
    <row r="2440" spans="1:12" x14ac:dyDescent="0.25">
      <c r="A2440" t="s">
        <v>19</v>
      </c>
      <c r="B2440">
        <v>1185732</v>
      </c>
      <c r="C2440" s="1">
        <v>44303</v>
      </c>
      <c r="D2440" t="s">
        <v>52</v>
      </c>
      <c r="E2440" t="s">
        <v>112</v>
      </c>
      <c r="F2440" t="s">
        <v>113</v>
      </c>
      <c r="G2440" t="s">
        <v>41</v>
      </c>
      <c r="H2440" t="s">
        <v>22</v>
      </c>
      <c r="I2440" s="3">
        <v>40</v>
      </c>
      <c r="J2440" s="2">
        <v>325</v>
      </c>
      <c r="K2440" s="3">
        <f t="shared" si="38"/>
        <v>13000</v>
      </c>
      <c r="L2440" s="3">
        <v>8450</v>
      </c>
    </row>
    <row r="2441" spans="1:12" x14ac:dyDescent="0.25">
      <c r="A2441" t="s">
        <v>11</v>
      </c>
      <c r="B2441">
        <v>1128299</v>
      </c>
      <c r="C2441" s="1">
        <v>44303</v>
      </c>
      <c r="D2441" t="s">
        <v>52</v>
      </c>
      <c r="E2441" t="s">
        <v>64</v>
      </c>
      <c r="F2441" t="s">
        <v>65</v>
      </c>
      <c r="G2441" t="s">
        <v>18</v>
      </c>
      <c r="H2441" t="s">
        <v>17</v>
      </c>
      <c r="I2441" s="3">
        <v>55.000000000000007</v>
      </c>
      <c r="J2441" s="2">
        <v>325</v>
      </c>
      <c r="K2441" s="3">
        <f t="shared" si="38"/>
        <v>17875.000000000004</v>
      </c>
      <c r="L2441" s="3">
        <v>10725.000000000004</v>
      </c>
    </row>
    <row r="2442" spans="1:12" x14ac:dyDescent="0.25">
      <c r="A2442" t="s">
        <v>11</v>
      </c>
      <c r="B2442">
        <v>1128299</v>
      </c>
      <c r="C2442" s="1">
        <v>44303</v>
      </c>
      <c r="D2442" t="s">
        <v>52</v>
      </c>
      <c r="E2442" t="s">
        <v>64</v>
      </c>
      <c r="F2442" t="s">
        <v>65</v>
      </c>
      <c r="G2442" t="s">
        <v>18</v>
      </c>
      <c r="H2442" t="s">
        <v>35</v>
      </c>
      <c r="I2442" s="3">
        <v>55.000000000000007</v>
      </c>
      <c r="J2442" s="2">
        <v>375</v>
      </c>
      <c r="K2442" s="3">
        <f t="shared" si="38"/>
        <v>20625.000000000004</v>
      </c>
      <c r="L2442" s="3">
        <v>12375.000000000004</v>
      </c>
    </row>
    <row r="2443" spans="1:12" x14ac:dyDescent="0.25">
      <c r="A2443" t="s">
        <v>11</v>
      </c>
      <c r="B2443">
        <v>1128299</v>
      </c>
      <c r="C2443" s="1">
        <v>44303</v>
      </c>
      <c r="D2443" t="s">
        <v>52</v>
      </c>
      <c r="E2443" t="s">
        <v>64</v>
      </c>
      <c r="F2443" t="s">
        <v>65</v>
      </c>
      <c r="G2443" t="s">
        <v>18</v>
      </c>
      <c r="H2443" t="s">
        <v>37</v>
      </c>
      <c r="I2443" s="3">
        <v>40.000000000000007</v>
      </c>
      <c r="J2443" s="2">
        <v>275</v>
      </c>
      <c r="K2443" s="3">
        <f t="shared" si="38"/>
        <v>11000.000000000002</v>
      </c>
      <c r="L2443" s="3">
        <v>6600.0000000000018</v>
      </c>
    </row>
    <row r="2444" spans="1:12" x14ac:dyDescent="0.25">
      <c r="A2444" t="s">
        <v>11</v>
      </c>
      <c r="B2444">
        <v>1128299</v>
      </c>
      <c r="C2444" s="1">
        <v>44303</v>
      </c>
      <c r="D2444" t="s">
        <v>52</v>
      </c>
      <c r="E2444" t="s">
        <v>64</v>
      </c>
      <c r="F2444" t="s">
        <v>65</v>
      </c>
      <c r="G2444" t="s">
        <v>18</v>
      </c>
      <c r="H2444" t="s">
        <v>38</v>
      </c>
      <c r="I2444" s="3">
        <v>50</v>
      </c>
      <c r="J2444" s="2">
        <v>525</v>
      </c>
      <c r="K2444" s="3">
        <f t="shared" si="38"/>
        <v>26250</v>
      </c>
      <c r="L2444" s="3">
        <v>15750</v>
      </c>
    </row>
    <row r="2445" spans="1:12" x14ac:dyDescent="0.25">
      <c r="A2445" t="s">
        <v>19</v>
      </c>
      <c r="B2445">
        <v>1185732</v>
      </c>
      <c r="C2445" s="1">
        <v>44303</v>
      </c>
      <c r="D2445" t="s">
        <v>52</v>
      </c>
      <c r="E2445" t="s">
        <v>112</v>
      </c>
      <c r="F2445" t="s">
        <v>113</v>
      </c>
      <c r="G2445" t="s">
        <v>41</v>
      </c>
      <c r="H2445" t="s">
        <v>38</v>
      </c>
      <c r="I2445" s="3">
        <v>25</v>
      </c>
      <c r="J2445" s="2">
        <v>675</v>
      </c>
      <c r="K2445" s="3">
        <f t="shared" si="38"/>
        <v>16875</v>
      </c>
      <c r="L2445" s="3">
        <v>10125</v>
      </c>
    </row>
    <row r="2446" spans="1:12" x14ac:dyDescent="0.25">
      <c r="A2446" t="s">
        <v>11</v>
      </c>
      <c r="B2446">
        <v>1185732</v>
      </c>
      <c r="C2446" s="1">
        <v>44303</v>
      </c>
      <c r="D2446" t="s">
        <v>29</v>
      </c>
      <c r="E2446" t="s">
        <v>105</v>
      </c>
      <c r="F2446" t="s">
        <v>47</v>
      </c>
      <c r="G2446" t="s">
        <v>18</v>
      </c>
      <c r="H2446" t="s">
        <v>38</v>
      </c>
      <c r="I2446" s="3">
        <v>30.000000000000004</v>
      </c>
      <c r="J2446" s="2">
        <v>550</v>
      </c>
      <c r="K2446" s="3">
        <f t="shared" si="38"/>
        <v>16500.000000000004</v>
      </c>
      <c r="L2446" s="3">
        <v>9900.0000000000018</v>
      </c>
    </row>
    <row r="2447" spans="1:12" x14ac:dyDescent="0.25">
      <c r="A2447" t="s">
        <v>11</v>
      </c>
      <c r="B2447">
        <v>1185732</v>
      </c>
      <c r="C2447" s="1">
        <v>44303</v>
      </c>
      <c r="D2447" t="s">
        <v>29</v>
      </c>
      <c r="E2447" t="s">
        <v>105</v>
      </c>
      <c r="F2447" t="s">
        <v>47</v>
      </c>
      <c r="G2447" t="s">
        <v>18</v>
      </c>
      <c r="H2447" t="s">
        <v>17</v>
      </c>
      <c r="I2447" s="3">
        <v>30.000000000000004</v>
      </c>
      <c r="J2447" s="2">
        <v>250</v>
      </c>
      <c r="K2447" s="3">
        <f t="shared" si="38"/>
        <v>7500.0000000000009</v>
      </c>
      <c r="L2447" s="3">
        <v>4500.0000000000009</v>
      </c>
    </row>
    <row r="2448" spans="1:12" x14ac:dyDescent="0.25">
      <c r="A2448" t="s">
        <v>11</v>
      </c>
      <c r="B2448">
        <v>1185732</v>
      </c>
      <c r="C2448" s="1">
        <v>44303</v>
      </c>
      <c r="D2448" t="s">
        <v>29</v>
      </c>
      <c r="E2448" t="s">
        <v>105</v>
      </c>
      <c r="F2448" t="s">
        <v>47</v>
      </c>
      <c r="G2448" t="s">
        <v>18</v>
      </c>
      <c r="H2448" t="s">
        <v>35</v>
      </c>
      <c r="I2448" s="3">
        <v>20</v>
      </c>
      <c r="J2448" s="2">
        <v>250</v>
      </c>
      <c r="K2448" s="3">
        <f t="shared" si="38"/>
        <v>5000</v>
      </c>
      <c r="L2448" s="3">
        <v>3000</v>
      </c>
    </row>
    <row r="2449" spans="1:12" x14ac:dyDescent="0.25">
      <c r="A2449" t="s">
        <v>11</v>
      </c>
      <c r="B2449">
        <v>1185732</v>
      </c>
      <c r="C2449" s="1">
        <v>44303</v>
      </c>
      <c r="D2449" t="s">
        <v>29</v>
      </c>
      <c r="E2449" t="s">
        <v>105</v>
      </c>
      <c r="F2449" t="s">
        <v>47</v>
      </c>
      <c r="G2449" t="s">
        <v>18</v>
      </c>
      <c r="H2449" t="s">
        <v>22</v>
      </c>
      <c r="I2449" s="3">
        <v>65</v>
      </c>
      <c r="J2449" s="2">
        <v>200</v>
      </c>
      <c r="K2449" s="3">
        <f t="shared" si="38"/>
        <v>13000</v>
      </c>
      <c r="L2449" s="3">
        <v>7800</v>
      </c>
    </row>
    <row r="2450" spans="1:12" x14ac:dyDescent="0.25">
      <c r="A2450" t="s">
        <v>11</v>
      </c>
      <c r="B2450">
        <v>1185732</v>
      </c>
      <c r="C2450" s="1">
        <v>44303</v>
      </c>
      <c r="D2450" t="s">
        <v>29</v>
      </c>
      <c r="E2450" t="s">
        <v>105</v>
      </c>
      <c r="F2450" t="s">
        <v>47</v>
      </c>
      <c r="G2450" t="s">
        <v>18</v>
      </c>
      <c r="H2450" t="s">
        <v>16</v>
      </c>
      <c r="I2450" s="3">
        <v>50</v>
      </c>
      <c r="J2450" s="2">
        <v>325</v>
      </c>
      <c r="K2450" s="3">
        <f t="shared" si="38"/>
        <v>16250</v>
      </c>
      <c r="L2450" s="3">
        <v>9750</v>
      </c>
    </row>
    <row r="2451" spans="1:12" x14ac:dyDescent="0.25">
      <c r="A2451" t="s">
        <v>19</v>
      </c>
      <c r="B2451">
        <v>1185732</v>
      </c>
      <c r="C2451" s="1">
        <v>44303</v>
      </c>
      <c r="D2451" t="s">
        <v>52</v>
      </c>
      <c r="E2451" t="s">
        <v>112</v>
      </c>
      <c r="F2451" t="s">
        <v>113</v>
      </c>
      <c r="G2451" t="s">
        <v>41</v>
      </c>
      <c r="H2451" t="s">
        <v>35</v>
      </c>
      <c r="I2451" s="3">
        <v>15.000000000000002</v>
      </c>
      <c r="J2451" s="2">
        <v>375</v>
      </c>
      <c r="K2451" s="3">
        <f t="shared" si="38"/>
        <v>5625.0000000000009</v>
      </c>
      <c r="L2451" s="3">
        <v>3375</v>
      </c>
    </row>
    <row r="2452" spans="1:12" x14ac:dyDescent="0.25">
      <c r="A2452" t="s">
        <v>19</v>
      </c>
      <c r="B2452">
        <v>1185732</v>
      </c>
      <c r="C2452" s="1">
        <v>44303</v>
      </c>
      <c r="D2452" t="s">
        <v>52</v>
      </c>
      <c r="E2452" t="s">
        <v>112</v>
      </c>
      <c r="F2452" t="s">
        <v>113</v>
      </c>
      <c r="G2452" t="s">
        <v>41</v>
      </c>
      <c r="H2452" t="s">
        <v>37</v>
      </c>
      <c r="I2452" s="3">
        <v>19.999999999999996</v>
      </c>
      <c r="J2452" s="2">
        <v>300</v>
      </c>
      <c r="K2452" s="3">
        <f t="shared" si="38"/>
        <v>5999.9999999999991</v>
      </c>
      <c r="L2452" s="3">
        <v>3599.9999999999991</v>
      </c>
    </row>
    <row r="2453" spans="1:12" x14ac:dyDescent="0.25">
      <c r="A2453" t="s">
        <v>11</v>
      </c>
      <c r="B2453">
        <v>1185732</v>
      </c>
      <c r="C2453" s="1">
        <v>44303</v>
      </c>
      <c r="D2453" t="s">
        <v>29</v>
      </c>
      <c r="E2453" t="s">
        <v>105</v>
      </c>
      <c r="F2453" t="s">
        <v>47</v>
      </c>
      <c r="G2453" t="s">
        <v>18</v>
      </c>
      <c r="H2453" t="s">
        <v>37</v>
      </c>
      <c r="I2453" s="3">
        <v>24.999999999999993</v>
      </c>
      <c r="J2453" s="2">
        <v>175</v>
      </c>
      <c r="K2453" s="3">
        <f t="shared" si="38"/>
        <v>4374.9999999999991</v>
      </c>
      <c r="L2453" s="3">
        <v>2624.9999999999991</v>
      </c>
    </row>
    <row r="2454" spans="1:12" x14ac:dyDescent="0.25">
      <c r="A2454" t="s">
        <v>26</v>
      </c>
      <c r="B2454">
        <v>1197831</v>
      </c>
      <c r="C2454" s="1">
        <v>44303</v>
      </c>
      <c r="D2454" t="s">
        <v>52</v>
      </c>
      <c r="E2454" t="s">
        <v>97</v>
      </c>
      <c r="F2454" t="s">
        <v>98</v>
      </c>
      <c r="G2454" t="s">
        <v>15</v>
      </c>
      <c r="H2454" t="s">
        <v>35</v>
      </c>
      <c r="I2454" s="3">
        <v>40</v>
      </c>
      <c r="J2454" s="2">
        <v>975</v>
      </c>
      <c r="K2454" s="3">
        <f t="shared" si="38"/>
        <v>39000</v>
      </c>
      <c r="L2454" s="3">
        <v>21450.000000000004</v>
      </c>
    </row>
    <row r="2455" spans="1:12" x14ac:dyDescent="0.25">
      <c r="A2455" t="s">
        <v>23</v>
      </c>
      <c r="B2455">
        <v>1128299</v>
      </c>
      <c r="C2455" s="1">
        <v>44303</v>
      </c>
      <c r="D2455" t="s">
        <v>32</v>
      </c>
      <c r="E2455" t="s">
        <v>33</v>
      </c>
      <c r="F2455" t="s">
        <v>34</v>
      </c>
      <c r="G2455" t="s">
        <v>15</v>
      </c>
      <c r="H2455" t="s">
        <v>16</v>
      </c>
      <c r="I2455" s="3">
        <v>75.000000000000014</v>
      </c>
      <c r="J2455" s="2">
        <v>375</v>
      </c>
      <c r="K2455" s="3">
        <f t="shared" si="38"/>
        <v>28125.000000000004</v>
      </c>
      <c r="L2455" s="3">
        <v>15468.750000000004</v>
      </c>
    </row>
    <row r="2456" spans="1:12" x14ac:dyDescent="0.25">
      <c r="A2456" t="s">
        <v>11</v>
      </c>
      <c r="B2456">
        <v>1128299</v>
      </c>
      <c r="C2456" s="1">
        <v>44303</v>
      </c>
      <c r="D2456" t="s">
        <v>52</v>
      </c>
      <c r="E2456" t="s">
        <v>64</v>
      </c>
      <c r="F2456" t="s">
        <v>65</v>
      </c>
      <c r="G2456" t="s">
        <v>18</v>
      </c>
      <c r="H2456" t="s">
        <v>22</v>
      </c>
      <c r="I2456" s="3">
        <v>45.000000000000014</v>
      </c>
      <c r="J2456" s="2">
        <v>175</v>
      </c>
      <c r="K2456" s="3">
        <f t="shared" si="38"/>
        <v>7875.0000000000027</v>
      </c>
      <c r="L2456" s="3">
        <v>4331.2500000000018</v>
      </c>
    </row>
    <row r="2457" spans="1:12" x14ac:dyDescent="0.25">
      <c r="A2457" t="s">
        <v>19</v>
      </c>
      <c r="B2457">
        <v>1185732</v>
      </c>
      <c r="C2457" s="1">
        <v>44303</v>
      </c>
      <c r="D2457" t="s">
        <v>52</v>
      </c>
      <c r="E2457" t="s">
        <v>112</v>
      </c>
      <c r="F2457" t="s">
        <v>113</v>
      </c>
      <c r="G2457" t="s">
        <v>41</v>
      </c>
      <c r="H2457" t="s">
        <v>16</v>
      </c>
      <c r="I2457" s="3">
        <v>30.000000000000004</v>
      </c>
      <c r="J2457" s="2">
        <v>475</v>
      </c>
      <c r="K2457" s="3">
        <f t="shared" si="38"/>
        <v>14250.000000000002</v>
      </c>
      <c r="L2457" s="3">
        <v>7125.0000000000018</v>
      </c>
    </row>
    <row r="2458" spans="1:12" x14ac:dyDescent="0.25">
      <c r="A2458" t="s">
        <v>27</v>
      </c>
      <c r="B2458">
        <v>1189833</v>
      </c>
      <c r="C2458" s="1">
        <v>44303</v>
      </c>
      <c r="D2458" t="s">
        <v>12</v>
      </c>
      <c r="E2458" t="s">
        <v>13</v>
      </c>
      <c r="F2458" t="s">
        <v>28</v>
      </c>
      <c r="G2458" t="s">
        <v>15</v>
      </c>
      <c r="H2458" t="s">
        <v>22</v>
      </c>
      <c r="I2458" s="3">
        <v>50</v>
      </c>
      <c r="J2458" s="2">
        <v>450</v>
      </c>
      <c r="K2458" s="3">
        <f t="shared" si="38"/>
        <v>22500</v>
      </c>
      <c r="L2458" s="3">
        <v>10124.999999999998</v>
      </c>
    </row>
    <row r="2459" spans="1:12" x14ac:dyDescent="0.25">
      <c r="A2459" t="s">
        <v>23</v>
      </c>
      <c r="B2459">
        <v>1128299</v>
      </c>
      <c r="C2459" s="1">
        <v>44303</v>
      </c>
      <c r="D2459" t="s">
        <v>32</v>
      </c>
      <c r="E2459" t="s">
        <v>33</v>
      </c>
      <c r="F2459" t="s">
        <v>34</v>
      </c>
      <c r="G2459" t="s">
        <v>15</v>
      </c>
      <c r="H2459" t="s">
        <v>22</v>
      </c>
      <c r="I2459" s="3">
        <v>47</v>
      </c>
      <c r="J2459" s="2">
        <v>60</v>
      </c>
      <c r="K2459" s="3">
        <f t="shared" si="38"/>
        <v>2820</v>
      </c>
      <c r="L2459" s="3">
        <v>2199.6</v>
      </c>
    </row>
    <row r="2460" spans="1:12" x14ac:dyDescent="0.25">
      <c r="A2460" t="s">
        <v>23</v>
      </c>
      <c r="B2460">
        <v>1128299</v>
      </c>
      <c r="C2460" s="1">
        <v>44303</v>
      </c>
      <c r="D2460" t="s">
        <v>32</v>
      </c>
      <c r="E2460" t="s">
        <v>33</v>
      </c>
      <c r="F2460" t="s">
        <v>34</v>
      </c>
      <c r="G2460" t="s">
        <v>15</v>
      </c>
      <c r="H2460" t="s">
        <v>17</v>
      </c>
      <c r="I2460" s="3">
        <v>51</v>
      </c>
      <c r="J2460" s="2">
        <v>105</v>
      </c>
      <c r="K2460" s="3">
        <f t="shared" si="38"/>
        <v>5355</v>
      </c>
      <c r="L2460" s="3">
        <v>3909.1499999999996</v>
      </c>
    </row>
    <row r="2461" spans="1:12" x14ac:dyDescent="0.25">
      <c r="A2461" t="s">
        <v>23</v>
      </c>
      <c r="B2461">
        <v>1128299</v>
      </c>
      <c r="C2461" s="1">
        <v>44303</v>
      </c>
      <c r="D2461" t="s">
        <v>32</v>
      </c>
      <c r="E2461" t="s">
        <v>33</v>
      </c>
      <c r="F2461" t="s">
        <v>34</v>
      </c>
      <c r="G2461" t="s">
        <v>15</v>
      </c>
      <c r="H2461" t="s">
        <v>35</v>
      </c>
      <c r="I2461" s="3">
        <v>49</v>
      </c>
      <c r="J2461" s="2">
        <v>132</v>
      </c>
      <c r="K2461" s="3">
        <f t="shared" si="38"/>
        <v>6468</v>
      </c>
      <c r="L2461" s="3">
        <v>4268.88</v>
      </c>
    </row>
    <row r="2462" spans="1:12" x14ac:dyDescent="0.25">
      <c r="A2462" t="s">
        <v>23</v>
      </c>
      <c r="B2462">
        <v>1128299</v>
      </c>
      <c r="C2462" s="1">
        <v>44303</v>
      </c>
      <c r="D2462" t="s">
        <v>32</v>
      </c>
      <c r="E2462" t="s">
        <v>33</v>
      </c>
      <c r="F2462" t="s">
        <v>34</v>
      </c>
      <c r="G2462" t="s">
        <v>41</v>
      </c>
      <c r="H2462" t="s">
        <v>17</v>
      </c>
      <c r="I2462" s="3">
        <v>66</v>
      </c>
      <c r="J2462" s="2">
        <v>98</v>
      </c>
      <c r="K2462" s="3">
        <f t="shared" si="38"/>
        <v>6468</v>
      </c>
      <c r="L2462" s="3">
        <v>4204.2000000000007</v>
      </c>
    </row>
    <row r="2463" spans="1:12" x14ac:dyDescent="0.25">
      <c r="A2463" t="s">
        <v>23</v>
      </c>
      <c r="B2463">
        <v>1128299</v>
      </c>
      <c r="C2463" s="1">
        <v>44303</v>
      </c>
      <c r="D2463" t="s">
        <v>32</v>
      </c>
      <c r="E2463" t="s">
        <v>33</v>
      </c>
      <c r="F2463" t="s">
        <v>34</v>
      </c>
      <c r="G2463" t="s">
        <v>41</v>
      </c>
      <c r="H2463" t="s">
        <v>22</v>
      </c>
      <c r="I2463" s="3">
        <v>59</v>
      </c>
      <c r="J2463" s="2">
        <v>58</v>
      </c>
      <c r="K2463" s="3">
        <f t="shared" si="38"/>
        <v>3422</v>
      </c>
      <c r="L2463" s="3">
        <v>2224.3000000000002</v>
      </c>
    </row>
    <row r="2464" spans="1:12" x14ac:dyDescent="0.25">
      <c r="A2464" t="s">
        <v>23</v>
      </c>
      <c r="B2464">
        <v>1128299</v>
      </c>
      <c r="C2464" s="1">
        <v>44303</v>
      </c>
      <c r="D2464" t="s">
        <v>32</v>
      </c>
      <c r="E2464" t="s">
        <v>33</v>
      </c>
      <c r="F2464" t="s">
        <v>34</v>
      </c>
      <c r="G2464" t="s">
        <v>15</v>
      </c>
      <c r="H2464" t="s">
        <v>37</v>
      </c>
      <c r="I2464" s="3">
        <v>41</v>
      </c>
      <c r="J2464" s="2">
        <v>90</v>
      </c>
      <c r="K2464" s="3">
        <f t="shared" si="38"/>
        <v>3690</v>
      </c>
      <c r="L2464" s="3">
        <v>2398.5</v>
      </c>
    </row>
    <row r="2465" spans="1:12" x14ac:dyDescent="0.25">
      <c r="A2465" t="s">
        <v>23</v>
      </c>
      <c r="B2465">
        <v>1128299</v>
      </c>
      <c r="C2465" s="1">
        <v>44303</v>
      </c>
      <c r="D2465" t="s">
        <v>32</v>
      </c>
      <c r="E2465" t="s">
        <v>33</v>
      </c>
      <c r="F2465" t="s">
        <v>34</v>
      </c>
      <c r="G2465" t="s">
        <v>15</v>
      </c>
      <c r="H2465" t="s">
        <v>38</v>
      </c>
      <c r="I2465" s="3">
        <v>47</v>
      </c>
      <c r="J2465" s="2">
        <v>171</v>
      </c>
      <c r="K2465" s="3">
        <f t="shared" si="38"/>
        <v>8037</v>
      </c>
      <c r="L2465" s="3">
        <v>5143.68</v>
      </c>
    </row>
    <row r="2466" spans="1:12" x14ac:dyDescent="0.25">
      <c r="A2466" t="s">
        <v>11</v>
      </c>
      <c r="B2466">
        <v>1128299</v>
      </c>
      <c r="C2466" s="1">
        <v>44303</v>
      </c>
      <c r="D2466" t="s">
        <v>52</v>
      </c>
      <c r="E2466" t="s">
        <v>64</v>
      </c>
      <c r="F2466" t="s">
        <v>65</v>
      </c>
      <c r="G2466" t="s">
        <v>15</v>
      </c>
      <c r="H2466" t="s">
        <v>16</v>
      </c>
      <c r="I2466" s="3">
        <v>39</v>
      </c>
      <c r="J2466" s="2">
        <v>123</v>
      </c>
      <c r="K2466" s="3">
        <f t="shared" si="38"/>
        <v>4797</v>
      </c>
      <c r="L2466" s="3">
        <v>3022.11</v>
      </c>
    </row>
    <row r="2467" spans="1:12" x14ac:dyDescent="0.25">
      <c r="A2467" t="s">
        <v>19</v>
      </c>
      <c r="B2467">
        <v>1185732</v>
      </c>
      <c r="C2467" s="1">
        <v>44303</v>
      </c>
      <c r="D2467" t="s">
        <v>52</v>
      </c>
      <c r="E2467" t="s">
        <v>112</v>
      </c>
      <c r="F2467" t="s">
        <v>113</v>
      </c>
      <c r="G2467" t="s">
        <v>15</v>
      </c>
      <c r="H2467" t="s">
        <v>17</v>
      </c>
      <c r="I2467" s="3">
        <v>20</v>
      </c>
      <c r="J2467" s="2">
        <v>116</v>
      </c>
      <c r="K2467" s="3">
        <f t="shared" si="38"/>
        <v>2320</v>
      </c>
      <c r="L2467" s="3">
        <v>1392</v>
      </c>
    </row>
    <row r="2468" spans="1:12" x14ac:dyDescent="0.25">
      <c r="A2468" t="s">
        <v>19</v>
      </c>
      <c r="B2468">
        <v>1185732</v>
      </c>
      <c r="C2468" s="1">
        <v>44303</v>
      </c>
      <c r="D2468" t="s">
        <v>52</v>
      </c>
      <c r="E2468" t="s">
        <v>112</v>
      </c>
      <c r="F2468" t="s">
        <v>113</v>
      </c>
      <c r="G2468" t="s">
        <v>15</v>
      </c>
      <c r="H2468" t="s">
        <v>22</v>
      </c>
      <c r="I2468" s="3">
        <v>30</v>
      </c>
      <c r="J2468" s="2">
        <v>98</v>
      </c>
      <c r="K2468" s="3">
        <f t="shared" si="38"/>
        <v>2940</v>
      </c>
      <c r="L2468" s="3">
        <v>1764</v>
      </c>
    </row>
    <row r="2469" spans="1:12" x14ac:dyDescent="0.25">
      <c r="A2469" t="s">
        <v>23</v>
      </c>
      <c r="B2469">
        <v>1128299</v>
      </c>
      <c r="C2469" s="1">
        <v>44303</v>
      </c>
      <c r="D2469" t="s">
        <v>32</v>
      </c>
      <c r="E2469" t="s">
        <v>33</v>
      </c>
      <c r="F2469" t="s">
        <v>34</v>
      </c>
      <c r="G2469" t="s">
        <v>41</v>
      </c>
      <c r="H2469" t="s">
        <v>35</v>
      </c>
      <c r="I2469" s="3">
        <v>66</v>
      </c>
      <c r="J2469" s="2">
        <v>120</v>
      </c>
      <c r="K2469" s="3">
        <f t="shared" si="38"/>
        <v>7920</v>
      </c>
      <c r="L2469" s="3">
        <v>4672.8</v>
      </c>
    </row>
    <row r="2470" spans="1:12" x14ac:dyDescent="0.25">
      <c r="A2470" t="s">
        <v>11</v>
      </c>
      <c r="B2470">
        <v>1128299</v>
      </c>
      <c r="C2470" s="1">
        <v>44303</v>
      </c>
      <c r="D2470" t="s">
        <v>52</v>
      </c>
      <c r="E2470" t="s">
        <v>64</v>
      </c>
      <c r="F2470" t="s">
        <v>65</v>
      </c>
      <c r="G2470" t="s">
        <v>15</v>
      </c>
      <c r="H2470" t="s">
        <v>35</v>
      </c>
      <c r="I2470" s="3">
        <v>40</v>
      </c>
      <c r="J2470" s="2">
        <v>120</v>
      </c>
      <c r="K2470" s="3">
        <f t="shared" si="38"/>
        <v>4800</v>
      </c>
      <c r="L2470" s="3">
        <v>2784</v>
      </c>
    </row>
    <row r="2471" spans="1:12" x14ac:dyDescent="0.25">
      <c r="A2471" t="s">
        <v>23</v>
      </c>
      <c r="B2471">
        <v>1128299</v>
      </c>
      <c r="C2471" s="1">
        <v>44303</v>
      </c>
      <c r="D2471" t="s">
        <v>32</v>
      </c>
      <c r="E2471" t="s">
        <v>33</v>
      </c>
      <c r="F2471" t="s">
        <v>34</v>
      </c>
      <c r="G2471" t="s">
        <v>41</v>
      </c>
      <c r="H2471" t="s">
        <v>38</v>
      </c>
      <c r="I2471" s="3">
        <v>62</v>
      </c>
      <c r="J2471" s="2">
        <v>138</v>
      </c>
      <c r="K2471" s="3">
        <f t="shared" si="38"/>
        <v>8556</v>
      </c>
      <c r="L2471" s="3">
        <v>4962.4799999999996</v>
      </c>
    </row>
    <row r="2472" spans="1:12" x14ac:dyDescent="0.25">
      <c r="A2472" t="s">
        <v>19</v>
      </c>
      <c r="B2472">
        <v>1185732</v>
      </c>
      <c r="C2472" s="1">
        <v>44303</v>
      </c>
      <c r="D2472" t="s">
        <v>52</v>
      </c>
      <c r="E2472" t="s">
        <v>112</v>
      </c>
      <c r="F2472" t="s">
        <v>113</v>
      </c>
      <c r="G2472" t="s">
        <v>15</v>
      </c>
      <c r="H2472" t="s">
        <v>37</v>
      </c>
      <c r="I2472" s="3">
        <v>16</v>
      </c>
      <c r="J2472" s="2">
        <v>96</v>
      </c>
      <c r="K2472" s="3">
        <f t="shared" si="38"/>
        <v>1536</v>
      </c>
      <c r="L2472" s="3">
        <v>875.52</v>
      </c>
    </row>
    <row r="2473" spans="1:12" x14ac:dyDescent="0.25">
      <c r="A2473" t="s">
        <v>19</v>
      </c>
      <c r="B2473">
        <v>1185732</v>
      </c>
      <c r="C2473" s="1">
        <v>44303</v>
      </c>
      <c r="D2473" t="s">
        <v>52</v>
      </c>
      <c r="E2473" t="s">
        <v>112</v>
      </c>
      <c r="F2473" t="s">
        <v>113</v>
      </c>
      <c r="G2473" t="s">
        <v>15</v>
      </c>
      <c r="H2473" t="s">
        <v>38</v>
      </c>
      <c r="I2473" s="3">
        <v>19</v>
      </c>
      <c r="J2473" s="2">
        <v>223</v>
      </c>
      <c r="K2473" s="3">
        <f t="shared" si="38"/>
        <v>4237</v>
      </c>
      <c r="L2473" s="3">
        <v>2372.7200000000003</v>
      </c>
    </row>
    <row r="2474" spans="1:12" x14ac:dyDescent="0.25">
      <c r="A2474" t="s">
        <v>23</v>
      </c>
      <c r="B2474">
        <v>1128299</v>
      </c>
      <c r="C2474" s="1">
        <v>44303</v>
      </c>
      <c r="D2474" t="s">
        <v>32</v>
      </c>
      <c r="E2474" t="s">
        <v>33</v>
      </c>
      <c r="F2474" t="s">
        <v>34</v>
      </c>
      <c r="G2474" t="s">
        <v>41</v>
      </c>
      <c r="H2474" t="s">
        <v>37</v>
      </c>
      <c r="I2474" s="3">
        <v>52</v>
      </c>
      <c r="J2474" s="2">
        <v>84</v>
      </c>
      <c r="K2474" s="3">
        <f t="shared" si="38"/>
        <v>4368</v>
      </c>
      <c r="L2474" s="3">
        <v>2402.4</v>
      </c>
    </row>
    <row r="2475" spans="1:12" x14ac:dyDescent="0.25">
      <c r="A2475" t="s">
        <v>11</v>
      </c>
      <c r="B2475">
        <v>1128299</v>
      </c>
      <c r="C2475" s="1">
        <v>44303</v>
      </c>
      <c r="D2475" t="s">
        <v>52</v>
      </c>
      <c r="E2475" t="s">
        <v>64</v>
      </c>
      <c r="F2475" t="s">
        <v>65</v>
      </c>
      <c r="G2475" t="s">
        <v>15</v>
      </c>
      <c r="H2475" t="s">
        <v>37</v>
      </c>
      <c r="I2475" s="3">
        <v>27</v>
      </c>
      <c r="J2475" s="2">
        <v>91</v>
      </c>
      <c r="K2475" s="3">
        <f t="shared" si="38"/>
        <v>2457</v>
      </c>
      <c r="L2475" s="3">
        <v>1351.3500000000001</v>
      </c>
    </row>
    <row r="2476" spans="1:12" x14ac:dyDescent="0.25">
      <c r="A2476" t="s">
        <v>19</v>
      </c>
      <c r="B2476">
        <v>1185732</v>
      </c>
      <c r="C2476" s="1">
        <v>44303</v>
      </c>
      <c r="D2476" t="s">
        <v>52</v>
      </c>
      <c r="E2476" t="s">
        <v>112</v>
      </c>
      <c r="F2476" t="s">
        <v>113</v>
      </c>
      <c r="G2476" t="s">
        <v>15</v>
      </c>
      <c r="H2476" t="s">
        <v>35</v>
      </c>
      <c r="I2476" s="3">
        <v>11</v>
      </c>
      <c r="J2476" s="2">
        <v>124</v>
      </c>
      <c r="K2476" s="3">
        <f t="shared" si="38"/>
        <v>1364</v>
      </c>
      <c r="L2476" s="3">
        <v>750.19999999999993</v>
      </c>
    </row>
    <row r="2477" spans="1:12" x14ac:dyDescent="0.25">
      <c r="A2477" t="s">
        <v>11</v>
      </c>
      <c r="B2477">
        <v>1128299</v>
      </c>
      <c r="C2477" s="1">
        <v>44303</v>
      </c>
      <c r="D2477" t="s">
        <v>52</v>
      </c>
      <c r="E2477" t="s">
        <v>64</v>
      </c>
      <c r="F2477" t="s">
        <v>65</v>
      </c>
      <c r="G2477" t="s">
        <v>15</v>
      </c>
      <c r="H2477" t="s">
        <v>17</v>
      </c>
      <c r="I2477" s="3">
        <v>36</v>
      </c>
      <c r="J2477" s="2">
        <v>107</v>
      </c>
      <c r="K2477" s="3">
        <f t="shared" si="38"/>
        <v>3852</v>
      </c>
      <c r="L2477" s="3">
        <v>2080.08</v>
      </c>
    </row>
    <row r="2478" spans="1:12" x14ac:dyDescent="0.25">
      <c r="A2478" t="s">
        <v>11</v>
      </c>
      <c r="B2478">
        <v>1128299</v>
      </c>
      <c r="C2478" s="1">
        <v>44303</v>
      </c>
      <c r="D2478" t="s">
        <v>52</v>
      </c>
      <c r="E2478" t="s">
        <v>64</v>
      </c>
      <c r="F2478" t="s">
        <v>65</v>
      </c>
      <c r="G2478" t="s">
        <v>15</v>
      </c>
      <c r="H2478" t="s">
        <v>38</v>
      </c>
      <c r="I2478" s="3">
        <v>38</v>
      </c>
      <c r="J2478" s="2">
        <v>168</v>
      </c>
      <c r="K2478" s="3">
        <f t="shared" si="38"/>
        <v>6384</v>
      </c>
      <c r="L2478" s="3">
        <v>3383.52</v>
      </c>
    </row>
    <row r="2479" spans="1:12" x14ac:dyDescent="0.25">
      <c r="A2479" t="s">
        <v>19</v>
      </c>
      <c r="B2479">
        <v>1185732</v>
      </c>
      <c r="C2479" s="1">
        <v>44303</v>
      </c>
      <c r="D2479" t="s">
        <v>52</v>
      </c>
      <c r="E2479" t="s">
        <v>112</v>
      </c>
      <c r="F2479" t="s">
        <v>113</v>
      </c>
      <c r="G2479" t="s">
        <v>41</v>
      </c>
      <c r="H2479" t="s">
        <v>22</v>
      </c>
      <c r="I2479" s="3">
        <v>38</v>
      </c>
      <c r="J2479" s="2">
        <v>81</v>
      </c>
      <c r="K2479" s="3">
        <f t="shared" si="38"/>
        <v>3078</v>
      </c>
      <c r="L2479" s="3">
        <v>1600.56</v>
      </c>
    </row>
    <row r="2480" spans="1:12" x14ac:dyDescent="0.25">
      <c r="A2480" t="s">
        <v>26</v>
      </c>
      <c r="B2480">
        <v>1197831</v>
      </c>
      <c r="C2480" s="1">
        <v>44303</v>
      </c>
      <c r="D2480" t="s">
        <v>52</v>
      </c>
      <c r="E2480" t="s">
        <v>97</v>
      </c>
      <c r="F2480" t="s">
        <v>98</v>
      </c>
      <c r="G2480" t="s">
        <v>15</v>
      </c>
      <c r="H2480" t="s">
        <v>35</v>
      </c>
      <c r="I2480" s="3">
        <v>30</v>
      </c>
      <c r="J2480" s="2">
        <v>322</v>
      </c>
      <c r="K2480" s="3">
        <f t="shared" si="38"/>
        <v>9660</v>
      </c>
      <c r="L2480" s="3">
        <v>4830.0000000000009</v>
      </c>
    </row>
    <row r="2481" spans="1:12" x14ac:dyDescent="0.25">
      <c r="A2481" t="s">
        <v>11</v>
      </c>
      <c r="B2481">
        <v>1128299</v>
      </c>
      <c r="C2481" s="1">
        <v>44303</v>
      </c>
      <c r="D2481" t="s">
        <v>52</v>
      </c>
      <c r="E2481" t="s">
        <v>64</v>
      </c>
      <c r="F2481" t="s">
        <v>65</v>
      </c>
      <c r="G2481" t="s">
        <v>41</v>
      </c>
      <c r="H2481" t="s">
        <v>17</v>
      </c>
      <c r="I2481" s="3">
        <v>52</v>
      </c>
      <c r="J2481" s="2">
        <v>88</v>
      </c>
      <c r="K2481" s="3">
        <f t="shared" si="38"/>
        <v>4576</v>
      </c>
      <c r="L2481" s="3">
        <v>2288</v>
      </c>
    </row>
    <row r="2482" spans="1:12" x14ac:dyDescent="0.25">
      <c r="A2482" t="s">
        <v>11</v>
      </c>
      <c r="B2482">
        <v>1128299</v>
      </c>
      <c r="C2482" s="1">
        <v>44303</v>
      </c>
      <c r="D2482" t="s">
        <v>52</v>
      </c>
      <c r="E2482" t="s">
        <v>64</v>
      </c>
      <c r="F2482" t="s">
        <v>65</v>
      </c>
      <c r="G2482" t="s">
        <v>41</v>
      </c>
      <c r="H2482" t="s">
        <v>16</v>
      </c>
      <c r="I2482" s="3">
        <v>55</v>
      </c>
      <c r="J2482" s="2">
        <v>105</v>
      </c>
      <c r="K2482" s="3">
        <f t="shared" si="38"/>
        <v>5775</v>
      </c>
      <c r="L2482" s="3">
        <v>2887.5</v>
      </c>
    </row>
    <row r="2483" spans="1:12" x14ac:dyDescent="0.25">
      <c r="A2483" t="s">
        <v>19</v>
      </c>
      <c r="B2483">
        <v>1185732</v>
      </c>
      <c r="C2483" s="1">
        <v>44303</v>
      </c>
      <c r="D2483" t="s">
        <v>52</v>
      </c>
      <c r="E2483" t="s">
        <v>112</v>
      </c>
      <c r="F2483" t="s">
        <v>113</v>
      </c>
      <c r="G2483" t="s">
        <v>41</v>
      </c>
      <c r="H2483" t="s">
        <v>17</v>
      </c>
      <c r="I2483" s="3">
        <v>23</v>
      </c>
      <c r="J2483" s="2">
        <v>109</v>
      </c>
      <c r="K2483" s="3">
        <f t="shared" si="38"/>
        <v>2507</v>
      </c>
      <c r="L2483" s="3">
        <v>1253.5</v>
      </c>
    </row>
    <row r="2484" spans="1:12" x14ac:dyDescent="0.25">
      <c r="A2484" t="s">
        <v>23</v>
      </c>
      <c r="B2484">
        <v>1128299</v>
      </c>
      <c r="C2484" s="1">
        <v>44303</v>
      </c>
      <c r="D2484" t="s">
        <v>32</v>
      </c>
      <c r="E2484" t="s">
        <v>33</v>
      </c>
      <c r="F2484" t="s">
        <v>34</v>
      </c>
      <c r="G2484" t="s">
        <v>15</v>
      </c>
      <c r="H2484" t="s">
        <v>16</v>
      </c>
      <c r="I2484" s="3">
        <v>57</v>
      </c>
      <c r="J2484" s="2">
        <v>113</v>
      </c>
      <c r="K2484" s="3">
        <f t="shared" si="38"/>
        <v>6441</v>
      </c>
      <c r="L2484" s="3">
        <v>3220.5</v>
      </c>
    </row>
    <row r="2485" spans="1:12" x14ac:dyDescent="0.25">
      <c r="A2485" t="s">
        <v>11</v>
      </c>
      <c r="B2485">
        <v>1128299</v>
      </c>
      <c r="C2485" s="1">
        <v>44303</v>
      </c>
      <c r="D2485" t="s">
        <v>52</v>
      </c>
      <c r="E2485" t="s">
        <v>64</v>
      </c>
      <c r="F2485" t="s">
        <v>65</v>
      </c>
      <c r="G2485" t="s">
        <v>41</v>
      </c>
      <c r="H2485" t="s">
        <v>35</v>
      </c>
      <c r="I2485" s="3">
        <v>52</v>
      </c>
      <c r="J2485" s="2">
        <v>105</v>
      </c>
      <c r="K2485" s="3">
        <f t="shared" si="38"/>
        <v>5460</v>
      </c>
      <c r="L2485" s="3">
        <v>2675.4</v>
      </c>
    </row>
    <row r="2486" spans="1:12" x14ac:dyDescent="0.25">
      <c r="A2486" t="s">
        <v>11</v>
      </c>
      <c r="B2486">
        <v>1185732</v>
      </c>
      <c r="C2486" s="1">
        <v>44303</v>
      </c>
      <c r="D2486" t="s">
        <v>29</v>
      </c>
      <c r="E2486" t="s">
        <v>105</v>
      </c>
      <c r="F2486" t="s">
        <v>47</v>
      </c>
      <c r="G2486" t="s">
        <v>41</v>
      </c>
      <c r="H2486" t="s">
        <v>38</v>
      </c>
      <c r="I2486" s="3">
        <v>27</v>
      </c>
      <c r="J2486" s="2">
        <v>143</v>
      </c>
      <c r="K2486" s="3">
        <f t="shared" si="38"/>
        <v>3861</v>
      </c>
      <c r="L2486" s="3">
        <v>1891.8899999999999</v>
      </c>
    </row>
    <row r="2487" spans="1:12" x14ac:dyDescent="0.25">
      <c r="A2487" t="s">
        <v>11</v>
      </c>
      <c r="B2487">
        <v>1185732</v>
      </c>
      <c r="C2487" s="1">
        <v>44303</v>
      </c>
      <c r="D2487" t="s">
        <v>29</v>
      </c>
      <c r="E2487" t="s">
        <v>105</v>
      </c>
      <c r="F2487" t="s">
        <v>47</v>
      </c>
      <c r="G2487" t="s">
        <v>41</v>
      </c>
      <c r="H2487" t="s">
        <v>16</v>
      </c>
      <c r="I2487" s="3">
        <v>47</v>
      </c>
      <c r="J2487" s="2">
        <v>94</v>
      </c>
      <c r="K2487" s="3">
        <f t="shared" si="38"/>
        <v>4418</v>
      </c>
      <c r="L2487" s="3">
        <v>2164.8200000000002</v>
      </c>
    </row>
    <row r="2488" spans="1:12" x14ac:dyDescent="0.25">
      <c r="A2488" t="s">
        <v>11</v>
      </c>
      <c r="B2488">
        <v>1128299</v>
      </c>
      <c r="C2488" s="1">
        <v>44303</v>
      </c>
      <c r="D2488" t="s">
        <v>52</v>
      </c>
      <c r="E2488" t="s">
        <v>64</v>
      </c>
      <c r="F2488" t="s">
        <v>65</v>
      </c>
      <c r="G2488" t="s">
        <v>15</v>
      </c>
      <c r="H2488" t="s">
        <v>22</v>
      </c>
      <c r="I2488" s="3">
        <v>34</v>
      </c>
      <c r="J2488" s="2">
        <v>56</v>
      </c>
      <c r="K2488" s="3">
        <f t="shared" si="38"/>
        <v>1904</v>
      </c>
      <c r="L2488" s="3">
        <v>932.96</v>
      </c>
    </row>
    <row r="2489" spans="1:12" x14ac:dyDescent="0.25">
      <c r="A2489" t="s">
        <v>11</v>
      </c>
      <c r="B2489">
        <v>1128299</v>
      </c>
      <c r="C2489" s="1">
        <v>44303</v>
      </c>
      <c r="D2489" t="s">
        <v>52</v>
      </c>
      <c r="E2489" t="s">
        <v>64</v>
      </c>
      <c r="F2489" t="s">
        <v>65</v>
      </c>
      <c r="G2489" t="s">
        <v>41</v>
      </c>
      <c r="H2489" t="s">
        <v>38</v>
      </c>
      <c r="I2489" s="3">
        <v>48</v>
      </c>
      <c r="J2489" s="2">
        <v>142</v>
      </c>
      <c r="K2489" s="3">
        <f t="shared" si="38"/>
        <v>6816</v>
      </c>
      <c r="L2489" s="3">
        <v>3271.68</v>
      </c>
    </row>
    <row r="2490" spans="1:12" x14ac:dyDescent="0.25">
      <c r="A2490" t="s">
        <v>19</v>
      </c>
      <c r="B2490">
        <v>1185732</v>
      </c>
      <c r="C2490" s="1">
        <v>44303</v>
      </c>
      <c r="D2490" t="s">
        <v>52</v>
      </c>
      <c r="E2490" t="s">
        <v>112</v>
      </c>
      <c r="F2490" t="s">
        <v>113</v>
      </c>
      <c r="G2490" t="s">
        <v>41</v>
      </c>
      <c r="H2490" t="s">
        <v>37</v>
      </c>
      <c r="I2490" s="3">
        <v>19</v>
      </c>
      <c r="J2490" s="2">
        <v>75</v>
      </c>
      <c r="K2490" s="3">
        <f t="shared" si="38"/>
        <v>1425</v>
      </c>
      <c r="L2490" s="3">
        <v>684</v>
      </c>
    </row>
    <row r="2491" spans="1:12" x14ac:dyDescent="0.25">
      <c r="A2491" t="s">
        <v>11</v>
      </c>
      <c r="B2491">
        <v>1185732</v>
      </c>
      <c r="C2491" s="1">
        <v>44303</v>
      </c>
      <c r="D2491" t="s">
        <v>29</v>
      </c>
      <c r="E2491" t="s">
        <v>105</v>
      </c>
      <c r="F2491" t="s">
        <v>47</v>
      </c>
      <c r="G2491" t="s">
        <v>41</v>
      </c>
      <c r="H2491" t="s">
        <v>37</v>
      </c>
      <c r="I2491" s="3">
        <v>25</v>
      </c>
      <c r="J2491" s="2">
        <v>47</v>
      </c>
      <c r="K2491" s="3">
        <f t="shared" si="38"/>
        <v>1175</v>
      </c>
      <c r="L2491" s="3">
        <v>564</v>
      </c>
    </row>
    <row r="2492" spans="1:12" x14ac:dyDescent="0.25">
      <c r="A2492" t="s">
        <v>11</v>
      </c>
      <c r="B2492">
        <v>1128299</v>
      </c>
      <c r="C2492" s="1">
        <v>44303</v>
      </c>
      <c r="D2492" t="s">
        <v>52</v>
      </c>
      <c r="E2492" t="s">
        <v>64</v>
      </c>
      <c r="F2492" t="s">
        <v>65</v>
      </c>
      <c r="G2492" t="s">
        <v>41</v>
      </c>
      <c r="H2492" t="s">
        <v>37</v>
      </c>
      <c r="I2492" s="3">
        <v>39</v>
      </c>
      <c r="J2492" s="2">
        <v>74</v>
      </c>
      <c r="K2492" s="3">
        <f t="shared" si="38"/>
        <v>2886</v>
      </c>
      <c r="L2492" s="3">
        <v>1356.4199999999998</v>
      </c>
    </row>
    <row r="2493" spans="1:12" x14ac:dyDescent="0.25">
      <c r="A2493" t="s">
        <v>19</v>
      </c>
      <c r="B2493">
        <v>1185732</v>
      </c>
      <c r="C2493" s="1">
        <v>44303</v>
      </c>
      <c r="D2493" t="s">
        <v>52</v>
      </c>
      <c r="E2493" t="s">
        <v>112</v>
      </c>
      <c r="F2493" t="s">
        <v>113</v>
      </c>
      <c r="G2493" t="s">
        <v>15</v>
      </c>
      <c r="H2493" t="s">
        <v>16</v>
      </c>
      <c r="I2493" s="3">
        <v>22</v>
      </c>
      <c r="J2493" s="2">
        <v>147</v>
      </c>
      <c r="K2493" s="3">
        <f t="shared" si="38"/>
        <v>3234</v>
      </c>
      <c r="L2493" s="3">
        <v>1519.98</v>
      </c>
    </row>
    <row r="2494" spans="1:12" x14ac:dyDescent="0.25">
      <c r="A2494" t="s">
        <v>19</v>
      </c>
      <c r="B2494">
        <v>1185732</v>
      </c>
      <c r="C2494" s="1">
        <v>44303</v>
      </c>
      <c r="D2494" t="s">
        <v>52</v>
      </c>
      <c r="E2494" t="s">
        <v>112</v>
      </c>
      <c r="F2494" t="s">
        <v>113</v>
      </c>
      <c r="G2494" t="s">
        <v>41</v>
      </c>
      <c r="H2494" t="s">
        <v>38</v>
      </c>
      <c r="I2494" s="3">
        <v>23</v>
      </c>
      <c r="J2494" s="2">
        <v>169</v>
      </c>
      <c r="K2494" s="3">
        <f t="shared" si="38"/>
        <v>3887</v>
      </c>
      <c r="L2494" s="3">
        <v>1788.02</v>
      </c>
    </row>
    <row r="2495" spans="1:12" x14ac:dyDescent="0.25">
      <c r="A2495" t="s">
        <v>11</v>
      </c>
      <c r="B2495">
        <v>1185732</v>
      </c>
      <c r="C2495" s="1">
        <v>44303</v>
      </c>
      <c r="D2495" t="s">
        <v>29</v>
      </c>
      <c r="E2495" t="s">
        <v>105</v>
      </c>
      <c r="F2495" t="s">
        <v>47</v>
      </c>
      <c r="G2495" t="s">
        <v>41</v>
      </c>
      <c r="H2495" t="s">
        <v>35</v>
      </c>
      <c r="I2495" s="3">
        <v>19</v>
      </c>
      <c r="J2495" s="2">
        <v>68</v>
      </c>
      <c r="K2495" s="3">
        <f t="shared" si="38"/>
        <v>1292</v>
      </c>
      <c r="L2495" s="3">
        <v>594.31999999999994</v>
      </c>
    </row>
    <row r="2496" spans="1:12" x14ac:dyDescent="0.25">
      <c r="A2496" t="s">
        <v>19</v>
      </c>
      <c r="B2496">
        <v>1185732</v>
      </c>
      <c r="C2496" s="1">
        <v>44303</v>
      </c>
      <c r="D2496" t="s">
        <v>52</v>
      </c>
      <c r="E2496" t="s">
        <v>112</v>
      </c>
      <c r="F2496" t="s">
        <v>113</v>
      </c>
      <c r="G2496" t="s">
        <v>41</v>
      </c>
      <c r="H2496" t="s">
        <v>35</v>
      </c>
      <c r="I2496" s="3">
        <v>14</v>
      </c>
      <c r="J2496" s="2">
        <v>101</v>
      </c>
      <c r="K2496" s="3">
        <f t="shared" si="38"/>
        <v>1414</v>
      </c>
      <c r="L2496" s="3">
        <v>636.29999999999995</v>
      </c>
    </row>
    <row r="2497" spans="1:12" x14ac:dyDescent="0.25">
      <c r="A2497" t="s">
        <v>11</v>
      </c>
      <c r="B2497">
        <v>1185732</v>
      </c>
      <c r="C2497" s="1">
        <v>44303</v>
      </c>
      <c r="D2497" t="s">
        <v>29</v>
      </c>
      <c r="E2497" t="s">
        <v>105</v>
      </c>
      <c r="F2497" t="s">
        <v>47</v>
      </c>
      <c r="G2497" t="s">
        <v>41</v>
      </c>
      <c r="H2497" t="s">
        <v>17</v>
      </c>
      <c r="I2497" s="3">
        <v>28</v>
      </c>
      <c r="J2497" s="2">
        <v>75</v>
      </c>
      <c r="K2497" s="3">
        <f t="shared" si="38"/>
        <v>2100</v>
      </c>
      <c r="L2497" s="3">
        <v>945</v>
      </c>
    </row>
    <row r="2498" spans="1:12" x14ac:dyDescent="0.25">
      <c r="A2498" t="s">
        <v>11</v>
      </c>
      <c r="B2498">
        <v>1185732</v>
      </c>
      <c r="C2498" s="1">
        <v>44303</v>
      </c>
      <c r="D2498" t="s">
        <v>29</v>
      </c>
      <c r="E2498" t="s">
        <v>105</v>
      </c>
      <c r="F2498" t="s">
        <v>47</v>
      </c>
      <c r="G2498" t="s">
        <v>41</v>
      </c>
      <c r="H2498" t="s">
        <v>22</v>
      </c>
      <c r="I2498" s="3">
        <v>60</v>
      </c>
      <c r="J2498" s="2">
        <v>56</v>
      </c>
      <c r="K2498" s="3">
        <f t="shared" si="38"/>
        <v>3360</v>
      </c>
      <c r="L2498" s="3">
        <v>1511.9999999999998</v>
      </c>
    </row>
    <row r="2499" spans="1:12" x14ac:dyDescent="0.25">
      <c r="A2499" t="s">
        <v>11</v>
      </c>
      <c r="B2499">
        <v>1128299</v>
      </c>
      <c r="C2499" s="1">
        <v>44303</v>
      </c>
      <c r="D2499" t="s">
        <v>52</v>
      </c>
      <c r="E2499" t="s">
        <v>64</v>
      </c>
      <c r="F2499" t="s">
        <v>65</v>
      </c>
      <c r="G2499" t="s">
        <v>41</v>
      </c>
      <c r="H2499" t="s">
        <v>22</v>
      </c>
      <c r="I2499" s="3">
        <v>43</v>
      </c>
      <c r="J2499" s="2">
        <v>53</v>
      </c>
      <c r="K2499" s="3">
        <f t="shared" ref="K2499:K2562" si="39">I2499*J2499</f>
        <v>2279</v>
      </c>
      <c r="L2499" s="3">
        <v>979.9699999999998</v>
      </c>
    </row>
    <row r="2500" spans="1:12" x14ac:dyDescent="0.25">
      <c r="A2500" t="s">
        <v>27</v>
      </c>
      <c r="B2500">
        <v>1189833</v>
      </c>
      <c r="C2500" s="1">
        <v>44303</v>
      </c>
      <c r="D2500" t="s">
        <v>12</v>
      </c>
      <c r="E2500" t="s">
        <v>13</v>
      </c>
      <c r="F2500" t="s">
        <v>28</v>
      </c>
      <c r="G2500" t="s">
        <v>15</v>
      </c>
      <c r="H2500" t="s">
        <v>22</v>
      </c>
      <c r="I2500" s="3">
        <v>38</v>
      </c>
      <c r="J2500" s="2">
        <v>140</v>
      </c>
      <c r="K2500" s="3">
        <f t="shared" si="39"/>
        <v>5320</v>
      </c>
      <c r="L2500" s="3">
        <v>2181.1999999999994</v>
      </c>
    </row>
    <row r="2501" spans="1:12" x14ac:dyDescent="0.25">
      <c r="A2501" t="s">
        <v>26</v>
      </c>
      <c r="B2501">
        <v>1197831</v>
      </c>
      <c r="C2501" s="1">
        <v>44303</v>
      </c>
      <c r="D2501" t="s">
        <v>52</v>
      </c>
      <c r="E2501" t="s">
        <v>97</v>
      </c>
      <c r="F2501" t="s">
        <v>98</v>
      </c>
      <c r="G2501" t="s">
        <v>41</v>
      </c>
      <c r="H2501" t="s">
        <v>35</v>
      </c>
      <c r="I2501" s="3">
        <v>36</v>
      </c>
      <c r="J2501" s="2">
        <v>263</v>
      </c>
      <c r="K2501" s="3">
        <f t="shared" si="39"/>
        <v>9468</v>
      </c>
      <c r="L2501" s="3">
        <v>3787.2</v>
      </c>
    </row>
    <row r="2502" spans="1:12" x14ac:dyDescent="0.25">
      <c r="A2502" t="s">
        <v>23</v>
      </c>
      <c r="B2502">
        <v>1128299</v>
      </c>
      <c r="C2502" s="1">
        <v>44303</v>
      </c>
      <c r="D2502" t="s">
        <v>32</v>
      </c>
      <c r="E2502" t="s">
        <v>33</v>
      </c>
      <c r="F2502" t="s">
        <v>34</v>
      </c>
      <c r="G2502" t="s">
        <v>41</v>
      </c>
      <c r="H2502" t="s">
        <v>16</v>
      </c>
      <c r="I2502" s="3">
        <v>72</v>
      </c>
      <c r="J2502" s="2">
        <v>109</v>
      </c>
      <c r="K2502" s="3">
        <f t="shared" si="39"/>
        <v>7848</v>
      </c>
      <c r="L2502" s="3">
        <v>3139.2</v>
      </c>
    </row>
    <row r="2503" spans="1:12" x14ac:dyDescent="0.25">
      <c r="A2503" t="s">
        <v>19</v>
      </c>
      <c r="B2503">
        <v>1185732</v>
      </c>
      <c r="C2503" s="1">
        <v>44303</v>
      </c>
      <c r="D2503" t="s">
        <v>52</v>
      </c>
      <c r="E2503" t="s">
        <v>112</v>
      </c>
      <c r="F2503" t="s">
        <v>113</v>
      </c>
      <c r="G2503" t="s">
        <v>41</v>
      </c>
      <c r="H2503" t="s">
        <v>16</v>
      </c>
      <c r="I2503" s="3">
        <v>28</v>
      </c>
      <c r="J2503" s="2">
        <v>124</v>
      </c>
      <c r="K2503" s="3">
        <f t="shared" si="39"/>
        <v>3472</v>
      </c>
      <c r="L2503" s="3">
        <v>1354.08</v>
      </c>
    </row>
    <row r="2504" spans="1:12" x14ac:dyDescent="0.25">
      <c r="A2504" t="s">
        <v>27</v>
      </c>
      <c r="B2504">
        <v>1189833</v>
      </c>
      <c r="C2504" s="1">
        <v>44303</v>
      </c>
      <c r="D2504" t="s">
        <v>12</v>
      </c>
      <c r="E2504" t="s">
        <v>13</v>
      </c>
      <c r="F2504" t="s">
        <v>28</v>
      </c>
      <c r="G2504" t="s">
        <v>41</v>
      </c>
      <c r="H2504" t="s">
        <v>22</v>
      </c>
      <c r="I2504" s="3">
        <v>45</v>
      </c>
      <c r="J2504" s="2">
        <v>131</v>
      </c>
      <c r="K2504" s="3">
        <f t="shared" si="39"/>
        <v>5895</v>
      </c>
      <c r="L2504" s="3">
        <v>2063.25</v>
      </c>
    </row>
    <row r="2505" spans="1:12" x14ac:dyDescent="0.25">
      <c r="A2505" t="s">
        <v>27</v>
      </c>
      <c r="B2505">
        <v>1189833</v>
      </c>
      <c r="C2505" s="1">
        <v>44304</v>
      </c>
      <c r="D2505" t="s">
        <v>12</v>
      </c>
      <c r="E2505" t="s">
        <v>13</v>
      </c>
      <c r="F2505" t="s">
        <v>28</v>
      </c>
      <c r="G2505" t="s">
        <v>15</v>
      </c>
      <c r="H2505" t="s">
        <v>16</v>
      </c>
      <c r="I2505" s="3">
        <v>65</v>
      </c>
      <c r="J2505" s="2">
        <v>625</v>
      </c>
      <c r="K2505" s="3">
        <f t="shared" si="39"/>
        <v>40625</v>
      </c>
      <c r="L2505" s="3">
        <v>32500</v>
      </c>
    </row>
    <row r="2506" spans="1:12" x14ac:dyDescent="0.25">
      <c r="A2506" t="s">
        <v>36</v>
      </c>
      <c r="B2506">
        <v>1185732</v>
      </c>
      <c r="C2506" s="1">
        <v>44304</v>
      </c>
      <c r="D2506" t="s">
        <v>29</v>
      </c>
      <c r="E2506" t="s">
        <v>68</v>
      </c>
      <c r="F2506" t="s">
        <v>69</v>
      </c>
      <c r="G2506" t="s">
        <v>18</v>
      </c>
      <c r="H2506" t="s">
        <v>35</v>
      </c>
      <c r="I2506" s="3">
        <v>40</v>
      </c>
      <c r="J2506" s="2">
        <v>250</v>
      </c>
      <c r="K2506" s="3">
        <f t="shared" si="39"/>
        <v>10000</v>
      </c>
      <c r="L2506" s="3">
        <v>7000</v>
      </c>
    </row>
    <row r="2507" spans="1:12" x14ac:dyDescent="0.25">
      <c r="A2507" t="s">
        <v>36</v>
      </c>
      <c r="B2507">
        <v>1185732</v>
      </c>
      <c r="C2507" s="1">
        <v>44304</v>
      </c>
      <c r="D2507" t="s">
        <v>29</v>
      </c>
      <c r="E2507" t="s">
        <v>68</v>
      </c>
      <c r="F2507" t="s">
        <v>69</v>
      </c>
      <c r="G2507" t="s">
        <v>18</v>
      </c>
      <c r="H2507" t="s">
        <v>22</v>
      </c>
      <c r="I2507" s="3">
        <v>60.000000000000007</v>
      </c>
      <c r="J2507" s="2">
        <v>175</v>
      </c>
      <c r="K2507" s="3">
        <f t="shared" si="39"/>
        <v>10500.000000000002</v>
      </c>
      <c r="L2507" s="3">
        <v>7350.0000000000018</v>
      </c>
    </row>
    <row r="2508" spans="1:12" x14ac:dyDescent="0.25">
      <c r="A2508" t="s">
        <v>36</v>
      </c>
      <c r="B2508">
        <v>1185732</v>
      </c>
      <c r="C2508" s="1">
        <v>44304</v>
      </c>
      <c r="D2508" t="s">
        <v>29</v>
      </c>
      <c r="E2508" t="s">
        <v>68</v>
      </c>
      <c r="F2508" t="s">
        <v>69</v>
      </c>
      <c r="G2508" t="s">
        <v>18</v>
      </c>
      <c r="H2508" t="s">
        <v>37</v>
      </c>
      <c r="I2508" s="3">
        <v>44.999999999999993</v>
      </c>
      <c r="J2508" s="2">
        <v>175</v>
      </c>
      <c r="K2508" s="3">
        <f t="shared" si="39"/>
        <v>7874.9999999999991</v>
      </c>
      <c r="L2508" s="3">
        <v>5512.4999999999982</v>
      </c>
    </row>
    <row r="2509" spans="1:12" x14ac:dyDescent="0.25">
      <c r="A2509" t="s">
        <v>19</v>
      </c>
      <c r="B2509">
        <v>1185732</v>
      </c>
      <c r="C2509" s="1">
        <v>44304</v>
      </c>
      <c r="D2509" t="s">
        <v>57</v>
      </c>
      <c r="E2509" t="s">
        <v>106</v>
      </c>
      <c r="F2509" t="s">
        <v>107</v>
      </c>
      <c r="G2509" t="s">
        <v>18</v>
      </c>
      <c r="H2509" t="s">
        <v>17</v>
      </c>
      <c r="I2509" s="3">
        <v>30.000000000000004</v>
      </c>
      <c r="J2509" s="2">
        <v>275</v>
      </c>
      <c r="K2509" s="3">
        <f t="shared" si="39"/>
        <v>8250.0000000000018</v>
      </c>
      <c r="L2509" s="3">
        <v>5362.5000000000018</v>
      </c>
    </row>
    <row r="2510" spans="1:12" x14ac:dyDescent="0.25">
      <c r="A2510" t="s">
        <v>19</v>
      </c>
      <c r="B2510">
        <v>1185732</v>
      </c>
      <c r="C2510" s="1">
        <v>44304</v>
      </c>
      <c r="D2510" t="s">
        <v>57</v>
      </c>
      <c r="E2510" t="s">
        <v>106</v>
      </c>
      <c r="F2510" t="s">
        <v>107</v>
      </c>
      <c r="G2510" t="s">
        <v>18</v>
      </c>
      <c r="H2510" t="s">
        <v>35</v>
      </c>
      <c r="I2510" s="3">
        <v>20.000000000000007</v>
      </c>
      <c r="J2510" s="2">
        <v>275</v>
      </c>
      <c r="K2510" s="3">
        <f t="shared" si="39"/>
        <v>5500.0000000000018</v>
      </c>
      <c r="L2510" s="3">
        <v>3575.0000000000014</v>
      </c>
    </row>
    <row r="2511" spans="1:12" x14ac:dyDescent="0.25">
      <c r="A2511" t="s">
        <v>19</v>
      </c>
      <c r="B2511">
        <v>1185732</v>
      </c>
      <c r="C2511" s="1">
        <v>44304</v>
      </c>
      <c r="D2511" t="s">
        <v>57</v>
      </c>
      <c r="E2511" t="s">
        <v>106</v>
      </c>
      <c r="F2511" t="s">
        <v>107</v>
      </c>
      <c r="G2511" t="s">
        <v>18</v>
      </c>
      <c r="H2511" t="s">
        <v>22</v>
      </c>
      <c r="I2511" s="3">
        <v>40</v>
      </c>
      <c r="J2511" s="2">
        <v>225</v>
      </c>
      <c r="K2511" s="3">
        <f t="shared" si="39"/>
        <v>9000</v>
      </c>
      <c r="L2511" s="3">
        <v>5850</v>
      </c>
    </row>
    <row r="2512" spans="1:12" x14ac:dyDescent="0.25">
      <c r="A2512" t="s">
        <v>36</v>
      </c>
      <c r="B2512">
        <v>1185732</v>
      </c>
      <c r="C2512" s="1">
        <v>44304</v>
      </c>
      <c r="D2512" t="s">
        <v>29</v>
      </c>
      <c r="E2512" t="s">
        <v>68</v>
      </c>
      <c r="F2512" t="s">
        <v>69</v>
      </c>
      <c r="G2512" t="s">
        <v>18</v>
      </c>
      <c r="H2512" t="s">
        <v>16</v>
      </c>
      <c r="I2512" s="3">
        <v>50</v>
      </c>
      <c r="J2512" s="2">
        <v>325</v>
      </c>
      <c r="K2512" s="3">
        <f t="shared" si="39"/>
        <v>16250</v>
      </c>
      <c r="L2512" s="3">
        <v>10562.5</v>
      </c>
    </row>
    <row r="2513" spans="1:12" x14ac:dyDescent="0.25">
      <c r="A2513" t="s">
        <v>19</v>
      </c>
      <c r="B2513">
        <v>1185732</v>
      </c>
      <c r="C2513" s="1">
        <v>44304</v>
      </c>
      <c r="D2513" t="s">
        <v>57</v>
      </c>
      <c r="E2513" t="s">
        <v>106</v>
      </c>
      <c r="F2513" t="s">
        <v>107</v>
      </c>
      <c r="G2513" t="s">
        <v>18</v>
      </c>
      <c r="H2513" t="s">
        <v>38</v>
      </c>
      <c r="I2513" s="3">
        <v>35</v>
      </c>
      <c r="J2513" s="2">
        <v>575</v>
      </c>
      <c r="K2513" s="3">
        <f t="shared" si="39"/>
        <v>20125</v>
      </c>
      <c r="L2513" s="3">
        <v>12075</v>
      </c>
    </row>
    <row r="2514" spans="1:12" x14ac:dyDescent="0.25">
      <c r="A2514" t="s">
        <v>19</v>
      </c>
      <c r="B2514">
        <v>1185732</v>
      </c>
      <c r="C2514" s="1">
        <v>44304</v>
      </c>
      <c r="D2514" t="s">
        <v>57</v>
      </c>
      <c r="E2514" t="s">
        <v>106</v>
      </c>
      <c r="F2514" t="s">
        <v>107</v>
      </c>
      <c r="G2514" t="s">
        <v>18</v>
      </c>
      <c r="H2514" t="s">
        <v>37</v>
      </c>
      <c r="I2514" s="3">
        <v>25</v>
      </c>
      <c r="J2514" s="2">
        <v>200</v>
      </c>
      <c r="K2514" s="3">
        <f t="shared" si="39"/>
        <v>5000</v>
      </c>
      <c r="L2514" s="3">
        <v>3000</v>
      </c>
    </row>
    <row r="2515" spans="1:12" x14ac:dyDescent="0.25">
      <c r="A2515" t="s">
        <v>36</v>
      </c>
      <c r="B2515">
        <v>1185732</v>
      </c>
      <c r="C2515" s="1">
        <v>44304</v>
      </c>
      <c r="D2515" t="s">
        <v>29</v>
      </c>
      <c r="E2515" t="s">
        <v>68</v>
      </c>
      <c r="F2515" t="s">
        <v>69</v>
      </c>
      <c r="G2515" t="s">
        <v>18</v>
      </c>
      <c r="H2515" t="s">
        <v>38</v>
      </c>
      <c r="I2515" s="3">
        <v>50</v>
      </c>
      <c r="J2515" s="2">
        <v>550</v>
      </c>
      <c r="K2515" s="3">
        <f t="shared" si="39"/>
        <v>27500</v>
      </c>
      <c r="L2515" s="3">
        <v>16500</v>
      </c>
    </row>
    <row r="2516" spans="1:12" x14ac:dyDescent="0.25">
      <c r="A2516" t="s">
        <v>36</v>
      </c>
      <c r="B2516">
        <v>1185732</v>
      </c>
      <c r="C2516" s="1">
        <v>44304</v>
      </c>
      <c r="D2516" t="s">
        <v>29</v>
      </c>
      <c r="E2516" t="s">
        <v>68</v>
      </c>
      <c r="F2516" t="s">
        <v>69</v>
      </c>
      <c r="G2516" t="s">
        <v>18</v>
      </c>
      <c r="H2516" t="s">
        <v>17</v>
      </c>
      <c r="I2516" s="3">
        <v>50</v>
      </c>
      <c r="J2516" s="2">
        <v>250</v>
      </c>
      <c r="K2516" s="3">
        <f t="shared" si="39"/>
        <v>12500</v>
      </c>
      <c r="L2516" s="3">
        <v>7500</v>
      </c>
    </row>
    <row r="2517" spans="1:12" x14ac:dyDescent="0.25">
      <c r="A2517" t="s">
        <v>19</v>
      </c>
      <c r="B2517">
        <v>1185732</v>
      </c>
      <c r="C2517" s="1">
        <v>44304</v>
      </c>
      <c r="D2517" t="s">
        <v>57</v>
      </c>
      <c r="E2517" t="s">
        <v>106</v>
      </c>
      <c r="F2517" t="s">
        <v>107</v>
      </c>
      <c r="G2517" t="s">
        <v>18</v>
      </c>
      <c r="H2517" t="s">
        <v>16</v>
      </c>
      <c r="I2517" s="3">
        <v>30.000000000000004</v>
      </c>
      <c r="J2517" s="2">
        <v>350</v>
      </c>
      <c r="K2517" s="3">
        <f t="shared" si="39"/>
        <v>10500.000000000002</v>
      </c>
      <c r="L2517" s="3">
        <v>5250.0000000000009</v>
      </c>
    </row>
    <row r="2518" spans="1:12" x14ac:dyDescent="0.25">
      <c r="A2518" t="s">
        <v>26</v>
      </c>
      <c r="B2518">
        <v>1197831</v>
      </c>
      <c r="C2518" s="1">
        <v>44304</v>
      </c>
      <c r="D2518" t="s">
        <v>52</v>
      </c>
      <c r="E2518" t="s">
        <v>97</v>
      </c>
      <c r="F2518" t="s">
        <v>98</v>
      </c>
      <c r="G2518" t="s">
        <v>15</v>
      </c>
      <c r="H2518" t="s">
        <v>37</v>
      </c>
      <c r="I2518" s="3">
        <v>40</v>
      </c>
      <c r="J2518" s="2">
        <v>575</v>
      </c>
      <c r="K2518" s="3">
        <f t="shared" si="39"/>
        <v>23000</v>
      </c>
      <c r="L2518" s="3">
        <v>10349.999999999998</v>
      </c>
    </row>
    <row r="2519" spans="1:12" x14ac:dyDescent="0.25">
      <c r="A2519" t="s">
        <v>27</v>
      </c>
      <c r="B2519">
        <v>1189833</v>
      </c>
      <c r="C2519" s="1">
        <v>44304</v>
      </c>
      <c r="D2519" t="s">
        <v>12</v>
      </c>
      <c r="E2519" t="s">
        <v>13</v>
      </c>
      <c r="F2519" t="s">
        <v>28</v>
      </c>
      <c r="G2519" t="s">
        <v>15</v>
      </c>
      <c r="H2519" t="s">
        <v>16</v>
      </c>
      <c r="I2519" s="3">
        <v>43</v>
      </c>
      <c r="J2519" s="2">
        <v>206</v>
      </c>
      <c r="K2519" s="3">
        <f t="shared" si="39"/>
        <v>8858</v>
      </c>
      <c r="L2519" s="3">
        <v>6909.24</v>
      </c>
    </row>
    <row r="2520" spans="1:12" x14ac:dyDescent="0.25">
      <c r="A2520" t="s">
        <v>27</v>
      </c>
      <c r="B2520">
        <v>1189833</v>
      </c>
      <c r="C2520" s="1">
        <v>44304</v>
      </c>
      <c r="D2520" t="s">
        <v>12</v>
      </c>
      <c r="E2520" t="s">
        <v>13</v>
      </c>
      <c r="F2520" t="s">
        <v>28</v>
      </c>
      <c r="G2520" t="s">
        <v>41</v>
      </c>
      <c r="H2520" t="s">
        <v>16</v>
      </c>
      <c r="I2520" s="3">
        <v>64</v>
      </c>
      <c r="J2520" s="2">
        <v>181</v>
      </c>
      <c r="K2520" s="3">
        <f t="shared" si="39"/>
        <v>11584</v>
      </c>
      <c r="L2520" s="3">
        <v>7992.96</v>
      </c>
    </row>
    <row r="2521" spans="1:12" x14ac:dyDescent="0.25">
      <c r="A2521" t="s">
        <v>36</v>
      </c>
      <c r="B2521">
        <v>1185732</v>
      </c>
      <c r="C2521" s="1">
        <v>44304</v>
      </c>
      <c r="D2521" t="s">
        <v>29</v>
      </c>
      <c r="E2521" t="s">
        <v>68</v>
      </c>
      <c r="F2521" t="s">
        <v>69</v>
      </c>
      <c r="G2521" t="s">
        <v>15</v>
      </c>
      <c r="H2521" t="s">
        <v>37</v>
      </c>
      <c r="I2521" s="3">
        <v>35</v>
      </c>
      <c r="J2521" s="2">
        <v>53</v>
      </c>
      <c r="K2521" s="3">
        <f t="shared" si="39"/>
        <v>1855</v>
      </c>
      <c r="L2521" s="3">
        <v>1261.4000000000001</v>
      </c>
    </row>
    <row r="2522" spans="1:12" x14ac:dyDescent="0.25">
      <c r="A2522" t="s">
        <v>36</v>
      </c>
      <c r="B2522">
        <v>1185732</v>
      </c>
      <c r="C2522" s="1">
        <v>44304</v>
      </c>
      <c r="D2522" t="s">
        <v>29</v>
      </c>
      <c r="E2522" t="s">
        <v>68</v>
      </c>
      <c r="F2522" t="s">
        <v>69</v>
      </c>
      <c r="G2522" t="s">
        <v>15</v>
      </c>
      <c r="H2522" t="s">
        <v>22</v>
      </c>
      <c r="I2522" s="3">
        <v>40</v>
      </c>
      <c r="J2522" s="2">
        <v>61</v>
      </c>
      <c r="K2522" s="3">
        <f t="shared" si="39"/>
        <v>2440</v>
      </c>
      <c r="L2522" s="3">
        <v>1634.8000000000002</v>
      </c>
    </row>
    <row r="2523" spans="1:12" x14ac:dyDescent="0.25">
      <c r="A2523" t="s">
        <v>36</v>
      </c>
      <c r="B2523">
        <v>1185732</v>
      </c>
      <c r="C2523" s="1">
        <v>44304</v>
      </c>
      <c r="D2523" t="s">
        <v>29</v>
      </c>
      <c r="E2523" t="s">
        <v>68</v>
      </c>
      <c r="F2523" t="s">
        <v>69</v>
      </c>
      <c r="G2523" t="s">
        <v>15</v>
      </c>
      <c r="H2523" t="s">
        <v>35</v>
      </c>
      <c r="I2523" s="3">
        <v>26</v>
      </c>
      <c r="J2523" s="2">
        <v>80</v>
      </c>
      <c r="K2523" s="3">
        <f t="shared" si="39"/>
        <v>2080</v>
      </c>
      <c r="L2523" s="3">
        <v>1372.8000000000002</v>
      </c>
    </row>
    <row r="2524" spans="1:12" x14ac:dyDescent="0.25">
      <c r="A2524" t="s">
        <v>36</v>
      </c>
      <c r="B2524">
        <v>1185732</v>
      </c>
      <c r="C2524" s="1">
        <v>44304</v>
      </c>
      <c r="D2524" t="s">
        <v>29</v>
      </c>
      <c r="E2524" t="s">
        <v>68</v>
      </c>
      <c r="F2524" t="s">
        <v>69</v>
      </c>
      <c r="G2524" t="s">
        <v>15</v>
      </c>
      <c r="H2524" t="s">
        <v>16</v>
      </c>
      <c r="I2524" s="3">
        <v>33</v>
      </c>
      <c r="J2524" s="2">
        <v>101</v>
      </c>
      <c r="K2524" s="3">
        <f t="shared" si="39"/>
        <v>3333</v>
      </c>
      <c r="L2524" s="3">
        <v>2099.79</v>
      </c>
    </row>
    <row r="2525" spans="1:12" x14ac:dyDescent="0.25">
      <c r="A2525" t="s">
        <v>36</v>
      </c>
      <c r="B2525">
        <v>1185732</v>
      </c>
      <c r="C2525" s="1">
        <v>44304</v>
      </c>
      <c r="D2525" t="s">
        <v>29</v>
      </c>
      <c r="E2525" t="s">
        <v>68</v>
      </c>
      <c r="F2525" t="s">
        <v>69</v>
      </c>
      <c r="G2525" t="s">
        <v>41</v>
      </c>
      <c r="H2525" t="s">
        <v>37</v>
      </c>
      <c r="I2525" s="3">
        <v>44</v>
      </c>
      <c r="J2525" s="2">
        <v>49</v>
      </c>
      <c r="K2525" s="3">
        <f t="shared" si="39"/>
        <v>2156</v>
      </c>
      <c r="L2525" s="3">
        <v>1272.04</v>
      </c>
    </row>
    <row r="2526" spans="1:12" x14ac:dyDescent="0.25">
      <c r="A2526" t="s">
        <v>36</v>
      </c>
      <c r="B2526">
        <v>1185732</v>
      </c>
      <c r="C2526" s="1">
        <v>44304</v>
      </c>
      <c r="D2526" t="s">
        <v>29</v>
      </c>
      <c r="E2526" t="s">
        <v>68</v>
      </c>
      <c r="F2526" t="s">
        <v>69</v>
      </c>
      <c r="G2526" t="s">
        <v>15</v>
      </c>
      <c r="H2526" t="s">
        <v>38</v>
      </c>
      <c r="I2526" s="3">
        <v>33</v>
      </c>
      <c r="J2526" s="2">
        <v>187</v>
      </c>
      <c r="K2526" s="3">
        <f t="shared" si="39"/>
        <v>6171</v>
      </c>
      <c r="L2526" s="3">
        <v>3579.18</v>
      </c>
    </row>
    <row r="2527" spans="1:12" x14ac:dyDescent="0.25">
      <c r="A2527" t="s">
        <v>36</v>
      </c>
      <c r="B2527">
        <v>1185732</v>
      </c>
      <c r="C2527" s="1">
        <v>44304</v>
      </c>
      <c r="D2527" t="s">
        <v>29</v>
      </c>
      <c r="E2527" t="s">
        <v>68</v>
      </c>
      <c r="F2527" t="s">
        <v>69</v>
      </c>
      <c r="G2527" t="s">
        <v>15</v>
      </c>
      <c r="H2527" t="s">
        <v>17</v>
      </c>
      <c r="I2527" s="3">
        <v>38</v>
      </c>
      <c r="J2527" s="2">
        <v>85</v>
      </c>
      <c r="K2527" s="3">
        <f t="shared" si="39"/>
        <v>3230</v>
      </c>
      <c r="L2527" s="3">
        <v>1873.3999999999999</v>
      </c>
    </row>
    <row r="2528" spans="1:12" x14ac:dyDescent="0.25">
      <c r="A2528" t="s">
        <v>36</v>
      </c>
      <c r="B2528">
        <v>1185732</v>
      </c>
      <c r="C2528" s="1">
        <v>44304</v>
      </c>
      <c r="D2528" t="s">
        <v>29</v>
      </c>
      <c r="E2528" t="s">
        <v>68</v>
      </c>
      <c r="F2528" t="s">
        <v>69</v>
      </c>
      <c r="G2528" t="s">
        <v>41</v>
      </c>
      <c r="H2528" t="s">
        <v>35</v>
      </c>
      <c r="I2528" s="3">
        <v>38</v>
      </c>
      <c r="J2528" s="2">
        <v>73</v>
      </c>
      <c r="K2528" s="3">
        <f t="shared" si="39"/>
        <v>2774</v>
      </c>
      <c r="L2528" s="3">
        <v>1553.44</v>
      </c>
    </row>
    <row r="2529" spans="1:12" x14ac:dyDescent="0.25">
      <c r="A2529" t="s">
        <v>36</v>
      </c>
      <c r="B2529">
        <v>1185732</v>
      </c>
      <c r="C2529" s="1">
        <v>44304</v>
      </c>
      <c r="D2529" t="s">
        <v>29</v>
      </c>
      <c r="E2529" t="s">
        <v>68</v>
      </c>
      <c r="F2529" t="s">
        <v>69</v>
      </c>
      <c r="G2529" t="s">
        <v>41</v>
      </c>
      <c r="H2529" t="s">
        <v>22</v>
      </c>
      <c r="I2529" s="3">
        <v>57</v>
      </c>
      <c r="J2529" s="2">
        <v>53</v>
      </c>
      <c r="K2529" s="3">
        <f t="shared" si="39"/>
        <v>3021</v>
      </c>
      <c r="L2529" s="3">
        <v>1661.5500000000002</v>
      </c>
    </row>
    <row r="2530" spans="1:12" x14ac:dyDescent="0.25">
      <c r="A2530" t="s">
        <v>19</v>
      </c>
      <c r="B2530">
        <v>1185732</v>
      </c>
      <c r="C2530" s="1">
        <v>44304</v>
      </c>
      <c r="D2530" t="s">
        <v>57</v>
      </c>
      <c r="E2530" t="s">
        <v>106</v>
      </c>
      <c r="F2530" t="s">
        <v>107</v>
      </c>
      <c r="G2530" t="s">
        <v>41</v>
      </c>
      <c r="H2530" t="s">
        <v>22</v>
      </c>
      <c r="I2530" s="3">
        <v>36</v>
      </c>
      <c r="J2530" s="2">
        <v>65</v>
      </c>
      <c r="K2530" s="3">
        <f t="shared" si="39"/>
        <v>2340</v>
      </c>
      <c r="L2530" s="3">
        <v>1287</v>
      </c>
    </row>
    <row r="2531" spans="1:12" x14ac:dyDescent="0.25">
      <c r="A2531" t="s">
        <v>36</v>
      </c>
      <c r="B2531">
        <v>1185732</v>
      </c>
      <c r="C2531" s="1">
        <v>44304</v>
      </c>
      <c r="D2531" t="s">
        <v>29</v>
      </c>
      <c r="E2531" t="s">
        <v>68</v>
      </c>
      <c r="F2531" t="s">
        <v>69</v>
      </c>
      <c r="G2531" t="s">
        <v>41</v>
      </c>
      <c r="H2531" t="s">
        <v>16</v>
      </c>
      <c r="I2531" s="3">
        <v>46</v>
      </c>
      <c r="J2531" s="2">
        <v>98</v>
      </c>
      <c r="K2531" s="3">
        <f t="shared" si="39"/>
        <v>4508</v>
      </c>
      <c r="L2531" s="3">
        <v>2434.3200000000002</v>
      </c>
    </row>
    <row r="2532" spans="1:12" x14ac:dyDescent="0.25">
      <c r="A2532" t="s">
        <v>19</v>
      </c>
      <c r="B2532">
        <v>1185732</v>
      </c>
      <c r="C2532" s="1">
        <v>44304</v>
      </c>
      <c r="D2532" t="s">
        <v>57</v>
      </c>
      <c r="E2532" t="s">
        <v>106</v>
      </c>
      <c r="F2532" t="s">
        <v>107</v>
      </c>
      <c r="G2532" t="s">
        <v>41</v>
      </c>
      <c r="H2532" t="s">
        <v>17</v>
      </c>
      <c r="I2532" s="3">
        <v>27</v>
      </c>
      <c r="J2532" s="2">
        <v>72</v>
      </c>
      <c r="K2532" s="3">
        <f t="shared" si="39"/>
        <v>1944</v>
      </c>
      <c r="L2532" s="3">
        <v>991.44</v>
      </c>
    </row>
    <row r="2533" spans="1:12" x14ac:dyDescent="0.25">
      <c r="A2533" t="s">
        <v>19</v>
      </c>
      <c r="B2533">
        <v>1185732</v>
      </c>
      <c r="C2533" s="1">
        <v>44304</v>
      </c>
      <c r="D2533" t="s">
        <v>57</v>
      </c>
      <c r="E2533" t="s">
        <v>106</v>
      </c>
      <c r="F2533" t="s">
        <v>107</v>
      </c>
      <c r="G2533" t="s">
        <v>41</v>
      </c>
      <c r="H2533" t="s">
        <v>35</v>
      </c>
      <c r="I2533" s="3">
        <v>18</v>
      </c>
      <c r="J2533" s="2">
        <v>83</v>
      </c>
      <c r="K2533" s="3">
        <f t="shared" si="39"/>
        <v>1494</v>
      </c>
      <c r="L2533" s="3">
        <v>761.94</v>
      </c>
    </row>
    <row r="2534" spans="1:12" x14ac:dyDescent="0.25">
      <c r="A2534" t="s">
        <v>19</v>
      </c>
      <c r="B2534">
        <v>1185732</v>
      </c>
      <c r="C2534" s="1">
        <v>44304</v>
      </c>
      <c r="D2534" t="s">
        <v>57</v>
      </c>
      <c r="E2534" t="s">
        <v>106</v>
      </c>
      <c r="F2534" t="s">
        <v>107</v>
      </c>
      <c r="G2534" t="s">
        <v>41</v>
      </c>
      <c r="H2534" t="s">
        <v>38</v>
      </c>
      <c r="I2534" s="3">
        <v>33</v>
      </c>
      <c r="J2534" s="2">
        <v>144</v>
      </c>
      <c r="K2534" s="3">
        <f t="shared" si="39"/>
        <v>4752</v>
      </c>
      <c r="L2534" s="3">
        <v>2280.96</v>
      </c>
    </row>
    <row r="2535" spans="1:12" x14ac:dyDescent="0.25">
      <c r="A2535" t="s">
        <v>19</v>
      </c>
      <c r="B2535">
        <v>1185732</v>
      </c>
      <c r="C2535" s="1">
        <v>44304</v>
      </c>
      <c r="D2535" t="s">
        <v>57</v>
      </c>
      <c r="E2535" t="s">
        <v>106</v>
      </c>
      <c r="F2535" t="s">
        <v>107</v>
      </c>
      <c r="G2535" t="s">
        <v>41</v>
      </c>
      <c r="H2535" t="s">
        <v>37</v>
      </c>
      <c r="I2535" s="3">
        <v>23</v>
      </c>
      <c r="J2535" s="2">
        <v>52</v>
      </c>
      <c r="K2535" s="3">
        <f t="shared" si="39"/>
        <v>1196</v>
      </c>
      <c r="L2535" s="3">
        <v>574.07999999999993</v>
      </c>
    </row>
    <row r="2536" spans="1:12" x14ac:dyDescent="0.25">
      <c r="A2536" t="s">
        <v>36</v>
      </c>
      <c r="B2536">
        <v>1185732</v>
      </c>
      <c r="C2536" s="1">
        <v>44304</v>
      </c>
      <c r="D2536" t="s">
        <v>29</v>
      </c>
      <c r="E2536" t="s">
        <v>68</v>
      </c>
      <c r="F2536" t="s">
        <v>69</v>
      </c>
      <c r="G2536" t="s">
        <v>41</v>
      </c>
      <c r="H2536" t="s">
        <v>38</v>
      </c>
      <c r="I2536" s="3">
        <v>48</v>
      </c>
      <c r="J2536" s="2">
        <v>154</v>
      </c>
      <c r="K2536" s="3">
        <f t="shared" si="39"/>
        <v>7392</v>
      </c>
      <c r="L2536" s="3">
        <v>3474.24</v>
      </c>
    </row>
    <row r="2537" spans="1:12" x14ac:dyDescent="0.25">
      <c r="A2537" t="s">
        <v>36</v>
      </c>
      <c r="B2537">
        <v>1185732</v>
      </c>
      <c r="C2537" s="1">
        <v>44304</v>
      </c>
      <c r="D2537" t="s">
        <v>29</v>
      </c>
      <c r="E2537" t="s">
        <v>68</v>
      </c>
      <c r="F2537" t="s">
        <v>69</v>
      </c>
      <c r="G2537" t="s">
        <v>41</v>
      </c>
      <c r="H2537" t="s">
        <v>17</v>
      </c>
      <c r="I2537" s="3">
        <v>49</v>
      </c>
      <c r="J2537" s="2">
        <v>68</v>
      </c>
      <c r="K2537" s="3">
        <f t="shared" si="39"/>
        <v>3332</v>
      </c>
      <c r="L2537" s="3">
        <v>1499.3999999999999</v>
      </c>
    </row>
    <row r="2538" spans="1:12" x14ac:dyDescent="0.25">
      <c r="A2538" t="s">
        <v>19</v>
      </c>
      <c r="B2538">
        <v>1185732</v>
      </c>
      <c r="C2538" s="1">
        <v>44304</v>
      </c>
      <c r="D2538" t="s">
        <v>57</v>
      </c>
      <c r="E2538" t="s">
        <v>106</v>
      </c>
      <c r="F2538" t="s">
        <v>107</v>
      </c>
      <c r="G2538" t="s">
        <v>41</v>
      </c>
      <c r="H2538" t="s">
        <v>16</v>
      </c>
      <c r="I2538" s="3">
        <v>28</v>
      </c>
      <c r="J2538" s="2">
        <v>105</v>
      </c>
      <c r="K2538" s="3">
        <f t="shared" si="39"/>
        <v>2940</v>
      </c>
      <c r="L2538" s="3">
        <v>1146.6000000000001</v>
      </c>
    </row>
    <row r="2539" spans="1:12" x14ac:dyDescent="0.25">
      <c r="A2539" t="s">
        <v>26</v>
      </c>
      <c r="B2539">
        <v>1197831</v>
      </c>
      <c r="C2539" s="1">
        <v>44304</v>
      </c>
      <c r="D2539" t="s">
        <v>52</v>
      </c>
      <c r="E2539" t="s">
        <v>97</v>
      </c>
      <c r="F2539" t="s">
        <v>98</v>
      </c>
      <c r="G2539" t="s">
        <v>15</v>
      </c>
      <c r="H2539" t="s">
        <v>37</v>
      </c>
      <c r="I2539" s="3">
        <v>32</v>
      </c>
      <c r="J2539" s="2">
        <v>196</v>
      </c>
      <c r="K2539" s="3">
        <f t="shared" si="39"/>
        <v>6272</v>
      </c>
      <c r="L2539" s="3">
        <v>2446.0799999999995</v>
      </c>
    </row>
    <row r="2540" spans="1:12" x14ac:dyDescent="0.25">
      <c r="A2540" t="s">
        <v>26</v>
      </c>
      <c r="B2540">
        <v>1197831</v>
      </c>
      <c r="C2540" s="1">
        <v>44304</v>
      </c>
      <c r="D2540" t="s">
        <v>52</v>
      </c>
      <c r="E2540" t="s">
        <v>97</v>
      </c>
      <c r="F2540" t="s">
        <v>98</v>
      </c>
      <c r="G2540" t="s">
        <v>41</v>
      </c>
      <c r="H2540" t="s">
        <v>37</v>
      </c>
      <c r="I2540" s="3">
        <v>37</v>
      </c>
      <c r="J2540" s="2">
        <v>161</v>
      </c>
      <c r="K2540" s="3">
        <f t="shared" si="39"/>
        <v>5957</v>
      </c>
      <c r="L2540" s="3">
        <v>2084.9499999999998</v>
      </c>
    </row>
    <row r="2541" spans="1:12" x14ac:dyDescent="0.25">
      <c r="A2541" t="s">
        <v>27</v>
      </c>
      <c r="B2541">
        <v>1189833</v>
      </c>
      <c r="C2541" s="1">
        <v>44305</v>
      </c>
      <c r="D2541" t="s">
        <v>12</v>
      </c>
      <c r="E2541" t="s">
        <v>13</v>
      </c>
      <c r="F2541" t="s">
        <v>28</v>
      </c>
      <c r="G2541" t="s">
        <v>15</v>
      </c>
      <c r="H2541" t="s">
        <v>38</v>
      </c>
      <c r="I2541" s="3">
        <v>45</v>
      </c>
      <c r="J2541" s="2">
        <v>900</v>
      </c>
      <c r="K2541" s="3">
        <f t="shared" si="39"/>
        <v>40500</v>
      </c>
      <c r="L2541" s="3">
        <v>24300</v>
      </c>
    </row>
    <row r="2542" spans="1:12" x14ac:dyDescent="0.25">
      <c r="A2542" t="s">
        <v>26</v>
      </c>
      <c r="B2542">
        <v>1197831</v>
      </c>
      <c r="C2542" s="1">
        <v>44305</v>
      </c>
      <c r="D2542" t="s">
        <v>52</v>
      </c>
      <c r="E2542" t="s">
        <v>97</v>
      </c>
      <c r="F2542" t="s">
        <v>98</v>
      </c>
      <c r="G2542" t="s">
        <v>15</v>
      </c>
      <c r="H2542" t="s">
        <v>22</v>
      </c>
      <c r="I2542" s="3">
        <v>45</v>
      </c>
      <c r="J2542" s="2">
        <v>550</v>
      </c>
      <c r="K2542" s="3">
        <f t="shared" si="39"/>
        <v>24750</v>
      </c>
      <c r="L2542" s="3">
        <v>14850</v>
      </c>
    </row>
    <row r="2543" spans="1:12" x14ac:dyDescent="0.25">
      <c r="A2543" t="s">
        <v>27</v>
      </c>
      <c r="B2543">
        <v>1189833</v>
      </c>
      <c r="C2543" s="1">
        <v>44305</v>
      </c>
      <c r="D2543" t="s">
        <v>12</v>
      </c>
      <c r="E2543" t="s">
        <v>13</v>
      </c>
      <c r="F2543" t="s">
        <v>28</v>
      </c>
      <c r="G2543" t="s">
        <v>15</v>
      </c>
      <c r="H2543" t="s">
        <v>38</v>
      </c>
      <c r="I2543" s="3">
        <v>36</v>
      </c>
      <c r="J2543" s="2">
        <v>297</v>
      </c>
      <c r="K2543" s="3">
        <f t="shared" si="39"/>
        <v>10692</v>
      </c>
      <c r="L2543" s="3">
        <v>5987.5199999999995</v>
      </c>
    </row>
    <row r="2544" spans="1:12" x14ac:dyDescent="0.25">
      <c r="A2544" t="s">
        <v>26</v>
      </c>
      <c r="B2544">
        <v>1197831</v>
      </c>
      <c r="C2544" s="1">
        <v>44305</v>
      </c>
      <c r="D2544" t="s">
        <v>52</v>
      </c>
      <c r="E2544" t="s">
        <v>97</v>
      </c>
      <c r="F2544" t="s">
        <v>98</v>
      </c>
      <c r="G2544" t="s">
        <v>15</v>
      </c>
      <c r="H2544" t="s">
        <v>22</v>
      </c>
      <c r="I2544" s="3">
        <v>33</v>
      </c>
      <c r="J2544" s="2">
        <v>182</v>
      </c>
      <c r="K2544" s="3">
        <f t="shared" si="39"/>
        <v>6006</v>
      </c>
      <c r="L2544" s="3">
        <v>3303.3</v>
      </c>
    </row>
    <row r="2545" spans="1:12" x14ac:dyDescent="0.25">
      <c r="A2545" t="s">
        <v>26</v>
      </c>
      <c r="B2545">
        <v>1197831</v>
      </c>
      <c r="C2545" s="1">
        <v>44305</v>
      </c>
      <c r="D2545" t="s">
        <v>52</v>
      </c>
      <c r="E2545" t="s">
        <v>97</v>
      </c>
      <c r="F2545" t="s">
        <v>98</v>
      </c>
      <c r="G2545" t="s">
        <v>41</v>
      </c>
      <c r="H2545" t="s">
        <v>22</v>
      </c>
      <c r="I2545" s="3">
        <v>43</v>
      </c>
      <c r="J2545" s="2">
        <v>165</v>
      </c>
      <c r="K2545" s="3">
        <f t="shared" si="39"/>
        <v>7095</v>
      </c>
      <c r="L2545" s="3">
        <v>3334.6499999999996</v>
      </c>
    </row>
    <row r="2546" spans="1:12" x14ac:dyDescent="0.25">
      <c r="A2546" t="s">
        <v>27</v>
      </c>
      <c r="B2546">
        <v>1189833</v>
      </c>
      <c r="C2546" s="1">
        <v>44305</v>
      </c>
      <c r="D2546" t="s">
        <v>12</v>
      </c>
      <c r="E2546" t="s">
        <v>13</v>
      </c>
      <c r="F2546" t="s">
        <v>28</v>
      </c>
      <c r="G2546" t="s">
        <v>41</v>
      </c>
      <c r="H2546" t="s">
        <v>38</v>
      </c>
      <c r="I2546" s="3">
        <v>44</v>
      </c>
      <c r="J2546" s="2">
        <v>270</v>
      </c>
      <c r="K2546" s="3">
        <f t="shared" si="39"/>
        <v>11880</v>
      </c>
      <c r="L2546" s="3">
        <v>5345.9999999999991</v>
      </c>
    </row>
    <row r="2547" spans="1:12" x14ac:dyDescent="0.25">
      <c r="A2547" t="s">
        <v>27</v>
      </c>
      <c r="B2547">
        <v>1189833</v>
      </c>
      <c r="C2547" s="1">
        <v>44306</v>
      </c>
      <c r="D2547" t="s">
        <v>12</v>
      </c>
      <c r="E2547" t="s">
        <v>13</v>
      </c>
      <c r="F2547" t="s">
        <v>28</v>
      </c>
      <c r="G2547" t="s">
        <v>15</v>
      </c>
      <c r="H2547" t="s">
        <v>17</v>
      </c>
      <c r="I2547" s="3">
        <v>50</v>
      </c>
      <c r="J2547" s="2">
        <v>750</v>
      </c>
      <c r="K2547" s="3">
        <f t="shared" si="39"/>
        <v>37500</v>
      </c>
      <c r="L2547" s="3">
        <v>28125</v>
      </c>
    </row>
    <row r="2548" spans="1:12" x14ac:dyDescent="0.25">
      <c r="A2548" t="s">
        <v>23</v>
      </c>
      <c r="B2548">
        <v>1197831</v>
      </c>
      <c r="C2548" s="1">
        <v>44306</v>
      </c>
      <c r="D2548" t="s">
        <v>52</v>
      </c>
      <c r="E2548" t="s">
        <v>114</v>
      </c>
      <c r="F2548" t="s">
        <v>115</v>
      </c>
      <c r="G2548" t="s">
        <v>41</v>
      </c>
      <c r="H2548" t="s">
        <v>17</v>
      </c>
      <c r="I2548" s="3">
        <v>25</v>
      </c>
      <c r="J2548" s="2">
        <v>300</v>
      </c>
      <c r="K2548" s="3">
        <f t="shared" si="39"/>
        <v>7500</v>
      </c>
      <c r="L2548" s="3">
        <v>4875</v>
      </c>
    </row>
    <row r="2549" spans="1:12" x14ac:dyDescent="0.25">
      <c r="A2549" t="s">
        <v>23</v>
      </c>
      <c r="B2549">
        <v>1197831</v>
      </c>
      <c r="C2549" s="1">
        <v>44306</v>
      </c>
      <c r="D2549" t="s">
        <v>52</v>
      </c>
      <c r="E2549" t="s">
        <v>114</v>
      </c>
      <c r="F2549" t="s">
        <v>115</v>
      </c>
      <c r="G2549" t="s">
        <v>41</v>
      </c>
      <c r="H2549" t="s">
        <v>22</v>
      </c>
      <c r="I2549" s="3">
        <v>40</v>
      </c>
      <c r="J2549" s="2">
        <v>250</v>
      </c>
      <c r="K2549" s="3">
        <f t="shared" si="39"/>
        <v>10000</v>
      </c>
      <c r="L2549" s="3">
        <v>6500</v>
      </c>
    </row>
    <row r="2550" spans="1:12" x14ac:dyDescent="0.25">
      <c r="A2550" t="s">
        <v>11</v>
      </c>
      <c r="B2550">
        <v>1197831</v>
      </c>
      <c r="C2550" s="1">
        <v>44306</v>
      </c>
      <c r="D2550" t="s">
        <v>52</v>
      </c>
      <c r="E2550" t="s">
        <v>116</v>
      </c>
      <c r="F2550" t="s">
        <v>117</v>
      </c>
      <c r="G2550" t="s">
        <v>41</v>
      </c>
      <c r="H2550" t="s">
        <v>17</v>
      </c>
      <c r="I2550" s="3">
        <v>25</v>
      </c>
      <c r="J2550" s="2">
        <v>225</v>
      </c>
      <c r="K2550" s="3">
        <f t="shared" si="39"/>
        <v>5625</v>
      </c>
      <c r="L2550" s="3">
        <v>3656.25</v>
      </c>
    </row>
    <row r="2551" spans="1:12" x14ac:dyDescent="0.25">
      <c r="A2551" t="s">
        <v>11</v>
      </c>
      <c r="B2551">
        <v>1197831</v>
      </c>
      <c r="C2551" s="1">
        <v>44306</v>
      </c>
      <c r="D2551" t="s">
        <v>52</v>
      </c>
      <c r="E2551" t="s">
        <v>116</v>
      </c>
      <c r="F2551" t="s">
        <v>117</v>
      </c>
      <c r="G2551" t="s">
        <v>41</v>
      </c>
      <c r="H2551" t="s">
        <v>22</v>
      </c>
      <c r="I2551" s="3">
        <v>40</v>
      </c>
      <c r="J2551" s="2">
        <v>175</v>
      </c>
      <c r="K2551" s="3">
        <f t="shared" si="39"/>
        <v>7000</v>
      </c>
      <c r="L2551" s="3">
        <v>4550</v>
      </c>
    </row>
    <row r="2552" spans="1:12" x14ac:dyDescent="0.25">
      <c r="A2552" t="s">
        <v>23</v>
      </c>
      <c r="B2552">
        <v>1197831</v>
      </c>
      <c r="C2552" s="1">
        <v>44306</v>
      </c>
      <c r="D2552" t="s">
        <v>52</v>
      </c>
      <c r="E2552" t="s">
        <v>114</v>
      </c>
      <c r="F2552" t="s">
        <v>115</v>
      </c>
      <c r="G2552" t="s">
        <v>41</v>
      </c>
      <c r="H2552" t="s">
        <v>38</v>
      </c>
      <c r="I2552" s="3">
        <v>25</v>
      </c>
      <c r="J2552" s="2">
        <v>600</v>
      </c>
      <c r="K2552" s="3">
        <f t="shared" si="39"/>
        <v>15000</v>
      </c>
      <c r="L2552" s="3">
        <v>9000</v>
      </c>
    </row>
    <row r="2553" spans="1:12" x14ac:dyDescent="0.25">
      <c r="A2553" t="s">
        <v>23</v>
      </c>
      <c r="B2553">
        <v>1197831</v>
      </c>
      <c r="C2553" s="1">
        <v>44306</v>
      </c>
      <c r="D2553" t="s">
        <v>52</v>
      </c>
      <c r="E2553" t="s">
        <v>114</v>
      </c>
      <c r="F2553" t="s">
        <v>115</v>
      </c>
      <c r="G2553" t="s">
        <v>41</v>
      </c>
      <c r="H2553" t="s">
        <v>35</v>
      </c>
      <c r="I2553" s="3">
        <v>15.000000000000002</v>
      </c>
      <c r="J2553" s="2">
        <v>300</v>
      </c>
      <c r="K2553" s="3">
        <f t="shared" si="39"/>
        <v>4500.0000000000009</v>
      </c>
      <c r="L2553" s="3">
        <v>2700.0000000000005</v>
      </c>
    </row>
    <row r="2554" spans="1:12" x14ac:dyDescent="0.25">
      <c r="A2554" t="s">
        <v>23</v>
      </c>
      <c r="B2554">
        <v>1197831</v>
      </c>
      <c r="C2554" s="1">
        <v>44306</v>
      </c>
      <c r="D2554" t="s">
        <v>52</v>
      </c>
      <c r="E2554" t="s">
        <v>114</v>
      </c>
      <c r="F2554" t="s">
        <v>115</v>
      </c>
      <c r="G2554" t="s">
        <v>41</v>
      </c>
      <c r="H2554" t="s">
        <v>37</v>
      </c>
      <c r="I2554" s="3">
        <v>19.999999999999996</v>
      </c>
      <c r="J2554" s="2">
        <v>225</v>
      </c>
      <c r="K2554" s="3">
        <f t="shared" si="39"/>
        <v>4499.9999999999991</v>
      </c>
      <c r="L2554" s="3">
        <v>2699.9999999999995</v>
      </c>
    </row>
    <row r="2555" spans="1:12" x14ac:dyDescent="0.25">
      <c r="A2555" t="s">
        <v>11</v>
      </c>
      <c r="B2555">
        <v>1197831</v>
      </c>
      <c r="C2555" s="1">
        <v>44306</v>
      </c>
      <c r="D2555" t="s">
        <v>52</v>
      </c>
      <c r="E2555" t="s">
        <v>116</v>
      </c>
      <c r="F2555" t="s">
        <v>117</v>
      </c>
      <c r="G2555" t="s">
        <v>41</v>
      </c>
      <c r="H2555" t="s">
        <v>38</v>
      </c>
      <c r="I2555" s="3">
        <v>25</v>
      </c>
      <c r="J2555" s="2">
        <v>525</v>
      </c>
      <c r="K2555" s="3">
        <f t="shared" si="39"/>
        <v>13125</v>
      </c>
      <c r="L2555" s="3">
        <v>7875</v>
      </c>
    </row>
    <row r="2556" spans="1:12" x14ac:dyDescent="0.25">
      <c r="A2556" t="s">
        <v>11</v>
      </c>
      <c r="B2556">
        <v>1197831</v>
      </c>
      <c r="C2556" s="1">
        <v>44306</v>
      </c>
      <c r="D2556" t="s">
        <v>52</v>
      </c>
      <c r="E2556" t="s">
        <v>116</v>
      </c>
      <c r="F2556" t="s">
        <v>117</v>
      </c>
      <c r="G2556" t="s">
        <v>41</v>
      </c>
      <c r="H2556" t="s">
        <v>35</v>
      </c>
      <c r="I2556" s="3">
        <v>15.000000000000002</v>
      </c>
      <c r="J2556" s="2">
        <v>225</v>
      </c>
      <c r="K2556" s="3">
        <f t="shared" si="39"/>
        <v>3375.0000000000005</v>
      </c>
      <c r="L2556" s="3">
        <v>2025.0000000000005</v>
      </c>
    </row>
    <row r="2557" spans="1:12" x14ac:dyDescent="0.25">
      <c r="A2557" t="s">
        <v>11</v>
      </c>
      <c r="B2557">
        <v>1197831</v>
      </c>
      <c r="C2557" s="1">
        <v>44306</v>
      </c>
      <c r="D2557" t="s">
        <v>52</v>
      </c>
      <c r="E2557" t="s">
        <v>116</v>
      </c>
      <c r="F2557" t="s">
        <v>117</v>
      </c>
      <c r="G2557" t="s">
        <v>41</v>
      </c>
      <c r="H2557" t="s">
        <v>16</v>
      </c>
      <c r="I2557" s="3">
        <v>30.000000000000004</v>
      </c>
      <c r="J2557" s="2">
        <v>325</v>
      </c>
      <c r="K2557" s="3">
        <f t="shared" si="39"/>
        <v>9750.0000000000018</v>
      </c>
      <c r="L2557" s="3">
        <v>5850.0000000000009</v>
      </c>
    </row>
    <row r="2558" spans="1:12" x14ac:dyDescent="0.25">
      <c r="A2558" t="s">
        <v>23</v>
      </c>
      <c r="B2558">
        <v>1197831</v>
      </c>
      <c r="C2558" s="1">
        <v>44306</v>
      </c>
      <c r="D2558" t="s">
        <v>52</v>
      </c>
      <c r="E2558" t="s">
        <v>114</v>
      </c>
      <c r="F2558" t="s">
        <v>115</v>
      </c>
      <c r="G2558" t="s">
        <v>41</v>
      </c>
      <c r="H2558" t="s">
        <v>16</v>
      </c>
      <c r="I2558" s="3">
        <v>30.000000000000004</v>
      </c>
      <c r="J2558" s="2">
        <v>400</v>
      </c>
      <c r="K2558" s="3">
        <f t="shared" si="39"/>
        <v>12000.000000000002</v>
      </c>
      <c r="L2558" s="3">
        <v>7200</v>
      </c>
    </row>
    <row r="2559" spans="1:12" x14ac:dyDescent="0.25">
      <c r="A2559" t="s">
        <v>11</v>
      </c>
      <c r="B2559">
        <v>1197831</v>
      </c>
      <c r="C2559" s="1">
        <v>44306</v>
      </c>
      <c r="D2559" t="s">
        <v>52</v>
      </c>
      <c r="E2559" t="s">
        <v>116</v>
      </c>
      <c r="F2559" t="s">
        <v>117</v>
      </c>
      <c r="G2559" t="s">
        <v>41</v>
      </c>
      <c r="H2559" t="s">
        <v>37</v>
      </c>
      <c r="I2559" s="3">
        <v>19.999999999999996</v>
      </c>
      <c r="J2559" s="2">
        <v>150</v>
      </c>
      <c r="K2559" s="3">
        <f t="shared" si="39"/>
        <v>2999.9999999999995</v>
      </c>
      <c r="L2559" s="3">
        <v>1799.9999999999995</v>
      </c>
    </row>
    <row r="2560" spans="1:12" x14ac:dyDescent="0.25">
      <c r="A2560" t="s">
        <v>26</v>
      </c>
      <c r="B2560">
        <v>1197831</v>
      </c>
      <c r="C2560" s="1">
        <v>44306</v>
      </c>
      <c r="D2560" t="s">
        <v>52</v>
      </c>
      <c r="E2560" t="s">
        <v>97</v>
      </c>
      <c r="F2560" t="s">
        <v>98</v>
      </c>
      <c r="G2560" t="s">
        <v>15</v>
      </c>
      <c r="H2560" t="s">
        <v>16</v>
      </c>
      <c r="I2560" s="3">
        <v>54.999999999999993</v>
      </c>
      <c r="J2560" s="2">
        <v>825</v>
      </c>
      <c r="K2560" s="3">
        <f t="shared" si="39"/>
        <v>45374.999999999993</v>
      </c>
      <c r="L2560" s="3">
        <v>18149.999999999993</v>
      </c>
    </row>
    <row r="2561" spans="1:12" x14ac:dyDescent="0.25">
      <c r="A2561" t="s">
        <v>27</v>
      </c>
      <c r="B2561">
        <v>1189833</v>
      </c>
      <c r="C2561" s="1">
        <v>44306</v>
      </c>
      <c r="D2561" t="s">
        <v>12</v>
      </c>
      <c r="E2561" t="s">
        <v>13</v>
      </c>
      <c r="F2561" t="s">
        <v>28</v>
      </c>
      <c r="G2561" t="s">
        <v>15</v>
      </c>
      <c r="H2561" t="s">
        <v>17</v>
      </c>
      <c r="I2561" s="3">
        <v>35</v>
      </c>
      <c r="J2561" s="2">
        <v>225</v>
      </c>
      <c r="K2561" s="3">
        <f t="shared" si="39"/>
        <v>7875</v>
      </c>
      <c r="L2561" s="3">
        <v>5512.5</v>
      </c>
    </row>
    <row r="2562" spans="1:12" x14ac:dyDescent="0.25">
      <c r="A2562" t="s">
        <v>27</v>
      </c>
      <c r="B2562">
        <v>1189833</v>
      </c>
      <c r="C2562" s="1">
        <v>44306</v>
      </c>
      <c r="D2562" t="s">
        <v>12</v>
      </c>
      <c r="E2562" t="s">
        <v>13</v>
      </c>
      <c r="F2562" t="s">
        <v>28</v>
      </c>
      <c r="G2562" t="s">
        <v>41</v>
      </c>
      <c r="H2562" t="s">
        <v>17</v>
      </c>
      <c r="I2562" s="3">
        <v>47</v>
      </c>
      <c r="J2562" s="2">
        <v>225</v>
      </c>
      <c r="K2562" s="3">
        <f t="shared" si="39"/>
        <v>10575</v>
      </c>
      <c r="L2562" s="3">
        <v>6873.75</v>
      </c>
    </row>
    <row r="2563" spans="1:12" x14ac:dyDescent="0.25">
      <c r="A2563" t="s">
        <v>23</v>
      </c>
      <c r="B2563">
        <v>1197831</v>
      </c>
      <c r="C2563" s="1">
        <v>44306</v>
      </c>
      <c r="D2563" t="s">
        <v>52</v>
      </c>
      <c r="E2563" t="s">
        <v>114</v>
      </c>
      <c r="F2563" t="s">
        <v>115</v>
      </c>
      <c r="G2563" t="s">
        <v>15</v>
      </c>
      <c r="H2563" t="s">
        <v>22</v>
      </c>
      <c r="I2563" s="3">
        <v>31</v>
      </c>
      <c r="J2563" s="2">
        <v>75</v>
      </c>
      <c r="K2563" s="3">
        <f t="shared" ref="K2563:K2626" si="40">I2563*J2563</f>
        <v>2325</v>
      </c>
      <c r="L2563" s="3">
        <v>1464.75</v>
      </c>
    </row>
    <row r="2564" spans="1:12" x14ac:dyDescent="0.25">
      <c r="A2564" t="s">
        <v>11</v>
      </c>
      <c r="B2564">
        <v>1197831</v>
      </c>
      <c r="C2564" s="1">
        <v>44306</v>
      </c>
      <c r="D2564" t="s">
        <v>52</v>
      </c>
      <c r="E2564" t="s">
        <v>116</v>
      </c>
      <c r="F2564" t="s">
        <v>117</v>
      </c>
      <c r="G2564" t="s">
        <v>15</v>
      </c>
      <c r="H2564" t="s">
        <v>22</v>
      </c>
      <c r="I2564" s="3">
        <v>27</v>
      </c>
      <c r="J2564" s="2">
        <v>54</v>
      </c>
      <c r="K2564" s="3">
        <f t="shared" si="40"/>
        <v>1458</v>
      </c>
      <c r="L2564" s="3">
        <v>889.38000000000011</v>
      </c>
    </row>
    <row r="2565" spans="1:12" x14ac:dyDescent="0.25">
      <c r="A2565" t="s">
        <v>11</v>
      </c>
      <c r="B2565">
        <v>1197831</v>
      </c>
      <c r="C2565" s="1">
        <v>44306</v>
      </c>
      <c r="D2565" t="s">
        <v>52</v>
      </c>
      <c r="E2565" t="s">
        <v>116</v>
      </c>
      <c r="F2565" t="s">
        <v>117</v>
      </c>
      <c r="G2565" t="s">
        <v>15</v>
      </c>
      <c r="H2565" t="s">
        <v>17</v>
      </c>
      <c r="I2565" s="3">
        <v>18</v>
      </c>
      <c r="J2565" s="2">
        <v>79</v>
      </c>
      <c r="K2565" s="3">
        <f t="shared" si="40"/>
        <v>1422</v>
      </c>
      <c r="L2565" s="3">
        <v>867.42000000000007</v>
      </c>
    </row>
    <row r="2566" spans="1:12" x14ac:dyDescent="0.25">
      <c r="A2566" t="s">
        <v>23</v>
      </c>
      <c r="B2566">
        <v>1197831</v>
      </c>
      <c r="C2566" s="1">
        <v>44306</v>
      </c>
      <c r="D2566" t="s">
        <v>52</v>
      </c>
      <c r="E2566" t="s">
        <v>114</v>
      </c>
      <c r="F2566" t="s">
        <v>115</v>
      </c>
      <c r="G2566" t="s">
        <v>15</v>
      </c>
      <c r="H2566" t="s">
        <v>17</v>
      </c>
      <c r="I2566" s="3">
        <v>20</v>
      </c>
      <c r="J2566" s="2">
        <v>102</v>
      </c>
      <c r="K2566" s="3">
        <f t="shared" si="40"/>
        <v>2040</v>
      </c>
      <c r="L2566" s="3">
        <v>1224</v>
      </c>
    </row>
    <row r="2567" spans="1:12" x14ac:dyDescent="0.25">
      <c r="A2567" t="s">
        <v>11</v>
      </c>
      <c r="B2567">
        <v>1197831</v>
      </c>
      <c r="C2567" s="1">
        <v>44306</v>
      </c>
      <c r="D2567" t="s">
        <v>52</v>
      </c>
      <c r="E2567" t="s">
        <v>116</v>
      </c>
      <c r="F2567" t="s">
        <v>117</v>
      </c>
      <c r="G2567" t="s">
        <v>15</v>
      </c>
      <c r="H2567" t="s">
        <v>37</v>
      </c>
      <c r="I2567" s="3">
        <v>15</v>
      </c>
      <c r="J2567" s="2">
        <v>47</v>
      </c>
      <c r="K2567" s="3">
        <f t="shared" si="40"/>
        <v>705</v>
      </c>
      <c r="L2567" s="3">
        <v>401.84999999999997</v>
      </c>
    </row>
    <row r="2568" spans="1:12" x14ac:dyDescent="0.25">
      <c r="A2568" t="s">
        <v>11</v>
      </c>
      <c r="B2568">
        <v>1197831</v>
      </c>
      <c r="C2568" s="1">
        <v>44306</v>
      </c>
      <c r="D2568" t="s">
        <v>52</v>
      </c>
      <c r="E2568" t="s">
        <v>116</v>
      </c>
      <c r="F2568" t="s">
        <v>117</v>
      </c>
      <c r="G2568" t="s">
        <v>15</v>
      </c>
      <c r="H2568" t="s">
        <v>16</v>
      </c>
      <c r="I2568" s="3">
        <v>22</v>
      </c>
      <c r="J2568" s="2">
        <v>111</v>
      </c>
      <c r="K2568" s="3">
        <f t="shared" si="40"/>
        <v>2442</v>
      </c>
      <c r="L2568" s="3">
        <v>1391.9399999999998</v>
      </c>
    </row>
    <row r="2569" spans="1:12" x14ac:dyDescent="0.25">
      <c r="A2569" t="s">
        <v>23</v>
      </c>
      <c r="B2569">
        <v>1197831</v>
      </c>
      <c r="C2569" s="1">
        <v>44306</v>
      </c>
      <c r="D2569" t="s">
        <v>52</v>
      </c>
      <c r="E2569" t="s">
        <v>114</v>
      </c>
      <c r="F2569" t="s">
        <v>115</v>
      </c>
      <c r="G2569" t="s">
        <v>15</v>
      </c>
      <c r="H2569" t="s">
        <v>16</v>
      </c>
      <c r="I2569" s="3">
        <v>24</v>
      </c>
      <c r="J2569" s="2">
        <v>120</v>
      </c>
      <c r="K2569" s="3">
        <f t="shared" si="40"/>
        <v>2880</v>
      </c>
      <c r="L2569" s="3">
        <v>1612.8</v>
      </c>
    </row>
    <row r="2570" spans="1:12" x14ac:dyDescent="0.25">
      <c r="A2570" t="s">
        <v>23</v>
      </c>
      <c r="B2570">
        <v>1197831</v>
      </c>
      <c r="C2570" s="1">
        <v>44306</v>
      </c>
      <c r="D2570" t="s">
        <v>52</v>
      </c>
      <c r="E2570" t="s">
        <v>114</v>
      </c>
      <c r="F2570" t="s">
        <v>115</v>
      </c>
      <c r="G2570" t="s">
        <v>15</v>
      </c>
      <c r="H2570" t="s">
        <v>38</v>
      </c>
      <c r="I2570" s="3">
        <v>19</v>
      </c>
      <c r="J2570" s="2">
        <v>204</v>
      </c>
      <c r="K2570" s="3">
        <f t="shared" si="40"/>
        <v>3876</v>
      </c>
      <c r="L2570" s="3">
        <v>2131.8000000000002</v>
      </c>
    </row>
    <row r="2571" spans="1:12" x14ac:dyDescent="0.25">
      <c r="A2571" t="s">
        <v>11</v>
      </c>
      <c r="B2571">
        <v>1197831</v>
      </c>
      <c r="C2571" s="1">
        <v>44306</v>
      </c>
      <c r="D2571" t="s">
        <v>52</v>
      </c>
      <c r="E2571" t="s">
        <v>116</v>
      </c>
      <c r="F2571" t="s">
        <v>117</v>
      </c>
      <c r="G2571" t="s">
        <v>15</v>
      </c>
      <c r="H2571" t="s">
        <v>35</v>
      </c>
      <c r="I2571" s="3">
        <v>10</v>
      </c>
      <c r="J2571" s="2">
        <v>70</v>
      </c>
      <c r="K2571" s="3">
        <f t="shared" si="40"/>
        <v>700</v>
      </c>
      <c r="L2571" s="3">
        <v>378</v>
      </c>
    </row>
    <row r="2572" spans="1:12" x14ac:dyDescent="0.25">
      <c r="A2572" t="s">
        <v>11</v>
      </c>
      <c r="B2572">
        <v>1197831</v>
      </c>
      <c r="C2572" s="1">
        <v>44306</v>
      </c>
      <c r="D2572" t="s">
        <v>52</v>
      </c>
      <c r="E2572" t="s">
        <v>116</v>
      </c>
      <c r="F2572" t="s">
        <v>117</v>
      </c>
      <c r="G2572" t="s">
        <v>15</v>
      </c>
      <c r="H2572" t="s">
        <v>38</v>
      </c>
      <c r="I2572" s="3">
        <v>20</v>
      </c>
      <c r="J2572" s="2">
        <v>184</v>
      </c>
      <c r="K2572" s="3">
        <f t="shared" si="40"/>
        <v>3680</v>
      </c>
      <c r="L2572" s="3">
        <v>1987.1999999999998</v>
      </c>
    </row>
    <row r="2573" spans="1:12" x14ac:dyDescent="0.25">
      <c r="A2573" t="s">
        <v>23</v>
      </c>
      <c r="B2573">
        <v>1197831</v>
      </c>
      <c r="C2573" s="1">
        <v>44306</v>
      </c>
      <c r="D2573" t="s">
        <v>52</v>
      </c>
      <c r="E2573" t="s">
        <v>114</v>
      </c>
      <c r="F2573" t="s">
        <v>115</v>
      </c>
      <c r="G2573" t="s">
        <v>15</v>
      </c>
      <c r="H2573" t="s">
        <v>35</v>
      </c>
      <c r="I2573" s="3">
        <v>11</v>
      </c>
      <c r="J2573" s="2">
        <v>96</v>
      </c>
      <c r="K2573" s="3">
        <f t="shared" si="40"/>
        <v>1056</v>
      </c>
      <c r="L2573" s="3">
        <v>559.67999999999995</v>
      </c>
    </row>
    <row r="2574" spans="1:12" x14ac:dyDescent="0.25">
      <c r="A2574" t="s">
        <v>23</v>
      </c>
      <c r="B2574">
        <v>1197831</v>
      </c>
      <c r="C2574" s="1">
        <v>44306</v>
      </c>
      <c r="D2574" t="s">
        <v>52</v>
      </c>
      <c r="E2574" t="s">
        <v>114</v>
      </c>
      <c r="F2574" t="s">
        <v>115</v>
      </c>
      <c r="G2574" t="s">
        <v>15</v>
      </c>
      <c r="H2574" t="s">
        <v>37</v>
      </c>
      <c r="I2574" s="3">
        <v>13</v>
      </c>
      <c r="J2574" s="2">
        <v>77</v>
      </c>
      <c r="K2574" s="3">
        <f t="shared" si="40"/>
        <v>1001</v>
      </c>
      <c r="L2574" s="3">
        <v>530.53</v>
      </c>
    </row>
    <row r="2575" spans="1:12" x14ac:dyDescent="0.25">
      <c r="A2575" t="s">
        <v>23</v>
      </c>
      <c r="B2575">
        <v>1197831</v>
      </c>
      <c r="C2575" s="1">
        <v>44306</v>
      </c>
      <c r="D2575" t="s">
        <v>52</v>
      </c>
      <c r="E2575" t="s">
        <v>114</v>
      </c>
      <c r="F2575" t="s">
        <v>115</v>
      </c>
      <c r="G2575" t="s">
        <v>41</v>
      </c>
      <c r="H2575" t="s">
        <v>22</v>
      </c>
      <c r="I2575" s="3">
        <v>37</v>
      </c>
      <c r="J2575" s="2">
        <v>73</v>
      </c>
      <c r="K2575" s="3">
        <f t="shared" si="40"/>
        <v>2701</v>
      </c>
      <c r="L2575" s="3">
        <v>1404.52</v>
      </c>
    </row>
    <row r="2576" spans="1:12" x14ac:dyDescent="0.25">
      <c r="A2576" t="s">
        <v>11</v>
      </c>
      <c r="B2576">
        <v>1197831</v>
      </c>
      <c r="C2576" s="1">
        <v>44306</v>
      </c>
      <c r="D2576" t="s">
        <v>52</v>
      </c>
      <c r="E2576" t="s">
        <v>116</v>
      </c>
      <c r="F2576" t="s">
        <v>117</v>
      </c>
      <c r="G2576" t="s">
        <v>41</v>
      </c>
      <c r="H2576" t="s">
        <v>17</v>
      </c>
      <c r="I2576" s="3">
        <v>23</v>
      </c>
      <c r="J2576" s="2">
        <v>65</v>
      </c>
      <c r="K2576" s="3">
        <f t="shared" si="40"/>
        <v>1495</v>
      </c>
      <c r="L2576" s="3">
        <v>777.4</v>
      </c>
    </row>
    <row r="2577" spans="1:12" x14ac:dyDescent="0.25">
      <c r="A2577" t="s">
        <v>23</v>
      </c>
      <c r="B2577">
        <v>1197831</v>
      </c>
      <c r="C2577" s="1">
        <v>44306</v>
      </c>
      <c r="D2577" t="s">
        <v>52</v>
      </c>
      <c r="E2577" t="s">
        <v>114</v>
      </c>
      <c r="F2577" t="s">
        <v>115</v>
      </c>
      <c r="G2577" t="s">
        <v>41</v>
      </c>
      <c r="H2577" t="s">
        <v>17</v>
      </c>
      <c r="I2577" s="3">
        <v>24</v>
      </c>
      <c r="J2577" s="2">
        <v>81</v>
      </c>
      <c r="K2577" s="3">
        <f t="shared" si="40"/>
        <v>1944</v>
      </c>
      <c r="L2577" s="3">
        <v>991.44</v>
      </c>
    </row>
    <row r="2578" spans="1:12" x14ac:dyDescent="0.25">
      <c r="A2578" t="s">
        <v>11</v>
      </c>
      <c r="B2578">
        <v>1197831</v>
      </c>
      <c r="C2578" s="1">
        <v>44306</v>
      </c>
      <c r="D2578" t="s">
        <v>52</v>
      </c>
      <c r="E2578" t="s">
        <v>116</v>
      </c>
      <c r="F2578" t="s">
        <v>117</v>
      </c>
      <c r="G2578" t="s">
        <v>41</v>
      </c>
      <c r="H2578" t="s">
        <v>22</v>
      </c>
      <c r="I2578" s="3">
        <v>38</v>
      </c>
      <c r="J2578" s="2">
        <v>53</v>
      </c>
      <c r="K2578" s="3">
        <f t="shared" si="40"/>
        <v>2014</v>
      </c>
      <c r="L2578" s="3">
        <v>1007</v>
      </c>
    </row>
    <row r="2579" spans="1:12" x14ac:dyDescent="0.25">
      <c r="A2579" t="s">
        <v>23</v>
      </c>
      <c r="B2579">
        <v>1197831</v>
      </c>
      <c r="C2579" s="1">
        <v>44306</v>
      </c>
      <c r="D2579" t="s">
        <v>52</v>
      </c>
      <c r="E2579" t="s">
        <v>114</v>
      </c>
      <c r="F2579" t="s">
        <v>115</v>
      </c>
      <c r="G2579" t="s">
        <v>41</v>
      </c>
      <c r="H2579" t="s">
        <v>16</v>
      </c>
      <c r="I2579" s="3">
        <v>28</v>
      </c>
      <c r="J2579" s="2">
        <v>116</v>
      </c>
      <c r="K2579" s="3">
        <f t="shared" si="40"/>
        <v>3248</v>
      </c>
      <c r="L2579" s="3">
        <v>1591.52</v>
      </c>
    </row>
    <row r="2580" spans="1:12" x14ac:dyDescent="0.25">
      <c r="A2580" t="s">
        <v>23</v>
      </c>
      <c r="B2580">
        <v>1197831</v>
      </c>
      <c r="C2580" s="1">
        <v>44306</v>
      </c>
      <c r="D2580" t="s">
        <v>52</v>
      </c>
      <c r="E2580" t="s">
        <v>114</v>
      </c>
      <c r="F2580" t="s">
        <v>115</v>
      </c>
      <c r="G2580" t="s">
        <v>41</v>
      </c>
      <c r="H2580" t="s">
        <v>35</v>
      </c>
      <c r="I2580" s="3">
        <v>14</v>
      </c>
      <c r="J2580" s="2">
        <v>75</v>
      </c>
      <c r="K2580" s="3">
        <f t="shared" si="40"/>
        <v>1050</v>
      </c>
      <c r="L2580" s="3">
        <v>504</v>
      </c>
    </row>
    <row r="2581" spans="1:12" x14ac:dyDescent="0.25">
      <c r="A2581" t="s">
        <v>23</v>
      </c>
      <c r="B2581">
        <v>1197831</v>
      </c>
      <c r="C2581" s="1">
        <v>44306</v>
      </c>
      <c r="D2581" t="s">
        <v>52</v>
      </c>
      <c r="E2581" t="s">
        <v>114</v>
      </c>
      <c r="F2581" t="s">
        <v>115</v>
      </c>
      <c r="G2581" t="s">
        <v>41</v>
      </c>
      <c r="H2581" t="s">
        <v>37</v>
      </c>
      <c r="I2581" s="3">
        <v>20</v>
      </c>
      <c r="J2581" s="2">
        <v>63</v>
      </c>
      <c r="K2581" s="3">
        <f t="shared" si="40"/>
        <v>1260</v>
      </c>
      <c r="L2581" s="3">
        <v>592.19999999999993</v>
      </c>
    </row>
    <row r="2582" spans="1:12" x14ac:dyDescent="0.25">
      <c r="A2582" t="s">
        <v>11</v>
      </c>
      <c r="B2582">
        <v>1197831</v>
      </c>
      <c r="C2582" s="1">
        <v>44306</v>
      </c>
      <c r="D2582" t="s">
        <v>52</v>
      </c>
      <c r="E2582" t="s">
        <v>116</v>
      </c>
      <c r="F2582" t="s">
        <v>117</v>
      </c>
      <c r="G2582" t="s">
        <v>41</v>
      </c>
      <c r="H2582" t="s">
        <v>38</v>
      </c>
      <c r="I2582" s="3">
        <v>24</v>
      </c>
      <c r="J2582" s="2">
        <v>152</v>
      </c>
      <c r="K2582" s="3">
        <f t="shared" si="40"/>
        <v>3648</v>
      </c>
      <c r="L2582" s="3">
        <v>1714.56</v>
      </c>
    </row>
    <row r="2583" spans="1:12" x14ac:dyDescent="0.25">
      <c r="A2583" t="s">
        <v>11</v>
      </c>
      <c r="B2583">
        <v>1197831</v>
      </c>
      <c r="C2583" s="1">
        <v>44306</v>
      </c>
      <c r="D2583" t="s">
        <v>52</v>
      </c>
      <c r="E2583" t="s">
        <v>116</v>
      </c>
      <c r="F2583" t="s">
        <v>117</v>
      </c>
      <c r="G2583" t="s">
        <v>41</v>
      </c>
      <c r="H2583" t="s">
        <v>35</v>
      </c>
      <c r="I2583" s="3">
        <v>14</v>
      </c>
      <c r="J2583" s="2">
        <v>68</v>
      </c>
      <c r="K2583" s="3">
        <f t="shared" si="40"/>
        <v>952</v>
      </c>
      <c r="L2583" s="3">
        <v>447.44</v>
      </c>
    </row>
    <row r="2584" spans="1:12" x14ac:dyDescent="0.25">
      <c r="A2584" t="s">
        <v>11</v>
      </c>
      <c r="B2584">
        <v>1197831</v>
      </c>
      <c r="C2584" s="1">
        <v>44306</v>
      </c>
      <c r="D2584" t="s">
        <v>52</v>
      </c>
      <c r="E2584" t="s">
        <v>116</v>
      </c>
      <c r="F2584" t="s">
        <v>117</v>
      </c>
      <c r="G2584" t="s">
        <v>41</v>
      </c>
      <c r="H2584" t="s">
        <v>37</v>
      </c>
      <c r="I2584" s="3">
        <v>18</v>
      </c>
      <c r="J2584" s="2">
        <v>45</v>
      </c>
      <c r="K2584" s="3">
        <f t="shared" si="40"/>
        <v>810</v>
      </c>
      <c r="L2584" s="3">
        <v>380.7</v>
      </c>
    </row>
    <row r="2585" spans="1:12" x14ac:dyDescent="0.25">
      <c r="A2585" t="s">
        <v>23</v>
      </c>
      <c r="B2585">
        <v>1197831</v>
      </c>
      <c r="C2585" s="1">
        <v>44306</v>
      </c>
      <c r="D2585" t="s">
        <v>52</v>
      </c>
      <c r="E2585" t="s">
        <v>114</v>
      </c>
      <c r="F2585" t="s">
        <v>115</v>
      </c>
      <c r="G2585" t="s">
        <v>41</v>
      </c>
      <c r="H2585" t="s">
        <v>38</v>
      </c>
      <c r="I2585" s="3">
        <v>23</v>
      </c>
      <c r="J2585" s="2">
        <v>174</v>
      </c>
      <c r="K2585" s="3">
        <f t="shared" si="40"/>
        <v>4002</v>
      </c>
      <c r="L2585" s="3">
        <v>1840.92</v>
      </c>
    </row>
    <row r="2586" spans="1:12" x14ac:dyDescent="0.25">
      <c r="A2586" t="s">
        <v>11</v>
      </c>
      <c r="B2586">
        <v>1197831</v>
      </c>
      <c r="C2586" s="1">
        <v>44306</v>
      </c>
      <c r="D2586" t="s">
        <v>52</v>
      </c>
      <c r="E2586" t="s">
        <v>116</v>
      </c>
      <c r="F2586" t="s">
        <v>117</v>
      </c>
      <c r="G2586" t="s">
        <v>41</v>
      </c>
      <c r="H2586" t="s">
        <v>16</v>
      </c>
      <c r="I2586" s="3">
        <v>28</v>
      </c>
      <c r="J2586" s="2">
        <v>94</v>
      </c>
      <c r="K2586" s="3">
        <f t="shared" si="40"/>
        <v>2632</v>
      </c>
      <c r="L2586" s="3">
        <v>1184.3999999999999</v>
      </c>
    </row>
    <row r="2587" spans="1:12" x14ac:dyDescent="0.25">
      <c r="A2587" t="s">
        <v>26</v>
      </c>
      <c r="B2587">
        <v>1197831</v>
      </c>
      <c r="C2587" s="1">
        <v>44306</v>
      </c>
      <c r="D2587" t="s">
        <v>52</v>
      </c>
      <c r="E2587" t="s">
        <v>97</v>
      </c>
      <c r="F2587" t="s">
        <v>98</v>
      </c>
      <c r="G2587" t="s">
        <v>15</v>
      </c>
      <c r="H2587" t="s">
        <v>16</v>
      </c>
      <c r="I2587" s="3">
        <v>38</v>
      </c>
      <c r="J2587" s="2">
        <v>272</v>
      </c>
      <c r="K2587" s="3">
        <f t="shared" si="40"/>
        <v>10336</v>
      </c>
      <c r="L2587" s="3">
        <v>3927.6799999999985</v>
      </c>
    </row>
    <row r="2588" spans="1:12" x14ac:dyDescent="0.25">
      <c r="A2588" t="s">
        <v>26</v>
      </c>
      <c r="B2588">
        <v>1197831</v>
      </c>
      <c r="C2588" s="1">
        <v>44306</v>
      </c>
      <c r="D2588" t="s">
        <v>52</v>
      </c>
      <c r="E2588" t="s">
        <v>97</v>
      </c>
      <c r="F2588" t="s">
        <v>98</v>
      </c>
      <c r="G2588" t="s">
        <v>41</v>
      </c>
      <c r="H2588" t="s">
        <v>16</v>
      </c>
      <c r="I2588" s="3">
        <v>52</v>
      </c>
      <c r="J2588" s="2">
        <v>223</v>
      </c>
      <c r="K2588" s="3">
        <f t="shared" si="40"/>
        <v>11596</v>
      </c>
      <c r="L2588" s="3">
        <v>3478.7999999999993</v>
      </c>
    </row>
    <row r="2589" spans="1:12" x14ac:dyDescent="0.25">
      <c r="A2589" t="s">
        <v>36</v>
      </c>
      <c r="B2589">
        <v>1185732</v>
      </c>
      <c r="C2589" s="1">
        <v>44307</v>
      </c>
      <c r="D2589" t="s">
        <v>12</v>
      </c>
      <c r="E2589" t="s">
        <v>24</v>
      </c>
      <c r="F2589" t="s">
        <v>25</v>
      </c>
      <c r="G2589" t="s">
        <v>15</v>
      </c>
      <c r="H2589" t="s">
        <v>35</v>
      </c>
      <c r="I2589" s="3">
        <v>45</v>
      </c>
      <c r="J2589" s="2">
        <v>225</v>
      </c>
      <c r="K2589" s="3">
        <f t="shared" si="40"/>
        <v>10125</v>
      </c>
      <c r="L2589" s="3">
        <v>7593.75</v>
      </c>
    </row>
    <row r="2590" spans="1:12" x14ac:dyDescent="0.25">
      <c r="A2590" t="s">
        <v>36</v>
      </c>
      <c r="B2590">
        <v>1185732</v>
      </c>
      <c r="C2590" s="1">
        <v>44307</v>
      </c>
      <c r="D2590" t="s">
        <v>12</v>
      </c>
      <c r="E2590" t="s">
        <v>24</v>
      </c>
      <c r="F2590" t="s">
        <v>25</v>
      </c>
      <c r="G2590" t="s">
        <v>15</v>
      </c>
      <c r="H2590" t="s">
        <v>22</v>
      </c>
      <c r="I2590" s="3">
        <v>60.000000000000007</v>
      </c>
      <c r="J2590" s="2">
        <v>150</v>
      </c>
      <c r="K2590" s="3">
        <f t="shared" si="40"/>
        <v>9000.0000000000018</v>
      </c>
      <c r="L2590" s="3">
        <v>6750.0000000000018</v>
      </c>
    </row>
    <row r="2591" spans="1:12" x14ac:dyDescent="0.25">
      <c r="A2591" t="s">
        <v>36</v>
      </c>
      <c r="B2591">
        <v>1185732</v>
      </c>
      <c r="C2591" s="1">
        <v>44307</v>
      </c>
      <c r="D2591" t="s">
        <v>12</v>
      </c>
      <c r="E2591" t="s">
        <v>24</v>
      </c>
      <c r="F2591" t="s">
        <v>25</v>
      </c>
      <c r="G2591" t="s">
        <v>15</v>
      </c>
      <c r="H2591" t="s">
        <v>37</v>
      </c>
      <c r="I2591" s="3">
        <v>49.999999999999993</v>
      </c>
      <c r="J2591" s="2">
        <v>150</v>
      </c>
      <c r="K2591" s="3">
        <f t="shared" si="40"/>
        <v>7499.9999999999991</v>
      </c>
      <c r="L2591" s="3">
        <v>5624.9999999999982</v>
      </c>
    </row>
    <row r="2592" spans="1:12" x14ac:dyDescent="0.25">
      <c r="A2592" t="s">
        <v>36</v>
      </c>
      <c r="B2592">
        <v>1185732</v>
      </c>
      <c r="C2592" s="1">
        <v>44307</v>
      </c>
      <c r="D2592" t="s">
        <v>12</v>
      </c>
      <c r="E2592" t="s">
        <v>24</v>
      </c>
      <c r="F2592" t="s">
        <v>25</v>
      </c>
      <c r="G2592" t="s">
        <v>15</v>
      </c>
      <c r="H2592" t="s">
        <v>16</v>
      </c>
      <c r="I2592" s="3">
        <v>50</v>
      </c>
      <c r="J2592" s="2">
        <v>300</v>
      </c>
      <c r="K2592" s="3">
        <f t="shared" si="40"/>
        <v>15000</v>
      </c>
      <c r="L2592" s="3">
        <v>10500</v>
      </c>
    </row>
    <row r="2593" spans="1:12" x14ac:dyDescent="0.25">
      <c r="A2593" t="s">
        <v>11</v>
      </c>
      <c r="B2593">
        <v>1185732</v>
      </c>
      <c r="C2593" s="1">
        <v>44307</v>
      </c>
      <c r="D2593" t="s">
        <v>29</v>
      </c>
      <c r="E2593" t="s">
        <v>87</v>
      </c>
      <c r="F2593" t="s">
        <v>88</v>
      </c>
      <c r="G2593" t="s">
        <v>18</v>
      </c>
      <c r="H2593" t="s">
        <v>22</v>
      </c>
      <c r="I2593" s="3">
        <v>45</v>
      </c>
      <c r="J2593" s="2">
        <v>50</v>
      </c>
      <c r="K2593" s="3">
        <f t="shared" si="40"/>
        <v>2250</v>
      </c>
      <c r="L2593" s="3">
        <v>1575</v>
      </c>
    </row>
    <row r="2594" spans="1:12" x14ac:dyDescent="0.25">
      <c r="A2594" t="s">
        <v>11</v>
      </c>
      <c r="B2594">
        <v>1185732</v>
      </c>
      <c r="C2594" s="1">
        <v>44307</v>
      </c>
      <c r="D2594" t="s">
        <v>29</v>
      </c>
      <c r="E2594" t="s">
        <v>87</v>
      </c>
      <c r="F2594" t="s">
        <v>88</v>
      </c>
      <c r="G2594" t="s">
        <v>18</v>
      </c>
      <c r="H2594" t="s">
        <v>16</v>
      </c>
      <c r="I2594" s="3">
        <v>35</v>
      </c>
      <c r="J2594" s="2">
        <v>200</v>
      </c>
      <c r="K2594" s="3">
        <f t="shared" si="40"/>
        <v>7000</v>
      </c>
      <c r="L2594" s="3">
        <v>4900</v>
      </c>
    </row>
    <row r="2595" spans="1:12" x14ac:dyDescent="0.25">
      <c r="A2595" t="s">
        <v>11</v>
      </c>
      <c r="B2595">
        <v>1185732</v>
      </c>
      <c r="C2595" s="1">
        <v>44307</v>
      </c>
      <c r="D2595" t="s">
        <v>29</v>
      </c>
      <c r="E2595" t="s">
        <v>87</v>
      </c>
      <c r="F2595" t="s">
        <v>88</v>
      </c>
      <c r="G2595" t="s">
        <v>18</v>
      </c>
      <c r="H2595" t="s">
        <v>35</v>
      </c>
      <c r="I2595" s="3">
        <v>25.000000000000007</v>
      </c>
      <c r="J2595" s="2">
        <v>125</v>
      </c>
      <c r="K2595" s="3">
        <f t="shared" si="40"/>
        <v>3125.0000000000009</v>
      </c>
      <c r="L2595" s="3">
        <v>2031.2500000000007</v>
      </c>
    </row>
    <row r="2596" spans="1:12" x14ac:dyDescent="0.25">
      <c r="A2596" t="s">
        <v>36</v>
      </c>
      <c r="B2596">
        <v>1185732</v>
      </c>
      <c r="C2596" s="1">
        <v>44307</v>
      </c>
      <c r="D2596" t="s">
        <v>12</v>
      </c>
      <c r="E2596" t="s">
        <v>24</v>
      </c>
      <c r="F2596" t="s">
        <v>25</v>
      </c>
      <c r="G2596" t="s">
        <v>15</v>
      </c>
      <c r="H2596" t="s">
        <v>38</v>
      </c>
      <c r="I2596" s="3">
        <v>55.000000000000007</v>
      </c>
      <c r="J2596" s="2">
        <v>525</v>
      </c>
      <c r="K2596" s="3">
        <f t="shared" si="40"/>
        <v>28875.000000000004</v>
      </c>
      <c r="L2596" s="3">
        <v>18768.750000000004</v>
      </c>
    </row>
    <row r="2597" spans="1:12" x14ac:dyDescent="0.25">
      <c r="A2597" t="s">
        <v>11</v>
      </c>
      <c r="B2597">
        <v>1185732</v>
      </c>
      <c r="C2597" s="1">
        <v>44307</v>
      </c>
      <c r="D2597" t="s">
        <v>29</v>
      </c>
      <c r="E2597" t="s">
        <v>87</v>
      </c>
      <c r="F2597" t="s">
        <v>88</v>
      </c>
      <c r="G2597" t="s">
        <v>18</v>
      </c>
      <c r="H2597" t="s">
        <v>17</v>
      </c>
      <c r="I2597" s="3">
        <v>35</v>
      </c>
      <c r="J2597" s="2">
        <v>125</v>
      </c>
      <c r="K2597" s="3">
        <f t="shared" si="40"/>
        <v>4375</v>
      </c>
      <c r="L2597" s="3">
        <v>2843.75</v>
      </c>
    </row>
    <row r="2598" spans="1:12" x14ac:dyDescent="0.25">
      <c r="A2598" t="s">
        <v>11</v>
      </c>
      <c r="B2598">
        <v>1185732</v>
      </c>
      <c r="C2598" s="1">
        <v>44307</v>
      </c>
      <c r="D2598" t="s">
        <v>29</v>
      </c>
      <c r="E2598" t="s">
        <v>87</v>
      </c>
      <c r="F2598" t="s">
        <v>88</v>
      </c>
      <c r="G2598" t="s">
        <v>18</v>
      </c>
      <c r="H2598" t="s">
        <v>37</v>
      </c>
      <c r="I2598" s="3">
        <v>30</v>
      </c>
      <c r="J2598" s="2">
        <v>50</v>
      </c>
      <c r="K2598" s="3">
        <f t="shared" si="40"/>
        <v>1500</v>
      </c>
      <c r="L2598" s="3">
        <v>975</v>
      </c>
    </row>
    <row r="2599" spans="1:12" x14ac:dyDescent="0.25">
      <c r="A2599" t="s">
        <v>36</v>
      </c>
      <c r="B2599">
        <v>1185732</v>
      </c>
      <c r="C2599" s="1">
        <v>44307</v>
      </c>
      <c r="D2599" t="s">
        <v>12</v>
      </c>
      <c r="E2599" t="s">
        <v>24</v>
      </c>
      <c r="F2599" t="s">
        <v>25</v>
      </c>
      <c r="G2599" t="s">
        <v>15</v>
      </c>
      <c r="H2599" t="s">
        <v>17</v>
      </c>
      <c r="I2599" s="3">
        <v>55.000000000000007</v>
      </c>
      <c r="J2599" s="2">
        <v>225</v>
      </c>
      <c r="K2599" s="3">
        <f t="shared" si="40"/>
        <v>12375.000000000002</v>
      </c>
      <c r="L2599" s="3">
        <v>8043.75</v>
      </c>
    </row>
    <row r="2600" spans="1:12" x14ac:dyDescent="0.25">
      <c r="A2600" t="s">
        <v>27</v>
      </c>
      <c r="B2600">
        <v>1189833</v>
      </c>
      <c r="C2600" s="1">
        <v>44307</v>
      </c>
      <c r="D2600" t="s">
        <v>12</v>
      </c>
      <c r="E2600" t="s">
        <v>13</v>
      </c>
      <c r="F2600" t="s">
        <v>28</v>
      </c>
      <c r="G2600" t="s">
        <v>15</v>
      </c>
      <c r="H2600" t="s">
        <v>35</v>
      </c>
      <c r="I2600" s="3">
        <v>50</v>
      </c>
      <c r="J2600" s="2">
        <v>750</v>
      </c>
      <c r="K2600" s="3">
        <f t="shared" si="40"/>
        <v>37500</v>
      </c>
      <c r="L2600" s="3">
        <v>22500</v>
      </c>
    </row>
    <row r="2601" spans="1:12" x14ac:dyDescent="0.25">
      <c r="A2601" t="s">
        <v>11</v>
      </c>
      <c r="B2601">
        <v>1185732</v>
      </c>
      <c r="C2601" s="1">
        <v>44307</v>
      </c>
      <c r="D2601" t="s">
        <v>29</v>
      </c>
      <c r="E2601" t="s">
        <v>87</v>
      </c>
      <c r="F2601" t="s">
        <v>88</v>
      </c>
      <c r="G2601" t="s">
        <v>18</v>
      </c>
      <c r="H2601" t="s">
        <v>38</v>
      </c>
      <c r="I2601" s="3">
        <v>35</v>
      </c>
      <c r="J2601" s="2">
        <v>425</v>
      </c>
      <c r="K2601" s="3">
        <f t="shared" si="40"/>
        <v>14875</v>
      </c>
      <c r="L2601" s="3">
        <v>8925</v>
      </c>
    </row>
    <row r="2602" spans="1:12" x14ac:dyDescent="0.25">
      <c r="A2602" t="s">
        <v>26</v>
      </c>
      <c r="B2602">
        <v>1197831</v>
      </c>
      <c r="C2602" s="1">
        <v>44307</v>
      </c>
      <c r="D2602" t="s">
        <v>52</v>
      </c>
      <c r="E2602" t="s">
        <v>97</v>
      </c>
      <c r="F2602" t="s">
        <v>98</v>
      </c>
      <c r="G2602" t="s">
        <v>15</v>
      </c>
      <c r="H2602" t="s">
        <v>38</v>
      </c>
      <c r="I2602" s="3">
        <v>45</v>
      </c>
      <c r="J2602" s="2">
        <v>775</v>
      </c>
      <c r="K2602" s="3">
        <f t="shared" si="40"/>
        <v>34875</v>
      </c>
      <c r="L2602" s="3">
        <v>19181.250000000004</v>
      </c>
    </row>
    <row r="2603" spans="1:12" x14ac:dyDescent="0.25">
      <c r="A2603" t="s">
        <v>36</v>
      </c>
      <c r="B2603">
        <v>1185732</v>
      </c>
      <c r="C2603" s="1">
        <v>44307</v>
      </c>
      <c r="D2603" t="s">
        <v>12</v>
      </c>
      <c r="E2603" t="s">
        <v>24</v>
      </c>
      <c r="F2603" t="s">
        <v>25</v>
      </c>
      <c r="G2603" t="s">
        <v>41</v>
      </c>
      <c r="H2603" t="s">
        <v>37</v>
      </c>
      <c r="I2603" s="3">
        <v>47</v>
      </c>
      <c r="J2603" s="2">
        <v>44</v>
      </c>
      <c r="K2603" s="3">
        <f t="shared" si="40"/>
        <v>2068</v>
      </c>
      <c r="L2603" s="3">
        <v>1302.8400000000001</v>
      </c>
    </row>
    <row r="2604" spans="1:12" x14ac:dyDescent="0.25">
      <c r="A2604" t="s">
        <v>36</v>
      </c>
      <c r="B2604">
        <v>1185732</v>
      </c>
      <c r="C2604" s="1">
        <v>44307</v>
      </c>
      <c r="D2604" t="s">
        <v>12</v>
      </c>
      <c r="E2604" t="s">
        <v>24</v>
      </c>
      <c r="F2604" t="s">
        <v>25</v>
      </c>
      <c r="G2604" t="s">
        <v>41</v>
      </c>
      <c r="H2604" t="s">
        <v>22</v>
      </c>
      <c r="I2604" s="3">
        <v>56</v>
      </c>
      <c r="J2604" s="2">
        <v>41</v>
      </c>
      <c r="K2604" s="3">
        <f t="shared" si="40"/>
        <v>2296</v>
      </c>
      <c r="L2604" s="3">
        <v>1446.48</v>
      </c>
    </row>
    <row r="2605" spans="1:12" x14ac:dyDescent="0.25">
      <c r="A2605" t="s">
        <v>36</v>
      </c>
      <c r="B2605">
        <v>1185732</v>
      </c>
      <c r="C2605" s="1">
        <v>44307</v>
      </c>
      <c r="D2605" t="s">
        <v>12</v>
      </c>
      <c r="E2605" t="s">
        <v>24</v>
      </c>
      <c r="F2605" t="s">
        <v>25</v>
      </c>
      <c r="G2605" t="s">
        <v>41</v>
      </c>
      <c r="H2605" t="s">
        <v>35</v>
      </c>
      <c r="I2605" s="3">
        <v>44</v>
      </c>
      <c r="J2605" s="2">
        <v>61</v>
      </c>
      <c r="K2605" s="3">
        <f t="shared" si="40"/>
        <v>2684</v>
      </c>
      <c r="L2605" s="3">
        <v>1610.3999999999999</v>
      </c>
    </row>
    <row r="2606" spans="1:12" x14ac:dyDescent="0.25">
      <c r="A2606" t="s">
        <v>27</v>
      </c>
      <c r="B2606">
        <v>1189833</v>
      </c>
      <c r="C2606" s="1">
        <v>44307</v>
      </c>
      <c r="D2606" t="s">
        <v>12</v>
      </c>
      <c r="E2606" t="s">
        <v>13</v>
      </c>
      <c r="F2606" t="s">
        <v>28</v>
      </c>
      <c r="G2606" t="s">
        <v>15</v>
      </c>
      <c r="H2606" t="s">
        <v>35</v>
      </c>
      <c r="I2606" s="3">
        <v>35</v>
      </c>
      <c r="J2606" s="2">
        <v>233</v>
      </c>
      <c r="K2606" s="3">
        <f t="shared" si="40"/>
        <v>8155</v>
      </c>
      <c r="L2606" s="3">
        <v>4729.8999999999996</v>
      </c>
    </row>
    <row r="2607" spans="1:12" x14ac:dyDescent="0.25">
      <c r="A2607" t="s">
        <v>36</v>
      </c>
      <c r="B2607">
        <v>1185732</v>
      </c>
      <c r="C2607" s="1">
        <v>44307</v>
      </c>
      <c r="D2607" t="s">
        <v>12</v>
      </c>
      <c r="E2607" t="s">
        <v>24</v>
      </c>
      <c r="F2607" t="s">
        <v>25</v>
      </c>
      <c r="G2607" t="s">
        <v>41</v>
      </c>
      <c r="H2607" t="s">
        <v>16</v>
      </c>
      <c r="I2607" s="3">
        <v>49</v>
      </c>
      <c r="J2607" s="2">
        <v>84</v>
      </c>
      <c r="K2607" s="3">
        <f t="shared" si="40"/>
        <v>4116</v>
      </c>
      <c r="L2607" s="3">
        <v>2304.96</v>
      </c>
    </row>
    <row r="2608" spans="1:12" x14ac:dyDescent="0.25">
      <c r="A2608" t="s">
        <v>11</v>
      </c>
      <c r="B2608">
        <v>1185732</v>
      </c>
      <c r="C2608" s="1">
        <v>44307</v>
      </c>
      <c r="D2608" t="s">
        <v>29</v>
      </c>
      <c r="E2608" t="s">
        <v>87</v>
      </c>
      <c r="F2608" t="s">
        <v>88</v>
      </c>
      <c r="G2608" t="s">
        <v>41</v>
      </c>
      <c r="H2608" t="s">
        <v>16</v>
      </c>
      <c r="I2608" s="3">
        <v>32</v>
      </c>
      <c r="J2608" s="2">
        <v>52</v>
      </c>
      <c r="K2608" s="3">
        <f t="shared" si="40"/>
        <v>1664</v>
      </c>
      <c r="L2608" s="3">
        <v>931.84</v>
      </c>
    </row>
    <row r="2609" spans="1:12" x14ac:dyDescent="0.25">
      <c r="A2609" t="s">
        <v>11</v>
      </c>
      <c r="B2609">
        <v>1185732</v>
      </c>
      <c r="C2609" s="1">
        <v>44307</v>
      </c>
      <c r="D2609" t="s">
        <v>29</v>
      </c>
      <c r="E2609" t="s">
        <v>87</v>
      </c>
      <c r="F2609" t="s">
        <v>88</v>
      </c>
      <c r="G2609" t="s">
        <v>41</v>
      </c>
      <c r="H2609" t="s">
        <v>22</v>
      </c>
      <c r="I2609" s="3">
        <v>41</v>
      </c>
      <c r="J2609" s="2">
        <v>15</v>
      </c>
      <c r="K2609" s="3">
        <f t="shared" si="40"/>
        <v>615</v>
      </c>
      <c r="L2609" s="3">
        <v>338.25</v>
      </c>
    </row>
    <row r="2610" spans="1:12" x14ac:dyDescent="0.25">
      <c r="A2610" t="s">
        <v>36</v>
      </c>
      <c r="B2610">
        <v>1185732</v>
      </c>
      <c r="C2610" s="1">
        <v>44307</v>
      </c>
      <c r="D2610" t="s">
        <v>12</v>
      </c>
      <c r="E2610" t="s">
        <v>24</v>
      </c>
      <c r="F2610" t="s">
        <v>25</v>
      </c>
      <c r="G2610" t="s">
        <v>41</v>
      </c>
      <c r="H2610" t="s">
        <v>38</v>
      </c>
      <c r="I2610" s="3">
        <v>54</v>
      </c>
      <c r="J2610" s="2">
        <v>131</v>
      </c>
      <c r="K2610" s="3">
        <f t="shared" si="40"/>
        <v>7074</v>
      </c>
      <c r="L2610" s="3">
        <v>3819.96</v>
      </c>
    </row>
    <row r="2611" spans="1:12" x14ac:dyDescent="0.25">
      <c r="A2611" t="s">
        <v>11</v>
      </c>
      <c r="B2611">
        <v>1185732</v>
      </c>
      <c r="C2611" s="1">
        <v>44307</v>
      </c>
      <c r="D2611" t="s">
        <v>29</v>
      </c>
      <c r="E2611" t="s">
        <v>87</v>
      </c>
      <c r="F2611" t="s">
        <v>88</v>
      </c>
      <c r="G2611" t="s">
        <v>41</v>
      </c>
      <c r="H2611" t="s">
        <v>37</v>
      </c>
      <c r="I2611" s="3">
        <v>27</v>
      </c>
      <c r="J2611" s="2">
        <v>13</v>
      </c>
      <c r="K2611" s="3">
        <f t="shared" si="40"/>
        <v>351</v>
      </c>
      <c r="L2611" s="3">
        <v>186.03</v>
      </c>
    </row>
    <row r="2612" spans="1:12" x14ac:dyDescent="0.25">
      <c r="A2612" t="s">
        <v>11</v>
      </c>
      <c r="B2612">
        <v>1185732</v>
      </c>
      <c r="C2612" s="1">
        <v>44307</v>
      </c>
      <c r="D2612" t="s">
        <v>29</v>
      </c>
      <c r="E2612" t="s">
        <v>87</v>
      </c>
      <c r="F2612" t="s">
        <v>88</v>
      </c>
      <c r="G2612" t="s">
        <v>41</v>
      </c>
      <c r="H2612" t="s">
        <v>17</v>
      </c>
      <c r="I2612" s="3">
        <v>32</v>
      </c>
      <c r="J2612" s="2">
        <v>31</v>
      </c>
      <c r="K2612" s="3">
        <f t="shared" si="40"/>
        <v>992</v>
      </c>
      <c r="L2612" s="3">
        <v>525.76</v>
      </c>
    </row>
    <row r="2613" spans="1:12" x14ac:dyDescent="0.25">
      <c r="A2613" t="s">
        <v>11</v>
      </c>
      <c r="B2613">
        <v>1185732</v>
      </c>
      <c r="C2613" s="1">
        <v>44307</v>
      </c>
      <c r="D2613" t="s">
        <v>29</v>
      </c>
      <c r="E2613" t="s">
        <v>87</v>
      </c>
      <c r="F2613" t="s">
        <v>88</v>
      </c>
      <c r="G2613" t="s">
        <v>41</v>
      </c>
      <c r="H2613" t="s">
        <v>35</v>
      </c>
      <c r="I2613" s="3">
        <v>24</v>
      </c>
      <c r="J2613" s="2">
        <v>33</v>
      </c>
      <c r="K2613" s="3">
        <f t="shared" si="40"/>
        <v>792</v>
      </c>
      <c r="L2613" s="3">
        <v>403.92</v>
      </c>
    </row>
    <row r="2614" spans="1:12" x14ac:dyDescent="0.25">
      <c r="A2614" t="s">
        <v>36</v>
      </c>
      <c r="B2614">
        <v>1185732</v>
      </c>
      <c r="C2614" s="1">
        <v>44307</v>
      </c>
      <c r="D2614" t="s">
        <v>12</v>
      </c>
      <c r="E2614" t="s">
        <v>24</v>
      </c>
      <c r="F2614" t="s">
        <v>25</v>
      </c>
      <c r="G2614" t="s">
        <v>41</v>
      </c>
      <c r="H2614" t="s">
        <v>17</v>
      </c>
      <c r="I2614" s="3">
        <v>50</v>
      </c>
      <c r="J2614" s="2">
        <v>61</v>
      </c>
      <c r="K2614" s="3">
        <f t="shared" si="40"/>
        <v>3050</v>
      </c>
      <c r="L2614" s="3">
        <v>1525</v>
      </c>
    </row>
    <row r="2615" spans="1:12" x14ac:dyDescent="0.25">
      <c r="A2615" t="s">
        <v>11</v>
      </c>
      <c r="B2615">
        <v>1185732</v>
      </c>
      <c r="C2615" s="1">
        <v>44307</v>
      </c>
      <c r="D2615" t="s">
        <v>29</v>
      </c>
      <c r="E2615" t="s">
        <v>87</v>
      </c>
      <c r="F2615" t="s">
        <v>88</v>
      </c>
      <c r="G2615" t="s">
        <v>41</v>
      </c>
      <c r="H2615" t="s">
        <v>38</v>
      </c>
      <c r="I2615" s="3">
        <v>33</v>
      </c>
      <c r="J2615" s="2">
        <v>128</v>
      </c>
      <c r="K2615" s="3">
        <f t="shared" si="40"/>
        <v>4224</v>
      </c>
      <c r="L2615" s="3">
        <v>2069.7599999999998</v>
      </c>
    </row>
    <row r="2616" spans="1:12" x14ac:dyDescent="0.25">
      <c r="A2616" t="s">
        <v>26</v>
      </c>
      <c r="B2616">
        <v>1197831</v>
      </c>
      <c r="C2616" s="1">
        <v>44307</v>
      </c>
      <c r="D2616" t="s">
        <v>52</v>
      </c>
      <c r="E2616" t="s">
        <v>97</v>
      </c>
      <c r="F2616" t="s">
        <v>98</v>
      </c>
      <c r="G2616" t="s">
        <v>15</v>
      </c>
      <c r="H2616" t="s">
        <v>38</v>
      </c>
      <c r="I2616" s="3">
        <v>29</v>
      </c>
      <c r="J2616" s="2">
        <v>233</v>
      </c>
      <c r="K2616" s="3">
        <f t="shared" si="40"/>
        <v>6757</v>
      </c>
      <c r="L2616" s="3">
        <v>3310.93</v>
      </c>
    </row>
    <row r="2617" spans="1:12" x14ac:dyDescent="0.25">
      <c r="A2617" t="s">
        <v>27</v>
      </c>
      <c r="B2617">
        <v>1189833</v>
      </c>
      <c r="C2617" s="1">
        <v>44307</v>
      </c>
      <c r="D2617" t="s">
        <v>12</v>
      </c>
      <c r="E2617" t="s">
        <v>13</v>
      </c>
      <c r="F2617" t="s">
        <v>28</v>
      </c>
      <c r="G2617" t="s">
        <v>41</v>
      </c>
      <c r="H2617" t="s">
        <v>35</v>
      </c>
      <c r="I2617" s="3">
        <v>48</v>
      </c>
      <c r="J2617" s="2">
        <v>203</v>
      </c>
      <c r="K2617" s="3">
        <f t="shared" si="40"/>
        <v>9744</v>
      </c>
      <c r="L2617" s="3">
        <v>4384.7999999999993</v>
      </c>
    </row>
    <row r="2618" spans="1:12" x14ac:dyDescent="0.25">
      <c r="A2618" t="s">
        <v>26</v>
      </c>
      <c r="B2618">
        <v>1197831</v>
      </c>
      <c r="C2618" s="1">
        <v>44307</v>
      </c>
      <c r="D2618" t="s">
        <v>52</v>
      </c>
      <c r="E2618" t="s">
        <v>97</v>
      </c>
      <c r="F2618" t="s">
        <v>98</v>
      </c>
      <c r="G2618" t="s">
        <v>41</v>
      </c>
      <c r="H2618" t="s">
        <v>38</v>
      </c>
      <c r="I2618" s="3">
        <v>41</v>
      </c>
      <c r="J2618" s="2">
        <v>233</v>
      </c>
      <c r="K2618" s="3">
        <f t="shared" si="40"/>
        <v>9553</v>
      </c>
      <c r="L2618" s="3">
        <v>4107.7900000000009</v>
      </c>
    </row>
    <row r="2619" spans="1:12" x14ac:dyDescent="0.25">
      <c r="A2619" t="s">
        <v>27</v>
      </c>
      <c r="B2619">
        <v>1189833</v>
      </c>
      <c r="C2619" s="1">
        <v>44308</v>
      </c>
      <c r="D2619" t="s">
        <v>12</v>
      </c>
      <c r="E2619" t="s">
        <v>13</v>
      </c>
      <c r="F2619" t="s">
        <v>28</v>
      </c>
      <c r="G2619" t="s">
        <v>15</v>
      </c>
      <c r="H2619" t="s">
        <v>37</v>
      </c>
      <c r="I2619" s="3">
        <v>45</v>
      </c>
      <c r="J2619" s="2">
        <v>625</v>
      </c>
      <c r="K2619" s="3">
        <f t="shared" si="40"/>
        <v>28125</v>
      </c>
      <c r="L2619" s="3">
        <v>18281.25</v>
      </c>
    </row>
    <row r="2620" spans="1:12" x14ac:dyDescent="0.25">
      <c r="A2620" t="s">
        <v>36</v>
      </c>
      <c r="B2620">
        <v>1185732</v>
      </c>
      <c r="C2620" s="1">
        <v>44308</v>
      </c>
      <c r="D2620" t="s">
        <v>32</v>
      </c>
      <c r="E2620" t="s">
        <v>120</v>
      </c>
      <c r="F2620" t="s">
        <v>121</v>
      </c>
      <c r="G2620" t="s">
        <v>41</v>
      </c>
      <c r="H2620" t="s">
        <v>17</v>
      </c>
      <c r="I2620" s="3">
        <v>45</v>
      </c>
      <c r="J2620" s="2">
        <v>175</v>
      </c>
      <c r="K2620" s="3">
        <f t="shared" si="40"/>
        <v>7875</v>
      </c>
      <c r="L2620" s="3">
        <v>5118.75</v>
      </c>
    </row>
    <row r="2621" spans="1:12" x14ac:dyDescent="0.25">
      <c r="A2621" t="s">
        <v>36</v>
      </c>
      <c r="B2621">
        <v>1185732</v>
      </c>
      <c r="C2621" s="1">
        <v>44308</v>
      </c>
      <c r="D2621" t="s">
        <v>32</v>
      </c>
      <c r="E2621" t="s">
        <v>120</v>
      </c>
      <c r="F2621" t="s">
        <v>121</v>
      </c>
      <c r="G2621" t="s">
        <v>41</v>
      </c>
      <c r="H2621" t="s">
        <v>22</v>
      </c>
      <c r="I2621" s="3">
        <v>50</v>
      </c>
      <c r="J2621" s="2">
        <v>125</v>
      </c>
      <c r="K2621" s="3">
        <f t="shared" si="40"/>
        <v>6250</v>
      </c>
      <c r="L2621" s="3">
        <v>4062.5</v>
      </c>
    </row>
    <row r="2622" spans="1:12" x14ac:dyDescent="0.25">
      <c r="A2622" t="s">
        <v>36</v>
      </c>
      <c r="B2622">
        <v>1185732</v>
      </c>
      <c r="C2622" s="1">
        <v>44308</v>
      </c>
      <c r="D2622" t="s">
        <v>32</v>
      </c>
      <c r="E2622" t="s">
        <v>120</v>
      </c>
      <c r="F2622" t="s">
        <v>121</v>
      </c>
      <c r="G2622" t="s">
        <v>41</v>
      </c>
      <c r="H2622" t="s">
        <v>38</v>
      </c>
      <c r="I2622" s="3">
        <v>45</v>
      </c>
      <c r="J2622" s="2">
        <v>475</v>
      </c>
      <c r="K2622" s="3">
        <f t="shared" si="40"/>
        <v>21375</v>
      </c>
      <c r="L2622" s="3">
        <v>12825</v>
      </c>
    </row>
    <row r="2623" spans="1:12" x14ac:dyDescent="0.25">
      <c r="A2623" t="s">
        <v>36</v>
      </c>
      <c r="B2623">
        <v>1185732</v>
      </c>
      <c r="C2623" s="1">
        <v>44308</v>
      </c>
      <c r="D2623" t="s">
        <v>32</v>
      </c>
      <c r="E2623" t="s">
        <v>120</v>
      </c>
      <c r="F2623" t="s">
        <v>121</v>
      </c>
      <c r="G2623" t="s">
        <v>41</v>
      </c>
      <c r="H2623" t="s">
        <v>35</v>
      </c>
      <c r="I2623" s="3">
        <v>40</v>
      </c>
      <c r="J2623" s="2">
        <v>175</v>
      </c>
      <c r="K2623" s="3">
        <f t="shared" si="40"/>
        <v>7000</v>
      </c>
      <c r="L2623" s="3">
        <v>4200</v>
      </c>
    </row>
    <row r="2624" spans="1:12" x14ac:dyDescent="0.25">
      <c r="A2624" t="s">
        <v>36</v>
      </c>
      <c r="B2624">
        <v>1185732</v>
      </c>
      <c r="C2624" s="1">
        <v>44308</v>
      </c>
      <c r="D2624" t="s">
        <v>32</v>
      </c>
      <c r="E2624" t="s">
        <v>120</v>
      </c>
      <c r="F2624" t="s">
        <v>121</v>
      </c>
      <c r="G2624" t="s">
        <v>41</v>
      </c>
      <c r="H2624" t="s">
        <v>37</v>
      </c>
      <c r="I2624" s="3">
        <v>45</v>
      </c>
      <c r="J2624" s="2">
        <v>100</v>
      </c>
      <c r="K2624" s="3">
        <f t="shared" si="40"/>
        <v>4500</v>
      </c>
      <c r="L2624" s="3">
        <v>2700</v>
      </c>
    </row>
    <row r="2625" spans="1:12" x14ac:dyDescent="0.25">
      <c r="A2625" t="s">
        <v>36</v>
      </c>
      <c r="B2625">
        <v>1185732</v>
      </c>
      <c r="C2625" s="1">
        <v>44308</v>
      </c>
      <c r="D2625" t="s">
        <v>32</v>
      </c>
      <c r="E2625" t="s">
        <v>120</v>
      </c>
      <c r="F2625" t="s">
        <v>121</v>
      </c>
      <c r="G2625" t="s">
        <v>41</v>
      </c>
      <c r="H2625" t="s">
        <v>16</v>
      </c>
      <c r="I2625" s="3">
        <v>40</v>
      </c>
      <c r="J2625" s="2">
        <v>250</v>
      </c>
      <c r="K2625" s="3">
        <f t="shared" si="40"/>
        <v>10000</v>
      </c>
      <c r="L2625" s="3">
        <v>6000</v>
      </c>
    </row>
    <row r="2626" spans="1:12" x14ac:dyDescent="0.25">
      <c r="A2626" t="s">
        <v>26</v>
      </c>
      <c r="B2626">
        <v>1197831</v>
      </c>
      <c r="C2626" s="1">
        <v>44308</v>
      </c>
      <c r="D2626" t="s">
        <v>52</v>
      </c>
      <c r="E2626" t="s">
        <v>97</v>
      </c>
      <c r="F2626" t="s">
        <v>98</v>
      </c>
      <c r="G2626" t="s">
        <v>15</v>
      </c>
      <c r="H2626" t="s">
        <v>17</v>
      </c>
      <c r="I2626" s="3">
        <v>55.000000000000007</v>
      </c>
      <c r="J2626" s="2">
        <v>775</v>
      </c>
      <c r="K2626" s="3">
        <f t="shared" si="40"/>
        <v>42625.000000000007</v>
      </c>
      <c r="L2626" s="3">
        <v>23443.750000000007</v>
      </c>
    </row>
    <row r="2627" spans="1:12" x14ac:dyDescent="0.25">
      <c r="A2627" t="s">
        <v>27</v>
      </c>
      <c r="B2627">
        <v>1189833</v>
      </c>
      <c r="C2627" s="1">
        <v>44308</v>
      </c>
      <c r="D2627" t="s">
        <v>12</v>
      </c>
      <c r="E2627" t="s">
        <v>13</v>
      </c>
      <c r="F2627" t="s">
        <v>28</v>
      </c>
      <c r="G2627" t="s">
        <v>15</v>
      </c>
      <c r="H2627" t="s">
        <v>37</v>
      </c>
      <c r="I2627" s="3">
        <v>32</v>
      </c>
      <c r="J2627" s="2">
        <v>194</v>
      </c>
      <c r="K2627" s="3">
        <f t="shared" ref="K2627:K2690" si="41">I2627*J2627</f>
        <v>6208</v>
      </c>
      <c r="L2627" s="3">
        <v>3911.04</v>
      </c>
    </row>
    <row r="2628" spans="1:12" x14ac:dyDescent="0.25">
      <c r="A2628" t="s">
        <v>27</v>
      </c>
      <c r="B2628">
        <v>1189833</v>
      </c>
      <c r="C2628" s="1">
        <v>44308</v>
      </c>
      <c r="D2628" t="s">
        <v>12</v>
      </c>
      <c r="E2628" t="s">
        <v>13</v>
      </c>
      <c r="F2628" t="s">
        <v>28</v>
      </c>
      <c r="G2628" t="s">
        <v>41</v>
      </c>
      <c r="H2628" t="s">
        <v>37</v>
      </c>
      <c r="I2628" s="3">
        <v>44</v>
      </c>
      <c r="J2628" s="2">
        <v>175</v>
      </c>
      <c r="K2628" s="3">
        <f t="shared" si="41"/>
        <v>7700</v>
      </c>
      <c r="L2628" s="3">
        <v>4004</v>
      </c>
    </row>
    <row r="2629" spans="1:12" x14ac:dyDescent="0.25">
      <c r="A2629" t="s">
        <v>36</v>
      </c>
      <c r="B2629">
        <v>1185732</v>
      </c>
      <c r="C2629" s="1">
        <v>44308</v>
      </c>
      <c r="D2629" t="s">
        <v>32</v>
      </c>
      <c r="E2629" t="s">
        <v>120</v>
      </c>
      <c r="F2629" t="s">
        <v>121</v>
      </c>
      <c r="G2629" t="s">
        <v>41</v>
      </c>
      <c r="H2629" t="s">
        <v>17</v>
      </c>
      <c r="I2629" s="3">
        <v>41</v>
      </c>
      <c r="J2629" s="2">
        <v>49</v>
      </c>
      <c r="K2629" s="3">
        <f t="shared" si="41"/>
        <v>2009</v>
      </c>
      <c r="L2629" s="3">
        <v>1044.68</v>
      </c>
    </row>
    <row r="2630" spans="1:12" x14ac:dyDescent="0.25">
      <c r="A2630" t="s">
        <v>36</v>
      </c>
      <c r="B2630">
        <v>1185732</v>
      </c>
      <c r="C2630" s="1">
        <v>44308</v>
      </c>
      <c r="D2630" t="s">
        <v>32</v>
      </c>
      <c r="E2630" t="s">
        <v>120</v>
      </c>
      <c r="F2630" t="s">
        <v>121</v>
      </c>
      <c r="G2630" t="s">
        <v>41</v>
      </c>
      <c r="H2630" t="s">
        <v>22</v>
      </c>
      <c r="I2630" s="3">
        <v>47</v>
      </c>
      <c r="J2630" s="2">
        <v>35</v>
      </c>
      <c r="K2630" s="3">
        <f t="shared" si="41"/>
        <v>1645</v>
      </c>
      <c r="L2630" s="3">
        <v>838.95</v>
      </c>
    </row>
    <row r="2631" spans="1:12" x14ac:dyDescent="0.25">
      <c r="A2631" t="s">
        <v>36</v>
      </c>
      <c r="B2631">
        <v>1185732</v>
      </c>
      <c r="C2631" s="1">
        <v>44308</v>
      </c>
      <c r="D2631" t="s">
        <v>32</v>
      </c>
      <c r="E2631" t="s">
        <v>120</v>
      </c>
      <c r="F2631" t="s">
        <v>121</v>
      </c>
      <c r="G2631" t="s">
        <v>41</v>
      </c>
      <c r="H2631" t="s">
        <v>37</v>
      </c>
      <c r="I2631" s="3">
        <v>42</v>
      </c>
      <c r="J2631" s="2">
        <v>29</v>
      </c>
      <c r="K2631" s="3">
        <f t="shared" si="41"/>
        <v>1218</v>
      </c>
      <c r="L2631" s="3">
        <v>609</v>
      </c>
    </row>
    <row r="2632" spans="1:12" x14ac:dyDescent="0.25">
      <c r="A2632" t="s">
        <v>36</v>
      </c>
      <c r="B2632">
        <v>1185732</v>
      </c>
      <c r="C2632" s="1">
        <v>44308</v>
      </c>
      <c r="D2632" t="s">
        <v>32</v>
      </c>
      <c r="E2632" t="s">
        <v>120</v>
      </c>
      <c r="F2632" t="s">
        <v>121</v>
      </c>
      <c r="G2632" t="s">
        <v>41</v>
      </c>
      <c r="H2632" t="s">
        <v>16</v>
      </c>
      <c r="I2632" s="3">
        <v>36</v>
      </c>
      <c r="J2632" s="2">
        <v>75</v>
      </c>
      <c r="K2632" s="3">
        <f t="shared" si="41"/>
        <v>2700</v>
      </c>
      <c r="L2632" s="3">
        <v>1350</v>
      </c>
    </row>
    <row r="2633" spans="1:12" x14ac:dyDescent="0.25">
      <c r="A2633" t="s">
        <v>26</v>
      </c>
      <c r="B2633">
        <v>1197831</v>
      </c>
      <c r="C2633" s="1">
        <v>44308</v>
      </c>
      <c r="D2633" t="s">
        <v>52</v>
      </c>
      <c r="E2633" t="s">
        <v>97</v>
      </c>
      <c r="F2633" t="s">
        <v>98</v>
      </c>
      <c r="G2633" t="s">
        <v>15</v>
      </c>
      <c r="H2633" t="s">
        <v>17</v>
      </c>
      <c r="I2633" s="3">
        <v>44</v>
      </c>
      <c r="J2633" s="2">
        <v>271</v>
      </c>
      <c r="K2633" s="3">
        <f t="shared" si="41"/>
        <v>11924</v>
      </c>
      <c r="L2633" s="3">
        <v>5842.76</v>
      </c>
    </row>
    <row r="2634" spans="1:12" x14ac:dyDescent="0.25">
      <c r="A2634" t="s">
        <v>36</v>
      </c>
      <c r="B2634">
        <v>1185732</v>
      </c>
      <c r="C2634" s="1">
        <v>44308</v>
      </c>
      <c r="D2634" t="s">
        <v>32</v>
      </c>
      <c r="E2634" t="s">
        <v>120</v>
      </c>
      <c r="F2634" t="s">
        <v>121</v>
      </c>
      <c r="G2634" t="s">
        <v>41</v>
      </c>
      <c r="H2634" t="s">
        <v>38</v>
      </c>
      <c r="I2634" s="3">
        <v>41</v>
      </c>
      <c r="J2634" s="2">
        <v>119</v>
      </c>
      <c r="K2634" s="3">
        <f t="shared" si="41"/>
        <v>4879</v>
      </c>
      <c r="L2634" s="3">
        <v>2195.5499999999997</v>
      </c>
    </row>
    <row r="2635" spans="1:12" x14ac:dyDescent="0.25">
      <c r="A2635" t="s">
        <v>36</v>
      </c>
      <c r="B2635">
        <v>1185732</v>
      </c>
      <c r="C2635" s="1">
        <v>44308</v>
      </c>
      <c r="D2635" t="s">
        <v>32</v>
      </c>
      <c r="E2635" t="s">
        <v>120</v>
      </c>
      <c r="F2635" t="s">
        <v>121</v>
      </c>
      <c r="G2635" t="s">
        <v>41</v>
      </c>
      <c r="H2635" t="s">
        <v>35</v>
      </c>
      <c r="I2635" s="3">
        <v>38</v>
      </c>
      <c r="J2635" s="2">
        <v>49</v>
      </c>
      <c r="K2635" s="3">
        <f t="shared" si="41"/>
        <v>1862</v>
      </c>
      <c r="L2635" s="3">
        <v>837.89999999999986</v>
      </c>
    </row>
    <row r="2636" spans="1:12" x14ac:dyDescent="0.25">
      <c r="A2636" t="s">
        <v>26</v>
      </c>
      <c r="B2636">
        <v>1197831</v>
      </c>
      <c r="C2636" s="1">
        <v>44308</v>
      </c>
      <c r="D2636" t="s">
        <v>52</v>
      </c>
      <c r="E2636" t="s">
        <v>97</v>
      </c>
      <c r="F2636" t="s">
        <v>98</v>
      </c>
      <c r="G2636" t="s">
        <v>41</v>
      </c>
      <c r="H2636" t="s">
        <v>17</v>
      </c>
      <c r="I2636" s="3">
        <v>54</v>
      </c>
      <c r="J2636" s="2">
        <v>233</v>
      </c>
      <c r="K2636" s="3">
        <f t="shared" si="41"/>
        <v>12582</v>
      </c>
      <c r="L2636" s="3">
        <v>5410.26</v>
      </c>
    </row>
    <row r="2637" spans="1:12" x14ac:dyDescent="0.25">
      <c r="A2637" t="s">
        <v>19</v>
      </c>
      <c r="B2637">
        <v>1128299</v>
      </c>
      <c r="C2637" s="1">
        <v>44309</v>
      </c>
      <c r="D2637" t="s">
        <v>12</v>
      </c>
      <c r="E2637" t="s">
        <v>39</v>
      </c>
      <c r="F2637" t="s">
        <v>40</v>
      </c>
      <c r="G2637" t="s">
        <v>41</v>
      </c>
      <c r="H2637" t="s">
        <v>16</v>
      </c>
      <c r="I2637" s="3">
        <v>70</v>
      </c>
      <c r="J2637" s="2">
        <v>325</v>
      </c>
      <c r="K2637" s="3">
        <f t="shared" si="41"/>
        <v>22750</v>
      </c>
      <c r="L2637" s="3">
        <v>17062.5</v>
      </c>
    </row>
    <row r="2638" spans="1:12" x14ac:dyDescent="0.25">
      <c r="A2638" t="s">
        <v>19</v>
      </c>
      <c r="B2638">
        <v>1128299</v>
      </c>
      <c r="C2638" s="1">
        <v>44309</v>
      </c>
      <c r="D2638" t="s">
        <v>12</v>
      </c>
      <c r="E2638" t="s">
        <v>39</v>
      </c>
      <c r="F2638" t="s">
        <v>40</v>
      </c>
      <c r="G2638" t="s">
        <v>41</v>
      </c>
      <c r="H2638" t="s">
        <v>22</v>
      </c>
      <c r="I2638" s="3">
        <v>55.000000000000007</v>
      </c>
      <c r="J2638" s="2">
        <v>150</v>
      </c>
      <c r="K2638" s="3">
        <f t="shared" si="41"/>
        <v>8250.0000000000018</v>
      </c>
      <c r="L2638" s="3">
        <v>5775.0000000000018</v>
      </c>
    </row>
    <row r="2639" spans="1:12" x14ac:dyDescent="0.25">
      <c r="A2639" t="s">
        <v>19</v>
      </c>
      <c r="B2639">
        <v>1128299</v>
      </c>
      <c r="C2639" s="1">
        <v>44309</v>
      </c>
      <c r="D2639" t="s">
        <v>12</v>
      </c>
      <c r="E2639" t="s">
        <v>39</v>
      </c>
      <c r="F2639" t="s">
        <v>40</v>
      </c>
      <c r="G2639" t="s">
        <v>41</v>
      </c>
      <c r="H2639" t="s">
        <v>35</v>
      </c>
      <c r="I2639" s="3">
        <v>55.000000000000007</v>
      </c>
      <c r="J2639" s="2">
        <v>350</v>
      </c>
      <c r="K2639" s="3">
        <f t="shared" si="41"/>
        <v>19250.000000000004</v>
      </c>
      <c r="L2639" s="3">
        <v>12512.500000000004</v>
      </c>
    </row>
    <row r="2640" spans="1:12" x14ac:dyDescent="0.25">
      <c r="A2640" t="s">
        <v>19</v>
      </c>
      <c r="B2640">
        <v>1128299</v>
      </c>
      <c r="C2640" s="1">
        <v>44309</v>
      </c>
      <c r="D2640" t="s">
        <v>12</v>
      </c>
      <c r="E2640" t="s">
        <v>39</v>
      </c>
      <c r="F2640" t="s">
        <v>40</v>
      </c>
      <c r="G2640" t="s">
        <v>41</v>
      </c>
      <c r="H2640" t="s">
        <v>38</v>
      </c>
      <c r="I2640" s="3">
        <v>50</v>
      </c>
      <c r="J2640" s="2">
        <v>500</v>
      </c>
      <c r="K2640" s="3">
        <f t="shared" si="41"/>
        <v>25000</v>
      </c>
      <c r="L2640" s="3">
        <v>16250</v>
      </c>
    </row>
    <row r="2641" spans="1:12" x14ac:dyDescent="0.25">
      <c r="A2641" t="s">
        <v>19</v>
      </c>
      <c r="B2641">
        <v>1128299</v>
      </c>
      <c r="C2641" s="1">
        <v>44309</v>
      </c>
      <c r="D2641" t="s">
        <v>12</v>
      </c>
      <c r="E2641" t="s">
        <v>39</v>
      </c>
      <c r="F2641" t="s">
        <v>40</v>
      </c>
      <c r="G2641" t="s">
        <v>41</v>
      </c>
      <c r="H2641" t="s">
        <v>37</v>
      </c>
      <c r="I2641" s="3">
        <v>50</v>
      </c>
      <c r="J2641" s="2">
        <v>250</v>
      </c>
      <c r="K2641" s="3">
        <f t="shared" si="41"/>
        <v>12500</v>
      </c>
      <c r="L2641" s="3">
        <v>8125</v>
      </c>
    </row>
    <row r="2642" spans="1:12" x14ac:dyDescent="0.25">
      <c r="A2642" t="s">
        <v>19</v>
      </c>
      <c r="B2642">
        <v>1128299</v>
      </c>
      <c r="C2642" s="1">
        <v>44309</v>
      </c>
      <c r="D2642" t="s">
        <v>12</v>
      </c>
      <c r="E2642" t="s">
        <v>39</v>
      </c>
      <c r="F2642" t="s">
        <v>40</v>
      </c>
      <c r="G2642" t="s">
        <v>41</v>
      </c>
      <c r="H2642" t="s">
        <v>17</v>
      </c>
      <c r="I2642" s="3">
        <v>55.000000000000007</v>
      </c>
      <c r="J2642" s="2">
        <v>300</v>
      </c>
      <c r="K2642" s="3">
        <f t="shared" si="41"/>
        <v>16500.000000000004</v>
      </c>
      <c r="L2642" s="3">
        <v>9900.0000000000018</v>
      </c>
    </row>
    <row r="2643" spans="1:12" x14ac:dyDescent="0.25">
      <c r="A2643" t="s">
        <v>26</v>
      </c>
      <c r="B2643">
        <v>1197831</v>
      </c>
      <c r="C2643" s="1">
        <v>44309</v>
      </c>
      <c r="D2643" t="s">
        <v>52</v>
      </c>
      <c r="E2643" t="s">
        <v>97</v>
      </c>
      <c r="F2643" t="s">
        <v>98</v>
      </c>
      <c r="G2643" t="s">
        <v>15</v>
      </c>
      <c r="H2643" t="s">
        <v>35</v>
      </c>
      <c r="I2643" s="3">
        <v>50</v>
      </c>
      <c r="J2643" s="2">
        <v>950</v>
      </c>
      <c r="K2643" s="3">
        <f t="shared" si="41"/>
        <v>47500</v>
      </c>
      <c r="L2643" s="3">
        <v>26125.000000000004</v>
      </c>
    </row>
    <row r="2644" spans="1:12" x14ac:dyDescent="0.25">
      <c r="A2644" t="s">
        <v>27</v>
      </c>
      <c r="B2644">
        <v>1189833</v>
      </c>
      <c r="C2644" s="1">
        <v>44309</v>
      </c>
      <c r="D2644" t="s">
        <v>12</v>
      </c>
      <c r="E2644" t="s">
        <v>13</v>
      </c>
      <c r="F2644" t="s">
        <v>28</v>
      </c>
      <c r="G2644" t="s">
        <v>15</v>
      </c>
      <c r="H2644" t="s">
        <v>22</v>
      </c>
      <c r="I2644" s="3">
        <v>50</v>
      </c>
      <c r="J2644" s="2">
        <v>500</v>
      </c>
      <c r="K2644" s="3">
        <f t="shared" si="41"/>
        <v>25000</v>
      </c>
      <c r="L2644" s="3">
        <v>11250</v>
      </c>
    </row>
    <row r="2645" spans="1:12" x14ac:dyDescent="0.25">
      <c r="A2645" t="s">
        <v>19</v>
      </c>
      <c r="B2645">
        <v>1128299</v>
      </c>
      <c r="C2645" s="1">
        <v>44309</v>
      </c>
      <c r="D2645" t="s">
        <v>12</v>
      </c>
      <c r="E2645" t="s">
        <v>39</v>
      </c>
      <c r="F2645" t="s">
        <v>40</v>
      </c>
      <c r="G2645" t="s">
        <v>15</v>
      </c>
      <c r="H2645" t="s">
        <v>16</v>
      </c>
      <c r="I2645" s="3">
        <v>49</v>
      </c>
      <c r="J2645" s="2">
        <v>111</v>
      </c>
      <c r="K2645" s="3">
        <f t="shared" si="41"/>
        <v>5439</v>
      </c>
      <c r="L2645" s="3">
        <v>3807.3</v>
      </c>
    </row>
    <row r="2646" spans="1:12" x14ac:dyDescent="0.25">
      <c r="A2646" t="s">
        <v>19</v>
      </c>
      <c r="B2646">
        <v>1128299</v>
      </c>
      <c r="C2646" s="1">
        <v>44309</v>
      </c>
      <c r="D2646" t="s">
        <v>12</v>
      </c>
      <c r="E2646" t="s">
        <v>39</v>
      </c>
      <c r="F2646" t="s">
        <v>40</v>
      </c>
      <c r="G2646" t="s">
        <v>15</v>
      </c>
      <c r="H2646" t="s">
        <v>22</v>
      </c>
      <c r="I2646" s="3">
        <v>43</v>
      </c>
      <c r="J2646" s="2">
        <v>47</v>
      </c>
      <c r="K2646" s="3">
        <f t="shared" si="41"/>
        <v>2021</v>
      </c>
      <c r="L2646" s="3">
        <v>1333.8600000000001</v>
      </c>
    </row>
    <row r="2647" spans="1:12" x14ac:dyDescent="0.25">
      <c r="A2647" t="s">
        <v>19</v>
      </c>
      <c r="B2647">
        <v>1128299</v>
      </c>
      <c r="C2647" s="1">
        <v>44309</v>
      </c>
      <c r="D2647" t="s">
        <v>12</v>
      </c>
      <c r="E2647" t="s">
        <v>39</v>
      </c>
      <c r="F2647" t="s">
        <v>40</v>
      </c>
      <c r="G2647" t="s">
        <v>41</v>
      </c>
      <c r="H2647" t="s">
        <v>16</v>
      </c>
      <c r="I2647" s="3">
        <v>67</v>
      </c>
      <c r="J2647" s="2">
        <v>94</v>
      </c>
      <c r="K2647" s="3">
        <f t="shared" si="41"/>
        <v>6298</v>
      </c>
      <c r="L2647" s="3">
        <v>4030.7200000000003</v>
      </c>
    </row>
    <row r="2648" spans="1:12" x14ac:dyDescent="0.25">
      <c r="A2648" t="s">
        <v>19</v>
      </c>
      <c r="B2648">
        <v>1128299</v>
      </c>
      <c r="C2648" s="1">
        <v>44309</v>
      </c>
      <c r="D2648" t="s">
        <v>12</v>
      </c>
      <c r="E2648" t="s">
        <v>39</v>
      </c>
      <c r="F2648" t="s">
        <v>40</v>
      </c>
      <c r="G2648" t="s">
        <v>15</v>
      </c>
      <c r="H2648" t="s">
        <v>35</v>
      </c>
      <c r="I2648" s="3">
        <v>42</v>
      </c>
      <c r="J2648" s="2">
        <v>123</v>
      </c>
      <c r="K2648" s="3">
        <f t="shared" si="41"/>
        <v>5166</v>
      </c>
      <c r="L2648" s="3">
        <v>3254.58</v>
      </c>
    </row>
    <row r="2649" spans="1:12" x14ac:dyDescent="0.25">
      <c r="A2649" t="s">
        <v>19</v>
      </c>
      <c r="B2649">
        <v>1128299</v>
      </c>
      <c r="C2649" s="1">
        <v>44309</v>
      </c>
      <c r="D2649" t="s">
        <v>12</v>
      </c>
      <c r="E2649" t="s">
        <v>39</v>
      </c>
      <c r="F2649" t="s">
        <v>40</v>
      </c>
      <c r="G2649" t="s">
        <v>15</v>
      </c>
      <c r="H2649" t="s">
        <v>38</v>
      </c>
      <c r="I2649" s="3">
        <v>40</v>
      </c>
      <c r="J2649" s="2">
        <v>175</v>
      </c>
      <c r="K2649" s="3">
        <f t="shared" si="41"/>
        <v>7000</v>
      </c>
      <c r="L2649" s="3">
        <v>4340</v>
      </c>
    </row>
    <row r="2650" spans="1:12" x14ac:dyDescent="0.25">
      <c r="A2650" t="s">
        <v>19</v>
      </c>
      <c r="B2650">
        <v>1128299</v>
      </c>
      <c r="C2650" s="1">
        <v>44309</v>
      </c>
      <c r="D2650" t="s">
        <v>12</v>
      </c>
      <c r="E2650" t="s">
        <v>39</v>
      </c>
      <c r="F2650" t="s">
        <v>40</v>
      </c>
      <c r="G2650" t="s">
        <v>15</v>
      </c>
      <c r="H2650" t="s">
        <v>37</v>
      </c>
      <c r="I2650" s="3">
        <v>40</v>
      </c>
      <c r="J2650" s="2">
        <v>78</v>
      </c>
      <c r="K2650" s="3">
        <f t="shared" si="41"/>
        <v>3120</v>
      </c>
      <c r="L2650" s="3">
        <v>1872</v>
      </c>
    </row>
    <row r="2651" spans="1:12" x14ac:dyDescent="0.25">
      <c r="A2651" t="s">
        <v>19</v>
      </c>
      <c r="B2651">
        <v>1128299</v>
      </c>
      <c r="C2651" s="1">
        <v>44309</v>
      </c>
      <c r="D2651" t="s">
        <v>12</v>
      </c>
      <c r="E2651" t="s">
        <v>39</v>
      </c>
      <c r="F2651" t="s">
        <v>40</v>
      </c>
      <c r="G2651" t="s">
        <v>41</v>
      </c>
      <c r="H2651" t="s">
        <v>22</v>
      </c>
      <c r="I2651" s="3">
        <v>50</v>
      </c>
      <c r="J2651" s="2">
        <v>39</v>
      </c>
      <c r="K2651" s="3">
        <f t="shared" si="41"/>
        <v>1950</v>
      </c>
      <c r="L2651" s="3">
        <v>1131</v>
      </c>
    </row>
    <row r="2652" spans="1:12" x14ac:dyDescent="0.25">
      <c r="A2652" t="s">
        <v>19</v>
      </c>
      <c r="B2652">
        <v>1128299</v>
      </c>
      <c r="C2652" s="1">
        <v>44309</v>
      </c>
      <c r="D2652" t="s">
        <v>12</v>
      </c>
      <c r="E2652" t="s">
        <v>39</v>
      </c>
      <c r="F2652" t="s">
        <v>40</v>
      </c>
      <c r="G2652" t="s">
        <v>15</v>
      </c>
      <c r="H2652" t="s">
        <v>17</v>
      </c>
      <c r="I2652" s="3">
        <v>37</v>
      </c>
      <c r="J2652" s="2">
        <v>90</v>
      </c>
      <c r="K2652" s="3">
        <f t="shared" si="41"/>
        <v>3330</v>
      </c>
      <c r="L2652" s="3">
        <v>1864.8</v>
      </c>
    </row>
    <row r="2653" spans="1:12" x14ac:dyDescent="0.25">
      <c r="A2653" t="s">
        <v>19</v>
      </c>
      <c r="B2653">
        <v>1128299</v>
      </c>
      <c r="C2653" s="1">
        <v>44309</v>
      </c>
      <c r="D2653" t="s">
        <v>12</v>
      </c>
      <c r="E2653" t="s">
        <v>39</v>
      </c>
      <c r="F2653" t="s">
        <v>40</v>
      </c>
      <c r="G2653" t="s">
        <v>41</v>
      </c>
      <c r="H2653" t="s">
        <v>38</v>
      </c>
      <c r="I2653" s="3">
        <v>48</v>
      </c>
      <c r="J2653" s="2">
        <v>130</v>
      </c>
      <c r="K2653" s="3">
        <f t="shared" si="41"/>
        <v>6240</v>
      </c>
      <c r="L2653" s="3">
        <v>3432.0000000000005</v>
      </c>
    </row>
    <row r="2654" spans="1:12" x14ac:dyDescent="0.25">
      <c r="A2654" t="s">
        <v>26</v>
      </c>
      <c r="B2654">
        <v>1197831</v>
      </c>
      <c r="C2654" s="1">
        <v>44309</v>
      </c>
      <c r="D2654" t="s">
        <v>52</v>
      </c>
      <c r="E2654" t="s">
        <v>97</v>
      </c>
      <c r="F2654" t="s">
        <v>98</v>
      </c>
      <c r="G2654" t="s">
        <v>15</v>
      </c>
      <c r="H2654" t="s">
        <v>35</v>
      </c>
      <c r="I2654" s="3">
        <v>39</v>
      </c>
      <c r="J2654" s="2">
        <v>314</v>
      </c>
      <c r="K2654" s="3">
        <f t="shared" si="41"/>
        <v>12246</v>
      </c>
      <c r="L2654" s="3">
        <v>6490.38</v>
      </c>
    </row>
    <row r="2655" spans="1:12" x14ac:dyDescent="0.25">
      <c r="A2655" t="s">
        <v>19</v>
      </c>
      <c r="B2655">
        <v>1128299</v>
      </c>
      <c r="C2655" s="1">
        <v>44309</v>
      </c>
      <c r="D2655" t="s">
        <v>12</v>
      </c>
      <c r="E2655" t="s">
        <v>39</v>
      </c>
      <c r="F2655" t="s">
        <v>40</v>
      </c>
      <c r="G2655" t="s">
        <v>41</v>
      </c>
      <c r="H2655" t="s">
        <v>17</v>
      </c>
      <c r="I2655" s="3">
        <v>53</v>
      </c>
      <c r="J2655" s="2">
        <v>90</v>
      </c>
      <c r="K2655" s="3">
        <f t="shared" si="41"/>
        <v>4770</v>
      </c>
      <c r="L2655" s="3">
        <v>2385</v>
      </c>
    </row>
    <row r="2656" spans="1:12" x14ac:dyDescent="0.25">
      <c r="A2656" t="s">
        <v>19</v>
      </c>
      <c r="B2656">
        <v>1128299</v>
      </c>
      <c r="C2656" s="1">
        <v>44309</v>
      </c>
      <c r="D2656" t="s">
        <v>12</v>
      </c>
      <c r="E2656" t="s">
        <v>39</v>
      </c>
      <c r="F2656" t="s">
        <v>40</v>
      </c>
      <c r="G2656" t="s">
        <v>41</v>
      </c>
      <c r="H2656" t="s">
        <v>35</v>
      </c>
      <c r="I2656" s="3">
        <v>50</v>
      </c>
      <c r="J2656" s="2">
        <v>102</v>
      </c>
      <c r="K2656" s="3">
        <f t="shared" si="41"/>
        <v>5100</v>
      </c>
      <c r="L2656" s="3">
        <v>2550</v>
      </c>
    </row>
    <row r="2657" spans="1:12" x14ac:dyDescent="0.25">
      <c r="A2657" t="s">
        <v>19</v>
      </c>
      <c r="B2657">
        <v>1128299</v>
      </c>
      <c r="C2657" s="1">
        <v>44309</v>
      </c>
      <c r="D2657" t="s">
        <v>12</v>
      </c>
      <c r="E2657" t="s">
        <v>39</v>
      </c>
      <c r="F2657" t="s">
        <v>40</v>
      </c>
      <c r="G2657" t="s">
        <v>41</v>
      </c>
      <c r="H2657" t="s">
        <v>37</v>
      </c>
      <c r="I2657" s="3">
        <v>46</v>
      </c>
      <c r="J2657" s="2">
        <v>75</v>
      </c>
      <c r="K2657" s="3">
        <f t="shared" si="41"/>
        <v>3450</v>
      </c>
      <c r="L2657" s="3">
        <v>1725</v>
      </c>
    </row>
    <row r="2658" spans="1:12" x14ac:dyDescent="0.25">
      <c r="A2658" t="s">
        <v>26</v>
      </c>
      <c r="B2658">
        <v>1197831</v>
      </c>
      <c r="C2658" s="1">
        <v>44309</v>
      </c>
      <c r="D2658" t="s">
        <v>52</v>
      </c>
      <c r="E2658" t="s">
        <v>97</v>
      </c>
      <c r="F2658" t="s">
        <v>98</v>
      </c>
      <c r="G2658" t="s">
        <v>41</v>
      </c>
      <c r="H2658" t="s">
        <v>35</v>
      </c>
      <c r="I2658" s="3">
        <v>46</v>
      </c>
      <c r="J2658" s="2">
        <v>285</v>
      </c>
      <c r="K2658" s="3">
        <f t="shared" si="41"/>
        <v>13110</v>
      </c>
      <c r="L2658" s="3">
        <v>5244</v>
      </c>
    </row>
    <row r="2659" spans="1:12" x14ac:dyDescent="0.25">
      <c r="A2659" t="s">
        <v>27</v>
      </c>
      <c r="B2659">
        <v>1189833</v>
      </c>
      <c r="C2659" s="1">
        <v>44309</v>
      </c>
      <c r="D2659" t="s">
        <v>12</v>
      </c>
      <c r="E2659" t="s">
        <v>13</v>
      </c>
      <c r="F2659" t="s">
        <v>28</v>
      </c>
      <c r="G2659" t="s">
        <v>15</v>
      </c>
      <c r="H2659" t="s">
        <v>22</v>
      </c>
      <c r="I2659" s="3">
        <v>39</v>
      </c>
      <c r="J2659" s="2">
        <v>165</v>
      </c>
      <c r="K2659" s="3">
        <f t="shared" si="41"/>
        <v>6435</v>
      </c>
      <c r="L2659" s="3">
        <v>2573.9999999999995</v>
      </c>
    </row>
    <row r="2660" spans="1:12" x14ac:dyDescent="0.25">
      <c r="A2660" t="s">
        <v>27</v>
      </c>
      <c r="B2660">
        <v>1189833</v>
      </c>
      <c r="C2660" s="1">
        <v>44309</v>
      </c>
      <c r="D2660" t="s">
        <v>12</v>
      </c>
      <c r="E2660" t="s">
        <v>13</v>
      </c>
      <c r="F2660" t="s">
        <v>28</v>
      </c>
      <c r="G2660" t="s">
        <v>41</v>
      </c>
      <c r="H2660" t="s">
        <v>22</v>
      </c>
      <c r="I2660" s="3">
        <v>45</v>
      </c>
      <c r="J2660" s="2">
        <v>125</v>
      </c>
      <c r="K2660" s="3">
        <f t="shared" si="41"/>
        <v>5625</v>
      </c>
      <c r="L2660" s="3">
        <v>1743.7499999999995</v>
      </c>
    </row>
    <row r="2661" spans="1:12" x14ac:dyDescent="0.25">
      <c r="A2661" t="s">
        <v>27</v>
      </c>
      <c r="B2661">
        <v>1189833</v>
      </c>
      <c r="C2661" s="1">
        <v>44310</v>
      </c>
      <c r="D2661" t="s">
        <v>12</v>
      </c>
      <c r="E2661" t="s">
        <v>13</v>
      </c>
      <c r="F2661" t="s">
        <v>28</v>
      </c>
      <c r="G2661" t="s">
        <v>15</v>
      </c>
      <c r="H2661" t="s">
        <v>16</v>
      </c>
      <c r="I2661" s="3">
        <v>65</v>
      </c>
      <c r="J2661" s="2">
        <v>800</v>
      </c>
      <c r="K2661" s="3">
        <f t="shared" si="41"/>
        <v>52000</v>
      </c>
      <c r="L2661" s="3">
        <v>41600</v>
      </c>
    </row>
    <row r="2662" spans="1:12" x14ac:dyDescent="0.25">
      <c r="A2662" t="s">
        <v>19</v>
      </c>
      <c r="B2662">
        <v>1128299</v>
      </c>
      <c r="C2662" s="1">
        <v>44310</v>
      </c>
      <c r="D2662" t="s">
        <v>32</v>
      </c>
      <c r="E2662" t="s">
        <v>82</v>
      </c>
      <c r="F2662" t="s">
        <v>83</v>
      </c>
      <c r="G2662" t="s">
        <v>18</v>
      </c>
      <c r="H2662" t="s">
        <v>16</v>
      </c>
      <c r="I2662" s="3">
        <v>65.000000000000014</v>
      </c>
      <c r="J2662" s="2">
        <v>300</v>
      </c>
      <c r="K2662" s="3">
        <f t="shared" si="41"/>
        <v>19500.000000000004</v>
      </c>
      <c r="L2662" s="3">
        <v>13650.000000000004</v>
      </c>
    </row>
    <row r="2663" spans="1:12" x14ac:dyDescent="0.25">
      <c r="A2663" t="s">
        <v>11</v>
      </c>
      <c r="B2663">
        <v>1128299</v>
      </c>
      <c r="C2663" s="1">
        <v>44310</v>
      </c>
      <c r="D2663" t="s">
        <v>12</v>
      </c>
      <c r="E2663" t="s">
        <v>84</v>
      </c>
      <c r="F2663" t="s">
        <v>31</v>
      </c>
      <c r="G2663" t="s">
        <v>18</v>
      </c>
      <c r="H2663" t="s">
        <v>16</v>
      </c>
      <c r="I2663" s="3">
        <v>65.000000000000014</v>
      </c>
      <c r="J2663" s="2">
        <v>300</v>
      </c>
      <c r="K2663" s="3">
        <f t="shared" si="41"/>
        <v>19500.000000000004</v>
      </c>
      <c r="L2663" s="3">
        <v>13650.000000000004</v>
      </c>
    </row>
    <row r="2664" spans="1:12" x14ac:dyDescent="0.25">
      <c r="A2664" t="s">
        <v>19</v>
      </c>
      <c r="B2664">
        <v>1128299</v>
      </c>
      <c r="C2664" s="1">
        <v>44310</v>
      </c>
      <c r="D2664" t="s">
        <v>32</v>
      </c>
      <c r="E2664" t="s">
        <v>82</v>
      </c>
      <c r="F2664" t="s">
        <v>83</v>
      </c>
      <c r="G2664" t="s">
        <v>18</v>
      </c>
      <c r="H2664" t="s">
        <v>17</v>
      </c>
      <c r="I2664" s="3">
        <v>60.000000000000007</v>
      </c>
      <c r="J2664" s="2">
        <v>275</v>
      </c>
      <c r="K2664" s="3">
        <f t="shared" si="41"/>
        <v>16500.000000000004</v>
      </c>
      <c r="L2664" s="3">
        <v>10725.000000000004</v>
      </c>
    </row>
    <row r="2665" spans="1:12" x14ac:dyDescent="0.25">
      <c r="A2665" t="s">
        <v>19</v>
      </c>
      <c r="B2665">
        <v>1128299</v>
      </c>
      <c r="C2665" s="1">
        <v>44310</v>
      </c>
      <c r="D2665" t="s">
        <v>32</v>
      </c>
      <c r="E2665" t="s">
        <v>82</v>
      </c>
      <c r="F2665" t="s">
        <v>83</v>
      </c>
      <c r="G2665" t="s">
        <v>18</v>
      </c>
      <c r="H2665" t="s">
        <v>35</v>
      </c>
      <c r="I2665" s="3">
        <v>60.000000000000007</v>
      </c>
      <c r="J2665" s="2">
        <v>325</v>
      </c>
      <c r="K2665" s="3">
        <f t="shared" si="41"/>
        <v>19500.000000000004</v>
      </c>
      <c r="L2665" s="3">
        <v>12675.000000000004</v>
      </c>
    </row>
    <row r="2666" spans="1:12" x14ac:dyDescent="0.25">
      <c r="A2666" t="s">
        <v>19</v>
      </c>
      <c r="B2666">
        <v>1128299</v>
      </c>
      <c r="C2666" s="1">
        <v>44310</v>
      </c>
      <c r="D2666" t="s">
        <v>32</v>
      </c>
      <c r="E2666" t="s">
        <v>82</v>
      </c>
      <c r="F2666" t="s">
        <v>83</v>
      </c>
      <c r="G2666" t="s">
        <v>18</v>
      </c>
      <c r="H2666" t="s">
        <v>37</v>
      </c>
      <c r="I2666" s="3">
        <v>45.000000000000007</v>
      </c>
      <c r="J2666" s="2">
        <v>225</v>
      </c>
      <c r="K2666" s="3">
        <f t="shared" si="41"/>
        <v>10125.000000000002</v>
      </c>
      <c r="L2666" s="3">
        <v>6581.2500000000018</v>
      </c>
    </row>
    <row r="2667" spans="1:12" x14ac:dyDescent="0.25">
      <c r="A2667" t="s">
        <v>11</v>
      </c>
      <c r="B2667">
        <v>1128299</v>
      </c>
      <c r="C2667" s="1">
        <v>44310</v>
      </c>
      <c r="D2667" t="s">
        <v>12</v>
      </c>
      <c r="E2667" t="s">
        <v>84</v>
      </c>
      <c r="F2667" t="s">
        <v>31</v>
      </c>
      <c r="G2667" t="s">
        <v>18</v>
      </c>
      <c r="H2667" t="s">
        <v>17</v>
      </c>
      <c r="I2667" s="3">
        <v>60.000000000000007</v>
      </c>
      <c r="J2667" s="2">
        <v>275</v>
      </c>
      <c r="K2667" s="3">
        <f t="shared" si="41"/>
        <v>16500.000000000004</v>
      </c>
      <c r="L2667" s="3">
        <v>10725.000000000004</v>
      </c>
    </row>
    <row r="2668" spans="1:12" x14ac:dyDescent="0.25">
      <c r="A2668" t="s">
        <v>11</v>
      </c>
      <c r="B2668">
        <v>1128299</v>
      </c>
      <c r="C2668" s="1">
        <v>44310</v>
      </c>
      <c r="D2668" t="s">
        <v>12</v>
      </c>
      <c r="E2668" t="s">
        <v>84</v>
      </c>
      <c r="F2668" t="s">
        <v>31</v>
      </c>
      <c r="G2668" t="s">
        <v>18</v>
      </c>
      <c r="H2668" t="s">
        <v>35</v>
      </c>
      <c r="I2668" s="3">
        <v>60.000000000000007</v>
      </c>
      <c r="J2668" s="2">
        <v>325</v>
      </c>
      <c r="K2668" s="3">
        <f t="shared" si="41"/>
        <v>19500.000000000004</v>
      </c>
      <c r="L2668" s="3">
        <v>12675.000000000004</v>
      </c>
    </row>
    <row r="2669" spans="1:12" x14ac:dyDescent="0.25">
      <c r="A2669" t="s">
        <v>11</v>
      </c>
      <c r="B2669">
        <v>1128299</v>
      </c>
      <c r="C2669" s="1">
        <v>44310</v>
      </c>
      <c r="D2669" t="s">
        <v>12</v>
      </c>
      <c r="E2669" t="s">
        <v>84</v>
      </c>
      <c r="F2669" t="s">
        <v>31</v>
      </c>
      <c r="G2669" t="s">
        <v>18</v>
      </c>
      <c r="H2669" t="s">
        <v>37</v>
      </c>
      <c r="I2669" s="3">
        <v>45.000000000000007</v>
      </c>
      <c r="J2669" s="2">
        <v>225</v>
      </c>
      <c r="K2669" s="3">
        <f t="shared" si="41"/>
        <v>10125.000000000002</v>
      </c>
      <c r="L2669" s="3">
        <v>6581.2500000000018</v>
      </c>
    </row>
    <row r="2670" spans="1:12" x14ac:dyDescent="0.25">
      <c r="A2670" t="s">
        <v>19</v>
      </c>
      <c r="B2670">
        <v>1128299</v>
      </c>
      <c r="C2670" s="1">
        <v>44310</v>
      </c>
      <c r="D2670" t="s">
        <v>32</v>
      </c>
      <c r="E2670" t="s">
        <v>82</v>
      </c>
      <c r="F2670" t="s">
        <v>83</v>
      </c>
      <c r="G2670" t="s">
        <v>18</v>
      </c>
      <c r="H2670" t="s">
        <v>38</v>
      </c>
      <c r="I2670" s="3">
        <v>55.000000000000007</v>
      </c>
      <c r="J2670" s="2">
        <v>475</v>
      </c>
      <c r="K2670" s="3">
        <f t="shared" si="41"/>
        <v>26125.000000000004</v>
      </c>
      <c r="L2670" s="3">
        <v>16981.250000000004</v>
      </c>
    </row>
    <row r="2671" spans="1:12" x14ac:dyDescent="0.25">
      <c r="A2671" t="s">
        <v>11</v>
      </c>
      <c r="B2671">
        <v>1128299</v>
      </c>
      <c r="C2671" s="1">
        <v>44310</v>
      </c>
      <c r="D2671" t="s">
        <v>12</v>
      </c>
      <c r="E2671" t="s">
        <v>84</v>
      </c>
      <c r="F2671" t="s">
        <v>31</v>
      </c>
      <c r="G2671" t="s">
        <v>18</v>
      </c>
      <c r="H2671" t="s">
        <v>38</v>
      </c>
      <c r="I2671" s="3">
        <v>55.000000000000007</v>
      </c>
      <c r="J2671" s="2">
        <v>475</v>
      </c>
      <c r="K2671" s="3">
        <f t="shared" si="41"/>
        <v>26125.000000000004</v>
      </c>
      <c r="L2671" s="3">
        <v>16981.250000000004</v>
      </c>
    </row>
    <row r="2672" spans="1:12" x14ac:dyDescent="0.25">
      <c r="A2672" t="s">
        <v>19</v>
      </c>
      <c r="B2672">
        <v>1128299</v>
      </c>
      <c r="C2672" s="1">
        <v>44310</v>
      </c>
      <c r="D2672" t="s">
        <v>32</v>
      </c>
      <c r="E2672" t="s">
        <v>82</v>
      </c>
      <c r="F2672" t="s">
        <v>83</v>
      </c>
      <c r="G2672" t="s">
        <v>18</v>
      </c>
      <c r="H2672" t="s">
        <v>22</v>
      </c>
      <c r="I2672" s="3">
        <v>50.000000000000014</v>
      </c>
      <c r="J2672" s="2">
        <v>125</v>
      </c>
      <c r="K2672" s="3">
        <f t="shared" si="41"/>
        <v>6250.0000000000018</v>
      </c>
      <c r="L2672" s="3">
        <v>3750.0000000000009</v>
      </c>
    </row>
    <row r="2673" spans="1:12" x14ac:dyDescent="0.25">
      <c r="A2673" t="s">
        <v>11</v>
      </c>
      <c r="B2673">
        <v>1128299</v>
      </c>
      <c r="C2673" s="1">
        <v>44310</v>
      </c>
      <c r="D2673" t="s">
        <v>12</v>
      </c>
      <c r="E2673" t="s">
        <v>84</v>
      </c>
      <c r="F2673" t="s">
        <v>31</v>
      </c>
      <c r="G2673" t="s">
        <v>18</v>
      </c>
      <c r="H2673" t="s">
        <v>22</v>
      </c>
      <c r="I2673" s="3">
        <v>50.000000000000014</v>
      </c>
      <c r="J2673" s="2">
        <v>125</v>
      </c>
      <c r="K2673" s="3">
        <f t="shared" si="41"/>
        <v>6250.0000000000018</v>
      </c>
      <c r="L2673" s="3">
        <v>3750.0000000000009</v>
      </c>
    </row>
    <row r="2674" spans="1:12" x14ac:dyDescent="0.25">
      <c r="A2674" t="s">
        <v>26</v>
      </c>
      <c r="B2674">
        <v>1197831</v>
      </c>
      <c r="C2674" s="1">
        <v>44310</v>
      </c>
      <c r="D2674" t="s">
        <v>52</v>
      </c>
      <c r="E2674" t="s">
        <v>97</v>
      </c>
      <c r="F2674" t="s">
        <v>98</v>
      </c>
      <c r="G2674" t="s">
        <v>15</v>
      </c>
      <c r="H2674" t="s">
        <v>37</v>
      </c>
      <c r="I2674" s="3">
        <v>45</v>
      </c>
      <c r="J2674" s="2">
        <v>475</v>
      </c>
      <c r="K2674" s="3">
        <f t="shared" si="41"/>
        <v>21375</v>
      </c>
      <c r="L2674" s="3">
        <v>9618.7499999999982</v>
      </c>
    </row>
    <row r="2675" spans="1:12" x14ac:dyDescent="0.25">
      <c r="A2675" t="s">
        <v>27</v>
      </c>
      <c r="B2675">
        <v>1189833</v>
      </c>
      <c r="C2675" s="1">
        <v>44310</v>
      </c>
      <c r="D2675" t="s">
        <v>12</v>
      </c>
      <c r="E2675" t="s">
        <v>13</v>
      </c>
      <c r="F2675" t="s">
        <v>28</v>
      </c>
      <c r="G2675" t="s">
        <v>15</v>
      </c>
      <c r="H2675" t="s">
        <v>16</v>
      </c>
      <c r="I2675" s="3">
        <v>48</v>
      </c>
      <c r="J2675" s="2">
        <v>264</v>
      </c>
      <c r="K2675" s="3">
        <f t="shared" si="41"/>
        <v>12672</v>
      </c>
      <c r="L2675" s="3">
        <v>9884.16</v>
      </c>
    </row>
    <row r="2676" spans="1:12" x14ac:dyDescent="0.25">
      <c r="A2676" t="s">
        <v>27</v>
      </c>
      <c r="B2676">
        <v>1189833</v>
      </c>
      <c r="C2676" s="1">
        <v>44310</v>
      </c>
      <c r="D2676" t="s">
        <v>12</v>
      </c>
      <c r="E2676" t="s">
        <v>13</v>
      </c>
      <c r="F2676" t="s">
        <v>28</v>
      </c>
      <c r="G2676" t="s">
        <v>41</v>
      </c>
      <c r="H2676" t="s">
        <v>16</v>
      </c>
      <c r="I2676" s="3">
        <v>60</v>
      </c>
      <c r="J2676" s="2">
        <v>200</v>
      </c>
      <c r="K2676" s="3">
        <f t="shared" si="41"/>
        <v>12000</v>
      </c>
      <c r="L2676" s="3">
        <v>8280</v>
      </c>
    </row>
    <row r="2677" spans="1:12" x14ac:dyDescent="0.25">
      <c r="A2677" t="s">
        <v>11</v>
      </c>
      <c r="B2677">
        <v>1128299</v>
      </c>
      <c r="C2677" s="1">
        <v>44310</v>
      </c>
      <c r="D2677" t="s">
        <v>12</v>
      </c>
      <c r="E2677" t="s">
        <v>84</v>
      </c>
      <c r="F2677" t="s">
        <v>31</v>
      </c>
      <c r="G2677" t="s">
        <v>15</v>
      </c>
      <c r="H2677" t="s">
        <v>16</v>
      </c>
      <c r="I2677" s="3">
        <v>49</v>
      </c>
      <c r="J2677" s="2">
        <v>90</v>
      </c>
      <c r="K2677" s="3">
        <f t="shared" si="41"/>
        <v>4410</v>
      </c>
      <c r="L2677" s="3">
        <v>2910.6000000000004</v>
      </c>
    </row>
    <row r="2678" spans="1:12" x14ac:dyDescent="0.25">
      <c r="A2678" t="s">
        <v>19</v>
      </c>
      <c r="B2678">
        <v>1128299</v>
      </c>
      <c r="C2678" s="1">
        <v>44310</v>
      </c>
      <c r="D2678" t="s">
        <v>32</v>
      </c>
      <c r="E2678" t="s">
        <v>82</v>
      </c>
      <c r="F2678" t="s">
        <v>83</v>
      </c>
      <c r="G2678" t="s">
        <v>15</v>
      </c>
      <c r="H2678" t="s">
        <v>16</v>
      </c>
      <c r="I2678" s="3">
        <v>47</v>
      </c>
      <c r="J2678" s="2">
        <v>90</v>
      </c>
      <c r="K2678" s="3">
        <f t="shared" si="41"/>
        <v>4230</v>
      </c>
      <c r="L2678" s="3">
        <v>2707.2</v>
      </c>
    </row>
    <row r="2679" spans="1:12" x14ac:dyDescent="0.25">
      <c r="A2679" t="s">
        <v>11</v>
      </c>
      <c r="B2679">
        <v>1128299</v>
      </c>
      <c r="C2679" s="1">
        <v>44310</v>
      </c>
      <c r="D2679" t="s">
        <v>12</v>
      </c>
      <c r="E2679" t="s">
        <v>84</v>
      </c>
      <c r="F2679" t="s">
        <v>31</v>
      </c>
      <c r="G2679" t="s">
        <v>15</v>
      </c>
      <c r="H2679" t="s">
        <v>37</v>
      </c>
      <c r="I2679" s="3">
        <v>34</v>
      </c>
      <c r="J2679" s="2">
        <v>70</v>
      </c>
      <c r="K2679" s="3">
        <f t="shared" si="41"/>
        <v>2380</v>
      </c>
      <c r="L2679" s="3">
        <v>1499.4</v>
      </c>
    </row>
    <row r="2680" spans="1:12" x14ac:dyDescent="0.25">
      <c r="A2680" t="s">
        <v>19</v>
      </c>
      <c r="B2680">
        <v>1128299</v>
      </c>
      <c r="C2680" s="1">
        <v>44310</v>
      </c>
      <c r="D2680" t="s">
        <v>32</v>
      </c>
      <c r="E2680" t="s">
        <v>82</v>
      </c>
      <c r="F2680" t="s">
        <v>83</v>
      </c>
      <c r="G2680" t="s">
        <v>15</v>
      </c>
      <c r="H2680" t="s">
        <v>38</v>
      </c>
      <c r="I2680" s="3">
        <v>38</v>
      </c>
      <c r="J2680" s="2">
        <v>147</v>
      </c>
      <c r="K2680" s="3">
        <f t="shared" si="41"/>
        <v>5586</v>
      </c>
      <c r="L2680" s="3">
        <v>3519.18</v>
      </c>
    </row>
    <row r="2681" spans="1:12" x14ac:dyDescent="0.25">
      <c r="A2681" t="s">
        <v>19</v>
      </c>
      <c r="B2681">
        <v>1128299</v>
      </c>
      <c r="C2681" s="1">
        <v>44310</v>
      </c>
      <c r="D2681" t="s">
        <v>32</v>
      </c>
      <c r="E2681" t="s">
        <v>82</v>
      </c>
      <c r="F2681" t="s">
        <v>83</v>
      </c>
      <c r="G2681" t="s">
        <v>15</v>
      </c>
      <c r="H2681" t="s">
        <v>35</v>
      </c>
      <c r="I2681" s="3">
        <v>41</v>
      </c>
      <c r="J2681" s="2">
        <v>114</v>
      </c>
      <c r="K2681" s="3">
        <f t="shared" si="41"/>
        <v>4674</v>
      </c>
      <c r="L2681" s="3">
        <v>2944.62</v>
      </c>
    </row>
    <row r="2682" spans="1:12" x14ac:dyDescent="0.25">
      <c r="A2682" t="s">
        <v>11</v>
      </c>
      <c r="B2682">
        <v>1128299</v>
      </c>
      <c r="C2682" s="1">
        <v>44310</v>
      </c>
      <c r="D2682" t="s">
        <v>12</v>
      </c>
      <c r="E2682" t="s">
        <v>84</v>
      </c>
      <c r="F2682" t="s">
        <v>31</v>
      </c>
      <c r="G2682" t="s">
        <v>15</v>
      </c>
      <c r="H2682" t="s">
        <v>38</v>
      </c>
      <c r="I2682" s="3">
        <v>44</v>
      </c>
      <c r="J2682" s="2">
        <v>166</v>
      </c>
      <c r="K2682" s="3">
        <f t="shared" si="41"/>
        <v>7304</v>
      </c>
      <c r="L2682" s="3">
        <v>4455.4400000000005</v>
      </c>
    </row>
    <row r="2683" spans="1:12" x14ac:dyDescent="0.25">
      <c r="A2683" t="s">
        <v>19</v>
      </c>
      <c r="B2683">
        <v>1128299</v>
      </c>
      <c r="C2683" s="1">
        <v>44310</v>
      </c>
      <c r="D2683" t="s">
        <v>32</v>
      </c>
      <c r="E2683" t="s">
        <v>82</v>
      </c>
      <c r="F2683" t="s">
        <v>83</v>
      </c>
      <c r="G2683" t="s">
        <v>15</v>
      </c>
      <c r="H2683" t="s">
        <v>17</v>
      </c>
      <c r="I2683" s="3">
        <v>44</v>
      </c>
      <c r="J2683" s="2">
        <v>85</v>
      </c>
      <c r="K2683" s="3">
        <f t="shared" si="41"/>
        <v>3740</v>
      </c>
      <c r="L2683" s="3">
        <v>2206.6000000000004</v>
      </c>
    </row>
    <row r="2684" spans="1:12" x14ac:dyDescent="0.25">
      <c r="A2684" t="s">
        <v>11</v>
      </c>
      <c r="B2684">
        <v>1128299</v>
      </c>
      <c r="C2684" s="1">
        <v>44310</v>
      </c>
      <c r="D2684" t="s">
        <v>12</v>
      </c>
      <c r="E2684" t="s">
        <v>84</v>
      </c>
      <c r="F2684" t="s">
        <v>31</v>
      </c>
      <c r="G2684" t="s">
        <v>15</v>
      </c>
      <c r="H2684" t="s">
        <v>17</v>
      </c>
      <c r="I2684" s="3">
        <v>39</v>
      </c>
      <c r="J2684" s="2">
        <v>88</v>
      </c>
      <c r="K2684" s="3">
        <f t="shared" si="41"/>
        <v>3432</v>
      </c>
      <c r="L2684" s="3">
        <v>2024.88</v>
      </c>
    </row>
    <row r="2685" spans="1:12" x14ac:dyDescent="0.25">
      <c r="A2685" t="s">
        <v>11</v>
      </c>
      <c r="B2685">
        <v>1128299</v>
      </c>
      <c r="C2685" s="1">
        <v>44310</v>
      </c>
      <c r="D2685" t="s">
        <v>12</v>
      </c>
      <c r="E2685" t="s">
        <v>84</v>
      </c>
      <c r="F2685" t="s">
        <v>31</v>
      </c>
      <c r="G2685" t="s">
        <v>15</v>
      </c>
      <c r="H2685" t="s">
        <v>35</v>
      </c>
      <c r="I2685" s="3">
        <v>47</v>
      </c>
      <c r="J2685" s="2">
        <v>114</v>
      </c>
      <c r="K2685" s="3">
        <f t="shared" si="41"/>
        <v>5358</v>
      </c>
      <c r="L2685" s="3">
        <v>3161.2200000000003</v>
      </c>
    </row>
    <row r="2686" spans="1:12" x14ac:dyDescent="0.25">
      <c r="A2686" t="s">
        <v>19</v>
      </c>
      <c r="B2686">
        <v>1128299</v>
      </c>
      <c r="C2686" s="1">
        <v>44310</v>
      </c>
      <c r="D2686" t="s">
        <v>32</v>
      </c>
      <c r="E2686" t="s">
        <v>82</v>
      </c>
      <c r="F2686" t="s">
        <v>83</v>
      </c>
      <c r="G2686" t="s">
        <v>15</v>
      </c>
      <c r="H2686" t="s">
        <v>37</v>
      </c>
      <c r="I2686" s="3">
        <v>32</v>
      </c>
      <c r="J2686" s="2">
        <v>68</v>
      </c>
      <c r="K2686" s="3">
        <f t="shared" si="41"/>
        <v>2176</v>
      </c>
      <c r="L2686" s="3">
        <v>1262.08</v>
      </c>
    </row>
    <row r="2687" spans="1:12" x14ac:dyDescent="0.25">
      <c r="A2687" t="s">
        <v>11</v>
      </c>
      <c r="B2687">
        <v>1128299</v>
      </c>
      <c r="C2687" s="1">
        <v>44310</v>
      </c>
      <c r="D2687" t="s">
        <v>12</v>
      </c>
      <c r="E2687" t="s">
        <v>84</v>
      </c>
      <c r="F2687" t="s">
        <v>31</v>
      </c>
      <c r="G2687" t="s">
        <v>15</v>
      </c>
      <c r="H2687" t="s">
        <v>22</v>
      </c>
      <c r="I2687" s="3">
        <v>36</v>
      </c>
      <c r="J2687" s="2">
        <v>39</v>
      </c>
      <c r="K2687" s="3">
        <f t="shared" si="41"/>
        <v>1404</v>
      </c>
      <c r="L2687" s="3">
        <v>814.31999999999994</v>
      </c>
    </row>
    <row r="2688" spans="1:12" x14ac:dyDescent="0.25">
      <c r="A2688" t="s">
        <v>19</v>
      </c>
      <c r="B2688">
        <v>1128299</v>
      </c>
      <c r="C2688" s="1">
        <v>44310</v>
      </c>
      <c r="D2688" t="s">
        <v>32</v>
      </c>
      <c r="E2688" t="s">
        <v>82</v>
      </c>
      <c r="F2688" t="s">
        <v>83</v>
      </c>
      <c r="G2688" t="s">
        <v>15</v>
      </c>
      <c r="H2688" t="s">
        <v>22</v>
      </c>
      <c r="I2688" s="3">
        <v>40</v>
      </c>
      <c r="J2688" s="2">
        <v>40</v>
      </c>
      <c r="K2688" s="3">
        <f t="shared" si="41"/>
        <v>1600</v>
      </c>
      <c r="L2688" s="3">
        <v>927.99999999999989</v>
      </c>
    </row>
    <row r="2689" spans="1:12" x14ac:dyDescent="0.25">
      <c r="A2689" t="s">
        <v>19</v>
      </c>
      <c r="B2689">
        <v>1128299</v>
      </c>
      <c r="C2689" s="1">
        <v>44310</v>
      </c>
      <c r="D2689" t="s">
        <v>32</v>
      </c>
      <c r="E2689" t="s">
        <v>82</v>
      </c>
      <c r="F2689" t="s">
        <v>83</v>
      </c>
      <c r="G2689" t="s">
        <v>41</v>
      </c>
      <c r="H2689" t="s">
        <v>16</v>
      </c>
      <c r="I2689" s="3">
        <v>64</v>
      </c>
      <c r="J2689" s="2">
        <v>78</v>
      </c>
      <c r="K2689" s="3">
        <f t="shared" si="41"/>
        <v>4992</v>
      </c>
      <c r="L2689" s="3">
        <v>2795.52</v>
      </c>
    </row>
    <row r="2690" spans="1:12" x14ac:dyDescent="0.25">
      <c r="A2690" t="s">
        <v>11</v>
      </c>
      <c r="B2690">
        <v>1128299</v>
      </c>
      <c r="C2690" s="1">
        <v>44310</v>
      </c>
      <c r="D2690" t="s">
        <v>12</v>
      </c>
      <c r="E2690" t="s">
        <v>84</v>
      </c>
      <c r="F2690" t="s">
        <v>31</v>
      </c>
      <c r="G2690" t="s">
        <v>41</v>
      </c>
      <c r="H2690" t="s">
        <v>16</v>
      </c>
      <c r="I2690" s="3">
        <v>59</v>
      </c>
      <c r="J2690" s="2">
        <v>84</v>
      </c>
      <c r="K2690" s="3">
        <f t="shared" si="41"/>
        <v>4956</v>
      </c>
      <c r="L2690" s="3">
        <v>2725.8</v>
      </c>
    </row>
    <row r="2691" spans="1:12" x14ac:dyDescent="0.25">
      <c r="A2691" t="s">
        <v>11</v>
      </c>
      <c r="B2691">
        <v>1128299</v>
      </c>
      <c r="C2691" s="1">
        <v>44310</v>
      </c>
      <c r="D2691" t="s">
        <v>12</v>
      </c>
      <c r="E2691" t="s">
        <v>84</v>
      </c>
      <c r="F2691" t="s">
        <v>31</v>
      </c>
      <c r="G2691" t="s">
        <v>41</v>
      </c>
      <c r="H2691" t="s">
        <v>38</v>
      </c>
      <c r="I2691" s="3">
        <v>51</v>
      </c>
      <c r="J2691" s="2">
        <v>124</v>
      </c>
      <c r="K2691" s="3">
        <f t="shared" ref="K2691:K2754" si="42">I2691*J2691</f>
        <v>6324</v>
      </c>
      <c r="L2691" s="3">
        <v>3414.96</v>
      </c>
    </row>
    <row r="2692" spans="1:12" x14ac:dyDescent="0.25">
      <c r="A2692" t="s">
        <v>19</v>
      </c>
      <c r="B2692">
        <v>1128299</v>
      </c>
      <c r="C2692" s="1">
        <v>44310</v>
      </c>
      <c r="D2692" t="s">
        <v>32</v>
      </c>
      <c r="E2692" t="s">
        <v>82</v>
      </c>
      <c r="F2692" t="s">
        <v>83</v>
      </c>
      <c r="G2692" t="s">
        <v>41</v>
      </c>
      <c r="H2692" t="s">
        <v>37</v>
      </c>
      <c r="I2692" s="3">
        <v>42</v>
      </c>
      <c r="J2692" s="2">
        <v>56</v>
      </c>
      <c r="K2692" s="3">
        <f t="shared" si="42"/>
        <v>2352</v>
      </c>
      <c r="L2692" s="3">
        <v>1246.5600000000002</v>
      </c>
    </row>
    <row r="2693" spans="1:12" x14ac:dyDescent="0.25">
      <c r="A2693" t="s">
        <v>19</v>
      </c>
      <c r="B2693">
        <v>1128299</v>
      </c>
      <c r="C2693" s="1">
        <v>44310</v>
      </c>
      <c r="D2693" t="s">
        <v>32</v>
      </c>
      <c r="E2693" t="s">
        <v>82</v>
      </c>
      <c r="F2693" t="s">
        <v>83</v>
      </c>
      <c r="G2693" t="s">
        <v>41</v>
      </c>
      <c r="H2693" t="s">
        <v>38</v>
      </c>
      <c r="I2693" s="3">
        <v>52</v>
      </c>
      <c r="J2693" s="2">
        <v>124</v>
      </c>
      <c r="K2693" s="3">
        <f t="shared" si="42"/>
        <v>6448</v>
      </c>
      <c r="L2693" s="3">
        <v>3352.96</v>
      </c>
    </row>
    <row r="2694" spans="1:12" x14ac:dyDescent="0.25">
      <c r="A2694" t="s">
        <v>19</v>
      </c>
      <c r="B2694">
        <v>1128299</v>
      </c>
      <c r="C2694" s="1">
        <v>44310</v>
      </c>
      <c r="D2694" t="s">
        <v>32</v>
      </c>
      <c r="E2694" t="s">
        <v>82</v>
      </c>
      <c r="F2694" t="s">
        <v>83</v>
      </c>
      <c r="G2694" t="s">
        <v>41</v>
      </c>
      <c r="H2694" t="s">
        <v>17</v>
      </c>
      <c r="I2694" s="3">
        <v>59</v>
      </c>
      <c r="J2694" s="2">
        <v>69</v>
      </c>
      <c r="K2694" s="3">
        <f t="shared" si="42"/>
        <v>4071</v>
      </c>
      <c r="L2694" s="3">
        <v>2116.92</v>
      </c>
    </row>
    <row r="2695" spans="1:12" x14ac:dyDescent="0.25">
      <c r="A2695" t="s">
        <v>11</v>
      </c>
      <c r="B2695">
        <v>1128299</v>
      </c>
      <c r="C2695" s="1">
        <v>44310</v>
      </c>
      <c r="D2695" t="s">
        <v>12</v>
      </c>
      <c r="E2695" t="s">
        <v>84</v>
      </c>
      <c r="F2695" t="s">
        <v>31</v>
      </c>
      <c r="G2695" t="s">
        <v>41</v>
      </c>
      <c r="H2695" t="s">
        <v>35</v>
      </c>
      <c r="I2695" s="3">
        <v>55</v>
      </c>
      <c r="J2695" s="2">
        <v>85</v>
      </c>
      <c r="K2695" s="3">
        <f t="shared" si="42"/>
        <v>4675</v>
      </c>
      <c r="L2695" s="3">
        <v>2431</v>
      </c>
    </row>
    <row r="2696" spans="1:12" x14ac:dyDescent="0.25">
      <c r="A2696" t="s">
        <v>11</v>
      </c>
      <c r="B2696">
        <v>1128299</v>
      </c>
      <c r="C2696" s="1">
        <v>44310</v>
      </c>
      <c r="D2696" t="s">
        <v>12</v>
      </c>
      <c r="E2696" t="s">
        <v>84</v>
      </c>
      <c r="F2696" t="s">
        <v>31</v>
      </c>
      <c r="G2696" t="s">
        <v>41</v>
      </c>
      <c r="H2696" t="s">
        <v>17</v>
      </c>
      <c r="I2696" s="3">
        <v>54</v>
      </c>
      <c r="J2696" s="2">
        <v>83</v>
      </c>
      <c r="K2696" s="3">
        <f t="shared" si="42"/>
        <v>4482</v>
      </c>
      <c r="L2696" s="3">
        <v>2285.8200000000002</v>
      </c>
    </row>
    <row r="2697" spans="1:12" x14ac:dyDescent="0.25">
      <c r="A2697" t="s">
        <v>19</v>
      </c>
      <c r="B2697">
        <v>1128299</v>
      </c>
      <c r="C2697" s="1">
        <v>44310</v>
      </c>
      <c r="D2697" t="s">
        <v>32</v>
      </c>
      <c r="E2697" t="s">
        <v>82</v>
      </c>
      <c r="F2697" t="s">
        <v>83</v>
      </c>
      <c r="G2697" t="s">
        <v>41</v>
      </c>
      <c r="H2697" t="s">
        <v>35</v>
      </c>
      <c r="I2697" s="3">
        <v>57</v>
      </c>
      <c r="J2697" s="2">
        <v>85</v>
      </c>
      <c r="K2697" s="3">
        <f t="shared" si="42"/>
        <v>4845</v>
      </c>
      <c r="L2697" s="3">
        <v>2470.9499999999998</v>
      </c>
    </row>
    <row r="2698" spans="1:12" x14ac:dyDescent="0.25">
      <c r="A2698" t="s">
        <v>11</v>
      </c>
      <c r="B2698">
        <v>1128299</v>
      </c>
      <c r="C2698" s="1">
        <v>44310</v>
      </c>
      <c r="D2698" t="s">
        <v>12</v>
      </c>
      <c r="E2698" t="s">
        <v>84</v>
      </c>
      <c r="F2698" t="s">
        <v>31</v>
      </c>
      <c r="G2698" t="s">
        <v>41</v>
      </c>
      <c r="H2698" t="s">
        <v>37</v>
      </c>
      <c r="I2698" s="3">
        <v>41</v>
      </c>
      <c r="J2698" s="2">
        <v>63</v>
      </c>
      <c r="K2698" s="3">
        <f t="shared" si="42"/>
        <v>2583</v>
      </c>
      <c r="L2698" s="3">
        <v>1291.5</v>
      </c>
    </row>
    <row r="2699" spans="1:12" x14ac:dyDescent="0.25">
      <c r="A2699" t="s">
        <v>11</v>
      </c>
      <c r="B2699">
        <v>1128299</v>
      </c>
      <c r="C2699" s="1">
        <v>44310</v>
      </c>
      <c r="D2699" t="s">
        <v>12</v>
      </c>
      <c r="E2699" t="s">
        <v>84</v>
      </c>
      <c r="F2699" t="s">
        <v>31</v>
      </c>
      <c r="G2699" t="s">
        <v>41</v>
      </c>
      <c r="H2699" t="s">
        <v>22</v>
      </c>
      <c r="I2699" s="3">
        <v>48</v>
      </c>
      <c r="J2699" s="2">
        <v>36</v>
      </c>
      <c r="K2699" s="3">
        <f t="shared" si="42"/>
        <v>1728</v>
      </c>
      <c r="L2699" s="3">
        <v>864</v>
      </c>
    </row>
    <row r="2700" spans="1:12" x14ac:dyDescent="0.25">
      <c r="A2700" t="s">
        <v>19</v>
      </c>
      <c r="B2700">
        <v>1128299</v>
      </c>
      <c r="C2700" s="1">
        <v>44310</v>
      </c>
      <c r="D2700" t="s">
        <v>32</v>
      </c>
      <c r="E2700" t="s">
        <v>82</v>
      </c>
      <c r="F2700" t="s">
        <v>83</v>
      </c>
      <c r="G2700" t="s">
        <v>41</v>
      </c>
      <c r="H2700" t="s">
        <v>22</v>
      </c>
      <c r="I2700" s="3">
        <v>49</v>
      </c>
      <c r="J2700" s="2">
        <v>35</v>
      </c>
      <c r="K2700" s="3">
        <f t="shared" si="42"/>
        <v>1715</v>
      </c>
      <c r="L2700" s="3">
        <v>840.35</v>
      </c>
    </row>
    <row r="2701" spans="1:12" x14ac:dyDescent="0.25">
      <c r="A2701" t="s">
        <v>26</v>
      </c>
      <c r="B2701">
        <v>1197831</v>
      </c>
      <c r="C2701" s="1">
        <v>44310</v>
      </c>
      <c r="D2701" t="s">
        <v>52</v>
      </c>
      <c r="E2701" t="s">
        <v>97</v>
      </c>
      <c r="F2701" t="s">
        <v>98</v>
      </c>
      <c r="G2701" t="s">
        <v>15</v>
      </c>
      <c r="H2701" t="s">
        <v>37</v>
      </c>
      <c r="I2701" s="3">
        <v>32</v>
      </c>
      <c r="J2701" s="2">
        <v>162</v>
      </c>
      <c r="K2701" s="3">
        <f t="shared" si="42"/>
        <v>5184</v>
      </c>
      <c r="L2701" s="3">
        <v>2125.4399999999996</v>
      </c>
    </row>
    <row r="2702" spans="1:12" x14ac:dyDescent="0.25">
      <c r="A2702" t="s">
        <v>26</v>
      </c>
      <c r="B2702">
        <v>1197831</v>
      </c>
      <c r="C2702" s="1">
        <v>44310</v>
      </c>
      <c r="D2702" t="s">
        <v>52</v>
      </c>
      <c r="E2702" t="s">
        <v>97</v>
      </c>
      <c r="F2702" t="s">
        <v>98</v>
      </c>
      <c r="G2702" t="s">
        <v>41</v>
      </c>
      <c r="H2702" t="s">
        <v>37</v>
      </c>
      <c r="I2702" s="3">
        <v>42</v>
      </c>
      <c r="J2702" s="2">
        <v>133</v>
      </c>
      <c r="K2702" s="3">
        <f t="shared" si="42"/>
        <v>5586</v>
      </c>
      <c r="L2702" s="3">
        <v>1731.6599999999999</v>
      </c>
    </row>
    <row r="2703" spans="1:12" x14ac:dyDescent="0.25">
      <c r="A2703" t="s">
        <v>27</v>
      </c>
      <c r="B2703">
        <v>1189833</v>
      </c>
      <c r="C2703" s="1">
        <v>44311</v>
      </c>
      <c r="D2703" t="s">
        <v>12</v>
      </c>
      <c r="E2703" t="s">
        <v>13</v>
      </c>
      <c r="F2703" t="s">
        <v>28</v>
      </c>
      <c r="G2703" t="s">
        <v>15</v>
      </c>
      <c r="H2703" t="s">
        <v>38</v>
      </c>
      <c r="I2703" s="3">
        <v>45</v>
      </c>
      <c r="J2703" s="2">
        <v>950</v>
      </c>
      <c r="K2703" s="3">
        <f t="shared" si="42"/>
        <v>42750</v>
      </c>
      <c r="L2703" s="3">
        <v>25650</v>
      </c>
    </row>
    <row r="2704" spans="1:12" x14ac:dyDescent="0.25">
      <c r="A2704" t="s">
        <v>26</v>
      </c>
      <c r="B2704">
        <v>1197831</v>
      </c>
      <c r="C2704" s="1">
        <v>44311</v>
      </c>
      <c r="D2704" t="s">
        <v>52</v>
      </c>
      <c r="E2704" t="s">
        <v>97</v>
      </c>
      <c r="F2704" t="s">
        <v>98</v>
      </c>
      <c r="G2704" t="s">
        <v>15</v>
      </c>
      <c r="H2704" t="s">
        <v>22</v>
      </c>
      <c r="I2704" s="3">
        <v>50</v>
      </c>
      <c r="J2704" s="2">
        <v>475</v>
      </c>
      <c r="K2704" s="3">
        <f t="shared" si="42"/>
        <v>23750</v>
      </c>
      <c r="L2704" s="3">
        <v>14250</v>
      </c>
    </row>
    <row r="2705" spans="1:12" x14ac:dyDescent="0.25">
      <c r="A2705" t="s">
        <v>26</v>
      </c>
      <c r="B2705">
        <v>1197831</v>
      </c>
      <c r="C2705" s="1">
        <v>44311</v>
      </c>
      <c r="D2705" t="s">
        <v>52</v>
      </c>
      <c r="E2705" t="s">
        <v>97</v>
      </c>
      <c r="F2705" t="s">
        <v>98</v>
      </c>
      <c r="G2705" t="s">
        <v>15</v>
      </c>
      <c r="H2705" t="s">
        <v>22</v>
      </c>
      <c r="I2705" s="3">
        <v>35</v>
      </c>
      <c r="J2705" s="2">
        <v>143</v>
      </c>
      <c r="K2705" s="3">
        <f t="shared" si="42"/>
        <v>5005</v>
      </c>
      <c r="L2705" s="3">
        <v>2752.75</v>
      </c>
    </row>
    <row r="2706" spans="1:12" x14ac:dyDescent="0.25">
      <c r="A2706" t="s">
        <v>27</v>
      </c>
      <c r="B2706">
        <v>1189833</v>
      </c>
      <c r="C2706" s="1">
        <v>44311</v>
      </c>
      <c r="D2706" t="s">
        <v>12</v>
      </c>
      <c r="E2706" t="s">
        <v>13</v>
      </c>
      <c r="F2706" t="s">
        <v>28</v>
      </c>
      <c r="G2706" t="s">
        <v>15</v>
      </c>
      <c r="H2706" t="s">
        <v>38</v>
      </c>
      <c r="I2706" s="3">
        <v>30</v>
      </c>
      <c r="J2706" s="2">
        <v>285</v>
      </c>
      <c r="K2706" s="3">
        <f t="shared" si="42"/>
        <v>8550</v>
      </c>
      <c r="L2706" s="3">
        <v>4531.5</v>
      </c>
    </row>
    <row r="2707" spans="1:12" x14ac:dyDescent="0.25">
      <c r="A2707" t="s">
        <v>27</v>
      </c>
      <c r="B2707">
        <v>1189833</v>
      </c>
      <c r="C2707" s="1">
        <v>44311</v>
      </c>
      <c r="D2707" t="s">
        <v>12</v>
      </c>
      <c r="E2707" t="s">
        <v>13</v>
      </c>
      <c r="F2707" t="s">
        <v>28</v>
      </c>
      <c r="G2707" t="s">
        <v>41</v>
      </c>
      <c r="H2707" t="s">
        <v>38</v>
      </c>
      <c r="I2707" s="3">
        <v>41</v>
      </c>
      <c r="J2707" s="2">
        <v>238</v>
      </c>
      <c r="K2707" s="3">
        <f t="shared" si="42"/>
        <v>9758</v>
      </c>
      <c r="L2707" s="3">
        <v>4781.42</v>
      </c>
    </row>
    <row r="2708" spans="1:12" x14ac:dyDescent="0.25">
      <c r="A2708" t="s">
        <v>26</v>
      </c>
      <c r="B2708">
        <v>1197831</v>
      </c>
      <c r="C2708" s="1">
        <v>44311</v>
      </c>
      <c r="D2708" t="s">
        <v>52</v>
      </c>
      <c r="E2708" t="s">
        <v>97</v>
      </c>
      <c r="F2708" t="s">
        <v>98</v>
      </c>
      <c r="G2708" t="s">
        <v>41</v>
      </c>
      <c r="H2708" t="s">
        <v>22</v>
      </c>
      <c r="I2708" s="3">
        <v>49</v>
      </c>
      <c r="J2708" s="2">
        <v>133</v>
      </c>
      <c r="K2708" s="3">
        <f t="shared" si="42"/>
        <v>6517</v>
      </c>
      <c r="L2708" s="3">
        <v>3062.99</v>
      </c>
    </row>
    <row r="2709" spans="1:12" x14ac:dyDescent="0.25">
      <c r="A2709" t="s">
        <v>27</v>
      </c>
      <c r="B2709">
        <v>1128299</v>
      </c>
      <c r="C2709" s="1">
        <v>44312</v>
      </c>
      <c r="D2709" t="s">
        <v>12</v>
      </c>
      <c r="E2709" t="s">
        <v>42</v>
      </c>
      <c r="F2709" t="s">
        <v>43</v>
      </c>
      <c r="G2709" t="s">
        <v>41</v>
      </c>
      <c r="H2709" t="s">
        <v>16</v>
      </c>
      <c r="I2709" s="3">
        <v>75.000000000000014</v>
      </c>
      <c r="J2709" s="2">
        <v>375</v>
      </c>
      <c r="K2709" s="3">
        <f t="shared" si="42"/>
        <v>28125.000000000004</v>
      </c>
      <c r="L2709" s="3">
        <v>21093.750000000007</v>
      </c>
    </row>
    <row r="2710" spans="1:12" x14ac:dyDescent="0.25">
      <c r="A2710" t="s">
        <v>27</v>
      </c>
      <c r="B2710">
        <v>1189833</v>
      </c>
      <c r="C2710" s="1">
        <v>44312</v>
      </c>
      <c r="D2710" t="s">
        <v>12</v>
      </c>
      <c r="E2710" t="s">
        <v>13</v>
      </c>
      <c r="F2710" t="s">
        <v>28</v>
      </c>
      <c r="G2710" t="s">
        <v>15</v>
      </c>
      <c r="H2710" t="s">
        <v>17</v>
      </c>
      <c r="I2710" s="3">
        <v>50</v>
      </c>
      <c r="J2710" s="2">
        <v>800</v>
      </c>
      <c r="K2710" s="3">
        <f t="shared" si="42"/>
        <v>40000</v>
      </c>
      <c r="L2710" s="3">
        <v>30000</v>
      </c>
    </row>
    <row r="2711" spans="1:12" x14ac:dyDescent="0.25">
      <c r="A2711" t="s">
        <v>27</v>
      </c>
      <c r="B2711">
        <v>1128299</v>
      </c>
      <c r="C2711" s="1">
        <v>44312</v>
      </c>
      <c r="D2711" t="s">
        <v>12</v>
      </c>
      <c r="E2711" t="s">
        <v>42</v>
      </c>
      <c r="F2711" t="s">
        <v>43</v>
      </c>
      <c r="G2711" t="s">
        <v>41</v>
      </c>
      <c r="H2711" t="s">
        <v>22</v>
      </c>
      <c r="I2711" s="3">
        <v>60.000000000000007</v>
      </c>
      <c r="J2711" s="2">
        <v>200</v>
      </c>
      <c r="K2711" s="3">
        <f t="shared" si="42"/>
        <v>12000.000000000002</v>
      </c>
      <c r="L2711" s="3">
        <v>8400.0000000000018</v>
      </c>
    </row>
    <row r="2712" spans="1:12" x14ac:dyDescent="0.25">
      <c r="A2712" t="s">
        <v>27</v>
      </c>
      <c r="B2712">
        <v>1128299</v>
      </c>
      <c r="C2712" s="1">
        <v>44312</v>
      </c>
      <c r="D2712" t="s">
        <v>12</v>
      </c>
      <c r="E2712" t="s">
        <v>42</v>
      </c>
      <c r="F2712" t="s">
        <v>43</v>
      </c>
      <c r="G2712" t="s">
        <v>41</v>
      </c>
      <c r="H2712" t="s">
        <v>38</v>
      </c>
      <c r="I2712" s="3">
        <v>55.000000000000007</v>
      </c>
      <c r="J2712" s="2">
        <v>550</v>
      </c>
      <c r="K2712" s="3">
        <f t="shared" si="42"/>
        <v>30250.000000000004</v>
      </c>
      <c r="L2712" s="3">
        <v>19662.500000000007</v>
      </c>
    </row>
    <row r="2713" spans="1:12" x14ac:dyDescent="0.25">
      <c r="A2713" t="s">
        <v>27</v>
      </c>
      <c r="B2713">
        <v>1128299</v>
      </c>
      <c r="C2713" s="1">
        <v>44312</v>
      </c>
      <c r="D2713" t="s">
        <v>12</v>
      </c>
      <c r="E2713" t="s">
        <v>42</v>
      </c>
      <c r="F2713" t="s">
        <v>43</v>
      </c>
      <c r="G2713" t="s">
        <v>41</v>
      </c>
      <c r="H2713" t="s">
        <v>37</v>
      </c>
      <c r="I2713" s="3">
        <v>55.000000000000007</v>
      </c>
      <c r="J2713" s="2">
        <v>300</v>
      </c>
      <c r="K2713" s="3">
        <f t="shared" si="42"/>
        <v>16500.000000000004</v>
      </c>
      <c r="L2713" s="3">
        <v>10725.000000000004</v>
      </c>
    </row>
    <row r="2714" spans="1:12" x14ac:dyDescent="0.25">
      <c r="A2714" t="s">
        <v>27</v>
      </c>
      <c r="B2714">
        <v>1128299</v>
      </c>
      <c r="C2714" s="1">
        <v>44312</v>
      </c>
      <c r="D2714" t="s">
        <v>12</v>
      </c>
      <c r="E2714" t="s">
        <v>42</v>
      </c>
      <c r="F2714" t="s">
        <v>43</v>
      </c>
      <c r="G2714" t="s">
        <v>41</v>
      </c>
      <c r="H2714" t="s">
        <v>35</v>
      </c>
      <c r="I2714" s="3">
        <v>60.000000000000007</v>
      </c>
      <c r="J2714" s="2">
        <v>400</v>
      </c>
      <c r="K2714" s="3">
        <f t="shared" si="42"/>
        <v>24000.000000000004</v>
      </c>
      <c r="L2714" s="3">
        <v>15600.000000000004</v>
      </c>
    </row>
    <row r="2715" spans="1:12" x14ac:dyDescent="0.25">
      <c r="A2715" t="s">
        <v>27</v>
      </c>
      <c r="B2715">
        <v>1128299</v>
      </c>
      <c r="C2715" s="1">
        <v>44312</v>
      </c>
      <c r="D2715" t="s">
        <v>12</v>
      </c>
      <c r="E2715" t="s">
        <v>42</v>
      </c>
      <c r="F2715" t="s">
        <v>43</v>
      </c>
      <c r="G2715" t="s">
        <v>41</v>
      </c>
      <c r="H2715" t="s">
        <v>17</v>
      </c>
      <c r="I2715" s="3">
        <v>60.000000000000007</v>
      </c>
      <c r="J2715" s="2">
        <v>350</v>
      </c>
      <c r="K2715" s="3">
        <f t="shared" si="42"/>
        <v>21000.000000000004</v>
      </c>
      <c r="L2715" s="3">
        <v>12600.000000000002</v>
      </c>
    </row>
    <row r="2716" spans="1:12" x14ac:dyDescent="0.25">
      <c r="A2716" t="s">
        <v>26</v>
      </c>
      <c r="B2716">
        <v>1197831</v>
      </c>
      <c r="C2716" s="1">
        <v>44312</v>
      </c>
      <c r="D2716" t="s">
        <v>52</v>
      </c>
      <c r="E2716" t="s">
        <v>97</v>
      </c>
      <c r="F2716" t="s">
        <v>98</v>
      </c>
      <c r="G2716" t="s">
        <v>15</v>
      </c>
      <c r="H2716" t="s">
        <v>16</v>
      </c>
      <c r="I2716" s="3">
        <v>54.999999999999993</v>
      </c>
      <c r="J2716" s="2">
        <v>725</v>
      </c>
      <c r="K2716" s="3">
        <f t="shared" si="42"/>
        <v>39874.999999999993</v>
      </c>
      <c r="L2716" s="3">
        <v>15949.999999999995</v>
      </c>
    </row>
    <row r="2717" spans="1:12" x14ac:dyDescent="0.25">
      <c r="A2717" t="s">
        <v>27</v>
      </c>
      <c r="B2717">
        <v>1128299</v>
      </c>
      <c r="C2717" s="1">
        <v>44312</v>
      </c>
      <c r="D2717" t="s">
        <v>12</v>
      </c>
      <c r="E2717" t="s">
        <v>42</v>
      </c>
      <c r="F2717" t="s">
        <v>43</v>
      </c>
      <c r="G2717" t="s">
        <v>15</v>
      </c>
      <c r="H2717" t="s">
        <v>16</v>
      </c>
      <c r="I2717" s="3">
        <v>56</v>
      </c>
      <c r="J2717" s="2">
        <v>116</v>
      </c>
      <c r="K2717" s="3">
        <f t="shared" si="42"/>
        <v>6496</v>
      </c>
      <c r="L2717" s="3">
        <v>4677.12</v>
      </c>
    </row>
    <row r="2718" spans="1:12" x14ac:dyDescent="0.25">
      <c r="A2718" t="s">
        <v>27</v>
      </c>
      <c r="B2718">
        <v>1189833</v>
      </c>
      <c r="C2718" s="1">
        <v>44312</v>
      </c>
      <c r="D2718" t="s">
        <v>12</v>
      </c>
      <c r="E2718" t="s">
        <v>13</v>
      </c>
      <c r="F2718" t="s">
        <v>28</v>
      </c>
      <c r="G2718" t="s">
        <v>15</v>
      </c>
      <c r="H2718" t="s">
        <v>17</v>
      </c>
      <c r="I2718" s="3">
        <v>37</v>
      </c>
      <c r="J2718" s="2">
        <v>272</v>
      </c>
      <c r="K2718" s="3">
        <f t="shared" si="42"/>
        <v>10064</v>
      </c>
      <c r="L2718" s="3">
        <v>7145.4400000000005</v>
      </c>
    </row>
    <row r="2719" spans="1:12" x14ac:dyDescent="0.25">
      <c r="A2719" t="s">
        <v>27</v>
      </c>
      <c r="B2719">
        <v>1128299</v>
      </c>
      <c r="C2719" s="1">
        <v>44312</v>
      </c>
      <c r="D2719" t="s">
        <v>12</v>
      </c>
      <c r="E2719" t="s">
        <v>42</v>
      </c>
      <c r="F2719" t="s">
        <v>43</v>
      </c>
      <c r="G2719" t="s">
        <v>15</v>
      </c>
      <c r="H2719" t="s">
        <v>22</v>
      </c>
      <c r="I2719" s="3">
        <v>46</v>
      </c>
      <c r="J2719" s="2">
        <v>60</v>
      </c>
      <c r="K2719" s="3">
        <f t="shared" si="42"/>
        <v>2760</v>
      </c>
      <c r="L2719" s="3">
        <v>1794</v>
      </c>
    </row>
    <row r="2720" spans="1:12" x14ac:dyDescent="0.25">
      <c r="A2720" t="s">
        <v>27</v>
      </c>
      <c r="B2720">
        <v>1189833</v>
      </c>
      <c r="C2720" s="1">
        <v>44312</v>
      </c>
      <c r="D2720" t="s">
        <v>12</v>
      </c>
      <c r="E2720" t="s">
        <v>13</v>
      </c>
      <c r="F2720" t="s">
        <v>28</v>
      </c>
      <c r="G2720" t="s">
        <v>41</v>
      </c>
      <c r="H2720" t="s">
        <v>17</v>
      </c>
      <c r="I2720" s="3">
        <v>46</v>
      </c>
      <c r="J2720" s="2">
        <v>216</v>
      </c>
      <c r="K2720" s="3">
        <f t="shared" si="42"/>
        <v>9936</v>
      </c>
      <c r="L2720" s="3">
        <v>6160.32</v>
      </c>
    </row>
    <row r="2721" spans="1:12" x14ac:dyDescent="0.25">
      <c r="A2721" t="s">
        <v>27</v>
      </c>
      <c r="B2721">
        <v>1128299</v>
      </c>
      <c r="C2721" s="1">
        <v>44312</v>
      </c>
      <c r="D2721" t="s">
        <v>12</v>
      </c>
      <c r="E2721" t="s">
        <v>42</v>
      </c>
      <c r="F2721" t="s">
        <v>43</v>
      </c>
      <c r="G2721" t="s">
        <v>41</v>
      </c>
      <c r="H2721" t="s">
        <v>16</v>
      </c>
      <c r="I2721" s="3">
        <v>69</v>
      </c>
      <c r="J2721" s="2">
        <v>101</v>
      </c>
      <c r="K2721" s="3">
        <f t="shared" si="42"/>
        <v>6969</v>
      </c>
      <c r="L2721" s="3">
        <v>4320.78</v>
      </c>
    </row>
    <row r="2722" spans="1:12" x14ac:dyDescent="0.25">
      <c r="A2722" t="s">
        <v>27</v>
      </c>
      <c r="B2722">
        <v>1128299</v>
      </c>
      <c r="C2722" s="1">
        <v>44312</v>
      </c>
      <c r="D2722" t="s">
        <v>12</v>
      </c>
      <c r="E2722" t="s">
        <v>42</v>
      </c>
      <c r="F2722" t="s">
        <v>43</v>
      </c>
      <c r="G2722" t="s">
        <v>15</v>
      </c>
      <c r="H2722" t="s">
        <v>37</v>
      </c>
      <c r="I2722" s="3">
        <v>37</v>
      </c>
      <c r="J2722" s="2">
        <v>96</v>
      </c>
      <c r="K2722" s="3">
        <f t="shared" si="42"/>
        <v>3552</v>
      </c>
      <c r="L2722" s="3">
        <v>2166.7200000000003</v>
      </c>
    </row>
    <row r="2723" spans="1:12" x14ac:dyDescent="0.25">
      <c r="A2723" t="s">
        <v>27</v>
      </c>
      <c r="B2723">
        <v>1128299</v>
      </c>
      <c r="C2723" s="1">
        <v>44312</v>
      </c>
      <c r="D2723" t="s">
        <v>12</v>
      </c>
      <c r="E2723" t="s">
        <v>42</v>
      </c>
      <c r="F2723" t="s">
        <v>43</v>
      </c>
      <c r="G2723" t="s">
        <v>41</v>
      </c>
      <c r="H2723" t="s">
        <v>22</v>
      </c>
      <c r="I2723" s="3">
        <v>56</v>
      </c>
      <c r="J2723" s="2">
        <v>58</v>
      </c>
      <c r="K2723" s="3">
        <f t="shared" si="42"/>
        <v>3248</v>
      </c>
      <c r="L2723" s="3">
        <v>1916.3200000000002</v>
      </c>
    </row>
    <row r="2724" spans="1:12" x14ac:dyDescent="0.25">
      <c r="A2724" t="s">
        <v>27</v>
      </c>
      <c r="B2724">
        <v>1128299</v>
      </c>
      <c r="C2724" s="1">
        <v>44312</v>
      </c>
      <c r="D2724" t="s">
        <v>12</v>
      </c>
      <c r="E2724" t="s">
        <v>42</v>
      </c>
      <c r="F2724" t="s">
        <v>43</v>
      </c>
      <c r="G2724" t="s">
        <v>15</v>
      </c>
      <c r="H2724" t="s">
        <v>38</v>
      </c>
      <c r="I2724" s="3">
        <v>41</v>
      </c>
      <c r="J2724" s="2">
        <v>165</v>
      </c>
      <c r="K2724" s="3">
        <f t="shared" si="42"/>
        <v>6765</v>
      </c>
      <c r="L2724" s="3">
        <v>3923.7000000000003</v>
      </c>
    </row>
    <row r="2725" spans="1:12" x14ac:dyDescent="0.25">
      <c r="A2725" t="s">
        <v>27</v>
      </c>
      <c r="B2725">
        <v>1128299</v>
      </c>
      <c r="C2725" s="1">
        <v>44312</v>
      </c>
      <c r="D2725" t="s">
        <v>12</v>
      </c>
      <c r="E2725" t="s">
        <v>42</v>
      </c>
      <c r="F2725" t="s">
        <v>43</v>
      </c>
      <c r="G2725" t="s">
        <v>15</v>
      </c>
      <c r="H2725" t="s">
        <v>35</v>
      </c>
      <c r="I2725" s="3">
        <v>44</v>
      </c>
      <c r="J2725" s="2">
        <v>140</v>
      </c>
      <c r="K2725" s="3">
        <f t="shared" si="42"/>
        <v>6160</v>
      </c>
      <c r="L2725" s="3">
        <v>3572.8</v>
      </c>
    </row>
    <row r="2726" spans="1:12" x14ac:dyDescent="0.25">
      <c r="A2726" t="s">
        <v>27</v>
      </c>
      <c r="B2726">
        <v>1128299</v>
      </c>
      <c r="C2726" s="1">
        <v>44312</v>
      </c>
      <c r="D2726" t="s">
        <v>12</v>
      </c>
      <c r="E2726" t="s">
        <v>42</v>
      </c>
      <c r="F2726" t="s">
        <v>43</v>
      </c>
      <c r="G2726" t="s">
        <v>41</v>
      </c>
      <c r="H2726" t="s">
        <v>38</v>
      </c>
      <c r="I2726" s="3">
        <v>51</v>
      </c>
      <c r="J2726" s="2">
        <v>154</v>
      </c>
      <c r="K2726" s="3">
        <f t="shared" si="42"/>
        <v>7854</v>
      </c>
      <c r="L2726" s="3">
        <v>4319.7000000000007</v>
      </c>
    </row>
    <row r="2727" spans="1:12" x14ac:dyDescent="0.25">
      <c r="A2727" t="s">
        <v>27</v>
      </c>
      <c r="B2727">
        <v>1128299</v>
      </c>
      <c r="C2727" s="1">
        <v>44312</v>
      </c>
      <c r="D2727" t="s">
        <v>12</v>
      </c>
      <c r="E2727" t="s">
        <v>42</v>
      </c>
      <c r="F2727" t="s">
        <v>43</v>
      </c>
      <c r="G2727" t="s">
        <v>41</v>
      </c>
      <c r="H2727" t="s">
        <v>37</v>
      </c>
      <c r="I2727" s="3">
        <v>54</v>
      </c>
      <c r="J2727" s="2">
        <v>87</v>
      </c>
      <c r="K2727" s="3">
        <f t="shared" si="42"/>
        <v>4698</v>
      </c>
      <c r="L2727" s="3">
        <v>2536.92</v>
      </c>
    </row>
    <row r="2728" spans="1:12" x14ac:dyDescent="0.25">
      <c r="A2728" t="s">
        <v>27</v>
      </c>
      <c r="B2728">
        <v>1128299</v>
      </c>
      <c r="C2728" s="1">
        <v>44312</v>
      </c>
      <c r="D2728" t="s">
        <v>12</v>
      </c>
      <c r="E2728" t="s">
        <v>42</v>
      </c>
      <c r="F2728" t="s">
        <v>43</v>
      </c>
      <c r="G2728" t="s">
        <v>15</v>
      </c>
      <c r="H2728" t="s">
        <v>17</v>
      </c>
      <c r="I2728" s="3">
        <v>43</v>
      </c>
      <c r="J2728" s="2">
        <v>109</v>
      </c>
      <c r="K2728" s="3">
        <f t="shared" si="42"/>
        <v>4687</v>
      </c>
      <c r="L2728" s="3">
        <v>2530.98</v>
      </c>
    </row>
    <row r="2729" spans="1:12" x14ac:dyDescent="0.25">
      <c r="A2729" t="s">
        <v>27</v>
      </c>
      <c r="B2729">
        <v>1128299</v>
      </c>
      <c r="C2729" s="1">
        <v>44312</v>
      </c>
      <c r="D2729" t="s">
        <v>12</v>
      </c>
      <c r="E2729" t="s">
        <v>42</v>
      </c>
      <c r="F2729" t="s">
        <v>43</v>
      </c>
      <c r="G2729" t="s">
        <v>41</v>
      </c>
      <c r="H2729" t="s">
        <v>17</v>
      </c>
      <c r="I2729" s="3">
        <v>59</v>
      </c>
      <c r="J2729" s="2">
        <v>98</v>
      </c>
      <c r="K2729" s="3">
        <f t="shared" si="42"/>
        <v>5782</v>
      </c>
      <c r="L2729" s="3">
        <v>2891</v>
      </c>
    </row>
    <row r="2730" spans="1:12" x14ac:dyDescent="0.25">
      <c r="A2730" t="s">
        <v>27</v>
      </c>
      <c r="B2730">
        <v>1128299</v>
      </c>
      <c r="C2730" s="1">
        <v>44312</v>
      </c>
      <c r="D2730" t="s">
        <v>12</v>
      </c>
      <c r="E2730" t="s">
        <v>42</v>
      </c>
      <c r="F2730" t="s">
        <v>43</v>
      </c>
      <c r="G2730" t="s">
        <v>41</v>
      </c>
      <c r="H2730" t="s">
        <v>35</v>
      </c>
      <c r="I2730" s="3">
        <v>55</v>
      </c>
      <c r="J2730" s="2">
        <v>116</v>
      </c>
      <c r="K2730" s="3">
        <f t="shared" si="42"/>
        <v>6380</v>
      </c>
      <c r="L2730" s="3">
        <v>3190</v>
      </c>
    </row>
    <row r="2731" spans="1:12" x14ac:dyDescent="0.25">
      <c r="A2731" t="s">
        <v>26</v>
      </c>
      <c r="B2731">
        <v>1197831</v>
      </c>
      <c r="C2731" s="1">
        <v>44312</v>
      </c>
      <c r="D2731" t="s">
        <v>52</v>
      </c>
      <c r="E2731" t="s">
        <v>97</v>
      </c>
      <c r="F2731" t="s">
        <v>98</v>
      </c>
      <c r="G2731" t="s">
        <v>15</v>
      </c>
      <c r="H2731" t="s">
        <v>16</v>
      </c>
      <c r="I2731" s="3">
        <v>40</v>
      </c>
      <c r="J2731" s="2">
        <v>232</v>
      </c>
      <c r="K2731" s="3">
        <f t="shared" si="42"/>
        <v>9280</v>
      </c>
      <c r="L2731" s="3">
        <v>3062.3999999999987</v>
      </c>
    </row>
    <row r="2732" spans="1:12" x14ac:dyDescent="0.25">
      <c r="A2732" t="s">
        <v>26</v>
      </c>
      <c r="B2732">
        <v>1197831</v>
      </c>
      <c r="C2732" s="1">
        <v>44312</v>
      </c>
      <c r="D2732" t="s">
        <v>52</v>
      </c>
      <c r="E2732" t="s">
        <v>97</v>
      </c>
      <c r="F2732" t="s">
        <v>98</v>
      </c>
      <c r="G2732" t="s">
        <v>41</v>
      </c>
      <c r="H2732" t="s">
        <v>16</v>
      </c>
      <c r="I2732" s="3">
        <v>53</v>
      </c>
      <c r="J2732" s="2">
        <v>181</v>
      </c>
      <c r="K2732" s="3">
        <f t="shared" si="42"/>
        <v>9593</v>
      </c>
      <c r="L2732" s="3">
        <v>2781.9699999999993</v>
      </c>
    </row>
    <row r="2733" spans="1:12" x14ac:dyDescent="0.25">
      <c r="A2733" t="s">
        <v>27</v>
      </c>
      <c r="B2733">
        <v>1189833</v>
      </c>
      <c r="C2733" s="1">
        <v>44313</v>
      </c>
      <c r="D2733" t="s">
        <v>12</v>
      </c>
      <c r="E2733" t="s">
        <v>13</v>
      </c>
      <c r="F2733" t="s">
        <v>28</v>
      </c>
      <c r="G2733" t="s">
        <v>15</v>
      </c>
      <c r="H2733" t="s">
        <v>35</v>
      </c>
      <c r="I2733" s="3">
        <v>50</v>
      </c>
      <c r="J2733" s="2">
        <v>750</v>
      </c>
      <c r="K2733" s="3">
        <f t="shared" si="42"/>
        <v>37500</v>
      </c>
      <c r="L2733" s="3">
        <v>22500</v>
      </c>
    </row>
    <row r="2734" spans="1:12" x14ac:dyDescent="0.25">
      <c r="A2734" t="s">
        <v>26</v>
      </c>
      <c r="B2734">
        <v>1197831</v>
      </c>
      <c r="C2734" s="1">
        <v>44313</v>
      </c>
      <c r="D2734" t="s">
        <v>52</v>
      </c>
      <c r="E2734" t="s">
        <v>97</v>
      </c>
      <c r="F2734" t="s">
        <v>98</v>
      </c>
      <c r="G2734" t="s">
        <v>15</v>
      </c>
      <c r="H2734" t="s">
        <v>38</v>
      </c>
      <c r="I2734" s="3">
        <v>50</v>
      </c>
      <c r="J2734" s="2">
        <v>675</v>
      </c>
      <c r="K2734" s="3">
        <f t="shared" si="42"/>
        <v>33750</v>
      </c>
      <c r="L2734" s="3">
        <v>18562.500000000004</v>
      </c>
    </row>
    <row r="2735" spans="1:12" x14ac:dyDescent="0.25">
      <c r="A2735" t="s">
        <v>27</v>
      </c>
      <c r="B2735">
        <v>1189833</v>
      </c>
      <c r="C2735" s="1">
        <v>44313</v>
      </c>
      <c r="D2735" t="s">
        <v>12</v>
      </c>
      <c r="E2735" t="s">
        <v>13</v>
      </c>
      <c r="F2735" t="s">
        <v>28</v>
      </c>
      <c r="G2735" t="s">
        <v>15</v>
      </c>
      <c r="H2735" t="s">
        <v>35</v>
      </c>
      <c r="I2735" s="3">
        <v>33</v>
      </c>
      <c r="J2735" s="2">
        <v>240</v>
      </c>
      <c r="K2735" s="3">
        <f t="shared" si="42"/>
        <v>7920</v>
      </c>
      <c r="L2735" s="3">
        <v>4276.7999999999993</v>
      </c>
    </row>
    <row r="2736" spans="1:12" x14ac:dyDescent="0.25">
      <c r="A2736" t="s">
        <v>26</v>
      </c>
      <c r="B2736">
        <v>1197831</v>
      </c>
      <c r="C2736" s="1">
        <v>44313</v>
      </c>
      <c r="D2736" t="s">
        <v>52</v>
      </c>
      <c r="E2736" t="s">
        <v>97</v>
      </c>
      <c r="F2736" t="s">
        <v>98</v>
      </c>
      <c r="G2736" t="s">
        <v>15</v>
      </c>
      <c r="H2736" t="s">
        <v>38</v>
      </c>
      <c r="I2736" s="3">
        <v>40</v>
      </c>
      <c r="J2736" s="2">
        <v>209</v>
      </c>
      <c r="K2736" s="3">
        <f t="shared" si="42"/>
        <v>8360</v>
      </c>
      <c r="L2736" s="3">
        <v>4180.0000000000009</v>
      </c>
    </row>
    <row r="2737" spans="1:12" x14ac:dyDescent="0.25">
      <c r="A2737" t="s">
        <v>27</v>
      </c>
      <c r="B2737">
        <v>1189833</v>
      </c>
      <c r="C2737" s="1">
        <v>44313</v>
      </c>
      <c r="D2737" t="s">
        <v>12</v>
      </c>
      <c r="E2737" t="s">
        <v>13</v>
      </c>
      <c r="F2737" t="s">
        <v>28</v>
      </c>
      <c r="G2737" t="s">
        <v>41</v>
      </c>
      <c r="H2737" t="s">
        <v>35</v>
      </c>
      <c r="I2737" s="3">
        <v>47</v>
      </c>
      <c r="J2737" s="2">
        <v>218</v>
      </c>
      <c r="K2737" s="3">
        <f t="shared" si="42"/>
        <v>10246</v>
      </c>
      <c r="L2737" s="3">
        <v>4918.08</v>
      </c>
    </row>
    <row r="2738" spans="1:12" x14ac:dyDescent="0.25">
      <c r="A2738" t="s">
        <v>26</v>
      </c>
      <c r="B2738">
        <v>1197831</v>
      </c>
      <c r="C2738" s="1">
        <v>44313</v>
      </c>
      <c r="D2738" t="s">
        <v>52</v>
      </c>
      <c r="E2738" t="s">
        <v>97</v>
      </c>
      <c r="F2738" t="s">
        <v>98</v>
      </c>
      <c r="G2738" t="s">
        <v>41</v>
      </c>
      <c r="H2738" t="s">
        <v>38</v>
      </c>
      <c r="I2738" s="3">
        <v>49</v>
      </c>
      <c r="J2738" s="2">
        <v>182</v>
      </c>
      <c r="K2738" s="3">
        <f t="shared" si="42"/>
        <v>8918</v>
      </c>
      <c r="L2738" s="3">
        <v>3567.2</v>
      </c>
    </row>
    <row r="2739" spans="1:12" x14ac:dyDescent="0.25">
      <c r="A2739" t="s">
        <v>27</v>
      </c>
      <c r="B2739">
        <v>1189833</v>
      </c>
      <c r="C2739" s="1">
        <v>44314</v>
      </c>
      <c r="D2739" t="s">
        <v>12</v>
      </c>
      <c r="E2739" t="s">
        <v>13</v>
      </c>
      <c r="F2739" t="s">
        <v>28</v>
      </c>
      <c r="G2739" t="s">
        <v>15</v>
      </c>
      <c r="H2739" t="s">
        <v>37</v>
      </c>
      <c r="I2739" s="3">
        <v>45</v>
      </c>
      <c r="J2739" s="2">
        <v>650</v>
      </c>
      <c r="K2739" s="3">
        <f t="shared" si="42"/>
        <v>29250</v>
      </c>
      <c r="L2739" s="3">
        <v>19012.5</v>
      </c>
    </row>
    <row r="2740" spans="1:12" x14ac:dyDescent="0.25">
      <c r="A2740" t="s">
        <v>26</v>
      </c>
      <c r="B2740">
        <v>1197831</v>
      </c>
      <c r="C2740" s="1">
        <v>44314</v>
      </c>
      <c r="D2740" t="s">
        <v>52</v>
      </c>
      <c r="E2740" t="s">
        <v>97</v>
      </c>
      <c r="F2740" t="s">
        <v>98</v>
      </c>
      <c r="G2740" t="s">
        <v>15</v>
      </c>
      <c r="H2740" t="s">
        <v>17</v>
      </c>
      <c r="I2740" s="3">
        <v>50</v>
      </c>
      <c r="J2740" s="2">
        <v>625</v>
      </c>
      <c r="K2740" s="3">
        <f t="shared" si="42"/>
        <v>31250</v>
      </c>
      <c r="L2740" s="3">
        <v>17187.5</v>
      </c>
    </row>
    <row r="2741" spans="1:12" x14ac:dyDescent="0.25">
      <c r="A2741" t="s">
        <v>27</v>
      </c>
      <c r="B2741">
        <v>1189833</v>
      </c>
      <c r="C2741" s="1">
        <v>44314</v>
      </c>
      <c r="D2741" t="s">
        <v>12</v>
      </c>
      <c r="E2741" t="s">
        <v>13</v>
      </c>
      <c r="F2741" t="s">
        <v>28</v>
      </c>
      <c r="G2741" t="s">
        <v>15</v>
      </c>
      <c r="H2741" t="s">
        <v>37</v>
      </c>
      <c r="I2741" s="3">
        <v>29</v>
      </c>
      <c r="J2741" s="2">
        <v>228</v>
      </c>
      <c r="K2741" s="3">
        <f t="shared" si="42"/>
        <v>6612</v>
      </c>
      <c r="L2741" s="3">
        <v>3967.2000000000003</v>
      </c>
    </row>
    <row r="2742" spans="1:12" x14ac:dyDescent="0.25">
      <c r="A2742" t="s">
        <v>26</v>
      </c>
      <c r="B2742">
        <v>1197831</v>
      </c>
      <c r="C2742" s="1">
        <v>44314</v>
      </c>
      <c r="D2742" t="s">
        <v>52</v>
      </c>
      <c r="E2742" t="s">
        <v>97</v>
      </c>
      <c r="F2742" t="s">
        <v>98</v>
      </c>
      <c r="G2742" t="s">
        <v>15</v>
      </c>
      <c r="H2742" t="s">
        <v>17</v>
      </c>
      <c r="I2742" s="3">
        <v>33</v>
      </c>
      <c r="J2742" s="2">
        <v>213</v>
      </c>
      <c r="K2742" s="3">
        <f t="shared" si="42"/>
        <v>7029</v>
      </c>
      <c r="L2742" s="3">
        <v>3725.3700000000003</v>
      </c>
    </row>
    <row r="2743" spans="1:12" x14ac:dyDescent="0.25">
      <c r="A2743" t="s">
        <v>27</v>
      </c>
      <c r="B2743">
        <v>1189833</v>
      </c>
      <c r="C2743" s="1">
        <v>44314</v>
      </c>
      <c r="D2743" t="s">
        <v>12</v>
      </c>
      <c r="E2743" t="s">
        <v>13</v>
      </c>
      <c r="F2743" t="s">
        <v>28</v>
      </c>
      <c r="G2743" t="s">
        <v>41</v>
      </c>
      <c r="H2743" t="s">
        <v>37</v>
      </c>
      <c r="I2743" s="3">
        <v>44</v>
      </c>
      <c r="J2743" s="2">
        <v>189</v>
      </c>
      <c r="K2743" s="3">
        <f t="shared" si="42"/>
        <v>8316</v>
      </c>
      <c r="L2743" s="3">
        <v>4324.32</v>
      </c>
    </row>
    <row r="2744" spans="1:12" x14ac:dyDescent="0.25">
      <c r="A2744" t="s">
        <v>26</v>
      </c>
      <c r="B2744">
        <v>1197831</v>
      </c>
      <c r="C2744" s="1">
        <v>44314</v>
      </c>
      <c r="D2744" t="s">
        <v>52</v>
      </c>
      <c r="E2744" t="s">
        <v>97</v>
      </c>
      <c r="F2744" t="s">
        <v>98</v>
      </c>
      <c r="G2744" t="s">
        <v>41</v>
      </c>
      <c r="H2744" t="s">
        <v>17</v>
      </c>
      <c r="I2744" s="3">
        <v>47</v>
      </c>
      <c r="J2744" s="2">
        <v>169</v>
      </c>
      <c r="K2744" s="3">
        <f t="shared" si="42"/>
        <v>7943</v>
      </c>
      <c r="L2744" s="3">
        <v>3177.2</v>
      </c>
    </row>
    <row r="2745" spans="1:12" x14ac:dyDescent="0.25">
      <c r="A2745" t="s">
        <v>26</v>
      </c>
      <c r="B2745">
        <v>1197831</v>
      </c>
      <c r="C2745" s="1">
        <v>44315</v>
      </c>
      <c r="D2745" t="s">
        <v>52</v>
      </c>
      <c r="E2745" t="s">
        <v>97</v>
      </c>
      <c r="F2745" t="s">
        <v>98</v>
      </c>
      <c r="G2745" t="s">
        <v>15</v>
      </c>
      <c r="H2745" t="s">
        <v>35</v>
      </c>
      <c r="I2745" s="3">
        <v>54.999999999999993</v>
      </c>
      <c r="J2745" s="2">
        <v>675</v>
      </c>
      <c r="K2745" s="3">
        <f t="shared" si="42"/>
        <v>37124.999999999993</v>
      </c>
      <c r="L2745" s="3">
        <v>20418.749999999996</v>
      </c>
    </row>
    <row r="2746" spans="1:12" x14ac:dyDescent="0.25">
      <c r="A2746" t="s">
        <v>27</v>
      </c>
      <c r="B2746">
        <v>1189833</v>
      </c>
      <c r="C2746" s="1">
        <v>44315</v>
      </c>
      <c r="D2746" t="s">
        <v>12</v>
      </c>
      <c r="E2746" t="s">
        <v>13</v>
      </c>
      <c r="F2746" t="s">
        <v>28</v>
      </c>
      <c r="G2746" t="s">
        <v>15</v>
      </c>
      <c r="H2746" t="s">
        <v>22</v>
      </c>
      <c r="I2746" s="3">
        <v>50</v>
      </c>
      <c r="J2746" s="2">
        <v>700</v>
      </c>
      <c r="K2746" s="3">
        <f t="shared" si="42"/>
        <v>35000</v>
      </c>
      <c r="L2746" s="3">
        <v>15749.999999999996</v>
      </c>
    </row>
    <row r="2747" spans="1:12" x14ac:dyDescent="0.25">
      <c r="A2747" t="s">
        <v>26</v>
      </c>
      <c r="B2747">
        <v>1197831</v>
      </c>
      <c r="C2747" s="1">
        <v>44315</v>
      </c>
      <c r="D2747" t="s">
        <v>52</v>
      </c>
      <c r="E2747" t="s">
        <v>97</v>
      </c>
      <c r="F2747" t="s">
        <v>98</v>
      </c>
      <c r="G2747" t="s">
        <v>15</v>
      </c>
      <c r="H2747" t="s">
        <v>35</v>
      </c>
      <c r="I2747" s="3">
        <v>40</v>
      </c>
      <c r="J2747" s="2">
        <v>203</v>
      </c>
      <c r="K2747" s="3">
        <f t="shared" si="42"/>
        <v>8120</v>
      </c>
      <c r="L2747" s="3">
        <v>3978.8</v>
      </c>
    </row>
    <row r="2748" spans="1:12" x14ac:dyDescent="0.25">
      <c r="A2748" t="s">
        <v>26</v>
      </c>
      <c r="B2748">
        <v>1197831</v>
      </c>
      <c r="C2748" s="1">
        <v>44315</v>
      </c>
      <c r="D2748" t="s">
        <v>52</v>
      </c>
      <c r="E2748" t="s">
        <v>97</v>
      </c>
      <c r="F2748" t="s">
        <v>98</v>
      </c>
      <c r="G2748" t="s">
        <v>41</v>
      </c>
      <c r="H2748" t="s">
        <v>35</v>
      </c>
      <c r="I2748" s="3">
        <v>54</v>
      </c>
      <c r="J2748" s="2">
        <v>182</v>
      </c>
      <c r="K2748" s="3">
        <f t="shared" si="42"/>
        <v>9828</v>
      </c>
      <c r="L2748" s="3">
        <v>4029.4800000000005</v>
      </c>
    </row>
    <row r="2749" spans="1:12" x14ac:dyDescent="0.25">
      <c r="A2749" t="s">
        <v>27</v>
      </c>
      <c r="B2749">
        <v>1189833</v>
      </c>
      <c r="C2749" s="1">
        <v>44315</v>
      </c>
      <c r="D2749" t="s">
        <v>12</v>
      </c>
      <c r="E2749" t="s">
        <v>13</v>
      </c>
      <c r="F2749" t="s">
        <v>28</v>
      </c>
      <c r="G2749" t="s">
        <v>15</v>
      </c>
      <c r="H2749" t="s">
        <v>22</v>
      </c>
      <c r="I2749" s="3">
        <v>38</v>
      </c>
      <c r="J2749" s="2">
        <v>224</v>
      </c>
      <c r="K2749" s="3">
        <f t="shared" si="42"/>
        <v>8512</v>
      </c>
      <c r="L2749" s="3">
        <v>3404.7999999999993</v>
      </c>
    </row>
    <row r="2750" spans="1:12" x14ac:dyDescent="0.25">
      <c r="A2750" t="s">
        <v>27</v>
      </c>
      <c r="B2750">
        <v>1189833</v>
      </c>
      <c r="C2750" s="1">
        <v>44315</v>
      </c>
      <c r="D2750" t="s">
        <v>12</v>
      </c>
      <c r="E2750" t="s">
        <v>13</v>
      </c>
      <c r="F2750" t="s">
        <v>28</v>
      </c>
      <c r="G2750" t="s">
        <v>41</v>
      </c>
      <c r="H2750" t="s">
        <v>22</v>
      </c>
      <c r="I2750" s="3">
        <v>46</v>
      </c>
      <c r="J2750" s="2">
        <v>189</v>
      </c>
      <c r="K2750" s="3">
        <f t="shared" si="42"/>
        <v>8694</v>
      </c>
      <c r="L2750" s="3">
        <v>2955.96</v>
      </c>
    </row>
    <row r="2751" spans="1:12" x14ac:dyDescent="0.25">
      <c r="A2751" t="s">
        <v>27</v>
      </c>
      <c r="B2751">
        <v>1189833</v>
      </c>
      <c r="C2751" s="1">
        <v>44316</v>
      </c>
      <c r="D2751" t="s">
        <v>12</v>
      </c>
      <c r="E2751" t="s">
        <v>13</v>
      </c>
      <c r="F2751" t="s">
        <v>28</v>
      </c>
      <c r="G2751" t="s">
        <v>15</v>
      </c>
      <c r="H2751" t="s">
        <v>16</v>
      </c>
      <c r="I2751" s="3">
        <v>65</v>
      </c>
      <c r="J2751" s="2">
        <v>700</v>
      </c>
      <c r="K2751" s="3">
        <f t="shared" si="42"/>
        <v>45500</v>
      </c>
      <c r="L2751" s="3">
        <v>36400</v>
      </c>
    </row>
    <row r="2752" spans="1:12" x14ac:dyDescent="0.25">
      <c r="A2752" t="s">
        <v>26</v>
      </c>
      <c r="B2752">
        <v>1197831</v>
      </c>
      <c r="C2752" s="1">
        <v>44316</v>
      </c>
      <c r="D2752" t="s">
        <v>52</v>
      </c>
      <c r="E2752" t="s">
        <v>97</v>
      </c>
      <c r="F2752" t="s">
        <v>98</v>
      </c>
      <c r="G2752" t="s">
        <v>15</v>
      </c>
      <c r="H2752" t="s">
        <v>37</v>
      </c>
      <c r="I2752" s="3">
        <v>54.999999999999993</v>
      </c>
      <c r="J2752" s="2">
        <v>400</v>
      </c>
      <c r="K2752" s="3">
        <f t="shared" si="42"/>
        <v>21999.999999999996</v>
      </c>
      <c r="L2752" s="3">
        <v>9899.9999999999964</v>
      </c>
    </row>
    <row r="2753" spans="1:12" x14ac:dyDescent="0.25">
      <c r="A2753" t="s">
        <v>27</v>
      </c>
      <c r="B2753">
        <v>1189833</v>
      </c>
      <c r="C2753" s="1">
        <v>44316</v>
      </c>
      <c r="D2753" t="s">
        <v>12</v>
      </c>
      <c r="E2753" t="s">
        <v>13</v>
      </c>
      <c r="F2753" t="s">
        <v>28</v>
      </c>
      <c r="G2753" t="s">
        <v>15</v>
      </c>
      <c r="H2753" t="s">
        <v>16</v>
      </c>
      <c r="I2753" s="3">
        <v>51</v>
      </c>
      <c r="J2753" s="2">
        <v>224</v>
      </c>
      <c r="K2753" s="3">
        <f t="shared" si="42"/>
        <v>11424</v>
      </c>
      <c r="L2753" s="3">
        <v>8796.48</v>
      </c>
    </row>
    <row r="2754" spans="1:12" x14ac:dyDescent="0.25">
      <c r="A2754" t="s">
        <v>27</v>
      </c>
      <c r="B2754">
        <v>1189833</v>
      </c>
      <c r="C2754" s="1">
        <v>44316</v>
      </c>
      <c r="D2754" t="s">
        <v>12</v>
      </c>
      <c r="E2754" t="s">
        <v>13</v>
      </c>
      <c r="F2754" t="s">
        <v>28</v>
      </c>
      <c r="G2754" t="s">
        <v>41</v>
      </c>
      <c r="H2754" t="s">
        <v>16</v>
      </c>
      <c r="I2754" s="3">
        <v>59</v>
      </c>
      <c r="J2754" s="2">
        <v>203</v>
      </c>
      <c r="K2754" s="3">
        <f t="shared" si="42"/>
        <v>11977</v>
      </c>
      <c r="L2754" s="3">
        <v>8383.9</v>
      </c>
    </row>
    <row r="2755" spans="1:12" x14ac:dyDescent="0.25">
      <c r="A2755" t="s">
        <v>26</v>
      </c>
      <c r="B2755">
        <v>1197831</v>
      </c>
      <c r="C2755" s="1">
        <v>44316</v>
      </c>
      <c r="D2755" t="s">
        <v>52</v>
      </c>
      <c r="E2755" t="s">
        <v>97</v>
      </c>
      <c r="F2755" t="s">
        <v>98</v>
      </c>
      <c r="G2755" t="s">
        <v>15</v>
      </c>
      <c r="H2755" t="s">
        <v>37</v>
      </c>
      <c r="I2755" s="3">
        <v>40</v>
      </c>
      <c r="J2755" s="2">
        <v>136</v>
      </c>
      <c r="K2755" s="3">
        <f t="shared" ref="K2755:K2818" si="43">I2755*J2755</f>
        <v>5440</v>
      </c>
      <c r="L2755" s="3">
        <v>2339.1999999999998</v>
      </c>
    </row>
    <row r="2756" spans="1:12" x14ac:dyDescent="0.25">
      <c r="A2756" t="s">
        <v>26</v>
      </c>
      <c r="B2756">
        <v>1197831</v>
      </c>
      <c r="C2756" s="1">
        <v>44316</v>
      </c>
      <c r="D2756" t="s">
        <v>52</v>
      </c>
      <c r="E2756" t="s">
        <v>97</v>
      </c>
      <c r="F2756" t="s">
        <v>98</v>
      </c>
      <c r="G2756" t="s">
        <v>41</v>
      </c>
      <c r="H2756" t="s">
        <v>37</v>
      </c>
      <c r="I2756" s="3">
        <v>53</v>
      </c>
      <c r="J2756" s="2">
        <v>100</v>
      </c>
      <c r="K2756" s="3">
        <f t="shared" si="43"/>
        <v>5300</v>
      </c>
      <c r="L2756" s="3">
        <v>1589.9999999999995</v>
      </c>
    </row>
    <row r="2757" spans="1:12" x14ac:dyDescent="0.25">
      <c r="A2757" t="s">
        <v>27</v>
      </c>
      <c r="B2757">
        <v>1189833</v>
      </c>
      <c r="C2757" s="1">
        <v>44317</v>
      </c>
      <c r="D2757" t="s">
        <v>12</v>
      </c>
      <c r="E2757" t="s">
        <v>13</v>
      </c>
      <c r="F2757" t="s">
        <v>28</v>
      </c>
      <c r="G2757" t="s">
        <v>15</v>
      </c>
      <c r="H2757" t="s">
        <v>38</v>
      </c>
      <c r="I2757" s="3">
        <v>50</v>
      </c>
      <c r="J2757" s="2">
        <v>900</v>
      </c>
      <c r="K2757" s="3">
        <f t="shared" si="43"/>
        <v>45000</v>
      </c>
      <c r="L2757" s="3">
        <v>27000</v>
      </c>
    </row>
    <row r="2758" spans="1:12" x14ac:dyDescent="0.25">
      <c r="A2758" t="s">
        <v>26</v>
      </c>
      <c r="B2758">
        <v>1197831</v>
      </c>
      <c r="C2758" s="1">
        <v>44317</v>
      </c>
      <c r="D2758" t="s">
        <v>52</v>
      </c>
      <c r="E2758" t="s">
        <v>97</v>
      </c>
      <c r="F2758" t="s">
        <v>98</v>
      </c>
      <c r="G2758" t="s">
        <v>15</v>
      </c>
      <c r="H2758" t="s">
        <v>22</v>
      </c>
      <c r="I2758" s="3">
        <v>50</v>
      </c>
      <c r="J2758" s="2">
        <v>400</v>
      </c>
      <c r="K2758" s="3">
        <f t="shared" si="43"/>
        <v>20000</v>
      </c>
      <c r="L2758" s="3">
        <v>12000</v>
      </c>
    </row>
    <row r="2759" spans="1:12" x14ac:dyDescent="0.25">
      <c r="A2759" t="s">
        <v>26</v>
      </c>
      <c r="B2759">
        <v>1197831</v>
      </c>
      <c r="C2759" s="1">
        <v>44317</v>
      </c>
      <c r="D2759" t="s">
        <v>52</v>
      </c>
      <c r="E2759" t="s">
        <v>97</v>
      </c>
      <c r="F2759" t="s">
        <v>98</v>
      </c>
      <c r="G2759" t="s">
        <v>15</v>
      </c>
      <c r="H2759" t="s">
        <v>22</v>
      </c>
      <c r="I2759" s="3">
        <v>39</v>
      </c>
      <c r="J2759" s="2">
        <v>120</v>
      </c>
      <c r="K2759" s="3">
        <f t="shared" si="43"/>
        <v>4680</v>
      </c>
      <c r="L2759" s="3">
        <v>2667.6000000000004</v>
      </c>
    </row>
    <row r="2760" spans="1:12" x14ac:dyDescent="0.25">
      <c r="A2760" t="s">
        <v>27</v>
      </c>
      <c r="B2760">
        <v>1189833</v>
      </c>
      <c r="C2760" s="1">
        <v>44317</v>
      </c>
      <c r="D2760" t="s">
        <v>12</v>
      </c>
      <c r="E2760" t="s">
        <v>13</v>
      </c>
      <c r="F2760" t="s">
        <v>28</v>
      </c>
      <c r="G2760" t="s">
        <v>15</v>
      </c>
      <c r="H2760" t="s">
        <v>38</v>
      </c>
      <c r="I2760" s="3">
        <v>36</v>
      </c>
      <c r="J2760" s="2">
        <v>306</v>
      </c>
      <c r="K2760" s="3">
        <f t="shared" si="43"/>
        <v>11016</v>
      </c>
      <c r="L2760" s="3">
        <v>6058.8</v>
      </c>
    </row>
    <row r="2761" spans="1:12" x14ac:dyDescent="0.25">
      <c r="A2761" t="s">
        <v>26</v>
      </c>
      <c r="B2761">
        <v>1197831</v>
      </c>
      <c r="C2761" s="1">
        <v>44317</v>
      </c>
      <c r="D2761" t="s">
        <v>52</v>
      </c>
      <c r="E2761" t="s">
        <v>97</v>
      </c>
      <c r="F2761" t="s">
        <v>98</v>
      </c>
      <c r="G2761" t="s">
        <v>41</v>
      </c>
      <c r="H2761" t="s">
        <v>22</v>
      </c>
      <c r="I2761" s="3">
        <v>47</v>
      </c>
      <c r="J2761" s="2">
        <v>120</v>
      </c>
      <c r="K2761" s="3">
        <f t="shared" si="43"/>
        <v>5640</v>
      </c>
      <c r="L2761" s="3">
        <v>2763.6</v>
      </c>
    </row>
    <row r="2762" spans="1:12" x14ac:dyDescent="0.25">
      <c r="A2762" t="s">
        <v>27</v>
      </c>
      <c r="B2762">
        <v>1189833</v>
      </c>
      <c r="C2762" s="1">
        <v>44317</v>
      </c>
      <c r="D2762" t="s">
        <v>12</v>
      </c>
      <c r="E2762" t="s">
        <v>13</v>
      </c>
      <c r="F2762" t="s">
        <v>28</v>
      </c>
      <c r="G2762" t="s">
        <v>41</v>
      </c>
      <c r="H2762" t="s">
        <v>38</v>
      </c>
      <c r="I2762" s="3">
        <v>47</v>
      </c>
      <c r="J2762" s="2">
        <v>252</v>
      </c>
      <c r="K2762" s="3">
        <f t="shared" si="43"/>
        <v>11844</v>
      </c>
      <c r="L2762" s="3">
        <v>5685.12</v>
      </c>
    </row>
    <row r="2763" spans="1:12" x14ac:dyDescent="0.25">
      <c r="A2763" t="s">
        <v>27</v>
      </c>
      <c r="B2763">
        <v>1189833</v>
      </c>
      <c r="C2763" s="1">
        <v>44318</v>
      </c>
      <c r="D2763" t="s">
        <v>12</v>
      </c>
      <c r="E2763" t="s">
        <v>13</v>
      </c>
      <c r="F2763" t="s">
        <v>28</v>
      </c>
      <c r="G2763" t="s">
        <v>15</v>
      </c>
      <c r="H2763" t="s">
        <v>17</v>
      </c>
      <c r="I2763" s="3">
        <v>55.000000000000007</v>
      </c>
      <c r="J2763" s="2">
        <v>850</v>
      </c>
      <c r="K2763" s="3">
        <f t="shared" si="43"/>
        <v>46750.000000000007</v>
      </c>
      <c r="L2763" s="3">
        <v>35062.500000000007</v>
      </c>
    </row>
    <row r="2764" spans="1:12" x14ac:dyDescent="0.25">
      <c r="A2764" t="s">
        <v>26</v>
      </c>
      <c r="B2764">
        <v>1185732</v>
      </c>
      <c r="C2764" s="1">
        <v>44318</v>
      </c>
      <c r="D2764" t="s">
        <v>32</v>
      </c>
      <c r="E2764" t="s">
        <v>108</v>
      </c>
      <c r="F2764" t="s">
        <v>109</v>
      </c>
      <c r="G2764" t="s">
        <v>41</v>
      </c>
      <c r="H2764" t="s">
        <v>17</v>
      </c>
      <c r="I2764" s="3">
        <v>45</v>
      </c>
      <c r="J2764" s="2">
        <v>650</v>
      </c>
      <c r="K2764" s="3">
        <f t="shared" si="43"/>
        <v>29250</v>
      </c>
      <c r="L2764" s="3">
        <v>19012.5</v>
      </c>
    </row>
    <row r="2765" spans="1:12" x14ac:dyDescent="0.25">
      <c r="A2765" t="s">
        <v>26</v>
      </c>
      <c r="B2765">
        <v>1185732</v>
      </c>
      <c r="C2765" s="1">
        <v>44318</v>
      </c>
      <c r="D2765" t="s">
        <v>32</v>
      </c>
      <c r="E2765" t="s">
        <v>108</v>
      </c>
      <c r="F2765" t="s">
        <v>109</v>
      </c>
      <c r="G2765" t="s">
        <v>41</v>
      </c>
      <c r="H2765" t="s">
        <v>22</v>
      </c>
      <c r="I2765" s="3">
        <v>49.999999999999993</v>
      </c>
      <c r="J2765" s="2">
        <v>600</v>
      </c>
      <c r="K2765" s="3">
        <f t="shared" si="43"/>
        <v>29999.999999999996</v>
      </c>
      <c r="L2765" s="3">
        <v>19499.999999999996</v>
      </c>
    </row>
    <row r="2766" spans="1:12" x14ac:dyDescent="0.25">
      <c r="A2766" t="s">
        <v>26</v>
      </c>
      <c r="B2766">
        <v>1185732</v>
      </c>
      <c r="C2766" s="1">
        <v>44318</v>
      </c>
      <c r="D2766" t="s">
        <v>32</v>
      </c>
      <c r="E2766" t="s">
        <v>108</v>
      </c>
      <c r="F2766" t="s">
        <v>109</v>
      </c>
      <c r="G2766" t="s">
        <v>41</v>
      </c>
      <c r="H2766" t="s">
        <v>38</v>
      </c>
      <c r="I2766" s="3">
        <v>45</v>
      </c>
      <c r="J2766" s="2">
        <v>945</v>
      </c>
      <c r="K2766" s="3">
        <f t="shared" si="43"/>
        <v>42525</v>
      </c>
      <c r="L2766" s="3">
        <v>25515</v>
      </c>
    </row>
    <row r="2767" spans="1:12" x14ac:dyDescent="0.25">
      <c r="A2767" t="s">
        <v>26</v>
      </c>
      <c r="B2767">
        <v>1185732</v>
      </c>
      <c r="C2767" s="1">
        <v>44318</v>
      </c>
      <c r="D2767" t="s">
        <v>32</v>
      </c>
      <c r="E2767" t="s">
        <v>108</v>
      </c>
      <c r="F2767" t="s">
        <v>109</v>
      </c>
      <c r="G2767" t="s">
        <v>41</v>
      </c>
      <c r="H2767" t="s">
        <v>35</v>
      </c>
      <c r="I2767" s="3">
        <v>40</v>
      </c>
      <c r="J2767" s="2">
        <v>625</v>
      </c>
      <c r="K2767" s="3">
        <f t="shared" si="43"/>
        <v>25000</v>
      </c>
      <c r="L2767" s="3">
        <v>15000</v>
      </c>
    </row>
    <row r="2768" spans="1:12" x14ac:dyDescent="0.25">
      <c r="A2768" t="s">
        <v>26</v>
      </c>
      <c r="B2768">
        <v>1185732</v>
      </c>
      <c r="C2768" s="1">
        <v>44318</v>
      </c>
      <c r="D2768" t="s">
        <v>32</v>
      </c>
      <c r="E2768" t="s">
        <v>108</v>
      </c>
      <c r="F2768" t="s">
        <v>109</v>
      </c>
      <c r="G2768" t="s">
        <v>41</v>
      </c>
      <c r="H2768" t="s">
        <v>37</v>
      </c>
      <c r="I2768" s="3">
        <v>40</v>
      </c>
      <c r="J2768" s="2">
        <v>575</v>
      </c>
      <c r="K2768" s="3">
        <f t="shared" si="43"/>
        <v>23000</v>
      </c>
      <c r="L2768" s="3">
        <v>13800</v>
      </c>
    </row>
    <row r="2769" spans="1:12" x14ac:dyDescent="0.25">
      <c r="A2769" t="s">
        <v>26</v>
      </c>
      <c r="B2769">
        <v>1185732</v>
      </c>
      <c r="C2769" s="1">
        <v>44318</v>
      </c>
      <c r="D2769" t="s">
        <v>32</v>
      </c>
      <c r="E2769" t="s">
        <v>108</v>
      </c>
      <c r="F2769" t="s">
        <v>109</v>
      </c>
      <c r="G2769" t="s">
        <v>41</v>
      </c>
      <c r="H2769" t="s">
        <v>16</v>
      </c>
      <c r="I2769" s="3">
        <v>54.999999999999993</v>
      </c>
      <c r="J2769" s="2">
        <v>700</v>
      </c>
      <c r="K2769" s="3">
        <f t="shared" si="43"/>
        <v>38499.999999999993</v>
      </c>
      <c r="L2769" s="3">
        <v>19249.999999999996</v>
      </c>
    </row>
    <row r="2770" spans="1:12" x14ac:dyDescent="0.25">
      <c r="A2770" t="s">
        <v>26</v>
      </c>
      <c r="B2770">
        <v>1197831</v>
      </c>
      <c r="C2770" s="1">
        <v>44318</v>
      </c>
      <c r="D2770" t="s">
        <v>52</v>
      </c>
      <c r="E2770" t="s">
        <v>97</v>
      </c>
      <c r="F2770" t="s">
        <v>98</v>
      </c>
      <c r="G2770" t="s">
        <v>15</v>
      </c>
      <c r="H2770" t="s">
        <v>16</v>
      </c>
      <c r="I2770" s="3">
        <v>45</v>
      </c>
      <c r="J2770" s="2">
        <v>625</v>
      </c>
      <c r="K2770" s="3">
        <f t="shared" si="43"/>
        <v>28125</v>
      </c>
      <c r="L2770" s="3">
        <v>11249.999999999996</v>
      </c>
    </row>
    <row r="2771" spans="1:12" x14ac:dyDescent="0.25">
      <c r="A2771" t="s">
        <v>27</v>
      </c>
      <c r="B2771">
        <v>1189833</v>
      </c>
      <c r="C2771" s="1">
        <v>44318</v>
      </c>
      <c r="D2771" t="s">
        <v>12</v>
      </c>
      <c r="E2771" t="s">
        <v>13</v>
      </c>
      <c r="F2771" t="s">
        <v>28</v>
      </c>
      <c r="G2771" t="s">
        <v>15</v>
      </c>
      <c r="H2771" t="s">
        <v>17</v>
      </c>
      <c r="I2771" s="3">
        <v>41</v>
      </c>
      <c r="J2771" s="2">
        <v>264</v>
      </c>
      <c r="K2771" s="3">
        <f t="shared" si="43"/>
        <v>10824</v>
      </c>
      <c r="L2771" s="3">
        <v>7468.5599999999995</v>
      </c>
    </row>
    <row r="2772" spans="1:12" x14ac:dyDescent="0.25">
      <c r="A2772" t="s">
        <v>27</v>
      </c>
      <c r="B2772">
        <v>1189833</v>
      </c>
      <c r="C2772" s="1">
        <v>44318</v>
      </c>
      <c r="D2772" t="s">
        <v>12</v>
      </c>
      <c r="E2772" t="s">
        <v>13</v>
      </c>
      <c r="F2772" t="s">
        <v>28</v>
      </c>
      <c r="G2772" t="s">
        <v>41</v>
      </c>
      <c r="H2772" t="s">
        <v>17</v>
      </c>
      <c r="I2772" s="3">
        <v>51</v>
      </c>
      <c r="J2772" s="2">
        <v>221</v>
      </c>
      <c r="K2772" s="3">
        <f t="shared" si="43"/>
        <v>11271</v>
      </c>
      <c r="L2772" s="3">
        <v>6762.5999999999995</v>
      </c>
    </row>
    <row r="2773" spans="1:12" x14ac:dyDescent="0.25">
      <c r="A2773" t="s">
        <v>26</v>
      </c>
      <c r="B2773">
        <v>1185732</v>
      </c>
      <c r="C2773" s="1">
        <v>44318</v>
      </c>
      <c r="D2773" t="s">
        <v>32</v>
      </c>
      <c r="E2773" t="s">
        <v>108</v>
      </c>
      <c r="F2773" t="s">
        <v>109</v>
      </c>
      <c r="G2773" t="s">
        <v>41</v>
      </c>
      <c r="H2773" t="s">
        <v>17</v>
      </c>
      <c r="I2773" s="3">
        <v>42</v>
      </c>
      <c r="J2773" s="2">
        <v>182</v>
      </c>
      <c r="K2773" s="3">
        <f t="shared" si="43"/>
        <v>7644</v>
      </c>
      <c r="L2773" s="3">
        <v>4127.76</v>
      </c>
    </row>
    <row r="2774" spans="1:12" x14ac:dyDescent="0.25">
      <c r="A2774" t="s">
        <v>26</v>
      </c>
      <c r="B2774">
        <v>1185732</v>
      </c>
      <c r="C2774" s="1">
        <v>44318</v>
      </c>
      <c r="D2774" t="s">
        <v>32</v>
      </c>
      <c r="E2774" t="s">
        <v>108</v>
      </c>
      <c r="F2774" t="s">
        <v>109</v>
      </c>
      <c r="G2774" t="s">
        <v>41</v>
      </c>
      <c r="H2774" t="s">
        <v>22</v>
      </c>
      <c r="I2774" s="3">
        <v>46</v>
      </c>
      <c r="J2774" s="2">
        <v>150</v>
      </c>
      <c r="K2774" s="3">
        <f t="shared" si="43"/>
        <v>6900</v>
      </c>
      <c r="L2774" s="3">
        <v>3519</v>
      </c>
    </row>
    <row r="2775" spans="1:12" x14ac:dyDescent="0.25">
      <c r="A2775" t="s">
        <v>26</v>
      </c>
      <c r="B2775">
        <v>1185732</v>
      </c>
      <c r="C2775" s="1">
        <v>44318</v>
      </c>
      <c r="D2775" t="s">
        <v>32</v>
      </c>
      <c r="E2775" t="s">
        <v>108</v>
      </c>
      <c r="F2775" t="s">
        <v>109</v>
      </c>
      <c r="G2775" t="s">
        <v>41</v>
      </c>
      <c r="H2775" t="s">
        <v>35</v>
      </c>
      <c r="I2775" s="3">
        <v>37</v>
      </c>
      <c r="J2775" s="2">
        <v>169</v>
      </c>
      <c r="K2775" s="3">
        <f t="shared" si="43"/>
        <v>6253</v>
      </c>
      <c r="L2775" s="3">
        <v>2938.91</v>
      </c>
    </row>
    <row r="2776" spans="1:12" x14ac:dyDescent="0.25">
      <c r="A2776" t="s">
        <v>26</v>
      </c>
      <c r="B2776">
        <v>1185732</v>
      </c>
      <c r="C2776" s="1">
        <v>44318</v>
      </c>
      <c r="D2776" t="s">
        <v>32</v>
      </c>
      <c r="E2776" t="s">
        <v>108</v>
      </c>
      <c r="F2776" t="s">
        <v>109</v>
      </c>
      <c r="G2776" t="s">
        <v>41</v>
      </c>
      <c r="H2776" t="s">
        <v>37</v>
      </c>
      <c r="I2776" s="3">
        <v>38</v>
      </c>
      <c r="J2776" s="2">
        <v>150</v>
      </c>
      <c r="K2776" s="3">
        <f t="shared" si="43"/>
        <v>5700</v>
      </c>
      <c r="L2776" s="3">
        <v>2622</v>
      </c>
    </row>
    <row r="2777" spans="1:12" x14ac:dyDescent="0.25">
      <c r="A2777" t="s">
        <v>26</v>
      </c>
      <c r="B2777">
        <v>1185732</v>
      </c>
      <c r="C2777" s="1">
        <v>44318</v>
      </c>
      <c r="D2777" t="s">
        <v>32</v>
      </c>
      <c r="E2777" t="s">
        <v>108</v>
      </c>
      <c r="F2777" t="s">
        <v>109</v>
      </c>
      <c r="G2777" t="s">
        <v>41</v>
      </c>
      <c r="H2777" t="s">
        <v>38</v>
      </c>
      <c r="I2777" s="3">
        <v>41</v>
      </c>
      <c r="J2777" s="2">
        <v>246</v>
      </c>
      <c r="K2777" s="3">
        <f t="shared" si="43"/>
        <v>10086</v>
      </c>
      <c r="L2777" s="3">
        <v>4538.7</v>
      </c>
    </row>
    <row r="2778" spans="1:12" x14ac:dyDescent="0.25">
      <c r="A2778" t="s">
        <v>26</v>
      </c>
      <c r="B2778">
        <v>1185732</v>
      </c>
      <c r="C2778" s="1">
        <v>44318</v>
      </c>
      <c r="D2778" t="s">
        <v>32</v>
      </c>
      <c r="E2778" t="s">
        <v>108</v>
      </c>
      <c r="F2778" t="s">
        <v>109</v>
      </c>
      <c r="G2778" t="s">
        <v>41</v>
      </c>
      <c r="H2778" t="s">
        <v>16</v>
      </c>
      <c r="I2778" s="3">
        <v>51</v>
      </c>
      <c r="J2778" s="2">
        <v>203</v>
      </c>
      <c r="K2778" s="3">
        <f t="shared" si="43"/>
        <v>10353</v>
      </c>
      <c r="L2778" s="3">
        <v>3934.1400000000003</v>
      </c>
    </row>
    <row r="2779" spans="1:12" x14ac:dyDescent="0.25">
      <c r="A2779" t="s">
        <v>26</v>
      </c>
      <c r="B2779">
        <v>1197831</v>
      </c>
      <c r="C2779" s="1">
        <v>44318</v>
      </c>
      <c r="D2779" t="s">
        <v>52</v>
      </c>
      <c r="E2779" t="s">
        <v>97</v>
      </c>
      <c r="F2779" t="s">
        <v>98</v>
      </c>
      <c r="G2779" t="s">
        <v>15</v>
      </c>
      <c r="H2779" t="s">
        <v>16</v>
      </c>
      <c r="I2779" s="3">
        <v>30</v>
      </c>
      <c r="J2779" s="2">
        <v>219</v>
      </c>
      <c r="K2779" s="3">
        <f t="shared" si="43"/>
        <v>6570</v>
      </c>
      <c r="L2779" s="3">
        <v>2496.5999999999995</v>
      </c>
    </row>
    <row r="2780" spans="1:12" x14ac:dyDescent="0.25">
      <c r="A2780" t="s">
        <v>26</v>
      </c>
      <c r="B2780">
        <v>1197831</v>
      </c>
      <c r="C2780" s="1">
        <v>44318</v>
      </c>
      <c r="D2780" t="s">
        <v>52</v>
      </c>
      <c r="E2780" t="s">
        <v>97</v>
      </c>
      <c r="F2780" t="s">
        <v>98</v>
      </c>
      <c r="G2780" t="s">
        <v>41</v>
      </c>
      <c r="H2780" t="s">
        <v>16</v>
      </c>
      <c r="I2780" s="3">
        <v>42</v>
      </c>
      <c r="J2780" s="2">
        <v>163</v>
      </c>
      <c r="K2780" s="3">
        <f t="shared" si="43"/>
        <v>6846</v>
      </c>
      <c r="L2780" s="3">
        <v>1779.9599999999991</v>
      </c>
    </row>
    <row r="2781" spans="1:12" x14ac:dyDescent="0.25">
      <c r="A2781" t="s">
        <v>26</v>
      </c>
      <c r="B2781">
        <v>1185732</v>
      </c>
      <c r="C2781" s="1">
        <v>44319</v>
      </c>
      <c r="D2781" t="s">
        <v>29</v>
      </c>
      <c r="E2781" t="s">
        <v>93</v>
      </c>
      <c r="F2781" t="s">
        <v>94</v>
      </c>
      <c r="G2781" t="s">
        <v>18</v>
      </c>
      <c r="H2781" t="s">
        <v>35</v>
      </c>
      <c r="I2781" s="3">
        <v>45</v>
      </c>
      <c r="J2781" s="2">
        <v>275</v>
      </c>
      <c r="K2781" s="3">
        <f t="shared" si="43"/>
        <v>12375</v>
      </c>
      <c r="L2781" s="3">
        <v>8662.5</v>
      </c>
    </row>
    <row r="2782" spans="1:12" x14ac:dyDescent="0.25">
      <c r="A2782" t="s">
        <v>26</v>
      </c>
      <c r="B2782">
        <v>1185732</v>
      </c>
      <c r="C2782" s="1">
        <v>44319</v>
      </c>
      <c r="D2782" t="s">
        <v>29</v>
      </c>
      <c r="E2782" t="s">
        <v>93</v>
      </c>
      <c r="F2782" t="s">
        <v>94</v>
      </c>
      <c r="G2782" t="s">
        <v>18</v>
      </c>
      <c r="H2782" t="s">
        <v>37</v>
      </c>
      <c r="I2782" s="3">
        <v>45</v>
      </c>
      <c r="J2782" s="2">
        <v>225</v>
      </c>
      <c r="K2782" s="3">
        <f t="shared" si="43"/>
        <v>10125</v>
      </c>
      <c r="L2782" s="3">
        <v>7087.5</v>
      </c>
    </row>
    <row r="2783" spans="1:12" x14ac:dyDescent="0.25">
      <c r="A2783" t="s">
        <v>26</v>
      </c>
      <c r="B2783">
        <v>1185732</v>
      </c>
      <c r="C2783" s="1">
        <v>44319</v>
      </c>
      <c r="D2783" t="s">
        <v>29</v>
      </c>
      <c r="E2783" t="s">
        <v>93</v>
      </c>
      <c r="F2783" t="s">
        <v>94</v>
      </c>
      <c r="G2783" t="s">
        <v>18</v>
      </c>
      <c r="H2783" t="s">
        <v>22</v>
      </c>
      <c r="I2783" s="3">
        <v>54.999999999999993</v>
      </c>
      <c r="J2783" s="2">
        <v>250</v>
      </c>
      <c r="K2783" s="3">
        <f t="shared" si="43"/>
        <v>13749.999999999998</v>
      </c>
      <c r="L2783" s="3">
        <v>9624.9999999999964</v>
      </c>
    </row>
    <row r="2784" spans="1:12" x14ac:dyDescent="0.25">
      <c r="A2784" t="s">
        <v>26</v>
      </c>
      <c r="B2784">
        <v>1185732</v>
      </c>
      <c r="C2784" s="1">
        <v>44319</v>
      </c>
      <c r="D2784" t="s">
        <v>29</v>
      </c>
      <c r="E2784" t="s">
        <v>93</v>
      </c>
      <c r="F2784" t="s">
        <v>94</v>
      </c>
      <c r="G2784" t="s">
        <v>18</v>
      </c>
      <c r="H2784" t="s">
        <v>16</v>
      </c>
      <c r="I2784" s="3">
        <v>60</v>
      </c>
      <c r="J2784" s="2">
        <v>375</v>
      </c>
      <c r="K2784" s="3">
        <f t="shared" si="43"/>
        <v>22500</v>
      </c>
      <c r="L2784" s="3">
        <v>14625</v>
      </c>
    </row>
    <row r="2785" spans="1:12" x14ac:dyDescent="0.25">
      <c r="A2785" t="s">
        <v>27</v>
      </c>
      <c r="B2785">
        <v>1189833</v>
      </c>
      <c r="C2785" s="1">
        <v>44319</v>
      </c>
      <c r="D2785" t="s">
        <v>12</v>
      </c>
      <c r="E2785" t="s">
        <v>13</v>
      </c>
      <c r="F2785" t="s">
        <v>28</v>
      </c>
      <c r="G2785" t="s">
        <v>15</v>
      </c>
      <c r="H2785" t="s">
        <v>35</v>
      </c>
      <c r="I2785" s="3">
        <v>50</v>
      </c>
      <c r="J2785" s="2">
        <v>725</v>
      </c>
      <c r="K2785" s="3">
        <f t="shared" si="43"/>
        <v>36250</v>
      </c>
      <c r="L2785" s="3">
        <v>21750</v>
      </c>
    </row>
    <row r="2786" spans="1:12" x14ac:dyDescent="0.25">
      <c r="A2786" t="s">
        <v>26</v>
      </c>
      <c r="B2786">
        <v>1185732</v>
      </c>
      <c r="C2786" s="1">
        <v>44319</v>
      </c>
      <c r="D2786" t="s">
        <v>29</v>
      </c>
      <c r="E2786" t="s">
        <v>93</v>
      </c>
      <c r="F2786" t="s">
        <v>94</v>
      </c>
      <c r="G2786" t="s">
        <v>18</v>
      </c>
      <c r="H2786" t="s">
        <v>17</v>
      </c>
      <c r="I2786" s="3">
        <v>50</v>
      </c>
      <c r="J2786" s="2">
        <v>250</v>
      </c>
      <c r="K2786" s="3">
        <f t="shared" si="43"/>
        <v>12500</v>
      </c>
      <c r="L2786" s="3">
        <v>7500</v>
      </c>
    </row>
    <row r="2787" spans="1:12" x14ac:dyDescent="0.25">
      <c r="A2787" t="s">
        <v>26</v>
      </c>
      <c r="B2787">
        <v>1185732</v>
      </c>
      <c r="C2787" s="1">
        <v>44319</v>
      </c>
      <c r="D2787" t="s">
        <v>29</v>
      </c>
      <c r="E2787" t="s">
        <v>93</v>
      </c>
      <c r="F2787" t="s">
        <v>94</v>
      </c>
      <c r="G2787" t="s">
        <v>18</v>
      </c>
      <c r="H2787" t="s">
        <v>38</v>
      </c>
      <c r="I2787" s="3">
        <v>54.999999999999993</v>
      </c>
      <c r="J2787" s="2">
        <v>545</v>
      </c>
      <c r="K2787" s="3">
        <f t="shared" si="43"/>
        <v>29974.999999999996</v>
      </c>
      <c r="L2787" s="3">
        <v>17984.999999999993</v>
      </c>
    </row>
    <row r="2788" spans="1:12" x14ac:dyDescent="0.25">
      <c r="A2788" t="s">
        <v>26</v>
      </c>
      <c r="B2788">
        <v>1197831</v>
      </c>
      <c r="C2788" s="1">
        <v>44319</v>
      </c>
      <c r="D2788" t="s">
        <v>52</v>
      </c>
      <c r="E2788" t="s">
        <v>97</v>
      </c>
      <c r="F2788" t="s">
        <v>98</v>
      </c>
      <c r="G2788" t="s">
        <v>15</v>
      </c>
      <c r="H2788" t="s">
        <v>38</v>
      </c>
      <c r="I2788" s="3">
        <v>35</v>
      </c>
      <c r="J2788" s="2">
        <v>575</v>
      </c>
      <c r="K2788" s="3">
        <f t="shared" si="43"/>
        <v>20125</v>
      </c>
      <c r="L2788" s="3">
        <v>11068.750000000002</v>
      </c>
    </row>
    <row r="2789" spans="1:12" x14ac:dyDescent="0.25">
      <c r="A2789" t="s">
        <v>26</v>
      </c>
      <c r="B2789">
        <v>1185732</v>
      </c>
      <c r="C2789" s="1">
        <v>44319</v>
      </c>
      <c r="D2789" t="s">
        <v>29</v>
      </c>
      <c r="E2789" t="s">
        <v>93</v>
      </c>
      <c r="F2789" t="s">
        <v>94</v>
      </c>
      <c r="G2789" t="s">
        <v>15</v>
      </c>
      <c r="H2789" t="s">
        <v>37</v>
      </c>
      <c r="I2789" s="3">
        <v>32</v>
      </c>
      <c r="J2789" s="2">
        <v>74</v>
      </c>
      <c r="K2789" s="3">
        <f t="shared" si="43"/>
        <v>2368</v>
      </c>
      <c r="L2789" s="3">
        <v>1586.56</v>
      </c>
    </row>
    <row r="2790" spans="1:12" x14ac:dyDescent="0.25">
      <c r="A2790" t="s">
        <v>26</v>
      </c>
      <c r="B2790">
        <v>1185732</v>
      </c>
      <c r="C2790" s="1">
        <v>44319</v>
      </c>
      <c r="D2790" t="s">
        <v>29</v>
      </c>
      <c r="E2790" t="s">
        <v>93</v>
      </c>
      <c r="F2790" t="s">
        <v>94</v>
      </c>
      <c r="G2790" t="s">
        <v>15</v>
      </c>
      <c r="H2790" t="s">
        <v>35</v>
      </c>
      <c r="I2790" s="3">
        <v>32</v>
      </c>
      <c r="J2790" s="2">
        <v>83</v>
      </c>
      <c r="K2790" s="3">
        <f t="shared" si="43"/>
        <v>2656</v>
      </c>
      <c r="L2790" s="3">
        <v>1752.96</v>
      </c>
    </row>
    <row r="2791" spans="1:12" x14ac:dyDescent="0.25">
      <c r="A2791" t="s">
        <v>26</v>
      </c>
      <c r="B2791">
        <v>1185732</v>
      </c>
      <c r="C2791" s="1">
        <v>44319</v>
      </c>
      <c r="D2791" t="s">
        <v>29</v>
      </c>
      <c r="E2791" t="s">
        <v>93</v>
      </c>
      <c r="F2791" t="s">
        <v>94</v>
      </c>
      <c r="G2791" t="s">
        <v>15</v>
      </c>
      <c r="H2791" t="s">
        <v>22</v>
      </c>
      <c r="I2791" s="3">
        <v>37</v>
      </c>
      <c r="J2791" s="2">
        <v>83</v>
      </c>
      <c r="K2791" s="3">
        <f t="shared" si="43"/>
        <v>3071</v>
      </c>
      <c r="L2791" s="3">
        <v>1996.15</v>
      </c>
    </row>
    <row r="2792" spans="1:12" x14ac:dyDescent="0.25">
      <c r="A2792" t="s">
        <v>26</v>
      </c>
      <c r="B2792">
        <v>1185732</v>
      </c>
      <c r="C2792" s="1">
        <v>44319</v>
      </c>
      <c r="D2792" t="s">
        <v>29</v>
      </c>
      <c r="E2792" t="s">
        <v>93</v>
      </c>
      <c r="F2792" t="s">
        <v>94</v>
      </c>
      <c r="G2792" t="s">
        <v>41</v>
      </c>
      <c r="H2792" t="s">
        <v>35</v>
      </c>
      <c r="I2792" s="3">
        <v>43</v>
      </c>
      <c r="J2792" s="2">
        <v>74</v>
      </c>
      <c r="K2792" s="3">
        <f t="shared" si="43"/>
        <v>3182</v>
      </c>
      <c r="L2792" s="3">
        <v>1909.1999999999998</v>
      </c>
    </row>
    <row r="2793" spans="1:12" x14ac:dyDescent="0.25">
      <c r="A2793" t="s">
        <v>26</v>
      </c>
      <c r="B2793">
        <v>1185732</v>
      </c>
      <c r="C2793" s="1">
        <v>44319</v>
      </c>
      <c r="D2793" t="s">
        <v>29</v>
      </c>
      <c r="E2793" t="s">
        <v>93</v>
      </c>
      <c r="F2793" t="s">
        <v>94</v>
      </c>
      <c r="G2793" t="s">
        <v>41</v>
      </c>
      <c r="H2793" t="s">
        <v>37</v>
      </c>
      <c r="I2793" s="3">
        <v>44</v>
      </c>
      <c r="J2793" s="2">
        <v>63</v>
      </c>
      <c r="K2793" s="3">
        <f t="shared" si="43"/>
        <v>2772</v>
      </c>
      <c r="L2793" s="3">
        <v>1635.48</v>
      </c>
    </row>
    <row r="2794" spans="1:12" x14ac:dyDescent="0.25">
      <c r="A2794" t="s">
        <v>26</v>
      </c>
      <c r="B2794">
        <v>1185732</v>
      </c>
      <c r="C2794" s="1">
        <v>44319</v>
      </c>
      <c r="D2794" t="s">
        <v>29</v>
      </c>
      <c r="E2794" t="s">
        <v>93</v>
      </c>
      <c r="F2794" t="s">
        <v>94</v>
      </c>
      <c r="G2794" t="s">
        <v>15</v>
      </c>
      <c r="H2794" t="s">
        <v>16</v>
      </c>
      <c r="I2794" s="3">
        <v>41</v>
      </c>
      <c r="J2794" s="2">
        <v>128</v>
      </c>
      <c r="K2794" s="3">
        <f t="shared" si="43"/>
        <v>5248</v>
      </c>
      <c r="L2794" s="3">
        <v>3043.84</v>
      </c>
    </row>
    <row r="2795" spans="1:12" x14ac:dyDescent="0.25">
      <c r="A2795" t="s">
        <v>27</v>
      </c>
      <c r="B2795">
        <v>1189833</v>
      </c>
      <c r="C2795" s="1">
        <v>44319</v>
      </c>
      <c r="D2795" t="s">
        <v>12</v>
      </c>
      <c r="E2795" t="s">
        <v>13</v>
      </c>
      <c r="F2795" t="s">
        <v>28</v>
      </c>
      <c r="G2795" t="s">
        <v>15</v>
      </c>
      <c r="H2795" t="s">
        <v>35</v>
      </c>
      <c r="I2795" s="3">
        <v>34</v>
      </c>
      <c r="J2795" s="2">
        <v>232</v>
      </c>
      <c r="K2795" s="3">
        <f t="shared" si="43"/>
        <v>7888</v>
      </c>
      <c r="L2795" s="3">
        <v>4417.2800000000007</v>
      </c>
    </row>
    <row r="2796" spans="1:12" x14ac:dyDescent="0.25">
      <c r="A2796" t="s">
        <v>26</v>
      </c>
      <c r="B2796">
        <v>1185732</v>
      </c>
      <c r="C2796" s="1">
        <v>44319</v>
      </c>
      <c r="D2796" t="s">
        <v>29</v>
      </c>
      <c r="E2796" t="s">
        <v>93</v>
      </c>
      <c r="F2796" t="s">
        <v>94</v>
      </c>
      <c r="G2796" t="s">
        <v>41</v>
      </c>
      <c r="H2796" t="s">
        <v>22</v>
      </c>
      <c r="I2796" s="3">
        <v>50</v>
      </c>
      <c r="J2796" s="2">
        <v>70</v>
      </c>
      <c r="K2796" s="3">
        <f t="shared" si="43"/>
        <v>3500</v>
      </c>
      <c r="L2796" s="3">
        <v>1960</v>
      </c>
    </row>
    <row r="2797" spans="1:12" x14ac:dyDescent="0.25">
      <c r="A2797" t="s">
        <v>26</v>
      </c>
      <c r="B2797">
        <v>1185732</v>
      </c>
      <c r="C2797" s="1">
        <v>44319</v>
      </c>
      <c r="D2797" t="s">
        <v>29</v>
      </c>
      <c r="E2797" t="s">
        <v>93</v>
      </c>
      <c r="F2797" t="s">
        <v>94</v>
      </c>
      <c r="G2797" t="s">
        <v>15</v>
      </c>
      <c r="H2797" t="s">
        <v>17</v>
      </c>
      <c r="I2797" s="3">
        <v>35</v>
      </c>
      <c r="J2797" s="2">
        <v>83</v>
      </c>
      <c r="K2797" s="3">
        <f t="shared" si="43"/>
        <v>2905</v>
      </c>
      <c r="L2797" s="3">
        <v>1626.8</v>
      </c>
    </row>
    <row r="2798" spans="1:12" x14ac:dyDescent="0.25">
      <c r="A2798" t="s">
        <v>26</v>
      </c>
      <c r="B2798">
        <v>1185732</v>
      </c>
      <c r="C2798" s="1">
        <v>44319</v>
      </c>
      <c r="D2798" t="s">
        <v>29</v>
      </c>
      <c r="E2798" t="s">
        <v>93</v>
      </c>
      <c r="F2798" t="s">
        <v>94</v>
      </c>
      <c r="G2798" t="s">
        <v>15</v>
      </c>
      <c r="H2798" t="s">
        <v>38</v>
      </c>
      <c r="I2798" s="3">
        <v>40</v>
      </c>
      <c r="J2798" s="2">
        <v>191</v>
      </c>
      <c r="K2798" s="3">
        <f t="shared" si="43"/>
        <v>7640</v>
      </c>
      <c r="L2798" s="3">
        <v>4278.3999999999996</v>
      </c>
    </row>
    <row r="2799" spans="1:12" x14ac:dyDescent="0.25">
      <c r="A2799" t="s">
        <v>26</v>
      </c>
      <c r="B2799">
        <v>1185732</v>
      </c>
      <c r="C2799" s="1">
        <v>44319</v>
      </c>
      <c r="D2799" t="s">
        <v>29</v>
      </c>
      <c r="E2799" t="s">
        <v>93</v>
      </c>
      <c r="F2799" t="s">
        <v>94</v>
      </c>
      <c r="G2799" t="s">
        <v>41</v>
      </c>
      <c r="H2799" t="s">
        <v>16</v>
      </c>
      <c r="I2799" s="3">
        <v>55</v>
      </c>
      <c r="J2799" s="2">
        <v>113</v>
      </c>
      <c r="K2799" s="3">
        <f t="shared" si="43"/>
        <v>6215</v>
      </c>
      <c r="L2799" s="3">
        <v>3169.65</v>
      </c>
    </row>
    <row r="2800" spans="1:12" x14ac:dyDescent="0.25">
      <c r="A2800" t="s">
        <v>27</v>
      </c>
      <c r="B2800">
        <v>1189833</v>
      </c>
      <c r="C2800" s="1">
        <v>44319</v>
      </c>
      <c r="D2800" t="s">
        <v>12</v>
      </c>
      <c r="E2800" t="s">
        <v>13</v>
      </c>
      <c r="F2800" t="s">
        <v>28</v>
      </c>
      <c r="G2800" t="s">
        <v>41</v>
      </c>
      <c r="H2800" t="s">
        <v>35</v>
      </c>
      <c r="I2800" s="3">
        <v>48</v>
      </c>
      <c r="J2800" s="2">
        <v>218</v>
      </c>
      <c r="K2800" s="3">
        <f t="shared" si="43"/>
        <v>10464</v>
      </c>
      <c r="L2800" s="3">
        <v>5127.3599999999997</v>
      </c>
    </row>
    <row r="2801" spans="1:12" x14ac:dyDescent="0.25">
      <c r="A2801" t="s">
        <v>26</v>
      </c>
      <c r="B2801">
        <v>1185732</v>
      </c>
      <c r="C2801" s="1">
        <v>44319</v>
      </c>
      <c r="D2801" t="s">
        <v>29</v>
      </c>
      <c r="E2801" t="s">
        <v>93</v>
      </c>
      <c r="F2801" t="s">
        <v>94</v>
      </c>
      <c r="G2801" t="s">
        <v>41</v>
      </c>
      <c r="H2801" t="s">
        <v>38</v>
      </c>
      <c r="I2801" s="3">
        <v>54</v>
      </c>
      <c r="J2801" s="2">
        <v>142</v>
      </c>
      <c r="K2801" s="3">
        <f t="shared" si="43"/>
        <v>7668</v>
      </c>
      <c r="L2801" s="3">
        <v>3757.3199999999997</v>
      </c>
    </row>
    <row r="2802" spans="1:12" x14ac:dyDescent="0.25">
      <c r="A2802" t="s">
        <v>26</v>
      </c>
      <c r="B2802">
        <v>1197831</v>
      </c>
      <c r="C2802" s="1">
        <v>44319</v>
      </c>
      <c r="D2802" t="s">
        <v>52</v>
      </c>
      <c r="E2802" t="s">
        <v>97</v>
      </c>
      <c r="F2802" t="s">
        <v>98</v>
      </c>
      <c r="G2802" t="s">
        <v>15</v>
      </c>
      <c r="H2802" t="s">
        <v>38</v>
      </c>
      <c r="I2802" s="3">
        <v>28</v>
      </c>
      <c r="J2802" s="2">
        <v>201</v>
      </c>
      <c r="K2802" s="3">
        <f t="shared" si="43"/>
        <v>5628</v>
      </c>
      <c r="L2802" s="3">
        <v>2701.44</v>
      </c>
    </row>
    <row r="2803" spans="1:12" x14ac:dyDescent="0.25">
      <c r="A2803" t="s">
        <v>26</v>
      </c>
      <c r="B2803">
        <v>1185732</v>
      </c>
      <c r="C2803" s="1">
        <v>44319</v>
      </c>
      <c r="D2803" t="s">
        <v>29</v>
      </c>
      <c r="E2803" t="s">
        <v>93</v>
      </c>
      <c r="F2803" t="s">
        <v>94</v>
      </c>
      <c r="G2803" t="s">
        <v>41</v>
      </c>
      <c r="H2803" t="s">
        <v>17</v>
      </c>
      <c r="I2803" s="3">
        <v>48</v>
      </c>
      <c r="J2803" s="2">
        <v>73</v>
      </c>
      <c r="K2803" s="3">
        <f t="shared" si="43"/>
        <v>3504</v>
      </c>
      <c r="L2803" s="3">
        <v>1646.8799999999999</v>
      </c>
    </row>
    <row r="2804" spans="1:12" x14ac:dyDescent="0.25">
      <c r="A2804" t="s">
        <v>26</v>
      </c>
      <c r="B2804">
        <v>1197831</v>
      </c>
      <c r="C2804" s="1">
        <v>44319</v>
      </c>
      <c r="D2804" t="s">
        <v>52</v>
      </c>
      <c r="E2804" t="s">
        <v>97</v>
      </c>
      <c r="F2804" t="s">
        <v>98</v>
      </c>
      <c r="G2804" t="s">
        <v>41</v>
      </c>
      <c r="H2804" t="s">
        <v>38</v>
      </c>
      <c r="I2804" s="3">
        <v>33</v>
      </c>
      <c r="J2804" s="2">
        <v>173</v>
      </c>
      <c r="K2804" s="3">
        <f t="shared" si="43"/>
        <v>5709</v>
      </c>
      <c r="L2804" s="3">
        <v>2454.8700000000003</v>
      </c>
    </row>
    <row r="2805" spans="1:12" x14ac:dyDescent="0.25">
      <c r="A2805" t="s">
        <v>11</v>
      </c>
      <c r="B2805">
        <v>1185732</v>
      </c>
      <c r="C2805" s="1">
        <v>44320</v>
      </c>
      <c r="D2805" t="s">
        <v>57</v>
      </c>
      <c r="E2805" t="s">
        <v>85</v>
      </c>
      <c r="F2805" t="s">
        <v>86</v>
      </c>
      <c r="G2805" t="s">
        <v>18</v>
      </c>
      <c r="H2805" t="s">
        <v>38</v>
      </c>
      <c r="I2805" s="3">
        <v>60</v>
      </c>
      <c r="J2805" s="2">
        <v>495</v>
      </c>
      <c r="K2805" s="3">
        <f t="shared" si="43"/>
        <v>29700</v>
      </c>
      <c r="L2805" s="3">
        <v>20790</v>
      </c>
    </row>
    <row r="2806" spans="1:12" x14ac:dyDescent="0.25">
      <c r="A2806" t="s">
        <v>11</v>
      </c>
      <c r="B2806">
        <v>1185732</v>
      </c>
      <c r="C2806" s="1">
        <v>44320</v>
      </c>
      <c r="D2806" t="s">
        <v>57</v>
      </c>
      <c r="E2806" t="s">
        <v>85</v>
      </c>
      <c r="F2806" t="s">
        <v>86</v>
      </c>
      <c r="G2806" t="s">
        <v>18</v>
      </c>
      <c r="H2806" t="s">
        <v>35</v>
      </c>
      <c r="I2806" s="3">
        <v>35</v>
      </c>
      <c r="J2806" s="2">
        <v>175</v>
      </c>
      <c r="K2806" s="3">
        <f t="shared" si="43"/>
        <v>6125</v>
      </c>
      <c r="L2806" s="3">
        <v>4287.5</v>
      </c>
    </row>
    <row r="2807" spans="1:12" x14ac:dyDescent="0.25">
      <c r="A2807" t="s">
        <v>11</v>
      </c>
      <c r="B2807">
        <v>1185732</v>
      </c>
      <c r="C2807" s="1">
        <v>44320</v>
      </c>
      <c r="D2807" t="s">
        <v>57</v>
      </c>
      <c r="E2807" t="s">
        <v>85</v>
      </c>
      <c r="F2807" t="s">
        <v>86</v>
      </c>
      <c r="G2807" t="s">
        <v>18</v>
      </c>
      <c r="H2807" t="s">
        <v>37</v>
      </c>
      <c r="I2807" s="3">
        <v>35</v>
      </c>
      <c r="J2807" s="2">
        <v>150</v>
      </c>
      <c r="K2807" s="3">
        <f t="shared" si="43"/>
        <v>5250</v>
      </c>
      <c r="L2807" s="3">
        <v>3675</v>
      </c>
    </row>
    <row r="2808" spans="1:12" x14ac:dyDescent="0.25">
      <c r="A2808" t="s">
        <v>27</v>
      </c>
      <c r="B2808">
        <v>1189833</v>
      </c>
      <c r="C2808" s="1">
        <v>44320</v>
      </c>
      <c r="D2808" t="s">
        <v>12</v>
      </c>
      <c r="E2808" t="s">
        <v>13</v>
      </c>
      <c r="F2808" t="s">
        <v>28</v>
      </c>
      <c r="G2808" t="s">
        <v>15</v>
      </c>
      <c r="H2808" t="s">
        <v>37</v>
      </c>
      <c r="I2808" s="3">
        <v>50</v>
      </c>
      <c r="J2808" s="2">
        <v>675</v>
      </c>
      <c r="K2808" s="3">
        <f t="shared" si="43"/>
        <v>33750</v>
      </c>
      <c r="L2808" s="3">
        <v>21937.5</v>
      </c>
    </row>
    <row r="2809" spans="1:12" x14ac:dyDescent="0.25">
      <c r="A2809" t="s">
        <v>11</v>
      </c>
      <c r="B2809">
        <v>1185732</v>
      </c>
      <c r="C2809" s="1">
        <v>44320</v>
      </c>
      <c r="D2809" t="s">
        <v>57</v>
      </c>
      <c r="E2809" t="s">
        <v>85</v>
      </c>
      <c r="F2809" t="s">
        <v>86</v>
      </c>
      <c r="G2809" t="s">
        <v>18</v>
      </c>
      <c r="H2809" t="s">
        <v>17</v>
      </c>
      <c r="I2809" s="3">
        <v>40</v>
      </c>
      <c r="J2809" s="2">
        <v>200</v>
      </c>
      <c r="K2809" s="3">
        <f t="shared" si="43"/>
        <v>8000</v>
      </c>
      <c r="L2809" s="3">
        <v>5200</v>
      </c>
    </row>
    <row r="2810" spans="1:12" x14ac:dyDescent="0.25">
      <c r="A2810" t="s">
        <v>11</v>
      </c>
      <c r="B2810">
        <v>1185732</v>
      </c>
      <c r="C2810" s="1">
        <v>44320</v>
      </c>
      <c r="D2810" t="s">
        <v>57</v>
      </c>
      <c r="E2810" t="s">
        <v>85</v>
      </c>
      <c r="F2810" t="s">
        <v>86</v>
      </c>
      <c r="G2810" t="s">
        <v>18</v>
      </c>
      <c r="H2810" t="s">
        <v>16</v>
      </c>
      <c r="I2810" s="3">
        <v>49.999999999999993</v>
      </c>
      <c r="J2810" s="2">
        <v>300</v>
      </c>
      <c r="K2810" s="3">
        <f t="shared" si="43"/>
        <v>14999.999999999998</v>
      </c>
      <c r="L2810" s="3">
        <v>8999.9999999999964</v>
      </c>
    </row>
    <row r="2811" spans="1:12" x14ac:dyDescent="0.25">
      <c r="A2811" t="s">
        <v>26</v>
      </c>
      <c r="B2811">
        <v>1197831</v>
      </c>
      <c r="C2811" s="1">
        <v>44320</v>
      </c>
      <c r="D2811" t="s">
        <v>52</v>
      </c>
      <c r="E2811" t="s">
        <v>97</v>
      </c>
      <c r="F2811" t="s">
        <v>98</v>
      </c>
      <c r="G2811" t="s">
        <v>15</v>
      </c>
      <c r="H2811" t="s">
        <v>17</v>
      </c>
      <c r="I2811" s="3">
        <v>35</v>
      </c>
      <c r="J2811" s="2">
        <v>575</v>
      </c>
      <c r="K2811" s="3">
        <f t="shared" si="43"/>
        <v>20125</v>
      </c>
      <c r="L2811" s="3">
        <v>11068.750000000002</v>
      </c>
    </row>
    <row r="2812" spans="1:12" x14ac:dyDescent="0.25">
      <c r="A2812" t="s">
        <v>11</v>
      </c>
      <c r="B2812">
        <v>1185732</v>
      </c>
      <c r="C2812" s="1">
        <v>44320</v>
      </c>
      <c r="D2812" t="s">
        <v>57</v>
      </c>
      <c r="E2812" t="s">
        <v>85</v>
      </c>
      <c r="F2812" t="s">
        <v>86</v>
      </c>
      <c r="G2812" t="s">
        <v>18</v>
      </c>
      <c r="H2812" t="s">
        <v>22</v>
      </c>
      <c r="I2812" s="3">
        <v>44.999999999999993</v>
      </c>
      <c r="J2812" s="2">
        <v>175</v>
      </c>
      <c r="K2812" s="3">
        <f t="shared" si="43"/>
        <v>7874.9999999999991</v>
      </c>
      <c r="L2812" s="3">
        <v>3937.4999999999991</v>
      </c>
    </row>
    <row r="2813" spans="1:12" x14ac:dyDescent="0.25">
      <c r="A2813" t="s">
        <v>27</v>
      </c>
      <c r="B2813">
        <v>1189833</v>
      </c>
      <c r="C2813" s="1">
        <v>44320</v>
      </c>
      <c r="D2813" t="s">
        <v>12</v>
      </c>
      <c r="E2813" t="s">
        <v>13</v>
      </c>
      <c r="F2813" t="s">
        <v>28</v>
      </c>
      <c r="G2813" t="s">
        <v>15</v>
      </c>
      <c r="H2813" t="s">
        <v>37</v>
      </c>
      <c r="I2813" s="3">
        <v>36</v>
      </c>
      <c r="J2813" s="2">
        <v>223</v>
      </c>
      <c r="K2813" s="3">
        <f t="shared" si="43"/>
        <v>8028</v>
      </c>
      <c r="L2813" s="3">
        <v>4977.3600000000006</v>
      </c>
    </row>
    <row r="2814" spans="1:12" x14ac:dyDescent="0.25">
      <c r="A2814" t="s">
        <v>11</v>
      </c>
      <c r="B2814">
        <v>1185732</v>
      </c>
      <c r="C2814" s="1">
        <v>44320</v>
      </c>
      <c r="D2814" t="s">
        <v>57</v>
      </c>
      <c r="E2814" t="s">
        <v>85</v>
      </c>
      <c r="F2814" t="s">
        <v>86</v>
      </c>
      <c r="G2814" t="s">
        <v>41</v>
      </c>
      <c r="H2814" t="s">
        <v>38</v>
      </c>
      <c r="I2814" s="3">
        <v>58</v>
      </c>
      <c r="J2814" s="2">
        <v>134</v>
      </c>
      <c r="K2814" s="3">
        <f t="shared" si="43"/>
        <v>7772</v>
      </c>
      <c r="L2814" s="3">
        <v>4585.4799999999996</v>
      </c>
    </row>
    <row r="2815" spans="1:12" x14ac:dyDescent="0.25">
      <c r="A2815" t="s">
        <v>11</v>
      </c>
      <c r="B2815">
        <v>1185732</v>
      </c>
      <c r="C2815" s="1">
        <v>44320</v>
      </c>
      <c r="D2815" t="s">
        <v>57</v>
      </c>
      <c r="E2815" t="s">
        <v>85</v>
      </c>
      <c r="F2815" t="s">
        <v>86</v>
      </c>
      <c r="G2815" t="s">
        <v>41</v>
      </c>
      <c r="H2815" t="s">
        <v>37</v>
      </c>
      <c r="I2815" s="3">
        <v>32</v>
      </c>
      <c r="J2815" s="2">
        <v>38</v>
      </c>
      <c r="K2815" s="3">
        <f t="shared" si="43"/>
        <v>1216</v>
      </c>
      <c r="L2815" s="3">
        <v>680.96</v>
      </c>
    </row>
    <row r="2816" spans="1:12" x14ac:dyDescent="0.25">
      <c r="A2816" t="s">
        <v>11</v>
      </c>
      <c r="B2816">
        <v>1185732</v>
      </c>
      <c r="C2816" s="1">
        <v>44320</v>
      </c>
      <c r="D2816" t="s">
        <v>57</v>
      </c>
      <c r="E2816" t="s">
        <v>85</v>
      </c>
      <c r="F2816" t="s">
        <v>86</v>
      </c>
      <c r="G2816" t="s">
        <v>41</v>
      </c>
      <c r="H2816" t="s">
        <v>35</v>
      </c>
      <c r="I2816" s="3">
        <v>33</v>
      </c>
      <c r="J2816" s="2">
        <v>49</v>
      </c>
      <c r="K2816" s="3">
        <f t="shared" si="43"/>
        <v>1617</v>
      </c>
      <c r="L2816" s="3">
        <v>889.35</v>
      </c>
    </row>
    <row r="2817" spans="1:12" x14ac:dyDescent="0.25">
      <c r="A2817" t="s">
        <v>27</v>
      </c>
      <c r="B2817">
        <v>1189833</v>
      </c>
      <c r="C2817" s="1">
        <v>44320</v>
      </c>
      <c r="D2817" t="s">
        <v>12</v>
      </c>
      <c r="E2817" t="s">
        <v>13</v>
      </c>
      <c r="F2817" t="s">
        <v>28</v>
      </c>
      <c r="G2817" t="s">
        <v>41</v>
      </c>
      <c r="H2817" t="s">
        <v>37</v>
      </c>
      <c r="I2817" s="3">
        <v>47</v>
      </c>
      <c r="J2817" s="2">
        <v>169</v>
      </c>
      <c r="K2817" s="3">
        <f t="shared" si="43"/>
        <v>7943</v>
      </c>
      <c r="L2817" s="3">
        <v>4130.3600000000006</v>
      </c>
    </row>
    <row r="2818" spans="1:12" x14ac:dyDescent="0.25">
      <c r="A2818" t="s">
        <v>26</v>
      </c>
      <c r="B2818">
        <v>1197831</v>
      </c>
      <c r="C2818" s="1">
        <v>44320</v>
      </c>
      <c r="D2818" t="s">
        <v>52</v>
      </c>
      <c r="E2818" t="s">
        <v>97</v>
      </c>
      <c r="F2818" t="s">
        <v>98</v>
      </c>
      <c r="G2818" t="s">
        <v>15</v>
      </c>
      <c r="H2818" t="s">
        <v>17</v>
      </c>
      <c r="I2818" s="3">
        <v>25</v>
      </c>
      <c r="J2818" s="2">
        <v>178</v>
      </c>
      <c r="K2818" s="3">
        <f t="shared" si="43"/>
        <v>4450</v>
      </c>
      <c r="L2818" s="3">
        <v>2314</v>
      </c>
    </row>
    <row r="2819" spans="1:12" x14ac:dyDescent="0.25">
      <c r="A2819" t="s">
        <v>11</v>
      </c>
      <c r="B2819">
        <v>1185732</v>
      </c>
      <c r="C2819" s="1">
        <v>44320</v>
      </c>
      <c r="D2819" t="s">
        <v>57</v>
      </c>
      <c r="E2819" t="s">
        <v>85</v>
      </c>
      <c r="F2819" t="s">
        <v>86</v>
      </c>
      <c r="G2819" t="s">
        <v>41</v>
      </c>
      <c r="H2819" t="s">
        <v>17</v>
      </c>
      <c r="I2819" s="3">
        <v>39</v>
      </c>
      <c r="J2819" s="2">
        <v>50</v>
      </c>
      <c r="K2819" s="3">
        <f t="shared" ref="K2819:K2882" si="44">I2819*J2819</f>
        <v>1950</v>
      </c>
      <c r="L2819" s="3">
        <v>994.5</v>
      </c>
    </row>
    <row r="2820" spans="1:12" x14ac:dyDescent="0.25">
      <c r="A2820" t="s">
        <v>11</v>
      </c>
      <c r="B2820">
        <v>1185732</v>
      </c>
      <c r="C2820" s="1">
        <v>44320</v>
      </c>
      <c r="D2820" t="s">
        <v>57</v>
      </c>
      <c r="E2820" t="s">
        <v>85</v>
      </c>
      <c r="F2820" t="s">
        <v>86</v>
      </c>
      <c r="G2820" t="s">
        <v>41</v>
      </c>
      <c r="H2820" t="s">
        <v>16</v>
      </c>
      <c r="I2820" s="3">
        <v>47</v>
      </c>
      <c r="J2820" s="2">
        <v>90</v>
      </c>
      <c r="K2820" s="3">
        <f t="shared" si="44"/>
        <v>4230</v>
      </c>
      <c r="L2820" s="3">
        <v>2072.6999999999998</v>
      </c>
    </row>
    <row r="2821" spans="1:12" x14ac:dyDescent="0.25">
      <c r="A2821" t="s">
        <v>26</v>
      </c>
      <c r="B2821">
        <v>1197831</v>
      </c>
      <c r="C2821" s="1">
        <v>44320</v>
      </c>
      <c r="D2821" t="s">
        <v>52</v>
      </c>
      <c r="E2821" t="s">
        <v>97</v>
      </c>
      <c r="F2821" t="s">
        <v>98</v>
      </c>
      <c r="G2821" t="s">
        <v>41</v>
      </c>
      <c r="H2821" t="s">
        <v>17</v>
      </c>
      <c r="I2821" s="3">
        <v>32</v>
      </c>
      <c r="J2821" s="2">
        <v>150</v>
      </c>
      <c r="K2821" s="3">
        <f t="shared" si="44"/>
        <v>4800</v>
      </c>
      <c r="L2821" s="3">
        <v>1920</v>
      </c>
    </row>
    <row r="2822" spans="1:12" x14ac:dyDescent="0.25">
      <c r="A2822" t="s">
        <v>11</v>
      </c>
      <c r="B2822">
        <v>1185732</v>
      </c>
      <c r="C2822" s="1">
        <v>44320</v>
      </c>
      <c r="D2822" t="s">
        <v>57</v>
      </c>
      <c r="E2822" t="s">
        <v>85</v>
      </c>
      <c r="F2822" t="s">
        <v>86</v>
      </c>
      <c r="G2822" t="s">
        <v>41</v>
      </c>
      <c r="H2822" t="s">
        <v>22</v>
      </c>
      <c r="I2822" s="3">
        <v>44</v>
      </c>
      <c r="J2822" s="2">
        <v>53</v>
      </c>
      <c r="K2822" s="3">
        <f t="shared" si="44"/>
        <v>2332</v>
      </c>
      <c r="L2822" s="3">
        <v>909.48</v>
      </c>
    </row>
    <row r="2823" spans="1:12" x14ac:dyDescent="0.25">
      <c r="A2823" t="s">
        <v>19</v>
      </c>
      <c r="B2823">
        <v>1185732</v>
      </c>
      <c r="C2823" s="1">
        <v>44321</v>
      </c>
      <c r="D2823" t="s">
        <v>32</v>
      </c>
      <c r="E2823" t="s">
        <v>46</v>
      </c>
      <c r="F2823" t="s">
        <v>47</v>
      </c>
      <c r="G2823" t="s">
        <v>41</v>
      </c>
      <c r="H2823" t="s">
        <v>35</v>
      </c>
      <c r="I2823" s="3">
        <v>45</v>
      </c>
      <c r="J2823" s="2">
        <v>725</v>
      </c>
      <c r="K2823" s="3">
        <f t="shared" si="44"/>
        <v>32625</v>
      </c>
      <c r="L2823" s="3">
        <v>24468.75</v>
      </c>
    </row>
    <row r="2824" spans="1:12" x14ac:dyDescent="0.25">
      <c r="A2824" t="s">
        <v>11</v>
      </c>
      <c r="B2824">
        <v>1197831</v>
      </c>
      <c r="C2824" s="1">
        <v>44321</v>
      </c>
      <c r="D2824" t="s">
        <v>12</v>
      </c>
      <c r="E2824" t="s">
        <v>66</v>
      </c>
      <c r="F2824" t="s">
        <v>67</v>
      </c>
      <c r="G2824" t="s">
        <v>41</v>
      </c>
      <c r="H2824" t="s">
        <v>22</v>
      </c>
      <c r="I2824" s="3">
        <v>50</v>
      </c>
      <c r="J2824" s="2">
        <v>400</v>
      </c>
      <c r="K2824" s="3">
        <f t="shared" si="44"/>
        <v>20000</v>
      </c>
      <c r="L2824" s="3">
        <v>14000</v>
      </c>
    </row>
    <row r="2825" spans="1:12" x14ac:dyDescent="0.25">
      <c r="A2825" t="s">
        <v>19</v>
      </c>
      <c r="B2825">
        <v>1185732</v>
      </c>
      <c r="C2825" s="1">
        <v>44321</v>
      </c>
      <c r="D2825" t="s">
        <v>32</v>
      </c>
      <c r="E2825" t="s">
        <v>46</v>
      </c>
      <c r="F2825" t="s">
        <v>47</v>
      </c>
      <c r="G2825" t="s">
        <v>41</v>
      </c>
      <c r="H2825" t="s">
        <v>37</v>
      </c>
      <c r="I2825" s="3">
        <v>45</v>
      </c>
      <c r="J2825" s="2">
        <v>675</v>
      </c>
      <c r="K2825" s="3">
        <f t="shared" si="44"/>
        <v>30375</v>
      </c>
      <c r="L2825" s="3">
        <v>21262.5</v>
      </c>
    </row>
    <row r="2826" spans="1:12" x14ac:dyDescent="0.25">
      <c r="A2826" t="s">
        <v>11</v>
      </c>
      <c r="B2826">
        <v>1197831</v>
      </c>
      <c r="C2826" s="1">
        <v>44321</v>
      </c>
      <c r="D2826" t="s">
        <v>12</v>
      </c>
      <c r="E2826" t="s">
        <v>66</v>
      </c>
      <c r="F2826" t="s">
        <v>67</v>
      </c>
      <c r="G2826" t="s">
        <v>41</v>
      </c>
      <c r="H2826" t="s">
        <v>38</v>
      </c>
      <c r="I2826" s="3">
        <v>20</v>
      </c>
      <c r="J2826" s="2">
        <v>700</v>
      </c>
      <c r="K2826" s="3">
        <f t="shared" si="44"/>
        <v>14000</v>
      </c>
      <c r="L2826" s="3">
        <v>9100</v>
      </c>
    </row>
    <row r="2827" spans="1:12" x14ac:dyDescent="0.25">
      <c r="A2827" t="s">
        <v>11</v>
      </c>
      <c r="B2827">
        <v>1197831</v>
      </c>
      <c r="C2827" s="1">
        <v>44321</v>
      </c>
      <c r="D2827" t="s">
        <v>12</v>
      </c>
      <c r="E2827" t="s">
        <v>66</v>
      </c>
      <c r="F2827" t="s">
        <v>67</v>
      </c>
      <c r="G2827" t="s">
        <v>41</v>
      </c>
      <c r="H2827" t="s">
        <v>17</v>
      </c>
      <c r="I2827" s="3">
        <v>30.000000000000004</v>
      </c>
      <c r="J2827" s="2">
        <v>725</v>
      </c>
      <c r="K2827" s="3">
        <f t="shared" si="44"/>
        <v>21750.000000000004</v>
      </c>
      <c r="L2827" s="3">
        <v>14137.500000000004</v>
      </c>
    </row>
    <row r="2828" spans="1:12" x14ac:dyDescent="0.25">
      <c r="A2828" t="s">
        <v>11</v>
      </c>
      <c r="B2828">
        <v>1197831</v>
      </c>
      <c r="C2828" s="1">
        <v>44321</v>
      </c>
      <c r="D2828" t="s">
        <v>12</v>
      </c>
      <c r="E2828" t="s">
        <v>66</v>
      </c>
      <c r="F2828" t="s">
        <v>67</v>
      </c>
      <c r="G2828" t="s">
        <v>41</v>
      </c>
      <c r="H2828" t="s">
        <v>35</v>
      </c>
      <c r="I2828" s="3">
        <v>24.999999999999996</v>
      </c>
      <c r="J2828" s="2">
        <v>575</v>
      </c>
      <c r="K2828" s="3">
        <f t="shared" si="44"/>
        <v>14374.999999999998</v>
      </c>
      <c r="L2828" s="3">
        <v>9343.7499999999982</v>
      </c>
    </row>
    <row r="2829" spans="1:12" x14ac:dyDescent="0.25">
      <c r="A2829" t="s">
        <v>19</v>
      </c>
      <c r="B2829">
        <v>1185732</v>
      </c>
      <c r="C2829" s="1">
        <v>44321</v>
      </c>
      <c r="D2829" t="s">
        <v>32</v>
      </c>
      <c r="E2829" t="s">
        <v>46</v>
      </c>
      <c r="F2829" t="s">
        <v>47</v>
      </c>
      <c r="G2829" t="s">
        <v>41</v>
      </c>
      <c r="H2829" t="s">
        <v>17</v>
      </c>
      <c r="I2829" s="3">
        <v>50</v>
      </c>
      <c r="J2829" s="2">
        <v>750</v>
      </c>
      <c r="K2829" s="3">
        <f t="shared" si="44"/>
        <v>37500</v>
      </c>
      <c r="L2829" s="3">
        <v>24375</v>
      </c>
    </row>
    <row r="2830" spans="1:12" x14ac:dyDescent="0.25">
      <c r="A2830" t="s">
        <v>19</v>
      </c>
      <c r="B2830">
        <v>1185732</v>
      </c>
      <c r="C2830" s="1">
        <v>44321</v>
      </c>
      <c r="D2830" t="s">
        <v>32</v>
      </c>
      <c r="E2830" t="s">
        <v>46</v>
      </c>
      <c r="F2830" t="s">
        <v>47</v>
      </c>
      <c r="G2830" t="s">
        <v>41</v>
      </c>
      <c r="H2830" t="s">
        <v>22</v>
      </c>
      <c r="I2830" s="3">
        <v>54.999999999999993</v>
      </c>
      <c r="J2830" s="2">
        <v>700</v>
      </c>
      <c r="K2830" s="3">
        <f t="shared" si="44"/>
        <v>38499.999999999993</v>
      </c>
      <c r="L2830" s="3">
        <v>25024.999999999996</v>
      </c>
    </row>
    <row r="2831" spans="1:12" x14ac:dyDescent="0.25">
      <c r="A2831" t="s">
        <v>26</v>
      </c>
      <c r="B2831">
        <v>1197831</v>
      </c>
      <c r="C2831" s="1">
        <v>44321</v>
      </c>
      <c r="D2831" t="s">
        <v>52</v>
      </c>
      <c r="E2831" t="s">
        <v>97</v>
      </c>
      <c r="F2831" t="s">
        <v>98</v>
      </c>
      <c r="G2831" t="s">
        <v>15</v>
      </c>
      <c r="H2831" t="s">
        <v>35</v>
      </c>
      <c r="I2831" s="3">
        <v>40</v>
      </c>
      <c r="J2831" s="2">
        <v>525</v>
      </c>
      <c r="K2831" s="3">
        <f t="shared" si="44"/>
        <v>21000</v>
      </c>
      <c r="L2831" s="3">
        <v>11550.000000000002</v>
      </c>
    </row>
    <row r="2832" spans="1:12" x14ac:dyDescent="0.25">
      <c r="A2832" t="s">
        <v>11</v>
      </c>
      <c r="B2832">
        <v>1197831</v>
      </c>
      <c r="C2832" s="1">
        <v>44321</v>
      </c>
      <c r="D2832" t="s">
        <v>12</v>
      </c>
      <c r="E2832" t="s">
        <v>66</v>
      </c>
      <c r="F2832" t="s">
        <v>67</v>
      </c>
      <c r="G2832" t="s">
        <v>41</v>
      </c>
      <c r="H2832" t="s">
        <v>37</v>
      </c>
      <c r="I2832" s="3">
        <v>35</v>
      </c>
      <c r="J2832" s="2">
        <v>500</v>
      </c>
      <c r="K2832" s="3">
        <f t="shared" si="44"/>
        <v>17500</v>
      </c>
      <c r="L2832" s="3">
        <v>9625</v>
      </c>
    </row>
    <row r="2833" spans="1:12" x14ac:dyDescent="0.25">
      <c r="A2833" t="s">
        <v>19</v>
      </c>
      <c r="B2833">
        <v>1185732</v>
      </c>
      <c r="C2833" s="1">
        <v>44321</v>
      </c>
      <c r="D2833" t="s">
        <v>32</v>
      </c>
      <c r="E2833" t="s">
        <v>46</v>
      </c>
      <c r="F2833" t="s">
        <v>47</v>
      </c>
      <c r="G2833" t="s">
        <v>41</v>
      </c>
      <c r="H2833" t="s">
        <v>38</v>
      </c>
      <c r="I2833" s="3">
        <v>50</v>
      </c>
      <c r="J2833" s="2">
        <v>1045</v>
      </c>
      <c r="K2833" s="3">
        <f t="shared" si="44"/>
        <v>52250</v>
      </c>
      <c r="L2833" s="3">
        <v>28737.5</v>
      </c>
    </row>
    <row r="2834" spans="1:12" x14ac:dyDescent="0.25">
      <c r="A2834" t="s">
        <v>11</v>
      </c>
      <c r="B2834">
        <v>1197831</v>
      </c>
      <c r="C2834" s="1">
        <v>44321</v>
      </c>
      <c r="D2834" t="s">
        <v>12</v>
      </c>
      <c r="E2834" t="s">
        <v>66</v>
      </c>
      <c r="F2834" t="s">
        <v>67</v>
      </c>
      <c r="G2834" t="s">
        <v>41</v>
      </c>
      <c r="H2834" t="s">
        <v>16</v>
      </c>
      <c r="I2834" s="3">
        <v>45</v>
      </c>
      <c r="J2834" s="2">
        <v>750</v>
      </c>
      <c r="K2834" s="3">
        <f t="shared" si="44"/>
        <v>33750</v>
      </c>
      <c r="L2834" s="3">
        <v>16875</v>
      </c>
    </row>
    <row r="2835" spans="1:12" x14ac:dyDescent="0.25">
      <c r="A2835" t="s">
        <v>19</v>
      </c>
      <c r="B2835">
        <v>1185732</v>
      </c>
      <c r="C2835" s="1">
        <v>44321</v>
      </c>
      <c r="D2835" t="s">
        <v>32</v>
      </c>
      <c r="E2835" t="s">
        <v>46</v>
      </c>
      <c r="F2835" t="s">
        <v>47</v>
      </c>
      <c r="G2835" t="s">
        <v>41</v>
      </c>
      <c r="H2835" t="s">
        <v>16</v>
      </c>
      <c r="I2835" s="3">
        <v>60</v>
      </c>
      <c r="J2835" s="2">
        <v>800</v>
      </c>
      <c r="K2835" s="3">
        <f t="shared" si="44"/>
        <v>48000</v>
      </c>
      <c r="L2835" s="3">
        <v>24000</v>
      </c>
    </row>
    <row r="2836" spans="1:12" x14ac:dyDescent="0.25">
      <c r="A2836" t="s">
        <v>27</v>
      </c>
      <c r="B2836">
        <v>1189833</v>
      </c>
      <c r="C2836" s="1">
        <v>44321</v>
      </c>
      <c r="D2836" t="s">
        <v>12</v>
      </c>
      <c r="E2836" t="s">
        <v>13</v>
      </c>
      <c r="F2836" t="s">
        <v>28</v>
      </c>
      <c r="G2836" t="s">
        <v>15</v>
      </c>
      <c r="H2836" t="s">
        <v>22</v>
      </c>
      <c r="I2836" s="3">
        <v>60</v>
      </c>
      <c r="J2836" s="2">
        <v>675</v>
      </c>
      <c r="K2836" s="3">
        <f t="shared" si="44"/>
        <v>40500</v>
      </c>
      <c r="L2836" s="3">
        <v>18224.999999999996</v>
      </c>
    </row>
    <row r="2837" spans="1:12" x14ac:dyDescent="0.25">
      <c r="A2837" t="s">
        <v>11</v>
      </c>
      <c r="B2837">
        <v>1197831</v>
      </c>
      <c r="C2837" s="1">
        <v>44321</v>
      </c>
      <c r="D2837" t="s">
        <v>12</v>
      </c>
      <c r="E2837" t="s">
        <v>66</v>
      </c>
      <c r="F2837" t="s">
        <v>67</v>
      </c>
      <c r="G2837" t="s">
        <v>15</v>
      </c>
      <c r="H2837" t="s">
        <v>22</v>
      </c>
      <c r="I2837" s="3">
        <v>34</v>
      </c>
      <c r="J2837" s="2">
        <v>120</v>
      </c>
      <c r="K2837" s="3">
        <f t="shared" si="44"/>
        <v>4080</v>
      </c>
      <c r="L2837" s="3">
        <v>2652</v>
      </c>
    </row>
    <row r="2838" spans="1:12" x14ac:dyDescent="0.25">
      <c r="A2838" t="s">
        <v>19</v>
      </c>
      <c r="B2838">
        <v>1185732</v>
      </c>
      <c r="C2838" s="1">
        <v>44321</v>
      </c>
      <c r="D2838" t="s">
        <v>32</v>
      </c>
      <c r="E2838" t="s">
        <v>46</v>
      </c>
      <c r="F2838" t="s">
        <v>47</v>
      </c>
      <c r="G2838" t="s">
        <v>41</v>
      </c>
      <c r="H2838" t="s">
        <v>35</v>
      </c>
      <c r="I2838" s="3">
        <v>41</v>
      </c>
      <c r="J2838" s="2">
        <v>210</v>
      </c>
      <c r="K2838" s="3">
        <f t="shared" si="44"/>
        <v>8610</v>
      </c>
      <c r="L2838" s="3">
        <v>5424.3</v>
      </c>
    </row>
    <row r="2839" spans="1:12" x14ac:dyDescent="0.25">
      <c r="A2839" t="s">
        <v>11</v>
      </c>
      <c r="B2839">
        <v>1197831</v>
      </c>
      <c r="C2839" s="1">
        <v>44321</v>
      </c>
      <c r="D2839" t="s">
        <v>12</v>
      </c>
      <c r="E2839" t="s">
        <v>66</v>
      </c>
      <c r="F2839" t="s">
        <v>67</v>
      </c>
      <c r="G2839" t="s">
        <v>15</v>
      </c>
      <c r="H2839" t="s">
        <v>35</v>
      </c>
      <c r="I2839" s="3">
        <v>18</v>
      </c>
      <c r="J2839" s="2">
        <v>184</v>
      </c>
      <c r="K2839" s="3">
        <f t="shared" si="44"/>
        <v>3312</v>
      </c>
      <c r="L2839" s="3">
        <v>2020.3200000000002</v>
      </c>
    </row>
    <row r="2840" spans="1:12" x14ac:dyDescent="0.25">
      <c r="A2840" t="s">
        <v>11</v>
      </c>
      <c r="B2840">
        <v>1197831</v>
      </c>
      <c r="C2840" s="1">
        <v>44321</v>
      </c>
      <c r="D2840" t="s">
        <v>12</v>
      </c>
      <c r="E2840" t="s">
        <v>66</v>
      </c>
      <c r="F2840" t="s">
        <v>67</v>
      </c>
      <c r="G2840" t="s">
        <v>41</v>
      </c>
      <c r="H2840" t="s">
        <v>22</v>
      </c>
      <c r="I2840" s="3">
        <v>47</v>
      </c>
      <c r="J2840" s="2">
        <v>120</v>
      </c>
      <c r="K2840" s="3">
        <f t="shared" si="44"/>
        <v>5640</v>
      </c>
      <c r="L2840" s="3">
        <v>3384</v>
      </c>
    </row>
    <row r="2841" spans="1:12" x14ac:dyDescent="0.25">
      <c r="A2841" t="s">
        <v>11</v>
      </c>
      <c r="B2841">
        <v>1197831</v>
      </c>
      <c r="C2841" s="1">
        <v>44321</v>
      </c>
      <c r="D2841" t="s">
        <v>12</v>
      </c>
      <c r="E2841" t="s">
        <v>66</v>
      </c>
      <c r="F2841" t="s">
        <v>67</v>
      </c>
      <c r="G2841" t="s">
        <v>15</v>
      </c>
      <c r="H2841" t="s">
        <v>17</v>
      </c>
      <c r="I2841" s="3">
        <v>22</v>
      </c>
      <c r="J2841" s="2">
        <v>247</v>
      </c>
      <c r="K2841" s="3">
        <f t="shared" si="44"/>
        <v>5434</v>
      </c>
      <c r="L2841" s="3">
        <v>3206.06</v>
      </c>
    </row>
    <row r="2842" spans="1:12" x14ac:dyDescent="0.25">
      <c r="A2842" t="s">
        <v>19</v>
      </c>
      <c r="B2842">
        <v>1185732</v>
      </c>
      <c r="C2842" s="1">
        <v>44321</v>
      </c>
      <c r="D2842" t="s">
        <v>32</v>
      </c>
      <c r="E2842" t="s">
        <v>46</v>
      </c>
      <c r="F2842" t="s">
        <v>47</v>
      </c>
      <c r="G2842" t="s">
        <v>41</v>
      </c>
      <c r="H2842" t="s">
        <v>37</v>
      </c>
      <c r="I2842" s="3">
        <v>43</v>
      </c>
      <c r="J2842" s="2">
        <v>182</v>
      </c>
      <c r="K2842" s="3">
        <f t="shared" si="44"/>
        <v>7826</v>
      </c>
      <c r="L2842" s="3">
        <v>4539.08</v>
      </c>
    </row>
    <row r="2843" spans="1:12" x14ac:dyDescent="0.25">
      <c r="A2843" t="s">
        <v>11</v>
      </c>
      <c r="B2843">
        <v>1197831</v>
      </c>
      <c r="C2843" s="1">
        <v>44321</v>
      </c>
      <c r="D2843" t="s">
        <v>12</v>
      </c>
      <c r="E2843" t="s">
        <v>66</v>
      </c>
      <c r="F2843" t="s">
        <v>67</v>
      </c>
      <c r="G2843" t="s">
        <v>15</v>
      </c>
      <c r="H2843" t="s">
        <v>38</v>
      </c>
      <c r="I2843" s="3">
        <v>14</v>
      </c>
      <c r="J2843" s="2">
        <v>210</v>
      </c>
      <c r="K2843" s="3">
        <f t="shared" si="44"/>
        <v>2940</v>
      </c>
      <c r="L2843" s="3">
        <v>1705.2</v>
      </c>
    </row>
    <row r="2844" spans="1:12" x14ac:dyDescent="0.25">
      <c r="A2844" t="s">
        <v>19</v>
      </c>
      <c r="B2844">
        <v>1185732</v>
      </c>
      <c r="C2844" s="1">
        <v>44321</v>
      </c>
      <c r="D2844" t="s">
        <v>32</v>
      </c>
      <c r="E2844" t="s">
        <v>46</v>
      </c>
      <c r="F2844" t="s">
        <v>47</v>
      </c>
      <c r="G2844" t="s">
        <v>41</v>
      </c>
      <c r="H2844" t="s">
        <v>17</v>
      </c>
      <c r="I2844" s="3">
        <v>45</v>
      </c>
      <c r="J2844" s="2">
        <v>188</v>
      </c>
      <c r="K2844" s="3">
        <f t="shared" si="44"/>
        <v>8460</v>
      </c>
      <c r="L2844" s="3">
        <v>4653</v>
      </c>
    </row>
    <row r="2845" spans="1:12" x14ac:dyDescent="0.25">
      <c r="A2845" t="s">
        <v>11</v>
      </c>
      <c r="B2845">
        <v>1197831</v>
      </c>
      <c r="C2845" s="1">
        <v>44321</v>
      </c>
      <c r="D2845" t="s">
        <v>12</v>
      </c>
      <c r="E2845" t="s">
        <v>66</v>
      </c>
      <c r="F2845" t="s">
        <v>67</v>
      </c>
      <c r="G2845" t="s">
        <v>41</v>
      </c>
      <c r="H2845" t="s">
        <v>35</v>
      </c>
      <c r="I2845" s="3">
        <v>23</v>
      </c>
      <c r="J2845" s="2">
        <v>167</v>
      </c>
      <c r="K2845" s="3">
        <f t="shared" si="44"/>
        <v>3841</v>
      </c>
      <c r="L2845" s="3">
        <v>2035.73</v>
      </c>
    </row>
    <row r="2846" spans="1:12" x14ac:dyDescent="0.25">
      <c r="A2846" t="s">
        <v>11</v>
      </c>
      <c r="B2846">
        <v>1197831</v>
      </c>
      <c r="C2846" s="1">
        <v>44321</v>
      </c>
      <c r="D2846" t="s">
        <v>12</v>
      </c>
      <c r="E2846" t="s">
        <v>66</v>
      </c>
      <c r="F2846" t="s">
        <v>67</v>
      </c>
      <c r="G2846" t="s">
        <v>41</v>
      </c>
      <c r="H2846" t="s">
        <v>17</v>
      </c>
      <c r="I2846" s="3">
        <v>28</v>
      </c>
      <c r="J2846" s="2">
        <v>196</v>
      </c>
      <c r="K2846" s="3">
        <f t="shared" si="44"/>
        <v>5488</v>
      </c>
      <c r="L2846" s="3">
        <v>2853.76</v>
      </c>
    </row>
    <row r="2847" spans="1:12" x14ac:dyDescent="0.25">
      <c r="A2847" t="s">
        <v>26</v>
      </c>
      <c r="B2847">
        <v>1197831</v>
      </c>
      <c r="C2847" s="1">
        <v>44321</v>
      </c>
      <c r="D2847" t="s">
        <v>52</v>
      </c>
      <c r="E2847" t="s">
        <v>97</v>
      </c>
      <c r="F2847" t="s">
        <v>98</v>
      </c>
      <c r="G2847" t="s">
        <v>15</v>
      </c>
      <c r="H2847" t="s">
        <v>35</v>
      </c>
      <c r="I2847" s="3">
        <v>27</v>
      </c>
      <c r="J2847" s="2">
        <v>163</v>
      </c>
      <c r="K2847" s="3">
        <f t="shared" si="44"/>
        <v>4401</v>
      </c>
      <c r="L2847" s="3">
        <v>2288.52</v>
      </c>
    </row>
    <row r="2848" spans="1:12" x14ac:dyDescent="0.25">
      <c r="A2848" t="s">
        <v>11</v>
      </c>
      <c r="B2848">
        <v>1197831</v>
      </c>
      <c r="C2848" s="1">
        <v>44321</v>
      </c>
      <c r="D2848" t="s">
        <v>12</v>
      </c>
      <c r="E2848" t="s">
        <v>66</v>
      </c>
      <c r="F2848" t="s">
        <v>67</v>
      </c>
      <c r="G2848" t="s">
        <v>41</v>
      </c>
      <c r="H2848" t="s">
        <v>38</v>
      </c>
      <c r="I2848" s="3">
        <v>18</v>
      </c>
      <c r="J2848" s="2">
        <v>203</v>
      </c>
      <c r="K2848" s="3">
        <f t="shared" si="44"/>
        <v>3654</v>
      </c>
      <c r="L2848" s="3">
        <v>1827</v>
      </c>
    </row>
    <row r="2849" spans="1:12" x14ac:dyDescent="0.25">
      <c r="A2849" t="s">
        <v>19</v>
      </c>
      <c r="B2849">
        <v>1185732</v>
      </c>
      <c r="C2849" s="1">
        <v>44321</v>
      </c>
      <c r="D2849" t="s">
        <v>32</v>
      </c>
      <c r="E2849" t="s">
        <v>46</v>
      </c>
      <c r="F2849" t="s">
        <v>47</v>
      </c>
      <c r="G2849" t="s">
        <v>41</v>
      </c>
      <c r="H2849" t="s">
        <v>22</v>
      </c>
      <c r="I2849" s="3">
        <v>53</v>
      </c>
      <c r="J2849" s="2">
        <v>196</v>
      </c>
      <c r="K2849" s="3">
        <f t="shared" si="44"/>
        <v>10388</v>
      </c>
      <c r="L2849" s="3">
        <v>5194</v>
      </c>
    </row>
    <row r="2850" spans="1:12" x14ac:dyDescent="0.25">
      <c r="A2850" t="s">
        <v>11</v>
      </c>
      <c r="B2850">
        <v>1197831</v>
      </c>
      <c r="C2850" s="1">
        <v>44321</v>
      </c>
      <c r="D2850" t="s">
        <v>12</v>
      </c>
      <c r="E2850" t="s">
        <v>66</v>
      </c>
      <c r="F2850" t="s">
        <v>67</v>
      </c>
      <c r="G2850" t="s">
        <v>15</v>
      </c>
      <c r="H2850" t="s">
        <v>37</v>
      </c>
      <c r="I2850" s="3">
        <v>24</v>
      </c>
      <c r="J2850" s="2">
        <v>155</v>
      </c>
      <c r="K2850" s="3">
        <f t="shared" si="44"/>
        <v>3720</v>
      </c>
      <c r="L2850" s="3">
        <v>1860</v>
      </c>
    </row>
    <row r="2851" spans="1:12" x14ac:dyDescent="0.25">
      <c r="A2851" t="s">
        <v>11</v>
      </c>
      <c r="B2851">
        <v>1197831</v>
      </c>
      <c r="C2851" s="1">
        <v>44321</v>
      </c>
      <c r="D2851" t="s">
        <v>12</v>
      </c>
      <c r="E2851" t="s">
        <v>66</v>
      </c>
      <c r="F2851" t="s">
        <v>67</v>
      </c>
      <c r="G2851" t="s">
        <v>41</v>
      </c>
      <c r="H2851" t="s">
        <v>37</v>
      </c>
      <c r="I2851" s="3">
        <v>33</v>
      </c>
      <c r="J2851" s="2">
        <v>130</v>
      </c>
      <c r="K2851" s="3">
        <f t="shared" si="44"/>
        <v>4290</v>
      </c>
      <c r="L2851" s="3">
        <v>1930.5</v>
      </c>
    </row>
    <row r="2852" spans="1:12" x14ac:dyDescent="0.25">
      <c r="A2852" t="s">
        <v>19</v>
      </c>
      <c r="B2852">
        <v>1185732</v>
      </c>
      <c r="C2852" s="1">
        <v>44321</v>
      </c>
      <c r="D2852" t="s">
        <v>32</v>
      </c>
      <c r="E2852" t="s">
        <v>46</v>
      </c>
      <c r="F2852" t="s">
        <v>47</v>
      </c>
      <c r="G2852" t="s">
        <v>41</v>
      </c>
      <c r="H2852" t="s">
        <v>38</v>
      </c>
      <c r="I2852" s="3">
        <v>48</v>
      </c>
      <c r="J2852" s="2">
        <v>282</v>
      </c>
      <c r="K2852" s="3">
        <f t="shared" si="44"/>
        <v>13536</v>
      </c>
      <c r="L2852" s="3">
        <v>6091.2</v>
      </c>
    </row>
    <row r="2853" spans="1:12" x14ac:dyDescent="0.25">
      <c r="A2853" t="s">
        <v>11</v>
      </c>
      <c r="B2853">
        <v>1197831</v>
      </c>
      <c r="C2853" s="1">
        <v>44321</v>
      </c>
      <c r="D2853" t="s">
        <v>12</v>
      </c>
      <c r="E2853" t="s">
        <v>66</v>
      </c>
      <c r="F2853" t="s">
        <v>67</v>
      </c>
      <c r="G2853" t="s">
        <v>15</v>
      </c>
      <c r="H2853" t="s">
        <v>16</v>
      </c>
      <c r="I2853" s="3">
        <v>33</v>
      </c>
      <c r="J2853" s="2">
        <v>240</v>
      </c>
      <c r="K2853" s="3">
        <f t="shared" si="44"/>
        <v>7920</v>
      </c>
      <c r="L2853" s="3">
        <v>3564</v>
      </c>
    </row>
    <row r="2854" spans="1:12" x14ac:dyDescent="0.25">
      <c r="A2854" t="s">
        <v>26</v>
      </c>
      <c r="B2854">
        <v>1197831</v>
      </c>
      <c r="C2854" s="1">
        <v>44321</v>
      </c>
      <c r="D2854" t="s">
        <v>52</v>
      </c>
      <c r="E2854" t="s">
        <v>97</v>
      </c>
      <c r="F2854" t="s">
        <v>98</v>
      </c>
      <c r="G2854" t="s">
        <v>41</v>
      </c>
      <c r="H2854" t="s">
        <v>35</v>
      </c>
      <c r="I2854" s="3">
        <v>36</v>
      </c>
      <c r="J2854" s="2">
        <v>147</v>
      </c>
      <c r="K2854" s="3">
        <f t="shared" si="44"/>
        <v>5292</v>
      </c>
      <c r="L2854" s="3">
        <v>2222.6400000000003</v>
      </c>
    </row>
    <row r="2855" spans="1:12" x14ac:dyDescent="0.25">
      <c r="A2855" t="s">
        <v>19</v>
      </c>
      <c r="B2855">
        <v>1185732</v>
      </c>
      <c r="C2855" s="1">
        <v>44321</v>
      </c>
      <c r="D2855" t="s">
        <v>32</v>
      </c>
      <c r="E2855" t="s">
        <v>46</v>
      </c>
      <c r="F2855" t="s">
        <v>47</v>
      </c>
      <c r="G2855" t="s">
        <v>41</v>
      </c>
      <c r="H2855" t="s">
        <v>16</v>
      </c>
      <c r="I2855" s="3">
        <v>59</v>
      </c>
      <c r="J2855" s="2">
        <v>200</v>
      </c>
      <c r="K2855" s="3">
        <f t="shared" si="44"/>
        <v>11800</v>
      </c>
      <c r="L2855" s="3">
        <v>4720</v>
      </c>
    </row>
    <row r="2856" spans="1:12" x14ac:dyDescent="0.25">
      <c r="A2856" t="s">
        <v>27</v>
      </c>
      <c r="B2856">
        <v>1189833</v>
      </c>
      <c r="C2856" s="1">
        <v>44321</v>
      </c>
      <c r="D2856" t="s">
        <v>12</v>
      </c>
      <c r="E2856" t="s">
        <v>13</v>
      </c>
      <c r="F2856" t="s">
        <v>28</v>
      </c>
      <c r="G2856" t="s">
        <v>15</v>
      </c>
      <c r="H2856" t="s">
        <v>22</v>
      </c>
      <c r="I2856" s="3">
        <v>43</v>
      </c>
      <c r="J2856" s="2">
        <v>230</v>
      </c>
      <c r="K2856" s="3">
        <f t="shared" si="44"/>
        <v>9890</v>
      </c>
      <c r="L2856" s="3">
        <v>3758.1999999999989</v>
      </c>
    </row>
    <row r="2857" spans="1:12" x14ac:dyDescent="0.25">
      <c r="A2857" t="s">
        <v>11</v>
      </c>
      <c r="B2857">
        <v>1197831</v>
      </c>
      <c r="C2857" s="1">
        <v>44321</v>
      </c>
      <c r="D2857" t="s">
        <v>12</v>
      </c>
      <c r="E2857" t="s">
        <v>66</v>
      </c>
      <c r="F2857" t="s">
        <v>67</v>
      </c>
      <c r="G2857" t="s">
        <v>41</v>
      </c>
      <c r="H2857" t="s">
        <v>16</v>
      </c>
      <c r="I2857" s="3">
        <v>42</v>
      </c>
      <c r="J2857" s="2">
        <v>218</v>
      </c>
      <c r="K2857" s="3">
        <f t="shared" si="44"/>
        <v>9156</v>
      </c>
      <c r="L2857" s="3">
        <v>3387.7200000000003</v>
      </c>
    </row>
    <row r="2858" spans="1:12" x14ac:dyDescent="0.25">
      <c r="A2858" t="s">
        <v>27</v>
      </c>
      <c r="B2858">
        <v>1189833</v>
      </c>
      <c r="C2858" s="1">
        <v>44321</v>
      </c>
      <c r="D2858" t="s">
        <v>12</v>
      </c>
      <c r="E2858" t="s">
        <v>13</v>
      </c>
      <c r="F2858" t="s">
        <v>28</v>
      </c>
      <c r="G2858" t="s">
        <v>41</v>
      </c>
      <c r="H2858" t="s">
        <v>22</v>
      </c>
      <c r="I2858" s="3">
        <v>58</v>
      </c>
      <c r="J2858" s="2">
        <v>182</v>
      </c>
      <c r="K2858" s="3">
        <f t="shared" si="44"/>
        <v>10556</v>
      </c>
      <c r="L2858" s="3">
        <v>3483.4799999999996</v>
      </c>
    </row>
    <row r="2859" spans="1:12" x14ac:dyDescent="0.25">
      <c r="A2859" t="s">
        <v>27</v>
      </c>
      <c r="B2859">
        <v>1189833</v>
      </c>
      <c r="C2859" s="1">
        <v>44322</v>
      </c>
      <c r="D2859" t="s">
        <v>12</v>
      </c>
      <c r="E2859" t="s">
        <v>13</v>
      </c>
      <c r="F2859" t="s">
        <v>28</v>
      </c>
      <c r="G2859" t="s">
        <v>15</v>
      </c>
      <c r="H2859" t="s">
        <v>16</v>
      </c>
      <c r="I2859" s="3">
        <v>65</v>
      </c>
      <c r="J2859" s="2">
        <v>650</v>
      </c>
      <c r="K2859" s="3">
        <f t="shared" si="44"/>
        <v>42250</v>
      </c>
      <c r="L2859" s="3">
        <v>33800</v>
      </c>
    </row>
    <row r="2860" spans="1:12" x14ac:dyDescent="0.25">
      <c r="A2860" t="s">
        <v>27</v>
      </c>
      <c r="B2860">
        <v>1185732</v>
      </c>
      <c r="C2860" s="1">
        <v>44322</v>
      </c>
      <c r="D2860" t="s">
        <v>29</v>
      </c>
      <c r="E2860" t="s">
        <v>91</v>
      </c>
      <c r="F2860" t="s">
        <v>92</v>
      </c>
      <c r="G2860" t="s">
        <v>18</v>
      </c>
      <c r="H2860" t="s">
        <v>22</v>
      </c>
      <c r="I2860" s="3">
        <v>49.999999999999993</v>
      </c>
      <c r="J2860" s="2">
        <v>225</v>
      </c>
      <c r="K2860" s="3">
        <f t="shared" si="44"/>
        <v>11249.999999999998</v>
      </c>
      <c r="L2860" s="3">
        <v>7875</v>
      </c>
    </row>
    <row r="2861" spans="1:12" x14ac:dyDescent="0.25">
      <c r="A2861" t="s">
        <v>19</v>
      </c>
      <c r="B2861">
        <v>1185732</v>
      </c>
      <c r="C2861" s="1">
        <v>44322</v>
      </c>
      <c r="D2861" t="s">
        <v>29</v>
      </c>
      <c r="E2861" t="s">
        <v>48</v>
      </c>
      <c r="F2861" t="s">
        <v>49</v>
      </c>
      <c r="G2861" t="s">
        <v>18</v>
      </c>
      <c r="H2861" t="s">
        <v>22</v>
      </c>
      <c r="I2861" s="3">
        <v>49.999999999999993</v>
      </c>
      <c r="J2861" s="2">
        <v>175</v>
      </c>
      <c r="K2861" s="3">
        <f t="shared" si="44"/>
        <v>8749.9999999999982</v>
      </c>
      <c r="L2861" s="3">
        <v>6124.9999999999982</v>
      </c>
    </row>
    <row r="2862" spans="1:12" x14ac:dyDescent="0.25">
      <c r="A2862" t="s">
        <v>27</v>
      </c>
      <c r="B2862">
        <v>1185732</v>
      </c>
      <c r="C2862" s="1">
        <v>44322</v>
      </c>
      <c r="D2862" t="s">
        <v>29</v>
      </c>
      <c r="E2862" t="s">
        <v>91</v>
      </c>
      <c r="F2862" t="s">
        <v>92</v>
      </c>
      <c r="G2862" t="s">
        <v>18</v>
      </c>
      <c r="H2862" t="s">
        <v>38</v>
      </c>
      <c r="I2862" s="3">
        <v>49.999999999999993</v>
      </c>
      <c r="J2862" s="2">
        <v>520</v>
      </c>
      <c r="K2862" s="3">
        <f t="shared" si="44"/>
        <v>25999.999999999996</v>
      </c>
      <c r="L2862" s="3">
        <v>16900</v>
      </c>
    </row>
    <row r="2863" spans="1:12" x14ac:dyDescent="0.25">
      <c r="A2863" t="s">
        <v>19</v>
      </c>
      <c r="B2863">
        <v>1185732</v>
      </c>
      <c r="C2863" s="1">
        <v>44322</v>
      </c>
      <c r="D2863" t="s">
        <v>29</v>
      </c>
      <c r="E2863" t="s">
        <v>48</v>
      </c>
      <c r="F2863" t="s">
        <v>49</v>
      </c>
      <c r="G2863" t="s">
        <v>18</v>
      </c>
      <c r="H2863" t="s">
        <v>38</v>
      </c>
      <c r="I2863" s="3">
        <v>49.999999999999993</v>
      </c>
      <c r="J2863" s="2">
        <v>470</v>
      </c>
      <c r="K2863" s="3">
        <f t="shared" si="44"/>
        <v>23499.999999999996</v>
      </c>
      <c r="L2863" s="3">
        <v>15275</v>
      </c>
    </row>
    <row r="2864" spans="1:12" x14ac:dyDescent="0.25">
      <c r="A2864" t="s">
        <v>27</v>
      </c>
      <c r="B2864">
        <v>1185732</v>
      </c>
      <c r="C2864" s="1">
        <v>44322</v>
      </c>
      <c r="D2864" t="s">
        <v>29</v>
      </c>
      <c r="E2864" t="s">
        <v>91</v>
      </c>
      <c r="F2864" t="s">
        <v>92</v>
      </c>
      <c r="G2864" t="s">
        <v>18</v>
      </c>
      <c r="H2864" t="s">
        <v>17</v>
      </c>
      <c r="I2864" s="3">
        <v>45</v>
      </c>
      <c r="J2864" s="2">
        <v>225</v>
      </c>
      <c r="K2864" s="3">
        <f t="shared" si="44"/>
        <v>10125</v>
      </c>
      <c r="L2864" s="3">
        <v>6581.25</v>
      </c>
    </row>
    <row r="2865" spans="1:12" x14ac:dyDescent="0.25">
      <c r="A2865" t="s">
        <v>19</v>
      </c>
      <c r="B2865">
        <v>1185732</v>
      </c>
      <c r="C2865" s="1">
        <v>44322</v>
      </c>
      <c r="D2865" t="s">
        <v>29</v>
      </c>
      <c r="E2865" t="s">
        <v>48</v>
      </c>
      <c r="F2865" t="s">
        <v>49</v>
      </c>
      <c r="G2865" t="s">
        <v>18</v>
      </c>
      <c r="H2865" t="s">
        <v>17</v>
      </c>
      <c r="I2865" s="3">
        <v>45</v>
      </c>
      <c r="J2865" s="2">
        <v>175</v>
      </c>
      <c r="K2865" s="3">
        <f t="shared" si="44"/>
        <v>7875</v>
      </c>
      <c r="L2865" s="3">
        <v>5118.75</v>
      </c>
    </row>
    <row r="2866" spans="1:12" x14ac:dyDescent="0.25">
      <c r="A2866" t="s">
        <v>27</v>
      </c>
      <c r="B2866">
        <v>1185732</v>
      </c>
      <c r="C2866" s="1">
        <v>44322</v>
      </c>
      <c r="D2866" t="s">
        <v>29</v>
      </c>
      <c r="E2866" t="s">
        <v>91</v>
      </c>
      <c r="F2866" t="s">
        <v>92</v>
      </c>
      <c r="G2866" t="s">
        <v>18</v>
      </c>
      <c r="H2866" t="s">
        <v>35</v>
      </c>
      <c r="I2866" s="3">
        <v>40</v>
      </c>
      <c r="J2866" s="2">
        <v>250</v>
      </c>
      <c r="K2866" s="3">
        <f t="shared" si="44"/>
        <v>10000</v>
      </c>
      <c r="L2866" s="3">
        <v>6000</v>
      </c>
    </row>
    <row r="2867" spans="1:12" x14ac:dyDescent="0.25">
      <c r="A2867" t="s">
        <v>27</v>
      </c>
      <c r="B2867">
        <v>1185732</v>
      </c>
      <c r="C2867" s="1">
        <v>44322</v>
      </c>
      <c r="D2867" t="s">
        <v>29</v>
      </c>
      <c r="E2867" t="s">
        <v>91</v>
      </c>
      <c r="F2867" t="s">
        <v>92</v>
      </c>
      <c r="G2867" t="s">
        <v>18</v>
      </c>
      <c r="H2867" t="s">
        <v>37</v>
      </c>
      <c r="I2867" s="3">
        <v>40</v>
      </c>
      <c r="J2867" s="2">
        <v>200</v>
      </c>
      <c r="K2867" s="3">
        <f t="shared" si="44"/>
        <v>8000</v>
      </c>
      <c r="L2867" s="3">
        <v>4800</v>
      </c>
    </row>
    <row r="2868" spans="1:12" x14ac:dyDescent="0.25">
      <c r="A2868" t="s">
        <v>27</v>
      </c>
      <c r="B2868">
        <v>1185732</v>
      </c>
      <c r="C2868" s="1">
        <v>44322</v>
      </c>
      <c r="D2868" t="s">
        <v>29</v>
      </c>
      <c r="E2868" t="s">
        <v>91</v>
      </c>
      <c r="F2868" t="s">
        <v>92</v>
      </c>
      <c r="G2868" t="s">
        <v>18</v>
      </c>
      <c r="H2868" t="s">
        <v>16</v>
      </c>
      <c r="I2868" s="3">
        <v>54.999999999999993</v>
      </c>
      <c r="J2868" s="2">
        <v>350</v>
      </c>
      <c r="K2868" s="3">
        <f t="shared" si="44"/>
        <v>19249.999999999996</v>
      </c>
      <c r="L2868" s="3">
        <v>11549.999999999998</v>
      </c>
    </row>
    <row r="2869" spans="1:12" x14ac:dyDescent="0.25">
      <c r="A2869" t="s">
        <v>19</v>
      </c>
      <c r="B2869">
        <v>1185732</v>
      </c>
      <c r="C2869" s="1">
        <v>44322</v>
      </c>
      <c r="D2869" t="s">
        <v>29</v>
      </c>
      <c r="E2869" t="s">
        <v>48</v>
      </c>
      <c r="F2869" t="s">
        <v>49</v>
      </c>
      <c r="G2869" t="s">
        <v>18</v>
      </c>
      <c r="H2869" t="s">
        <v>35</v>
      </c>
      <c r="I2869" s="3">
        <v>40</v>
      </c>
      <c r="J2869" s="2">
        <v>200</v>
      </c>
      <c r="K2869" s="3">
        <f t="shared" si="44"/>
        <v>8000</v>
      </c>
      <c r="L2869" s="3">
        <v>4800</v>
      </c>
    </row>
    <row r="2870" spans="1:12" x14ac:dyDescent="0.25">
      <c r="A2870" t="s">
        <v>19</v>
      </c>
      <c r="B2870">
        <v>1185732</v>
      </c>
      <c r="C2870" s="1">
        <v>44322</v>
      </c>
      <c r="D2870" t="s">
        <v>29</v>
      </c>
      <c r="E2870" t="s">
        <v>48</v>
      </c>
      <c r="F2870" t="s">
        <v>49</v>
      </c>
      <c r="G2870" t="s">
        <v>18</v>
      </c>
      <c r="H2870" t="s">
        <v>37</v>
      </c>
      <c r="I2870" s="3">
        <v>40</v>
      </c>
      <c r="J2870" s="2">
        <v>150</v>
      </c>
      <c r="K2870" s="3">
        <f t="shared" si="44"/>
        <v>6000</v>
      </c>
      <c r="L2870" s="3">
        <v>3600</v>
      </c>
    </row>
    <row r="2871" spans="1:12" x14ac:dyDescent="0.25">
      <c r="A2871" t="s">
        <v>19</v>
      </c>
      <c r="B2871">
        <v>1185732</v>
      </c>
      <c r="C2871" s="1">
        <v>44322</v>
      </c>
      <c r="D2871" t="s">
        <v>29</v>
      </c>
      <c r="E2871" t="s">
        <v>48</v>
      </c>
      <c r="F2871" t="s">
        <v>49</v>
      </c>
      <c r="G2871" t="s">
        <v>18</v>
      </c>
      <c r="H2871" t="s">
        <v>16</v>
      </c>
      <c r="I2871" s="3">
        <v>54.999999999999993</v>
      </c>
      <c r="J2871" s="2">
        <v>300</v>
      </c>
      <c r="K2871" s="3">
        <f t="shared" si="44"/>
        <v>16499.999999999996</v>
      </c>
      <c r="L2871" s="3">
        <v>9899.9999999999982</v>
      </c>
    </row>
    <row r="2872" spans="1:12" x14ac:dyDescent="0.25">
      <c r="A2872" t="s">
        <v>26</v>
      </c>
      <c r="B2872">
        <v>1197831</v>
      </c>
      <c r="C2872" s="1">
        <v>44322</v>
      </c>
      <c r="D2872" t="s">
        <v>52</v>
      </c>
      <c r="E2872" t="s">
        <v>97</v>
      </c>
      <c r="F2872" t="s">
        <v>98</v>
      </c>
      <c r="G2872" t="s">
        <v>15</v>
      </c>
      <c r="H2872" t="s">
        <v>37</v>
      </c>
      <c r="I2872" s="3">
        <v>40</v>
      </c>
      <c r="J2872" s="2">
        <v>375</v>
      </c>
      <c r="K2872" s="3">
        <f t="shared" si="44"/>
        <v>15000</v>
      </c>
      <c r="L2872" s="3">
        <v>6750</v>
      </c>
    </row>
    <row r="2873" spans="1:12" x14ac:dyDescent="0.25">
      <c r="A2873" t="s">
        <v>27</v>
      </c>
      <c r="B2873">
        <v>1189833</v>
      </c>
      <c r="C2873" s="1">
        <v>44322</v>
      </c>
      <c r="D2873" t="s">
        <v>12</v>
      </c>
      <c r="E2873" t="s">
        <v>13</v>
      </c>
      <c r="F2873" t="s">
        <v>28</v>
      </c>
      <c r="G2873" t="s">
        <v>15</v>
      </c>
      <c r="H2873" t="s">
        <v>16</v>
      </c>
      <c r="I2873" s="3">
        <v>46</v>
      </c>
      <c r="J2873" s="2">
        <v>208</v>
      </c>
      <c r="K2873" s="3">
        <f t="shared" si="44"/>
        <v>9568</v>
      </c>
      <c r="L2873" s="3">
        <v>7367.3600000000006</v>
      </c>
    </row>
    <row r="2874" spans="1:12" x14ac:dyDescent="0.25">
      <c r="A2874" t="s">
        <v>27</v>
      </c>
      <c r="B2874">
        <v>1189833</v>
      </c>
      <c r="C2874" s="1">
        <v>44322</v>
      </c>
      <c r="D2874" t="s">
        <v>12</v>
      </c>
      <c r="E2874" t="s">
        <v>13</v>
      </c>
      <c r="F2874" t="s">
        <v>28</v>
      </c>
      <c r="G2874" t="s">
        <v>41</v>
      </c>
      <c r="H2874" t="s">
        <v>16</v>
      </c>
      <c r="I2874" s="3">
        <v>61</v>
      </c>
      <c r="J2874" s="2">
        <v>189</v>
      </c>
      <c r="K2874" s="3">
        <f t="shared" si="44"/>
        <v>11529</v>
      </c>
      <c r="L2874" s="3">
        <v>7493.85</v>
      </c>
    </row>
    <row r="2875" spans="1:12" x14ac:dyDescent="0.25">
      <c r="A2875" t="s">
        <v>19</v>
      </c>
      <c r="B2875">
        <v>1185732</v>
      </c>
      <c r="C2875" s="1">
        <v>44322</v>
      </c>
      <c r="D2875" t="s">
        <v>29</v>
      </c>
      <c r="E2875" t="s">
        <v>48</v>
      </c>
      <c r="F2875" t="s">
        <v>49</v>
      </c>
      <c r="G2875" t="s">
        <v>15</v>
      </c>
      <c r="H2875" t="s">
        <v>17</v>
      </c>
      <c r="I2875" s="3">
        <v>32</v>
      </c>
      <c r="J2875" s="2">
        <v>58</v>
      </c>
      <c r="K2875" s="3">
        <f t="shared" si="44"/>
        <v>1856</v>
      </c>
      <c r="L2875" s="3">
        <v>1169.28</v>
      </c>
    </row>
    <row r="2876" spans="1:12" x14ac:dyDescent="0.25">
      <c r="A2876" t="s">
        <v>19</v>
      </c>
      <c r="B2876">
        <v>1185732</v>
      </c>
      <c r="C2876" s="1">
        <v>44322</v>
      </c>
      <c r="D2876" t="s">
        <v>29</v>
      </c>
      <c r="E2876" t="s">
        <v>48</v>
      </c>
      <c r="F2876" t="s">
        <v>49</v>
      </c>
      <c r="G2876" t="s">
        <v>15</v>
      </c>
      <c r="H2876" t="s">
        <v>22</v>
      </c>
      <c r="I2876" s="3">
        <v>40</v>
      </c>
      <c r="J2876" s="2">
        <v>54</v>
      </c>
      <c r="K2876" s="3">
        <f t="shared" si="44"/>
        <v>2160</v>
      </c>
      <c r="L2876" s="3">
        <v>1360.8</v>
      </c>
    </row>
    <row r="2877" spans="1:12" x14ac:dyDescent="0.25">
      <c r="A2877" t="s">
        <v>19</v>
      </c>
      <c r="B2877">
        <v>1185732</v>
      </c>
      <c r="C2877" s="1">
        <v>44322</v>
      </c>
      <c r="D2877" t="s">
        <v>29</v>
      </c>
      <c r="E2877" t="s">
        <v>48</v>
      </c>
      <c r="F2877" t="s">
        <v>49</v>
      </c>
      <c r="G2877" t="s">
        <v>41</v>
      </c>
      <c r="H2877" t="s">
        <v>22</v>
      </c>
      <c r="I2877" s="3">
        <v>49</v>
      </c>
      <c r="J2877" s="2">
        <v>46</v>
      </c>
      <c r="K2877" s="3">
        <f t="shared" si="44"/>
        <v>2254</v>
      </c>
      <c r="L2877" s="3">
        <v>1352.4</v>
      </c>
    </row>
    <row r="2878" spans="1:12" x14ac:dyDescent="0.25">
      <c r="A2878" t="s">
        <v>27</v>
      </c>
      <c r="B2878">
        <v>1185732</v>
      </c>
      <c r="C2878" s="1">
        <v>44322</v>
      </c>
      <c r="D2878" t="s">
        <v>29</v>
      </c>
      <c r="E2878" t="s">
        <v>91</v>
      </c>
      <c r="F2878" t="s">
        <v>92</v>
      </c>
      <c r="G2878" t="s">
        <v>41</v>
      </c>
      <c r="H2878" t="s">
        <v>22</v>
      </c>
      <c r="I2878" s="3">
        <v>47</v>
      </c>
      <c r="J2878" s="2">
        <v>68</v>
      </c>
      <c r="K2878" s="3">
        <f t="shared" si="44"/>
        <v>3196</v>
      </c>
      <c r="L2878" s="3">
        <v>1885.64</v>
      </c>
    </row>
    <row r="2879" spans="1:12" x14ac:dyDescent="0.25">
      <c r="A2879" t="s">
        <v>19</v>
      </c>
      <c r="B2879">
        <v>1185732</v>
      </c>
      <c r="C2879" s="1">
        <v>44322</v>
      </c>
      <c r="D2879" t="s">
        <v>29</v>
      </c>
      <c r="E2879" t="s">
        <v>48</v>
      </c>
      <c r="F2879" t="s">
        <v>49</v>
      </c>
      <c r="G2879" t="s">
        <v>15</v>
      </c>
      <c r="H2879" t="s">
        <v>38</v>
      </c>
      <c r="I2879" s="3">
        <v>39</v>
      </c>
      <c r="J2879" s="2">
        <v>150</v>
      </c>
      <c r="K2879" s="3">
        <f t="shared" si="44"/>
        <v>5850</v>
      </c>
      <c r="L2879" s="3">
        <v>3451.5</v>
      </c>
    </row>
    <row r="2880" spans="1:12" x14ac:dyDescent="0.25">
      <c r="A2880" t="s">
        <v>19</v>
      </c>
      <c r="B2880">
        <v>1185732</v>
      </c>
      <c r="C2880" s="1">
        <v>44322</v>
      </c>
      <c r="D2880" t="s">
        <v>29</v>
      </c>
      <c r="E2880" t="s">
        <v>48</v>
      </c>
      <c r="F2880" t="s">
        <v>49</v>
      </c>
      <c r="G2880" t="s">
        <v>15</v>
      </c>
      <c r="H2880" t="s">
        <v>35</v>
      </c>
      <c r="I2880" s="3">
        <v>32</v>
      </c>
      <c r="J2880" s="2">
        <v>60</v>
      </c>
      <c r="K2880" s="3">
        <f t="shared" si="44"/>
        <v>1920</v>
      </c>
      <c r="L2880" s="3">
        <v>1113.5999999999999</v>
      </c>
    </row>
    <row r="2881" spans="1:12" x14ac:dyDescent="0.25">
      <c r="A2881" t="s">
        <v>19</v>
      </c>
      <c r="B2881">
        <v>1185732</v>
      </c>
      <c r="C2881" s="1">
        <v>44322</v>
      </c>
      <c r="D2881" t="s">
        <v>29</v>
      </c>
      <c r="E2881" t="s">
        <v>48</v>
      </c>
      <c r="F2881" t="s">
        <v>49</v>
      </c>
      <c r="G2881" t="s">
        <v>15</v>
      </c>
      <c r="H2881" t="s">
        <v>16</v>
      </c>
      <c r="I2881" s="3">
        <v>36</v>
      </c>
      <c r="J2881" s="2">
        <v>93</v>
      </c>
      <c r="K2881" s="3">
        <f t="shared" si="44"/>
        <v>3348</v>
      </c>
      <c r="L2881" s="3">
        <v>1874.8799999999999</v>
      </c>
    </row>
    <row r="2882" spans="1:12" x14ac:dyDescent="0.25">
      <c r="A2882" t="s">
        <v>19</v>
      </c>
      <c r="B2882">
        <v>1185732</v>
      </c>
      <c r="C2882" s="1">
        <v>44322</v>
      </c>
      <c r="D2882" t="s">
        <v>29</v>
      </c>
      <c r="E2882" t="s">
        <v>48</v>
      </c>
      <c r="F2882" t="s">
        <v>49</v>
      </c>
      <c r="G2882" t="s">
        <v>41</v>
      </c>
      <c r="H2882" t="s">
        <v>17</v>
      </c>
      <c r="I2882" s="3">
        <v>43</v>
      </c>
      <c r="J2882" s="2">
        <v>49</v>
      </c>
      <c r="K2882" s="3">
        <f t="shared" si="44"/>
        <v>2107</v>
      </c>
      <c r="L2882" s="3">
        <v>1158.8500000000001</v>
      </c>
    </row>
    <row r="2883" spans="1:12" x14ac:dyDescent="0.25">
      <c r="A2883" t="s">
        <v>19</v>
      </c>
      <c r="B2883">
        <v>1185732</v>
      </c>
      <c r="C2883" s="1">
        <v>44322</v>
      </c>
      <c r="D2883" t="s">
        <v>29</v>
      </c>
      <c r="E2883" t="s">
        <v>48</v>
      </c>
      <c r="F2883" t="s">
        <v>49</v>
      </c>
      <c r="G2883" t="s">
        <v>15</v>
      </c>
      <c r="H2883" t="s">
        <v>37</v>
      </c>
      <c r="I2883" s="3">
        <v>27</v>
      </c>
      <c r="J2883" s="2">
        <v>51</v>
      </c>
      <c r="K2883" s="3">
        <f t="shared" ref="K2883:K2946" si="45">I2883*J2883</f>
        <v>1377</v>
      </c>
      <c r="L2883" s="3">
        <v>743.57999999999993</v>
      </c>
    </row>
    <row r="2884" spans="1:12" x14ac:dyDescent="0.25">
      <c r="A2884" t="s">
        <v>27</v>
      </c>
      <c r="B2884">
        <v>1185732</v>
      </c>
      <c r="C2884" s="1">
        <v>44322</v>
      </c>
      <c r="D2884" t="s">
        <v>29</v>
      </c>
      <c r="E2884" t="s">
        <v>91</v>
      </c>
      <c r="F2884" t="s">
        <v>92</v>
      </c>
      <c r="G2884" t="s">
        <v>41</v>
      </c>
      <c r="H2884" t="s">
        <v>38</v>
      </c>
      <c r="I2884" s="3">
        <v>48</v>
      </c>
      <c r="J2884" s="2">
        <v>130</v>
      </c>
      <c r="K2884" s="3">
        <f t="shared" si="45"/>
        <v>6240</v>
      </c>
      <c r="L2884" s="3">
        <v>3307.2000000000003</v>
      </c>
    </row>
    <row r="2885" spans="1:12" x14ac:dyDescent="0.25">
      <c r="A2885" t="s">
        <v>27</v>
      </c>
      <c r="B2885">
        <v>1185732</v>
      </c>
      <c r="C2885" s="1">
        <v>44322</v>
      </c>
      <c r="D2885" t="s">
        <v>29</v>
      </c>
      <c r="E2885" t="s">
        <v>91</v>
      </c>
      <c r="F2885" t="s">
        <v>92</v>
      </c>
      <c r="G2885" t="s">
        <v>41</v>
      </c>
      <c r="H2885" t="s">
        <v>17</v>
      </c>
      <c r="I2885" s="3">
        <v>41</v>
      </c>
      <c r="J2885" s="2">
        <v>68</v>
      </c>
      <c r="K2885" s="3">
        <f t="shared" si="45"/>
        <v>2788</v>
      </c>
      <c r="L2885" s="3">
        <v>1394</v>
      </c>
    </row>
    <row r="2886" spans="1:12" x14ac:dyDescent="0.25">
      <c r="A2886" t="s">
        <v>27</v>
      </c>
      <c r="B2886">
        <v>1185732</v>
      </c>
      <c r="C2886" s="1">
        <v>44322</v>
      </c>
      <c r="D2886" t="s">
        <v>29</v>
      </c>
      <c r="E2886" t="s">
        <v>91</v>
      </c>
      <c r="F2886" t="s">
        <v>92</v>
      </c>
      <c r="G2886" t="s">
        <v>41</v>
      </c>
      <c r="H2886" t="s">
        <v>35</v>
      </c>
      <c r="I2886" s="3">
        <v>38</v>
      </c>
      <c r="J2886" s="2">
        <v>75</v>
      </c>
      <c r="K2886" s="3">
        <f t="shared" si="45"/>
        <v>2850</v>
      </c>
      <c r="L2886" s="3">
        <v>1425</v>
      </c>
    </row>
    <row r="2887" spans="1:12" x14ac:dyDescent="0.25">
      <c r="A2887" t="s">
        <v>27</v>
      </c>
      <c r="B2887">
        <v>1185732</v>
      </c>
      <c r="C2887" s="1">
        <v>44322</v>
      </c>
      <c r="D2887" t="s">
        <v>29</v>
      </c>
      <c r="E2887" t="s">
        <v>91</v>
      </c>
      <c r="F2887" t="s">
        <v>92</v>
      </c>
      <c r="G2887" t="s">
        <v>41</v>
      </c>
      <c r="H2887" t="s">
        <v>37</v>
      </c>
      <c r="I2887" s="3">
        <v>38</v>
      </c>
      <c r="J2887" s="2">
        <v>56</v>
      </c>
      <c r="K2887" s="3">
        <f t="shared" si="45"/>
        <v>2128</v>
      </c>
      <c r="L2887" s="3">
        <v>1064</v>
      </c>
    </row>
    <row r="2888" spans="1:12" x14ac:dyDescent="0.25">
      <c r="A2888" t="s">
        <v>19</v>
      </c>
      <c r="B2888">
        <v>1185732</v>
      </c>
      <c r="C2888" s="1">
        <v>44322</v>
      </c>
      <c r="D2888" t="s">
        <v>29</v>
      </c>
      <c r="E2888" t="s">
        <v>48</v>
      </c>
      <c r="F2888" t="s">
        <v>49</v>
      </c>
      <c r="G2888" t="s">
        <v>41</v>
      </c>
      <c r="H2888" t="s">
        <v>38</v>
      </c>
      <c r="I2888" s="3">
        <v>49</v>
      </c>
      <c r="J2888" s="2">
        <v>122</v>
      </c>
      <c r="K2888" s="3">
        <f t="shared" si="45"/>
        <v>5978</v>
      </c>
      <c r="L2888" s="3">
        <v>2989</v>
      </c>
    </row>
    <row r="2889" spans="1:12" x14ac:dyDescent="0.25">
      <c r="A2889" t="s">
        <v>27</v>
      </c>
      <c r="B2889">
        <v>1185732</v>
      </c>
      <c r="C2889" s="1">
        <v>44322</v>
      </c>
      <c r="D2889" t="s">
        <v>29</v>
      </c>
      <c r="E2889" t="s">
        <v>91</v>
      </c>
      <c r="F2889" t="s">
        <v>92</v>
      </c>
      <c r="G2889" t="s">
        <v>41</v>
      </c>
      <c r="H2889" t="s">
        <v>16</v>
      </c>
      <c r="I2889" s="3">
        <v>51</v>
      </c>
      <c r="J2889" s="2">
        <v>102</v>
      </c>
      <c r="K2889" s="3">
        <f t="shared" si="45"/>
        <v>5202</v>
      </c>
      <c r="L2889" s="3">
        <v>2496.96</v>
      </c>
    </row>
    <row r="2890" spans="1:12" x14ac:dyDescent="0.25">
      <c r="A2890" t="s">
        <v>19</v>
      </c>
      <c r="B2890">
        <v>1185732</v>
      </c>
      <c r="C2890" s="1">
        <v>44322</v>
      </c>
      <c r="D2890" t="s">
        <v>29</v>
      </c>
      <c r="E2890" t="s">
        <v>48</v>
      </c>
      <c r="F2890" t="s">
        <v>49</v>
      </c>
      <c r="G2890" t="s">
        <v>41</v>
      </c>
      <c r="H2890" t="s">
        <v>37</v>
      </c>
      <c r="I2890" s="3">
        <v>39</v>
      </c>
      <c r="J2890" s="2">
        <v>44</v>
      </c>
      <c r="K2890" s="3">
        <f t="shared" si="45"/>
        <v>1716</v>
      </c>
      <c r="L2890" s="3">
        <v>823.68</v>
      </c>
    </row>
    <row r="2891" spans="1:12" x14ac:dyDescent="0.25">
      <c r="A2891" t="s">
        <v>19</v>
      </c>
      <c r="B2891">
        <v>1185732</v>
      </c>
      <c r="C2891" s="1">
        <v>44322</v>
      </c>
      <c r="D2891" t="s">
        <v>29</v>
      </c>
      <c r="E2891" t="s">
        <v>48</v>
      </c>
      <c r="F2891" t="s">
        <v>49</v>
      </c>
      <c r="G2891" t="s">
        <v>41</v>
      </c>
      <c r="H2891" t="s">
        <v>16</v>
      </c>
      <c r="I2891" s="3">
        <v>52</v>
      </c>
      <c r="J2891" s="2">
        <v>81</v>
      </c>
      <c r="K2891" s="3">
        <f t="shared" si="45"/>
        <v>4212</v>
      </c>
      <c r="L2891" s="3">
        <v>1979.6399999999999</v>
      </c>
    </row>
    <row r="2892" spans="1:12" x14ac:dyDescent="0.25">
      <c r="A2892" t="s">
        <v>19</v>
      </c>
      <c r="B2892">
        <v>1185732</v>
      </c>
      <c r="C2892" s="1">
        <v>44322</v>
      </c>
      <c r="D2892" t="s">
        <v>29</v>
      </c>
      <c r="E2892" t="s">
        <v>48</v>
      </c>
      <c r="F2892" t="s">
        <v>49</v>
      </c>
      <c r="G2892" t="s">
        <v>41</v>
      </c>
      <c r="H2892" t="s">
        <v>35</v>
      </c>
      <c r="I2892" s="3">
        <v>39</v>
      </c>
      <c r="J2892" s="2">
        <v>60</v>
      </c>
      <c r="K2892" s="3">
        <f t="shared" si="45"/>
        <v>2340</v>
      </c>
      <c r="L2892" s="3">
        <v>1076.3999999999999</v>
      </c>
    </row>
    <row r="2893" spans="1:12" x14ac:dyDescent="0.25">
      <c r="A2893" t="s">
        <v>26</v>
      </c>
      <c r="B2893">
        <v>1197831</v>
      </c>
      <c r="C2893" s="1">
        <v>44322</v>
      </c>
      <c r="D2893" t="s">
        <v>52</v>
      </c>
      <c r="E2893" t="s">
        <v>97</v>
      </c>
      <c r="F2893" t="s">
        <v>98</v>
      </c>
      <c r="G2893" t="s">
        <v>15</v>
      </c>
      <c r="H2893" t="s">
        <v>37</v>
      </c>
      <c r="I2893" s="3">
        <v>30</v>
      </c>
      <c r="J2893" s="2">
        <v>131</v>
      </c>
      <c r="K2893" s="3">
        <f t="shared" si="45"/>
        <v>3930</v>
      </c>
      <c r="L2893" s="3">
        <v>1571.9999999999995</v>
      </c>
    </row>
    <row r="2894" spans="1:12" x14ac:dyDescent="0.25">
      <c r="A2894" t="s">
        <v>26</v>
      </c>
      <c r="B2894">
        <v>1197831</v>
      </c>
      <c r="C2894" s="1">
        <v>44322</v>
      </c>
      <c r="D2894" t="s">
        <v>52</v>
      </c>
      <c r="E2894" t="s">
        <v>97</v>
      </c>
      <c r="F2894" t="s">
        <v>98</v>
      </c>
      <c r="G2894" t="s">
        <v>41</v>
      </c>
      <c r="H2894" t="s">
        <v>37</v>
      </c>
      <c r="I2894" s="3">
        <v>38</v>
      </c>
      <c r="J2894" s="2">
        <v>98</v>
      </c>
      <c r="K2894" s="3">
        <f t="shared" si="45"/>
        <v>3724</v>
      </c>
      <c r="L2894" s="3">
        <v>1117.1999999999998</v>
      </c>
    </row>
    <row r="2895" spans="1:12" x14ac:dyDescent="0.25">
      <c r="A2895" t="s">
        <v>19</v>
      </c>
      <c r="B2895">
        <v>1185732</v>
      </c>
      <c r="C2895" s="1">
        <v>44323</v>
      </c>
      <c r="D2895" t="s">
        <v>57</v>
      </c>
      <c r="E2895" t="s">
        <v>78</v>
      </c>
      <c r="F2895" t="s">
        <v>79</v>
      </c>
      <c r="G2895" t="s">
        <v>18</v>
      </c>
      <c r="H2895" t="s">
        <v>38</v>
      </c>
      <c r="I2895" s="3">
        <v>60</v>
      </c>
      <c r="J2895" s="2">
        <v>520</v>
      </c>
      <c r="K2895" s="3">
        <f t="shared" si="45"/>
        <v>31200</v>
      </c>
      <c r="L2895" s="3">
        <v>21840</v>
      </c>
    </row>
    <row r="2896" spans="1:12" x14ac:dyDescent="0.25">
      <c r="A2896" t="s">
        <v>19</v>
      </c>
      <c r="B2896">
        <v>1185732</v>
      </c>
      <c r="C2896" s="1">
        <v>44323</v>
      </c>
      <c r="D2896" t="s">
        <v>57</v>
      </c>
      <c r="E2896" t="s">
        <v>78</v>
      </c>
      <c r="F2896" t="s">
        <v>79</v>
      </c>
      <c r="G2896" t="s">
        <v>18</v>
      </c>
      <c r="H2896" t="s">
        <v>35</v>
      </c>
      <c r="I2896" s="3">
        <v>35</v>
      </c>
      <c r="J2896" s="2">
        <v>200</v>
      </c>
      <c r="K2896" s="3">
        <f t="shared" si="45"/>
        <v>7000</v>
      </c>
      <c r="L2896" s="3">
        <v>4900</v>
      </c>
    </row>
    <row r="2897" spans="1:12" x14ac:dyDescent="0.25">
      <c r="A2897" t="s">
        <v>19</v>
      </c>
      <c r="B2897">
        <v>1185732</v>
      </c>
      <c r="C2897" s="1">
        <v>44323</v>
      </c>
      <c r="D2897" t="s">
        <v>57</v>
      </c>
      <c r="E2897" t="s">
        <v>78</v>
      </c>
      <c r="F2897" t="s">
        <v>79</v>
      </c>
      <c r="G2897" t="s">
        <v>18</v>
      </c>
      <c r="H2897" t="s">
        <v>37</v>
      </c>
      <c r="I2897" s="3">
        <v>35</v>
      </c>
      <c r="J2897" s="2">
        <v>125</v>
      </c>
      <c r="K2897" s="3">
        <f t="shared" si="45"/>
        <v>4375</v>
      </c>
      <c r="L2897" s="3">
        <v>3062.5</v>
      </c>
    </row>
    <row r="2898" spans="1:12" x14ac:dyDescent="0.25">
      <c r="A2898" t="s">
        <v>19</v>
      </c>
      <c r="B2898">
        <v>1185732</v>
      </c>
      <c r="C2898" s="1">
        <v>44323</v>
      </c>
      <c r="D2898" t="s">
        <v>57</v>
      </c>
      <c r="E2898" t="s">
        <v>78</v>
      </c>
      <c r="F2898" t="s">
        <v>79</v>
      </c>
      <c r="G2898" t="s">
        <v>18</v>
      </c>
      <c r="H2898" t="s">
        <v>17</v>
      </c>
      <c r="I2898" s="3">
        <v>40</v>
      </c>
      <c r="J2898" s="2">
        <v>225</v>
      </c>
      <c r="K2898" s="3">
        <f t="shared" si="45"/>
        <v>9000</v>
      </c>
      <c r="L2898" s="3">
        <v>5850</v>
      </c>
    </row>
    <row r="2899" spans="1:12" x14ac:dyDescent="0.25">
      <c r="A2899" t="s">
        <v>27</v>
      </c>
      <c r="B2899">
        <v>1189833</v>
      </c>
      <c r="C2899" s="1">
        <v>44323</v>
      </c>
      <c r="D2899" t="s">
        <v>12</v>
      </c>
      <c r="E2899" t="s">
        <v>13</v>
      </c>
      <c r="F2899" t="s">
        <v>28</v>
      </c>
      <c r="G2899" t="s">
        <v>15</v>
      </c>
      <c r="H2899" t="s">
        <v>38</v>
      </c>
      <c r="I2899" s="3">
        <v>50</v>
      </c>
      <c r="J2899" s="2">
        <v>850</v>
      </c>
      <c r="K2899" s="3">
        <f t="shared" si="45"/>
        <v>42500</v>
      </c>
      <c r="L2899" s="3">
        <v>25500</v>
      </c>
    </row>
    <row r="2900" spans="1:12" x14ac:dyDescent="0.25">
      <c r="A2900" t="s">
        <v>26</v>
      </c>
      <c r="B2900">
        <v>1197831</v>
      </c>
      <c r="C2900" s="1">
        <v>44323</v>
      </c>
      <c r="D2900" t="s">
        <v>52</v>
      </c>
      <c r="E2900" t="s">
        <v>97</v>
      </c>
      <c r="F2900" t="s">
        <v>98</v>
      </c>
      <c r="G2900" t="s">
        <v>15</v>
      </c>
      <c r="H2900" t="s">
        <v>22</v>
      </c>
      <c r="I2900" s="3">
        <v>35</v>
      </c>
      <c r="J2900" s="2">
        <v>350</v>
      </c>
      <c r="K2900" s="3">
        <f t="shared" si="45"/>
        <v>12250</v>
      </c>
      <c r="L2900" s="3">
        <v>7350</v>
      </c>
    </row>
    <row r="2901" spans="1:12" x14ac:dyDescent="0.25">
      <c r="A2901" t="s">
        <v>19</v>
      </c>
      <c r="B2901">
        <v>1185732</v>
      </c>
      <c r="C2901" s="1">
        <v>44323</v>
      </c>
      <c r="D2901" t="s">
        <v>57</v>
      </c>
      <c r="E2901" t="s">
        <v>78</v>
      </c>
      <c r="F2901" t="s">
        <v>79</v>
      </c>
      <c r="G2901" t="s">
        <v>18</v>
      </c>
      <c r="H2901" t="s">
        <v>16</v>
      </c>
      <c r="I2901" s="3">
        <v>49.999999999999993</v>
      </c>
      <c r="J2901" s="2">
        <v>275</v>
      </c>
      <c r="K2901" s="3">
        <f t="shared" si="45"/>
        <v>13749.999999999998</v>
      </c>
      <c r="L2901" s="3">
        <v>8249.9999999999964</v>
      </c>
    </row>
    <row r="2902" spans="1:12" x14ac:dyDescent="0.25">
      <c r="A2902" t="s">
        <v>19</v>
      </c>
      <c r="B2902">
        <v>1185732</v>
      </c>
      <c r="C2902" s="1">
        <v>44323</v>
      </c>
      <c r="D2902" t="s">
        <v>57</v>
      </c>
      <c r="E2902" t="s">
        <v>78</v>
      </c>
      <c r="F2902" t="s">
        <v>79</v>
      </c>
      <c r="G2902" t="s">
        <v>18</v>
      </c>
      <c r="H2902" t="s">
        <v>22</v>
      </c>
      <c r="I2902" s="3">
        <v>44.999999999999993</v>
      </c>
      <c r="J2902" s="2">
        <v>150</v>
      </c>
      <c r="K2902" s="3">
        <f t="shared" si="45"/>
        <v>6749.9999999999991</v>
      </c>
      <c r="L2902" s="3">
        <v>3374.9999999999991</v>
      </c>
    </row>
    <row r="2903" spans="1:12" x14ac:dyDescent="0.25">
      <c r="A2903" t="s">
        <v>19</v>
      </c>
      <c r="B2903">
        <v>1185732</v>
      </c>
      <c r="C2903" s="1">
        <v>44323</v>
      </c>
      <c r="D2903" t="s">
        <v>57</v>
      </c>
      <c r="E2903" t="s">
        <v>78</v>
      </c>
      <c r="F2903" t="s">
        <v>79</v>
      </c>
      <c r="G2903" t="s">
        <v>41</v>
      </c>
      <c r="H2903" t="s">
        <v>35</v>
      </c>
      <c r="I2903" s="3">
        <v>33</v>
      </c>
      <c r="J2903" s="2">
        <v>54</v>
      </c>
      <c r="K2903" s="3">
        <f t="shared" si="45"/>
        <v>1782</v>
      </c>
      <c r="L2903" s="3">
        <v>1051.3800000000001</v>
      </c>
    </row>
    <row r="2904" spans="1:12" x14ac:dyDescent="0.25">
      <c r="A2904" t="s">
        <v>19</v>
      </c>
      <c r="B2904">
        <v>1185732</v>
      </c>
      <c r="C2904" s="1">
        <v>44323</v>
      </c>
      <c r="D2904" t="s">
        <v>57</v>
      </c>
      <c r="E2904" t="s">
        <v>78</v>
      </c>
      <c r="F2904" t="s">
        <v>79</v>
      </c>
      <c r="G2904" t="s">
        <v>41</v>
      </c>
      <c r="H2904" t="s">
        <v>38</v>
      </c>
      <c r="I2904" s="3">
        <v>57</v>
      </c>
      <c r="J2904" s="2">
        <v>146</v>
      </c>
      <c r="K2904" s="3">
        <f t="shared" si="45"/>
        <v>8322</v>
      </c>
      <c r="L2904" s="3">
        <v>4826.76</v>
      </c>
    </row>
    <row r="2905" spans="1:12" x14ac:dyDescent="0.25">
      <c r="A2905" t="s">
        <v>26</v>
      </c>
      <c r="B2905">
        <v>1197831</v>
      </c>
      <c r="C2905" s="1">
        <v>44323</v>
      </c>
      <c r="D2905" t="s">
        <v>52</v>
      </c>
      <c r="E2905" t="s">
        <v>97</v>
      </c>
      <c r="F2905" t="s">
        <v>98</v>
      </c>
      <c r="G2905" t="s">
        <v>15</v>
      </c>
      <c r="H2905" t="s">
        <v>22</v>
      </c>
      <c r="I2905" s="3">
        <v>28</v>
      </c>
      <c r="J2905" s="2">
        <v>109</v>
      </c>
      <c r="K2905" s="3">
        <f t="shared" si="45"/>
        <v>3052</v>
      </c>
      <c r="L2905" s="3">
        <v>1709.1200000000001</v>
      </c>
    </row>
    <row r="2906" spans="1:12" x14ac:dyDescent="0.25">
      <c r="A2906" t="s">
        <v>19</v>
      </c>
      <c r="B2906">
        <v>1185732</v>
      </c>
      <c r="C2906" s="1">
        <v>44323</v>
      </c>
      <c r="D2906" t="s">
        <v>57</v>
      </c>
      <c r="E2906" t="s">
        <v>78</v>
      </c>
      <c r="F2906" t="s">
        <v>79</v>
      </c>
      <c r="G2906" t="s">
        <v>41</v>
      </c>
      <c r="H2906" t="s">
        <v>37</v>
      </c>
      <c r="I2906" s="3">
        <v>33</v>
      </c>
      <c r="J2906" s="2">
        <v>34</v>
      </c>
      <c r="K2906" s="3">
        <f t="shared" si="45"/>
        <v>1122</v>
      </c>
      <c r="L2906" s="3">
        <v>628.31999999999994</v>
      </c>
    </row>
    <row r="2907" spans="1:12" x14ac:dyDescent="0.25">
      <c r="A2907" t="s">
        <v>19</v>
      </c>
      <c r="B2907">
        <v>1185732</v>
      </c>
      <c r="C2907" s="1">
        <v>44323</v>
      </c>
      <c r="D2907" t="s">
        <v>57</v>
      </c>
      <c r="E2907" t="s">
        <v>78</v>
      </c>
      <c r="F2907" t="s">
        <v>79</v>
      </c>
      <c r="G2907" t="s">
        <v>41</v>
      </c>
      <c r="H2907" t="s">
        <v>17</v>
      </c>
      <c r="I2907" s="3">
        <v>37</v>
      </c>
      <c r="J2907" s="2">
        <v>63</v>
      </c>
      <c r="K2907" s="3">
        <f t="shared" si="45"/>
        <v>2331</v>
      </c>
      <c r="L2907" s="3">
        <v>1258.74</v>
      </c>
    </row>
    <row r="2908" spans="1:12" x14ac:dyDescent="0.25">
      <c r="A2908" t="s">
        <v>27</v>
      </c>
      <c r="B2908">
        <v>1189833</v>
      </c>
      <c r="C2908" s="1">
        <v>44323</v>
      </c>
      <c r="D2908" t="s">
        <v>12</v>
      </c>
      <c r="E2908" t="s">
        <v>13</v>
      </c>
      <c r="F2908" t="s">
        <v>28</v>
      </c>
      <c r="G2908" t="s">
        <v>15</v>
      </c>
      <c r="H2908" t="s">
        <v>38</v>
      </c>
      <c r="I2908" s="3">
        <v>38</v>
      </c>
      <c r="J2908" s="2">
        <v>289</v>
      </c>
      <c r="K2908" s="3">
        <f t="shared" si="45"/>
        <v>10982</v>
      </c>
      <c r="L2908" s="3">
        <v>5930.28</v>
      </c>
    </row>
    <row r="2909" spans="1:12" x14ac:dyDescent="0.25">
      <c r="A2909" t="s">
        <v>26</v>
      </c>
      <c r="B2909">
        <v>1197831</v>
      </c>
      <c r="C2909" s="1">
        <v>44323</v>
      </c>
      <c r="D2909" t="s">
        <v>52</v>
      </c>
      <c r="E2909" t="s">
        <v>97</v>
      </c>
      <c r="F2909" t="s">
        <v>98</v>
      </c>
      <c r="G2909" t="s">
        <v>41</v>
      </c>
      <c r="H2909" t="s">
        <v>22</v>
      </c>
      <c r="I2909" s="3">
        <v>32</v>
      </c>
      <c r="J2909" s="2">
        <v>88</v>
      </c>
      <c r="K2909" s="3">
        <f t="shared" si="45"/>
        <v>2816</v>
      </c>
      <c r="L2909" s="3">
        <v>1379.84</v>
      </c>
    </row>
    <row r="2910" spans="1:12" x14ac:dyDescent="0.25">
      <c r="A2910" t="s">
        <v>19</v>
      </c>
      <c r="B2910">
        <v>1185732</v>
      </c>
      <c r="C2910" s="1">
        <v>44323</v>
      </c>
      <c r="D2910" t="s">
        <v>57</v>
      </c>
      <c r="E2910" t="s">
        <v>78</v>
      </c>
      <c r="F2910" t="s">
        <v>79</v>
      </c>
      <c r="G2910" t="s">
        <v>41</v>
      </c>
      <c r="H2910" t="s">
        <v>16</v>
      </c>
      <c r="I2910" s="3">
        <v>46</v>
      </c>
      <c r="J2910" s="2">
        <v>69</v>
      </c>
      <c r="K2910" s="3">
        <f t="shared" si="45"/>
        <v>3174</v>
      </c>
      <c r="L2910" s="3">
        <v>1523.52</v>
      </c>
    </row>
    <row r="2911" spans="1:12" x14ac:dyDescent="0.25">
      <c r="A2911" t="s">
        <v>27</v>
      </c>
      <c r="B2911">
        <v>1189833</v>
      </c>
      <c r="C2911" s="1">
        <v>44323</v>
      </c>
      <c r="D2911" t="s">
        <v>12</v>
      </c>
      <c r="E2911" t="s">
        <v>13</v>
      </c>
      <c r="F2911" t="s">
        <v>28</v>
      </c>
      <c r="G2911" t="s">
        <v>41</v>
      </c>
      <c r="H2911" t="s">
        <v>38</v>
      </c>
      <c r="I2911" s="3">
        <v>47</v>
      </c>
      <c r="J2911" s="2">
        <v>213</v>
      </c>
      <c r="K2911" s="3">
        <f t="shared" si="45"/>
        <v>10011</v>
      </c>
      <c r="L2911" s="3">
        <v>4605.0599999999995</v>
      </c>
    </row>
    <row r="2912" spans="1:12" x14ac:dyDescent="0.25">
      <c r="A2912" t="s">
        <v>19</v>
      </c>
      <c r="B2912">
        <v>1185732</v>
      </c>
      <c r="C2912" s="1">
        <v>44323</v>
      </c>
      <c r="D2912" t="s">
        <v>57</v>
      </c>
      <c r="E2912" t="s">
        <v>78</v>
      </c>
      <c r="F2912" t="s">
        <v>79</v>
      </c>
      <c r="G2912" t="s">
        <v>41</v>
      </c>
      <c r="H2912" t="s">
        <v>22</v>
      </c>
      <c r="I2912" s="3">
        <v>43</v>
      </c>
      <c r="J2912" s="2">
        <v>42</v>
      </c>
      <c r="K2912" s="3">
        <f t="shared" si="45"/>
        <v>1806</v>
      </c>
      <c r="L2912" s="3">
        <v>632.09999999999991</v>
      </c>
    </row>
    <row r="2913" spans="1:12" x14ac:dyDescent="0.25">
      <c r="A2913" t="s">
        <v>27</v>
      </c>
      <c r="B2913">
        <v>1189833</v>
      </c>
      <c r="C2913" s="1">
        <v>44324</v>
      </c>
      <c r="D2913" t="s">
        <v>12</v>
      </c>
      <c r="E2913" t="s">
        <v>13</v>
      </c>
      <c r="F2913" t="s">
        <v>28</v>
      </c>
      <c r="G2913" t="s">
        <v>15</v>
      </c>
      <c r="H2913" t="s">
        <v>17</v>
      </c>
      <c r="I2913" s="3">
        <v>55.000000000000007</v>
      </c>
      <c r="J2913" s="2">
        <v>850</v>
      </c>
      <c r="K2913" s="3">
        <f t="shared" si="45"/>
        <v>46750.000000000007</v>
      </c>
      <c r="L2913" s="3">
        <v>35062.500000000007</v>
      </c>
    </row>
    <row r="2914" spans="1:12" x14ac:dyDescent="0.25">
      <c r="A2914" t="s">
        <v>11</v>
      </c>
      <c r="B2914">
        <v>1185732</v>
      </c>
      <c r="C2914" s="1">
        <v>44324</v>
      </c>
      <c r="D2914" t="s">
        <v>29</v>
      </c>
      <c r="E2914" t="s">
        <v>60</v>
      </c>
      <c r="F2914" t="s">
        <v>61</v>
      </c>
      <c r="G2914" t="s">
        <v>18</v>
      </c>
      <c r="H2914" t="s">
        <v>35</v>
      </c>
      <c r="I2914" s="3">
        <v>50</v>
      </c>
      <c r="J2914" s="2">
        <v>550</v>
      </c>
      <c r="K2914" s="3">
        <f t="shared" si="45"/>
        <v>27500</v>
      </c>
      <c r="L2914" s="3">
        <v>20625</v>
      </c>
    </row>
    <row r="2915" spans="1:12" x14ac:dyDescent="0.25">
      <c r="A2915" t="s">
        <v>11</v>
      </c>
      <c r="B2915">
        <v>1185732</v>
      </c>
      <c r="C2915" s="1">
        <v>44324</v>
      </c>
      <c r="D2915" t="s">
        <v>29</v>
      </c>
      <c r="E2915" t="s">
        <v>60</v>
      </c>
      <c r="F2915" t="s">
        <v>61</v>
      </c>
      <c r="G2915" t="s">
        <v>18</v>
      </c>
      <c r="H2915" t="s">
        <v>37</v>
      </c>
      <c r="I2915" s="3">
        <v>50</v>
      </c>
      <c r="J2915" s="2">
        <v>500</v>
      </c>
      <c r="K2915" s="3">
        <f t="shared" si="45"/>
        <v>25000</v>
      </c>
      <c r="L2915" s="3">
        <v>17500</v>
      </c>
    </row>
    <row r="2916" spans="1:12" x14ac:dyDescent="0.25">
      <c r="A2916" t="s">
        <v>11</v>
      </c>
      <c r="B2916">
        <v>1185732</v>
      </c>
      <c r="C2916" s="1">
        <v>44324</v>
      </c>
      <c r="D2916" t="s">
        <v>29</v>
      </c>
      <c r="E2916" t="s">
        <v>60</v>
      </c>
      <c r="F2916" t="s">
        <v>61</v>
      </c>
      <c r="G2916" t="s">
        <v>18</v>
      </c>
      <c r="H2916" t="s">
        <v>17</v>
      </c>
      <c r="I2916" s="3">
        <v>55.000000000000007</v>
      </c>
      <c r="J2916" s="2">
        <v>575</v>
      </c>
      <c r="K2916" s="3">
        <f t="shared" si="45"/>
        <v>31625.000000000004</v>
      </c>
      <c r="L2916" s="3">
        <v>20556.250000000007</v>
      </c>
    </row>
    <row r="2917" spans="1:12" x14ac:dyDescent="0.25">
      <c r="A2917" t="s">
        <v>11</v>
      </c>
      <c r="B2917">
        <v>1185732</v>
      </c>
      <c r="C2917" s="1">
        <v>44324</v>
      </c>
      <c r="D2917" t="s">
        <v>29</v>
      </c>
      <c r="E2917" t="s">
        <v>60</v>
      </c>
      <c r="F2917" t="s">
        <v>61</v>
      </c>
      <c r="G2917" t="s">
        <v>18</v>
      </c>
      <c r="H2917" t="s">
        <v>22</v>
      </c>
      <c r="I2917" s="3">
        <v>60</v>
      </c>
      <c r="J2917" s="2">
        <v>525</v>
      </c>
      <c r="K2917" s="3">
        <f t="shared" si="45"/>
        <v>31500</v>
      </c>
      <c r="L2917" s="3">
        <v>20475</v>
      </c>
    </row>
    <row r="2918" spans="1:12" x14ac:dyDescent="0.25">
      <c r="A2918" t="s">
        <v>11</v>
      </c>
      <c r="B2918">
        <v>1185732</v>
      </c>
      <c r="C2918" s="1">
        <v>44324</v>
      </c>
      <c r="D2918" t="s">
        <v>29</v>
      </c>
      <c r="E2918" t="s">
        <v>60</v>
      </c>
      <c r="F2918" t="s">
        <v>61</v>
      </c>
      <c r="G2918" t="s">
        <v>18</v>
      </c>
      <c r="H2918" t="s">
        <v>38</v>
      </c>
      <c r="I2918" s="3">
        <v>55.000000000000007</v>
      </c>
      <c r="J2918" s="2">
        <v>870</v>
      </c>
      <c r="K2918" s="3">
        <f t="shared" si="45"/>
        <v>47850.000000000007</v>
      </c>
      <c r="L2918" s="3">
        <v>26317.5</v>
      </c>
    </row>
    <row r="2919" spans="1:12" x14ac:dyDescent="0.25">
      <c r="A2919" t="s">
        <v>11</v>
      </c>
      <c r="B2919">
        <v>1185732</v>
      </c>
      <c r="C2919" s="1">
        <v>44324</v>
      </c>
      <c r="D2919" t="s">
        <v>29</v>
      </c>
      <c r="E2919" t="s">
        <v>60</v>
      </c>
      <c r="F2919" t="s">
        <v>61</v>
      </c>
      <c r="G2919" t="s">
        <v>18</v>
      </c>
      <c r="H2919" t="s">
        <v>16</v>
      </c>
      <c r="I2919" s="3">
        <v>65</v>
      </c>
      <c r="J2919" s="2">
        <v>625</v>
      </c>
      <c r="K2919" s="3">
        <f t="shared" si="45"/>
        <v>40625</v>
      </c>
      <c r="L2919" s="3">
        <v>20312.5</v>
      </c>
    </row>
    <row r="2920" spans="1:12" x14ac:dyDescent="0.25">
      <c r="A2920" t="s">
        <v>26</v>
      </c>
      <c r="B2920">
        <v>1197831</v>
      </c>
      <c r="C2920" s="1">
        <v>44324</v>
      </c>
      <c r="D2920" t="s">
        <v>52</v>
      </c>
      <c r="E2920" t="s">
        <v>97</v>
      </c>
      <c r="F2920" t="s">
        <v>98</v>
      </c>
      <c r="G2920" t="s">
        <v>15</v>
      </c>
      <c r="H2920" t="s">
        <v>16</v>
      </c>
      <c r="I2920" s="3">
        <v>45</v>
      </c>
      <c r="J2920" s="2">
        <v>525</v>
      </c>
      <c r="K2920" s="3">
        <f t="shared" si="45"/>
        <v>23625</v>
      </c>
      <c r="L2920" s="3">
        <v>9449.9999999999964</v>
      </c>
    </row>
    <row r="2921" spans="1:12" x14ac:dyDescent="0.25">
      <c r="A2921" t="s">
        <v>27</v>
      </c>
      <c r="B2921">
        <v>1189833</v>
      </c>
      <c r="C2921" s="1">
        <v>44324</v>
      </c>
      <c r="D2921" t="s">
        <v>12</v>
      </c>
      <c r="E2921" t="s">
        <v>13</v>
      </c>
      <c r="F2921" t="s">
        <v>28</v>
      </c>
      <c r="G2921" t="s">
        <v>15</v>
      </c>
      <c r="H2921" t="s">
        <v>17</v>
      </c>
      <c r="I2921" s="3">
        <v>39</v>
      </c>
      <c r="J2921" s="2">
        <v>264</v>
      </c>
      <c r="K2921" s="3">
        <f t="shared" si="45"/>
        <v>10296</v>
      </c>
      <c r="L2921" s="3">
        <v>7516.08</v>
      </c>
    </row>
    <row r="2922" spans="1:12" x14ac:dyDescent="0.25">
      <c r="A2922" t="s">
        <v>11</v>
      </c>
      <c r="B2922">
        <v>1185732</v>
      </c>
      <c r="C2922" s="1">
        <v>44324</v>
      </c>
      <c r="D2922" t="s">
        <v>29</v>
      </c>
      <c r="E2922" t="s">
        <v>60</v>
      </c>
      <c r="F2922" t="s">
        <v>61</v>
      </c>
      <c r="G2922" t="s">
        <v>41</v>
      </c>
      <c r="H2922" t="s">
        <v>35</v>
      </c>
      <c r="I2922" s="3">
        <v>49</v>
      </c>
      <c r="J2922" s="2">
        <v>160</v>
      </c>
      <c r="K2922" s="3">
        <f t="shared" si="45"/>
        <v>7840</v>
      </c>
      <c r="L2922" s="3">
        <v>5017.6000000000004</v>
      </c>
    </row>
    <row r="2923" spans="1:12" x14ac:dyDescent="0.25">
      <c r="A2923" t="s">
        <v>27</v>
      </c>
      <c r="B2923">
        <v>1189833</v>
      </c>
      <c r="C2923" s="1">
        <v>44324</v>
      </c>
      <c r="D2923" t="s">
        <v>12</v>
      </c>
      <c r="E2923" t="s">
        <v>13</v>
      </c>
      <c r="F2923" t="s">
        <v>28</v>
      </c>
      <c r="G2923" t="s">
        <v>41</v>
      </c>
      <c r="H2923" t="s">
        <v>17</v>
      </c>
      <c r="I2923" s="3">
        <v>50</v>
      </c>
      <c r="J2923" s="2">
        <v>247</v>
      </c>
      <c r="K2923" s="3">
        <f t="shared" si="45"/>
        <v>12350</v>
      </c>
      <c r="L2923" s="3">
        <v>7780.5</v>
      </c>
    </row>
    <row r="2924" spans="1:12" x14ac:dyDescent="0.25">
      <c r="A2924" t="s">
        <v>11</v>
      </c>
      <c r="B2924">
        <v>1185732</v>
      </c>
      <c r="C2924" s="1">
        <v>44324</v>
      </c>
      <c r="D2924" t="s">
        <v>29</v>
      </c>
      <c r="E2924" t="s">
        <v>60</v>
      </c>
      <c r="F2924" t="s">
        <v>61</v>
      </c>
      <c r="G2924" t="s">
        <v>41</v>
      </c>
      <c r="H2924" t="s">
        <v>37</v>
      </c>
      <c r="I2924" s="3">
        <v>47</v>
      </c>
      <c r="J2924" s="2">
        <v>130</v>
      </c>
      <c r="K2924" s="3">
        <f t="shared" si="45"/>
        <v>6110</v>
      </c>
      <c r="L2924" s="3">
        <v>3666</v>
      </c>
    </row>
    <row r="2925" spans="1:12" x14ac:dyDescent="0.25">
      <c r="A2925" t="s">
        <v>11</v>
      </c>
      <c r="B2925">
        <v>1185732</v>
      </c>
      <c r="C2925" s="1">
        <v>44324</v>
      </c>
      <c r="D2925" t="s">
        <v>29</v>
      </c>
      <c r="E2925" t="s">
        <v>60</v>
      </c>
      <c r="F2925" t="s">
        <v>61</v>
      </c>
      <c r="G2925" t="s">
        <v>41</v>
      </c>
      <c r="H2925" t="s">
        <v>17</v>
      </c>
      <c r="I2925" s="3">
        <v>53</v>
      </c>
      <c r="J2925" s="2">
        <v>161</v>
      </c>
      <c r="K2925" s="3">
        <f t="shared" si="45"/>
        <v>8533</v>
      </c>
      <c r="L2925" s="3">
        <v>4522.49</v>
      </c>
    </row>
    <row r="2926" spans="1:12" x14ac:dyDescent="0.25">
      <c r="A2926" t="s">
        <v>11</v>
      </c>
      <c r="B2926">
        <v>1185732</v>
      </c>
      <c r="C2926" s="1">
        <v>44324</v>
      </c>
      <c r="D2926" t="s">
        <v>29</v>
      </c>
      <c r="E2926" t="s">
        <v>60</v>
      </c>
      <c r="F2926" t="s">
        <v>61</v>
      </c>
      <c r="G2926" t="s">
        <v>41</v>
      </c>
      <c r="H2926" t="s">
        <v>22</v>
      </c>
      <c r="I2926" s="3">
        <v>56</v>
      </c>
      <c r="J2926" s="2">
        <v>137</v>
      </c>
      <c r="K2926" s="3">
        <f t="shared" si="45"/>
        <v>7672</v>
      </c>
      <c r="L2926" s="3">
        <v>3912.7200000000003</v>
      </c>
    </row>
    <row r="2927" spans="1:12" x14ac:dyDescent="0.25">
      <c r="A2927" t="s">
        <v>11</v>
      </c>
      <c r="B2927">
        <v>1185732</v>
      </c>
      <c r="C2927" s="1">
        <v>44324</v>
      </c>
      <c r="D2927" t="s">
        <v>29</v>
      </c>
      <c r="E2927" t="s">
        <v>60</v>
      </c>
      <c r="F2927" t="s">
        <v>61</v>
      </c>
      <c r="G2927" t="s">
        <v>41</v>
      </c>
      <c r="H2927" t="s">
        <v>38</v>
      </c>
      <c r="I2927" s="3">
        <v>50</v>
      </c>
      <c r="J2927" s="2">
        <v>261</v>
      </c>
      <c r="K2927" s="3">
        <f t="shared" si="45"/>
        <v>13050</v>
      </c>
      <c r="L2927" s="3">
        <v>5220</v>
      </c>
    </row>
    <row r="2928" spans="1:12" x14ac:dyDescent="0.25">
      <c r="A2928" t="s">
        <v>11</v>
      </c>
      <c r="B2928">
        <v>1185732</v>
      </c>
      <c r="C2928" s="1">
        <v>44324</v>
      </c>
      <c r="D2928" t="s">
        <v>29</v>
      </c>
      <c r="E2928" t="s">
        <v>60</v>
      </c>
      <c r="F2928" t="s">
        <v>61</v>
      </c>
      <c r="G2928" t="s">
        <v>41</v>
      </c>
      <c r="H2928" t="s">
        <v>16</v>
      </c>
      <c r="I2928" s="3">
        <v>59</v>
      </c>
      <c r="J2928" s="2">
        <v>169</v>
      </c>
      <c r="K2928" s="3">
        <f t="shared" si="45"/>
        <v>9971</v>
      </c>
      <c r="L2928" s="3">
        <v>3689.2699999999995</v>
      </c>
    </row>
    <row r="2929" spans="1:12" x14ac:dyDescent="0.25">
      <c r="A2929" t="s">
        <v>26</v>
      </c>
      <c r="B2929">
        <v>1197831</v>
      </c>
      <c r="C2929" s="1">
        <v>44324</v>
      </c>
      <c r="D2929" t="s">
        <v>52</v>
      </c>
      <c r="E2929" t="s">
        <v>97</v>
      </c>
      <c r="F2929" t="s">
        <v>98</v>
      </c>
      <c r="G2929" t="s">
        <v>15</v>
      </c>
      <c r="H2929" t="s">
        <v>16</v>
      </c>
      <c r="I2929" s="3">
        <v>29</v>
      </c>
      <c r="J2929" s="2">
        <v>179</v>
      </c>
      <c r="K2929" s="3">
        <f t="shared" si="45"/>
        <v>5191</v>
      </c>
      <c r="L2929" s="3">
        <v>1713.0299999999993</v>
      </c>
    </row>
    <row r="2930" spans="1:12" x14ac:dyDescent="0.25">
      <c r="A2930" t="s">
        <v>26</v>
      </c>
      <c r="B2930">
        <v>1197831</v>
      </c>
      <c r="C2930" s="1">
        <v>44324</v>
      </c>
      <c r="D2930" t="s">
        <v>52</v>
      </c>
      <c r="E2930" t="s">
        <v>97</v>
      </c>
      <c r="F2930" t="s">
        <v>98</v>
      </c>
      <c r="G2930" t="s">
        <v>41</v>
      </c>
      <c r="H2930" t="s">
        <v>16</v>
      </c>
      <c r="I2930" s="3">
        <v>43</v>
      </c>
      <c r="J2930" s="2">
        <v>131</v>
      </c>
      <c r="K2930" s="3">
        <f t="shared" si="45"/>
        <v>5633</v>
      </c>
      <c r="L2930" s="3">
        <v>1633.5699999999997</v>
      </c>
    </row>
    <row r="2931" spans="1:12" x14ac:dyDescent="0.25">
      <c r="A2931" t="s">
        <v>36</v>
      </c>
      <c r="B2931">
        <v>1185732</v>
      </c>
      <c r="C2931" s="1">
        <v>44325</v>
      </c>
      <c r="D2931" t="s">
        <v>57</v>
      </c>
      <c r="E2931" t="s">
        <v>110</v>
      </c>
      <c r="F2931" t="s">
        <v>111</v>
      </c>
      <c r="G2931" t="s">
        <v>41</v>
      </c>
      <c r="H2931" t="s">
        <v>22</v>
      </c>
      <c r="I2931" s="3">
        <v>49.999999999999993</v>
      </c>
      <c r="J2931" s="2">
        <v>450</v>
      </c>
      <c r="K2931" s="3">
        <f t="shared" si="45"/>
        <v>22499.999999999996</v>
      </c>
      <c r="L2931" s="3">
        <v>14625</v>
      </c>
    </row>
    <row r="2932" spans="1:12" x14ac:dyDescent="0.25">
      <c r="A2932" t="s">
        <v>36</v>
      </c>
      <c r="B2932">
        <v>1185732</v>
      </c>
      <c r="C2932" s="1">
        <v>44325</v>
      </c>
      <c r="D2932" t="s">
        <v>57</v>
      </c>
      <c r="E2932" t="s">
        <v>110</v>
      </c>
      <c r="F2932" t="s">
        <v>111</v>
      </c>
      <c r="G2932" t="s">
        <v>41</v>
      </c>
      <c r="H2932" t="s">
        <v>17</v>
      </c>
      <c r="I2932" s="3">
        <v>45</v>
      </c>
      <c r="J2932" s="2">
        <v>500</v>
      </c>
      <c r="K2932" s="3">
        <f t="shared" si="45"/>
        <v>22500</v>
      </c>
      <c r="L2932" s="3">
        <v>14625</v>
      </c>
    </row>
    <row r="2933" spans="1:12" x14ac:dyDescent="0.25">
      <c r="A2933" t="s">
        <v>27</v>
      </c>
      <c r="B2933">
        <v>1189833</v>
      </c>
      <c r="C2933" s="1">
        <v>44325</v>
      </c>
      <c r="D2933" t="s">
        <v>12</v>
      </c>
      <c r="E2933" t="s">
        <v>13</v>
      </c>
      <c r="F2933" t="s">
        <v>28</v>
      </c>
      <c r="G2933" t="s">
        <v>15</v>
      </c>
      <c r="H2933" t="s">
        <v>35</v>
      </c>
      <c r="I2933" s="3">
        <v>50</v>
      </c>
      <c r="J2933" s="2">
        <v>700</v>
      </c>
      <c r="K2933" s="3">
        <f t="shared" si="45"/>
        <v>35000</v>
      </c>
      <c r="L2933" s="3">
        <v>21000</v>
      </c>
    </row>
    <row r="2934" spans="1:12" x14ac:dyDescent="0.25">
      <c r="A2934" t="s">
        <v>36</v>
      </c>
      <c r="B2934">
        <v>1185732</v>
      </c>
      <c r="C2934" s="1">
        <v>44325</v>
      </c>
      <c r="D2934" t="s">
        <v>57</v>
      </c>
      <c r="E2934" t="s">
        <v>110</v>
      </c>
      <c r="F2934" t="s">
        <v>111</v>
      </c>
      <c r="G2934" t="s">
        <v>41</v>
      </c>
      <c r="H2934" t="s">
        <v>38</v>
      </c>
      <c r="I2934" s="3">
        <v>45</v>
      </c>
      <c r="J2934" s="2">
        <v>795</v>
      </c>
      <c r="K2934" s="3">
        <f t="shared" si="45"/>
        <v>35775</v>
      </c>
      <c r="L2934" s="3">
        <v>21465</v>
      </c>
    </row>
    <row r="2935" spans="1:12" x14ac:dyDescent="0.25">
      <c r="A2935" t="s">
        <v>36</v>
      </c>
      <c r="B2935">
        <v>1185732</v>
      </c>
      <c r="C2935" s="1">
        <v>44325</v>
      </c>
      <c r="D2935" t="s">
        <v>57</v>
      </c>
      <c r="E2935" t="s">
        <v>110</v>
      </c>
      <c r="F2935" t="s">
        <v>111</v>
      </c>
      <c r="G2935" t="s">
        <v>41</v>
      </c>
      <c r="H2935" t="s">
        <v>35</v>
      </c>
      <c r="I2935" s="3">
        <v>40</v>
      </c>
      <c r="J2935" s="2">
        <v>475</v>
      </c>
      <c r="K2935" s="3">
        <f t="shared" si="45"/>
        <v>19000</v>
      </c>
      <c r="L2935" s="3">
        <v>11400</v>
      </c>
    </row>
    <row r="2936" spans="1:12" x14ac:dyDescent="0.25">
      <c r="A2936" t="s">
        <v>36</v>
      </c>
      <c r="B2936">
        <v>1185732</v>
      </c>
      <c r="C2936" s="1">
        <v>44325</v>
      </c>
      <c r="D2936" t="s">
        <v>57</v>
      </c>
      <c r="E2936" t="s">
        <v>110</v>
      </c>
      <c r="F2936" t="s">
        <v>111</v>
      </c>
      <c r="G2936" t="s">
        <v>41</v>
      </c>
      <c r="H2936" t="s">
        <v>37</v>
      </c>
      <c r="I2936" s="3">
        <v>40</v>
      </c>
      <c r="J2936" s="2">
        <v>425</v>
      </c>
      <c r="K2936" s="3">
        <f t="shared" si="45"/>
        <v>17000</v>
      </c>
      <c r="L2936" s="3">
        <v>10200</v>
      </c>
    </row>
    <row r="2937" spans="1:12" x14ac:dyDescent="0.25">
      <c r="A2937" t="s">
        <v>26</v>
      </c>
      <c r="B2937">
        <v>1197831</v>
      </c>
      <c r="C2937" s="1">
        <v>44325</v>
      </c>
      <c r="D2937" t="s">
        <v>52</v>
      </c>
      <c r="E2937" t="s">
        <v>97</v>
      </c>
      <c r="F2937" t="s">
        <v>98</v>
      </c>
      <c r="G2937" t="s">
        <v>15</v>
      </c>
      <c r="H2937" t="s">
        <v>38</v>
      </c>
      <c r="I2937" s="3">
        <v>30.000000000000004</v>
      </c>
      <c r="J2937" s="2">
        <v>675</v>
      </c>
      <c r="K2937" s="3">
        <f t="shared" si="45"/>
        <v>20250.000000000004</v>
      </c>
      <c r="L2937" s="3">
        <v>11137.500000000004</v>
      </c>
    </row>
    <row r="2938" spans="1:12" x14ac:dyDescent="0.25">
      <c r="A2938" t="s">
        <v>36</v>
      </c>
      <c r="B2938">
        <v>1185732</v>
      </c>
      <c r="C2938" s="1">
        <v>44325</v>
      </c>
      <c r="D2938" t="s">
        <v>57</v>
      </c>
      <c r="E2938" t="s">
        <v>110</v>
      </c>
      <c r="F2938" t="s">
        <v>111</v>
      </c>
      <c r="G2938" t="s">
        <v>41</v>
      </c>
      <c r="H2938" t="s">
        <v>16</v>
      </c>
      <c r="I2938" s="3">
        <v>54.999999999999993</v>
      </c>
      <c r="J2938" s="2">
        <v>550</v>
      </c>
      <c r="K2938" s="3">
        <f t="shared" si="45"/>
        <v>30249.999999999996</v>
      </c>
      <c r="L2938" s="3">
        <v>15124.999999999996</v>
      </c>
    </row>
    <row r="2939" spans="1:12" x14ac:dyDescent="0.25">
      <c r="A2939" t="s">
        <v>27</v>
      </c>
      <c r="B2939">
        <v>1189833</v>
      </c>
      <c r="C2939" s="1">
        <v>44325</v>
      </c>
      <c r="D2939" t="s">
        <v>12</v>
      </c>
      <c r="E2939" t="s">
        <v>13</v>
      </c>
      <c r="F2939" t="s">
        <v>28</v>
      </c>
      <c r="G2939" t="s">
        <v>15</v>
      </c>
      <c r="H2939" t="s">
        <v>35</v>
      </c>
      <c r="I2939" s="3">
        <v>38</v>
      </c>
      <c r="J2939" s="2">
        <v>210</v>
      </c>
      <c r="K2939" s="3">
        <f t="shared" si="45"/>
        <v>7980</v>
      </c>
      <c r="L2939" s="3">
        <v>4389</v>
      </c>
    </row>
    <row r="2940" spans="1:12" x14ac:dyDescent="0.25">
      <c r="A2940" t="s">
        <v>36</v>
      </c>
      <c r="B2940">
        <v>1185732</v>
      </c>
      <c r="C2940" s="1">
        <v>44325</v>
      </c>
      <c r="D2940" t="s">
        <v>57</v>
      </c>
      <c r="E2940" t="s">
        <v>110</v>
      </c>
      <c r="F2940" t="s">
        <v>111</v>
      </c>
      <c r="G2940" t="s">
        <v>41</v>
      </c>
      <c r="H2940" t="s">
        <v>22</v>
      </c>
      <c r="I2940" s="3">
        <v>49</v>
      </c>
      <c r="J2940" s="2">
        <v>126</v>
      </c>
      <c r="K2940" s="3">
        <f t="shared" si="45"/>
        <v>6174</v>
      </c>
      <c r="L2940" s="3">
        <v>3333.96</v>
      </c>
    </row>
    <row r="2941" spans="1:12" x14ac:dyDescent="0.25">
      <c r="A2941" t="s">
        <v>26</v>
      </c>
      <c r="B2941">
        <v>1197831</v>
      </c>
      <c r="C2941" s="1">
        <v>44325</v>
      </c>
      <c r="D2941" t="s">
        <v>52</v>
      </c>
      <c r="E2941" t="s">
        <v>97</v>
      </c>
      <c r="F2941" t="s">
        <v>98</v>
      </c>
      <c r="G2941" t="s">
        <v>15</v>
      </c>
      <c r="H2941" t="s">
        <v>38</v>
      </c>
      <c r="I2941" s="3">
        <v>24</v>
      </c>
      <c r="J2941" s="2">
        <v>203</v>
      </c>
      <c r="K2941" s="3">
        <f t="shared" si="45"/>
        <v>4872</v>
      </c>
      <c r="L2941" s="3">
        <v>2533.44</v>
      </c>
    </row>
    <row r="2942" spans="1:12" x14ac:dyDescent="0.25">
      <c r="A2942" t="s">
        <v>36</v>
      </c>
      <c r="B2942">
        <v>1185732</v>
      </c>
      <c r="C2942" s="1">
        <v>44325</v>
      </c>
      <c r="D2942" t="s">
        <v>57</v>
      </c>
      <c r="E2942" t="s">
        <v>110</v>
      </c>
      <c r="F2942" t="s">
        <v>111</v>
      </c>
      <c r="G2942" t="s">
        <v>41</v>
      </c>
      <c r="H2942" t="s">
        <v>17</v>
      </c>
      <c r="I2942" s="3">
        <v>44</v>
      </c>
      <c r="J2942" s="2">
        <v>135</v>
      </c>
      <c r="K2942" s="3">
        <f t="shared" si="45"/>
        <v>5940</v>
      </c>
      <c r="L2942" s="3">
        <v>3029.4</v>
      </c>
    </row>
    <row r="2943" spans="1:12" x14ac:dyDescent="0.25">
      <c r="A2943" t="s">
        <v>27</v>
      </c>
      <c r="B2943">
        <v>1189833</v>
      </c>
      <c r="C2943" s="1">
        <v>44325</v>
      </c>
      <c r="D2943" t="s">
        <v>12</v>
      </c>
      <c r="E2943" t="s">
        <v>13</v>
      </c>
      <c r="F2943" t="s">
        <v>28</v>
      </c>
      <c r="G2943" t="s">
        <v>41</v>
      </c>
      <c r="H2943" t="s">
        <v>35</v>
      </c>
      <c r="I2943" s="3">
        <v>46</v>
      </c>
      <c r="J2943" s="2">
        <v>196</v>
      </c>
      <c r="K2943" s="3">
        <f t="shared" si="45"/>
        <v>9016</v>
      </c>
      <c r="L2943" s="3">
        <v>4508</v>
      </c>
    </row>
    <row r="2944" spans="1:12" x14ac:dyDescent="0.25">
      <c r="A2944" t="s">
        <v>36</v>
      </c>
      <c r="B2944">
        <v>1185732</v>
      </c>
      <c r="C2944" s="1">
        <v>44325</v>
      </c>
      <c r="D2944" t="s">
        <v>57</v>
      </c>
      <c r="E2944" t="s">
        <v>110</v>
      </c>
      <c r="F2944" t="s">
        <v>111</v>
      </c>
      <c r="G2944" t="s">
        <v>41</v>
      </c>
      <c r="H2944" t="s">
        <v>38</v>
      </c>
      <c r="I2944" s="3">
        <v>42</v>
      </c>
      <c r="J2944" s="2">
        <v>207</v>
      </c>
      <c r="K2944" s="3">
        <f t="shared" si="45"/>
        <v>8694</v>
      </c>
      <c r="L2944" s="3">
        <v>4347</v>
      </c>
    </row>
    <row r="2945" spans="1:12" x14ac:dyDescent="0.25">
      <c r="A2945" t="s">
        <v>36</v>
      </c>
      <c r="B2945">
        <v>1185732</v>
      </c>
      <c r="C2945" s="1">
        <v>44325</v>
      </c>
      <c r="D2945" t="s">
        <v>57</v>
      </c>
      <c r="E2945" t="s">
        <v>110</v>
      </c>
      <c r="F2945" t="s">
        <v>111</v>
      </c>
      <c r="G2945" t="s">
        <v>41</v>
      </c>
      <c r="H2945" t="s">
        <v>35</v>
      </c>
      <c r="I2945" s="3">
        <v>39</v>
      </c>
      <c r="J2945" s="2">
        <v>143</v>
      </c>
      <c r="K2945" s="3">
        <f t="shared" si="45"/>
        <v>5577</v>
      </c>
      <c r="L2945" s="3">
        <v>2732.73</v>
      </c>
    </row>
    <row r="2946" spans="1:12" x14ac:dyDescent="0.25">
      <c r="A2946" t="s">
        <v>36</v>
      </c>
      <c r="B2946">
        <v>1185732</v>
      </c>
      <c r="C2946" s="1">
        <v>44325</v>
      </c>
      <c r="D2946" t="s">
        <v>57</v>
      </c>
      <c r="E2946" t="s">
        <v>110</v>
      </c>
      <c r="F2946" t="s">
        <v>111</v>
      </c>
      <c r="G2946" t="s">
        <v>41</v>
      </c>
      <c r="H2946" t="s">
        <v>37</v>
      </c>
      <c r="I2946" s="3">
        <v>38</v>
      </c>
      <c r="J2946" s="2">
        <v>123</v>
      </c>
      <c r="K2946" s="3">
        <f t="shared" si="45"/>
        <v>4674</v>
      </c>
      <c r="L2946" s="3">
        <v>2103.2999999999997</v>
      </c>
    </row>
    <row r="2947" spans="1:12" x14ac:dyDescent="0.25">
      <c r="A2947" t="s">
        <v>26</v>
      </c>
      <c r="B2947">
        <v>1197831</v>
      </c>
      <c r="C2947" s="1">
        <v>44325</v>
      </c>
      <c r="D2947" t="s">
        <v>52</v>
      </c>
      <c r="E2947" t="s">
        <v>97</v>
      </c>
      <c r="F2947" t="s">
        <v>98</v>
      </c>
      <c r="G2947" t="s">
        <v>41</v>
      </c>
      <c r="H2947" t="s">
        <v>38</v>
      </c>
      <c r="I2947" s="3">
        <v>29</v>
      </c>
      <c r="J2947" s="2">
        <v>196</v>
      </c>
      <c r="K2947" s="3">
        <f t="shared" ref="K2947:K3010" si="46">I2947*J2947</f>
        <v>5684</v>
      </c>
      <c r="L2947" s="3">
        <v>2500.9600000000005</v>
      </c>
    </row>
    <row r="2948" spans="1:12" x14ac:dyDescent="0.25">
      <c r="A2948" t="s">
        <v>36</v>
      </c>
      <c r="B2948">
        <v>1185732</v>
      </c>
      <c r="C2948" s="1">
        <v>44325</v>
      </c>
      <c r="D2948" t="s">
        <v>57</v>
      </c>
      <c r="E2948" t="s">
        <v>110</v>
      </c>
      <c r="F2948" t="s">
        <v>111</v>
      </c>
      <c r="G2948" t="s">
        <v>41</v>
      </c>
      <c r="H2948" t="s">
        <v>16</v>
      </c>
      <c r="I2948" s="3">
        <v>53</v>
      </c>
      <c r="J2948" s="2">
        <v>143</v>
      </c>
      <c r="K2948" s="3">
        <f t="shared" si="46"/>
        <v>7579</v>
      </c>
      <c r="L2948" s="3">
        <v>2728.4399999999996</v>
      </c>
    </row>
    <row r="2949" spans="1:12" x14ac:dyDescent="0.25">
      <c r="A2949" t="s">
        <v>27</v>
      </c>
      <c r="B2949">
        <v>1185732</v>
      </c>
      <c r="C2949" s="1">
        <v>44326</v>
      </c>
      <c r="D2949" t="s">
        <v>12</v>
      </c>
      <c r="E2949" t="s">
        <v>62</v>
      </c>
      <c r="F2949" t="s">
        <v>63</v>
      </c>
      <c r="G2949" t="s">
        <v>18</v>
      </c>
      <c r="H2949" t="s">
        <v>16</v>
      </c>
      <c r="I2949" s="3">
        <v>55.000000000000007</v>
      </c>
      <c r="J2949" s="2">
        <v>600</v>
      </c>
      <c r="K2949" s="3">
        <f t="shared" si="46"/>
        <v>33000.000000000007</v>
      </c>
      <c r="L2949" s="3">
        <v>24750.000000000007</v>
      </c>
    </row>
    <row r="2950" spans="1:12" x14ac:dyDescent="0.25">
      <c r="A2950" t="s">
        <v>27</v>
      </c>
      <c r="B2950">
        <v>1185732</v>
      </c>
      <c r="C2950" s="1">
        <v>44326</v>
      </c>
      <c r="D2950" t="s">
        <v>12</v>
      </c>
      <c r="E2950" t="s">
        <v>62</v>
      </c>
      <c r="F2950" t="s">
        <v>63</v>
      </c>
      <c r="G2950" t="s">
        <v>18</v>
      </c>
      <c r="H2950" t="s">
        <v>17</v>
      </c>
      <c r="I2950" s="3">
        <v>45.000000000000007</v>
      </c>
      <c r="J2950" s="2">
        <v>525</v>
      </c>
      <c r="K2950" s="3">
        <f t="shared" si="46"/>
        <v>23625.000000000004</v>
      </c>
      <c r="L2950" s="3">
        <v>16537.500000000004</v>
      </c>
    </row>
    <row r="2951" spans="1:12" x14ac:dyDescent="0.25">
      <c r="A2951" t="s">
        <v>27</v>
      </c>
      <c r="B2951">
        <v>1185732</v>
      </c>
      <c r="C2951" s="1">
        <v>44326</v>
      </c>
      <c r="D2951" t="s">
        <v>12</v>
      </c>
      <c r="E2951" t="s">
        <v>62</v>
      </c>
      <c r="F2951" t="s">
        <v>63</v>
      </c>
      <c r="G2951" t="s">
        <v>18</v>
      </c>
      <c r="H2951" t="s">
        <v>22</v>
      </c>
      <c r="I2951" s="3">
        <v>50</v>
      </c>
      <c r="J2951" s="2">
        <v>475</v>
      </c>
      <c r="K2951" s="3">
        <f t="shared" si="46"/>
        <v>23750</v>
      </c>
      <c r="L2951" s="3">
        <v>16625</v>
      </c>
    </row>
    <row r="2952" spans="1:12" x14ac:dyDescent="0.25">
      <c r="A2952" t="s">
        <v>26</v>
      </c>
      <c r="B2952">
        <v>1185732</v>
      </c>
      <c r="C2952" s="1">
        <v>44326</v>
      </c>
      <c r="D2952" t="s">
        <v>57</v>
      </c>
      <c r="E2952" t="s">
        <v>76</v>
      </c>
      <c r="F2952" t="s">
        <v>77</v>
      </c>
      <c r="G2952" t="s">
        <v>18</v>
      </c>
      <c r="H2952" t="s">
        <v>17</v>
      </c>
      <c r="I2952" s="3">
        <v>45</v>
      </c>
      <c r="J2952" s="2">
        <v>200</v>
      </c>
      <c r="K2952" s="3">
        <f t="shared" si="46"/>
        <v>9000</v>
      </c>
      <c r="L2952" s="3">
        <v>6300</v>
      </c>
    </row>
    <row r="2953" spans="1:12" x14ac:dyDescent="0.25">
      <c r="A2953" t="s">
        <v>26</v>
      </c>
      <c r="B2953">
        <v>1185732</v>
      </c>
      <c r="C2953" s="1">
        <v>44326</v>
      </c>
      <c r="D2953" t="s">
        <v>57</v>
      </c>
      <c r="E2953" t="s">
        <v>76</v>
      </c>
      <c r="F2953" t="s">
        <v>77</v>
      </c>
      <c r="G2953" t="s">
        <v>18</v>
      </c>
      <c r="H2953" t="s">
        <v>35</v>
      </c>
      <c r="I2953" s="3">
        <v>40</v>
      </c>
      <c r="J2953" s="2">
        <v>175</v>
      </c>
      <c r="K2953" s="3">
        <f t="shared" si="46"/>
        <v>7000</v>
      </c>
      <c r="L2953" s="3">
        <v>4900</v>
      </c>
    </row>
    <row r="2954" spans="1:12" x14ac:dyDescent="0.25">
      <c r="A2954" t="s">
        <v>26</v>
      </c>
      <c r="B2954">
        <v>1185732</v>
      </c>
      <c r="C2954" s="1">
        <v>44326</v>
      </c>
      <c r="D2954" t="s">
        <v>57</v>
      </c>
      <c r="E2954" t="s">
        <v>76</v>
      </c>
      <c r="F2954" t="s">
        <v>77</v>
      </c>
      <c r="G2954" t="s">
        <v>18</v>
      </c>
      <c r="H2954" t="s">
        <v>37</v>
      </c>
      <c r="I2954" s="3">
        <v>40</v>
      </c>
      <c r="J2954" s="2">
        <v>100</v>
      </c>
      <c r="K2954" s="3">
        <f t="shared" si="46"/>
        <v>4000</v>
      </c>
      <c r="L2954" s="3">
        <v>2800</v>
      </c>
    </row>
    <row r="2955" spans="1:12" x14ac:dyDescent="0.25">
      <c r="A2955" t="s">
        <v>26</v>
      </c>
      <c r="B2955">
        <v>1185732</v>
      </c>
      <c r="C2955" s="1">
        <v>44326</v>
      </c>
      <c r="D2955" t="s">
        <v>57</v>
      </c>
      <c r="E2955" t="s">
        <v>76</v>
      </c>
      <c r="F2955" t="s">
        <v>77</v>
      </c>
      <c r="G2955" t="s">
        <v>18</v>
      </c>
      <c r="H2955" t="s">
        <v>22</v>
      </c>
      <c r="I2955" s="3">
        <v>49.999999999999993</v>
      </c>
      <c r="J2955" s="2">
        <v>125</v>
      </c>
      <c r="K2955" s="3">
        <f t="shared" si="46"/>
        <v>6249.9999999999991</v>
      </c>
      <c r="L2955" s="3">
        <v>4062.5</v>
      </c>
    </row>
    <row r="2956" spans="1:12" x14ac:dyDescent="0.25">
      <c r="A2956" t="s">
        <v>27</v>
      </c>
      <c r="B2956">
        <v>1189833</v>
      </c>
      <c r="C2956" s="1">
        <v>44326</v>
      </c>
      <c r="D2956" t="s">
        <v>12</v>
      </c>
      <c r="E2956" t="s">
        <v>13</v>
      </c>
      <c r="F2956" t="s">
        <v>28</v>
      </c>
      <c r="G2956" t="s">
        <v>15</v>
      </c>
      <c r="H2956" t="s">
        <v>37</v>
      </c>
      <c r="I2956" s="3">
        <v>50</v>
      </c>
      <c r="J2956" s="2">
        <v>650</v>
      </c>
      <c r="K2956" s="3">
        <f t="shared" si="46"/>
        <v>32500</v>
      </c>
      <c r="L2956" s="3">
        <v>21125</v>
      </c>
    </row>
    <row r="2957" spans="1:12" x14ac:dyDescent="0.25">
      <c r="A2957" t="s">
        <v>27</v>
      </c>
      <c r="B2957">
        <v>1185732</v>
      </c>
      <c r="C2957" s="1">
        <v>44326</v>
      </c>
      <c r="D2957" t="s">
        <v>12</v>
      </c>
      <c r="E2957" t="s">
        <v>62</v>
      </c>
      <c r="F2957" t="s">
        <v>63</v>
      </c>
      <c r="G2957" t="s">
        <v>18</v>
      </c>
      <c r="H2957" t="s">
        <v>35</v>
      </c>
      <c r="I2957" s="3">
        <v>40</v>
      </c>
      <c r="J2957" s="2">
        <v>500</v>
      </c>
      <c r="K2957" s="3">
        <f t="shared" si="46"/>
        <v>20000</v>
      </c>
      <c r="L2957" s="3">
        <v>13000</v>
      </c>
    </row>
    <row r="2958" spans="1:12" x14ac:dyDescent="0.25">
      <c r="A2958" t="s">
        <v>27</v>
      </c>
      <c r="B2958">
        <v>1185732</v>
      </c>
      <c r="C2958" s="1">
        <v>44326</v>
      </c>
      <c r="D2958" t="s">
        <v>12</v>
      </c>
      <c r="E2958" t="s">
        <v>62</v>
      </c>
      <c r="F2958" t="s">
        <v>63</v>
      </c>
      <c r="G2958" t="s">
        <v>18</v>
      </c>
      <c r="H2958" t="s">
        <v>37</v>
      </c>
      <c r="I2958" s="3">
        <v>40</v>
      </c>
      <c r="J2958" s="2">
        <v>450</v>
      </c>
      <c r="K2958" s="3">
        <f t="shared" si="46"/>
        <v>18000</v>
      </c>
      <c r="L2958" s="3">
        <v>11700</v>
      </c>
    </row>
    <row r="2959" spans="1:12" x14ac:dyDescent="0.25">
      <c r="A2959" t="s">
        <v>26</v>
      </c>
      <c r="B2959">
        <v>1185732</v>
      </c>
      <c r="C2959" s="1">
        <v>44326</v>
      </c>
      <c r="D2959" t="s">
        <v>57</v>
      </c>
      <c r="E2959" t="s">
        <v>76</v>
      </c>
      <c r="F2959" t="s">
        <v>77</v>
      </c>
      <c r="G2959" t="s">
        <v>18</v>
      </c>
      <c r="H2959" t="s">
        <v>38</v>
      </c>
      <c r="I2959" s="3">
        <v>60</v>
      </c>
      <c r="J2959" s="2">
        <v>495</v>
      </c>
      <c r="K2959" s="3">
        <f t="shared" si="46"/>
        <v>29700</v>
      </c>
      <c r="L2959" s="3">
        <v>19305</v>
      </c>
    </row>
    <row r="2960" spans="1:12" x14ac:dyDescent="0.25">
      <c r="A2960" t="s">
        <v>36</v>
      </c>
      <c r="B2960">
        <v>1185732</v>
      </c>
      <c r="C2960" s="1">
        <v>44326</v>
      </c>
      <c r="D2960" t="s">
        <v>29</v>
      </c>
      <c r="E2960" t="s">
        <v>80</v>
      </c>
      <c r="F2960" t="s">
        <v>81</v>
      </c>
      <c r="G2960" t="s">
        <v>18</v>
      </c>
      <c r="H2960" t="s">
        <v>35</v>
      </c>
      <c r="I2960" s="3">
        <v>50</v>
      </c>
      <c r="J2960" s="2">
        <v>300</v>
      </c>
      <c r="K2960" s="3">
        <f t="shared" si="46"/>
        <v>15000</v>
      </c>
      <c r="L2960" s="3">
        <v>9750</v>
      </c>
    </row>
    <row r="2961" spans="1:12" x14ac:dyDescent="0.25">
      <c r="A2961" t="s">
        <v>36</v>
      </c>
      <c r="B2961">
        <v>1185732</v>
      </c>
      <c r="C2961" s="1">
        <v>44326</v>
      </c>
      <c r="D2961" t="s">
        <v>29</v>
      </c>
      <c r="E2961" t="s">
        <v>80</v>
      </c>
      <c r="F2961" t="s">
        <v>81</v>
      </c>
      <c r="G2961" t="s">
        <v>18</v>
      </c>
      <c r="H2961" t="s">
        <v>37</v>
      </c>
      <c r="I2961" s="3">
        <v>50</v>
      </c>
      <c r="J2961" s="2">
        <v>250</v>
      </c>
      <c r="K2961" s="3">
        <f t="shared" si="46"/>
        <v>12500</v>
      </c>
      <c r="L2961" s="3">
        <v>8125</v>
      </c>
    </row>
    <row r="2962" spans="1:12" x14ac:dyDescent="0.25">
      <c r="A2962" t="s">
        <v>36</v>
      </c>
      <c r="B2962">
        <v>1185732</v>
      </c>
      <c r="C2962" s="1">
        <v>44326</v>
      </c>
      <c r="D2962" t="s">
        <v>29</v>
      </c>
      <c r="E2962" t="s">
        <v>80</v>
      </c>
      <c r="F2962" t="s">
        <v>81</v>
      </c>
      <c r="G2962" t="s">
        <v>18</v>
      </c>
      <c r="H2962" t="s">
        <v>22</v>
      </c>
      <c r="I2962" s="3">
        <v>60</v>
      </c>
      <c r="J2962" s="2">
        <v>275</v>
      </c>
      <c r="K2962" s="3">
        <f t="shared" si="46"/>
        <v>16500</v>
      </c>
      <c r="L2962" s="3">
        <v>10725</v>
      </c>
    </row>
    <row r="2963" spans="1:12" x14ac:dyDescent="0.25">
      <c r="A2963" t="s">
        <v>36</v>
      </c>
      <c r="B2963">
        <v>1185732</v>
      </c>
      <c r="C2963" s="1">
        <v>44326</v>
      </c>
      <c r="D2963" t="s">
        <v>29</v>
      </c>
      <c r="E2963" t="s">
        <v>80</v>
      </c>
      <c r="F2963" t="s">
        <v>81</v>
      </c>
      <c r="G2963" t="s">
        <v>18</v>
      </c>
      <c r="H2963" t="s">
        <v>16</v>
      </c>
      <c r="I2963" s="3">
        <v>65</v>
      </c>
      <c r="J2963" s="2">
        <v>400</v>
      </c>
      <c r="K2963" s="3">
        <f t="shared" si="46"/>
        <v>26000</v>
      </c>
      <c r="L2963" s="3">
        <v>15600</v>
      </c>
    </row>
    <row r="2964" spans="1:12" x14ac:dyDescent="0.25">
      <c r="A2964" t="s">
        <v>26</v>
      </c>
      <c r="B2964">
        <v>1185732</v>
      </c>
      <c r="C2964" s="1">
        <v>44326</v>
      </c>
      <c r="D2964" t="s">
        <v>57</v>
      </c>
      <c r="E2964" t="s">
        <v>76</v>
      </c>
      <c r="F2964" t="s">
        <v>77</v>
      </c>
      <c r="G2964" t="s">
        <v>18</v>
      </c>
      <c r="H2964" t="s">
        <v>16</v>
      </c>
      <c r="I2964" s="3">
        <v>54.999999999999993</v>
      </c>
      <c r="J2964" s="2">
        <v>250</v>
      </c>
      <c r="K2964" s="3">
        <f t="shared" si="46"/>
        <v>13749.999999999998</v>
      </c>
      <c r="L2964" s="3">
        <v>8249.9999999999964</v>
      </c>
    </row>
    <row r="2965" spans="1:12" x14ac:dyDescent="0.25">
      <c r="A2965" t="s">
        <v>26</v>
      </c>
      <c r="B2965">
        <v>1197831</v>
      </c>
      <c r="C2965" s="1">
        <v>44326</v>
      </c>
      <c r="D2965" t="s">
        <v>52</v>
      </c>
      <c r="E2965" t="s">
        <v>97</v>
      </c>
      <c r="F2965" t="s">
        <v>98</v>
      </c>
      <c r="G2965" t="s">
        <v>15</v>
      </c>
      <c r="H2965" t="s">
        <v>17</v>
      </c>
      <c r="I2965" s="3">
        <v>30.000000000000004</v>
      </c>
      <c r="J2965" s="2">
        <v>675</v>
      </c>
      <c r="K2965" s="3">
        <f t="shared" si="46"/>
        <v>20250.000000000004</v>
      </c>
      <c r="L2965" s="3">
        <v>11137.500000000004</v>
      </c>
    </row>
    <row r="2966" spans="1:12" x14ac:dyDescent="0.25">
      <c r="A2966" t="s">
        <v>36</v>
      </c>
      <c r="B2966">
        <v>1185732</v>
      </c>
      <c r="C2966" s="1">
        <v>44326</v>
      </c>
      <c r="D2966" t="s">
        <v>29</v>
      </c>
      <c r="E2966" t="s">
        <v>80</v>
      </c>
      <c r="F2966" t="s">
        <v>81</v>
      </c>
      <c r="G2966" t="s">
        <v>18</v>
      </c>
      <c r="H2966" t="s">
        <v>38</v>
      </c>
      <c r="I2966" s="3">
        <v>60</v>
      </c>
      <c r="J2966" s="2">
        <v>570</v>
      </c>
      <c r="K2966" s="3">
        <f t="shared" si="46"/>
        <v>34200</v>
      </c>
      <c r="L2966" s="3">
        <v>18810</v>
      </c>
    </row>
    <row r="2967" spans="1:12" x14ac:dyDescent="0.25">
      <c r="A2967" t="s">
        <v>36</v>
      </c>
      <c r="B2967">
        <v>1185732</v>
      </c>
      <c r="C2967" s="1">
        <v>44326</v>
      </c>
      <c r="D2967" t="s">
        <v>29</v>
      </c>
      <c r="E2967" t="s">
        <v>80</v>
      </c>
      <c r="F2967" t="s">
        <v>81</v>
      </c>
      <c r="G2967" t="s">
        <v>18</v>
      </c>
      <c r="H2967" t="s">
        <v>17</v>
      </c>
      <c r="I2967" s="3">
        <v>55.000000000000007</v>
      </c>
      <c r="J2967" s="2">
        <v>275</v>
      </c>
      <c r="K2967" s="3">
        <f t="shared" si="46"/>
        <v>15125.000000000002</v>
      </c>
      <c r="L2967" s="3">
        <v>8318.7500000000018</v>
      </c>
    </row>
    <row r="2968" spans="1:12" x14ac:dyDescent="0.25">
      <c r="A2968" t="s">
        <v>27</v>
      </c>
      <c r="B2968">
        <v>1185732</v>
      </c>
      <c r="C2968" s="1">
        <v>44326</v>
      </c>
      <c r="D2968" t="s">
        <v>12</v>
      </c>
      <c r="E2968" t="s">
        <v>62</v>
      </c>
      <c r="F2968" t="s">
        <v>63</v>
      </c>
      <c r="G2968" t="s">
        <v>18</v>
      </c>
      <c r="H2968" t="s">
        <v>38</v>
      </c>
      <c r="I2968" s="3">
        <v>50</v>
      </c>
      <c r="J2968" s="2">
        <v>820</v>
      </c>
      <c r="K2968" s="3">
        <f t="shared" si="46"/>
        <v>41000</v>
      </c>
      <c r="L2968" s="3">
        <v>20500</v>
      </c>
    </row>
    <row r="2969" spans="1:12" x14ac:dyDescent="0.25">
      <c r="A2969" t="s">
        <v>36</v>
      </c>
      <c r="B2969">
        <v>1185732</v>
      </c>
      <c r="C2969" s="1">
        <v>44326</v>
      </c>
      <c r="D2969" t="s">
        <v>29</v>
      </c>
      <c r="E2969" t="s">
        <v>80</v>
      </c>
      <c r="F2969" t="s">
        <v>81</v>
      </c>
      <c r="G2969" t="s">
        <v>15</v>
      </c>
      <c r="H2969" t="s">
        <v>35</v>
      </c>
      <c r="I2969" s="3">
        <v>37</v>
      </c>
      <c r="J2969" s="2">
        <v>96</v>
      </c>
      <c r="K2969" s="3">
        <f t="shared" si="46"/>
        <v>3552</v>
      </c>
      <c r="L2969" s="3">
        <v>2237.7600000000002</v>
      </c>
    </row>
    <row r="2970" spans="1:12" x14ac:dyDescent="0.25">
      <c r="A2970" t="s">
        <v>27</v>
      </c>
      <c r="B2970">
        <v>1185732</v>
      </c>
      <c r="C2970" s="1">
        <v>44326</v>
      </c>
      <c r="D2970" t="s">
        <v>12</v>
      </c>
      <c r="E2970" t="s">
        <v>62</v>
      </c>
      <c r="F2970" t="s">
        <v>63</v>
      </c>
      <c r="G2970" t="s">
        <v>41</v>
      </c>
      <c r="H2970" t="s">
        <v>17</v>
      </c>
      <c r="I2970" s="3">
        <v>41</v>
      </c>
      <c r="J2970" s="2">
        <v>152</v>
      </c>
      <c r="K2970" s="3">
        <f t="shared" si="46"/>
        <v>6232</v>
      </c>
      <c r="L2970" s="3">
        <v>3739.2</v>
      </c>
    </row>
    <row r="2971" spans="1:12" x14ac:dyDescent="0.25">
      <c r="A2971" t="s">
        <v>27</v>
      </c>
      <c r="B2971">
        <v>1185732</v>
      </c>
      <c r="C2971" s="1">
        <v>44326</v>
      </c>
      <c r="D2971" t="s">
        <v>12</v>
      </c>
      <c r="E2971" t="s">
        <v>62</v>
      </c>
      <c r="F2971" t="s">
        <v>63</v>
      </c>
      <c r="G2971" t="s">
        <v>41</v>
      </c>
      <c r="H2971" t="s">
        <v>16</v>
      </c>
      <c r="I2971" s="3">
        <v>52</v>
      </c>
      <c r="J2971" s="2">
        <v>156</v>
      </c>
      <c r="K2971" s="3">
        <f t="shared" si="46"/>
        <v>8112</v>
      </c>
      <c r="L2971" s="3">
        <v>4867.2</v>
      </c>
    </row>
    <row r="2972" spans="1:12" x14ac:dyDescent="0.25">
      <c r="A2972" t="s">
        <v>27</v>
      </c>
      <c r="B2972">
        <v>1189833</v>
      </c>
      <c r="C2972" s="1">
        <v>44326</v>
      </c>
      <c r="D2972" t="s">
        <v>12</v>
      </c>
      <c r="E2972" t="s">
        <v>13</v>
      </c>
      <c r="F2972" t="s">
        <v>28</v>
      </c>
      <c r="G2972" t="s">
        <v>15</v>
      </c>
      <c r="H2972" t="s">
        <v>37</v>
      </c>
      <c r="I2972" s="3">
        <v>39</v>
      </c>
      <c r="J2972" s="2">
        <v>195</v>
      </c>
      <c r="K2972" s="3">
        <f t="shared" si="46"/>
        <v>7605</v>
      </c>
      <c r="L2972" s="3">
        <v>4563</v>
      </c>
    </row>
    <row r="2973" spans="1:12" x14ac:dyDescent="0.25">
      <c r="A2973" t="s">
        <v>36</v>
      </c>
      <c r="B2973">
        <v>1185732</v>
      </c>
      <c r="C2973" s="1">
        <v>44326</v>
      </c>
      <c r="D2973" t="s">
        <v>29</v>
      </c>
      <c r="E2973" t="s">
        <v>80</v>
      </c>
      <c r="F2973" t="s">
        <v>81</v>
      </c>
      <c r="G2973" t="s">
        <v>15</v>
      </c>
      <c r="H2973" t="s">
        <v>37</v>
      </c>
      <c r="I2973" s="3">
        <v>40</v>
      </c>
      <c r="J2973" s="2">
        <v>83</v>
      </c>
      <c r="K2973" s="3">
        <f t="shared" si="46"/>
        <v>3320</v>
      </c>
      <c r="L2973" s="3">
        <v>1992</v>
      </c>
    </row>
    <row r="2974" spans="1:12" x14ac:dyDescent="0.25">
      <c r="A2974" t="s">
        <v>36</v>
      </c>
      <c r="B2974">
        <v>1185732</v>
      </c>
      <c r="C2974" s="1">
        <v>44326</v>
      </c>
      <c r="D2974" t="s">
        <v>29</v>
      </c>
      <c r="E2974" t="s">
        <v>80</v>
      </c>
      <c r="F2974" t="s">
        <v>81</v>
      </c>
      <c r="G2974" t="s">
        <v>15</v>
      </c>
      <c r="H2974" t="s">
        <v>22</v>
      </c>
      <c r="I2974" s="3">
        <v>46</v>
      </c>
      <c r="J2974" s="2">
        <v>91</v>
      </c>
      <c r="K2974" s="3">
        <f t="shared" si="46"/>
        <v>4186</v>
      </c>
      <c r="L2974" s="3">
        <v>2469.7399999999998</v>
      </c>
    </row>
    <row r="2975" spans="1:12" x14ac:dyDescent="0.25">
      <c r="A2975" t="s">
        <v>27</v>
      </c>
      <c r="B2975">
        <v>1185732</v>
      </c>
      <c r="C2975" s="1">
        <v>44326</v>
      </c>
      <c r="D2975" t="s">
        <v>12</v>
      </c>
      <c r="E2975" t="s">
        <v>62</v>
      </c>
      <c r="F2975" t="s">
        <v>63</v>
      </c>
      <c r="G2975" t="s">
        <v>41</v>
      </c>
      <c r="H2975" t="s">
        <v>22</v>
      </c>
      <c r="I2975" s="3">
        <v>45</v>
      </c>
      <c r="J2975" s="2">
        <v>133</v>
      </c>
      <c r="K2975" s="3">
        <f t="shared" si="46"/>
        <v>5985</v>
      </c>
      <c r="L2975" s="3">
        <v>3471.3</v>
      </c>
    </row>
    <row r="2976" spans="1:12" x14ac:dyDescent="0.25">
      <c r="A2976" t="s">
        <v>26</v>
      </c>
      <c r="B2976">
        <v>1185732</v>
      </c>
      <c r="C2976" s="1">
        <v>44326</v>
      </c>
      <c r="D2976" t="s">
        <v>57</v>
      </c>
      <c r="E2976" t="s">
        <v>76</v>
      </c>
      <c r="F2976" t="s">
        <v>77</v>
      </c>
      <c r="G2976" t="s">
        <v>41</v>
      </c>
      <c r="H2976" t="s">
        <v>35</v>
      </c>
      <c r="I2976" s="3">
        <v>37</v>
      </c>
      <c r="J2976" s="2">
        <v>51</v>
      </c>
      <c r="K2976" s="3">
        <f t="shared" si="46"/>
        <v>1887</v>
      </c>
      <c r="L2976" s="3">
        <v>1075.5900000000001</v>
      </c>
    </row>
    <row r="2977" spans="1:12" x14ac:dyDescent="0.25">
      <c r="A2977" t="s">
        <v>26</v>
      </c>
      <c r="B2977">
        <v>1185732</v>
      </c>
      <c r="C2977" s="1">
        <v>44326</v>
      </c>
      <c r="D2977" t="s">
        <v>57</v>
      </c>
      <c r="E2977" t="s">
        <v>76</v>
      </c>
      <c r="F2977" t="s">
        <v>77</v>
      </c>
      <c r="G2977" t="s">
        <v>41</v>
      </c>
      <c r="H2977" t="s">
        <v>37</v>
      </c>
      <c r="I2977" s="3">
        <v>36</v>
      </c>
      <c r="J2977" s="2">
        <v>26</v>
      </c>
      <c r="K2977" s="3">
        <f t="shared" si="46"/>
        <v>936</v>
      </c>
      <c r="L2977" s="3">
        <v>524.16000000000008</v>
      </c>
    </row>
    <row r="2978" spans="1:12" x14ac:dyDescent="0.25">
      <c r="A2978" t="s">
        <v>26</v>
      </c>
      <c r="B2978">
        <v>1185732</v>
      </c>
      <c r="C2978" s="1">
        <v>44326</v>
      </c>
      <c r="D2978" t="s">
        <v>57</v>
      </c>
      <c r="E2978" t="s">
        <v>76</v>
      </c>
      <c r="F2978" t="s">
        <v>77</v>
      </c>
      <c r="G2978" t="s">
        <v>41</v>
      </c>
      <c r="H2978" t="s">
        <v>17</v>
      </c>
      <c r="I2978" s="3">
        <v>41</v>
      </c>
      <c r="J2978" s="2">
        <v>54</v>
      </c>
      <c r="K2978" s="3">
        <f t="shared" si="46"/>
        <v>2214</v>
      </c>
      <c r="L2978" s="3">
        <v>1239.8400000000001</v>
      </c>
    </row>
    <row r="2979" spans="1:12" x14ac:dyDescent="0.25">
      <c r="A2979" t="s">
        <v>36</v>
      </c>
      <c r="B2979">
        <v>1185732</v>
      </c>
      <c r="C2979" s="1">
        <v>44326</v>
      </c>
      <c r="D2979" t="s">
        <v>29</v>
      </c>
      <c r="E2979" t="s">
        <v>80</v>
      </c>
      <c r="F2979" t="s">
        <v>81</v>
      </c>
      <c r="G2979" t="s">
        <v>15</v>
      </c>
      <c r="H2979" t="s">
        <v>16</v>
      </c>
      <c r="I2979" s="3">
        <v>47</v>
      </c>
      <c r="J2979" s="2">
        <v>120</v>
      </c>
      <c r="K2979" s="3">
        <f t="shared" si="46"/>
        <v>5640</v>
      </c>
      <c r="L2979" s="3">
        <v>3045.6000000000004</v>
      </c>
    </row>
    <row r="2980" spans="1:12" x14ac:dyDescent="0.25">
      <c r="A2980" t="s">
        <v>36</v>
      </c>
      <c r="B2980">
        <v>1185732</v>
      </c>
      <c r="C2980" s="1">
        <v>44326</v>
      </c>
      <c r="D2980" t="s">
        <v>29</v>
      </c>
      <c r="E2980" t="s">
        <v>80</v>
      </c>
      <c r="F2980" t="s">
        <v>81</v>
      </c>
      <c r="G2980" t="s">
        <v>41</v>
      </c>
      <c r="H2980" t="s">
        <v>35</v>
      </c>
      <c r="I2980" s="3">
        <v>49</v>
      </c>
      <c r="J2980" s="2">
        <v>75</v>
      </c>
      <c r="K2980" s="3">
        <f t="shared" si="46"/>
        <v>3675</v>
      </c>
      <c r="L2980" s="3">
        <v>1984.5000000000002</v>
      </c>
    </row>
    <row r="2981" spans="1:12" x14ac:dyDescent="0.25">
      <c r="A2981" t="s">
        <v>36</v>
      </c>
      <c r="B2981">
        <v>1185732</v>
      </c>
      <c r="C2981" s="1">
        <v>44326</v>
      </c>
      <c r="D2981" t="s">
        <v>29</v>
      </c>
      <c r="E2981" t="s">
        <v>80</v>
      </c>
      <c r="F2981" t="s">
        <v>81</v>
      </c>
      <c r="G2981" t="s">
        <v>41</v>
      </c>
      <c r="H2981" t="s">
        <v>37</v>
      </c>
      <c r="I2981" s="3">
        <v>46</v>
      </c>
      <c r="J2981" s="2">
        <v>65</v>
      </c>
      <c r="K2981" s="3">
        <f t="shared" si="46"/>
        <v>2990</v>
      </c>
      <c r="L2981" s="3">
        <v>1584.7</v>
      </c>
    </row>
    <row r="2982" spans="1:12" x14ac:dyDescent="0.25">
      <c r="A2982" t="s">
        <v>36</v>
      </c>
      <c r="B2982">
        <v>1185732</v>
      </c>
      <c r="C2982" s="1">
        <v>44326</v>
      </c>
      <c r="D2982" t="s">
        <v>29</v>
      </c>
      <c r="E2982" t="s">
        <v>80</v>
      </c>
      <c r="F2982" t="s">
        <v>81</v>
      </c>
      <c r="G2982" t="s">
        <v>41</v>
      </c>
      <c r="H2982" t="s">
        <v>22</v>
      </c>
      <c r="I2982" s="3">
        <v>55</v>
      </c>
      <c r="J2982" s="2">
        <v>72</v>
      </c>
      <c r="K2982" s="3">
        <f t="shared" si="46"/>
        <v>3960</v>
      </c>
      <c r="L2982" s="3">
        <v>2098.8000000000002</v>
      </c>
    </row>
    <row r="2983" spans="1:12" x14ac:dyDescent="0.25">
      <c r="A2983" t="s">
        <v>26</v>
      </c>
      <c r="B2983">
        <v>1185732</v>
      </c>
      <c r="C2983" s="1">
        <v>44326</v>
      </c>
      <c r="D2983" t="s">
        <v>57</v>
      </c>
      <c r="E2983" t="s">
        <v>76</v>
      </c>
      <c r="F2983" t="s">
        <v>77</v>
      </c>
      <c r="G2983" t="s">
        <v>41</v>
      </c>
      <c r="H2983" t="s">
        <v>38</v>
      </c>
      <c r="I2983" s="3">
        <v>55</v>
      </c>
      <c r="J2983" s="2">
        <v>129</v>
      </c>
      <c r="K2983" s="3">
        <f t="shared" si="46"/>
        <v>7095</v>
      </c>
      <c r="L2983" s="3">
        <v>3689.4</v>
      </c>
    </row>
    <row r="2984" spans="1:12" x14ac:dyDescent="0.25">
      <c r="A2984" t="s">
        <v>26</v>
      </c>
      <c r="B2984">
        <v>1185732</v>
      </c>
      <c r="C2984" s="1">
        <v>44326</v>
      </c>
      <c r="D2984" t="s">
        <v>57</v>
      </c>
      <c r="E2984" t="s">
        <v>76</v>
      </c>
      <c r="F2984" t="s">
        <v>77</v>
      </c>
      <c r="G2984" t="s">
        <v>41</v>
      </c>
      <c r="H2984" t="s">
        <v>22</v>
      </c>
      <c r="I2984" s="3">
        <v>46</v>
      </c>
      <c r="J2984" s="2">
        <v>31</v>
      </c>
      <c r="K2984" s="3">
        <f t="shared" si="46"/>
        <v>1426</v>
      </c>
      <c r="L2984" s="3">
        <v>741.52</v>
      </c>
    </row>
    <row r="2985" spans="1:12" x14ac:dyDescent="0.25">
      <c r="A2985" t="s">
        <v>26</v>
      </c>
      <c r="B2985">
        <v>1197831</v>
      </c>
      <c r="C2985" s="1">
        <v>44326</v>
      </c>
      <c r="D2985" t="s">
        <v>52</v>
      </c>
      <c r="E2985" t="s">
        <v>97</v>
      </c>
      <c r="F2985" t="s">
        <v>98</v>
      </c>
      <c r="G2985" t="s">
        <v>15</v>
      </c>
      <c r="H2985" t="s">
        <v>17</v>
      </c>
      <c r="I2985" s="3">
        <v>21</v>
      </c>
      <c r="J2985" s="2">
        <v>223</v>
      </c>
      <c r="K2985" s="3">
        <f t="shared" si="46"/>
        <v>4683</v>
      </c>
      <c r="L2985" s="3">
        <v>2388.3300000000004</v>
      </c>
    </row>
    <row r="2986" spans="1:12" x14ac:dyDescent="0.25">
      <c r="A2986" t="s">
        <v>27</v>
      </c>
      <c r="B2986">
        <v>1185732</v>
      </c>
      <c r="C2986" s="1">
        <v>44326</v>
      </c>
      <c r="D2986" t="s">
        <v>12</v>
      </c>
      <c r="E2986" t="s">
        <v>62</v>
      </c>
      <c r="F2986" t="s">
        <v>63</v>
      </c>
      <c r="G2986" t="s">
        <v>41</v>
      </c>
      <c r="H2986" t="s">
        <v>35</v>
      </c>
      <c r="I2986" s="3">
        <v>39</v>
      </c>
      <c r="J2986" s="2">
        <v>145</v>
      </c>
      <c r="K2986" s="3">
        <f t="shared" si="46"/>
        <v>5655</v>
      </c>
      <c r="L2986" s="3">
        <v>2884.05</v>
      </c>
    </row>
    <row r="2987" spans="1:12" x14ac:dyDescent="0.25">
      <c r="A2987" t="s">
        <v>27</v>
      </c>
      <c r="B2987">
        <v>1189833</v>
      </c>
      <c r="C2987" s="1">
        <v>44326</v>
      </c>
      <c r="D2987" t="s">
        <v>12</v>
      </c>
      <c r="E2987" t="s">
        <v>13</v>
      </c>
      <c r="F2987" t="s">
        <v>28</v>
      </c>
      <c r="G2987" t="s">
        <v>41</v>
      </c>
      <c r="H2987" t="s">
        <v>37</v>
      </c>
      <c r="I2987" s="3">
        <v>46</v>
      </c>
      <c r="J2987" s="2">
        <v>176</v>
      </c>
      <c r="K2987" s="3">
        <f t="shared" si="46"/>
        <v>8096</v>
      </c>
      <c r="L2987" s="3">
        <v>4048</v>
      </c>
    </row>
    <row r="2988" spans="1:12" x14ac:dyDescent="0.25">
      <c r="A2988" t="s">
        <v>27</v>
      </c>
      <c r="B2988">
        <v>1185732</v>
      </c>
      <c r="C2988" s="1">
        <v>44326</v>
      </c>
      <c r="D2988" t="s">
        <v>12</v>
      </c>
      <c r="E2988" t="s">
        <v>62</v>
      </c>
      <c r="F2988" t="s">
        <v>63</v>
      </c>
      <c r="G2988" t="s">
        <v>41</v>
      </c>
      <c r="H2988" t="s">
        <v>37</v>
      </c>
      <c r="I2988" s="3">
        <v>39</v>
      </c>
      <c r="J2988" s="2">
        <v>131</v>
      </c>
      <c r="K2988" s="3">
        <f t="shared" si="46"/>
        <v>5109</v>
      </c>
      <c r="L2988" s="3">
        <v>2554.5</v>
      </c>
    </row>
    <row r="2989" spans="1:12" x14ac:dyDescent="0.25">
      <c r="A2989" t="s">
        <v>26</v>
      </c>
      <c r="B2989">
        <v>1185732</v>
      </c>
      <c r="C2989" s="1">
        <v>44326</v>
      </c>
      <c r="D2989" t="s">
        <v>57</v>
      </c>
      <c r="E2989" t="s">
        <v>76</v>
      </c>
      <c r="F2989" t="s">
        <v>77</v>
      </c>
      <c r="G2989" t="s">
        <v>41</v>
      </c>
      <c r="H2989" t="s">
        <v>16</v>
      </c>
      <c r="I2989" s="3">
        <v>52</v>
      </c>
      <c r="J2989" s="2">
        <v>75</v>
      </c>
      <c r="K2989" s="3">
        <f t="shared" si="46"/>
        <v>3900</v>
      </c>
      <c r="L2989" s="3">
        <v>1911</v>
      </c>
    </row>
    <row r="2990" spans="1:12" x14ac:dyDescent="0.25">
      <c r="A2990" t="s">
        <v>36</v>
      </c>
      <c r="B2990">
        <v>1185732</v>
      </c>
      <c r="C2990" s="1">
        <v>44326</v>
      </c>
      <c r="D2990" t="s">
        <v>29</v>
      </c>
      <c r="E2990" t="s">
        <v>80</v>
      </c>
      <c r="F2990" t="s">
        <v>81</v>
      </c>
      <c r="G2990" t="s">
        <v>15</v>
      </c>
      <c r="H2990" t="s">
        <v>38</v>
      </c>
      <c r="I2990" s="3">
        <v>48</v>
      </c>
      <c r="J2990" s="2">
        <v>177</v>
      </c>
      <c r="K2990" s="3">
        <f t="shared" si="46"/>
        <v>8496</v>
      </c>
      <c r="L2990" s="3">
        <v>4163.04</v>
      </c>
    </row>
    <row r="2991" spans="1:12" x14ac:dyDescent="0.25">
      <c r="A2991" t="s">
        <v>36</v>
      </c>
      <c r="B2991">
        <v>1185732</v>
      </c>
      <c r="C2991" s="1">
        <v>44326</v>
      </c>
      <c r="D2991" t="s">
        <v>29</v>
      </c>
      <c r="E2991" t="s">
        <v>80</v>
      </c>
      <c r="F2991" t="s">
        <v>81</v>
      </c>
      <c r="G2991" t="s">
        <v>15</v>
      </c>
      <c r="H2991" t="s">
        <v>17</v>
      </c>
      <c r="I2991" s="3">
        <v>41</v>
      </c>
      <c r="J2991" s="2">
        <v>94</v>
      </c>
      <c r="K2991" s="3">
        <f t="shared" si="46"/>
        <v>3854</v>
      </c>
      <c r="L2991" s="3">
        <v>1888.46</v>
      </c>
    </row>
    <row r="2992" spans="1:12" x14ac:dyDescent="0.25">
      <c r="A2992" t="s">
        <v>36</v>
      </c>
      <c r="B2992">
        <v>1185732</v>
      </c>
      <c r="C2992" s="1">
        <v>44326</v>
      </c>
      <c r="D2992" t="s">
        <v>29</v>
      </c>
      <c r="E2992" t="s">
        <v>80</v>
      </c>
      <c r="F2992" t="s">
        <v>81</v>
      </c>
      <c r="G2992" t="s">
        <v>41</v>
      </c>
      <c r="H2992" t="s">
        <v>16</v>
      </c>
      <c r="I2992" s="3">
        <v>60</v>
      </c>
      <c r="J2992" s="2">
        <v>120</v>
      </c>
      <c r="K2992" s="3">
        <f t="shared" si="46"/>
        <v>7200</v>
      </c>
      <c r="L2992" s="3">
        <v>3456</v>
      </c>
    </row>
    <row r="2993" spans="1:12" x14ac:dyDescent="0.25">
      <c r="A2993" t="s">
        <v>26</v>
      </c>
      <c r="B2993">
        <v>1197831</v>
      </c>
      <c r="C2993" s="1">
        <v>44326</v>
      </c>
      <c r="D2993" t="s">
        <v>52</v>
      </c>
      <c r="E2993" t="s">
        <v>97</v>
      </c>
      <c r="F2993" t="s">
        <v>98</v>
      </c>
      <c r="G2993" t="s">
        <v>41</v>
      </c>
      <c r="H2993" t="s">
        <v>17</v>
      </c>
      <c r="I2993" s="3">
        <v>29</v>
      </c>
      <c r="J2993" s="2">
        <v>189</v>
      </c>
      <c r="K2993" s="3">
        <f t="shared" si="46"/>
        <v>5481</v>
      </c>
      <c r="L2993" s="3">
        <v>2411.6400000000003</v>
      </c>
    </row>
    <row r="2994" spans="1:12" x14ac:dyDescent="0.25">
      <c r="A2994" t="s">
        <v>36</v>
      </c>
      <c r="B2994">
        <v>1185732</v>
      </c>
      <c r="C2994" s="1">
        <v>44326</v>
      </c>
      <c r="D2994" t="s">
        <v>29</v>
      </c>
      <c r="E2994" t="s">
        <v>80</v>
      </c>
      <c r="F2994" t="s">
        <v>81</v>
      </c>
      <c r="G2994" t="s">
        <v>41</v>
      </c>
      <c r="H2994" t="s">
        <v>17</v>
      </c>
      <c r="I2994" s="3">
        <v>54</v>
      </c>
      <c r="J2994" s="2">
        <v>80</v>
      </c>
      <c r="K2994" s="3">
        <f t="shared" si="46"/>
        <v>4320</v>
      </c>
      <c r="L2994" s="3">
        <v>1900.7999999999997</v>
      </c>
    </row>
    <row r="2995" spans="1:12" x14ac:dyDescent="0.25">
      <c r="A2995" t="s">
        <v>36</v>
      </c>
      <c r="B2995">
        <v>1185732</v>
      </c>
      <c r="C2995" s="1">
        <v>44326</v>
      </c>
      <c r="D2995" t="s">
        <v>29</v>
      </c>
      <c r="E2995" t="s">
        <v>80</v>
      </c>
      <c r="F2995" t="s">
        <v>81</v>
      </c>
      <c r="G2995" t="s">
        <v>41</v>
      </c>
      <c r="H2995" t="s">
        <v>38</v>
      </c>
      <c r="I2995" s="3">
        <v>55</v>
      </c>
      <c r="J2995" s="2">
        <v>154</v>
      </c>
      <c r="K2995" s="3">
        <f t="shared" si="46"/>
        <v>8470</v>
      </c>
      <c r="L2995" s="3">
        <v>3642.0999999999995</v>
      </c>
    </row>
    <row r="2996" spans="1:12" x14ac:dyDescent="0.25">
      <c r="A2996" t="s">
        <v>27</v>
      </c>
      <c r="B2996">
        <v>1185732</v>
      </c>
      <c r="C2996" s="1">
        <v>44326</v>
      </c>
      <c r="D2996" t="s">
        <v>12</v>
      </c>
      <c r="E2996" t="s">
        <v>62</v>
      </c>
      <c r="F2996" t="s">
        <v>63</v>
      </c>
      <c r="G2996" t="s">
        <v>41</v>
      </c>
      <c r="H2996" t="s">
        <v>38</v>
      </c>
      <c r="I2996" s="3">
        <v>45</v>
      </c>
      <c r="J2996" s="2">
        <v>246</v>
      </c>
      <c r="K2996" s="3">
        <f t="shared" si="46"/>
        <v>11070</v>
      </c>
      <c r="L2996" s="3">
        <v>3874.5</v>
      </c>
    </row>
    <row r="2997" spans="1:12" x14ac:dyDescent="0.25">
      <c r="A2997" t="s">
        <v>19</v>
      </c>
      <c r="B2997">
        <v>1128299</v>
      </c>
      <c r="C2997" s="1">
        <v>44327</v>
      </c>
      <c r="D2997" t="s">
        <v>12</v>
      </c>
      <c r="E2997" t="s">
        <v>20</v>
      </c>
      <c r="F2997" t="s">
        <v>21</v>
      </c>
      <c r="G2997" t="s">
        <v>15</v>
      </c>
      <c r="H2997" t="s">
        <v>22</v>
      </c>
      <c r="I2997" s="3">
        <v>60</v>
      </c>
      <c r="J2997" s="2">
        <v>175</v>
      </c>
      <c r="K2997" s="3">
        <f t="shared" si="46"/>
        <v>10500</v>
      </c>
      <c r="L2997" s="3">
        <v>8925</v>
      </c>
    </row>
    <row r="2998" spans="1:12" x14ac:dyDescent="0.25">
      <c r="A2998" t="s">
        <v>19</v>
      </c>
      <c r="B2998">
        <v>1128299</v>
      </c>
      <c r="C2998" s="1">
        <v>44327</v>
      </c>
      <c r="D2998" t="s">
        <v>12</v>
      </c>
      <c r="E2998" t="s">
        <v>20</v>
      </c>
      <c r="F2998" t="s">
        <v>21</v>
      </c>
      <c r="G2998" t="s">
        <v>15</v>
      </c>
      <c r="H2998" t="s">
        <v>17</v>
      </c>
      <c r="I2998" s="3">
        <v>60</v>
      </c>
      <c r="J2998" s="2">
        <v>375</v>
      </c>
      <c r="K2998" s="3">
        <f t="shared" si="46"/>
        <v>22500</v>
      </c>
      <c r="L2998" s="3">
        <v>18000</v>
      </c>
    </row>
    <row r="2999" spans="1:12" x14ac:dyDescent="0.25">
      <c r="A2999" t="s">
        <v>19</v>
      </c>
      <c r="B2999">
        <v>1128299</v>
      </c>
      <c r="C2999" s="1">
        <v>44327</v>
      </c>
      <c r="D2999" t="s">
        <v>12</v>
      </c>
      <c r="E2999" t="s">
        <v>20</v>
      </c>
      <c r="F2999" t="s">
        <v>21</v>
      </c>
      <c r="G2999" t="s">
        <v>15</v>
      </c>
      <c r="H2999" t="s">
        <v>35</v>
      </c>
      <c r="I2999" s="3">
        <v>60</v>
      </c>
      <c r="J2999" s="2">
        <v>375</v>
      </c>
      <c r="K2999" s="3">
        <f t="shared" si="46"/>
        <v>22500</v>
      </c>
      <c r="L2999" s="3">
        <v>16875</v>
      </c>
    </row>
    <row r="3000" spans="1:12" x14ac:dyDescent="0.25">
      <c r="A3000" t="s">
        <v>19</v>
      </c>
      <c r="B3000">
        <v>1128299</v>
      </c>
      <c r="C3000" s="1">
        <v>44327</v>
      </c>
      <c r="D3000" t="s">
        <v>12</v>
      </c>
      <c r="E3000" t="s">
        <v>20</v>
      </c>
      <c r="F3000" t="s">
        <v>21</v>
      </c>
      <c r="G3000" t="s">
        <v>15</v>
      </c>
      <c r="H3000" t="s">
        <v>38</v>
      </c>
      <c r="I3000" s="3">
        <v>54.999999999999993</v>
      </c>
      <c r="J3000" s="2">
        <v>525</v>
      </c>
      <c r="K3000" s="3">
        <f t="shared" si="46"/>
        <v>28874.999999999996</v>
      </c>
      <c r="L3000" s="3">
        <v>21656.249999999993</v>
      </c>
    </row>
    <row r="3001" spans="1:12" x14ac:dyDescent="0.25">
      <c r="A3001" t="s">
        <v>19</v>
      </c>
      <c r="B3001">
        <v>1128299</v>
      </c>
      <c r="C3001" s="1">
        <v>44327</v>
      </c>
      <c r="D3001" t="s">
        <v>12</v>
      </c>
      <c r="E3001" t="s">
        <v>20</v>
      </c>
      <c r="F3001" t="s">
        <v>21</v>
      </c>
      <c r="G3001" t="s">
        <v>15</v>
      </c>
      <c r="H3001" t="s">
        <v>37</v>
      </c>
      <c r="I3001" s="3">
        <v>54.999999999999993</v>
      </c>
      <c r="J3001" s="2">
        <v>275</v>
      </c>
      <c r="K3001" s="3">
        <f t="shared" si="46"/>
        <v>15124.999999999998</v>
      </c>
      <c r="L3001" s="3">
        <v>11343.749999999996</v>
      </c>
    </row>
    <row r="3002" spans="1:12" x14ac:dyDescent="0.25">
      <c r="A3002" t="s">
        <v>11</v>
      </c>
      <c r="B3002">
        <v>1185732</v>
      </c>
      <c r="C3002" s="1">
        <v>44327</v>
      </c>
      <c r="D3002" t="s">
        <v>57</v>
      </c>
      <c r="E3002" t="s">
        <v>103</v>
      </c>
      <c r="F3002" t="s">
        <v>104</v>
      </c>
      <c r="G3002" t="s">
        <v>18</v>
      </c>
      <c r="H3002" t="s">
        <v>22</v>
      </c>
      <c r="I3002" s="3">
        <v>44.999999999999993</v>
      </c>
      <c r="J3002" s="2">
        <v>200</v>
      </c>
      <c r="K3002" s="3">
        <f t="shared" si="46"/>
        <v>8999.9999999999982</v>
      </c>
      <c r="L3002" s="3">
        <v>6299.9999999999982</v>
      </c>
    </row>
    <row r="3003" spans="1:12" x14ac:dyDescent="0.25">
      <c r="A3003" t="s">
        <v>11</v>
      </c>
      <c r="B3003">
        <v>1185732</v>
      </c>
      <c r="C3003" s="1">
        <v>44327</v>
      </c>
      <c r="D3003" t="s">
        <v>57</v>
      </c>
      <c r="E3003" t="s">
        <v>103</v>
      </c>
      <c r="F3003" t="s">
        <v>104</v>
      </c>
      <c r="G3003" t="s">
        <v>18</v>
      </c>
      <c r="H3003" t="s">
        <v>35</v>
      </c>
      <c r="I3003" s="3">
        <v>35</v>
      </c>
      <c r="J3003" s="2">
        <v>225</v>
      </c>
      <c r="K3003" s="3">
        <f t="shared" si="46"/>
        <v>7875</v>
      </c>
      <c r="L3003" s="3">
        <v>5118.75</v>
      </c>
    </row>
    <row r="3004" spans="1:12" x14ac:dyDescent="0.25">
      <c r="A3004" t="s">
        <v>11</v>
      </c>
      <c r="B3004">
        <v>1185732</v>
      </c>
      <c r="C3004" s="1">
        <v>44327</v>
      </c>
      <c r="D3004" t="s">
        <v>57</v>
      </c>
      <c r="E3004" t="s">
        <v>103</v>
      </c>
      <c r="F3004" t="s">
        <v>104</v>
      </c>
      <c r="G3004" t="s">
        <v>18</v>
      </c>
      <c r="H3004" t="s">
        <v>37</v>
      </c>
      <c r="I3004" s="3">
        <v>35</v>
      </c>
      <c r="J3004" s="2">
        <v>175</v>
      </c>
      <c r="K3004" s="3">
        <f t="shared" si="46"/>
        <v>6125</v>
      </c>
      <c r="L3004" s="3">
        <v>3981.25</v>
      </c>
    </row>
    <row r="3005" spans="1:12" x14ac:dyDescent="0.25">
      <c r="A3005" t="s">
        <v>19</v>
      </c>
      <c r="B3005">
        <v>1128299</v>
      </c>
      <c r="C3005" s="1">
        <v>44327</v>
      </c>
      <c r="D3005" t="s">
        <v>12</v>
      </c>
      <c r="E3005" t="s">
        <v>20</v>
      </c>
      <c r="F3005" t="s">
        <v>21</v>
      </c>
      <c r="G3005" t="s">
        <v>15</v>
      </c>
      <c r="H3005" t="s">
        <v>16</v>
      </c>
      <c r="I3005" s="3">
        <v>75</v>
      </c>
      <c r="J3005" s="2">
        <v>475</v>
      </c>
      <c r="K3005" s="3">
        <f t="shared" si="46"/>
        <v>35625</v>
      </c>
      <c r="L3005" s="3">
        <v>21375</v>
      </c>
    </row>
    <row r="3006" spans="1:12" x14ac:dyDescent="0.25">
      <c r="A3006" t="s">
        <v>11</v>
      </c>
      <c r="B3006">
        <v>1185732</v>
      </c>
      <c r="C3006" s="1">
        <v>44327</v>
      </c>
      <c r="D3006" t="s">
        <v>57</v>
      </c>
      <c r="E3006" t="s">
        <v>103</v>
      </c>
      <c r="F3006" t="s">
        <v>104</v>
      </c>
      <c r="G3006" t="s">
        <v>18</v>
      </c>
      <c r="H3006" t="s">
        <v>38</v>
      </c>
      <c r="I3006" s="3">
        <v>60</v>
      </c>
      <c r="J3006" s="2">
        <v>545</v>
      </c>
      <c r="K3006" s="3">
        <f t="shared" si="46"/>
        <v>32700</v>
      </c>
      <c r="L3006" s="3">
        <v>19620</v>
      </c>
    </row>
    <row r="3007" spans="1:12" x14ac:dyDescent="0.25">
      <c r="A3007" t="s">
        <v>11</v>
      </c>
      <c r="B3007">
        <v>1185732</v>
      </c>
      <c r="C3007" s="1">
        <v>44327</v>
      </c>
      <c r="D3007" t="s">
        <v>57</v>
      </c>
      <c r="E3007" t="s">
        <v>103</v>
      </c>
      <c r="F3007" t="s">
        <v>104</v>
      </c>
      <c r="G3007" t="s">
        <v>18</v>
      </c>
      <c r="H3007" t="s">
        <v>17</v>
      </c>
      <c r="I3007" s="3">
        <v>40</v>
      </c>
      <c r="J3007" s="2">
        <v>250</v>
      </c>
      <c r="K3007" s="3">
        <f t="shared" si="46"/>
        <v>10000</v>
      </c>
      <c r="L3007" s="3">
        <v>6000</v>
      </c>
    </row>
    <row r="3008" spans="1:12" x14ac:dyDescent="0.25">
      <c r="A3008" t="s">
        <v>11</v>
      </c>
      <c r="B3008">
        <v>1185732</v>
      </c>
      <c r="C3008" s="1">
        <v>44327</v>
      </c>
      <c r="D3008" t="s">
        <v>57</v>
      </c>
      <c r="E3008" t="s">
        <v>103</v>
      </c>
      <c r="F3008" t="s">
        <v>104</v>
      </c>
      <c r="G3008" t="s">
        <v>18</v>
      </c>
      <c r="H3008" t="s">
        <v>16</v>
      </c>
      <c r="I3008" s="3">
        <v>54.999999999999993</v>
      </c>
      <c r="J3008" s="2">
        <v>325</v>
      </c>
      <c r="K3008" s="3">
        <f t="shared" si="46"/>
        <v>17874.999999999996</v>
      </c>
      <c r="L3008" s="3">
        <v>10724.999999999998</v>
      </c>
    </row>
    <row r="3009" spans="1:12" x14ac:dyDescent="0.25">
      <c r="A3009" t="s">
        <v>26</v>
      </c>
      <c r="B3009">
        <v>1197831</v>
      </c>
      <c r="C3009" s="1">
        <v>44327</v>
      </c>
      <c r="D3009" t="s">
        <v>52</v>
      </c>
      <c r="E3009" t="s">
        <v>97</v>
      </c>
      <c r="F3009" t="s">
        <v>98</v>
      </c>
      <c r="G3009" t="s">
        <v>15</v>
      </c>
      <c r="H3009" t="s">
        <v>35</v>
      </c>
      <c r="I3009" s="3">
        <v>55.000000000000007</v>
      </c>
      <c r="J3009" s="2">
        <v>600</v>
      </c>
      <c r="K3009" s="3">
        <f t="shared" si="46"/>
        <v>33000.000000000007</v>
      </c>
      <c r="L3009" s="3">
        <v>18150.000000000007</v>
      </c>
    </row>
    <row r="3010" spans="1:12" x14ac:dyDescent="0.25">
      <c r="A3010" t="s">
        <v>27</v>
      </c>
      <c r="B3010">
        <v>1189833</v>
      </c>
      <c r="C3010" s="1">
        <v>44327</v>
      </c>
      <c r="D3010" t="s">
        <v>12</v>
      </c>
      <c r="E3010" t="s">
        <v>13</v>
      </c>
      <c r="F3010" t="s">
        <v>28</v>
      </c>
      <c r="G3010" t="s">
        <v>15</v>
      </c>
      <c r="H3010" t="s">
        <v>22</v>
      </c>
      <c r="I3010" s="3">
        <v>60</v>
      </c>
      <c r="J3010" s="2">
        <v>650</v>
      </c>
      <c r="K3010" s="3">
        <f t="shared" si="46"/>
        <v>39000</v>
      </c>
      <c r="L3010" s="3">
        <v>17549.999999999996</v>
      </c>
    </row>
    <row r="3011" spans="1:12" x14ac:dyDescent="0.25">
      <c r="A3011" t="s">
        <v>19</v>
      </c>
      <c r="B3011">
        <v>1128299</v>
      </c>
      <c r="C3011" s="1">
        <v>44327</v>
      </c>
      <c r="D3011" t="s">
        <v>12</v>
      </c>
      <c r="E3011" t="s">
        <v>20</v>
      </c>
      <c r="F3011" t="s">
        <v>21</v>
      </c>
      <c r="G3011" t="s">
        <v>41</v>
      </c>
      <c r="H3011" t="s">
        <v>22</v>
      </c>
      <c r="I3011" s="3">
        <v>55</v>
      </c>
      <c r="J3011" s="2">
        <v>46</v>
      </c>
      <c r="K3011" s="3">
        <f t="shared" ref="K3011:K3074" si="47">I3011*J3011</f>
        <v>2530</v>
      </c>
      <c r="L3011" s="3">
        <v>1821.6</v>
      </c>
    </row>
    <row r="3012" spans="1:12" x14ac:dyDescent="0.25">
      <c r="A3012" t="s">
        <v>19</v>
      </c>
      <c r="B3012">
        <v>1128299</v>
      </c>
      <c r="C3012" s="1">
        <v>44327</v>
      </c>
      <c r="D3012" t="s">
        <v>12</v>
      </c>
      <c r="E3012" t="s">
        <v>20</v>
      </c>
      <c r="F3012" t="s">
        <v>21</v>
      </c>
      <c r="G3012" t="s">
        <v>41</v>
      </c>
      <c r="H3012" t="s">
        <v>17</v>
      </c>
      <c r="I3012" s="3">
        <v>58</v>
      </c>
      <c r="J3012" s="2">
        <v>98</v>
      </c>
      <c r="K3012" s="3">
        <f t="shared" si="47"/>
        <v>5684</v>
      </c>
      <c r="L3012" s="3">
        <v>3808.2799999999997</v>
      </c>
    </row>
    <row r="3013" spans="1:12" x14ac:dyDescent="0.25">
      <c r="A3013" t="s">
        <v>19</v>
      </c>
      <c r="B3013">
        <v>1128299</v>
      </c>
      <c r="C3013" s="1">
        <v>44327</v>
      </c>
      <c r="D3013" t="s">
        <v>12</v>
      </c>
      <c r="E3013" t="s">
        <v>20</v>
      </c>
      <c r="F3013" t="s">
        <v>21</v>
      </c>
      <c r="G3013" t="s">
        <v>41</v>
      </c>
      <c r="H3013" t="s">
        <v>38</v>
      </c>
      <c r="I3013" s="3">
        <v>51</v>
      </c>
      <c r="J3013" s="2">
        <v>158</v>
      </c>
      <c r="K3013" s="3">
        <f t="shared" si="47"/>
        <v>8058</v>
      </c>
      <c r="L3013" s="3">
        <v>5076.54</v>
      </c>
    </row>
    <row r="3014" spans="1:12" x14ac:dyDescent="0.25">
      <c r="A3014" t="s">
        <v>19</v>
      </c>
      <c r="B3014">
        <v>1128299</v>
      </c>
      <c r="C3014" s="1">
        <v>44327</v>
      </c>
      <c r="D3014" t="s">
        <v>12</v>
      </c>
      <c r="E3014" t="s">
        <v>20</v>
      </c>
      <c r="F3014" t="s">
        <v>21</v>
      </c>
      <c r="G3014" t="s">
        <v>41</v>
      </c>
      <c r="H3014" t="s">
        <v>35</v>
      </c>
      <c r="I3014" s="3">
        <v>56</v>
      </c>
      <c r="J3014" s="2">
        <v>98</v>
      </c>
      <c r="K3014" s="3">
        <f t="shared" si="47"/>
        <v>5488</v>
      </c>
      <c r="L3014" s="3">
        <v>3292.7999999999997</v>
      </c>
    </row>
    <row r="3015" spans="1:12" x14ac:dyDescent="0.25">
      <c r="A3015" t="s">
        <v>19</v>
      </c>
      <c r="B3015">
        <v>1128299</v>
      </c>
      <c r="C3015" s="1">
        <v>44327</v>
      </c>
      <c r="D3015" t="s">
        <v>12</v>
      </c>
      <c r="E3015" t="s">
        <v>20</v>
      </c>
      <c r="F3015" t="s">
        <v>21</v>
      </c>
      <c r="G3015" t="s">
        <v>41</v>
      </c>
      <c r="H3015" t="s">
        <v>37</v>
      </c>
      <c r="I3015" s="3">
        <v>52</v>
      </c>
      <c r="J3015" s="2">
        <v>80</v>
      </c>
      <c r="K3015" s="3">
        <f t="shared" si="47"/>
        <v>4160</v>
      </c>
      <c r="L3015" s="3">
        <v>2496</v>
      </c>
    </row>
    <row r="3016" spans="1:12" x14ac:dyDescent="0.25">
      <c r="A3016" t="s">
        <v>11</v>
      </c>
      <c r="B3016">
        <v>1185732</v>
      </c>
      <c r="C3016" s="1">
        <v>44327</v>
      </c>
      <c r="D3016" t="s">
        <v>57</v>
      </c>
      <c r="E3016" t="s">
        <v>103</v>
      </c>
      <c r="F3016" t="s">
        <v>104</v>
      </c>
      <c r="G3016" t="s">
        <v>41</v>
      </c>
      <c r="H3016" t="s">
        <v>22</v>
      </c>
      <c r="I3016" s="3">
        <v>44</v>
      </c>
      <c r="J3016" s="2">
        <v>58</v>
      </c>
      <c r="K3016" s="3">
        <f t="shared" si="47"/>
        <v>2552</v>
      </c>
      <c r="L3016" s="3">
        <v>1403.6000000000001</v>
      </c>
    </row>
    <row r="3017" spans="1:12" x14ac:dyDescent="0.25">
      <c r="A3017" t="s">
        <v>11</v>
      </c>
      <c r="B3017">
        <v>1185732</v>
      </c>
      <c r="C3017" s="1">
        <v>44327</v>
      </c>
      <c r="D3017" t="s">
        <v>57</v>
      </c>
      <c r="E3017" t="s">
        <v>103</v>
      </c>
      <c r="F3017" t="s">
        <v>104</v>
      </c>
      <c r="G3017" t="s">
        <v>41</v>
      </c>
      <c r="H3017" t="s">
        <v>35</v>
      </c>
      <c r="I3017" s="3">
        <v>34</v>
      </c>
      <c r="J3017" s="2">
        <v>56</v>
      </c>
      <c r="K3017" s="3">
        <f t="shared" si="47"/>
        <v>1904</v>
      </c>
      <c r="L3017" s="3">
        <v>1009.12</v>
      </c>
    </row>
    <row r="3018" spans="1:12" x14ac:dyDescent="0.25">
      <c r="A3018" t="s">
        <v>26</v>
      </c>
      <c r="B3018">
        <v>1197831</v>
      </c>
      <c r="C3018" s="1">
        <v>44327</v>
      </c>
      <c r="D3018" t="s">
        <v>52</v>
      </c>
      <c r="E3018" t="s">
        <v>97</v>
      </c>
      <c r="F3018" t="s">
        <v>98</v>
      </c>
      <c r="G3018" t="s">
        <v>15</v>
      </c>
      <c r="H3018" t="s">
        <v>35</v>
      </c>
      <c r="I3018" s="3">
        <v>37</v>
      </c>
      <c r="J3018" s="2">
        <v>204</v>
      </c>
      <c r="K3018" s="3">
        <f t="shared" si="47"/>
        <v>7548</v>
      </c>
      <c r="L3018" s="3">
        <v>4000.44</v>
      </c>
    </row>
    <row r="3019" spans="1:12" x14ac:dyDescent="0.25">
      <c r="A3019" t="s">
        <v>11</v>
      </c>
      <c r="B3019">
        <v>1185732</v>
      </c>
      <c r="C3019" s="1">
        <v>44327</v>
      </c>
      <c r="D3019" t="s">
        <v>57</v>
      </c>
      <c r="E3019" t="s">
        <v>103</v>
      </c>
      <c r="F3019" t="s">
        <v>104</v>
      </c>
      <c r="G3019" t="s">
        <v>41</v>
      </c>
      <c r="H3019" t="s">
        <v>37</v>
      </c>
      <c r="I3019" s="3">
        <v>34</v>
      </c>
      <c r="J3019" s="2">
        <v>49</v>
      </c>
      <c r="K3019" s="3">
        <f t="shared" si="47"/>
        <v>1666</v>
      </c>
      <c r="L3019" s="3">
        <v>849.66</v>
      </c>
    </row>
    <row r="3020" spans="1:12" x14ac:dyDescent="0.25">
      <c r="A3020" t="s">
        <v>11</v>
      </c>
      <c r="B3020">
        <v>1185732</v>
      </c>
      <c r="C3020" s="1">
        <v>44327</v>
      </c>
      <c r="D3020" t="s">
        <v>57</v>
      </c>
      <c r="E3020" t="s">
        <v>103</v>
      </c>
      <c r="F3020" t="s">
        <v>104</v>
      </c>
      <c r="G3020" t="s">
        <v>41</v>
      </c>
      <c r="H3020" t="s">
        <v>38</v>
      </c>
      <c r="I3020" s="3">
        <v>54</v>
      </c>
      <c r="J3020" s="2">
        <v>164</v>
      </c>
      <c r="K3020" s="3">
        <f t="shared" si="47"/>
        <v>8856</v>
      </c>
      <c r="L3020" s="3">
        <v>4428</v>
      </c>
    </row>
    <row r="3021" spans="1:12" x14ac:dyDescent="0.25">
      <c r="A3021" t="s">
        <v>11</v>
      </c>
      <c r="B3021">
        <v>1185732</v>
      </c>
      <c r="C3021" s="1">
        <v>44327</v>
      </c>
      <c r="D3021" t="s">
        <v>57</v>
      </c>
      <c r="E3021" t="s">
        <v>103</v>
      </c>
      <c r="F3021" t="s">
        <v>104</v>
      </c>
      <c r="G3021" t="s">
        <v>41</v>
      </c>
      <c r="H3021" t="s">
        <v>16</v>
      </c>
      <c r="I3021" s="3">
        <v>53</v>
      </c>
      <c r="J3021" s="2">
        <v>91</v>
      </c>
      <c r="K3021" s="3">
        <f t="shared" si="47"/>
        <v>4823</v>
      </c>
      <c r="L3021" s="3">
        <v>2315.04</v>
      </c>
    </row>
    <row r="3022" spans="1:12" x14ac:dyDescent="0.25">
      <c r="A3022" t="s">
        <v>19</v>
      </c>
      <c r="B3022">
        <v>1128299</v>
      </c>
      <c r="C3022" s="1">
        <v>44327</v>
      </c>
      <c r="D3022" t="s">
        <v>12</v>
      </c>
      <c r="E3022" t="s">
        <v>20</v>
      </c>
      <c r="F3022" t="s">
        <v>21</v>
      </c>
      <c r="G3022" t="s">
        <v>41</v>
      </c>
      <c r="H3022" t="s">
        <v>16</v>
      </c>
      <c r="I3022" s="3">
        <v>69</v>
      </c>
      <c r="J3022" s="2">
        <v>143</v>
      </c>
      <c r="K3022" s="3">
        <f t="shared" si="47"/>
        <v>9867</v>
      </c>
      <c r="L3022" s="3">
        <v>4440.1499999999996</v>
      </c>
    </row>
    <row r="3023" spans="1:12" x14ac:dyDescent="0.25">
      <c r="A3023" t="s">
        <v>11</v>
      </c>
      <c r="B3023">
        <v>1185732</v>
      </c>
      <c r="C3023" s="1">
        <v>44327</v>
      </c>
      <c r="D3023" t="s">
        <v>57</v>
      </c>
      <c r="E3023" t="s">
        <v>103</v>
      </c>
      <c r="F3023" t="s">
        <v>104</v>
      </c>
      <c r="G3023" t="s">
        <v>41</v>
      </c>
      <c r="H3023" t="s">
        <v>17</v>
      </c>
      <c r="I3023" s="3">
        <v>37</v>
      </c>
      <c r="J3023" s="2">
        <v>73</v>
      </c>
      <c r="K3023" s="3">
        <f t="shared" si="47"/>
        <v>2701</v>
      </c>
      <c r="L3023" s="3">
        <v>1215.4499999999998</v>
      </c>
    </row>
    <row r="3024" spans="1:12" x14ac:dyDescent="0.25">
      <c r="A3024" t="s">
        <v>26</v>
      </c>
      <c r="B3024">
        <v>1197831</v>
      </c>
      <c r="C3024" s="1">
        <v>44327</v>
      </c>
      <c r="D3024" t="s">
        <v>52</v>
      </c>
      <c r="E3024" t="s">
        <v>97</v>
      </c>
      <c r="F3024" t="s">
        <v>98</v>
      </c>
      <c r="G3024" t="s">
        <v>41</v>
      </c>
      <c r="H3024" t="s">
        <v>35</v>
      </c>
      <c r="I3024" s="3">
        <v>50</v>
      </c>
      <c r="J3024" s="2">
        <v>174</v>
      </c>
      <c r="K3024" s="3">
        <f t="shared" si="47"/>
        <v>8700</v>
      </c>
      <c r="L3024" s="3">
        <v>3828.0000000000009</v>
      </c>
    </row>
    <row r="3025" spans="1:12" x14ac:dyDescent="0.25">
      <c r="A3025" t="s">
        <v>27</v>
      </c>
      <c r="B3025">
        <v>1189833</v>
      </c>
      <c r="C3025" s="1">
        <v>44327</v>
      </c>
      <c r="D3025" t="s">
        <v>12</v>
      </c>
      <c r="E3025" t="s">
        <v>13</v>
      </c>
      <c r="F3025" t="s">
        <v>28</v>
      </c>
      <c r="G3025" t="s">
        <v>15</v>
      </c>
      <c r="H3025" t="s">
        <v>22</v>
      </c>
      <c r="I3025" s="3">
        <v>44</v>
      </c>
      <c r="J3025" s="2">
        <v>195</v>
      </c>
      <c r="K3025" s="3">
        <f t="shared" si="47"/>
        <v>8580</v>
      </c>
      <c r="L3025" s="3">
        <v>3260.3999999999987</v>
      </c>
    </row>
    <row r="3026" spans="1:12" x14ac:dyDescent="0.25">
      <c r="A3026" t="s">
        <v>27</v>
      </c>
      <c r="B3026">
        <v>1189833</v>
      </c>
      <c r="C3026" s="1">
        <v>44327</v>
      </c>
      <c r="D3026" t="s">
        <v>12</v>
      </c>
      <c r="E3026" t="s">
        <v>13</v>
      </c>
      <c r="F3026" t="s">
        <v>28</v>
      </c>
      <c r="G3026" t="s">
        <v>41</v>
      </c>
      <c r="H3026" t="s">
        <v>22</v>
      </c>
      <c r="I3026" s="3">
        <v>58</v>
      </c>
      <c r="J3026" s="2">
        <v>163</v>
      </c>
      <c r="K3026" s="3">
        <f t="shared" si="47"/>
        <v>9454</v>
      </c>
      <c r="L3026" s="3">
        <v>3119.8199999999997</v>
      </c>
    </row>
    <row r="3027" spans="1:12" x14ac:dyDescent="0.25">
      <c r="A3027" t="s">
        <v>27</v>
      </c>
      <c r="B3027">
        <v>1189833</v>
      </c>
      <c r="C3027" s="1">
        <v>44328</v>
      </c>
      <c r="D3027" t="s">
        <v>12</v>
      </c>
      <c r="E3027" t="s">
        <v>13</v>
      </c>
      <c r="F3027" t="s">
        <v>28</v>
      </c>
      <c r="G3027" t="s">
        <v>15</v>
      </c>
      <c r="H3027" t="s">
        <v>16</v>
      </c>
      <c r="I3027" s="3">
        <v>65</v>
      </c>
      <c r="J3027" s="2">
        <v>700</v>
      </c>
      <c r="K3027" s="3">
        <f t="shared" si="47"/>
        <v>45500</v>
      </c>
      <c r="L3027" s="3">
        <v>36400</v>
      </c>
    </row>
    <row r="3028" spans="1:12" x14ac:dyDescent="0.25">
      <c r="A3028" t="s">
        <v>11</v>
      </c>
      <c r="B3028">
        <v>1185732</v>
      </c>
      <c r="C3028" s="1">
        <v>44328</v>
      </c>
      <c r="D3028" t="s">
        <v>12</v>
      </c>
      <c r="E3028" t="s">
        <v>101</v>
      </c>
      <c r="F3028" t="s">
        <v>102</v>
      </c>
      <c r="G3028" t="s">
        <v>18</v>
      </c>
      <c r="H3028" t="s">
        <v>35</v>
      </c>
      <c r="I3028" s="3">
        <v>25.000000000000007</v>
      </c>
      <c r="J3028" s="2">
        <v>350</v>
      </c>
      <c r="K3028" s="3">
        <f t="shared" si="47"/>
        <v>8750.0000000000018</v>
      </c>
      <c r="L3028" s="3">
        <v>5687.5000000000018</v>
      </c>
    </row>
    <row r="3029" spans="1:12" x14ac:dyDescent="0.25">
      <c r="A3029" t="s">
        <v>11</v>
      </c>
      <c r="B3029">
        <v>1185732</v>
      </c>
      <c r="C3029" s="1">
        <v>44328</v>
      </c>
      <c r="D3029" t="s">
        <v>12</v>
      </c>
      <c r="E3029" t="s">
        <v>101</v>
      </c>
      <c r="F3029" t="s">
        <v>102</v>
      </c>
      <c r="G3029" t="s">
        <v>18</v>
      </c>
      <c r="H3029" t="s">
        <v>17</v>
      </c>
      <c r="I3029" s="3">
        <v>30.000000000000011</v>
      </c>
      <c r="J3029" s="2">
        <v>375</v>
      </c>
      <c r="K3029" s="3">
        <f t="shared" si="47"/>
        <v>11250.000000000004</v>
      </c>
      <c r="L3029" s="3">
        <v>7312.5000000000027</v>
      </c>
    </row>
    <row r="3030" spans="1:12" x14ac:dyDescent="0.25">
      <c r="A3030" t="s">
        <v>27</v>
      </c>
      <c r="B3030">
        <v>1197831</v>
      </c>
      <c r="C3030" s="1">
        <v>44328</v>
      </c>
      <c r="D3030" t="s">
        <v>57</v>
      </c>
      <c r="E3030" t="s">
        <v>72</v>
      </c>
      <c r="F3030" t="s">
        <v>73</v>
      </c>
      <c r="G3030" t="s">
        <v>41</v>
      </c>
      <c r="H3030" t="s">
        <v>22</v>
      </c>
      <c r="I3030" s="3">
        <v>44.999999999999993</v>
      </c>
      <c r="J3030" s="2">
        <v>225</v>
      </c>
      <c r="K3030" s="3">
        <f t="shared" si="47"/>
        <v>10124.999999999998</v>
      </c>
      <c r="L3030" s="3">
        <v>6581.25</v>
      </c>
    </row>
    <row r="3031" spans="1:12" x14ac:dyDescent="0.25">
      <c r="A3031" t="s">
        <v>11</v>
      </c>
      <c r="B3031">
        <v>1185732</v>
      </c>
      <c r="C3031" s="1">
        <v>44328</v>
      </c>
      <c r="D3031" t="s">
        <v>12</v>
      </c>
      <c r="E3031" t="s">
        <v>101</v>
      </c>
      <c r="F3031" t="s">
        <v>102</v>
      </c>
      <c r="G3031" t="s">
        <v>18</v>
      </c>
      <c r="H3031" t="s">
        <v>22</v>
      </c>
      <c r="I3031" s="3">
        <v>40</v>
      </c>
      <c r="J3031" s="2">
        <v>300</v>
      </c>
      <c r="K3031" s="3">
        <f t="shared" si="47"/>
        <v>12000</v>
      </c>
      <c r="L3031" s="3">
        <v>7800</v>
      </c>
    </row>
    <row r="3032" spans="1:12" x14ac:dyDescent="0.25">
      <c r="A3032" t="s">
        <v>27</v>
      </c>
      <c r="B3032">
        <v>1197831</v>
      </c>
      <c r="C3032" s="1">
        <v>44328</v>
      </c>
      <c r="D3032" t="s">
        <v>57</v>
      </c>
      <c r="E3032" t="s">
        <v>72</v>
      </c>
      <c r="F3032" t="s">
        <v>73</v>
      </c>
      <c r="G3032" t="s">
        <v>41</v>
      </c>
      <c r="H3032" t="s">
        <v>38</v>
      </c>
      <c r="I3032" s="3">
        <v>40</v>
      </c>
      <c r="J3032" s="2">
        <v>570</v>
      </c>
      <c r="K3032" s="3">
        <f t="shared" si="47"/>
        <v>22800</v>
      </c>
      <c r="L3032" s="3">
        <v>14820</v>
      </c>
    </row>
    <row r="3033" spans="1:12" x14ac:dyDescent="0.25">
      <c r="A3033" t="s">
        <v>27</v>
      </c>
      <c r="B3033">
        <v>1197831</v>
      </c>
      <c r="C3033" s="1">
        <v>44328</v>
      </c>
      <c r="D3033" t="s">
        <v>57</v>
      </c>
      <c r="E3033" t="s">
        <v>72</v>
      </c>
      <c r="F3033" t="s">
        <v>73</v>
      </c>
      <c r="G3033" t="s">
        <v>41</v>
      </c>
      <c r="H3033" t="s">
        <v>17</v>
      </c>
      <c r="I3033" s="3">
        <v>40</v>
      </c>
      <c r="J3033" s="2">
        <v>275</v>
      </c>
      <c r="K3033" s="3">
        <f t="shared" si="47"/>
        <v>11000</v>
      </c>
      <c r="L3033" s="3">
        <v>7150</v>
      </c>
    </row>
    <row r="3034" spans="1:12" x14ac:dyDescent="0.25">
      <c r="A3034" t="s">
        <v>27</v>
      </c>
      <c r="B3034">
        <v>1197831</v>
      </c>
      <c r="C3034" s="1">
        <v>44328</v>
      </c>
      <c r="D3034" t="s">
        <v>57</v>
      </c>
      <c r="E3034" t="s">
        <v>72</v>
      </c>
      <c r="F3034" t="s">
        <v>73</v>
      </c>
      <c r="G3034" t="s">
        <v>41</v>
      </c>
      <c r="H3034" t="s">
        <v>35</v>
      </c>
      <c r="I3034" s="3">
        <v>35</v>
      </c>
      <c r="J3034" s="2">
        <v>250</v>
      </c>
      <c r="K3034" s="3">
        <f t="shared" si="47"/>
        <v>8750</v>
      </c>
      <c r="L3034" s="3">
        <v>5687.5</v>
      </c>
    </row>
    <row r="3035" spans="1:12" x14ac:dyDescent="0.25">
      <c r="A3035" t="s">
        <v>27</v>
      </c>
      <c r="B3035">
        <v>1197831</v>
      </c>
      <c r="C3035" s="1">
        <v>44328</v>
      </c>
      <c r="D3035" t="s">
        <v>57</v>
      </c>
      <c r="E3035" t="s">
        <v>72</v>
      </c>
      <c r="F3035" t="s">
        <v>73</v>
      </c>
      <c r="G3035" t="s">
        <v>41</v>
      </c>
      <c r="H3035" t="s">
        <v>37</v>
      </c>
      <c r="I3035" s="3">
        <v>35</v>
      </c>
      <c r="J3035" s="2">
        <v>200</v>
      </c>
      <c r="K3035" s="3">
        <f t="shared" si="47"/>
        <v>7000</v>
      </c>
      <c r="L3035" s="3">
        <v>4550</v>
      </c>
    </row>
    <row r="3036" spans="1:12" x14ac:dyDescent="0.25">
      <c r="A3036" t="s">
        <v>27</v>
      </c>
      <c r="B3036">
        <v>1197831</v>
      </c>
      <c r="C3036" s="1">
        <v>44328</v>
      </c>
      <c r="D3036" t="s">
        <v>57</v>
      </c>
      <c r="E3036" t="s">
        <v>72</v>
      </c>
      <c r="F3036" t="s">
        <v>73</v>
      </c>
      <c r="G3036" t="s">
        <v>41</v>
      </c>
      <c r="H3036" t="s">
        <v>16</v>
      </c>
      <c r="I3036" s="3">
        <v>44.999999999999993</v>
      </c>
      <c r="J3036" s="2">
        <v>325</v>
      </c>
      <c r="K3036" s="3">
        <f t="shared" si="47"/>
        <v>14624.999999999998</v>
      </c>
      <c r="L3036" s="3">
        <v>9506.2499999999982</v>
      </c>
    </row>
    <row r="3037" spans="1:12" x14ac:dyDescent="0.25">
      <c r="A3037" t="s">
        <v>11</v>
      </c>
      <c r="B3037">
        <v>1185732</v>
      </c>
      <c r="C3037" s="1">
        <v>44328</v>
      </c>
      <c r="D3037" t="s">
        <v>12</v>
      </c>
      <c r="E3037" t="s">
        <v>101</v>
      </c>
      <c r="F3037" t="s">
        <v>102</v>
      </c>
      <c r="G3037" t="s">
        <v>18</v>
      </c>
      <c r="H3037" t="s">
        <v>38</v>
      </c>
      <c r="I3037" s="3">
        <v>35</v>
      </c>
      <c r="J3037" s="2">
        <v>670</v>
      </c>
      <c r="K3037" s="3">
        <f t="shared" si="47"/>
        <v>23450</v>
      </c>
      <c r="L3037" s="3">
        <v>14070</v>
      </c>
    </row>
    <row r="3038" spans="1:12" x14ac:dyDescent="0.25">
      <c r="A3038" t="s">
        <v>11</v>
      </c>
      <c r="B3038">
        <v>1185732</v>
      </c>
      <c r="C3038" s="1">
        <v>44328</v>
      </c>
      <c r="D3038" t="s">
        <v>12</v>
      </c>
      <c r="E3038" t="s">
        <v>101</v>
      </c>
      <c r="F3038" t="s">
        <v>102</v>
      </c>
      <c r="G3038" t="s">
        <v>18</v>
      </c>
      <c r="H3038" t="s">
        <v>37</v>
      </c>
      <c r="I3038" s="3">
        <v>25.000000000000007</v>
      </c>
      <c r="J3038" s="2">
        <v>275</v>
      </c>
      <c r="K3038" s="3">
        <f t="shared" si="47"/>
        <v>6875.0000000000018</v>
      </c>
      <c r="L3038" s="3">
        <v>4125.0000000000009</v>
      </c>
    </row>
    <row r="3039" spans="1:12" x14ac:dyDescent="0.25">
      <c r="A3039" t="s">
        <v>11</v>
      </c>
      <c r="B3039">
        <v>1185732</v>
      </c>
      <c r="C3039" s="1">
        <v>44328</v>
      </c>
      <c r="D3039" t="s">
        <v>12</v>
      </c>
      <c r="E3039" t="s">
        <v>101</v>
      </c>
      <c r="F3039" t="s">
        <v>102</v>
      </c>
      <c r="G3039" t="s">
        <v>18</v>
      </c>
      <c r="H3039" t="s">
        <v>16</v>
      </c>
      <c r="I3039" s="3">
        <v>44.999999999999993</v>
      </c>
      <c r="J3039" s="2">
        <v>400</v>
      </c>
      <c r="K3039" s="3">
        <f t="shared" si="47"/>
        <v>17999.999999999996</v>
      </c>
      <c r="L3039" s="3">
        <v>8999.9999999999982</v>
      </c>
    </row>
    <row r="3040" spans="1:12" x14ac:dyDescent="0.25">
      <c r="A3040" t="s">
        <v>26</v>
      </c>
      <c r="B3040">
        <v>1197831</v>
      </c>
      <c r="C3040" s="1">
        <v>44328</v>
      </c>
      <c r="D3040" t="s">
        <v>52</v>
      </c>
      <c r="E3040" t="s">
        <v>97</v>
      </c>
      <c r="F3040" t="s">
        <v>98</v>
      </c>
      <c r="G3040" t="s">
        <v>15</v>
      </c>
      <c r="H3040" t="s">
        <v>37</v>
      </c>
      <c r="I3040" s="3">
        <v>55.000000000000007</v>
      </c>
      <c r="J3040" s="2">
        <v>475</v>
      </c>
      <c r="K3040" s="3">
        <f t="shared" si="47"/>
        <v>26125.000000000004</v>
      </c>
      <c r="L3040" s="3">
        <v>11756.25</v>
      </c>
    </row>
    <row r="3041" spans="1:12" x14ac:dyDescent="0.25">
      <c r="A3041" t="s">
        <v>27</v>
      </c>
      <c r="B3041">
        <v>1189833</v>
      </c>
      <c r="C3041" s="1">
        <v>44328</v>
      </c>
      <c r="D3041" t="s">
        <v>12</v>
      </c>
      <c r="E3041" t="s">
        <v>13</v>
      </c>
      <c r="F3041" t="s">
        <v>28</v>
      </c>
      <c r="G3041" t="s">
        <v>15</v>
      </c>
      <c r="H3041" t="s">
        <v>16</v>
      </c>
      <c r="I3041" s="3">
        <v>49</v>
      </c>
      <c r="J3041" s="2">
        <v>210</v>
      </c>
      <c r="K3041" s="3">
        <f t="shared" si="47"/>
        <v>10290</v>
      </c>
      <c r="L3041" s="3">
        <v>8026.2</v>
      </c>
    </row>
    <row r="3042" spans="1:12" x14ac:dyDescent="0.25">
      <c r="A3042" t="s">
        <v>27</v>
      </c>
      <c r="B3042">
        <v>1189833</v>
      </c>
      <c r="C3042" s="1">
        <v>44328</v>
      </c>
      <c r="D3042" t="s">
        <v>12</v>
      </c>
      <c r="E3042" t="s">
        <v>13</v>
      </c>
      <c r="F3042" t="s">
        <v>28</v>
      </c>
      <c r="G3042" t="s">
        <v>41</v>
      </c>
      <c r="H3042" t="s">
        <v>16</v>
      </c>
      <c r="I3042" s="3">
        <v>59</v>
      </c>
      <c r="J3042" s="2">
        <v>189</v>
      </c>
      <c r="K3042" s="3">
        <f t="shared" si="47"/>
        <v>11151</v>
      </c>
      <c r="L3042" s="3">
        <v>7694.1900000000005</v>
      </c>
    </row>
    <row r="3043" spans="1:12" x14ac:dyDescent="0.25">
      <c r="A3043" t="s">
        <v>11</v>
      </c>
      <c r="B3043">
        <v>1185732</v>
      </c>
      <c r="C3043" s="1">
        <v>44328</v>
      </c>
      <c r="D3043" t="s">
        <v>12</v>
      </c>
      <c r="E3043" t="s">
        <v>101</v>
      </c>
      <c r="F3043" t="s">
        <v>102</v>
      </c>
      <c r="G3043" t="s">
        <v>15</v>
      </c>
      <c r="H3043" t="s">
        <v>35</v>
      </c>
      <c r="I3043" s="3">
        <v>19</v>
      </c>
      <c r="J3043" s="2">
        <v>109</v>
      </c>
      <c r="K3043" s="3">
        <f t="shared" si="47"/>
        <v>2071</v>
      </c>
      <c r="L3043" s="3">
        <v>1284.02</v>
      </c>
    </row>
    <row r="3044" spans="1:12" x14ac:dyDescent="0.25">
      <c r="A3044" t="s">
        <v>11</v>
      </c>
      <c r="B3044">
        <v>1185732</v>
      </c>
      <c r="C3044" s="1">
        <v>44328</v>
      </c>
      <c r="D3044" t="s">
        <v>12</v>
      </c>
      <c r="E3044" t="s">
        <v>101</v>
      </c>
      <c r="F3044" t="s">
        <v>102</v>
      </c>
      <c r="G3044" t="s">
        <v>15</v>
      </c>
      <c r="H3044" t="s">
        <v>17</v>
      </c>
      <c r="I3044" s="3">
        <v>22</v>
      </c>
      <c r="J3044" s="2">
        <v>128</v>
      </c>
      <c r="K3044" s="3">
        <f t="shared" si="47"/>
        <v>2816</v>
      </c>
      <c r="L3044" s="3">
        <v>1633.28</v>
      </c>
    </row>
    <row r="3045" spans="1:12" x14ac:dyDescent="0.25">
      <c r="A3045" t="s">
        <v>11</v>
      </c>
      <c r="B3045">
        <v>1185732</v>
      </c>
      <c r="C3045" s="1">
        <v>44328</v>
      </c>
      <c r="D3045" t="s">
        <v>12</v>
      </c>
      <c r="E3045" t="s">
        <v>101</v>
      </c>
      <c r="F3045" t="s">
        <v>102</v>
      </c>
      <c r="G3045" t="s">
        <v>15</v>
      </c>
      <c r="H3045" t="s">
        <v>22</v>
      </c>
      <c r="I3045" s="3">
        <v>29</v>
      </c>
      <c r="J3045" s="2">
        <v>90</v>
      </c>
      <c r="K3045" s="3">
        <f t="shared" si="47"/>
        <v>2610</v>
      </c>
      <c r="L3045" s="3">
        <v>1513.8</v>
      </c>
    </row>
    <row r="3046" spans="1:12" x14ac:dyDescent="0.25">
      <c r="A3046" t="s">
        <v>11</v>
      </c>
      <c r="B3046">
        <v>1185732</v>
      </c>
      <c r="C3046" s="1">
        <v>44328</v>
      </c>
      <c r="D3046" t="s">
        <v>12</v>
      </c>
      <c r="E3046" t="s">
        <v>101</v>
      </c>
      <c r="F3046" t="s">
        <v>102</v>
      </c>
      <c r="G3046" t="s">
        <v>15</v>
      </c>
      <c r="H3046" t="s">
        <v>38</v>
      </c>
      <c r="I3046" s="3">
        <v>27</v>
      </c>
      <c r="J3046" s="2">
        <v>228</v>
      </c>
      <c r="K3046" s="3">
        <f t="shared" si="47"/>
        <v>6156</v>
      </c>
      <c r="L3046" s="3">
        <v>3508.9199999999996</v>
      </c>
    </row>
    <row r="3047" spans="1:12" x14ac:dyDescent="0.25">
      <c r="A3047" t="s">
        <v>11</v>
      </c>
      <c r="B3047">
        <v>1185732</v>
      </c>
      <c r="C3047" s="1">
        <v>44328</v>
      </c>
      <c r="D3047" t="s">
        <v>12</v>
      </c>
      <c r="E3047" t="s">
        <v>101</v>
      </c>
      <c r="F3047" t="s">
        <v>102</v>
      </c>
      <c r="G3047" t="s">
        <v>15</v>
      </c>
      <c r="H3047" t="s">
        <v>37</v>
      </c>
      <c r="I3047" s="3">
        <v>19</v>
      </c>
      <c r="J3047" s="2">
        <v>94</v>
      </c>
      <c r="K3047" s="3">
        <f t="shared" si="47"/>
        <v>1786</v>
      </c>
      <c r="L3047" s="3">
        <v>1018.0199999999999</v>
      </c>
    </row>
    <row r="3048" spans="1:12" x14ac:dyDescent="0.25">
      <c r="A3048" t="s">
        <v>27</v>
      </c>
      <c r="B3048">
        <v>1197831</v>
      </c>
      <c r="C3048" s="1">
        <v>44328</v>
      </c>
      <c r="D3048" t="s">
        <v>57</v>
      </c>
      <c r="E3048" t="s">
        <v>72</v>
      </c>
      <c r="F3048" t="s">
        <v>73</v>
      </c>
      <c r="G3048" t="s">
        <v>41</v>
      </c>
      <c r="H3048" t="s">
        <v>38</v>
      </c>
      <c r="I3048" s="3">
        <v>36</v>
      </c>
      <c r="J3048" s="2">
        <v>143</v>
      </c>
      <c r="K3048" s="3">
        <f t="shared" si="47"/>
        <v>5148</v>
      </c>
      <c r="L3048" s="3">
        <v>2831.4</v>
      </c>
    </row>
    <row r="3049" spans="1:12" x14ac:dyDescent="0.25">
      <c r="A3049" t="s">
        <v>27</v>
      </c>
      <c r="B3049">
        <v>1197831</v>
      </c>
      <c r="C3049" s="1">
        <v>44328</v>
      </c>
      <c r="D3049" t="s">
        <v>57</v>
      </c>
      <c r="E3049" t="s">
        <v>72</v>
      </c>
      <c r="F3049" t="s">
        <v>73</v>
      </c>
      <c r="G3049" t="s">
        <v>41</v>
      </c>
      <c r="H3049" t="s">
        <v>16</v>
      </c>
      <c r="I3049" s="3">
        <v>42</v>
      </c>
      <c r="J3049" s="2">
        <v>94</v>
      </c>
      <c r="K3049" s="3">
        <f t="shared" si="47"/>
        <v>3948</v>
      </c>
      <c r="L3049" s="3">
        <v>2171.4</v>
      </c>
    </row>
    <row r="3050" spans="1:12" x14ac:dyDescent="0.25">
      <c r="A3050" t="s">
        <v>27</v>
      </c>
      <c r="B3050">
        <v>1197831</v>
      </c>
      <c r="C3050" s="1">
        <v>44328</v>
      </c>
      <c r="D3050" t="s">
        <v>57</v>
      </c>
      <c r="E3050" t="s">
        <v>72</v>
      </c>
      <c r="F3050" t="s">
        <v>73</v>
      </c>
      <c r="G3050" t="s">
        <v>41</v>
      </c>
      <c r="H3050" t="s">
        <v>17</v>
      </c>
      <c r="I3050" s="3">
        <v>39</v>
      </c>
      <c r="J3050" s="2">
        <v>77</v>
      </c>
      <c r="K3050" s="3">
        <f t="shared" si="47"/>
        <v>3003</v>
      </c>
      <c r="L3050" s="3">
        <v>1561.56</v>
      </c>
    </row>
    <row r="3051" spans="1:12" x14ac:dyDescent="0.25">
      <c r="A3051" t="s">
        <v>27</v>
      </c>
      <c r="B3051">
        <v>1197831</v>
      </c>
      <c r="C3051" s="1">
        <v>44328</v>
      </c>
      <c r="D3051" t="s">
        <v>57</v>
      </c>
      <c r="E3051" t="s">
        <v>72</v>
      </c>
      <c r="F3051" t="s">
        <v>73</v>
      </c>
      <c r="G3051" t="s">
        <v>41</v>
      </c>
      <c r="H3051" t="s">
        <v>35</v>
      </c>
      <c r="I3051" s="3">
        <v>32</v>
      </c>
      <c r="J3051" s="2">
        <v>65</v>
      </c>
      <c r="K3051" s="3">
        <f t="shared" si="47"/>
        <v>2080</v>
      </c>
      <c r="L3051" s="3">
        <v>1060.8000000000002</v>
      </c>
    </row>
    <row r="3052" spans="1:12" x14ac:dyDescent="0.25">
      <c r="A3052" t="s">
        <v>11</v>
      </c>
      <c r="B3052">
        <v>1185732</v>
      </c>
      <c r="C3052" s="1">
        <v>44328</v>
      </c>
      <c r="D3052" t="s">
        <v>12</v>
      </c>
      <c r="E3052" t="s">
        <v>101</v>
      </c>
      <c r="F3052" t="s">
        <v>102</v>
      </c>
      <c r="G3052" t="s">
        <v>41</v>
      </c>
      <c r="H3052" t="s">
        <v>17</v>
      </c>
      <c r="I3052" s="3">
        <v>29</v>
      </c>
      <c r="J3052" s="2">
        <v>101</v>
      </c>
      <c r="K3052" s="3">
        <f t="shared" si="47"/>
        <v>2929</v>
      </c>
      <c r="L3052" s="3">
        <v>1493.79</v>
      </c>
    </row>
    <row r="3053" spans="1:12" x14ac:dyDescent="0.25">
      <c r="A3053" t="s">
        <v>11</v>
      </c>
      <c r="B3053">
        <v>1185732</v>
      </c>
      <c r="C3053" s="1">
        <v>44328</v>
      </c>
      <c r="D3053" t="s">
        <v>12</v>
      </c>
      <c r="E3053" t="s">
        <v>101</v>
      </c>
      <c r="F3053" t="s">
        <v>102</v>
      </c>
      <c r="G3053" t="s">
        <v>41</v>
      </c>
      <c r="H3053" t="s">
        <v>35</v>
      </c>
      <c r="I3053" s="3">
        <v>25</v>
      </c>
      <c r="J3053" s="2">
        <v>98</v>
      </c>
      <c r="K3053" s="3">
        <f t="shared" si="47"/>
        <v>2450</v>
      </c>
      <c r="L3053" s="3">
        <v>1225</v>
      </c>
    </row>
    <row r="3054" spans="1:12" x14ac:dyDescent="0.25">
      <c r="A3054" t="s">
        <v>11</v>
      </c>
      <c r="B3054">
        <v>1185732</v>
      </c>
      <c r="C3054" s="1">
        <v>44328</v>
      </c>
      <c r="D3054" t="s">
        <v>12</v>
      </c>
      <c r="E3054" t="s">
        <v>101</v>
      </c>
      <c r="F3054" t="s">
        <v>102</v>
      </c>
      <c r="G3054" t="s">
        <v>41</v>
      </c>
      <c r="H3054" t="s">
        <v>22</v>
      </c>
      <c r="I3054" s="3">
        <v>39</v>
      </c>
      <c r="J3054" s="2">
        <v>75</v>
      </c>
      <c r="K3054" s="3">
        <f t="shared" si="47"/>
        <v>2925</v>
      </c>
      <c r="L3054" s="3">
        <v>1462.5</v>
      </c>
    </row>
    <row r="3055" spans="1:12" x14ac:dyDescent="0.25">
      <c r="A3055" t="s">
        <v>27</v>
      </c>
      <c r="B3055">
        <v>1197831</v>
      </c>
      <c r="C3055" s="1">
        <v>44328</v>
      </c>
      <c r="D3055" t="s">
        <v>57</v>
      </c>
      <c r="E3055" t="s">
        <v>72</v>
      </c>
      <c r="F3055" t="s">
        <v>73</v>
      </c>
      <c r="G3055" t="s">
        <v>41</v>
      </c>
      <c r="H3055" t="s">
        <v>37</v>
      </c>
      <c r="I3055" s="3">
        <v>32</v>
      </c>
      <c r="J3055" s="2">
        <v>58</v>
      </c>
      <c r="K3055" s="3">
        <f t="shared" si="47"/>
        <v>1856</v>
      </c>
      <c r="L3055" s="3">
        <v>928</v>
      </c>
    </row>
    <row r="3056" spans="1:12" x14ac:dyDescent="0.25">
      <c r="A3056" t="s">
        <v>27</v>
      </c>
      <c r="B3056">
        <v>1197831</v>
      </c>
      <c r="C3056" s="1">
        <v>44328</v>
      </c>
      <c r="D3056" t="s">
        <v>57</v>
      </c>
      <c r="E3056" t="s">
        <v>72</v>
      </c>
      <c r="F3056" t="s">
        <v>73</v>
      </c>
      <c r="G3056" t="s">
        <v>41</v>
      </c>
      <c r="H3056" t="s">
        <v>22</v>
      </c>
      <c r="I3056" s="3">
        <v>43</v>
      </c>
      <c r="J3056" s="2">
        <v>56</v>
      </c>
      <c r="K3056" s="3">
        <f t="shared" si="47"/>
        <v>2408</v>
      </c>
      <c r="L3056" s="3">
        <v>1204</v>
      </c>
    </row>
    <row r="3057" spans="1:12" x14ac:dyDescent="0.25">
      <c r="A3057" t="s">
        <v>11</v>
      </c>
      <c r="B3057">
        <v>1185732</v>
      </c>
      <c r="C3057" s="1">
        <v>44328</v>
      </c>
      <c r="D3057" t="s">
        <v>12</v>
      </c>
      <c r="E3057" t="s">
        <v>101</v>
      </c>
      <c r="F3057" t="s">
        <v>102</v>
      </c>
      <c r="G3057" t="s">
        <v>41</v>
      </c>
      <c r="H3057" t="s">
        <v>38</v>
      </c>
      <c r="I3057" s="3">
        <v>32</v>
      </c>
      <c r="J3057" s="2">
        <v>174</v>
      </c>
      <c r="K3057" s="3">
        <f t="shared" si="47"/>
        <v>5568</v>
      </c>
      <c r="L3057" s="3">
        <v>2728.32</v>
      </c>
    </row>
    <row r="3058" spans="1:12" x14ac:dyDescent="0.25">
      <c r="A3058" t="s">
        <v>11</v>
      </c>
      <c r="B3058">
        <v>1185732</v>
      </c>
      <c r="C3058" s="1">
        <v>44328</v>
      </c>
      <c r="D3058" t="s">
        <v>12</v>
      </c>
      <c r="E3058" t="s">
        <v>101</v>
      </c>
      <c r="F3058" t="s">
        <v>102</v>
      </c>
      <c r="G3058" t="s">
        <v>41</v>
      </c>
      <c r="H3058" t="s">
        <v>37</v>
      </c>
      <c r="I3058" s="3">
        <v>23</v>
      </c>
      <c r="J3058" s="2">
        <v>72</v>
      </c>
      <c r="K3058" s="3">
        <f t="shared" si="47"/>
        <v>1656</v>
      </c>
      <c r="L3058" s="3">
        <v>745.19999999999993</v>
      </c>
    </row>
    <row r="3059" spans="1:12" x14ac:dyDescent="0.25">
      <c r="A3059" t="s">
        <v>11</v>
      </c>
      <c r="B3059">
        <v>1185732</v>
      </c>
      <c r="C3059" s="1">
        <v>44328</v>
      </c>
      <c r="D3059" t="s">
        <v>12</v>
      </c>
      <c r="E3059" t="s">
        <v>101</v>
      </c>
      <c r="F3059" t="s">
        <v>102</v>
      </c>
      <c r="G3059" t="s">
        <v>15</v>
      </c>
      <c r="H3059" t="s">
        <v>16</v>
      </c>
      <c r="I3059" s="3">
        <v>32</v>
      </c>
      <c r="J3059" s="2">
        <v>128</v>
      </c>
      <c r="K3059" s="3">
        <f t="shared" si="47"/>
        <v>4096</v>
      </c>
      <c r="L3059" s="3">
        <v>1761.2799999999997</v>
      </c>
    </row>
    <row r="3060" spans="1:12" x14ac:dyDescent="0.25">
      <c r="A3060" t="s">
        <v>26</v>
      </c>
      <c r="B3060">
        <v>1197831</v>
      </c>
      <c r="C3060" s="1">
        <v>44328</v>
      </c>
      <c r="D3060" t="s">
        <v>52</v>
      </c>
      <c r="E3060" t="s">
        <v>97</v>
      </c>
      <c r="F3060" t="s">
        <v>98</v>
      </c>
      <c r="G3060" t="s">
        <v>15</v>
      </c>
      <c r="H3060" t="s">
        <v>37</v>
      </c>
      <c r="I3060" s="3">
        <v>38</v>
      </c>
      <c r="J3060" s="2">
        <v>157</v>
      </c>
      <c r="K3060" s="3">
        <f t="shared" si="47"/>
        <v>5966</v>
      </c>
      <c r="L3060" s="3">
        <v>2267.0799999999995</v>
      </c>
    </row>
    <row r="3061" spans="1:12" x14ac:dyDescent="0.25">
      <c r="A3061" t="s">
        <v>11</v>
      </c>
      <c r="B3061">
        <v>1185732</v>
      </c>
      <c r="C3061" s="1">
        <v>44328</v>
      </c>
      <c r="D3061" t="s">
        <v>12</v>
      </c>
      <c r="E3061" t="s">
        <v>101</v>
      </c>
      <c r="F3061" t="s">
        <v>102</v>
      </c>
      <c r="G3061" t="s">
        <v>41</v>
      </c>
      <c r="H3061" t="s">
        <v>16</v>
      </c>
      <c r="I3061" s="3">
        <v>44</v>
      </c>
      <c r="J3061" s="2">
        <v>120</v>
      </c>
      <c r="K3061" s="3">
        <f t="shared" si="47"/>
        <v>5280</v>
      </c>
      <c r="L3061" s="3">
        <v>1848</v>
      </c>
    </row>
    <row r="3062" spans="1:12" x14ac:dyDescent="0.25">
      <c r="A3062" t="s">
        <v>26</v>
      </c>
      <c r="B3062">
        <v>1197831</v>
      </c>
      <c r="C3062" s="1">
        <v>44328</v>
      </c>
      <c r="D3062" t="s">
        <v>52</v>
      </c>
      <c r="E3062" t="s">
        <v>97</v>
      </c>
      <c r="F3062" t="s">
        <v>98</v>
      </c>
      <c r="G3062" t="s">
        <v>41</v>
      </c>
      <c r="H3062" t="s">
        <v>37</v>
      </c>
      <c r="I3062" s="3">
        <v>52</v>
      </c>
      <c r="J3062" s="2">
        <v>133</v>
      </c>
      <c r="K3062" s="3">
        <f t="shared" si="47"/>
        <v>6916</v>
      </c>
      <c r="L3062" s="3">
        <v>2143.96</v>
      </c>
    </row>
    <row r="3063" spans="1:12" x14ac:dyDescent="0.25">
      <c r="A3063" t="s">
        <v>26</v>
      </c>
      <c r="B3063">
        <v>1185732</v>
      </c>
      <c r="C3063" s="1">
        <v>44329</v>
      </c>
      <c r="D3063" t="s">
        <v>29</v>
      </c>
      <c r="E3063" t="s">
        <v>50</v>
      </c>
      <c r="F3063" t="s">
        <v>51</v>
      </c>
      <c r="G3063" t="s">
        <v>18</v>
      </c>
      <c r="H3063" t="s">
        <v>35</v>
      </c>
      <c r="I3063" s="3">
        <v>45</v>
      </c>
      <c r="J3063" s="2">
        <v>225</v>
      </c>
      <c r="K3063" s="3">
        <f t="shared" si="47"/>
        <v>10125</v>
      </c>
      <c r="L3063" s="3">
        <v>7593.75</v>
      </c>
    </row>
    <row r="3064" spans="1:12" x14ac:dyDescent="0.25">
      <c r="A3064" t="s">
        <v>26</v>
      </c>
      <c r="B3064">
        <v>1185732</v>
      </c>
      <c r="C3064" s="1">
        <v>44329</v>
      </c>
      <c r="D3064" t="s">
        <v>29</v>
      </c>
      <c r="E3064" t="s">
        <v>50</v>
      </c>
      <c r="F3064" t="s">
        <v>51</v>
      </c>
      <c r="G3064" t="s">
        <v>18</v>
      </c>
      <c r="H3064" t="s">
        <v>37</v>
      </c>
      <c r="I3064" s="3">
        <v>45</v>
      </c>
      <c r="J3064" s="2">
        <v>175</v>
      </c>
      <c r="K3064" s="3">
        <f t="shared" si="47"/>
        <v>7875</v>
      </c>
      <c r="L3064" s="3">
        <v>5906.25</v>
      </c>
    </row>
    <row r="3065" spans="1:12" x14ac:dyDescent="0.25">
      <c r="A3065" t="s">
        <v>26</v>
      </c>
      <c r="B3065">
        <v>1185732</v>
      </c>
      <c r="C3065" s="1">
        <v>44329</v>
      </c>
      <c r="D3065" t="s">
        <v>29</v>
      </c>
      <c r="E3065" t="s">
        <v>50</v>
      </c>
      <c r="F3065" t="s">
        <v>51</v>
      </c>
      <c r="G3065" t="s">
        <v>18</v>
      </c>
      <c r="H3065" t="s">
        <v>22</v>
      </c>
      <c r="I3065" s="3">
        <v>54.999999999999993</v>
      </c>
      <c r="J3065" s="2">
        <v>200</v>
      </c>
      <c r="K3065" s="3">
        <f t="shared" si="47"/>
        <v>10999.999999999998</v>
      </c>
      <c r="L3065" s="3">
        <v>8249.9999999999982</v>
      </c>
    </row>
    <row r="3066" spans="1:12" x14ac:dyDescent="0.25">
      <c r="A3066" t="s">
        <v>19</v>
      </c>
      <c r="B3066">
        <v>1185732</v>
      </c>
      <c r="C3066" s="1">
        <v>44329</v>
      </c>
      <c r="D3066" t="s">
        <v>57</v>
      </c>
      <c r="E3066" t="s">
        <v>74</v>
      </c>
      <c r="F3066" t="s">
        <v>75</v>
      </c>
      <c r="G3066" t="s">
        <v>41</v>
      </c>
      <c r="H3066" t="s">
        <v>17</v>
      </c>
      <c r="I3066" s="3">
        <v>50</v>
      </c>
      <c r="J3066" s="2">
        <v>200</v>
      </c>
      <c r="K3066" s="3">
        <f t="shared" si="47"/>
        <v>10000</v>
      </c>
      <c r="L3066" s="3">
        <v>7000</v>
      </c>
    </row>
    <row r="3067" spans="1:12" x14ac:dyDescent="0.25">
      <c r="A3067" t="s">
        <v>19</v>
      </c>
      <c r="B3067">
        <v>1185732</v>
      </c>
      <c r="C3067" s="1">
        <v>44329</v>
      </c>
      <c r="D3067" t="s">
        <v>57</v>
      </c>
      <c r="E3067" t="s">
        <v>74</v>
      </c>
      <c r="F3067" t="s">
        <v>75</v>
      </c>
      <c r="G3067" t="s">
        <v>41</v>
      </c>
      <c r="H3067" t="s">
        <v>35</v>
      </c>
      <c r="I3067" s="3">
        <v>45</v>
      </c>
      <c r="J3067" s="2">
        <v>175</v>
      </c>
      <c r="K3067" s="3">
        <f t="shared" si="47"/>
        <v>7875</v>
      </c>
      <c r="L3067" s="3">
        <v>5512.5</v>
      </c>
    </row>
    <row r="3068" spans="1:12" x14ac:dyDescent="0.25">
      <c r="A3068" t="s">
        <v>19</v>
      </c>
      <c r="B3068">
        <v>1185732</v>
      </c>
      <c r="C3068" s="1">
        <v>44329</v>
      </c>
      <c r="D3068" t="s">
        <v>57</v>
      </c>
      <c r="E3068" t="s">
        <v>74</v>
      </c>
      <c r="F3068" t="s">
        <v>75</v>
      </c>
      <c r="G3068" t="s">
        <v>41</v>
      </c>
      <c r="H3068" t="s">
        <v>37</v>
      </c>
      <c r="I3068" s="3">
        <v>45</v>
      </c>
      <c r="J3068" s="2">
        <v>100</v>
      </c>
      <c r="K3068" s="3">
        <f t="shared" si="47"/>
        <v>4500</v>
      </c>
      <c r="L3068" s="3">
        <v>3150</v>
      </c>
    </row>
    <row r="3069" spans="1:12" x14ac:dyDescent="0.25">
      <c r="A3069" t="s">
        <v>26</v>
      </c>
      <c r="B3069">
        <v>1185732</v>
      </c>
      <c r="C3069" s="1">
        <v>44329</v>
      </c>
      <c r="D3069" t="s">
        <v>29</v>
      </c>
      <c r="E3069" t="s">
        <v>50</v>
      </c>
      <c r="F3069" t="s">
        <v>51</v>
      </c>
      <c r="G3069" t="s">
        <v>18</v>
      </c>
      <c r="H3069" t="s">
        <v>17</v>
      </c>
      <c r="I3069" s="3">
        <v>50</v>
      </c>
      <c r="J3069" s="2">
        <v>200</v>
      </c>
      <c r="K3069" s="3">
        <f t="shared" si="47"/>
        <v>10000</v>
      </c>
      <c r="L3069" s="3">
        <v>7000</v>
      </c>
    </row>
    <row r="3070" spans="1:12" x14ac:dyDescent="0.25">
      <c r="A3070" t="s">
        <v>26</v>
      </c>
      <c r="B3070">
        <v>1185732</v>
      </c>
      <c r="C3070" s="1">
        <v>44329</v>
      </c>
      <c r="D3070" t="s">
        <v>29</v>
      </c>
      <c r="E3070" t="s">
        <v>50</v>
      </c>
      <c r="F3070" t="s">
        <v>51</v>
      </c>
      <c r="G3070" t="s">
        <v>18</v>
      </c>
      <c r="H3070" t="s">
        <v>16</v>
      </c>
      <c r="I3070" s="3">
        <v>60</v>
      </c>
      <c r="J3070" s="2">
        <v>325</v>
      </c>
      <c r="K3070" s="3">
        <f t="shared" si="47"/>
        <v>19500</v>
      </c>
      <c r="L3070" s="3">
        <v>13650</v>
      </c>
    </row>
    <row r="3071" spans="1:12" x14ac:dyDescent="0.25">
      <c r="A3071" t="s">
        <v>19</v>
      </c>
      <c r="B3071">
        <v>1185732</v>
      </c>
      <c r="C3071" s="1">
        <v>44329</v>
      </c>
      <c r="D3071" t="s">
        <v>29</v>
      </c>
      <c r="E3071" t="s">
        <v>89</v>
      </c>
      <c r="F3071" t="s">
        <v>90</v>
      </c>
      <c r="G3071" t="s">
        <v>18</v>
      </c>
      <c r="H3071" t="s">
        <v>22</v>
      </c>
      <c r="I3071" s="3">
        <v>54.999999999999993</v>
      </c>
      <c r="J3071" s="2">
        <v>275</v>
      </c>
      <c r="K3071" s="3">
        <f t="shared" si="47"/>
        <v>15124.999999999998</v>
      </c>
      <c r="L3071" s="3">
        <v>10587.499999999996</v>
      </c>
    </row>
    <row r="3072" spans="1:12" x14ac:dyDescent="0.25">
      <c r="A3072" t="s">
        <v>26</v>
      </c>
      <c r="B3072">
        <v>1185732</v>
      </c>
      <c r="C3072" s="1">
        <v>44329</v>
      </c>
      <c r="D3072" t="s">
        <v>29</v>
      </c>
      <c r="E3072" t="s">
        <v>50</v>
      </c>
      <c r="F3072" t="s">
        <v>51</v>
      </c>
      <c r="G3072" t="s">
        <v>18</v>
      </c>
      <c r="H3072" t="s">
        <v>38</v>
      </c>
      <c r="I3072" s="3">
        <v>54.999999999999993</v>
      </c>
      <c r="J3072" s="2">
        <v>495</v>
      </c>
      <c r="K3072" s="3">
        <f t="shared" si="47"/>
        <v>27224.999999999996</v>
      </c>
      <c r="L3072" s="3">
        <v>19057.499999999993</v>
      </c>
    </row>
    <row r="3073" spans="1:12" x14ac:dyDescent="0.25">
      <c r="A3073" t="s">
        <v>19</v>
      </c>
      <c r="B3073">
        <v>1185732</v>
      </c>
      <c r="C3073" s="1">
        <v>44329</v>
      </c>
      <c r="D3073" t="s">
        <v>57</v>
      </c>
      <c r="E3073" t="s">
        <v>74</v>
      </c>
      <c r="F3073" t="s">
        <v>75</v>
      </c>
      <c r="G3073" t="s">
        <v>41</v>
      </c>
      <c r="H3073" t="s">
        <v>38</v>
      </c>
      <c r="I3073" s="3">
        <v>60</v>
      </c>
      <c r="J3073" s="2">
        <v>495</v>
      </c>
      <c r="K3073" s="3">
        <f t="shared" si="47"/>
        <v>29700</v>
      </c>
      <c r="L3073" s="3">
        <v>19305</v>
      </c>
    </row>
    <row r="3074" spans="1:12" x14ac:dyDescent="0.25">
      <c r="A3074" t="s">
        <v>19</v>
      </c>
      <c r="B3074">
        <v>1185732</v>
      </c>
      <c r="C3074" s="1">
        <v>44329</v>
      </c>
      <c r="D3074" t="s">
        <v>57</v>
      </c>
      <c r="E3074" t="s">
        <v>74</v>
      </c>
      <c r="F3074" t="s">
        <v>75</v>
      </c>
      <c r="G3074" t="s">
        <v>41</v>
      </c>
      <c r="H3074" t="s">
        <v>22</v>
      </c>
      <c r="I3074" s="3">
        <v>54.999999999999993</v>
      </c>
      <c r="J3074" s="2">
        <v>125</v>
      </c>
      <c r="K3074" s="3">
        <f t="shared" si="47"/>
        <v>6874.9999999999991</v>
      </c>
      <c r="L3074" s="3">
        <v>4468.7499999999991</v>
      </c>
    </row>
    <row r="3075" spans="1:12" x14ac:dyDescent="0.25">
      <c r="A3075" t="s">
        <v>19</v>
      </c>
      <c r="B3075">
        <v>1185732</v>
      </c>
      <c r="C3075" s="1">
        <v>44329</v>
      </c>
      <c r="D3075" t="s">
        <v>29</v>
      </c>
      <c r="E3075" t="s">
        <v>89</v>
      </c>
      <c r="F3075" t="s">
        <v>90</v>
      </c>
      <c r="G3075" t="s">
        <v>18</v>
      </c>
      <c r="H3075" t="s">
        <v>38</v>
      </c>
      <c r="I3075" s="3">
        <v>54.999999999999993</v>
      </c>
      <c r="J3075" s="2">
        <v>570</v>
      </c>
      <c r="K3075" s="3">
        <f t="shared" ref="K3075:K3138" si="48">I3075*J3075</f>
        <v>31349.999999999996</v>
      </c>
      <c r="L3075" s="3">
        <v>20377.499999999996</v>
      </c>
    </row>
    <row r="3076" spans="1:12" x14ac:dyDescent="0.25">
      <c r="A3076" t="s">
        <v>19</v>
      </c>
      <c r="B3076">
        <v>1185732</v>
      </c>
      <c r="C3076" s="1">
        <v>44329</v>
      </c>
      <c r="D3076" t="s">
        <v>29</v>
      </c>
      <c r="E3076" t="s">
        <v>89</v>
      </c>
      <c r="F3076" t="s">
        <v>90</v>
      </c>
      <c r="G3076" t="s">
        <v>18</v>
      </c>
      <c r="H3076" t="s">
        <v>17</v>
      </c>
      <c r="I3076" s="3">
        <v>50</v>
      </c>
      <c r="J3076" s="2">
        <v>275</v>
      </c>
      <c r="K3076" s="3">
        <f t="shared" si="48"/>
        <v>13750</v>
      </c>
      <c r="L3076" s="3">
        <v>8937.5</v>
      </c>
    </row>
    <row r="3077" spans="1:12" x14ac:dyDescent="0.25">
      <c r="A3077" t="s">
        <v>26</v>
      </c>
      <c r="B3077">
        <v>1197831</v>
      </c>
      <c r="C3077" s="1">
        <v>44329</v>
      </c>
      <c r="D3077" t="s">
        <v>52</v>
      </c>
      <c r="E3077" t="s">
        <v>97</v>
      </c>
      <c r="F3077" t="s">
        <v>98</v>
      </c>
      <c r="G3077" t="s">
        <v>15</v>
      </c>
      <c r="H3077" t="s">
        <v>22</v>
      </c>
      <c r="I3077" s="3">
        <v>54.999999999999993</v>
      </c>
      <c r="J3077" s="2">
        <v>450</v>
      </c>
      <c r="K3077" s="3">
        <f t="shared" si="48"/>
        <v>24749.999999999996</v>
      </c>
      <c r="L3077" s="3">
        <v>14850</v>
      </c>
    </row>
    <row r="3078" spans="1:12" x14ac:dyDescent="0.25">
      <c r="A3078" t="s">
        <v>27</v>
      </c>
      <c r="B3078">
        <v>1189833</v>
      </c>
      <c r="C3078" s="1">
        <v>44329</v>
      </c>
      <c r="D3078" t="s">
        <v>12</v>
      </c>
      <c r="E3078" t="s">
        <v>13</v>
      </c>
      <c r="F3078" t="s">
        <v>28</v>
      </c>
      <c r="G3078" t="s">
        <v>15</v>
      </c>
      <c r="H3078" t="s">
        <v>38</v>
      </c>
      <c r="I3078" s="3">
        <v>50</v>
      </c>
      <c r="J3078" s="2">
        <v>800</v>
      </c>
      <c r="K3078" s="3">
        <f t="shared" si="48"/>
        <v>40000</v>
      </c>
      <c r="L3078" s="3">
        <v>24000</v>
      </c>
    </row>
    <row r="3079" spans="1:12" x14ac:dyDescent="0.25">
      <c r="A3079" t="s">
        <v>19</v>
      </c>
      <c r="B3079">
        <v>1185732</v>
      </c>
      <c r="C3079" s="1">
        <v>44329</v>
      </c>
      <c r="D3079" t="s">
        <v>57</v>
      </c>
      <c r="E3079" t="s">
        <v>74</v>
      </c>
      <c r="F3079" t="s">
        <v>75</v>
      </c>
      <c r="G3079" t="s">
        <v>41</v>
      </c>
      <c r="H3079" t="s">
        <v>16</v>
      </c>
      <c r="I3079" s="3">
        <v>60</v>
      </c>
      <c r="J3079" s="2">
        <v>250</v>
      </c>
      <c r="K3079" s="3">
        <f t="shared" si="48"/>
        <v>15000</v>
      </c>
      <c r="L3079" s="3">
        <v>9000</v>
      </c>
    </row>
    <row r="3080" spans="1:12" x14ac:dyDescent="0.25">
      <c r="A3080" t="s">
        <v>19</v>
      </c>
      <c r="B3080">
        <v>1185732</v>
      </c>
      <c r="C3080" s="1">
        <v>44329</v>
      </c>
      <c r="D3080" t="s">
        <v>29</v>
      </c>
      <c r="E3080" t="s">
        <v>89</v>
      </c>
      <c r="F3080" t="s">
        <v>90</v>
      </c>
      <c r="G3080" t="s">
        <v>18</v>
      </c>
      <c r="H3080" t="s">
        <v>35</v>
      </c>
      <c r="I3080" s="3">
        <v>45</v>
      </c>
      <c r="J3080" s="2">
        <v>300</v>
      </c>
      <c r="K3080" s="3">
        <f t="shared" si="48"/>
        <v>13500</v>
      </c>
      <c r="L3080" s="3">
        <v>8100</v>
      </c>
    </row>
    <row r="3081" spans="1:12" x14ac:dyDescent="0.25">
      <c r="A3081" t="s">
        <v>19</v>
      </c>
      <c r="B3081">
        <v>1185732</v>
      </c>
      <c r="C3081" s="1">
        <v>44329</v>
      </c>
      <c r="D3081" t="s">
        <v>29</v>
      </c>
      <c r="E3081" t="s">
        <v>89</v>
      </c>
      <c r="F3081" t="s">
        <v>90</v>
      </c>
      <c r="G3081" t="s">
        <v>18</v>
      </c>
      <c r="H3081" t="s">
        <v>37</v>
      </c>
      <c r="I3081" s="3">
        <v>45</v>
      </c>
      <c r="J3081" s="2">
        <v>250</v>
      </c>
      <c r="K3081" s="3">
        <f t="shared" si="48"/>
        <v>11250</v>
      </c>
      <c r="L3081" s="3">
        <v>6750</v>
      </c>
    </row>
    <row r="3082" spans="1:12" x14ac:dyDescent="0.25">
      <c r="A3082" t="s">
        <v>19</v>
      </c>
      <c r="B3082">
        <v>1185732</v>
      </c>
      <c r="C3082" s="1">
        <v>44329</v>
      </c>
      <c r="D3082" t="s">
        <v>29</v>
      </c>
      <c r="E3082" t="s">
        <v>89</v>
      </c>
      <c r="F3082" t="s">
        <v>90</v>
      </c>
      <c r="G3082" t="s">
        <v>18</v>
      </c>
      <c r="H3082" t="s">
        <v>16</v>
      </c>
      <c r="I3082" s="3">
        <v>60</v>
      </c>
      <c r="J3082" s="2">
        <v>400</v>
      </c>
      <c r="K3082" s="3">
        <f t="shared" si="48"/>
        <v>24000</v>
      </c>
      <c r="L3082" s="3">
        <v>14400</v>
      </c>
    </row>
    <row r="3083" spans="1:12" x14ac:dyDescent="0.25">
      <c r="A3083" t="s">
        <v>26</v>
      </c>
      <c r="B3083">
        <v>1185732</v>
      </c>
      <c r="C3083" s="1">
        <v>44329</v>
      </c>
      <c r="D3083" t="s">
        <v>29</v>
      </c>
      <c r="E3083" t="s">
        <v>50</v>
      </c>
      <c r="F3083" t="s">
        <v>51</v>
      </c>
      <c r="G3083" t="s">
        <v>15</v>
      </c>
      <c r="H3083" t="s">
        <v>22</v>
      </c>
      <c r="I3083" s="3">
        <v>39</v>
      </c>
      <c r="J3083" s="2">
        <v>60</v>
      </c>
      <c r="K3083" s="3">
        <f t="shared" si="48"/>
        <v>2340</v>
      </c>
      <c r="L3083" s="3">
        <v>1684.8</v>
      </c>
    </row>
    <row r="3084" spans="1:12" x14ac:dyDescent="0.25">
      <c r="A3084" t="s">
        <v>26</v>
      </c>
      <c r="B3084">
        <v>1185732</v>
      </c>
      <c r="C3084" s="1">
        <v>44329</v>
      </c>
      <c r="D3084" t="s">
        <v>29</v>
      </c>
      <c r="E3084" t="s">
        <v>50</v>
      </c>
      <c r="F3084" t="s">
        <v>51</v>
      </c>
      <c r="G3084" t="s">
        <v>15</v>
      </c>
      <c r="H3084" t="s">
        <v>37</v>
      </c>
      <c r="I3084" s="3">
        <v>32</v>
      </c>
      <c r="J3084" s="2">
        <v>54</v>
      </c>
      <c r="K3084" s="3">
        <f t="shared" si="48"/>
        <v>1728</v>
      </c>
      <c r="L3084" s="3">
        <v>1209.5999999999999</v>
      </c>
    </row>
    <row r="3085" spans="1:12" x14ac:dyDescent="0.25">
      <c r="A3085" t="s">
        <v>26</v>
      </c>
      <c r="B3085">
        <v>1185732</v>
      </c>
      <c r="C3085" s="1">
        <v>44329</v>
      </c>
      <c r="D3085" t="s">
        <v>29</v>
      </c>
      <c r="E3085" t="s">
        <v>50</v>
      </c>
      <c r="F3085" t="s">
        <v>51</v>
      </c>
      <c r="G3085" t="s">
        <v>15</v>
      </c>
      <c r="H3085" t="s">
        <v>35</v>
      </c>
      <c r="I3085" s="3">
        <v>30</v>
      </c>
      <c r="J3085" s="2">
        <v>68</v>
      </c>
      <c r="K3085" s="3">
        <f t="shared" si="48"/>
        <v>2040</v>
      </c>
      <c r="L3085" s="3">
        <v>1407.6</v>
      </c>
    </row>
    <row r="3086" spans="1:12" x14ac:dyDescent="0.25">
      <c r="A3086" t="s">
        <v>26</v>
      </c>
      <c r="B3086">
        <v>1185732</v>
      </c>
      <c r="C3086" s="1">
        <v>44329</v>
      </c>
      <c r="D3086" t="s">
        <v>29</v>
      </c>
      <c r="E3086" t="s">
        <v>50</v>
      </c>
      <c r="F3086" t="s">
        <v>51</v>
      </c>
      <c r="G3086" t="s">
        <v>15</v>
      </c>
      <c r="H3086" t="s">
        <v>16</v>
      </c>
      <c r="I3086" s="3">
        <v>43</v>
      </c>
      <c r="J3086" s="2">
        <v>104</v>
      </c>
      <c r="K3086" s="3">
        <f t="shared" si="48"/>
        <v>4472</v>
      </c>
      <c r="L3086" s="3">
        <v>2951.5200000000004</v>
      </c>
    </row>
    <row r="3087" spans="1:12" x14ac:dyDescent="0.25">
      <c r="A3087" t="s">
        <v>26</v>
      </c>
      <c r="B3087">
        <v>1185732</v>
      </c>
      <c r="C3087" s="1">
        <v>44329</v>
      </c>
      <c r="D3087" t="s">
        <v>29</v>
      </c>
      <c r="E3087" t="s">
        <v>50</v>
      </c>
      <c r="F3087" t="s">
        <v>51</v>
      </c>
      <c r="G3087" t="s">
        <v>15</v>
      </c>
      <c r="H3087" t="s">
        <v>38</v>
      </c>
      <c r="I3087" s="3">
        <v>41</v>
      </c>
      <c r="J3087" s="2">
        <v>173</v>
      </c>
      <c r="K3087" s="3">
        <f t="shared" si="48"/>
        <v>7093</v>
      </c>
      <c r="L3087" s="3">
        <v>4539.5200000000004</v>
      </c>
    </row>
    <row r="3088" spans="1:12" x14ac:dyDescent="0.25">
      <c r="A3088" t="s">
        <v>26</v>
      </c>
      <c r="B3088">
        <v>1185732</v>
      </c>
      <c r="C3088" s="1">
        <v>44329</v>
      </c>
      <c r="D3088" t="s">
        <v>29</v>
      </c>
      <c r="E3088" t="s">
        <v>50</v>
      </c>
      <c r="F3088" t="s">
        <v>51</v>
      </c>
      <c r="G3088" t="s">
        <v>15</v>
      </c>
      <c r="H3088" t="s">
        <v>17</v>
      </c>
      <c r="I3088" s="3">
        <v>34</v>
      </c>
      <c r="J3088" s="2">
        <v>68</v>
      </c>
      <c r="K3088" s="3">
        <f t="shared" si="48"/>
        <v>2312</v>
      </c>
      <c r="L3088" s="3">
        <v>1479.68</v>
      </c>
    </row>
    <row r="3089" spans="1:12" x14ac:dyDescent="0.25">
      <c r="A3089" t="s">
        <v>26</v>
      </c>
      <c r="B3089">
        <v>1185732</v>
      </c>
      <c r="C3089" s="1">
        <v>44329</v>
      </c>
      <c r="D3089" t="s">
        <v>29</v>
      </c>
      <c r="E3089" t="s">
        <v>50</v>
      </c>
      <c r="F3089" t="s">
        <v>51</v>
      </c>
      <c r="G3089" t="s">
        <v>41</v>
      </c>
      <c r="H3089" t="s">
        <v>22</v>
      </c>
      <c r="I3089" s="3">
        <v>50</v>
      </c>
      <c r="J3089" s="2">
        <v>54</v>
      </c>
      <c r="K3089" s="3">
        <f t="shared" si="48"/>
        <v>2700</v>
      </c>
      <c r="L3089" s="3">
        <v>1674</v>
      </c>
    </row>
    <row r="3090" spans="1:12" x14ac:dyDescent="0.25">
      <c r="A3090" t="s">
        <v>26</v>
      </c>
      <c r="B3090">
        <v>1185732</v>
      </c>
      <c r="C3090" s="1">
        <v>44329</v>
      </c>
      <c r="D3090" t="s">
        <v>29</v>
      </c>
      <c r="E3090" t="s">
        <v>50</v>
      </c>
      <c r="F3090" t="s">
        <v>51</v>
      </c>
      <c r="G3090" t="s">
        <v>41</v>
      </c>
      <c r="H3090" t="s">
        <v>37</v>
      </c>
      <c r="I3090" s="3">
        <v>44</v>
      </c>
      <c r="J3090" s="2">
        <v>47</v>
      </c>
      <c r="K3090" s="3">
        <f t="shared" si="48"/>
        <v>2068</v>
      </c>
      <c r="L3090" s="3">
        <v>1261.48</v>
      </c>
    </row>
    <row r="3091" spans="1:12" x14ac:dyDescent="0.25">
      <c r="A3091" t="s">
        <v>26</v>
      </c>
      <c r="B3091">
        <v>1185732</v>
      </c>
      <c r="C3091" s="1">
        <v>44329</v>
      </c>
      <c r="D3091" t="s">
        <v>29</v>
      </c>
      <c r="E3091" t="s">
        <v>50</v>
      </c>
      <c r="F3091" t="s">
        <v>51</v>
      </c>
      <c r="G3091" t="s">
        <v>41</v>
      </c>
      <c r="H3091" t="s">
        <v>35</v>
      </c>
      <c r="I3091" s="3">
        <v>41</v>
      </c>
      <c r="J3091" s="2">
        <v>56</v>
      </c>
      <c r="K3091" s="3">
        <f t="shared" si="48"/>
        <v>2296</v>
      </c>
      <c r="L3091" s="3">
        <v>1377.6</v>
      </c>
    </row>
    <row r="3092" spans="1:12" x14ac:dyDescent="0.25">
      <c r="A3092" t="s">
        <v>26</v>
      </c>
      <c r="B3092">
        <v>1185732</v>
      </c>
      <c r="C3092" s="1">
        <v>44329</v>
      </c>
      <c r="D3092" t="s">
        <v>29</v>
      </c>
      <c r="E3092" t="s">
        <v>50</v>
      </c>
      <c r="F3092" t="s">
        <v>51</v>
      </c>
      <c r="G3092" t="s">
        <v>41</v>
      </c>
      <c r="H3092" t="s">
        <v>16</v>
      </c>
      <c r="I3092" s="3">
        <v>55</v>
      </c>
      <c r="J3092" s="2">
        <v>88</v>
      </c>
      <c r="K3092" s="3">
        <f t="shared" si="48"/>
        <v>4840</v>
      </c>
      <c r="L3092" s="3">
        <v>2855.6000000000004</v>
      </c>
    </row>
    <row r="3093" spans="1:12" x14ac:dyDescent="0.25">
      <c r="A3093" t="s">
        <v>19</v>
      </c>
      <c r="B3093">
        <v>1185732</v>
      </c>
      <c r="C3093" s="1">
        <v>44329</v>
      </c>
      <c r="D3093" t="s">
        <v>57</v>
      </c>
      <c r="E3093" t="s">
        <v>74</v>
      </c>
      <c r="F3093" t="s">
        <v>75</v>
      </c>
      <c r="G3093" t="s">
        <v>41</v>
      </c>
      <c r="H3093" t="s">
        <v>35</v>
      </c>
      <c r="I3093" s="3">
        <v>43</v>
      </c>
      <c r="J3093" s="2">
        <v>46</v>
      </c>
      <c r="K3093" s="3">
        <f t="shared" si="48"/>
        <v>1978</v>
      </c>
      <c r="L3093" s="3">
        <v>1147.24</v>
      </c>
    </row>
    <row r="3094" spans="1:12" x14ac:dyDescent="0.25">
      <c r="A3094" t="s">
        <v>19</v>
      </c>
      <c r="B3094">
        <v>1185732</v>
      </c>
      <c r="C3094" s="1">
        <v>44329</v>
      </c>
      <c r="D3094" t="s">
        <v>29</v>
      </c>
      <c r="E3094" t="s">
        <v>89</v>
      </c>
      <c r="F3094" t="s">
        <v>90</v>
      </c>
      <c r="G3094" t="s">
        <v>41</v>
      </c>
      <c r="H3094" t="s">
        <v>22</v>
      </c>
      <c r="I3094" s="3">
        <v>50</v>
      </c>
      <c r="J3094" s="2">
        <v>74</v>
      </c>
      <c r="K3094" s="3">
        <f t="shared" si="48"/>
        <v>3700</v>
      </c>
      <c r="L3094" s="3">
        <v>2146</v>
      </c>
    </row>
    <row r="3095" spans="1:12" x14ac:dyDescent="0.25">
      <c r="A3095" t="s">
        <v>26</v>
      </c>
      <c r="B3095">
        <v>1185732</v>
      </c>
      <c r="C3095" s="1">
        <v>44329</v>
      </c>
      <c r="D3095" t="s">
        <v>29</v>
      </c>
      <c r="E3095" t="s">
        <v>50</v>
      </c>
      <c r="F3095" t="s">
        <v>51</v>
      </c>
      <c r="G3095" t="s">
        <v>41</v>
      </c>
      <c r="H3095" t="s">
        <v>38</v>
      </c>
      <c r="I3095" s="3">
        <v>53</v>
      </c>
      <c r="J3095" s="2">
        <v>129</v>
      </c>
      <c r="K3095" s="3">
        <f t="shared" si="48"/>
        <v>6837</v>
      </c>
      <c r="L3095" s="3">
        <v>3897.09</v>
      </c>
    </row>
    <row r="3096" spans="1:12" x14ac:dyDescent="0.25">
      <c r="A3096" t="s">
        <v>26</v>
      </c>
      <c r="B3096">
        <v>1185732</v>
      </c>
      <c r="C3096" s="1">
        <v>44329</v>
      </c>
      <c r="D3096" t="s">
        <v>29</v>
      </c>
      <c r="E3096" t="s">
        <v>50</v>
      </c>
      <c r="F3096" t="s">
        <v>51</v>
      </c>
      <c r="G3096" t="s">
        <v>41</v>
      </c>
      <c r="H3096" t="s">
        <v>17</v>
      </c>
      <c r="I3096" s="3">
        <v>47</v>
      </c>
      <c r="J3096" s="2">
        <v>54</v>
      </c>
      <c r="K3096" s="3">
        <f t="shared" si="48"/>
        <v>2538</v>
      </c>
      <c r="L3096" s="3">
        <v>1446.66</v>
      </c>
    </row>
    <row r="3097" spans="1:12" x14ac:dyDescent="0.25">
      <c r="A3097" t="s">
        <v>19</v>
      </c>
      <c r="B3097">
        <v>1185732</v>
      </c>
      <c r="C3097" s="1">
        <v>44329</v>
      </c>
      <c r="D3097" t="s">
        <v>57</v>
      </c>
      <c r="E3097" t="s">
        <v>74</v>
      </c>
      <c r="F3097" t="s">
        <v>75</v>
      </c>
      <c r="G3097" t="s">
        <v>41</v>
      </c>
      <c r="H3097" t="s">
        <v>17</v>
      </c>
      <c r="I3097" s="3">
        <v>45</v>
      </c>
      <c r="J3097" s="2">
        <v>60</v>
      </c>
      <c r="K3097" s="3">
        <f t="shared" si="48"/>
        <v>2700</v>
      </c>
      <c r="L3097" s="3">
        <v>1485.0000000000002</v>
      </c>
    </row>
    <row r="3098" spans="1:12" x14ac:dyDescent="0.25">
      <c r="A3098" t="s">
        <v>19</v>
      </c>
      <c r="B3098">
        <v>1185732</v>
      </c>
      <c r="C3098" s="1">
        <v>44329</v>
      </c>
      <c r="D3098" t="s">
        <v>57</v>
      </c>
      <c r="E3098" t="s">
        <v>74</v>
      </c>
      <c r="F3098" t="s">
        <v>75</v>
      </c>
      <c r="G3098" t="s">
        <v>41</v>
      </c>
      <c r="H3098" t="s">
        <v>37</v>
      </c>
      <c r="I3098" s="3">
        <v>43</v>
      </c>
      <c r="J3098" s="2">
        <v>26</v>
      </c>
      <c r="K3098" s="3">
        <f t="shared" si="48"/>
        <v>1118</v>
      </c>
      <c r="L3098" s="3">
        <v>614.90000000000009</v>
      </c>
    </row>
    <row r="3099" spans="1:12" x14ac:dyDescent="0.25">
      <c r="A3099" t="s">
        <v>19</v>
      </c>
      <c r="B3099">
        <v>1185732</v>
      </c>
      <c r="C3099" s="1">
        <v>44329</v>
      </c>
      <c r="D3099" t="s">
        <v>29</v>
      </c>
      <c r="E3099" t="s">
        <v>89</v>
      </c>
      <c r="F3099" t="s">
        <v>90</v>
      </c>
      <c r="G3099" t="s">
        <v>41</v>
      </c>
      <c r="H3099" t="s">
        <v>17</v>
      </c>
      <c r="I3099" s="3">
        <v>47</v>
      </c>
      <c r="J3099" s="2">
        <v>69</v>
      </c>
      <c r="K3099" s="3">
        <f t="shared" si="48"/>
        <v>3243</v>
      </c>
      <c r="L3099" s="3">
        <v>1783.65</v>
      </c>
    </row>
    <row r="3100" spans="1:12" x14ac:dyDescent="0.25">
      <c r="A3100" t="s">
        <v>26</v>
      </c>
      <c r="B3100">
        <v>1197831</v>
      </c>
      <c r="C3100" s="1">
        <v>44329</v>
      </c>
      <c r="D3100" t="s">
        <v>52</v>
      </c>
      <c r="E3100" t="s">
        <v>97</v>
      </c>
      <c r="F3100" t="s">
        <v>98</v>
      </c>
      <c r="G3100" t="s">
        <v>15</v>
      </c>
      <c r="H3100" t="s">
        <v>22</v>
      </c>
      <c r="I3100" s="3">
        <v>43</v>
      </c>
      <c r="J3100" s="2">
        <v>140</v>
      </c>
      <c r="K3100" s="3">
        <f t="shared" si="48"/>
        <v>6020</v>
      </c>
      <c r="L3100" s="3">
        <v>3250.8</v>
      </c>
    </row>
    <row r="3101" spans="1:12" x14ac:dyDescent="0.25">
      <c r="A3101" t="s">
        <v>19</v>
      </c>
      <c r="B3101">
        <v>1185732</v>
      </c>
      <c r="C3101" s="1">
        <v>44329</v>
      </c>
      <c r="D3101" t="s">
        <v>57</v>
      </c>
      <c r="E3101" t="s">
        <v>74</v>
      </c>
      <c r="F3101" t="s">
        <v>75</v>
      </c>
      <c r="G3101" t="s">
        <v>41</v>
      </c>
      <c r="H3101" t="s">
        <v>38</v>
      </c>
      <c r="I3101" s="3">
        <v>58</v>
      </c>
      <c r="J3101" s="2">
        <v>139</v>
      </c>
      <c r="K3101" s="3">
        <f t="shared" si="48"/>
        <v>8062</v>
      </c>
      <c r="L3101" s="3">
        <v>4272.8600000000006</v>
      </c>
    </row>
    <row r="3102" spans="1:12" x14ac:dyDescent="0.25">
      <c r="A3102" t="s">
        <v>27</v>
      </c>
      <c r="B3102">
        <v>1189833</v>
      </c>
      <c r="C3102" s="1">
        <v>44329</v>
      </c>
      <c r="D3102" t="s">
        <v>12</v>
      </c>
      <c r="E3102" t="s">
        <v>13</v>
      </c>
      <c r="F3102" t="s">
        <v>28</v>
      </c>
      <c r="G3102" t="s">
        <v>15</v>
      </c>
      <c r="H3102" t="s">
        <v>38</v>
      </c>
      <c r="I3102" s="3">
        <v>36</v>
      </c>
      <c r="J3102" s="2">
        <v>256</v>
      </c>
      <c r="K3102" s="3">
        <f t="shared" si="48"/>
        <v>9216</v>
      </c>
      <c r="L3102" s="3">
        <v>4884.4799999999996</v>
      </c>
    </row>
    <row r="3103" spans="1:12" x14ac:dyDescent="0.25">
      <c r="A3103" t="s">
        <v>19</v>
      </c>
      <c r="B3103">
        <v>1185732</v>
      </c>
      <c r="C3103" s="1">
        <v>44329</v>
      </c>
      <c r="D3103" t="s">
        <v>29</v>
      </c>
      <c r="E3103" t="s">
        <v>89</v>
      </c>
      <c r="F3103" t="s">
        <v>90</v>
      </c>
      <c r="G3103" t="s">
        <v>41</v>
      </c>
      <c r="H3103" t="s">
        <v>38</v>
      </c>
      <c r="I3103" s="3">
        <v>51</v>
      </c>
      <c r="J3103" s="2">
        <v>160</v>
      </c>
      <c r="K3103" s="3">
        <f t="shared" si="48"/>
        <v>8160</v>
      </c>
      <c r="L3103" s="3">
        <v>4243.2000000000007</v>
      </c>
    </row>
    <row r="3104" spans="1:12" x14ac:dyDescent="0.25">
      <c r="A3104" t="s">
        <v>27</v>
      </c>
      <c r="B3104">
        <v>1189833</v>
      </c>
      <c r="C3104" s="1">
        <v>44329</v>
      </c>
      <c r="D3104" t="s">
        <v>12</v>
      </c>
      <c r="E3104" t="s">
        <v>13</v>
      </c>
      <c r="F3104" t="s">
        <v>28</v>
      </c>
      <c r="G3104" t="s">
        <v>41</v>
      </c>
      <c r="H3104" t="s">
        <v>38</v>
      </c>
      <c r="I3104" s="3">
        <v>49</v>
      </c>
      <c r="J3104" s="2">
        <v>224</v>
      </c>
      <c r="K3104" s="3">
        <f t="shared" si="48"/>
        <v>10976</v>
      </c>
      <c r="L3104" s="3">
        <v>5488</v>
      </c>
    </row>
    <row r="3105" spans="1:12" x14ac:dyDescent="0.25">
      <c r="A3105" t="s">
        <v>19</v>
      </c>
      <c r="B3105">
        <v>1185732</v>
      </c>
      <c r="C3105" s="1">
        <v>44329</v>
      </c>
      <c r="D3105" t="s">
        <v>57</v>
      </c>
      <c r="E3105" t="s">
        <v>74</v>
      </c>
      <c r="F3105" t="s">
        <v>75</v>
      </c>
      <c r="G3105" t="s">
        <v>41</v>
      </c>
      <c r="H3105" t="s">
        <v>22</v>
      </c>
      <c r="I3105" s="3">
        <v>51</v>
      </c>
      <c r="J3105" s="2">
        <v>38</v>
      </c>
      <c r="K3105" s="3">
        <f t="shared" si="48"/>
        <v>1938</v>
      </c>
      <c r="L3105" s="3">
        <v>969</v>
      </c>
    </row>
    <row r="3106" spans="1:12" x14ac:dyDescent="0.25">
      <c r="A3106" t="s">
        <v>19</v>
      </c>
      <c r="B3106">
        <v>1185732</v>
      </c>
      <c r="C3106" s="1">
        <v>44329</v>
      </c>
      <c r="D3106" t="s">
        <v>57</v>
      </c>
      <c r="E3106" t="s">
        <v>74</v>
      </c>
      <c r="F3106" t="s">
        <v>75</v>
      </c>
      <c r="G3106" t="s">
        <v>41</v>
      </c>
      <c r="H3106" t="s">
        <v>16</v>
      </c>
      <c r="I3106" s="3">
        <v>58</v>
      </c>
      <c r="J3106" s="2">
        <v>68</v>
      </c>
      <c r="K3106" s="3">
        <f t="shared" si="48"/>
        <v>3944</v>
      </c>
      <c r="L3106" s="3">
        <v>1932.56</v>
      </c>
    </row>
    <row r="3107" spans="1:12" x14ac:dyDescent="0.25">
      <c r="A3107" t="s">
        <v>19</v>
      </c>
      <c r="B3107">
        <v>1185732</v>
      </c>
      <c r="C3107" s="1">
        <v>44329</v>
      </c>
      <c r="D3107" t="s">
        <v>29</v>
      </c>
      <c r="E3107" t="s">
        <v>89</v>
      </c>
      <c r="F3107" t="s">
        <v>90</v>
      </c>
      <c r="G3107" t="s">
        <v>41</v>
      </c>
      <c r="H3107" t="s">
        <v>35</v>
      </c>
      <c r="I3107" s="3">
        <v>41</v>
      </c>
      <c r="J3107" s="2">
        <v>81</v>
      </c>
      <c r="K3107" s="3">
        <f t="shared" si="48"/>
        <v>3321</v>
      </c>
      <c r="L3107" s="3">
        <v>1594.08</v>
      </c>
    </row>
    <row r="3108" spans="1:12" x14ac:dyDescent="0.25">
      <c r="A3108" t="s">
        <v>19</v>
      </c>
      <c r="B3108">
        <v>1185732</v>
      </c>
      <c r="C3108" s="1">
        <v>44329</v>
      </c>
      <c r="D3108" t="s">
        <v>29</v>
      </c>
      <c r="E3108" t="s">
        <v>89</v>
      </c>
      <c r="F3108" t="s">
        <v>90</v>
      </c>
      <c r="G3108" t="s">
        <v>41</v>
      </c>
      <c r="H3108" t="s">
        <v>37</v>
      </c>
      <c r="I3108" s="3">
        <v>41</v>
      </c>
      <c r="J3108" s="2">
        <v>65</v>
      </c>
      <c r="K3108" s="3">
        <f t="shared" si="48"/>
        <v>2665</v>
      </c>
      <c r="L3108" s="3">
        <v>1279.2</v>
      </c>
    </row>
    <row r="3109" spans="1:12" x14ac:dyDescent="0.25">
      <c r="A3109" t="s">
        <v>26</v>
      </c>
      <c r="B3109">
        <v>1197831</v>
      </c>
      <c r="C3109" s="1">
        <v>44329</v>
      </c>
      <c r="D3109" t="s">
        <v>52</v>
      </c>
      <c r="E3109" t="s">
        <v>97</v>
      </c>
      <c r="F3109" t="s">
        <v>98</v>
      </c>
      <c r="G3109" t="s">
        <v>41</v>
      </c>
      <c r="H3109" t="s">
        <v>22</v>
      </c>
      <c r="I3109" s="3">
        <v>51</v>
      </c>
      <c r="J3109" s="2">
        <v>113</v>
      </c>
      <c r="K3109" s="3">
        <f t="shared" si="48"/>
        <v>5763</v>
      </c>
      <c r="L3109" s="3">
        <v>2708.6099999999997</v>
      </c>
    </row>
    <row r="3110" spans="1:12" x14ac:dyDescent="0.25">
      <c r="A3110" t="s">
        <v>19</v>
      </c>
      <c r="B3110">
        <v>1185732</v>
      </c>
      <c r="C3110" s="1">
        <v>44329</v>
      </c>
      <c r="D3110" t="s">
        <v>29</v>
      </c>
      <c r="E3110" t="s">
        <v>89</v>
      </c>
      <c r="F3110" t="s">
        <v>90</v>
      </c>
      <c r="G3110" t="s">
        <v>41</v>
      </c>
      <c r="H3110" t="s">
        <v>16</v>
      </c>
      <c r="I3110" s="3">
        <v>54</v>
      </c>
      <c r="J3110" s="2">
        <v>104</v>
      </c>
      <c r="K3110" s="3">
        <f t="shared" si="48"/>
        <v>5616</v>
      </c>
      <c r="L3110" s="3">
        <v>2527.1999999999998</v>
      </c>
    </row>
    <row r="3111" spans="1:12" x14ac:dyDescent="0.25">
      <c r="A3111" t="s">
        <v>27</v>
      </c>
      <c r="B3111">
        <v>1189833</v>
      </c>
      <c r="C3111" s="1">
        <v>44330</v>
      </c>
      <c r="D3111" t="s">
        <v>12</v>
      </c>
      <c r="E3111" t="s">
        <v>13</v>
      </c>
      <c r="F3111" t="s">
        <v>28</v>
      </c>
      <c r="G3111" t="s">
        <v>15</v>
      </c>
      <c r="H3111" t="s">
        <v>17</v>
      </c>
      <c r="I3111" s="3">
        <v>55.000000000000007</v>
      </c>
      <c r="J3111" s="2">
        <v>800</v>
      </c>
      <c r="K3111" s="3">
        <f t="shared" si="48"/>
        <v>44000.000000000007</v>
      </c>
      <c r="L3111" s="3">
        <v>33000.000000000007</v>
      </c>
    </row>
    <row r="3112" spans="1:12" x14ac:dyDescent="0.25">
      <c r="A3112" t="s">
        <v>26</v>
      </c>
      <c r="B3112">
        <v>1128299</v>
      </c>
      <c r="C3112" s="1">
        <v>44330</v>
      </c>
      <c r="D3112" t="s">
        <v>32</v>
      </c>
      <c r="E3112" t="s">
        <v>44</v>
      </c>
      <c r="F3112" t="s">
        <v>45</v>
      </c>
      <c r="G3112" t="s">
        <v>41</v>
      </c>
      <c r="H3112" t="s">
        <v>16</v>
      </c>
      <c r="I3112" s="3">
        <v>70</v>
      </c>
      <c r="J3112" s="2">
        <v>400</v>
      </c>
      <c r="K3112" s="3">
        <f t="shared" si="48"/>
        <v>28000</v>
      </c>
      <c r="L3112" s="3">
        <v>21000</v>
      </c>
    </row>
    <row r="3113" spans="1:12" x14ac:dyDescent="0.25">
      <c r="A3113" t="s">
        <v>26</v>
      </c>
      <c r="B3113">
        <v>1128299</v>
      </c>
      <c r="C3113" s="1">
        <v>44330</v>
      </c>
      <c r="D3113" t="s">
        <v>32</v>
      </c>
      <c r="E3113" t="s">
        <v>44</v>
      </c>
      <c r="F3113" t="s">
        <v>45</v>
      </c>
      <c r="G3113" t="s">
        <v>41</v>
      </c>
      <c r="H3113" t="s">
        <v>35</v>
      </c>
      <c r="I3113" s="3">
        <v>55.000000000000007</v>
      </c>
      <c r="J3113" s="2">
        <v>425</v>
      </c>
      <c r="K3113" s="3">
        <f t="shared" si="48"/>
        <v>23375.000000000004</v>
      </c>
      <c r="L3113" s="3">
        <v>15193.750000000004</v>
      </c>
    </row>
    <row r="3114" spans="1:12" x14ac:dyDescent="0.25">
      <c r="A3114" t="s">
        <v>26</v>
      </c>
      <c r="B3114">
        <v>1128299</v>
      </c>
      <c r="C3114" s="1">
        <v>44330</v>
      </c>
      <c r="D3114" t="s">
        <v>32</v>
      </c>
      <c r="E3114" t="s">
        <v>44</v>
      </c>
      <c r="F3114" t="s">
        <v>45</v>
      </c>
      <c r="G3114" t="s">
        <v>41</v>
      </c>
      <c r="H3114" t="s">
        <v>22</v>
      </c>
      <c r="I3114" s="3">
        <v>55.000000000000007</v>
      </c>
      <c r="J3114" s="2">
        <v>225</v>
      </c>
      <c r="K3114" s="3">
        <f t="shared" si="48"/>
        <v>12375.000000000002</v>
      </c>
      <c r="L3114" s="3">
        <v>8043.7500000000018</v>
      </c>
    </row>
    <row r="3115" spans="1:12" x14ac:dyDescent="0.25">
      <c r="A3115" t="s">
        <v>26</v>
      </c>
      <c r="B3115">
        <v>1128299</v>
      </c>
      <c r="C3115" s="1">
        <v>44330</v>
      </c>
      <c r="D3115" t="s">
        <v>32</v>
      </c>
      <c r="E3115" t="s">
        <v>44</v>
      </c>
      <c r="F3115" t="s">
        <v>45</v>
      </c>
      <c r="G3115" t="s">
        <v>41</v>
      </c>
      <c r="H3115" t="s">
        <v>38</v>
      </c>
      <c r="I3115" s="3">
        <v>50</v>
      </c>
      <c r="J3115" s="2">
        <v>550</v>
      </c>
      <c r="K3115" s="3">
        <f t="shared" si="48"/>
        <v>27500</v>
      </c>
      <c r="L3115" s="3">
        <v>16500</v>
      </c>
    </row>
    <row r="3116" spans="1:12" x14ac:dyDescent="0.25">
      <c r="A3116" t="s">
        <v>26</v>
      </c>
      <c r="B3116">
        <v>1128299</v>
      </c>
      <c r="C3116" s="1">
        <v>44330</v>
      </c>
      <c r="D3116" t="s">
        <v>32</v>
      </c>
      <c r="E3116" t="s">
        <v>44</v>
      </c>
      <c r="F3116" t="s">
        <v>45</v>
      </c>
      <c r="G3116" t="s">
        <v>41</v>
      </c>
      <c r="H3116" t="s">
        <v>37</v>
      </c>
      <c r="I3116" s="3">
        <v>50</v>
      </c>
      <c r="J3116" s="2">
        <v>325</v>
      </c>
      <c r="K3116" s="3">
        <f t="shared" si="48"/>
        <v>16250</v>
      </c>
      <c r="L3116" s="3">
        <v>9750</v>
      </c>
    </row>
    <row r="3117" spans="1:12" x14ac:dyDescent="0.25">
      <c r="A3117" t="s">
        <v>26</v>
      </c>
      <c r="B3117">
        <v>1128299</v>
      </c>
      <c r="C3117" s="1">
        <v>44330</v>
      </c>
      <c r="D3117" t="s">
        <v>32</v>
      </c>
      <c r="E3117" t="s">
        <v>44</v>
      </c>
      <c r="F3117" t="s">
        <v>45</v>
      </c>
      <c r="G3117" t="s">
        <v>41</v>
      </c>
      <c r="H3117" t="s">
        <v>17</v>
      </c>
      <c r="I3117" s="3">
        <v>55.000000000000007</v>
      </c>
      <c r="J3117" s="2">
        <v>400</v>
      </c>
      <c r="K3117" s="3">
        <f t="shared" si="48"/>
        <v>22000.000000000004</v>
      </c>
      <c r="L3117" s="3">
        <v>13200</v>
      </c>
    </row>
    <row r="3118" spans="1:12" x14ac:dyDescent="0.25">
      <c r="A3118" t="s">
        <v>26</v>
      </c>
      <c r="B3118">
        <v>1197831</v>
      </c>
      <c r="C3118" s="1">
        <v>44330</v>
      </c>
      <c r="D3118" t="s">
        <v>52</v>
      </c>
      <c r="E3118" t="s">
        <v>97</v>
      </c>
      <c r="F3118" t="s">
        <v>98</v>
      </c>
      <c r="G3118" t="s">
        <v>15</v>
      </c>
      <c r="H3118" t="s">
        <v>16</v>
      </c>
      <c r="I3118" s="3">
        <v>65</v>
      </c>
      <c r="J3118" s="2">
        <v>650</v>
      </c>
      <c r="K3118" s="3">
        <f t="shared" si="48"/>
        <v>42250</v>
      </c>
      <c r="L3118" s="3">
        <v>16899.999999999996</v>
      </c>
    </row>
    <row r="3119" spans="1:12" x14ac:dyDescent="0.25">
      <c r="A3119" t="s">
        <v>27</v>
      </c>
      <c r="B3119">
        <v>1189833</v>
      </c>
      <c r="C3119" s="1">
        <v>44330</v>
      </c>
      <c r="D3119" t="s">
        <v>12</v>
      </c>
      <c r="E3119" t="s">
        <v>13</v>
      </c>
      <c r="F3119" t="s">
        <v>28</v>
      </c>
      <c r="G3119" t="s">
        <v>15</v>
      </c>
      <c r="H3119" t="s">
        <v>17</v>
      </c>
      <c r="I3119" s="3">
        <v>43</v>
      </c>
      <c r="J3119" s="2">
        <v>264</v>
      </c>
      <c r="K3119" s="3">
        <f t="shared" si="48"/>
        <v>11352</v>
      </c>
      <c r="L3119" s="3">
        <v>7946.4</v>
      </c>
    </row>
    <row r="3120" spans="1:12" x14ac:dyDescent="0.25">
      <c r="A3120" t="s">
        <v>26</v>
      </c>
      <c r="B3120">
        <v>1128299</v>
      </c>
      <c r="C3120" s="1">
        <v>44330</v>
      </c>
      <c r="D3120" t="s">
        <v>32</v>
      </c>
      <c r="E3120" t="s">
        <v>44</v>
      </c>
      <c r="F3120" t="s">
        <v>45</v>
      </c>
      <c r="G3120" t="s">
        <v>15</v>
      </c>
      <c r="H3120" t="s">
        <v>16</v>
      </c>
      <c r="I3120" s="3">
        <v>53</v>
      </c>
      <c r="J3120" s="2">
        <v>124</v>
      </c>
      <c r="K3120" s="3">
        <f t="shared" si="48"/>
        <v>6572</v>
      </c>
      <c r="L3120" s="3">
        <v>4534.68</v>
      </c>
    </row>
    <row r="3121" spans="1:12" x14ac:dyDescent="0.25">
      <c r="A3121" t="s">
        <v>27</v>
      </c>
      <c r="B3121">
        <v>1189833</v>
      </c>
      <c r="C3121" s="1">
        <v>44330</v>
      </c>
      <c r="D3121" t="s">
        <v>12</v>
      </c>
      <c r="E3121" t="s">
        <v>13</v>
      </c>
      <c r="F3121" t="s">
        <v>28</v>
      </c>
      <c r="G3121" t="s">
        <v>41</v>
      </c>
      <c r="H3121" t="s">
        <v>17</v>
      </c>
      <c r="I3121" s="3">
        <v>51</v>
      </c>
      <c r="J3121" s="2">
        <v>232</v>
      </c>
      <c r="K3121" s="3">
        <f t="shared" si="48"/>
        <v>11832</v>
      </c>
      <c r="L3121" s="3">
        <v>7572.4800000000005</v>
      </c>
    </row>
    <row r="3122" spans="1:12" x14ac:dyDescent="0.25">
      <c r="A3122" t="s">
        <v>26</v>
      </c>
      <c r="B3122">
        <v>1128299</v>
      </c>
      <c r="C3122" s="1">
        <v>44330</v>
      </c>
      <c r="D3122" t="s">
        <v>32</v>
      </c>
      <c r="E3122" t="s">
        <v>44</v>
      </c>
      <c r="F3122" t="s">
        <v>45</v>
      </c>
      <c r="G3122" t="s">
        <v>15</v>
      </c>
      <c r="H3122" t="s">
        <v>35</v>
      </c>
      <c r="I3122" s="3">
        <v>40</v>
      </c>
      <c r="J3122" s="2">
        <v>145</v>
      </c>
      <c r="K3122" s="3">
        <f t="shared" si="48"/>
        <v>5800</v>
      </c>
      <c r="L3122" s="3">
        <v>3538.0000000000005</v>
      </c>
    </row>
    <row r="3123" spans="1:12" x14ac:dyDescent="0.25">
      <c r="A3123" t="s">
        <v>26</v>
      </c>
      <c r="B3123">
        <v>1128299</v>
      </c>
      <c r="C3123" s="1">
        <v>44330</v>
      </c>
      <c r="D3123" t="s">
        <v>32</v>
      </c>
      <c r="E3123" t="s">
        <v>44</v>
      </c>
      <c r="F3123" t="s">
        <v>45</v>
      </c>
      <c r="G3123" t="s">
        <v>41</v>
      </c>
      <c r="H3123" t="s">
        <v>16</v>
      </c>
      <c r="I3123" s="3">
        <v>64</v>
      </c>
      <c r="J3123" s="2">
        <v>120</v>
      </c>
      <c r="K3123" s="3">
        <f t="shared" si="48"/>
        <v>7680</v>
      </c>
      <c r="L3123" s="3">
        <v>4608</v>
      </c>
    </row>
    <row r="3124" spans="1:12" x14ac:dyDescent="0.25">
      <c r="A3124" t="s">
        <v>26</v>
      </c>
      <c r="B3124">
        <v>1128299</v>
      </c>
      <c r="C3124" s="1">
        <v>44330</v>
      </c>
      <c r="D3124" t="s">
        <v>32</v>
      </c>
      <c r="E3124" t="s">
        <v>44</v>
      </c>
      <c r="F3124" t="s">
        <v>45</v>
      </c>
      <c r="G3124" t="s">
        <v>15</v>
      </c>
      <c r="H3124" t="s">
        <v>22</v>
      </c>
      <c r="I3124" s="3">
        <v>39</v>
      </c>
      <c r="J3124" s="2">
        <v>74</v>
      </c>
      <c r="K3124" s="3">
        <f t="shared" si="48"/>
        <v>2886</v>
      </c>
      <c r="L3124" s="3">
        <v>1673.88</v>
      </c>
    </row>
    <row r="3125" spans="1:12" x14ac:dyDescent="0.25">
      <c r="A3125" t="s">
        <v>26</v>
      </c>
      <c r="B3125">
        <v>1128299</v>
      </c>
      <c r="C3125" s="1">
        <v>44330</v>
      </c>
      <c r="D3125" t="s">
        <v>32</v>
      </c>
      <c r="E3125" t="s">
        <v>44</v>
      </c>
      <c r="F3125" t="s">
        <v>45</v>
      </c>
      <c r="G3125" t="s">
        <v>15</v>
      </c>
      <c r="H3125" t="s">
        <v>37</v>
      </c>
      <c r="I3125" s="3">
        <v>34</v>
      </c>
      <c r="J3125" s="2">
        <v>114</v>
      </c>
      <c r="K3125" s="3">
        <f t="shared" si="48"/>
        <v>3876</v>
      </c>
      <c r="L3125" s="3">
        <v>2209.3199999999997</v>
      </c>
    </row>
    <row r="3126" spans="1:12" x14ac:dyDescent="0.25">
      <c r="A3126" t="s">
        <v>26</v>
      </c>
      <c r="B3126">
        <v>1128299</v>
      </c>
      <c r="C3126" s="1">
        <v>44330</v>
      </c>
      <c r="D3126" t="s">
        <v>32</v>
      </c>
      <c r="E3126" t="s">
        <v>44</v>
      </c>
      <c r="F3126" t="s">
        <v>45</v>
      </c>
      <c r="G3126" t="s">
        <v>15</v>
      </c>
      <c r="H3126" t="s">
        <v>17</v>
      </c>
      <c r="I3126" s="3">
        <v>36</v>
      </c>
      <c r="J3126" s="2">
        <v>136</v>
      </c>
      <c r="K3126" s="3">
        <f t="shared" si="48"/>
        <v>4896</v>
      </c>
      <c r="L3126" s="3">
        <v>2692.7999999999997</v>
      </c>
    </row>
    <row r="3127" spans="1:12" x14ac:dyDescent="0.25">
      <c r="A3127" t="s">
        <v>26</v>
      </c>
      <c r="B3127">
        <v>1128299</v>
      </c>
      <c r="C3127" s="1">
        <v>44330</v>
      </c>
      <c r="D3127" t="s">
        <v>32</v>
      </c>
      <c r="E3127" t="s">
        <v>44</v>
      </c>
      <c r="F3127" t="s">
        <v>45</v>
      </c>
      <c r="G3127" t="s">
        <v>15</v>
      </c>
      <c r="H3127" t="s">
        <v>38</v>
      </c>
      <c r="I3127" s="3">
        <v>37</v>
      </c>
      <c r="J3127" s="2">
        <v>187</v>
      </c>
      <c r="K3127" s="3">
        <f t="shared" si="48"/>
        <v>6919</v>
      </c>
      <c r="L3127" s="3">
        <v>3736.2599999999998</v>
      </c>
    </row>
    <row r="3128" spans="1:12" x14ac:dyDescent="0.25">
      <c r="A3128" t="s">
        <v>26</v>
      </c>
      <c r="B3128">
        <v>1128299</v>
      </c>
      <c r="C3128" s="1">
        <v>44330</v>
      </c>
      <c r="D3128" t="s">
        <v>32</v>
      </c>
      <c r="E3128" t="s">
        <v>44</v>
      </c>
      <c r="F3128" t="s">
        <v>45</v>
      </c>
      <c r="G3128" t="s">
        <v>41</v>
      </c>
      <c r="H3128" t="s">
        <v>22</v>
      </c>
      <c r="I3128" s="3">
        <v>50</v>
      </c>
      <c r="J3128" s="2">
        <v>56</v>
      </c>
      <c r="K3128" s="3">
        <f t="shared" si="48"/>
        <v>2800</v>
      </c>
      <c r="L3128" s="3">
        <v>1456</v>
      </c>
    </row>
    <row r="3129" spans="1:12" x14ac:dyDescent="0.25">
      <c r="A3129" t="s">
        <v>26</v>
      </c>
      <c r="B3129">
        <v>1128299</v>
      </c>
      <c r="C3129" s="1">
        <v>44330</v>
      </c>
      <c r="D3129" t="s">
        <v>32</v>
      </c>
      <c r="E3129" t="s">
        <v>44</v>
      </c>
      <c r="F3129" t="s">
        <v>45</v>
      </c>
      <c r="G3129" t="s">
        <v>41</v>
      </c>
      <c r="H3129" t="s">
        <v>35</v>
      </c>
      <c r="I3129" s="3">
        <v>52</v>
      </c>
      <c r="J3129" s="2">
        <v>123</v>
      </c>
      <c r="K3129" s="3">
        <f t="shared" si="48"/>
        <v>6396</v>
      </c>
      <c r="L3129" s="3">
        <v>3198</v>
      </c>
    </row>
    <row r="3130" spans="1:12" x14ac:dyDescent="0.25">
      <c r="A3130" t="s">
        <v>26</v>
      </c>
      <c r="B3130">
        <v>1128299</v>
      </c>
      <c r="C3130" s="1">
        <v>44330</v>
      </c>
      <c r="D3130" t="s">
        <v>32</v>
      </c>
      <c r="E3130" t="s">
        <v>44</v>
      </c>
      <c r="F3130" t="s">
        <v>45</v>
      </c>
      <c r="G3130" t="s">
        <v>41</v>
      </c>
      <c r="H3130" t="s">
        <v>17</v>
      </c>
      <c r="I3130" s="3">
        <v>52</v>
      </c>
      <c r="J3130" s="2">
        <v>108</v>
      </c>
      <c r="K3130" s="3">
        <f t="shared" si="48"/>
        <v>5616</v>
      </c>
      <c r="L3130" s="3">
        <v>2695.68</v>
      </c>
    </row>
    <row r="3131" spans="1:12" x14ac:dyDescent="0.25">
      <c r="A3131" t="s">
        <v>26</v>
      </c>
      <c r="B3131">
        <v>1128299</v>
      </c>
      <c r="C3131" s="1">
        <v>44330</v>
      </c>
      <c r="D3131" t="s">
        <v>32</v>
      </c>
      <c r="E3131" t="s">
        <v>44</v>
      </c>
      <c r="F3131" t="s">
        <v>45</v>
      </c>
      <c r="G3131" t="s">
        <v>41</v>
      </c>
      <c r="H3131" t="s">
        <v>38</v>
      </c>
      <c r="I3131" s="3">
        <v>47</v>
      </c>
      <c r="J3131" s="2">
        <v>160</v>
      </c>
      <c r="K3131" s="3">
        <f t="shared" si="48"/>
        <v>7520</v>
      </c>
      <c r="L3131" s="3">
        <v>3459.2</v>
      </c>
    </row>
    <row r="3132" spans="1:12" x14ac:dyDescent="0.25">
      <c r="A3132" t="s">
        <v>26</v>
      </c>
      <c r="B3132">
        <v>1128299</v>
      </c>
      <c r="C3132" s="1">
        <v>44330</v>
      </c>
      <c r="D3132" t="s">
        <v>32</v>
      </c>
      <c r="E3132" t="s">
        <v>44</v>
      </c>
      <c r="F3132" t="s">
        <v>45</v>
      </c>
      <c r="G3132" t="s">
        <v>41</v>
      </c>
      <c r="H3132" t="s">
        <v>37</v>
      </c>
      <c r="I3132" s="3">
        <v>47</v>
      </c>
      <c r="J3132" s="2">
        <v>91</v>
      </c>
      <c r="K3132" s="3">
        <f t="shared" si="48"/>
        <v>4277</v>
      </c>
      <c r="L3132" s="3">
        <v>1967.42</v>
      </c>
    </row>
    <row r="3133" spans="1:12" x14ac:dyDescent="0.25">
      <c r="A3133" t="s">
        <v>26</v>
      </c>
      <c r="B3133">
        <v>1197831</v>
      </c>
      <c r="C3133" s="1">
        <v>44330</v>
      </c>
      <c r="D3133" t="s">
        <v>52</v>
      </c>
      <c r="E3133" t="s">
        <v>97</v>
      </c>
      <c r="F3133" t="s">
        <v>98</v>
      </c>
      <c r="G3133" t="s">
        <v>15</v>
      </c>
      <c r="H3133" t="s">
        <v>16</v>
      </c>
      <c r="I3133" s="3">
        <v>43</v>
      </c>
      <c r="J3133" s="2">
        <v>202</v>
      </c>
      <c r="K3133" s="3">
        <f t="shared" si="48"/>
        <v>8686</v>
      </c>
      <c r="L3133" s="3">
        <v>2953.2399999999989</v>
      </c>
    </row>
    <row r="3134" spans="1:12" x14ac:dyDescent="0.25">
      <c r="A3134" t="s">
        <v>26</v>
      </c>
      <c r="B3134">
        <v>1197831</v>
      </c>
      <c r="C3134" s="1">
        <v>44330</v>
      </c>
      <c r="D3134" t="s">
        <v>52</v>
      </c>
      <c r="E3134" t="s">
        <v>97</v>
      </c>
      <c r="F3134" t="s">
        <v>98</v>
      </c>
      <c r="G3134" t="s">
        <v>41</v>
      </c>
      <c r="H3134" t="s">
        <v>16</v>
      </c>
      <c r="I3134" s="3">
        <v>59</v>
      </c>
      <c r="J3134" s="2">
        <v>169</v>
      </c>
      <c r="K3134" s="3">
        <f t="shared" si="48"/>
        <v>9971</v>
      </c>
      <c r="L3134" s="3">
        <v>2891.5899999999992</v>
      </c>
    </row>
    <row r="3135" spans="1:12" x14ac:dyDescent="0.25">
      <c r="A3135" t="s">
        <v>26</v>
      </c>
      <c r="B3135">
        <v>1185732</v>
      </c>
      <c r="C3135" s="1">
        <v>44331</v>
      </c>
      <c r="D3135" t="s">
        <v>57</v>
      </c>
      <c r="E3135" t="s">
        <v>70</v>
      </c>
      <c r="F3135" t="s">
        <v>71</v>
      </c>
      <c r="G3135" t="s">
        <v>18</v>
      </c>
      <c r="H3135" t="s">
        <v>35</v>
      </c>
      <c r="I3135" s="3">
        <v>45</v>
      </c>
      <c r="J3135" s="2">
        <v>475</v>
      </c>
      <c r="K3135" s="3">
        <f t="shared" si="48"/>
        <v>21375</v>
      </c>
      <c r="L3135" s="3">
        <v>14962.5</v>
      </c>
    </row>
    <row r="3136" spans="1:12" x14ac:dyDescent="0.25">
      <c r="A3136" t="s">
        <v>26</v>
      </c>
      <c r="B3136">
        <v>1185732</v>
      </c>
      <c r="C3136" s="1">
        <v>44331</v>
      </c>
      <c r="D3136" t="s">
        <v>57</v>
      </c>
      <c r="E3136" t="s">
        <v>70</v>
      </c>
      <c r="F3136" t="s">
        <v>71</v>
      </c>
      <c r="G3136" t="s">
        <v>18</v>
      </c>
      <c r="H3136" t="s">
        <v>37</v>
      </c>
      <c r="I3136" s="3">
        <v>45</v>
      </c>
      <c r="J3136" s="2">
        <v>450</v>
      </c>
      <c r="K3136" s="3">
        <f t="shared" si="48"/>
        <v>20250</v>
      </c>
      <c r="L3136" s="3">
        <v>13162.5</v>
      </c>
    </row>
    <row r="3137" spans="1:12" x14ac:dyDescent="0.25">
      <c r="A3137" t="s">
        <v>26</v>
      </c>
      <c r="B3137">
        <v>1185732</v>
      </c>
      <c r="C3137" s="1">
        <v>44331</v>
      </c>
      <c r="D3137" t="s">
        <v>57</v>
      </c>
      <c r="E3137" t="s">
        <v>70</v>
      </c>
      <c r="F3137" t="s">
        <v>71</v>
      </c>
      <c r="G3137" t="s">
        <v>18</v>
      </c>
      <c r="H3137" t="s">
        <v>22</v>
      </c>
      <c r="I3137" s="3">
        <v>54.999999999999993</v>
      </c>
      <c r="J3137" s="2">
        <v>475</v>
      </c>
      <c r="K3137" s="3">
        <f t="shared" si="48"/>
        <v>26124.999999999996</v>
      </c>
      <c r="L3137" s="3">
        <v>15675</v>
      </c>
    </row>
    <row r="3138" spans="1:12" x14ac:dyDescent="0.25">
      <c r="A3138" t="s">
        <v>27</v>
      </c>
      <c r="B3138">
        <v>1189833</v>
      </c>
      <c r="C3138" s="1">
        <v>44331</v>
      </c>
      <c r="D3138" t="s">
        <v>12</v>
      </c>
      <c r="E3138" t="s">
        <v>13</v>
      </c>
      <c r="F3138" t="s">
        <v>28</v>
      </c>
      <c r="G3138" t="s">
        <v>15</v>
      </c>
      <c r="H3138" t="s">
        <v>35</v>
      </c>
      <c r="I3138" s="3">
        <v>50</v>
      </c>
      <c r="J3138" s="2">
        <v>650</v>
      </c>
      <c r="K3138" s="3">
        <f t="shared" si="48"/>
        <v>32500</v>
      </c>
      <c r="L3138" s="3">
        <v>19500</v>
      </c>
    </row>
    <row r="3139" spans="1:12" x14ac:dyDescent="0.25">
      <c r="A3139" t="s">
        <v>26</v>
      </c>
      <c r="B3139">
        <v>1185732</v>
      </c>
      <c r="C3139" s="1">
        <v>44331</v>
      </c>
      <c r="D3139" t="s">
        <v>57</v>
      </c>
      <c r="E3139" t="s">
        <v>70</v>
      </c>
      <c r="F3139" t="s">
        <v>71</v>
      </c>
      <c r="G3139" t="s">
        <v>18</v>
      </c>
      <c r="H3139" t="s">
        <v>17</v>
      </c>
      <c r="I3139" s="3">
        <v>50</v>
      </c>
      <c r="J3139" s="2">
        <v>500</v>
      </c>
      <c r="K3139" s="3">
        <f t="shared" ref="K3139:K3202" si="49">I3139*J3139</f>
        <v>25000</v>
      </c>
      <c r="L3139" s="3">
        <v>15000</v>
      </c>
    </row>
    <row r="3140" spans="1:12" x14ac:dyDescent="0.25">
      <c r="A3140" t="s">
        <v>26</v>
      </c>
      <c r="B3140">
        <v>1197831</v>
      </c>
      <c r="C3140" s="1">
        <v>44331</v>
      </c>
      <c r="D3140" t="s">
        <v>52</v>
      </c>
      <c r="E3140" t="s">
        <v>97</v>
      </c>
      <c r="F3140" t="s">
        <v>98</v>
      </c>
      <c r="G3140" t="s">
        <v>15</v>
      </c>
      <c r="H3140" t="s">
        <v>38</v>
      </c>
      <c r="I3140" s="3">
        <v>54.999999999999993</v>
      </c>
      <c r="J3140" s="2">
        <v>800</v>
      </c>
      <c r="K3140" s="3">
        <f t="shared" si="49"/>
        <v>43999.999999999993</v>
      </c>
      <c r="L3140" s="3">
        <v>24200</v>
      </c>
    </row>
    <row r="3141" spans="1:12" x14ac:dyDescent="0.25">
      <c r="A3141" t="s">
        <v>26</v>
      </c>
      <c r="B3141">
        <v>1185732</v>
      </c>
      <c r="C3141" s="1">
        <v>44331</v>
      </c>
      <c r="D3141" t="s">
        <v>57</v>
      </c>
      <c r="E3141" t="s">
        <v>70</v>
      </c>
      <c r="F3141" t="s">
        <v>71</v>
      </c>
      <c r="G3141" t="s">
        <v>18</v>
      </c>
      <c r="H3141" t="s">
        <v>38</v>
      </c>
      <c r="I3141" s="3">
        <v>50</v>
      </c>
      <c r="J3141" s="2">
        <v>795</v>
      </c>
      <c r="K3141" s="3">
        <f t="shared" si="49"/>
        <v>39750</v>
      </c>
      <c r="L3141" s="3">
        <v>19875</v>
      </c>
    </row>
    <row r="3142" spans="1:12" x14ac:dyDescent="0.25">
      <c r="A3142" t="s">
        <v>26</v>
      </c>
      <c r="B3142">
        <v>1185732</v>
      </c>
      <c r="C3142" s="1">
        <v>44331</v>
      </c>
      <c r="D3142" t="s">
        <v>57</v>
      </c>
      <c r="E3142" t="s">
        <v>70</v>
      </c>
      <c r="F3142" t="s">
        <v>71</v>
      </c>
      <c r="G3142" t="s">
        <v>18</v>
      </c>
      <c r="H3142" t="s">
        <v>16</v>
      </c>
      <c r="I3142" s="3">
        <v>60</v>
      </c>
      <c r="J3142" s="2">
        <v>575</v>
      </c>
      <c r="K3142" s="3">
        <f t="shared" si="49"/>
        <v>34500</v>
      </c>
      <c r="L3142" s="3">
        <v>15524.999999999996</v>
      </c>
    </row>
    <row r="3143" spans="1:12" x14ac:dyDescent="0.25">
      <c r="A3143" t="s">
        <v>26</v>
      </c>
      <c r="B3143">
        <v>1185732</v>
      </c>
      <c r="C3143" s="1">
        <v>44331</v>
      </c>
      <c r="D3143" t="s">
        <v>57</v>
      </c>
      <c r="E3143" t="s">
        <v>70</v>
      </c>
      <c r="F3143" t="s">
        <v>71</v>
      </c>
      <c r="G3143" t="s">
        <v>41</v>
      </c>
      <c r="H3143" t="s">
        <v>35</v>
      </c>
      <c r="I3143" s="3">
        <v>44</v>
      </c>
      <c r="J3143" s="2">
        <v>133</v>
      </c>
      <c r="K3143" s="3">
        <f t="shared" si="49"/>
        <v>5852</v>
      </c>
      <c r="L3143" s="3">
        <v>3511.2</v>
      </c>
    </row>
    <row r="3144" spans="1:12" x14ac:dyDescent="0.25">
      <c r="A3144" t="s">
        <v>27</v>
      </c>
      <c r="B3144">
        <v>1189833</v>
      </c>
      <c r="C3144" s="1">
        <v>44331</v>
      </c>
      <c r="D3144" t="s">
        <v>12</v>
      </c>
      <c r="E3144" t="s">
        <v>13</v>
      </c>
      <c r="F3144" t="s">
        <v>28</v>
      </c>
      <c r="G3144" t="s">
        <v>15</v>
      </c>
      <c r="H3144" t="s">
        <v>35</v>
      </c>
      <c r="I3144" s="3">
        <v>33</v>
      </c>
      <c r="J3144" s="2">
        <v>208</v>
      </c>
      <c r="K3144" s="3">
        <f t="shared" si="49"/>
        <v>6864</v>
      </c>
      <c r="L3144" s="3">
        <v>3981.12</v>
      </c>
    </row>
    <row r="3145" spans="1:12" x14ac:dyDescent="0.25">
      <c r="A3145" t="s">
        <v>26</v>
      </c>
      <c r="B3145">
        <v>1197831</v>
      </c>
      <c r="C3145" s="1">
        <v>44331</v>
      </c>
      <c r="D3145" t="s">
        <v>52</v>
      </c>
      <c r="E3145" t="s">
        <v>97</v>
      </c>
      <c r="F3145" t="s">
        <v>98</v>
      </c>
      <c r="G3145" t="s">
        <v>15</v>
      </c>
      <c r="H3145" t="s">
        <v>38</v>
      </c>
      <c r="I3145" s="3">
        <v>39</v>
      </c>
      <c r="J3145" s="2">
        <v>248</v>
      </c>
      <c r="K3145" s="3">
        <f t="shared" si="49"/>
        <v>9672</v>
      </c>
      <c r="L3145" s="3">
        <v>5029.4400000000005</v>
      </c>
    </row>
    <row r="3146" spans="1:12" x14ac:dyDescent="0.25">
      <c r="A3146" t="s">
        <v>26</v>
      </c>
      <c r="B3146">
        <v>1185732</v>
      </c>
      <c r="C3146" s="1">
        <v>44331</v>
      </c>
      <c r="D3146" t="s">
        <v>57</v>
      </c>
      <c r="E3146" t="s">
        <v>70</v>
      </c>
      <c r="F3146" t="s">
        <v>71</v>
      </c>
      <c r="G3146" t="s">
        <v>41</v>
      </c>
      <c r="H3146" t="s">
        <v>37</v>
      </c>
      <c r="I3146" s="3">
        <v>42</v>
      </c>
      <c r="J3146" s="2">
        <v>126</v>
      </c>
      <c r="K3146" s="3">
        <f t="shared" si="49"/>
        <v>5292</v>
      </c>
      <c r="L3146" s="3">
        <v>2646</v>
      </c>
    </row>
    <row r="3147" spans="1:12" x14ac:dyDescent="0.25">
      <c r="A3147" t="s">
        <v>27</v>
      </c>
      <c r="B3147">
        <v>1189833</v>
      </c>
      <c r="C3147" s="1">
        <v>44331</v>
      </c>
      <c r="D3147" t="s">
        <v>12</v>
      </c>
      <c r="E3147" t="s">
        <v>13</v>
      </c>
      <c r="F3147" t="s">
        <v>28</v>
      </c>
      <c r="G3147" t="s">
        <v>41</v>
      </c>
      <c r="H3147" t="s">
        <v>35</v>
      </c>
      <c r="I3147" s="3">
        <v>49</v>
      </c>
      <c r="J3147" s="2">
        <v>176</v>
      </c>
      <c r="K3147" s="3">
        <f t="shared" si="49"/>
        <v>8624</v>
      </c>
      <c r="L3147" s="3">
        <v>4225.76</v>
      </c>
    </row>
    <row r="3148" spans="1:12" x14ac:dyDescent="0.25">
      <c r="A3148" t="s">
        <v>26</v>
      </c>
      <c r="B3148">
        <v>1185732</v>
      </c>
      <c r="C3148" s="1">
        <v>44331</v>
      </c>
      <c r="D3148" t="s">
        <v>57</v>
      </c>
      <c r="E3148" t="s">
        <v>70</v>
      </c>
      <c r="F3148" t="s">
        <v>71</v>
      </c>
      <c r="G3148" t="s">
        <v>41</v>
      </c>
      <c r="H3148" t="s">
        <v>22</v>
      </c>
      <c r="I3148" s="3">
        <v>52</v>
      </c>
      <c r="J3148" s="2">
        <v>124</v>
      </c>
      <c r="K3148" s="3">
        <f t="shared" si="49"/>
        <v>6448</v>
      </c>
      <c r="L3148" s="3">
        <v>3030.56</v>
      </c>
    </row>
    <row r="3149" spans="1:12" x14ac:dyDescent="0.25">
      <c r="A3149" t="s">
        <v>26</v>
      </c>
      <c r="B3149">
        <v>1185732</v>
      </c>
      <c r="C3149" s="1">
        <v>44331</v>
      </c>
      <c r="D3149" t="s">
        <v>57</v>
      </c>
      <c r="E3149" t="s">
        <v>70</v>
      </c>
      <c r="F3149" t="s">
        <v>71</v>
      </c>
      <c r="G3149" t="s">
        <v>41</v>
      </c>
      <c r="H3149" t="s">
        <v>17</v>
      </c>
      <c r="I3149" s="3">
        <v>47</v>
      </c>
      <c r="J3149" s="2">
        <v>150</v>
      </c>
      <c r="K3149" s="3">
        <f t="shared" si="49"/>
        <v>7050</v>
      </c>
      <c r="L3149" s="3">
        <v>3172.5000000000005</v>
      </c>
    </row>
    <row r="3150" spans="1:12" x14ac:dyDescent="0.25">
      <c r="A3150" t="s">
        <v>26</v>
      </c>
      <c r="B3150">
        <v>1197831</v>
      </c>
      <c r="C3150" s="1">
        <v>44331</v>
      </c>
      <c r="D3150" t="s">
        <v>52</v>
      </c>
      <c r="E3150" t="s">
        <v>97</v>
      </c>
      <c r="F3150" t="s">
        <v>98</v>
      </c>
      <c r="G3150" t="s">
        <v>41</v>
      </c>
      <c r="H3150" t="s">
        <v>38</v>
      </c>
      <c r="I3150" s="3">
        <v>53</v>
      </c>
      <c r="J3150" s="2">
        <v>200</v>
      </c>
      <c r="K3150" s="3">
        <f t="shared" si="49"/>
        <v>10600</v>
      </c>
      <c r="L3150" s="3">
        <v>4452</v>
      </c>
    </row>
    <row r="3151" spans="1:12" x14ac:dyDescent="0.25">
      <c r="A3151" t="s">
        <v>26</v>
      </c>
      <c r="B3151">
        <v>1185732</v>
      </c>
      <c r="C3151" s="1">
        <v>44331</v>
      </c>
      <c r="D3151" t="s">
        <v>57</v>
      </c>
      <c r="E3151" t="s">
        <v>70</v>
      </c>
      <c r="F3151" t="s">
        <v>71</v>
      </c>
      <c r="G3151" t="s">
        <v>41</v>
      </c>
      <c r="H3151" t="s">
        <v>38</v>
      </c>
      <c r="I3151" s="3">
        <v>48</v>
      </c>
      <c r="J3151" s="2">
        <v>207</v>
      </c>
      <c r="K3151" s="3">
        <f t="shared" si="49"/>
        <v>9936</v>
      </c>
      <c r="L3151" s="3">
        <v>3875.04</v>
      </c>
    </row>
    <row r="3152" spans="1:12" x14ac:dyDescent="0.25">
      <c r="A3152" t="s">
        <v>26</v>
      </c>
      <c r="B3152">
        <v>1185732</v>
      </c>
      <c r="C3152" s="1">
        <v>44331</v>
      </c>
      <c r="D3152" t="s">
        <v>57</v>
      </c>
      <c r="E3152" t="s">
        <v>70</v>
      </c>
      <c r="F3152" t="s">
        <v>71</v>
      </c>
      <c r="G3152" t="s">
        <v>41</v>
      </c>
      <c r="H3152" t="s">
        <v>16</v>
      </c>
      <c r="I3152" s="3">
        <v>55</v>
      </c>
      <c r="J3152" s="2">
        <v>150</v>
      </c>
      <c r="K3152" s="3">
        <f t="shared" si="49"/>
        <v>8250</v>
      </c>
      <c r="L3152" s="3">
        <v>2474.9999999999991</v>
      </c>
    </row>
    <row r="3153" spans="1:12" x14ac:dyDescent="0.25">
      <c r="A3153" t="s">
        <v>27</v>
      </c>
      <c r="B3153">
        <v>1189833</v>
      </c>
      <c r="C3153" s="1">
        <v>44332</v>
      </c>
      <c r="D3153" t="s">
        <v>12</v>
      </c>
      <c r="E3153" t="s">
        <v>13</v>
      </c>
      <c r="F3153" t="s">
        <v>28</v>
      </c>
      <c r="G3153" t="s">
        <v>15</v>
      </c>
      <c r="H3153" t="s">
        <v>37</v>
      </c>
      <c r="I3153" s="3">
        <v>50</v>
      </c>
      <c r="J3153" s="2">
        <v>625</v>
      </c>
      <c r="K3153" s="3">
        <f t="shared" si="49"/>
        <v>31250</v>
      </c>
      <c r="L3153" s="3">
        <v>20312.5</v>
      </c>
    </row>
    <row r="3154" spans="1:12" x14ac:dyDescent="0.25">
      <c r="A3154" t="s">
        <v>19</v>
      </c>
      <c r="B3154">
        <v>1185732</v>
      </c>
      <c r="C3154" s="1">
        <v>44332</v>
      </c>
      <c r="D3154" t="s">
        <v>52</v>
      </c>
      <c r="E3154" t="s">
        <v>112</v>
      </c>
      <c r="F3154" t="s">
        <v>113</v>
      </c>
      <c r="G3154" t="s">
        <v>41</v>
      </c>
      <c r="H3154" t="s">
        <v>17</v>
      </c>
      <c r="I3154" s="3">
        <v>40</v>
      </c>
      <c r="J3154" s="2">
        <v>450</v>
      </c>
      <c r="K3154" s="3">
        <f t="shared" si="49"/>
        <v>18000</v>
      </c>
      <c r="L3154" s="3">
        <v>11700</v>
      </c>
    </row>
    <row r="3155" spans="1:12" x14ac:dyDescent="0.25">
      <c r="A3155" t="s">
        <v>19</v>
      </c>
      <c r="B3155">
        <v>1185732</v>
      </c>
      <c r="C3155" s="1">
        <v>44332</v>
      </c>
      <c r="D3155" t="s">
        <v>52</v>
      </c>
      <c r="E3155" t="s">
        <v>112</v>
      </c>
      <c r="F3155" t="s">
        <v>113</v>
      </c>
      <c r="G3155" t="s">
        <v>41</v>
      </c>
      <c r="H3155" t="s">
        <v>22</v>
      </c>
      <c r="I3155" s="3">
        <v>44.999999999999993</v>
      </c>
      <c r="J3155" s="2">
        <v>400</v>
      </c>
      <c r="K3155" s="3">
        <f t="shared" si="49"/>
        <v>17999.999999999996</v>
      </c>
      <c r="L3155" s="3">
        <v>11699.999999999998</v>
      </c>
    </row>
    <row r="3156" spans="1:12" x14ac:dyDescent="0.25">
      <c r="A3156" t="s">
        <v>19</v>
      </c>
      <c r="B3156">
        <v>1185732</v>
      </c>
      <c r="C3156" s="1">
        <v>44332</v>
      </c>
      <c r="D3156" t="s">
        <v>52</v>
      </c>
      <c r="E3156" t="s">
        <v>112</v>
      </c>
      <c r="F3156" t="s">
        <v>113</v>
      </c>
      <c r="G3156" t="s">
        <v>41</v>
      </c>
      <c r="H3156" t="s">
        <v>38</v>
      </c>
      <c r="I3156" s="3">
        <v>40</v>
      </c>
      <c r="J3156" s="2">
        <v>745</v>
      </c>
      <c r="K3156" s="3">
        <f t="shared" si="49"/>
        <v>29800</v>
      </c>
      <c r="L3156" s="3">
        <v>17880</v>
      </c>
    </row>
    <row r="3157" spans="1:12" x14ac:dyDescent="0.25">
      <c r="A3157" t="s">
        <v>19</v>
      </c>
      <c r="B3157">
        <v>1185732</v>
      </c>
      <c r="C3157" s="1">
        <v>44332</v>
      </c>
      <c r="D3157" t="s">
        <v>52</v>
      </c>
      <c r="E3157" t="s">
        <v>112</v>
      </c>
      <c r="F3157" t="s">
        <v>113</v>
      </c>
      <c r="G3157" t="s">
        <v>41</v>
      </c>
      <c r="H3157" t="s">
        <v>35</v>
      </c>
      <c r="I3157" s="3">
        <v>35</v>
      </c>
      <c r="J3157" s="2">
        <v>425</v>
      </c>
      <c r="K3157" s="3">
        <f t="shared" si="49"/>
        <v>14875</v>
      </c>
      <c r="L3157" s="3">
        <v>8925</v>
      </c>
    </row>
    <row r="3158" spans="1:12" x14ac:dyDescent="0.25">
      <c r="A3158" t="s">
        <v>19</v>
      </c>
      <c r="B3158">
        <v>1185732</v>
      </c>
      <c r="C3158" s="1">
        <v>44332</v>
      </c>
      <c r="D3158" t="s">
        <v>52</v>
      </c>
      <c r="E3158" t="s">
        <v>112</v>
      </c>
      <c r="F3158" t="s">
        <v>113</v>
      </c>
      <c r="G3158" t="s">
        <v>41</v>
      </c>
      <c r="H3158" t="s">
        <v>37</v>
      </c>
      <c r="I3158" s="3">
        <v>35</v>
      </c>
      <c r="J3158" s="2">
        <v>375</v>
      </c>
      <c r="K3158" s="3">
        <f t="shared" si="49"/>
        <v>13125</v>
      </c>
      <c r="L3158" s="3">
        <v>7875</v>
      </c>
    </row>
    <row r="3159" spans="1:12" x14ac:dyDescent="0.25">
      <c r="A3159" t="s">
        <v>26</v>
      </c>
      <c r="B3159">
        <v>1197831</v>
      </c>
      <c r="C3159" s="1">
        <v>44332</v>
      </c>
      <c r="D3159" t="s">
        <v>52</v>
      </c>
      <c r="E3159" t="s">
        <v>97</v>
      </c>
      <c r="F3159" t="s">
        <v>98</v>
      </c>
      <c r="G3159" t="s">
        <v>15</v>
      </c>
      <c r="H3159" t="s">
        <v>17</v>
      </c>
      <c r="I3159" s="3">
        <v>54.999999999999993</v>
      </c>
      <c r="J3159" s="2">
        <v>800</v>
      </c>
      <c r="K3159" s="3">
        <f t="shared" si="49"/>
        <v>43999.999999999993</v>
      </c>
      <c r="L3159" s="3">
        <v>24200</v>
      </c>
    </row>
    <row r="3160" spans="1:12" x14ac:dyDescent="0.25">
      <c r="A3160" t="s">
        <v>19</v>
      </c>
      <c r="B3160">
        <v>1185732</v>
      </c>
      <c r="C3160" s="1">
        <v>44332</v>
      </c>
      <c r="D3160" t="s">
        <v>52</v>
      </c>
      <c r="E3160" t="s">
        <v>112</v>
      </c>
      <c r="F3160" t="s">
        <v>113</v>
      </c>
      <c r="G3160" t="s">
        <v>41</v>
      </c>
      <c r="H3160" t="s">
        <v>16</v>
      </c>
      <c r="I3160" s="3">
        <v>49.999999999999993</v>
      </c>
      <c r="J3160" s="2">
        <v>500</v>
      </c>
      <c r="K3160" s="3">
        <f t="shared" si="49"/>
        <v>24999.999999999996</v>
      </c>
      <c r="L3160" s="3">
        <v>12499.999999999998</v>
      </c>
    </row>
    <row r="3161" spans="1:12" x14ac:dyDescent="0.25">
      <c r="A3161" t="s">
        <v>19</v>
      </c>
      <c r="B3161">
        <v>1185732</v>
      </c>
      <c r="C3161" s="1">
        <v>44332</v>
      </c>
      <c r="D3161" t="s">
        <v>52</v>
      </c>
      <c r="E3161" t="s">
        <v>112</v>
      </c>
      <c r="F3161" t="s">
        <v>113</v>
      </c>
      <c r="G3161" t="s">
        <v>15</v>
      </c>
      <c r="H3161" t="s">
        <v>22</v>
      </c>
      <c r="I3161" s="3">
        <v>34</v>
      </c>
      <c r="J3161" s="2">
        <v>132</v>
      </c>
      <c r="K3161" s="3">
        <f t="shared" si="49"/>
        <v>4488</v>
      </c>
      <c r="L3161" s="3">
        <v>2692.8</v>
      </c>
    </row>
    <row r="3162" spans="1:12" x14ac:dyDescent="0.25">
      <c r="A3162" t="s">
        <v>19</v>
      </c>
      <c r="B3162">
        <v>1185732</v>
      </c>
      <c r="C3162" s="1">
        <v>44332</v>
      </c>
      <c r="D3162" t="s">
        <v>52</v>
      </c>
      <c r="E3162" t="s">
        <v>112</v>
      </c>
      <c r="F3162" t="s">
        <v>113</v>
      </c>
      <c r="G3162" t="s">
        <v>15</v>
      </c>
      <c r="H3162" t="s">
        <v>17</v>
      </c>
      <c r="I3162" s="3">
        <v>28</v>
      </c>
      <c r="J3162" s="2">
        <v>140</v>
      </c>
      <c r="K3162" s="3">
        <f t="shared" si="49"/>
        <v>3920</v>
      </c>
      <c r="L3162" s="3">
        <v>2312.8000000000002</v>
      </c>
    </row>
    <row r="3163" spans="1:12" x14ac:dyDescent="0.25">
      <c r="A3163" t="s">
        <v>27</v>
      </c>
      <c r="B3163">
        <v>1189833</v>
      </c>
      <c r="C3163" s="1">
        <v>44332</v>
      </c>
      <c r="D3163" t="s">
        <v>12</v>
      </c>
      <c r="E3163" t="s">
        <v>13</v>
      </c>
      <c r="F3163" t="s">
        <v>28</v>
      </c>
      <c r="G3163" t="s">
        <v>15</v>
      </c>
      <c r="H3163" t="s">
        <v>37</v>
      </c>
      <c r="I3163" s="3">
        <v>33</v>
      </c>
      <c r="J3163" s="2">
        <v>213</v>
      </c>
      <c r="K3163" s="3">
        <f t="shared" si="49"/>
        <v>7029</v>
      </c>
      <c r="L3163" s="3">
        <v>4076.82</v>
      </c>
    </row>
    <row r="3164" spans="1:12" x14ac:dyDescent="0.25">
      <c r="A3164" t="s">
        <v>19</v>
      </c>
      <c r="B3164">
        <v>1185732</v>
      </c>
      <c r="C3164" s="1">
        <v>44332</v>
      </c>
      <c r="D3164" t="s">
        <v>52</v>
      </c>
      <c r="E3164" t="s">
        <v>112</v>
      </c>
      <c r="F3164" t="s">
        <v>113</v>
      </c>
      <c r="G3164" t="s">
        <v>15</v>
      </c>
      <c r="H3164" t="s">
        <v>38</v>
      </c>
      <c r="I3164" s="3">
        <v>27</v>
      </c>
      <c r="J3164" s="2">
        <v>238</v>
      </c>
      <c r="K3164" s="3">
        <f t="shared" si="49"/>
        <v>6426</v>
      </c>
      <c r="L3164" s="3">
        <v>3727.08</v>
      </c>
    </row>
    <row r="3165" spans="1:12" x14ac:dyDescent="0.25">
      <c r="A3165" t="s">
        <v>19</v>
      </c>
      <c r="B3165">
        <v>1185732</v>
      </c>
      <c r="C3165" s="1">
        <v>44332</v>
      </c>
      <c r="D3165" t="s">
        <v>52</v>
      </c>
      <c r="E3165" t="s">
        <v>112</v>
      </c>
      <c r="F3165" t="s">
        <v>113</v>
      </c>
      <c r="G3165" t="s">
        <v>15</v>
      </c>
      <c r="H3165" t="s">
        <v>35</v>
      </c>
      <c r="I3165" s="3">
        <v>26</v>
      </c>
      <c r="J3165" s="2">
        <v>136</v>
      </c>
      <c r="K3165" s="3">
        <f t="shared" si="49"/>
        <v>3536</v>
      </c>
      <c r="L3165" s="3">
        <v>2015.5199999999998</v>
      </c>
    </row>
    <row r="3166" spans="1:12" x14ac:dyDescent="0.25">
      <c r="A3166" t="s">
        <v>19</v>
      </c>
      <c r="B3166">
        <v>1185732</v>
      </c>
      <c r="C3166" s="1">
        <v>44332</v>
      </c>
      <c r="D3166" t="s">
        <v>52</v>
      </c>
      <c r="E3166" t="s">
        <v>112</v>
      </c>
      <c r="F3166" t="s">
        <v>113</v>
      </c>
      <c r="G3166" t="s">
        <v>41</v>
      </c>
      <c r="H3166" t="s">
        <v>17</v>
      </c>
      <c r="I3166" s="3">
        <v>37</v>
      </c>
      <c r="J3166" s="2">
        <v>131</v>
      </c>
      <c r="K3166" s="3">
        <f t="shared" si="49"/>
        <v>4847</v>
      </c>
      <c r="L3166" s="3">
        <v>2665.8500000000004</v>
      </c>
    </row>
    <row r="3167" spans="1:12" x14ac:dyDescent="0.25">
      <c r="A3167" t="s">
        <v>27</v>
      </c>
      <c r="B3167">
        <v>1189833</v>
      </c>
      <c r="C3167" s="1">
        <v>44332</v>
      </c>
      <c r="D3167" t="s">
        <v>12</v>
      </c>
      <c r="E3167" t="s">
        <v>13</v>
      </c>
      <c r="F3167" t="s">
        <v>28</v>
      </c>
      <c r="G3167" t="s">
        <v>41</v>
      </c>
      <c r="H3167" t="s">
        <v>37</v>
      </c>
      <c r="I3167" s="3">
        <v>48</v>
      </c>
      <c r="J3167" s="2">
        <v>175</v>
      </c>
      <c r="K3167" s="3">
        <f t="shared" si="49"/>
        <v>8400</v>
      </c>
      <c r="L3167" s="3">
        <v>4620</v>
      </c>
    </row>
    <row r="3168" spans="1:12" x14ac:dyDescent="0.25">
      <c r="A3168" t="s">
        <v>19</v>
      </c>
      <c r="B3168">
        <v>1185732</v>
      </c>
      <c r="C3168" s="1">
        <v>44332</v>
      </c>
      <c r="D3168" t="s">
        <v>52</v>
      </c>
      <c r="E3168" t="s">
        <v>112</v>
      </c>
      <c r="F3168" t="s">
        <v>113</v>
      </c>
      <c r="G3168" t="s">
        <v>15</v>
      </c>
      <c r="H3168" t="s">
        <v>37</v>
      </c>
      <c r="I3168" s="3">
        <v>24</v>
      </c>
      <c r="J3168" s="2">
        <v>116</v>
      </c>
      <c r="K3168" s="3">
        <f t="shared" si="49"/>
        <v>2784</v>
      </c>
      <c r="L3168" s="3">
        <v>1503.36</v>
      </c>
    </row>
    <row r="3169" spans="1:12" x14ac:dyDescent="0.25">
      <c r="A3169" t="s">
        <v>19</v>
      </c>
      <c r="B3169">
        <v>1185732</v>
      </c>
      <c r="C3169" s="1">
        <v>44332</v>
      </c>
      <c r="D3169" t="s">
        <v>52</v>
      </c>
      <c r="E3169" t="s">
        <v>112</v>
      </c>
      <c r="F3169" t="s">
        <v>113</v>
      </c>
      <c r="G3169" t="s">
        <v>41</v>
      </c>
      <c r="H3169" t="s">
        <v>22</v>
      </c>
      <c r="I3169" s="3">
        <v>41</v>
      </c>
      <c r="J3169" s="2">
        <v>116</v>
      </c>
      <c r="K3169" s="3">
        <f t="shared" si="49"/>
        <v>4756</v>
      </c>
      <c r="L3169" s="3">
        <v>2520.6800000000003</v>
      </c>
    </row>
    <row r="3170" spans="1:12" x14ac:dyDescent="0.25">
      <c r="A3170" t="s">
        <v>26</v>
      </c>
      <c r="B3170">
        <v>1197831</v>
      </c>
      <c r="C3170" s="1">
        <v>44332</v>
      </c>
      <c r="D3170" t="s">
        <v>52</v>
      </c>
      <c r="E3170" t="s">
        <v>97</v>
      </c>
      <c r="F3170" t="s">
        <v>98</v>
      </c>
      <c r="G3170" t="s">
        <v>15</v>
      </c>
      <c r="H3170" t="s">
        <v>17</v>
      </c>
      <c r="I3170" s="3">
        <v>37</v>
      </c>
      <c r="J3170" s="2">
        <v>264</v>
      </c>
      <c r="K3170" s="3">
        <f t="shared" si="49"/>
        <v>9768</v>
      </c>
      <c r="L3170" s="3">
        <v>4981.68</v>
      </c>
    </row>
    <row r="3171" spans="1:12" x14ac:dyDescent="0.25">
      <c r="A3171" t="s">
        <v>19</v>
      </c>
      <c r="B3171">
        <v>1185732</v>
      </c>
      <c r="C3171" s="1">
        <v>44332</v>
      </c>
      <c r="D3171" t="s">
        <v>52</v>
      </c>
      <c r="E3171" t="s">
        <v>112</v>
      </c>
      <c r="F3171" t="s">
        <v>113</v>
      </c>
      <c r="G3171" t="s">
        <v>41</v>
      </c>
      <c r="H3171" t="s">
        <v>37</v>
      </c>
      <c r="I3171" s="3">
        <v>33</v>
      </c>
      <c r="J3171" s="2">
        <v>101</v>
      </c>
      <c r="K3171" s="3">
        <f t="shared" si="49"/>
        <v>3333</v>
      </c>
      <c r="L3171" s="3">
        <v>1633.17</v>
      </c>
    </row>
    <row r="3172" spans="1:12" x14ac:dyDescent="0.25">
      <c r="A3172" t="s">
        <v>19</v>
      </c>
      <c r="B3172">
        <v>1185732</v>
      </c>
      <c r="C3172" s="1">
        <v>44332</v>
      </c>
      <c r="D3172" t="s">
        <v>52</v>
      </c>
      <c r="E3172" t="s">
        <v>112</v>
      </c>
      <c r="F3172" t="s">
        <v>113</v>
      </c>
      <c r="G3172" t="s">
        <v>41</v>
      </c>
      <c r="H3172" t="s">
        <v>35</v>
      </c>
      <c r="I3172" s="3">
        <v>33</v>
      </c>
      <c r="J3172" s="2">
        <v>119</v>
      </c>
      <c r="K3172" s="3">
        <f t="shared" si="49"/>
        <v>3927</v>
      </c>
      <c r="L3172" s="3">
        <v>1806.42</v>
      </c>
    </row>
    <row r="3173" spans="1:12" x14ac:dyDescent="0.25">
      <c r="A3173" t="s">
        <v>26</v>
      </c>
      <c r="B3173">
        <v>1197831</v>
      </c>
      <c r="C3173" s="1">
        <v>44332</v>
      </c>
      <c r="D3173" t="s">
        <v>52</v>
      </c>
      <c r="E3173" t="s">
        <v>97</v>
      </c>
      <c r="F3173" t="s">
        <v>98</v>
      </c>
      <c r="G3173" t="s">
        <v>41</v>
      </c>
      <c r="H3173" t="s">
        <v>17</v>
      </c>
      <c r="I3173" s="3">
        <v>51</v>
      </c>
      <c r="J3173" s="2">
        <v>240</v>
      </c>
      <c r="K3173" s="3">
        <f t="shared" si="49"/>
        <v>12240</v>
      </c>
      <c r="L3173" s="3">
        <v>5508.0000000000009</v>
      </c>
    </row>
    <row r="3174" spans="1:12" x14ac:dyDescent="0.25">
      <c r="A3174" t="s">
        <v>19</v>
      </c>
      <c r="B3174">
        <v>1185732</v>
      </c>
      <c r="C3174" s="1">
        <v>44332</v>
      </c>
      <c r="D3174" t="s">
        <v>52</v>
      </c>
      <c r="E3174" t="s">
        <v>112</v>
      </c>
      <c r="F3174" t="s">
        <v>113</v>
      </c>
      <c r="G3174" t="s">
        <v>41</v>
      </c>
      <c r="H3174" t="s">
        <v>38</v>
      </c>
      <c r="I3174" s="3">
        <v>39</v>
      </c>
      <c r="J3174" s="2">
        <v>194</v>
      </c>
      <c r="K3174" s="3">
        <f t="shared" si="49"/>
        <v>7566</v>
      </c>
      <c r="L3174" s="3">
        <v>3404.7</v>
      </c>
    </row>
    <row r="3175" spans="1:12" x14ac:dyDescent="0.25">
      <c r="A3175" t="s">
        <v>19</v>
      </c>
      <c r="B3175">
        <v>1185732</v>
      </c>
      <c r="C3175" s="1">
        <v>44332</v>
      </c>
      <c r="D3175" t="s">
        <v>52</v>
      </c>
      <c r="E3175" t="s">
        <v>112</v>
      </c>
      <c r="F3175" t="s">
        <v>113</v>
      </c>
      <c r="G3175" t="s">
        <v>15</v>
      </c>
      <c r="H3175" t="s">
        <v>16</v>
      </c>
      <c r="I3175" s="3">
        <v>35</v>
      </c>
      <c r="J3175" s="2">
        <v>150</v>
      </c>
      <c r="K3175" s="3">
        <f t="shared" si="49"/>
        <v>5250</v>
      </c>
      <c r="L3175" s="3">
        <v>2309.9999999999995</v>
      </c>
    </row>
    <row r="3176" spans="1:12" x14ac:dyDescent="0.25">
      <c r="A3176" t="s">
        <v>19</v>
      </c>
      <c r="B3176">
        <v>1185732</v>
      </c>
      <c r="C3176" s="1">
        <v>44332</v>
      </c>
      <c r="D3176" t="s">
        <v>52</v>
      </c>
      <c r="E3176" t="s">
        <v>112</v>
      </c>
      <c r="F3176" t="s">
        <v>113</v>
      </c>
      <c r="G3176" t="s">
        <v>41</v>
      </c>
      <c r="H3176" t="s">
        <v>16</v>
      </c>
      <c r="I3176" s="3">
        <v>47</v>
      </c>
      <c r="J3176" s="2">
        <v>140</v>
      </c>
      <c r="K3176" s="3">
        <f t="shared" si="49"/>
        <v>6580</v>
      </c>
      <c r="L3176" s="3">
        <v>2368.8000000000002</v>
      </c>
    </row>
    <row r="3177" spans="1:12" x14ac:dyDescent="0.25">
      <c r="A3177" t="s">
        <v>36</v>
      </c>
      <c r="B3177">
        <v>1185732</v>
      </c>
      <c r="C3177" s="1">
        <v>44333</v>
      </c>
      <c r="D3177" t="s">
        <v>29</v>
      </c>
      <c r="E3177" t="s">
        <v>68</v>
      </c>
      <c r="F3177" t="s">
        <v>69</v>
      </c>
      <c r="G3177" t="s">
        <v>18</v>
      </c>
      <c r="H3177" t="s">
        <v>37</v>
      </c>
      <c r="I3177" s="3">
        <v>55.000000000000007</v>
      </c>
      <c r="J3177" s="2">
        <v>275</v>
      </c>
      <c r="K3177" s="3">
        <f t="shared" si="49"/>
        <v>15125.000000000002</v>
      </c>
      <c r="L3177" s="3">
        <v>10587.500000000004</v>
      </c>
    </row>
    <row r="3178" spans="1:12" x14ac:dyDescent="0.25">
      <c r="A3178" t="s">
        <v>36</v>
      </c>
      <c r="B3178">
        <v>1185732</v>
      </c>
      <c r="C3178" s="1">
        <v>44333</v>
      </c>
      <c r="D3178" t="s">
        <v>29</v>
      </c>
      <c r="E3178" t="s">
        <v>68</v>
      </c>
      <c r="F3178" t="s">
        <v>69</v>
      </c>
      <c r="G3178" t="s">
        <v>18</v>
      </c>
      <c r="H3178" t="s">
        <v>35</v>
      </c>
      <c r="I3178" s="3">
        <v>55.000000000000007</v>
      </c>
      <c r="J3178" s="2">
        <v>325</v>
      </c>
      <c r="K3178" s="3">
        <f t="shared" si="49"/>
        <v>17875.000000000004</v>
      </c>
      <c r="L3178" s="3">
        <v>12512.500000000004</v>
      </c>
    </row>
    <row r="3179" spans="1:12" x14ac:dyDescent="0.25">
      <c r="A3179" t="s">
        <v>36</v>
      </c>
      <c r="B3179">
        <v>1185732</v>
      </c>
      <c r="C3179" s="1">
        <v>44333</v>
      </c>
      <c r="D3179" t="s">
        <v>29</v>
      </c>
      <c r="E3179" t="s">
        <v>68</v>
      </c>
      <c r="F3179" t="s">
        <v>69</v>
      </c>
      <c r="G3179" t="s">
        <v>18</v>
      </c>
      <c r="H3179" t="s">
        <v>22</v>
      </c>
      <c r="I3179" s="3">
        <v>65</v>
      </c>
      <c r="J3179" s="2">
        <v>300</v>
      </c>
      <c r="K3179" s="3">
        <f t="shared" si="49"/>
        <v>19500</v>
      </c>
      <c r="L3179" s="3">
        <v>13650</v>
      </c>
    </row>
    <row r="3180" spans="1:12" x14ac:dyDescent="0.25">
      <c r="A3180" t="s">
        <v>36</v>
      </c>
      <c r="B3180">
        <v>1185732</v>
      </c>
      <c r="C3180" s="1">
        <v>44333</v>
      </c>
      <c r="D3180" t="s">
        <v>29</v>
      </c>
      <c r="E3180" t="s">
        <v>68</v>
      </c>
      <c r="F3180" t="s">
        <v>69</v>
      </c>
      <c r="G3180" t="s">
        <v>18</v>
      </c>
      <c r="H3180" t="s">
        <v>16</v>
      </c>
      <c r="I3180" s="3">
        <v>70</v>
      </c>
      <c r="J3180" s="2">
        <v>425</v>
      </c>
      <c r="K3180" s="3">
        <f t="shared" si="49"/>
        <v>29750</v>
      </c>
      <c r="L3180" s="3">
        <v>19337.5</v>
      </c>
    </row>
    <row r="3181" spans="1:12" x14ac:dyDescent="0.25">
      <c r="A3181" t="s">
        <v>36</v>
      </c>
      <c r="B3181">
        <v>1185732</v>
      </c>
      <c r="C3181" s="1">
        <v>44333</v>
      </c>
      <c r="D3181" t="s">
        <v>29</v>
      </c>
      <c r="E3181" t="s">
        <v>68</v>
      </c>
      <c r="F3181" t="s">
        <v>69</v>
      </c>
      <c r="G3181" t="s">
        <v>18</v>
      </c>
      <c r="H3181" t="s">
        <v>38</v>
      </c>
      <c r="I3181" s="3">
        <v>65</v>
      </c>
      <c r="J3181" s="2">
        <v>595</v>
      </c>
      <c r="K3181" s="3">
        <f t="shared" si="49"/>
        <v>38675</v>
      </c>
      <c r="L3181" s="3">
        <v>23205</v>
      </c>
    </row>
    <row r="3182" spans="1:12" x14ac:dyDescent="0.25">
      <c r="A3182" t="s">
        <v>36</v>
      </c>
      <c r="B3182">
        <v>1185732</v>
      </c>
      <c r="C3182" s="1">
        <v>44333</v>
      </c>
      <c r="D3182" t="s">
        <v>29</v>
      </c>
      <c r="E3182" t="s">
        <v>68</v>
      </c>
      <c r="F3182" t="s">
        <v>69</v>
      </c>
      <c r="G3182" t="s">
        <v>18</v>
      </c>
      <c r="H3182" t="s">
        <v>17</v>
      </c>
      <c r="I3182" s="3">
        <v>60.000000000000007</v>
      </c>
      <c r="J3182" s="2">
        <v>300</v>
      </c>
      <c r="K3182" s="3">
        <f t="shared" si="49"/>
        <v>18000.000000000004</v>
      </c>
      <c r="L3182" s="3">
        <v>10800.000000000002</v>
      </c>
    </row>
    <row r="3183" spans="1:12" x14ac:dyDescent="0.25">
      <c r="A3183" t="s">
        <v>26</v>
      </c>
      <c r="B3183">
        <v>1197831</v>
      </c>
      <c r="C3183" s="1">
        <v>44333</v>
      </c>
      <c r="D3183" t="s">
        <v>52</v>
      </c>
      <c r="E3183" t="s">
        <v>97</v>
      </c>
      <c r="F3183" t="s">
        <v>98</v>
      </c>
      <c r="G3183" t="s">
        <v>15</v>
      </c>
      <c r="H3183" t="s">
        <v>35</v>
      </c>
      <c r="I3183" s="3">
        <v>60</v>
      </c>
      <c r="J3183" s="2">
        <v>700</v>
      </c>
      <c r="K3183" s="3">
        <f t="shared" si="49"/>
        <v>42000</v>
      </c>
      <c r="L3183" s="3">
        <v>23100.000000000004</v>
      </c>
    </row>
    <row r="3184" spans="1:12" x14ac:dyDescent="0.25">
      <c r="A3184" t="s">
        <v>27</v>
      </c>
      <c r="B3184">
        <v>1189833</v>
      </c>
      <c r="C3184" s="1">
        <v>44333</v>
      </c>
      <c r="D3184" t="s">
        <v>12</v>
      </c>
      <c r="E3184" t="s">
        <v>13</v>
      </c>
      <c r="F3184" t="s">
        <v>28</v>
      </c>
      <c r="G3184" t="s">
        <v>15</v>
      </c>
      <c r="H3184" t="s">
        <v>22</v>
      </c>
      <c r="I3184" s="3">
        <v>60</v>
      </c>
      <c r="J3184" s="2">
        <v>600</v>
      </c>
      <c r="K3184" s="3">
        <f t="shared" si="49"/>
        <v>36000</v>
      </c>
      <c r="L3184" s="3">
        <v>16199.999999999996</v>
      </c>
    </row>
    <row r="3185" spans="1:12" x14ac:dyDescent="0.25">
      <c r="A3185" t="s">
        <v>36</v>
      </c>
      <c r="B3185">
        <v>1185732</v>
      </c>
      <c r="C3185" s="1">
        <v>44333</v>
      </c>
      <c r="D3185" t="s">
        <v>29</v>
      </c>
      <c r="E3185" t="s">
        <v>68</v>
      </c>
      <c r="F3185" t="s">
        <v>69</v>
      </c>
      <c r="G3185" t="s">
        <v>15</v>
      </c>
      <c r="H3185" t="s">
        <v>22</v>
      </c>
      <c r="I3185" s="3">
        <v>52</v>
      </c>
      <c r="J3185" s="2">
        <v>90</v>
      </c>
      <c r="K3185" s="3">
        <f t="shared" si="49"/>
        <v>4680</v>
      </c>
      <c r="L3185" s="3">
        <v>3182.3999999999996</v>
      </c>
    </row>
    <row r="3186" spans="1:12" x14ac:dyDescent="0.25">
      <c r="A3186" t="s">
        <v>36</v>
      </c>
      <c r="B3186">
        <v>1185732</v>
      </c>
      <c r="C3186" s="1">
        <v>44333</v>
      </c>
      <c r="D3186" t="s">
        <v>29</v>
      </c>
      <c r="E3186" t="s">
        <v>68</v>
      </c>
      <c r="F3186" t="s">
        <v>69</v>
      </c>
      <c r="G3186" t="s">
        <v>15</v>
      </c>
      <c r="H3186" t="s">
        <v>35</v>
      </c>
      <c r="I3186" s="3">
        <v>42</v>
      </c>
      <c r="J3186" s="2">
        <v>101</v>
      </c>
      <c r="K3186" s="3">
        <f t="shared" si="49"/>
        <v>4242</v>
      </c>
      <c r="L3186" s="3">
        <v>2799.7200000000003</v>
      </c>
    </row>
    <row r="3187" spans="1:12" x14ac:dyDescent="0.25">
      <c r="A3187" t="s">
        <v>36</v>
      </c>
      <c r="B3187">
        <v>1185732</v>
      </c>
      <c r="C3187" s="1">
        <v>44333</v>
      </c>
      <c r="D3187" t="s">
        <v>29</v>
      </c>
      <c r="E3187" t="s">
        <v>68</v>
      </c>
      <c r="F3187" t="s">
        <v>69</v>
      </c>
      <c r="G3187" t="s">
        <v>15</v>
      </c>
      <c r="H3187" t="s">
        <v>37</v>
      </c>
      <c r="I3187" s="3">
        <v>41</v>
      </c>
      <c r="J3187" s="2">
        <v>91</v>
      </c>
      <c r="K3187" s="3">
        <f t="shared" si="49"/>
        <v>3731</v>
      </c>
      <c r="L3187" s="3">
        <v>2462.46</v>
      </c>
    </row>
    <row r="3188" spans="1:12" x14ac:dyDescent="0.25">
      <c r="A3188" t="s">
        <v>36</v>
      </c>
      <c r="B3188">
        <v>1185732</v>
      </c>
      <c r="C3188" s="1">
        <v>44333</v>
      </c>
      <c r="D3188" t="s">
        <v>29</v>
      </c>
      <c r="E3188" t="s">
        <v>68</v>
      </c>
      <c r="F3188" t="s">
        <v>69</v>
      </c>
      <c r="G3188" t="s">
        <v>15</v>
      </c>
      <c r="H3188" t="s">
        <v>16</v>
      </c>
      <c r="I3188" s="3">
        <v>46</v>
      </c>
      <c r="J3188" s="2">
        <v>140</v>
      </c>
      <c r="K3188" s="3">
        <f t="shared" si="49"/>
        <v>6440</v>
      </c>
      <c r="L3188" s="3">
        <v>3928.4</v>
      </c>
    </row>
    <row r="3189" spans="1:12" x14ac:dyDescent="0.25">
      <c r="A3189" t="s">
        <v>36</v>
      </c>
      <c r="B3189">
        <v>1185732</v>
      </c>
      <c r="C3189" s="1">
        <v>44333</v>
      </c>
      <c r="D3189" t="s">
        <v>29</v>
      </c>
      <c r="E3189" t="s">
        <v>68</v>
      </c>
      <c r="F3189" t="s">
        <v>69</v>
      </c>
      <c r="G3189" t="s">
        <v>41</v>
      </c>
      <c r="H3189" t="s">
        <v>37</v>
      </c>
      <c r="I3189" s="3">
        <v>52</v>
      </c>
      <c r="J3189" s="2">
        <v>80</v>
      </c>
      <c r="K3189" s="3">
        <f t="shared" si="49"/>
        <v>4160</v>
      </c>
      <c r="L3189" s="3">
        <v>2496</v>
      </c>
    </row>
    <row r="3190" spans="1:12" x14ac:dyDescent="0.25">
      <c r="A3190" t="s">
        <v>36</v>
      </c>
      <c r="B3190">
        <v>1185732</v>
      </c>
      <c r="C3190" s="1">
        <v>44333</v>
      </c>
      <c r="D3190" t="s">
        <v>29</v>
      </c>
      <c r="E3190" t="s">
        <v>68</v>
      </c>
      <c r="F3190" t="s">
        <v>69</v>
      </c>
      <c r="G3190" t="s">
        <v>41</v>
      </c>
      <c r="H3190" t="s">
        <v>35</v>
      </c>
      <c r="I3190" s="3">
        <v>51</v>
      </c>
      <c r="J3190" s="2">
        <v>98</v>
      </c>
      <c r="K3190" s="3">
        <f t="shared" si="49"/>
        <v>4998</v>
      </c>
      <c r="L3190" s="3">
        <v>2898.84</v>
      </c>
    </row>
    <row r="3191" spans="1:12" x14ac:dyDescent="0.25">
      <c r="A3191" t="s">
        <v>36</v>
      </c>
      <c r="B3191">
        <v>1185732</v>
      </c>
      <c r="C3191" s="1">
        <v>44333</v>
      </c>
      <c r="D3191" t="s">
        <v>29</v>
      </c>
      <c r="E3191" t="s">
        <v>68</v>
      </c>
      <c r="F3191" t="s">
        <v>69</v>
      </c>
      <c r="G3191" t="s">
        <v>15</v>
      </c>
      <c r="H3191" t="s">
        <v>38</v>
      </c>
      <c r="I3191" s="3">
        <v>47</v>
      </c>
      <c r="J3191" s="2">
        <v>196</v>
      </c>
      <c r="K3191" s="3">
        <f t="shared" si="49"/>
        <v>9212</v>
      </c>
      <c r="L3191" s="3">
        <v>5250.84</v>
      </c>
    </row>
    <row r="3192" spans="1:12" x14ac:dyDescent="0.25">
      <c r="A3192" t="s">
        <v>36</v>
      </c>
      <c r="B3192">
        <v>1185732</v>
      </c>
      <c r="C3192" s="1">
        <v>44333</v>
      </c>
      <c r="D3192" t="s">
        <v>29</v>
      </c>
      <c r="E3192" t="s">
        <v>68</v>
      </c>
      <c r="F3192" t="s">
        <v>69</v>
      </c>
      <c r="G3192" t="s">
        <v>15</v>
      </c>
      <c r="H3192" t="s">
        <v>17</v>
      </c>
      <c r="I3192" s="3">
        <v>40</v>
      </c>
      <c r="J3192" s="2">
        <v>93</v>
      </c>
      <c r="K3192" s="3">
        <f t="shared" si="49"/>
        <v>3720</v>
      </c>
      <c r="L3192" s="3">
        <v>2120.3999999999996</v>
      </c>
    </row>
    <row r="3193" spans="1:12" x14ac:dyDescent="0.25">
      <c r="A3193" t="s">
        <v>36</v>
      </c>
      <c r="B3193">
        <v>1185732</v>
      </c>
      <c r="C3193" s="1">
        <v>44333</v>
      </c>
      <c r="D3193" t="s">
        <v>29</v>
      </c>
      <c r="E3193" t="s">
        <v>68</v>
      </c>
      <c r="F3193" t="s">
        <v>69</v>
      </c>
      <c r="G3193" t="s">
        <v>41</v>
      </c>
      <c r="H3193" t="s">
        <v>22</v>
      </c>
      <c r="I3193" s="3">
        <v>63</v>
      </c>
      <c r="J3193" s="2">
        <v>78</v>
      </c>
      <c r="K3193" s="3">
        <f t="shared" si="49"/>
        <v>4914</v>
      </c>
      <c r="L3193" s="3">
        <v>2702.7000000000003</v>
      </c>
    </row>
    <row r="3194" spans="1:12" x14ac:dyDescent="0.25">
      <c r="A3194" t="s">
        <v>36</v>
      </c>
      <c r="B3194">
        <v>1185732</v>
      </c>
      <c r="C3194" s="1">
        <v>44333</v>
      </c>
      <c r="D3194" t="s">
        <v>29</v>
      </c>
      <c r="E3194" t="s">
        <v>68</v>
      </c>
      <c r="F3194" t="s">
        <v>69</v>
      </c>
      <c r="G3194" t="s">
        <v>41</v>
      </c>
      <c r="H3194" t="s">
        <v>16</v>
      </c>
      <c r="I3194" s="3">
        <v>65</v>
      </c>
      <c r="J3194" s="2">
        <v>115</v>
      </c>
      <c r="K3194" s="3">
        <f t="shared" si="49"/>
        <v>7475</v>
      </c>
      <c r="L3194" s="3">
        <v>4036.5000000000005</v>
      </c>
    </row>
    <row r="3195" spans="1:12" x14ac:dyDescent="0.25">
      <c r="A3195" t="s">
        <v>26</v>
      </c>
      <c r="B3195">
        <v>1197831</v>
      </c>
      <c r="C3195" s="1">
        <v>44333</v>
      </c>
      <c r="D3195" t="s">
        <v>52</v>
      </c>
      <c r="E3195" t="s">
        <v>97</v>
      </c>
      <c r="F3195" t="s">
        <v>98</v>
      </c>
      <c r="G3195" t="s">
        <v>15</v>
      </c>
      <c r="H3195" t="s">
        <v>35</v>
      </c>
      <c r="I3195" s="3">
        <v>44</v>
      </c>
      <c r="J3195" s="2">
        <v>210</v>
      </c>
      <c r="K3195" s="3">
        <f t="shared" si="49"/>
        <v>9240</v>
      </c>
      <c r="L3195" s="3">
        <v>4527.6000000000004</v>
      </c>
    </row>
    <row r="3196" spans="1:12" x14ac:dyDescent="0.25">
      <c r="A3196" t="s">
        <v>36</v>
      </c>
      <c r="B3196">
        <v>1185732</v>
      </c>
      <c r="C3196" s="1">
        <v>44333</v>
      </c>
      <c r="D3196" t="s">
        <v>29</v>
      </c>
      <c r="E3196" t="s">
        <v>68</v>
      </c>
      <c r="F3196" t="s">
        <v>69</v>
      </c>
      <c r="G3196" t="s">
        <v>41</v>
      </c>
      <c r="H3196" t="s">
        <v>38</v>
      </c>
      <c r="I3196" s="3">
        <v>64</v>
      </c>
      <c r="J3196" s="2">
        <v>173</v>
      </c>
      <c r="K3196" s="3">
        <f t="shared" si="49"/>
        <v>11072</v>
      </c>
      <c r="L3196" s="3">
        <v>5203.84</v>
      </c>
    </row>
    <row r="3197" spans="1:12" x14ac:dyDescent="0.25">
      <c r="A3197" t="s">
        <v>36</v>
      </c>
      <c r="B3197">
        <v>1185732</v>
      </c>
      <c r="C3197" s="1">
        <v>44333</v>
      </c>
      <c r="D3197" t="s">
        <v>29</v>
      </c>
      <c r="E3197" t="s">
        <v>68</v>
      </c>
      <c r="F3197" t="s">
        <v>69</v>
      </c>
      <c r="G3197" t="s">
        <v>41</v>
      </c>
      <c r="H3197" t="s">
        <v>17</v>
      </c>
      <c r="I3197" s="3">
        <v>54</v>
      </c>
      <c r="J3197" s="2">
        <v>87</v>
      </c>
      <c r="K3197" s="3">
        <f t="shared" si="49"/>
        <v>4698</v>
      </c>
      <c r="L3197" s="3">
        <v>2161.08</v>
      </c>
    </row>
    <row r="3198" spans="1:12" x14ac:dyDescent="0.25">
      <c r="A3198" t="s">
        <v>26</v>
      </c>
      <c r="B3198">
        <v>1197831</v>
      </c>
      <c r="C3198" s="1">
        <v>44333</v>
      </c>
      <c r="D3198" t="s">
        <v>52</v>
      </c>
      <c r="E3198" t="s">
        <v>97</v>
      </c>
      <c r="F3198" t="s">
        <v>98</v>
      </c>
      <c r="G3198" t="s">
        <v>41</v>
      </c>
      <c r="H3198" t="s">
        <v>35</v>
      </c>
      <c r="I3198" s="3">
        <v>54</v>
      </c>
      <c r="J3198" s="2">
        <v>210</v>
      </c>
      <c r="K3198" s="3">
        <f t="shared" si="49"/>
        <v>11340</v>
      </c>
      <c r="L3198" s="3">
        <v>5103.0000000000009</v>
      </c>
    </row>
    <row r="3199" spans="1:12" x14ac:dyDescent="0.25">
      <c r="A3199" t="s">
        <v>27</v>
      </c>
      <c r="B3199">
        <v>1189833</v>
      </c>
      <c r="C3199" s="1">
        <v>44333</v>
      </c>
      <c r="D3199" t="s">
        <v>12</v>
      </c>
      <c r="E3199" t="s">
        <v>13</v>
      </c>
      <c r="F3199" t="s">
        <v>28</v>
      </c>
      <c r="G3199" t="s">
        <v>15</v>
      </c>
      <c r="H3199" t="s">
        <v>22</v>
      </c>
      <c r="I3199" s="3">
        <v>46</v>
      </c>
      <c r="J3199" s="2">
        <v>210</v>
      </c>
      <c r="K3199" s="3">
        <f t="shared" si="49"/>
        <v>9660</v>
      </c>
      <c r="L3199" s="3">
        <v>3670.7999999999993</v>
      </c>
    </row>
    <row r="3200" spans="1:12" x14ac:dyDescent="0.25">
      <c r="A3200" t="s">
        <v>27</v>
      </c>
      <c r="B3200">
        <v>1189833</v>
      </c>
      <c r="C3200" s="1">
        <v>44333</v>
      </c>
      <c r="D3200" t="s">
        <v>12</v>
      </c>
      <c r="E3200" t="s">
        <v>13</v>
      </c>
      <c r="F3200" t="s">
        <v>28</v>
      </c>
      <c r="G3200" t="s">
        <v>41</v>
      </c>
      <c r="H3200" t="s">
        <v>22</v>
      </c>
      <c r="I3200" s="3">
        <v>56</v>
      </c>
      <c r="J3200" s="2">
        <v>174</v>
      </c>
      <c r="K3200" s="3">
        <f t="shared" si="49"/>
        <v>9744</v>
      </c>
      <c r="L3200" s="3">
        <v>3118.08</v>
      </c>
    </row>
    <row r="3201" spans="1:12" x14ac:dyDescent="0.25">
      <c r="A3201" t="s">
        <v>27</v>
      </c>
      <c r="B3201">
        <v>1189833</v>
      </c>
      <c r="C3201" s="1">
        <v>44334</v>
      </c>
      <c r="D3201" t="s">
        <v>12</v>
      </c>
      <c r="E3201" t="s">
        <v>13</v>
      </c>
      <c r="F3201" t="s">
        <v>28</v>
      </c>
      <c r="G3201" t="s">
        <v>15</v>
      </c>
      <c r="H3201" t="s">
        <v>16</v>
      </c>
      <c r="I3201" s="3">
        <v>65</v>
      </c>
      <c r="J3201" s="2">
        <v>650</v>
      </c>
      <c r="K3201" s="3">
        <f t="shared" si="49"/>
        <v>42250</v>
      </c>
      <c r="L3201" s="3">
        <v>33800</v>
      </c>
    </row>
    <row r="3202" spans="1:12" x14ac:dyDescent="0.25">
      <c r="A3202" t="s">
        <v>23</v>
      </c>
      <c r="B3202">
        <v>1128299</v>
      </c>
      <c r="C3202" s="1">
        <v>44334</v>
      </c>
      <c r="D3202" t="s">
        <v>32</v>
      </c>
      <c r="E3202" t="s">
        <v>33</v>
      </c>
      <c r="F3202" t="s">
        <v>34</v>
      </c>
      <c r="G3202" t="s">
        <v>15</v>
      </c>
      <c r="H3202" t="s">
        <v>22</v>
      </c>
      <c r="I3202" s="3">
        <v>54.999999999999993</v>
      </c>
      <c r="J3202" s="2">
        <v>225</v>
      </c>
      <c r="K3202" s="3">
        <f t="shared" si="49"/>
        <v>12374.999999999998</v>
      </c>
      <c r="L3202" s="3">
        <v>9899.9999999999982</v>
      </c>
    </row>
    <row r="3203" spans="1:12" x14ac:dyDescent="0.25">
      <c r="A3203" t="s">
        <v>23</v>
      </c>
      <c r="B3203">
        <v>1128299</v>
      </c>
      <c r="C3203" s="1">
        <v>44334</v>
      </c>
      <c r="D3203" t="s">
        <v>32</v>
      </c>
      <c r="E3203" t="s">
        <v>33</v>
      </c>
      <c r="F3203" t="s">
        <v>34</v>
      </c>
      <c r="G3203" t="s">
        <v>15</v>
      </c>
      <c r="H3203" t="s">
        <v>17</v>
      </c>
      <c r="I3203" s="3">
        <v>65</v>
      </c>
      <c r="J3203" s="2">
        <v>425</v>
      </c>
      <c r="K3203" s="3">
        <f t="shared" ref="K3203:K3266" si="50">I3203*J3203</f>
        <v>27625</v>
      </c>
      <c r="L3203" s="3">
        <v>20718.75</v>
      </c>
    </row>
    <row r="3204" spans="1:12" x14ac:dyDescent="0.25">
      <c r="A3204" t="s">
        <v>23</v>
      </c>
      <c r="B3204">
        <v>1128299</v>
      </c>
      <c r="C3204" s="1">
        <v>44334</v>
      </c>
      <c r="D3204" t="s">
        <v>32</v>
      </c>
      <c r="E3204" t="s">
        <v>33</v>
      </c>
      <c r="F3204" t="s">
        <v>34</v>
      </c>
      <c r="G3204" t="s">
        <v>15</v>
      </c>
      <c r="H3204" t="s">
        <v>38</v>
      </c>
      <c r="I3204" s="3">
        <v>60</v>
      </c>
      <c r="J3204" s="2">
        <v>575</v>
      </c>
      <c r="K3204" s="3">
        <f t="shared" si="50"/>
        <v>34500</v>
      </c>
      <c r="L3204" s="3">
        <v>24150</v>
      </c>
    </row>
    <row r="3205" spans="1:12" x14ac:dyDescent="0.25">
      <c r="A3205" t="s">
        <v>23</v>
      </c>
      <c r="B3205">
        <v>1128299</v>
      </c>
      <c r="C3205" s="1">
        <v>44334</v>
      </c>
      <c r="D3205" t="s">
        <v>32</v>
      </c>
      <c r="E3205" t="s">
        <v>33</v>
      </c>
      <c r="F3205" t="s">
        <v>34</v>
      </c>
      <c r="G3205" t="s">
        <v>15</v>
      </c>
      <c r="H3205" t="s">
        <v>35</v>
      </c>
      <c r="I3205" s="3">
        <v>65</v>
      </c>
      <c r="J3205" s="2">
        <v>425</v>
      </c>
      <c r="K3205" s="3">
        <f t="shared" si="50"/>
        <v>27625</v>
      </c>
      <c r="L3205" s="3">
        <v>19337.5</v>
      </c>
    </row>
    <row r="3206" spans="1:12" x14ac:dyDescent="0.25">
      <c r="A3206" t="s">
        <v>23</v>
      </c>
      <c r="B3206">
        <v>1128299</v>
      </c>
      <c r="C3206" s="1">
        <v>44334</v>
      </c>
      <c r="D3206" t="s">
        <v>32</v>
      </c>
      <c r="E3206" t="s">
        <v>33</v>
      </c>
      <c r="F3206" t="s">
        <v>34</v>
      </c>
      <c r="G3206" t="s">
        <v>15</v>
      </c>
      <c r="H3206" t="s">
        <v>37</v>
      </c>
      <c r="I3206" s="3">
        <v>60</v>
      </c>
      <c r="J3206" s="2">
        <v>325</v>
      </c>
      <c r="K3206" s="3">
        <f t="shared" si="50"/>
        <v>19500</v>
      </c>
      <c r="L3206" s="3">
        <v>13650</v>
      </c>
    </row>
    <row r="3207" spans="1:12" x14ac:dyDescent="0.25">
      <c r="A3207" t="s">
        <v>11</v>
      </c>
      <c r="B3207">
        <v>1128299</v>
      </c>
      <c r="C3207" s="1">
        <v>44334</v>
      </c>
      <c r="D3207" t="s">
        <v>52</v>
      </c>
      <c r="E3207" t="s">
        <v>64</v>
      </c>
      <c r="F3207" t="s">
        <v>65</v>
      </c>
      <c r="G3207" t="s">
        <v>41</v>
      </c>
      <c r="H3207" t="s">
        <v>16</v>
      </c>
      <c r="I3207" s="3">
        <v>65</v>
      </c>
      <c r="J3207" s="2">
        <v>575</v>
      </c>
      <c r="K3207" s="3">
        <f t="shared" si="50"/>
        <v>37375</v>
      </c>
      <c r="L3207" s="3">
        <v>24293.75</v>
      </c>
    </row>
    <row r="3208" spans="1:12" x14ac:dyDescent="0.25">
      <c r="A3208" t="s">
        <v>11</v>
      </c>
      <c r="B3208">
        <v>1128299</v>
      </c>
      <c r="C3208" s="1">
        <v>44334</v>
      </c>
      <c r="D3208" t="s">
        <v>52</v>
      </c>
      <c r="E3208" t="s">
        <v>64</v>
      </c>
      <c r="F3208" t="s">
        <v>65</v>
      </c>
      <c r="G3208" t="s">
        <v>18</v>
      </c>
      <c r="H3208" t="s">
        <v>38</v>
      </c>
      <c r="I3208" s="3">
        <v>45</v>
      </c>
      <c r="J3208" s="2">
        <v>550</v>
      </c>
      <c r="K3208" s="3">
        <f t="shared" si="50"/>
        <v>24750</v>
      </c>
      <c r="L3208" s="3">
        <v>14850</v>
      </c>
    </row>
    <row r="3209" spans="1:12" x14ac:dyDescent="0.25">
      <c r="A3209" t="s">
        <v>11</v>
      </c>
      <c r="B3209">
        <v>1128299</v>
      </c>
      <c r="C3209" s="1">
        <v>44334</v>
      </c>
      <c r="D3209" t="s">
        <v>52</v>
      </c>
      <c r="E3209" t="s">
        <v>64</v>
      </c>
      <c r="F3209" t="s">
        <v>65</v>
      </c>
      <c r="G3209" t="s">
        <v>18</v>
      </c>
      <c r="H3209" t="s">
        <v>17</v>
      </c>
      <c r="I3209" s="3">
        <v>50</v>
      </c>
      <c r="J3209" s="2">
        <v>400</v>
      </c>
      <c r="K3209" s="3">
        <f t="shared" si="50"/>
        <v>20000</v>
      </c>
      <c r="L3209" s="3">
        <v>12000</v>
      </c>
    </row>
    <row r="3210" spans="1:12" x14ac:dyDescent="0.25">
      <c r="A3210" t="s">
        <v>11</v>
      </c>
      <c r="B3210">
        <v>1128299</v>
      </c>
      <c r="C3210" s="1">
        <v>44334</v>
      </c>
      <c r="D3210" t="s">
        <v>52</v>
      </c>
      <c r="E3210" t="s">
        <v>64</v>
      </c>
      <c r="F3210" t="s">
        <v>65</v>
      </c>
      <c r="G3210" t="s">
        <v>18</v>
      </c>
      <c r="H3210" t="s">
        <v>35</v>
      </c>
      <c r="I3210" s="3">
        <v>50</v>
      </c>
      <c r="J3210" s="2">
        <v>400</v>
      </c>
      <c r="K3210" s="3">
        <f t="shared" si="50"/>
        <v>20000</v>
      </c>
      <c r="L3210" s="3">
        <v>12000</v>
      </c>
    </row>
    <row r="3211" spans="1:12" x14ac:dyDescent="0.25">
      <c r="A3211" t="s">
        <v>11</v>
      </c>
      <c r="B3211">
        <v>1128299</v>
      </c>
      <c r="C3211" s="1">
        <v>44334</v>
      </c>
      <c r="D3211" t="s">
        <v>52</v>
      </c>
      <c r="E3211" t="s">
        <v>64</v>
      </c>
      <c r="F3211" t="s">
        <v>65</v>
      </c>
      <c r="G3211" t="s">
        <v>18</v>
      </c>
      <c r="H3211" t="s">
        <v>37</v>
      </c>
      <c r="I3211" s="3">
        <v>45</v>
      </c>
      <c r="J3211" s="2">
        <v>325</v>
      </c>
      <c r="K3211" s="3">
        <f t="shared" si="50"/>
        <v>14625</v>
      </c>
      <c r="L3211" s="3">
        <v>8775</v>
      </c>
    </row>
    <row r="3212" spans="1:12" x14ac:dyDescent="0.25">
      <c r="A3212" t="s">
        <v>11</v>
      </c>
      <c r="B3212">
        <v>1185732</v>
      </c>
      <c r="C3212" s="1">
        <v>44334</v>
      </c>
      <c r="D3212" t="s">
        <v>29</v>
      </c>
      <c r="E3212" t="s">
        <v>105</v>
      </c>
      <c r="F3212" t="s">
        <v>47</v>
      </c>
      <c r="G3212" t="s">
        <v>18</v>
      </c>
      <c r="H3212" t="s">
        <v>38</v>
      </c>
      <c r="I3212" s="3">
        <v>60</v>
      </c>
      <c r="J3212" s="2">
        <v>595</v>
      </c>
      <c r="K3212" s="3">
        <f t="shared" si="50"/>
        <v>35700</v>
      </c>
      <c r="L3212" s="3">
        <v>21420</v>
      </c>
    </row>
    <row r="3213" spans="1:12" x14ac:dyDescent="0.25">
      <c r="A3213" t="s">
        <v>11</v>
      </c>
      <c r="B3213">
        <v>1185732</v>
      </c>
      <c r="C3213" s="1">
        <v>44334</v>
      </c>
      <c r="D3213" t="s">
        <v>29</v>
      </c>
      <c r="E3213" t="s">
        <v>105</v>
      </c>
      <c r="F3213" t="s">
        <v>47</v>
      </c>
      <c r="G3213" t="s">
        <v>18</v>
      </c>
      <c r="H3213" t="s">
        <v>17</v>
      </c>
      <c r="I3213" s="3">
        <v>40</v>
      </c>
      <c r="J3213" s="2">
        <v>300</v>
      </c>
      <c r="K3213" s="3">
        <f t="shared" si="50"/>
        <v>12000</v>
      </c>
      <c r="L3213" s="3">
        <v>7200</v>
      </c>
    </row>
    <row r="3214" spans="1:12" x14ac:dyDescent="0.25">
      <c r="A3214" t="s">
        <v>11</v>
      </c>
      <c r="B3214">
        <v>1185732</v>
      </c>
      <c r="C3214" s="1">
        <v>44334</v>
      </c>
      <c r="D3214" t="s">
        <v>29</v>
      </c>
      <c r="E3214" t="s">
        <v>105</v>
      </c>
      <c r="F3214" t="s">
        <v>47</v>
      </c>
      <c r="G3214" t="s">
        <v>18</v>
      </c>
      <c r="H3214" t="s">
        <v>35</v>
      </c>
      <c r="I3214" s="3">
        <v>35</v>
      </c>
      <c r="J3214" s="2">
        <v>275</v>
      </c>
      <c r="K3214" s="3">
        <f t="shared" si="50"/>
        <v>9625</v>
      </c>
      <c r="L3214" s="3">
        <v>5775</v>
      </c>
    </row>
    <row r="3215" spans="1:12" x14ac:dyDescent="0.25">
      <c r="A3215" t="s">
        <v>11</v>
      </c>
      <c r="B3215">
        <v>1185732</v>
      </c>
      <c r="C3215" s="1">
        <v>44334</v>
      </c>
      <c r="D3215" t="s">
        <v>29</v>
      </c>
      <c r="E3215" t="s">
        <v>105</v>
      </c>
      <c r="F3215" t="s">
        <v>47</v>
      </c>
      <c r="G3215" t="s">
        <v>18</v>
      </c>
      <c r="H3215" t="s">
        <v>37</v>
      </c>
      <c r="I3215" s="3">
        <v>35</v>
      </c>
      <c r="J3215" s="2">
        <v>200</v>
      </c>
      <c r="K3215" s="3">
        <f t="shared" si="50"/>
        <v>7000</v>
      </c>
      <c r="L3215" s="3">
        <v>4200</v>
      </c>
    </row>
    <row r="3216" spans="1:12" x14ac:dyDescent="0.25">
      <c r="A3216" t="s">
        <v>11</v>
      </c>
      <c r="B3216">
        <v>1185732</v>
      </c>
      <c r="C3216" s="1">
        <v>44334</v>
      </c>
      <c r="D3216" t="s">
        <v>29</v>
      </c>
      <c r="E3216" t="s">
        <v>105</v>
      </c>
      <c r="F3216" t="s">
        <v>47</v>
      </c>
      <c r="G3216" t="s">
        <v>18</v>
      </c>
      <c r="H3216" t="s">
        <v>16</v>
      </c>
      <c r="I3216" s="3">
        <v>54.999999999999993</v>
      </c>
      <c r="J3216" s="2">
        <v>350</v>
      </c>
      <c r="K3216" s="3">
        <f t="shared" si="50"/>
        <v>19249.999999999996</v>
      </c>
      <c r="L3216" s="3">
        <v>11549.999999999998</v>
      </c>
    </row>
    <row r="3217" spans="1:12" x14ac:dyDescent="0.25">
      <c r="A3217" t="s">
        <v>11</v>
      </c>
      <c r="B3217">
        <v>1185732</v>
      </c>
      <c r="C3217" s="1">
        <v>44334</v>
      </c>
      <c r="D3217" t="s">
        <v>29</v>
      </c>
      <c r="E3217" t="s">
        <v>105</v>
      </c>
      <c r="F3217" t="s">
        <v>47</v>
      </c>
      <c r="G3217" t="s">
        <v>18</v>
      </c>
      <c r="H3217" t="s">
        <v>22</v>
      </c>
      <c r="I3217" s="3">
        <v>44.999999999999993</v>
      </c>
      <c r="J3217" s="2">
        <v>225</v>
      </c>
      <c r="K3217" s="3">
        <f t="shared" si="50"/>
        <v>10124.999999999998</v>
      </c>
      <c r="L3217" s="3">
        <v>6074.9999999999982</v>
      </c>
    </row>
    <row r="3218" spans="1:12" x14ac:dyDescent="0.25">
      <c r="A3218" t="s">
        <v>23</v>
      </c>
      <c r="B3218">
        <v>1128299</v>
      </c>
      <c r="C3218" s="1">
        <v>44334</v>
      </c>
      <c r="D3218" t="s">
        <v>32</v>
      </c>
      <c r="E3218" t="s">
        <v>33</v>
      </c>
      <c r="F3218" t="s">
        <v>34</v>
      </c>
      <c r="G3218" t="s">
        <v>15</v>
      </c>
      <c r="H3218" t="s">
        <v>16</v>
      </c>
      <c r="I3218" s="3">
        <v>70</v>
      </c>
      <c r="J3218" s="2">
        <v>575</v>
      </c>
      <c r="K3218" s="3">
        <f t="shared" si="50"/>
        <v>40250</v>
      </c>
      <c r="L3218" s="3">
        <v>22137.5</v>
      </c>
    </row>
    <row r="3219" spans="1:12" x14ac:dyDescent="0.25">
      <c r="A3219" t="s">
        <v>11</v>
      </c>
      <c r="B3219">
        <v>1128299</v>
      </c>
      <c r="C3219" s="1">
        <v>44334</v>
      </c>
      <c r="D3219" t="s">
        <v>52</v>
      </c>
      <c r="E3219" t="s">
        <v>64</v>
      </c>
      <c r="F3219" t="s">
        <v>65</v>
      </c>
      <c r="G3219" t="s">
        <v>18</v>
      </c>
      <c r="H3219" t="s">
        <v>22</v>
      </c>
      <c r="I3219" s="3">
        <v>40</v>
      </c>
      <c r="J3219" s="2">
        <v>225</v>
      </c>
      <c r="K3219" s="3">
        <f t="shared" si="50"/>
        <v>9000</v>
      </c>
      <c r="L3219" s="3">
        <v>4950</v>
      </c>
    </row>
    <row r="3220" spans="1:12" x14ac:dyDescent="0.25">
      <c r="A3220" t="s">
        <v>26</v>
      </c>
      <c r="B3220">
        <v>1197831</v>
      </c>
      <c r="C3220" s="1">
        <v>44334</v>
      </c>
      <c r="D3220" t="s">
        <v>52</v>
      </c>
      <c r="E3220" t="s">
        <v>97</v>
      </c>
      <c r="F3220" t="s">
        <v>98</v>
      </c>
      <c r="G3220" t="s">
        <v>15</v>
      </c>
      <c r="H3220" t="s">
        <v>37</v>
      </c>
      <c r="I3220" s="3">
        <v>60</v>
      </c>
      <c r="J3220" s="2">
        <v>550</v>
      </c>
      <c r="K3220" s="3">
        <f t="shared" si="50"/>
        <v>33000</v>
      </c>
      <c r="L3220" s="3">
        <v>14849.999999999996</v>
      </c>
    </row>
    <row r="3221" spans="1:12" x14ac:dyDescent="0.25">
      <c r="A3221" t="s">
        <v>27</v>
      </c>
      <c r="B3221">
        <v>1189833</v>
      </c>
      <c r="C3221" s="1">
        <v>44334</v>
      </c>
      <c r="D3221" t="s">
        <v>12</v>
      </c>
      <c r="E3221" t="s">
        <v>13</v>
      </c>
      <c r="F3221" t="s">
        <v>28</v>
      </c>
      <c r="G3221" t="s">
        <v>15</v>
      </c>
      <c r="H3221" t="s">
        <v>16</v>
      </c>
      <c r="I3221" s="3">
        <v>46</v>
      </c>
      <c r="J3221" s="2">
        <v>208</v>
      </c>
      <c r="K3221" s="3">
        <f t="shared" si="50"/>
        <v>9568</v>
      </c>
      <c r="L3221" s="3">
        <v>7271.68</v>
      </c>
    </row>
    <row r="3222" spans="1:12" x14ac:dyDescent="0.25">
      <c r="A3222" t="s">
        <v>23</v>
      </c>
      <c r="B3222">
        <v>1128299</v>
      </c>
      <c r="C3222" s="1">
        <v>44334</v>
      </c>
      <c r="D3222" t="s">
        <v>32</v>
      </c>
      <c r="E3222" t="s">
        <v>33</v>
      </c>
      <c r="F3222" t="s">
        <v>34</v>
      </c>
      <c r="G3222" t="s">
        <v>15</v>
      </c>
      <c r="H3222" t="s">
        <v>22</v>
      </c>
      <c r="I3222" s="3">
        <v>42</v>
      </c>
      <c r="J3222" s="2">
        <v>68</v>
      </c>
      <c r="K3222" s="3">
        <f t="shared" si="50"/>
        <v>2856</v>
      </c>
      <c r="L3222" s="3">
        <v>2142</v>
      </c>
    </row>
    <row r="3223" spans="1:12" x14ac:dyDescent="0.25">
      <c r="A3223" t="s">
        <v>23</v>
      </c>
      <c r="B3223">
        <v>1128299</v>
      </c>
      <c r="C3223" s="1">
        <v>44334</v>
      </c>
      <c r="D3223" t="s">
        <v>32</v>
      </c>
      <c r="E3223" t="s">
        <v>33</v>
      </c>
      <c r="F3223" t="s">
        <v>34</v>
      </c>
      <c r="G3223" t="s">
        <v>15</v>
      </c>
      <c r="H3223" t="s">
        <v>17</v>
      </c>
      <c r="I3223" s="3">
        <v>46</v>
      </c>
      <c r="J3223" s="2">
        <v>132</v>
      </c>
      <c r="K3223" s="3">
        <f t="shared" si="50"/>
        <v>6072</v>
      </c>
      <c r="L3223" s="3">
        <v>4371.84</v>
      </c>
    </row>
    <row r="3224" spans="1:12" x14ac:dyDescent="0.25">
      <c r="A3224" t="s">
        <v>23</v>
      </c>
      <c r="B3224">
        <v>1128299</v>
      </c>
      <c r="C3224" s="1">
        <v>44334</v>
      </c>
      <c r="D3224" t="s">
        <v>32</v>
      </c>
      <c r="E3224" t="s">
        <v>33</v>
      </c>
      <c r="F3224" t="s">
        <v>34</v>
      </c>
      <c r="G3224" t="s">
        <v>41</v>
      </c>
      <c r="H3224" t="s">
        <v>22</v>
      </c>
      <c r="I3224" s="3">
        <v>52</v>
      </c>
      <c r="J3224" s="2">
        <v>68</v>
      </c>
      <c r="K3224" s="3">
        <f t="shared" si="50"/>
        <v>3536</v>
      </c>
      <c r="L3224" s="3">
        <v>2404.48</v>
      </c>
    </row>
    <row r="3225" spans="1:12" x14ac:dyDescent="0.25">
      <c r="A3225" t="s">
        <v>23</v>
      </c>
      <c r="B3225">
        <v>1128299</v>
      </c>
      <c r="C3225" s="1">
        <v>44334</v>
      </c>
      <c r="D3225" t="s">
        <v>32</v>
      </c>
      <c r="E3225" t="s">
        <v>33</v>
      </c>
      <c r="F3225" t="s">
        <v>34</v>
      </c>
      <c r="G3225" t="s">
        <v>15</v>
      </c>
      <c r="H3225" t="s">
        <v>38</v>
      </c>
      <c r="I3225" s="3">
        <v>44</v>
      </c>
      <c r="J3225" s="2">
        <v>201</v>
      </c>
      <c r="K3225" s="3">
        <f t="shared" si="50"/>
        <v>8844</v>
      </c>
      <c r="L3225" s="3">
        <v>5925.4800000000005</v>
      </c>
    </row>
    <row r="3226" spans="1:12" x14ac:dyDescent="0.25">
      <c r="A3226" t="s">
        <v>23</v>
      </c>
      <c r="B3226">
        <v>1128299</v>
      </c>
      <c r="C3226" s="1">
        <v>44334</v>
      </c>
      <c r="D3226" t="s">
        <v>32</v>
      </c>
      <c r="E3226" t="s">
        <v>33</v>
      </c>
      <c r="F3226" t="s">
        <v>34</v>
      </c>
      <c r="G3226" t="s">
        <v>15</v>
      </c>
      <c r="H3226" t="s">
        <v>37</v>
      </c>
      <c r="I3226" s="3">
        <v>39</v>
      </c>
      <c r="J3226" s="2">
        <v>107</v>
      </c>
      <c r="K3226" s="3">
        <f t="shared" si="50"/>
        <v>4173</v>
      </c>
      <c r="L3226" s="3">
        <v>2754.1800000000003</v>
      </c>
    </row>
    <row r="3227" spans="1:12" x14ac:dyDescent="0.25">
      <c r="A3227" t="s">
        <v>27</v>
      </c>
      <c r="B3227">
        <v>1189833</v>
      </c>
      <c r="C3227" s="1">
        <v>44334</v>
      </c>
      <c r="D3227" t="s">
        <v>12</v>
      </c>
      <c r="E3227" t="s">
        <v>13</v>
      </c>
      <c r="F3227" t="s">
        <v>28</v>
      </c>
      <c r="G3227" t="s">
        <v>41</v>
      </c>
      <c r="H3227" t="s">
        <v>16</v>
      </c>
      <c r="I3227" s="3">
        <v>62</v>
      </c>
      <c r="J3227" s="2">
        <v>176</v>
      </c>
      <c r="K3227" s="3">
        <f t="shared" si="50"/>
        <v>10912</v>
      </c>
      <c r="L3227" s="3">
        <v>7092.8</v>
      </c>
    </row>
    <row r="3228" spans="1:12" x14ac:dyDescent="0.25">
      <c r="A3228" t="s">
        <v>23</v>
      </c>
      <c r="B3228">
        <v>1128299</v>
      </c>
      <c r="C3228" s="1">
        <v>44334</v>
      </c>
      <c r="D3228" t="s">
        <v>32</v>
      </c>
      <c r="E3228" t="s">
        <v>33</v>
      </c>
      <c r="F3228" t="s">
        <v>34</v>
      </c>
      <c r="G3228" t="s">
        <v>15</v>
      </c>
      <c r="H3228" t="s">
        <v>35</v>
      </c>
      <c r="I3228" s="3">
        <v>46</v>
      </c>
      <c r="J3228" s="2">
        <v>132</v>
      </c>
      <c r="K3228" s="3">
        <f t="shared" si="50"/>
        <v>6072</v>
      </c>
      <c r="L3228" s="3">
        <v>3886.08</v>
      </c>
    </row>
    <row r="3229" spans="1:12" x14ac:dyDescent="0.25">
      <c r="A3229" t="s">
        <v>11</v>
      </c>
      <c r="B3229">
        <v>1128299</v>
      </c>
      <c r="C3229" s="1">
        <v>44334</v>
      </c>
      <c r="D3229" t="s">
        <v>52</v>
      </c>
      <c r="E3229" t="s">
        <v>64</v>
      </c>
      <c r="F3229" t="s">
        <v>65</v>
      </c>
      <c r="G3229" t="s">
        <v>15</v>
      </c>
      <c r="H3229" t="s">
        <v>16</v>
      </c>
      <c r="I3229" s="3">
        <v>46</v>
      </c>
      <c r="J3229" s="2">
        <v>178</v>
      </c>
      <c r="K3229" s="3">
        <f t="shared" si="50"/>
        <v>8188</v>
      </c>
      <c r="L3229" s="3">
        <v>4912.8</v>
      </c>
    </row>
    <row r="3230" spans="1:12" x14ac:dyDescent="0.25">
      <c r="A3230" t="s">
        <v>23</v>
      </c>
      <c r="B3230">
        <v>1128299</v>
      </c>
      <c r="C3230" s="1">
        <v>44334</v>
      </c>
      <c r="D3230" t="s">
        <v>32</v>
      </c>
      <c r="E3230" t="s">
        <v>33</v>
      </c>
      <c r="F3230" t="s">
        <v>34</v>
      </c>
      <c r="G3230" t="s">
        <v>41</v>
      </c>
      <c r="H3230" t="s">
        <v>17</v>
      </c>
      <c r="I3230" s="3">
        <v>60</v>
      </c>
      <c r="J3230" s="2">
        <v>128</v>
      </c>
      <c r="K3230" s="3">
        <f t="shared" si="50"/>
        <v>7680</v>
      </c>
      <c r="L3230" s="3">
        <v>4608</v>
      </c>
    </row>
    <row r="3231" spans="1:12" x14ac:dyDescent="0.25">
      <c r="A3231" t="s">
        <v>11</v>
      </c>
      <c r="B3231">
        <v>1128299</v>
      </c>
      <c r="C3231" s="1">
        <v>44334</v>
      </c>
      <c r="D3231" t="s">
        <v>52</v>
      </c>
      <c r="E3231" t="s">
        <v>64</v>
      </c>
      <c r="F3231" t="s">
        <v>65</v>
      </c>
      <c r="G3231" t="s">
        <v>15</v>
      </c>
      <c r="H3231" t="s">
        <v>35</v>
      </c>
      <c r="I3231" s="3">
        <v>37</v>
      </c>
      <c r="J3231" s="2">
        <v>136</v>
      </c>
      <c r="K3231" s="3">
        <f t="shared" si="50"/>
        <v>5032</v>
      </c>
      <c r="L3231" s="3">
        <v>2918.56</v>
      </c>
    </row>
    <row r="3232" spans="1:12" x14ac:dyDescent="0.25">
      <c r="A3232" t="s">
        <v>11</v>
      </c>
      <c r="B3232">
        <v>1128299</v>
      </c>
      <c r="C3232" s="1">
        <v>44334</v>
      </c>
      <c r="D3232" t="s">
        <v>52</v>
      </c>
      <c r="E3232" t="s">
        <v>64</v>
      </c>
      <c r="F3232" t="s">
        <v>65</v>
      </c>
      <c r="G3232" t="s">
        <v>15</v>
      </c>
      <c r="H3232" t="s">
        <v>38</v>
      </c>
      <c r="I3232" s="3">
        <v>32</v>
      </c>
      <c r="J3232" s="2">
        <v>176</v>
      </c>
      <c r="K3232" s="3">
        <f t="shared" si="50"/>
        <v>5632</v>
      </c>
      <c r="L3232" s="3">
        <v>3210.2400000000002</v>
      </c>
    </row>
    <row r="3233" spans="1:12" x14ac:dyDescent="0.25">
      <c r="A3233" t="s">
        <v>11</v>
      </c>
      <c r="B3233">
        <v>1128299</v>
      </c>
      <c r="C3233" s="1">
        <v>44334</v>
      </c>
      <c r="D3233" t="s">
        <v>52</v>
      </c>
      <c r="E3233" t="s">
        <v>64</v>
      </c>
      <c r="F3233" t="s">
        <v>65</v>
      </c>
      <c r="G3233" t="s">
        <v>15</v>
      </c>
      <c r="H3233" t="s">
        <v>37</v>
      </c>
      <c r="I3233" s="3">
        <v>33</v>
      </c>
      <c r="J3233" s="2">
        <v>101</v>
      </c>
      <c r="K3233" s="3">
        <f t="shared" si="50"/>
        <v>3333</v>
      </c>
      <c r="L3233" s="3">
        <v>1899.8100000000002</v>
      </c>
    </row>
    <row r="3234" spans="1:12" x14ac:dyDescent="0.25">
      <c r="A3234" t="s">
        <v>23</v>
      </c>
      <c r="B3234">
        <v>1128299</v>
      </c>
      <c r="C3234" s="1">
        <v>44334</v>
      </c>
      <c r="D3234" t="s">
        <v>32</v>
      </c>
      <c r="E3234" t="s">
        <v>33</v>
      </c>
      <c r="F3234" t="s">
        <v>34</v>
      </c>
      <c r="G3234" t="s">
        <v>41</v>
      </c>
      <c r="H3234" t="s">
        <v>38</v>
      </c>
      <c r="I3234" s="3">
        <v>58</v>
      </c>
      <c r="J3234" s="2">
        <v>155</v>
      </c>
      <c r="K3234" s="3">
        <f t="shared" si="50"/>
        <v>8990</v>
      </c>
      <c r="L3234" s="3">
        <v>5124.3</v>
      </c>
    </row>
    <row r="3235" spans="1:12" x14ac:dyDescent="0.25">
      <c r="A3235" t="s">
        <v>23</v>
      </c>
      <c r="B3235">
        <v>1128299</v>
      </c>
      <c r="C3235" s="1">
        <v>44334</v>
      </c>
      <c r="D3235" t="s">
        <v>32</v>
      </c>
      <c r="E3235" t="s">
        <v>33</v>
      </c>
      <c r="F3235" t="s">
        <v>34</v>
      </c>
      <c r="G3235" t="s">
        <v>41</v>
      </c>
      <c r="H3235" t="s">
        <v>37</v>
      </c>
      <c r="I3235" s="3">
        <v>59</v>
      </c>
      <c r="J3235" s="2">
        <v>88</v>
      </c>
      <c r="K3235" s="3">
        <f t="shared" si="50"/>
        <v>5192</v>
      </c>
      <c r="L3235" s="3">
        <v>2959.44</v>
      </c>
    </row>
    <row r="3236" spans="1:12" x14ac:dyDescent="0.25">
      <c r="A3236" t="s">
        <v>11</v>
      </c>
      <c r="B3236">
        <v>1128299</v>
      </c>
      <c r="C3236" s="1">
        <v>44334</v>
      </c>
      <c r="D3236" t="s">
        <v>52</v>
      </c>
      <c r="E3236" t="s">
        <v>64</v>
      </c>
      <c r="F3236" t="s">
        <v>65</v>
      </c>
      <c r="G3236" t="s">
        <v>15</v>
      </c>
      <c r="H3236" t="s">
        <v>17</v>
      </c>
      <c r="I3236" s="3">
        <v>40</v>
      </c>
      <c r="J3236" s="2">
        <v>128</v>
      </c>
      <c r="K3236" s="3">
        <f t="shared" si="50"/>
        <v>5120</v>
      </c>
      <c r="L3236" s="3">
        <v>2867.2000000000003</v>
      </c>
    </row>
    <row r="3237" spans="1:12" x14ac:dyDescent="0.25">
      <c r="A3237" t="s">
        <v>23</v>
      </c>
      <c r="B3237">
        <v>1128299</v>
      </c>
      <c r="C3237" s="1">
        <v>44334</v>
      </c>
      <c r="D3237" t="s">
        <v>32</v>
      </c>
      <c r="E3237" t="s">
        <v>33</v>
      </c>
      <c r="F3237" t="s">
        <v>34</v>
      </c>
      <c r="G3237" t="s">
        <v>41</v>
      </c>
      <c r="H3237" t="s">
        <v>35</v>
      </c>
      <c r="I3237" s="3">
        <v>59</v>
      </c>
      <c r="J3237" s="2">
        <v>119</v>
      </c>
      <c r="K3237" s="3">
        <f t="shared" si="50"/>
        <v>7021</v>
      </c>
      <c r="L3237" s="3">
        <v>3861.55</v>
      </c>
    </row>
    <row r="3238" spans="1:12" x14ac:dyDescent="0.25">
      <c r="A3238" t="s">
        <v>11</v>
      </c>
      <c r="B3238">
        <v>1128299</v>
      </c>
      <c r="C3238" s="1">
        <v>44334</v>
      </c>
      <c r="D3238" t="s">
        <v>52</v>
      </c>
      <c r="E3238" t="s">
        <v>64</v>
      </c>
      <c r="F3238" t="s">
        <v>65</v>
      </c>
      <c r="G3238" t="s">
        <v>41</v>
      </c>
      <c r="H3238" t="s">
        <v>16</v>
      </c>
      <c r="I3238" s="3">
        <v>59</v>
      </c>
      <c r="J3238" s="2">
        <v>167</v>
      </c>
      <c r="K3238" s="3">
        <f t="shared" si="50"/>
        <v>9853</v>
      </c>
      <c r="L3238" s="3">
        <v>5419.1500000000005</v>
      </c>
    </row>
    <row r="3239" spans="1:12" x14ac:dyDescent="0.25">
      <c r="A3239" t="s">
        <v>23</v>
      </c>
      <c r="B3239">
        <v>1128299</v>
      </c>
      <c r="C3239" s="1">
        <v>44334</v>
      </c>
      <c r="D3239" t="s">
        <v>32</v>
      </c>
      <c r="E3239" t="s">
        <v>33</v>
      </c>
      <c r="F3239" t="s">
        <v>34</v>
      </c>
      <c r="G3239" t="s">
        <v>15</v>
      </c>
      <c r="H3239" t="s">
        <v>16</v>
      </c>
      <c r="I3239" s="3">
        <v>48</v>
      </c>
      <c r="J3239" s="2">
        <v>173</v>
      </c>
      <c r="K3239" s="3">
        <f t="shared" si="50"/>
        <v>8304</v>
      </c>
      <c r="L3239" s="3">
        <v>4401.12</v>
      </c>
    </row>
    <row r="3240" spans="1:12" x14ac:dyDescent="0.25">
      <c r="A3240" t="s">
        <v>11</v>
      </c>
      <c r="B3240">
        <v>1128299</v>
      </c>
      <c r="C3240" s="1">
        <v>44334</v>
      </c>
      <c r="D3240" t="s">
        <v>52</v>
      </c>
      <c r="E3240" t="s">
        <v>64</v>
      </c>
      <c r="F3240" t="s">
        <v>65</v>
      </c>
      <c r="G3240" t="s">
        <v>15</v>
      </c>
      <c r="H3240" t="s">
        <v>22</v>
      </c>
      <c r="I3240" s="3">
        <v>32</v>
      </c>
      <c r="J3240" s="2">
        <v>77</v>
      </c>
      <c r="K3240" s="3">
        <f t="shared" si="50"/>
        <v>2464</v>
      </c>
      <c r="L3240" s="3">
        <v>1281.28</v>
      </c>
    </row>
    <row r="3241" spans="1:12" x14ac:dyDescent="0.25">
      <c r="A3241" t="s">
        <v>11</v>
      </c>
      <c r="B3241">
        <v>1128299</v>
      </c>
      <c r="C3241" s="1">
        <v>44334</v>
      </c>
      <c r="D3241" t="s">
        <v>52</v>
      </c>
      <c r="E3241" t="s">
        <v>64</v>
      </c>
      <c r="F3241" t="s">
        <v>65</v>
      </c>
      <c r="G3241" t="s">
        <v>41</v>
      </c>
      <c r="H3241" t="s">
        <v>35</v>
      </c>
      <c r="I3241" s="3">
        <v>49</v>
      </c>
      <c r="J3241" s="2">
        <v>112</v>
      </c>
      <c r="K3241" s="3">
        <f t="shared" si="50"/>
        <v>5488</v>
      </c>
      <c r="L3241" s="3">
        <v>2689.12</v>
      </c>
    </row>
    <row r="3242" spans="1:12" x14ac:dyDescent="0.25">
      <c r="A3242" t="s">
        <v>11</v>
      </c>
      <c r="B3242">
        <v>1128299</v>
      </c>
      <c r="C3242" s="1">
        <v>44334</v>
      </c>
      <c r="D3242" t="s">
        <v>52</v>
      </c>
      <c r="E3242" t="s">
        <v>64</v>
      </c>
      <c r="F3242" t="s">
        <v>65</v>
      </c>
      <c r="G3242" t="s">
        <v>41</v>
      </c>
      <c r="H3242" t="s">
        <v>37</v>
      </c>
      <c r="I3242" s="3">
        <v>44</v>
      </c>
      <c r="J3242" s="2">
        <v>85</v>
      </c>
      <c r="K3242" s="3">
        <f t="shared" si="50"/>
        <v>3740</v>
      </c>
      <c r="L3242" s="3">
        <v>1832.6</v>
      </c>
    </row>
    <row r="3243" spans="1:12" x14ac:dyDescent="0.25">
      <c r="A3243" t="s">
        <v>11</v>
      </c>
      <c r="B3243">
        <v>1185732</v>
      </c>
      <c r="C3243" s="1">
        <v>44334</v>
      </c>
      <c r="D3243" t="s">
        <v>29</v>
      </c>
      <c r="E3243" t="s">
        <v>105</v>
      </c>
      <c r="F3243" t="s">
        <v>47</v>
      </c>
      <c r="G3243" t="s">
        <v>41</v>
      </c>
      <c r="H3243" t="s">
        <v>17</v>
      </c>
      <c r="I3243" s="3">
        <v>37</v>
      </c>
      <c r="J3243" s="2">
        <v>87</v>
      </c>
      <c r="K3243" s="3">
        <f t="shared" si="50"/>
        <v>3219</v>
      </c>
      <c r="L3243" s="3">
        <v>1577.31</v>
      </c>
    </row>
    <row r="3244" spans="1:12" x14ac:dyDescent="0.25">
      <c r="A3244" t="s">
        <v>11</v>
      </c>
      <c r="B3244">
        <v>1128299</v>
      </c>
      <c r="C3244" s="1">
        <v>44334</v>
      </c>
      <c r="D3244" t="s">
        <v>52</v>
      </c>
      <c r="E3244" t="s">
        <v>64</v>
      </c>
      <c r="F3244" t="s">
        <v>65</v>
      </c>
      <c r="G3244" t="s">
        <v>41</v>
      </c>
      <c r="H3244" t="s">
        <v>17</v>
      </c>
      <c r="I3244" s="3">
        <v>47</v>
      </c>
      <c r="J3244" s="2">
        <v>100</v>
      </c>
      <c r="K3244" s="3">
        <f t="shared" si="50"/>
        <v>4700</v>
      </c>
      <c r="L3244" s="3">
        <v>2256</v>
      </c>
    </row>
    <row r="3245" spans="1:12" x14ac:dyDescent="0.25">
      <c r="A3245" t="s">
        <v>11</v>
      </c>
      <c r="B3245">
        <v>1185732</v>
      </c>
      <c r="C3245" s="1">
        <v>44334</v>
      </c>
      <c r="D3245" t="s">
        <v>29</v>
      </c>
      <c r="E3245" t="s">
        <v>105</v>
      </c>
      <c r="F3245" t="s">
        <v>47</v>
      </c>
      <c r="G3245" t="s">
        <v>41</v>
      </c>
      <c r="H3245" t="s">
        <v>38</v>
      </c>
      <c r="I3245" s="3">
        <v>58</v>
      </c>
      <c r="J3245" s="2">
        <v>179</v>
      </c>
      <c r="K3245" s="3">
        <f t="shared" si="50"/>
        <v>10382</v>
      </c>
      <c r="L3245" s="3">
        <v>4983.3599999999997</v>
      </c>
    </row>
    <row r="3246" spans="1:12" x14ac:dyDescent="0.25">
      <c r="A3246" t="s">
        <v>11</v>
      </c>
      <c r="B3246">
        <v>1128299</v>
      </c>
      <c r="C3246" s="1">
        <v>44334</v>
      </c>
      <c r="D3246" t="s">
        <v>52</v>
      </c>
      <c r="E3246" t="s">
        <v>64</v>
      </c>
      <c r="F3246" t="s">
        <v>65</v>
      </c>
      <c r="G3246" t="s">
        <v>41</v>
      </c>
      <c r="H3246" t="s">
        <v>38</v>
      </c>
      <c r="I3246" s="3">
        <v>43</v>
      </c>
      <c r="J3246" s="2">
        <v>160</v>
      </c>
      <c r="K3246" s="3">
        <f t="shared" si="50"/>
        <v>6880</v>
      </c>
      <c r="L3246" s="3">
        <v>3233.6</v>
      </c>
    </row>
    <row r="3247" spans="1:12" x14ac:dyDescent="0.25">
      <c r="A3247" t="s">
        <v>11</v>
      </c>
      <c r="B3247">
        <v>1185732</v>
      </c>
      <c r="C3247" s="1">
        <v>44334</v>
      </c>
      <c r="D3247" t="s">
        <v>29</v>
      </c>
      <c r="E3247" t="s">
        <v>105</v>
      </c>
      <c r="F3247" t="s">
        <v>47</v>
      </c>
      <c r="G3247" t="s">
        <v>41</v>
      </c>
      <c r="H3247" t="s">
        <v>22</v>
      </c>
      <c r="I3247" s="3">
        <v>42</v>
      </c>
      <c r="J3247" s="2">
        <v>68</v>
      </c>
      <c r="K3247" s="3">
        <f t="shared" si="50"/>
        <v>2856</v>
      </c>
      <c r="L3247" s="3">
        <v>1313.76</v>
      </c>
    </row>
    <row r="3248" spans="1:12" x14ac:dyDescent="0.25">
      <c r="A3248" t="s">
        <v>11</v>
      </c>
      <c r="B3248">
        <v>1185732</v>
      </c>
      <c r="C3248" s="1">
        <v>44334</v>
      </c>
      <c r="D3248" t="s">
        <v>29</v>
      </c>
      <c r="E3248" t="s">
        <v>105</v>
      </c>
      <c r="F3248" t="s">
        <v>47</v>
      </c>
      <c r="G3248" t="s">
        <v>41</v>
      </c>
      <c r="H3248" t="s">
        <v>35</v>
      </c>
      <c r="I3248" s="3">
        <v>32</v>
      </c>
      <c r="J3248" s="2">
        <v>77</v>
      </c>
      <c r="K3248" s="3">
        <f t="shared" si="50"/>
        <v>2464</v>
      </c>
      <c r="L3248" s="3">
        <v>1108.8</v>
      </c>
    </row>
    <row r="3249" spans="1:12" x14ac:dyDescent="0.25">
      <c r="A3249" t="s">
        <v>11</v>
      </c>
      <c r="B3249">
        <v>1185732</v>
      </c>
      <c r="C3249" s="1">
        <v>44334</v>
      </c>
      <c r="D3249" t="s">
        <v>29</v>
      </c>
      <c r="E3249" t="s">
        <v>105</v>
      </c>
      <c r="F3249" t="s">
        <v>47</v>
      </c>
      <c r="G3249" t="s">
        <v>41</v>
      </c>
      <c r="H3249" t="s">
        <v>37</v>
      </c>
      <c r="I3249" s="3">
        <v>33</v>
      </c>
      <c r="J3249" s="2">
        <v>50</v>
      </c>
      <c r="K3249" s="3">
        <f t="shared" si="50"/>
        <v>1650</v>
      </c>
      <c r="L3249" s="3">
        <v>742.49999999999989</v>
      </c>
    </row>
    <row r="3250" spans="1:12" x14ac:dyDescent="0.25">
      <c r="A3250" t="s">
        <v>11</v>
      </c>
      <c r="B3250">
        <v>1185732</v>
      </c>
      <c r="C3250" s="1">
        <v>44334</v>
      </c>
      <c r="D3250" t="s">
        <v>29</v>
      </c>
      <c r="E3250" t="s">
        <v>105</v>
      </c>
      <c r="F3250" t="s">
        <v>47</v>
      </c>
      <c r="G3250" t="s">
        <v>41</v>
      </c>
      <c r="H3250" t="s">
        <v>16</v>
      </c>
      <c r="I3250" s="3">
        <v>52</v>
      </c>
      <c r="J3250" s="2">
        <v>95</v>
      </c>
      <c r="K3250" s="3">
        <f t="shared" si="50"/>
        <v>4940</v>
      </c>
      <c r="L3250" s="3">
        <v>2223</v>
      </c>
    </row>
    <row r="3251" spans="1:12" x14ac:dyDescent="0.25">
      <c r="A3251" t="s">
        <v>23</v>
      </c>
      <c r="B3251">
        <v>1128299</v>
      </c>
      <c r="C3251" s="1">
        <v>44334</v>
      </c>
      <c r="D3251" t="s">
        <v>32</v>
      </c>
      <c r="E3251" t="s">
        <v>33</v>
      </c>
      <c r="F3251" t="s">
        <v>34</v>
      </c>
      <c r="G3251" t="s">
        <v>41</v>
      </c>
      <c r="H3251" t="s">
        <v>16</v>
      </c>
      <c r="I3251" s="3">
        <v>67</v>
      </c>
      <c r="J3251" s="2">
        <v>173</v>
      </c>
      <c r="K3251" s="3">
        <f t="shared" si="50"/>
        <v>11591</v>
      </c>
      <c r="L3251" s="3">
        <v>4868.2199999999993</v>
      </c>
    </row>
    <row r="3252" spans="1:12" x14ac:dyDescent="0.25">
      <c r="A3252" t="s">
        <v>11</v>
      </c>
      <c r="B3252">
        <v>1128299</v>
      </c>
      <c r="C3252" s="1">
        <v>44334</v>
      </c>
      <c r="D3252" t="s">
        <v>52</v>
      </c>
      <c r="E3252" t="s">
        <v>64</v>
      </c>
      <c r="F3252" t="s">
        <v>65</v>
      </c>
      <c r="G3252" t="s">
        <v>41</v>
      </c>
      <c r="H3252" t="s">
        <v>22</v>
      </c>
      <c r="I3252" s="3">
        <v>36</v>
      </c>
      <c r="J3252" s="2">
        <v>65</v>
      </c>
      <c r="K3252" s="3">
        <f t="shared" si="50"/>
        <v>2340</v>
      </c>
      <c r="L3252" s="3">
        <v>959.39999999999986</v>
      </c>
    </row>
    <row r="3253" spans="1:12" x14ac:dyDescent="0.25">
      <c r="A3253" t="s">
        <v>26</v>
      </c>
      <c r="B3253">
        <v>1197831</v>
      </c>
      <c r="C3253" s="1">
        <v>44334</v>
      </c>
      <c r="D3253" t="s">
        <v>52</v>
      </c>
      <c r="E3253" t="s">
        <v>97</v>
      </c>
      <c r="F3253" t="s">
        <v>98</v>
      </c>
      <c r="G3253" t="s">
        <v>15</v>
      </c>
      <c r="H3253" t="s">
        <v>37</v>
      </c>
      <c r="I3253" s="3">
        <v>44</v>
      </c>
      <c r="J3253" s="2">
        <v>176</v>
      </c>
      <c r="K3253" s="3">
        <f t="shared" si="50"/>
        <v>7744</v>
      </c>
      <c r="L3253" s="3">
        <v>3097.5999999999995</v>
      </c>
    </row>
    <row r="3254" spans="1:12" x14ac:dyDescent="0.25">
      <c r="A3254" t="s">
        <v>26</v>
      </c>
      <c r="B3254">
        <v>1197831</v>
      </c>
      <c r="C3254" s="1">
        <v>44334</v>
      </c>
      <c r="D3254" t="s">
        <v>52</v>
      </c>
      <c r="E3254" t="s">
        <v>97</v>
      </c>
      <c r="F3254" t="s">
        <v>98</v>
      </c>
      <c r="G3254" t="s">
        <v>41</v>
      </c>
      <c r="H3254" t="s">
        <v>37</v>
      </c>
      <c r="I3254" s="3">
        <v>54</v>
      </c>
      <c r="J3254" s="2">
        <v>149</v>
      </c>
      <c r="K3254" s="3">
        <f t="shared" si="50"/>
        <v>8046</v>
      </c>
      <c r="L3254" s="3">
        <v>2494.2599999999993</v>
      </c>
    </row>
    <row r="3255" spans="1:12" x14ac:dyDescent="0.25">
      <c r="A3255" t="s">
        <v>19</v>
      </c>
      <c r="B3255">
        <v>1185732</v>
      </c>
      <c r="C3255" s="1">
        <v>44335</v>
      </c>
      <c r="D3255" t="s">
        <v>57</v>
      </c>
      <c r="E3255" t="s">
        <v>106</v>
      </c>
      <c r="F3255" t="s">
        <v>107</v>
      </c>
      <c r="G3255" t="s">
        <v>18</v>
      </c>
      <c r="H3255" t="s">
        <v>17</v>
      </c>
      <c r="I3255" s="3">
        <v>35.000000000000007</v>
      </c>
      <c r="J3255" s="2">
        <v>325</v>
      </c>
      <c r="K3255" s="3">
        <f t="shared" si="50"/>
        <v>11375.000000000002</v>
      </c>
      <c r="L3255" s="3">
        <v>7393.7500000000027</v>
      </c>
    </row>
    <row r="3256" spans="1:12" x14ac:dyDescent="0.25">
      <c r="A3256" t="s">
        <v>19</v>
      </c>
      <c r="B3256">
        <v>1185732</v>
      </c>
      <c r="C3256" s="1">
        <v>44335</v>
      </c>
      <c r="D3256" t="s">
        <v>57</v>
      </c>
      <c r="E3256" t="s">
        <v>106</v>
      </c>
      <c r="F3256" t="s">
        <v>107</v>
      </c>
      <c r="G3256" t="s">
        <v>18</v>
      </c>
      <c r="H3256" t="s">
        <v>35</v>
      </c>
      <c r="I3256" s="3">
        <v>30.000000000000004</v>
      </c>
      <c r="J3256" s="2">
        <v>300</v>
      </c>
      <c r="K3256" s="3">
        <f t="shared" si="50"/>
        <v>9000.0000000000018</v>
      </c>
      <c r="L3256" s="3">
        <v>5850.0000000000018</v>
      </c>
    </row>
    <row r="3257" spans="1:12" x14ac:dyDescent="0.25">
      <c r="A3257" t="s">
        <v>19</v>
      </c>
      <c r="B3257">
        <v>1185732</v>
      </c>
      <c r="C3257" s="1">
        <v>44335</v>
      </c>
      <c r="D3257" t="s">
        <v>57</v>
      </c>
      <c r="E3257" t="s">
        <v>106</v>
      </c>
      <c r="F3257" t="s">
        <v>107</v>
      </c>
      <c r="G3257" t="s">
        <v>18</v>
      </c>
      <c r="H3257" t="s">
        <v>22</v>
      </c>
      <c r="I3257" s="3">
        <v>44.999999999999993</v>
      </c>
      <c r="J3257" s="2">
        <v>250</v>
      </c>
      <c r="K3257" s="3">
        <f t="shared" si="50"/>
        <v>11249.999999999998</v>
      </c>
      <c r="L3257" s="3">
        <v>7312.5</v>
      </c>
    </row>
    <row r="3258" spans="1:12" x14ac:dyDescent="0.25">
      <c r="A3258" t="s">
        <v>11</v>
      </c>
      <c r="B3258">
        <v>1197831</v>
      </c>
      <c r="C3258" s="1">
        <v>44335</v>
      </c>
      <c r="D3258" t="s">
        <v>52</v>
      </c>
      <c r="E3258" t="s">
        <v>116</v>
      </c>
      <c r="F3258" t="s">
        <v>117</v>
      </c>
      <c r="G3258" t="s">
        <v>41</v>
      </c>
      <c r="H3258" t="s">
        <v>22</v>
      </c>
      <c r="I3258" s="3">
        <v>44.999999999999993</v>
      </c>
      <c r="J3258" s="2">
        <v>250</v>
      </c>
      <c r="K3258" s="3">
        <f t="shared" si="50"/>
        <v>11249.999999999998</v>
      </c>
      <c r="L3258" s="3">
        <v>7312.5</v>
      </c>
    </row>
    <row r="3259" spans="1:12" x14ac:dyDescent="0.25">
      <c r="A3259" t="s">
        <v>23</v>
      </c>
      <c r="B3259">
        <v>1197831</v>
      </c>
      <c r="C3259" s="1">
        <v>44335</v>
      </c>
      <c r="D3259" t="s">
        <v>52</v>
      </c>
      <c r="E3259" t="s">
        <v>114</v>
      </c>
      <c r="F3259" t="s">
        <v>115</v>
      </c>
      <c r="G3259" t="s">
        <v>41</v>
      </c>
      <c r="H3259" t="s">
        <v>17</v>
      </c>
      <c r="I3259" s="3">
        <v>40</v>
      </c>
      <c r="J3259" s="2">
        <v>375</v>
      </c>
      <c r="K3259" s="3">
        <f t="shared" si="50"/>
        <v>15000</v>
      </c>
      <c r="L3259" s="3">
        <v>9750</v>
      </c>
    </row>
    <row r="3260" spans="1:12" x14ac:dyDescent="0.25">
      <c r="A3260" t="s">
        <v>23</v>
      </c>
      <c r="B3260">
        <v>1197831</v>
      </c>
      <c r="C3260" s="1">
        <v>44335</v>
      </c>
      <c r="D3260" t="s">
        <v>52</v>
      </c>
      <c r="E3260" t="s">
        <v>114</v>
      </c>
      <c r="F3260" t="s">
        <v>115</v>
      </c>
      <c r="G3260" t="s">
        <v>41</v>
      </c>
      <c r="H3260" t="s">
        <v>22</v>
      </c>
      <c r="I3260" s="3">
        <v>44.999999999999993</v>
      </c>
      <c r="J3260" s="2">
        <v>325</v>
      </c>
      <c r="K3260" s="3">
        <f t="shared" si="50"/>
        <v>14624.999999999998</v>
      </c>
      <c r="L3260" s="3">
        <v>9506.2499999999982</v>
      </c>
    </row>
    <row r="3261" spans="1:12" x14ac:dyDescent="0.25">
      <c r="A3261" t="s">
        <v>11</v>
      </c>
      <c r="B3261">
        <v>1197831</v>
      </c>
      <c r="C3261" s="1">
        <v>44335</v>
      </c>
      <c r="D3261" t="s">
        <v>52</v>
      </c>
      <c r="E3261" t="s">
        <v>116</v>
      </c>
      <c r="F3261" t="s">
        <v>117</v>
      </c>
      <c r="G3261" t="s">
        <v>41</v>
      </c>
      <c r="H3261" t="s">
        <v>17</v>
      </c>
      <c r="I3261" s="3">
        <v>40</v>
      </c>
      <c r="J3261" s="2">
        <v>300</v>
      </c>
      <c r="K3261" s="3">
        <f t="shared" si="50"/>
        <v>12000</v>
      </c>
      <c r="L3261" s="3">
        <v>7800</v>
      </c>
    </row>
    <row r="3262" spans="1:12" x14ac:dyDescent="0.25">
      <c r="A3262" t="s">
        <v>27</v>
      </c>
      <c r="B3262">
        <v>1189833</v>
      </c>
      <c r="C3262" s="1">
        <v>44335</v>
      </c>
      <c r="D3262" t="s">
        <v>12</v>
      </c>
      <c r="E3262" t="s">
        <v>13</v>
      </c>
      <c r="F3262" t="s">
        <v>28</v>
      </c>
      <c r="G3262" t="s">
        <v>15</v>
      </c>
      <c r="H3262" t="s">
        <v>38</v>
      </c>
      <c r="I3262" s="3">
        <v>50</v>
      </c>
      <c r="J3262" s="2">
        <v>825</v>
      </c>
      <c r="K3262" s="3">
        <f t="shared" si="50"/>
        <v>41250</v>
      </c>
      <c r="L3262" s="3">
        <v>24750</v>
      </c>
    </row>
    <row r="3263" spans="1:12" x14ac:dyDescent="0.25">
      <c r="A3263" t="s">
        <v>26</v>
      </c>
      <c r="B3263">
        <v>1197831</v>
      </c>
      <c r="C3263" s="1">
        <v>44335</v>
      </c>
      <c r="D3263" t="s">
        <v>52</v>
      </c>
      <c r="E3263" t="s">
        <v>97</v>
      </c>
      <c r="F3263" t="s">
        <v>98</v>
      </c>
      <c r="G3263" t="s">
        <v>15</v>
      </c>
      <c r="H3263" t="s">
        <v>22</v>
      </c>
      <c r="I3263" s="3">
        <v>54.999999999999993</v>
      </c>
      <c r="J3263" s="2">
        <v>500</v>
      </c>
      <c r="K3263" s="3">
        <f t="shared" si="50"/>
        <v>27499.999999999996</v>
      </c>
      <c r="L3263" s="3">
        <v>16499.999999999996</v>
      </c>
    </row>
    <row r="3264" spans="1:12" x14ac:dyDescent="0.25">
      <c r="A3264" t="s">
        <v>19</v>
      </c>
      <c r="B3264">
        <v>1185732</v>
      </c>
      <c r="C3264" s="1">
        <v>44335</v>
      </c>
      <c r="D3264" t="s">
        <v>57</v>
      </c>
      <c r="E3264" t="s">
        <v>106</v>
      </c>
      <c r="F3264" t="s">
        <v>107</v>
      </c>
      <c r="G3264" t="s">
        <v>18</v>
      </c>
      <c r="H3264" t="s">
        <v>38</v>
      </c>
      <c r="I3264" s="3">
        <v>40</v>
      </c>
      <c r="J3264" s="2">
        <v>620</v>
      </c>
      <c r="K3264" s="3">
        <f t="shared" si="50"/>
        <v>24800</v>
      </c>
      <c r="L3264" s="3">
        <v>14880</v>
      </c>
    </row>
    <row r="3265" spans="1:12" x14ac:dyDescent="0.25">
      <c r="A3265" t="s">
        <v>19</v>
      </c>
      <c r="B3265">
        <v>1185732</v>
      </c>
      <c r="C3265" s="1">
        <v>44335</v>
      </c>
      <c r="D3265" t="s">
        <v>57</v>
      </c>
      <c r="E3265" t="s">
        <v>106</v>
      </c>
      <c r="F3265" t="s">
        <v>107</v>
      </c>
      <c r="G3265" t="s">
        <v>18</v>
      </c>
      <c r="H3265" t="s">
        <v>37</v>
      </c>
      <c r="I3265" s="3">
        <v>30.000000000000004</v>
      </c>
      <c r="J3265" s="2">
        <v>225</v>
      </c>
      <c r="K3265" s="3">
        <f t="shared" si="50"/>
        <v>6750.0000000000009</v>
      </c>
      <c r="L3265" s="3">
        <v>4050.0000000000009</v>
      </c>
    </row>
    <row r="3266" spans="1:12" x14ac:dyDescent="0.25">
      <c r="A3266" t="s">
        <v>23</v>
      </c>
      <c r="B3266">
        <v>1197831</v>
      </c>
      <c r="C3266" s="1">
        <v>44335</v>
      </c>
      <c r="D3266" t="s">
        <v>52</v>
      </c>
      <c r="E3266" t="s">
        <v>114</v>
      </c>
      <c r="F3266" t="s">
        <v>115</v>
      </c>
      <c r="G3266" t="s">
        <v>41</v>
      </c>
      <c r="H3266" t="s">
        <v>38</v>
      </c>
      <c r="I3266" s="3">
        <v>40</v>
      </c>
      <c r="J3266" s="2">
        <v>670</v>
      </c>
      <c r="K3266" s="3">
        <f t="shared" si="50"/>
        <v>26800</v>
      </c>
      <c r="L3266" s="3">
        <v>16080</v>
      </c>
    </row>
    <row r="3267" spans="1:12" x14ac:dyDescent="0.25">
      <c r="A3267" t="s">
        <v>23</v>
      </c>
      <c r="B3267">
        <v>1197831</v>
      </c>
      <c r="C3267" s="1">
        <v>44335</v>
      </c>
      <c r="D3267" t="s">
        <v>52</v>
      </c>
      <c r="E3267" t="s">
        <v>114</v>
      </c>
      <c r="F3267" t="s">
        <v>115</v>
      </c>
      <c r="G3267" t="s">
        <v>41</v>
      </c>
      <c r="H3267" t="s">
        <v>35</v>
      </c>
      <c r="I3267" s="3">
        <v>35</v>
      </c>
      <c r="J3267" s="2">
        <v>350</v>
      </c>
      <c r="K3267" s="3">
        <f t="shared" ref="K3267:K3330" si="51">I3267*J3267</f>
        <v>12250</v>
      </c>
      <c r="L3267" s="3">
        <v>7350</v>
      </c>
    </row>
    <row r="3268" spans="1:12" x14ac:dyDescent="0.25">
      <c r="A3268" t="s">
        <v>23</v>
      </c>
      <c r="B3268">
        <v>1197831</v>
      </c>
      <c r="C3268" s="1">
        <v>44335</v>
      </c>
      <c r="D3268" t="s">
        <v>52</v>
      </c>
      <c r="E3268" t="s">
        <v>114</v>
      </c>
      <c r="F3268" t="s">
        <v>115</v>
      </c>
      <c r="G3268" t="s">
        <v>41</v>
      </c>
      <c r="H3268" t="s">
        <v>37</v>
      </c>
      <c r="I3268" s="3">
        <v>35</v>
      </c>
      <c r="J3268" s="2">
        <v>300</v>
      </c>
      <c r="K3268" s="3">
        <f t="shared" si="51"/>
        <v>10500</v>
      </c>
      <c r="L3268" s="3">
        <v>6300</v>
      </c>
    </row>
    <row r="3269" spans="1:12" x14ac:dyDescent="0.25">
      <c r="A3269" t="s">
        <v>23</v>
      </c>
      <c r="B3269">
        <v>1197831</v>
      </c>
      <c r="C3269" s="1">
        <v>44335</v>
      </c>
      <c r="D3269" t="s">
        <v>52</v>
      </c>
      <c r="E3269" t="s">
        <v>114</v>
      </c>
      <c r="F3269" t="s">
        <v>115</v>
      </c>
      <c r="G3269" t="s">
        <v>41</v>
      </c>
      <c r="H3269" t="s">
        <v>16</v>
      </c>
      <c r="I3269" s="3">
        <v>44.999999999999993</v>
      </c>
      <c r="J3269" s="2">
        <v>425</v>
      </c>
      <c r="K3269" s="3">
        <f t="shared" si="51"/>
        <v>19124.999999999996</v>
      </c>
      <c r="L3269" s="3">
        <v>11474.999999999998</v>
      </c>
    </row>
    <row r="3270" spans="1:12" x14ac:dyDescent="0.25">
      <c r="A3270" t="s">
        <v>11</v>
      </c>
      <c r="B3270">
        <v>1197831</v>
      </c>
      <c r="C3270" s="1">
        <v>44335</v>
      </c>
      <c r="D3270" t="s">
        <v>52</v>
      </c>
      <c r="E3270" t="s">
        <v>116</v>
      </c>
      <c r="F3270" t="s">
        <v>117</v>
      </c>
      <c r="G3270" t="s">
        <v>41</v>
      </c>
      <c r="H3270" t="s">
        <v>38</v>
      </c>
      <c r="I3270" s="3">
        <v>40</v>
      </c>
      <c r="J3270" s="2">
        <v>595</v>
      </c>
      <c r="K3270" s="3">
        <f t="shared" si="51"/>
        <v>23800</v>
      </c>
      <c r="L3270" s="3">
        <v>14280</v>
      </c>
    </row>
    <row r="3271" spans="1:12" x14ac:dyDescent="0.25">
      <c r="A3271" t="s">
        <v>11</v>
      </c>
      <c r="B3271">
        <v>1197831</v>
      </c>
      <c r="C3271" s="1">
        <v>44335</v>
      </c>
      <c r="D3271" t="s">
        <v>52</v>
      </c>
      <c r="E3271" t="s">
        <v>116</v>
      </c>
      <c r="F3271" t="s">
        <v>117</v>
      </c>
      <c r="G3271" t="s">
        <v>41</v>
      </c>
      <c r="H3271" t="s">
        <v>35</v>
      </c>
      <c r="I3271" s="3">
        <v>35</v>
      </c>
      <c r="J3271" s="2">
        <v>275</v>
      </c>
      <c r="K3271" s="3">
        <f t="shared" si="51"/>
        <v>9625</v>
      </c>
      <c r="L3271" s="3">
        <v>5775</v>
      </c>
    </row>
    <row r="3272" spans="1:12" x14ac:dyDescent="0.25">
      <c r="A3272" t="s">
        <v>11</v>
      </c>
      <c r="B3272">
        <v>1197831</v>
      </c>
      <c r="C3272" s="1">
        <v>44335</v>
      </c>
      <c r="D3272" t="s">
        <v>52</v>
      </c>
      <c r="E3272" t="s">
        <v>116</v>
      </c>
      <c r="F3272" t="s">
        <v>117</v>
      </c>
      <c r="G3272" t="s">
        <v>41</v>
      </c>
      <c r="H3272" t="s">
        <v>37</v>
      </c>
      <c r="I3272" s="3">
        <v>35</v>
      </c>
      <c r="J3272" s="2">
        <v>225</v>
      </c>
      <c r="K3272" s="3">
        <f t="shared" si="51"/>
        <v>7875</v>
      </c>
      <c r="L3272" s="3">
        <v>4725</v>
      </c>
    </row>
    <row r="3273" spans="1:12" x14ac:dyDescent="0.25">
      <c r="A3273" t="s">
        <v>11</v>
      </c>
      <c r="B3273">
        <v>1197831</v>
      </c>
      <c r="C3273" s="1">
        <v>44335</v>
      </c>
      <c r="D3273" t="s">
        <v>52</v>
      </c>
      <c r="E3273" t="s">
        <v>116</v>
      </c>
      <c r="F3273" t="s">
        <v>117</v>
      </c>
      <c r="G3273" t="s">
        <v>41</v>
      </c>
      <c r="H3273" t="s">
        <v>16</v>
      </c>
      <c r="I3273" s="3">
        <v>44.999999999999993</v>
      </c>
      <c r="J3273" s="2">
        <v>350</v>
      </c>
      <c r="K3273" s="3">
        <f t="shared" si="51"/>
        <v>15749.999999999998</v>
      </c>
      <c r="L3273" s="3">
        <v>9449.9999999999964</v>
      </c>
    </row>
    <row r="3274" spans="1:12" x14ac:dyDescent="0.25">
      <c r="A3274" t="s">
        <v>19</v>
      </c>
      <c r="B3274">
        <v>1185732</v>
      </c>
      <c r="C3274" s="1">
        <v>44335</v>
      </c>
      <c r="D3274" t="s">
        <v>57</v>
      </c>
      <c r="E3274" t="s">
        <v>106</v>
      </c>
      <c r="F3274" t="s">
        <v>107</v>
      </c>
      <c r="G3274" t="s">
        <v>18</v>
      </c>
      <c r="H3274" t="s">
        <v>16</v>
      </c>
      <c r="I3274" s="3">
        <v>49.999999999999993</v>
      </c>
      <c r="J3274" s="2">
        <v>350</v>
      </c>
      <c r="K3274" s="3">
        <f t="shared" si="51"/>
        <v>17499.999999999996</v>
      </c>
      <c r="L3274" s="3">
        <v>8749.9999999999982</v>
      </c>
    </row>
    <row r="3275" spans="1:12" x14ac:dyDescent="0.25">
      <c r="A3275" t="s">
        <v>11</v>
      </c>
      <c r="B3275">
        <v>1197831</v>
      </c>
      <c r="C3275" s="1">
        <v>44335</v>
      </c>
      <c r="D3275" t="s">
        <v>52</v>
      </c>
      <c r="E3275" t="s">
        <v>116</v>
      </c>
      <c r="F3275" t="s">
        <v>117</v>
      </c>
      <c r="G3275" t="s">
        <v>15</v>
      </c>
      <c r="H3275" t="s">
        <v>17</v>
      </c>
      <c r="I3275" s="3">
        <v>29</v>
      </c>
      <c r="J3275" s="2">
        <v>93</v>
      </c>
      <c r="K3275" s="3">
        <f t="shared" si="51"/>
        <v>2697</v>
      </c>
      <c r="L3275" s="3">
        <v>1672.14</v>
      </c>
    </row>
    <row r="3276" spans="1:12" x14ac:dyDescent="0.25">
      <c r="A3276" t="s">
        <v>23</v>
      </c>
      <c r="B3276">
        <v>1197831</v>
      </c>
      <c r="C3276" s="1">
        <v>44335</v>
      </c>
      <c r="D3276" t="s">
        <v>52</v>
      </c>
      <c r="E3276" t="s">
        <v>114</v>
      </c>
      <c r="F3276" t="s">
        <v>115</v>
      </c>
      <c r="G3276" t="s">
        <v>15</v>
      </c>
      <c r="H3276" t="s">
        <v>22</v>
      </c>
      <c r="I3276" s="3">
        <v>32</v>
      </c>
      <c r="J3276" s="2">
        <v>111</v>
      </c>
      <c r="K3276" s="3">
        <f t="shared" si="51"/>
        <v>3552</v>
      </c>
      <c r="L3276" s="3">
        <v>2166.7200000000003</v>
      </c>
    </row>
    <row r="3277" spans="1:12" x14ac:dyDescent="0.25">
      <c r="A3277" t="s">
        <v>11</v>
      </c>
      <c r="B3277">
        <v>1197831</v>
      </c>
      <c r="C3277" s="1">
        <v>44335</v>
      </c>
      <c r="D3277" t="s">
        <v>52</v>
      </c>
      <c r="E3277" t="s">
        <v>116</v>
      </c>
      <c r="F3277" t="s">
        <v>117</v>
      </c>
      <c r="G3277" t="s">
        <v>15</v>
      </c>
      <c r="H3277" t="s">
        <v>22</v>
      </c>
      <c r="I3277" s="3">
        <v>33</v>
      </c>
      <c r="J3277" s="2">
        <v>80</v>
      </c>
      <c r="K3277" s="3">
        <f t="shared" si="51"/>
        <v>2640</v>
      </c>
      <c r="L3277" s="3">
        <v>1557.6000000000001</v>
      </c>
    </row>
    <row r="3278" spans="1:12" x14ac:dyDescent="0.25">
      <c r="A3278" t="s">
        <v>23</v>
      </c>
      <c r="B3278">
        <v>1197831</v>
      </c>
      <c r="C3278" s="1">
        <v>44335</v>
      </c>
      <c r="D3278" t="s">
        <v>52</v>
      </c>
      <c r="E3278" t="s">
        <v>114</v>
      </c>
      <c r="F3278" t="s">
        <v>115</v>
      </c>
      <c r="G3278" t="s">
        <v>15</v>
      </c>
      <c r="H3278" t="s">
        <v>17</v>
      </c>
      <c r="I3278" s="3">
        <v>28</v>
      </c>
      <c r="J3278" s="2">
        <v>116</v>
      </c>
      <c r="K3278" s="3">
        <f t="shared" si="51"/>
        <v>3248</v>
      </c>
      <c r="L3278" s="3">
        <v>1883.8400000000001</v>
      </c>
    </row>
    <row r="3279" spans="1:12" x14ac:dyDescent="0.25">
      <c r="A3279" t="s">
        <v>11</v>
      </c>
      <c r="B3279">
        <v>1197831</v>
      </c>
      <c r="C3279" s="1">
        <v>44335</v>
      </c>
      <c r="D3279" t="s">
        <v>52</v>
      </c>
      <c r="E3279" t="s">
        <v>116</v>
      </c>
      <c r="F3279" t="s">
        <v>117</v>
      </c>
      <c r="G3279" t="s">
        <v>15</v>
      </c>
      <c r="H3279" t="s">
        <v>37</v>
      </c>
      <c r="I3279" s="3">
        <v>26</v>
      </c>
      <c r="J3279" s="2">
        <v>74</v>
      </c>
      <c r="K3279" s="3">
        <f t="shared" si="51"/>
        <v>1924</v>
      </c>
      <c r="L3279" s="3">
        <v>1115.92</v>
      </c>
    </row>
    <row r="3280" spans="1:12" x14ac:dyDescent="0.25">
      <c r="A3280" t="s">
        <v>11</v>
      </c>
      <c r="B3280">
        <v>1197831</v>
      </c>
      <c r="C3280" s="1">
        <v>44335</v>
      </c>
      <c r="D3280" t="s">
        <v>52</v>
      </c>
      <c r="E3280" t="s">
        <v>116</v>
      </c>
      <c r="F3280" t="s">
        <v>117</v>
      </c>
      <c r="G3280" t="s">
        <v>15</v>
      </c>
      <c r="H3280" t="s">
        <v>35</v>
      </c>
      <c r="I3280" s="3">
        <v>27</v>
      </c>
      <c r="J3280" s="2">
        <v>88</v>
      </c>
      <c r="K3280" s="3">
        <f t="shared" si="51"/>
        <v>2376</v>
      </c>
      <c r="L3280" s="3">
        <v>1378.08</v>
      </c>
    </row>
    <row r="3281" spans="1:12" x14ac:dyDescent="0.25">
      <c r="A3281" t="s">
        <v>11</v>
      </c>
      <c r="B3281">
        <v>1197831</v>
      </c>
      <c r="C3281" s="1">
        <v>44335</v>
      </c>
      <c r="D3281" t="s">
        <v>52</v>
      </c>
      <c r="E3281" t="s">
        <v>116</v>
      </c>
      <c r="F3281" t="s">
        <v>117</v>
      </c>
      <c r="G3281" t="s">
        <v>15</v>
      </c>
      <c r="H3281" t="s">
        <v>38</v>
      </c>
      <c r="I3281" s="3">
        <v>28</v>
      </c>
      <c r="J3281" s="2">
        <v>179</v>
      </c>
      <c r="K3281" s="3">
        <f t="shared" si="51"/>
        <v>5012</v>
      </c>
      <c r="L3281" s="3">
        <v>2856.8399999999997</v>
      </c>
    </row>
    <row r="3282" spans="1:12" x14ac:dyDescent="0.25">
      <c r="A3282" t="s">
        <v>23</v>
      </c>
      <c r="B3282">
        <v>1197831</v>
      </c>
      <c r="C3282" s="1">
        <v>44335</v>
      </c>
      <c r="D3282" t="s">
        <v>52</v>
      </c>
      <c r="E3282" t="s">
        <v>114</v>
      </c>
      <c r="F3282" t="s">
        <v>115</v>
      </c>
      <c r="G3282" t="s">
        <v>15</v>
      </c>
      <c r="H3282" t="s">
        <v>35</v>
      </c>
      <c r="I3282" s="3">
        <v>27</v>
      </c>
      <c r="J3282" s="2">
        <v>119</v>
      </c>
      <c r="K3282" s="3">
        <f t="shared" si="51"/>
        <v>3213</v>
      </c>
      <c r="L3282" s="3">
        <v>1799.28</v>
      </c>
    </row>
    <row r="3283" spans="1:12" x14ac:dyDescent="0.25">
      <c r="A3283" t="s">
        <v>11</v>
      </c>
      <c r="B3283">
        <v>1197831</v>
      </c>
      <c r="C3283" s="1">
        <v>44335</v>
      </c>
      <c r="D3283" t="s">
        <v>52</v>
      </c>
      <c r="E3283" t="s">
        <v>116</v>
      </c>
      <c r="F3283" t="s">
        <v>117</v>
      </c>
      <c r="G3283" t="s">
        <v>41</v>
      </c>
      <c r="H3283" t="s">
        <v>17</v>
      </c>
      <c r="I3283" s="3">
        <v>39</v>
      </c>
      <c r="J3283" s="2">
        <v>87</v>
      </c>
      <c r="K3283" s="3">
        <f t="shared" si="51"/>
        <v>3393</v>
      </c>
      <c r="L3283" s="3">
        <v>1866.15</v>
      </c>
    </row>
    <row r="3284" spans="1:12" x14ac:dyDescent="0.25">
      <c r="A3284" t="s">
        <v>11</v>
      </c>
      <c r="B3284">
        <v>1197831</v>
      </c>
      <c r="C3284" s="1">
        <v>44335</v>
      </c>
      <c r="D3284" t="s">
        <v>52</v>
      </c>
      <c r="E3284" t="s">
        <v>116</v>
      </c>
      <c r="F3284" t="s">
        <v>117</v>
      </c>
      <c r="G3284" t="s">
        <v>41</v>
      </c>
      <c r="H3284" t="s">
        <v>22</v>
      </c>
      <c r="I3284" s="3">
        <v>43</v>
      </c>
      <c r="J3284" s="2">
        <v>75</v>
      </c>
      <c r="K3284" s="3">
        <f t="shared" si="51"/>
        <v>3225</v>
      </c>
      <c r="L3284" s="3">
        <v>1773.7500000000002</v>
      </c>
    </row>
    <row r="3285" spans="1:12" x14ac:dyDescent="0.25">
      <c r="A3285" t="s">
        <v>11</v>
      </c>
      <c r="B3285">
        <v>1197831</v>
      </c>
      <c r="C3285" s="1">
        <v>44335</v>
      </c>
      <c r="D3285" t="s">
        <v>52</v>
      </c>
      <c r="E3285" t="s">
        <v>116</v>
      </c>
      <c r="F3285" t="s">
        <v>117</v>
      </c>
      <c r="G3285" t="s">
        <v>15</v>
      </c>
      <c r="H3285" t="s">
        <v>16</v>
      </c>
      <c r="I3285" s="3">
        <v>33</v>
      </c>
      <c r="J3285" s="2">
        <v>116</v>
      </c>
      <c r="K3285" s="3">
        <f t="shared" si="51"/>
        <v>3828</v>
      </c>
      <c r="L3285" s="3">
        <v>2105.3999999999996</v>
      </c>
    </row>
    <row r="3286" spans="1:12" x14ac:dyDescent="0.25">
      <c r="A3286" t="s">
        <v>19</v>
      </c>
      <c r="B3286">
        <v>1185732</v>
      </c>
      <c r="C3286" s="1">
        <v>44335</v>
      </c>
      <c r="D3286" t="s">
        <v>57</v>
      </c>
      <c r="E3286" t="s">
        <v>106</v>
      </c>
      <c r="F3286" t="s">
        <v>107</v>
      </c>
      <c r="G3286" t="s">
        <v>41</v>
      </c>
      <c r="H3286" t="s">
        <v>35</v>
      </c>
      <c r="I3286" s="3">
        <v>29</v>
      </c>
      <c r="J3286" s="2">
        <v>87</v>
      </c>
      <c r="K3286" s="3">
        <f t="shared" si="51"/>
        <v>2523</v>
      </c>
      <c r="L3286" s="3">
        <v>1362.42</v>
      </c>
    </row>
    <row r="3287" spans="1:12" x14ac:dyDescent="0.25">
      <c r="A3287" t="s">
        <v>27</v>
      </c>
      <c r="B3287">
        <v>1189833</v>
      </c>
      <c r="C3287" s="1">
        <v>44335</v>
      </c>
      <c r="D3287" t="s">
        <v>12</v>
      </c>
      <c r="E3287" t="s">
        <v>13</v>
      </c>
      <c r="F3287" t="s">
        <v>28</v>
      </c>
      <c r="G3287" t="s">
        <v>15</v>
      </c>
      <c r="H3287" t="s">
        <v>38</v>
      </c>
      <c r="I3287" s="3">
        <v>40</v>
      </c>
      <c r="J3287" s="2">
        <v>272</v>
      </c>
      <c r="K3287" s="3">
        <f t="shared" si="51"/>
        <v>10880</v>
      </c>
      <c r="L3287" s="3">
        <v>5875.2</v>
      </c>
    </row>
    <row r="3288" spans="1:12" x14ac:dyDescent="0.25">
      <c r="A3288" t="s">
        <v>23</v>
      </c>
      <c r="B3288">
        <v>1197831</v>
      </c>
      <c r="C3288" s="1">
        <v>44335</v>
      </c>
      <c r="D3288" t="s">
        <v>52</v>
      </c>
      <c r="E3288" t="s">
        <v>114</v>
      </c>
      <c r="F3288" t="s">
        <v>115</v>
      </c>
      <c r="G3288" t="s">
        <v>15</v>
      </c>
      <c r="H3288" t="s">
        <v>38</v>
      </c>
      <c r="I3288" s="3">
        <v>26</v>
      </c>
      <c r="J3288" s="2">
        <v>228</v>
      </c>
      <c r="K3288" s="3">
        <f t="shared" si="51"/>
        <v>5928</v>
      </c>
      <c r="L3288" s="3">
        <v>3201.12</v>
      </c>
    </row>
    <row r="3289" spans="1:12" x14ac:dyDescent="0.25">
      <c r="A3289" t="s">
        <v>23</v>
      </c>
      <c r="B3289">
        <v>1197831</v>
      </c>
      <c r="C3289" s="1">
        <v>44335</v>
      </c>
      <c r="D3289" t="s">
        <v>52</v>
      </c>
      <c r="E3289" t="s">
        <v>114</v>
      </c>
      <c r="F3289" t="s">
        <v>115</v>
      </c>
      <c r="G3289" t="s">
        <v>41</v>
      </c>
      <c r="H3289" t="s">
        <v>22</v>
      </c>
      <c r="I3289" s="3">
        <v>42</v>
      </c>
      <c r="J3289" s="2">
        <v>85</v>
      </c>
      <c r="K3289" s="3">
        <f t="shared" si="51"/>
        <v>3570</v>
      </c>
      <c r="L3289" s="3">
        <v>1892.1000000000001</v>
      </c>
    </row>
    <row r="3290" spans="1:12" x14ac:dyDescent="0.25">
      <c r="A3290" t="s">
        <v>26</v>
      </c>
      <c r="B3290">
        <v>1197831</v>
      </c>
      <c r="C3290" s="1">
        <v>44335</v>
      </c>
      <c r="D3290" t="s">
        <v>52</v>
      </c>
      <c r="E3290" t="s">
        <v>97</v>
      </c>
      <c r="F3290" t="s">
        <v>98</v>
      </c>
      <c r="G3290" t="s">
        <v>15</v>
      </c>
      <c r="H3290" t="s">
        <v>22</v>
      </c>
      <c r="I3290" s="3">
        <v>38</v>
      </c>
      <c r="J3290" s="2">
        <v>160</v>
      </c>
      <c r="K3290" s="3">
        <f t="shared" si="51"/>
        <v>6080</v>
      </c>
      <c r="L3290" s="3">
        <v>3222.4</v>
      </c>
    </row>
    <row r="3291" spans="1:12" x14ac:dyDescent="0.25">
      <c r="A3291" t="s">
        <v>19</v>
      </c>
      <c r="B3291">
        <v>1185732</v>
      </c>
      <c r="C3291" s="1">
        <v>44335</v>
      </c>
      <c r="D3291" t="s">
        <v>57</v>
      </c>
      <c r="E3291" t="s">
        <v>106</v>
      </c>
      <c r="F3291" t="s">
        <v>107</v>
      </c>
      <c r="G3291" t="s">
        <v>41</v>
      </c>
      <c r="H3291" t="s">
        <v>17</v>
      </c>
      <c r="I3291" s="3">
        <v>34</v>
      </c>
      <c r="J3291" s="2">
        <v>88</v>
      </c>
      <c r="K3291" s="3">
        <f t="shared" si="51"/>
        <v>2992</v>
      </c>
      <c r="L3291" s="3">
        <v>1585.76</v>
      </c>
    </row>
    <row r="3292" spans="1:12" x14ac:dyDescent="0.25">
      <c r="A3292" t="s">
        <v>23</v>
      </c>
      <c r="B3292">
        <v>1197831</v>
      </c>
      <c r="C3292" s="1">
        <v>44335</v>
      </c>
      <c r="D3292" t="s">
        <v>52</v>
      </c>
      <c r="E3292" t="s">
        <v>114</v>
      </c>
      <c r="F3292" t="s">
        <v>115</v>
      </c>
      <c r="G3292" t="s">
        <v>15</v>
      </c>
      <c r="H3292" t="s">
        <v>37</v>
      </c>
      <c r="I3292" s="3">
        <v>24</v>
      </c>
      <c r="J3292" s="2">
        <v>90</v>
      </c>
      <c r="K3292" s="3">
        <f t="shared" si="51"/>
        <v>2160</v>
      </c>
      <c r="L3292" s="3">
        <v>1144.8</v>
      </c>
    </row>
    <row r="3293" spans="1:12" x14ac:dyDescent="0.25">
      <c r="A3293" t="s">
        <v>23</v>
      </c>
      <c r="B3293">
        <v>1197831</v>
      </c>
      <c r="C3293" s="1">
        <v>44335</v>
      </c>
      <c r="D3293" t="s">
        <v>52</v>
      </c>
      <c r="E3293" t="s">
        <v>114</v>
      </c>
      <c r="F3293" t="s">
        <v>115</v>
      </c>
      <c r="G3293" t="s">
        <v>15</v>
      </c>
      <c r="H3293" t="s">
        <v>16</v>
      </c>
      <c r="I3293" s="3">
        <v>33</v>
      </c>
      <c r="J3293" s="2">
        <v>145</v>
      </c>
      <c r="K3293" s="3">
        <f t="shared" si="51"/>
        <v>4785</v>
      </c>
      <c r="L3293" s="3">
        <v>2536.0499999999997</v>
      </c>
    </row>
    <row r="3294" spans="1:12" x14ac:dyDescent="0.25">
      <c r="A3294" t="s">
        <v>19</v>
      </c>
      <c r="B3294">
        <v>1185732</v>
      </c>
      <c r="C3294" s="1">
        <v>44335</v>
      </c>
      <c r="D3294" t="s">
        <v>57</v>
      </c>
      <c r="E3294" t="s">
        <v>106</v>
      </c>
      <c r="F3294" t="s">
        <v>107</v>
      </c>
      <c r="G3294" t="s">
        <v>41</v>
      </c>
      <c r="H3294" t="s">
        <v>22</v>
      </c>
      <c r="I3294" s="3">
        <v>44</v>
      </c>
      <c r="J3294" s="2">
        <v>70</v>
      </c>
      <c r="K3294" s="3">
        <f t="shared" si="51"/>
        <v>3080</v>
      </c>
      <c r="L3294" s="3">
        <v>1601.6000000000001</v>
      </c>
    </row>
    <row r="3295" spans="1:12" x14ac:dyDescent="0.25">
      <c r="A3295" t="s">
        <v>27</v>
      </c>
      <c r="B3295">
        <v>1189833</v>
      </c>
      <c r="C3295" s="1">
        <v>44335</v>
      </c>
      <c r="D3295" t="s">
        <v>12</v>
      </c>
      <c r="E3295" t="s">
        <v>13</v>
      </c>
      <c r="F3295" t="s">
        <v>28</v>
      </c>
      <c r="G3295" t="s">
        <v>41</v>
      </c>
      <c r="H3295" t="s">
        <v>38</v>
      </c>
      <c r="I3295" s="3">
        <v>49</v>
      </c>
      <c r="J3295" s="2">
        <v>231</v>
      </c>
      <c r="K3295" s="3">
        <f t="shared" si="51"/>
        <v>11319</v>
      </c>
      <c r="L3295" s="3">
        <v>5659.5</v>
      </c>
    </row>
    <row r="3296" spans="1:12" x14ac:dyDescent="0.25">
      <c r="A3296" t="s">
        <v>26</v>
      </c>
      <c r="B3296">
        <v>1197831</v>
      </c>
      <c r="C3296" s="1">
        <v>44335</v>
      </c>
      <c r="D3296" t="s">
        <v>52</v>
      </c>
      <c r="E3296" t="s">
        <v>97</v>
      </c>
      <c r="F3296" t="s">
        <v>98</v>
      </c>
      <c r="G3296" t="s">
        <v>41</v>
      </c>
      <c r="H3296" t="s">
        <v>22</v>
      </c>
      <c r="I3296" s="3">
        <v>50</v>
      </c>
      <c r="J3296" s="2">
        <v>140</v>
      </c>
      <c r="K3296" s="3">
        <f t="shared" si="51"/>
        <v>7000</v>
      </c>
      <c r="L3296" s="3">
        <v>3500</v>
      </c>
    </row>
    <row r="3297" spans="1:12" x14ac:dyDescent="0.25">
      <c r="A3297" t="s">
        <v>23</v>
      </c>
      <c r="B3297">
        <v>1197831</v>
      </c>
      <c r="C3297" s="1">
        <v>44335</v>
      </c>
      <c r="D3297" t="s">
        <v>52</v>
      </c>
      <c r="E3297" t="s">
        <v>114</v>
      </c>
      <c r="F3297" t="s">
        <v>115</v>
      </c>
      <c r="G3297" t="s">
        <v>41</v>
      </c>
      <c r="H3297" t="s">
        <v>17</v>
      </c>
      <c r="I3297" s="3">
        <v>38</v>
      </c>
      <c r="J3297" s="2">
        <v>113</v>
      </c>
      <c r="K3297" s="3">
        <f t="shared" si="51"/>
        <v>4294</v>
      </c>
      <c r="L3297" s="3">
        <v>2147</v>
      </c>
    </row>
    <row r="3298" spans="1:12" x14ac:dyDescent="0.25">
      <c r="A3298" t="s">
        <v>19</v>
      </c>
      <c r="B3298">
        <v>1185732</v>
      </c>
      <c r="C3298" s="1">
        <v>44335</v>
      </c>
      <c r="D3298" t="s">
        <v>57</v>
      </c>
      <c r="E3298" t="s">
        <v>106</v>
      </c>
      <c r="F3298" t="s">
        <v>107</v>
      </c>
      <c r="G3298" t="s">
        <v>41</v>
      </c>
      <c r="H3298" t="s">
        <v>38</v>
      </c>
      <c r="I3298" s="3">
        <v>39</v>
      </c>
      <c r="J3298" s="2">
        <v>180</v>
      </c>
      <c r="K3298" s="3">
        <f t="shared" si="51"/>
        <v>7020</v>
      </c>
      <c r="L3298" s="3">
        <v>3439.7999999999997</v>
      </c>
    </row>
    <row r="3299" spans="1:12" x14ac:dyDescent="0.25">
      <c r="A3299" t="s">
        <v>11</v>
      </c>
      <c r="B3299">
        <v>1197831</v>
      </c>
      <c r="C3299" s="1">
        <v>44335</v>
      </c>
      <c r="D3299" t="s">
        <v>52</v>
      </c>
      <c r="E3299" t="s">
        <v>116</v>
      </c>
      <c r="F3299" t="s">
        <v>117</v>
      </c>
      <c r="G3299" t="s">
        <v>41</v>
      </c>
      <c r="H3299" t="s">
        <v>35</v>
      </c>
      <c r="I3299" s="3">
        <v>34</v>
      </c>
      <c r="J3299" s="2">
        <v>72</v>
      </c>
      <c r="K3299" s="3">
        <f t="shared" si="51"/>
        <v>2448</v>
      </c>
      <c r="L3299" s="3">
        <v>1175.04</v>
      </c>
    </row>
    <row r="3300" spans="1:12" x14ac:dyDescent="0.25">
      <c r="A3300" t="s">
        <v>11</v>
      </c>
      <c r="B3300">
        <v>1197831</v>
      </c>
      <c r="C3300" s="1">
        <v>44335</v>
      </c>
      <c r="D3300" t="s">
        <v>52</v>
      </c>
      <c r="E3300" t="s">
        <v>116</v>
      </c>
      <c r="F3300" t="s">
        <v>117</v>
      </c>
      <c r="G3300" t="s">
        <v>41</v>
      </c>
      <c r="H3300" t="s">
        <v>16</v>
      </c>
      <c r="I3300" s="3">
        <v>42</v>
      </c>
      <c r="J3300" s="2">
        <v>98</v>
      </c>
      <c r="K3300" s="3">
        <f t="shared" si="51"/>
        <v>4116</v>
      </c>
      <c r="L3300" s="3">
        <v>1975.6799999999998</v>
      </c>
    </row>
    <row r="3301" spans="1:12" x14ac:dyDescent="0.25">
      <c r="A3301" t="s">
        <v>23</v>
      </c>
      <c r="B3301">
        <v>1197831</v>
      </c>
      <c r="C3301" s="1">
        <v>44335</v>
      </c>
      <c r="D3301" t="s">
        <v>52</v>
      </c>
      <c r="E3301" t="s">
        <v>114</v>
      </c>
      <c r="F3301" t="s">
        <v>115</v>
      </c>
      <c r="G3301" t="s">
        <v>41</v>
      </c>
      <c r="H3301" t="s">
        <v>37</v>
      </c>
      <c r="I3301" s="3">
        <v>34</v>
      </c>
      <c r="J3301" s="2">
        <v>78</v>
      </c>
      <c r="K3301" s="3">
        <f t="shared" si="51"/>
        <v>2652</v>
      </c>
      <c r="L3301" s="3">
        <v>1246.4399999999998</v>
      </c>
    </row>
    <row r="3302" spans="1:12" x14ac:dyDescent="0.25">
      <c r="A3302" t="s">
        <v>23</v>
      </c>
      <c r="B3302">
        <v>1197831</v>
      </c>
      <c r="C3302" s="1">
        <v>44335</v>
      </c>
      <c r="D3302" t="s">
        <v>52</v>
      </c>
      <c r="E3302" t="s">
        <v>114</v>
      </c>
      <c r="F3302" t="s">
        <v>115</v>
      </c>
      <c r="G3302" t="s">
        <v>41</v>
      </c>
      <c r="H3302" t="s">
        <v>38</v>
      </c>
      <c r="I3302" s="3">
        <v>39</v>
      </c>
      <c r="J3302" s="2">
        <v>181</v>
      </c>
      <c r="K3302" s="3">
        <f t="shared" si="51"/>
        <v>7059</v>
      </c>
      <c r="L3302" s="3">
        <v>3247.14</v>
      </c>
    </row>
    <row r="3303" spans="1:12" x14ac:dyDescent="0.25">
      <c r="A3303" t="s">
        <v>11</v>
      </c>
      <c r="B3303">
        <v>1197831</v>
      </c>
      <c r="C3303" s="1">
        <v>44335</v>
      </c>
      <c r="D3303" t="s">
        <v>52</v>
      </c>
      <c r="E3303" t="s">
        <v>116</v>
      </c>
      <c r="F3303" t="s">
        <v>117</v>
      </c>
      <c r="G3303" t="s">
        <v>41</v>
      </c>
      <c r="H3303" t="s">
        <v>38</v>
      </c>
      <c r="I3303" s="3">
        <v>36</v>
      </c>
      <c r="J3303" s="2">
        <v>167</v>
      </c>
      <c r="K3303" s="3">
        <f t="shared" si="51"/>
        <v>6012</v>
      </c>
      <c r="L3303" s="3">
        <v>2765.52</v>
      </c>
    </row>
    <row r="3304" spans="1:12" x14ac:dyDescent="0.25">
      <c r="A3304" t="s">
        <v>19</v>
      </c>
      <c r="B3304">
        <v>1185732</v>
      </c>
      <c r="C3304" s="1">
        <v>44335</v>
      </c>
      <c r="D3304" t="s">
        <v>57</v>
      </c>
      <c r="E3304" t="s">
        <v>106</v>
      </c>
      <c r="F3304" t="s">
        <v>107</v>
      </c>
      <c r="G3304" t="s">
        <v>41</v>
      </c>
      <c r="H3304" t="s">
        <v>37</v>
      </c>
      <c r="I3304" s="3">
        <v>29</v>
      </c>
      <c r="J3304" s="2">
        <v>65</v>
      </c>
      <c r="K3304" s="3">
        <f t="shared" si="51"/>
        <v>1885</v>
      </c>
      <c r="L3304" s="3">
        <v>848.25</v>
      </c>
    </row>
    <row r="3305" spans="1:12" x14ac:dyDescent="0.25">
      <c r="A3305" t="s">
        <v>23</v>
      </c>
      <c r="B3305">
        <v>1197831</v>
      </c>
      <c r="C3305" s="1">
        <v>44335</v>
      </c>
      <c r="D3305" t="s">
        <v>52</v>
      </c>
      <c r="E3305" t="s">
        <v>114</v>
      </c>
      <c r="F3305" t="s">
        <v>115</v>
      </c>
      <c r="G3305" t="s">
        <v>41</v>
      </c>
      <c r="H3305" t="s">
        <v>35</v>
      </c>
      <c r="I3305" s="3">
        <v>34</v>
      </c>
      <c r="J3305" s="2">
        <v>91</v>
      </c>
      <c r="K3305" s="3">
        <f t="shared" si="51"/>
        <v>3094</v>
      </c>
      <c r="L3305" s="3">
        <v>1392.3</v>
      </c>
    </row>
    <row r="3306" spans="1:12" x14ac:dyDescent="0.25">
      <c r="A3306" t="s">
        <v>23</v>
      </c>
      <c r="B3306">
        <v>1197831</v>
      </c>
      <c r="C3306" s="1">
        <v>44335</v>
      </c>
      <c r="D3306" t="s">
        <v>52</v>
      </c>
      <c r="E3306" t="s">
        <v>114</v>
      </c>
      <c r="F3306" t="s">
        <v>115</v>
      </c>
      <c r="G3306" t="s">
        <v>41</v>
      </c>
      <c r="H3306" t="s">
        <v>16</v>
      </c>
      <c r="I3306" s="3">
        <v>44</v>
      </c>
      <c r="J3306" s="2">
        <v>111</v>
      </c>
      <c r="K3306" s="3">
        <f t="shared" si="51"/>
        <v>4884</v>
      </c>
      <c r="L3306" s="3">
        <v>2197.7999999999997</v>
      </c>
    </row>
    <row r="3307" spans="1:12" x14ac:dyDescent="0.25">
      <c r="A3307" t="s">
        <v>11</v>
      </c>
      <c r="B3307">
        <v>1197831</v>
      </c>
      <c r="C3307" s="1">
        <v>44335</v>
      </c>
      <c r="D3307" t="s">
        <v>52</v>
      </c>
      <c r="E3307" t="s">
        <v>116</v>
      </c>
      <c r="F3307" t="s">
        <v>117</v>
      </c>
      <c r="G3307" t="s">
        <v>41</v>
      </c>
      <c r="H3307" t="s">
        <v>37</v>
      </c>
      <c r="I3307" s="3">
        <v>34</v>
      </c>
      <c r="J3307" s="2">
        <v>59</v>
      </c>
      <c r="K3307" s="3">
        <f t="shared" si="51"/>
        <v>2006</v>
      </c>
      <c r="L3307" s="3">
        <v>902.69999999999982</v>
      </c>
    </row>
    <row r="3308" spans="1:12" x14ac:dyDescent="0.25">
      <c r="A3308" t="s">
        <v>19</v>
      </c>
      <c r="B3308">
        <v>1185732</v>
      </c>
      <c r="C3308" s="1">
        <v>44335</v>
      </c>
      <c r="D3308" t="s">
        <v>57</v>
      </c>
      <c r="E3308" t="s">
        <v>106</v>
      </c>
      <c r="F3308" t="s">
        <v>107</v>
      </c>
      <c r="G3308" t="s">
        <v>41</v>
      </c>
      <c r="H3308" t="s">
        <v>16</v>
      </c>
      <c r="I3308" s="3">
        <v>45</v>
      </c>
      <c r="J3308" s="2">
        <v>105</v>
      </c>
      <c r="K3308" s="3">
        <f t="shared" si="51"/>
        <v>4725</v>
      </c>
      <c r="L3308" s="3">
        <v>1890</v>
      </c>
    </row>
    <row r="3309" spans="1:12" x14ac:dyDescent="0.25">
      <c r="A3309" t="s">
        <v>36</v>
      </c>
      <c r="B3309">
        <v>1185732</v>
      </c>
      <c r="C3309" s="1">
        <v>44336</v>
      </c>
      <c r="D3309" t="s">
        <v>12</v>
      </c>
      <c r="E3309" t="s">
        <v>24</v>
      </c>
      <c r="F3309" t="s">
        <v>25</v>
      </c>
      <c r="G3309" t="s">
        <v>15</v>
      </c>
      <c r="H3309" t="s">
        <v>37</v>
      </c>
      <c r="I3309" s="3">
        <v>55.000000000000007</v>
      </c>
      <c r="J3309" s="2">
        <v>250</v>
      </c>
      <c r="K3309" s="3">
        <f t="shared" si="51"/>
        <v>13750.000000000002</v>
      </c>
      <c r="L3309" s="3">
        <v>10312.500000000004</v>
      </c>
    </row>
    <row r="3310" spans="1:12" x14ac:dyDescent="0.25">
      <c r="A3310" t="s">
        <v>27</v>
      </c>
      <c r="B3310">
        <v>1189833</v>
      </c>
      <c r="C3310" s="1">
        <v>44336</v>
      </c>
      <c r="D3310" t="s">
        <v>12</v>
      </c>
      <c r="E3310" t="s">
        <v>13</v>
      </c>
      <c r="F3310" t="s">
        <v>28</v>
      </c>
      <c r="G3310" t="s">
        <v>15</v>
      </c>
      <c r="H3310" t="s">
        <v>17</v>
      </c>
      <c r="I3310" s="3">
        <v>55.000000000000007</v>
      </c>
      <c r="J3310" s="2">
        <v>825</v>
      </c>
      <c r="K3310" s="3">
        <f t="shared" si="51"/>
        <v>45375.000000000007</v>
      </c>
      <c r="L3310" s="3">
        <v>34031.250000000007</v>
      </c>
    </row>
    <row r="3311" spans="1:12" x14ac:dyDescent="0.25">
      <c r="A3311" t="s">
        <v>36</v>
      </c>
      <c r="B3311">
        <v>1185732</v>
      </c>
      <c r="C3311" s="1">
        <v>44336</v>
      </c>
      <c r="D3311" t="s">
        <v>12</v>
      </c>
      <c r="E3311" t="s">
        <v>24</v>
      </c>
      <c r="F3311" t="s">
        <v>25</v>
      </c>
      <c r="G3311" t="s">
        <v>15</v>
      </c>
      <c r="H3311" t="s">
        <v>35</v>
      </c>
      <c r="I3311" s="3">
        <v>55.000000000000007</v>
      </c>
      <c r="J3311" s="2">
        <v>300</v>
      </c>
      <c r="K3311" s="3">
        <f t="shared" si="51"/>
        <v>16500.000000000004</v>
      </c>
      <c r="L3311" s="3">
        <v>12375.000000000004</v>
      </c>
    </row>
    <row r="3312" spans="1:12" x14ac:dyDescent="0.25">
      <c r="A3312" t="s">
        <v>36</v>
      </c>
      <c r="B3312">
        <v>1185732</v>
      </c>
      <c r="C3312" s="1">
        <v>44336</v>
      </c>
      <c r="D3312" t="s">
        <v>12</v>
      </c>
      <c r="E3312" t="s">
        <v>24</v>
      </c>
      <c r="F3312" t="s">
        <v>25</v>
      </c>
      <c r="G3312" t="s">
        <v>15</v>
      </c>
      <c r="H3312" t="s">
        <v>22</v>
      </c>
      <c r="I3312" s="3">
        <v>65</v>
      </c>
      <c r="J3312" s="2">
        <v>275</v>
      </c>
      <c r="K3312" s="3">
        <f t="shared" si="51"/>
        <v>17875</v>
      </c>
      <c r="L3312" s="3">
        <v>13406.25</v>
      </c>
    </row>
    <row r="3313" spans="1:12" x14ac:dyDescent="0.25">
      <c r="A3313" t="s">
        <v>11</v>
      </c>
      <c r="B3313">
        <v>1185732</v>
      </c>
      <c r="C3313" s="1">
        <v>44336</v>
      </c>
      <c r="D3313" t="s">
        <v>29</v>
      </c>
      <c r="E3313" t="s">
        <v>87</v>
      </c>
      <c r="F3313" t="s">
        <v>88</v>
      </c>
      <c r="G3313" t="s">
        <v>18</v>
      </c>
      <c r="H3313" t="s">
        <v>22</v>
      </c>
      <c r="I3313" s="3">
        <v>49.999999999999993</v>
      </c>
      <c r="J3313" s="2">
        <v>125</v>
      </c>
      <c r="K3313" s="3">
        <f t="shared" si="51"/>
        <v>6249.9999999999991</v>
      </c>
      <c r="L3313" s="3">
        <v>4375</v>
      </c>
    </row>
    <row r="3314" spans="1:12" x14ac:dyDescent="0.25">
      <c r="A3314" t="s">
        <v>36</v>
      </c>
      <c r="B3314">
        <v>1185732</v>
      </c>
      <c r="C3314" s="1">
        <v>44336</v>
      </c>
      <c r="D3314" t="s">
        <v>12</v>
      </c>
      <c r="E3314" t="s">
        <v>24</v>
      </c>
      <c r="F3314" t="s">
        <v>25</v>
      </c>
      <c r="G3314" t="s">
        <v>15</v>
      </c>
      <c r="H3314" t="s">
        <v>16</v>
      </c>
      <c r="I3314" s="3">
        <v>70</v>
      </c>
      <c r="J3314" s="2">
        <v>400</v>
      </c>
      <c r="K3314" s="3">
        <f t="shared" si="51"/>
        <v>28000</v>
      </c>
      <c r="L3314" s="3">
        <v>19600</v>
      </c>
    </row>
    <row r="3315" spans="1:12" x14ac:dyDescent="0.25">
      <c r="A3315" t="s">
        <v>11</v>
      </c>
      <c r="B3315">
        <v>1185732</v>
      </c>
      <c r="C3315" s="1">
        <v>44336</v>
      </c>
      <c r="D3315" t="s">
        <v>29</v>
      </c>
      <c r="E3315" t="s">
        <v>87</v>
      </c>
      <c r="F3315" t="s">
        <v>88</v>
      </c>
      <c r="G3315" t="s">
        <v>18</v>
      </c>
      <c r="H3315" t="s">
        <v>16</v>
      </c>
      <c r="I3315" s="3">
        <v>54.999999999999993</v>
      </c>
      <c r="J3315" s="2">
        <v>250</v>
      </c>
      <c r="K3315" s="3">
        <f t="shared" si="51"/>
        <v>13749.999999999998</v>
      </c>
      <c r="L3315" s="3">
        <v>9624.9999999999964</v>
      </c>
    </row>
    <row r="3316" spans="1:12" x14ac:dyDescent="0.25">
      <c r="A3316" t="s">
        <v>36</v>
      </c>
      <c r="B3316">
        <v>1185732</v>
      </c>
      <c r="C3316" s="1">
        <v>44336</v>
      </c>
      <c r="D3316" t="s">
        <v>12</v>
      </c>
      <c r="E3316" t="s">
        <v>24</v>
      </c>
      <c r="F3316" t="s">
        <v>25</v>
      </c>
      <c r="G3316" t="s">
        <v>15</v>
      </c>
      <c r="H3316" t="s">
        <v>38</v>
      </c>
      <c r="I3316" s="3">
        <v>65</v>
      </c>
      <c r="J3316" s="2">
        <v>570</v>
      </c>
      <c r="K3316" s="3">
        <f t="shared" si="51"/>
        <v>37050</v>
      </c>
      <c r="L3316" s="3">
        <v>24082.5</v>
      </c>
    </row>
    <row r="3317" spans="1:12" x14ac:dyDescent="0.25">
      <c r="A3317" t="s">
        <v>36</v>
      </c>
      <c r="B3317">
        <v>1185732</v>
      </c>
      <c r="C3317" s="1">
        <v>44336</v>
      </c>
      <c r="D3317" t="s">
        <v>12</v>
      </c>
      <c r="E3317" t="s">
        <v>24</v>
      </c>
      <c r="F3317" t="s">
        <v>25</v>
      </c>
      <c r="G3317" t="s">
        <v>15</v>
      </c>
      <c r="H3317" t="s">
        <v>17</v>
      </c>
      <c r="I3317" s="3">
        <v>60.000000000000007</v>
      </c>
      <c r="J3317" s="2">
        <v>275</v>
      </c>
      <c r="K3317" s="3">
        <f t="shared" si="51"/>
        <v>16500.000000000004</v>
      </c>
      <c r="L3317" s="3">
        <v>10725.000000000002</v>
      </c>
    </row>
    <row r="3318" spans="1:12" x14ac:dyDescent="0.25">
      <c r="A3318" t="s">
        <v>11</v>
      </c>
      <c r="B3318">
        <v>1185732</v>
      </c>
      <c r="C3318" s="1">
        <v>44336</v>
      </c>
      <c r="D3318" t="s">
        <v>29</v>
      </c>
      <c r="E3318" t="s">
        <v>87</v>
      </c>
      <c r="F3318" t="s">
        <v>88</v>
      </c>
      <c r="G3318" t="s">
        <v>18</v>
      </c>
      <c r="H3318" t="s">
        <v>17</v>
      </c>
      <c r="I3318" s="3">
        <v>45</v>
      </c>
      <c r="J3318" s="2">
        <v>175</v>
      </c>
      <c r="K3318" s="3">
        <f t="shared" si="51"/>
        <v>7875</v>
      </c>
      <c r="L3318" s="3">
        <v>5118.75</v>
      </c>
    </row>
    <row r="3319" spans="1:12" x14ac:dyDescent="0.25">
      <c r="A3319" t="s">
        <v>11</v>
      </c>
      <c r="B3319">
        <v>1185732</v>
      </c>
      <c r="C3319" s="1">
        <v>44336</v>
      </c>
      <c r="D3319" t="s">
        <v>29</v>
      </c>
      <c r="E3319" t="s">
        <v>87</v>
      </c>
      <c r="F3319" t="s">
        <v>88</v>
      </c>
      <c r="G3319" t="s">
        <v>18</v>
      </c>
      <c r="H3319" t="s">
        <v>35</v>
      </c>
      <c r="I3319" s="3">
        <v>40</v>
      </c>
      <c r="J3319" s="2">
        <v>150</v>
      </c>
      <c r="K3319" s="3">
        <f t="shared" si="51"/>
        <v>6000</v>
      </c>
      <c r="L3319" s="3">
        <v>3900</v>
      </c>
    </row>
    <row r="3320" spans="1:12" x14ac:dyDescent="0.25">
      <c r="A3320" t="s">
        <v>11</v>
      </c>
      <c r="B3320">
        <v>1185732</v>
      </c>
      <c r="C3320" s="1">
        <v>44336</v>
      </c>
      <c r="D3320" t="s">
        <v>29</v>
      </c>
      <c r="E3320" t="s">
        <v>87</v>
      </c>
      <c r="F3320" t="s">
        <v>88</v>
      </c>
      <c r="G3320" t="s">
        <v>18</v>
      </c>
      <c r="H3320" t="s">
        <v>37</v>
      </c>
      <c r="I3320" s="3">
        <v>40</v>
      </c>
      <c r="J3320" s="2">
        <v>100</v>
      </c>
      <c r="K3320" s="3">
        <f t="shared" si="51"/>
        <v>4000</v>
      </c>
      <c r="L3320" s="3">
        <v>2600</v>
      </c>
    </row>
    <row r="3321" spans="1:12" x14ac:dyDescent="0.25">
      <c r="A3321" t="s">
        <v>11</v>
      </c>
      <c r="B3321">
        <v>1185732</v>
      </c>
      <c r="C3321" s="1">
        <v>44336</v>
      </c>
      <c r="D3321" t="s">
        <v>29</v>
      </c>
      <c r="E3321" t="s">
        <v>87</v>
      </c>
      <c r="F3321" t="s">
        <v>88</v>
      </c>
      <c r="G3321" t="s">
        <v>18</v>
      </c>
      <c r="H3321" t="s">
        <v>38</v>
      </c>
      <c r="I3321" s="3">
        <v>49.999999999999993</v>
      </c>
      <c r="J3321" s="2">
        <v>470</v>
      </c>
      <c r="K3321" s="3">
        <f t="shared" si="51"/>
        <v>23499.999999999996</v>
      </c>
      <c r="L3321" s="3">
        <v>14099.999999999996</v>
      </c>
    </row>
    <row r="3322" spans="1:12" x14ac:dyDescent="0.25">
      <c r="A3322" t="s">
        <v>26</v>
      </c>
      <c r="B3322">
        <v>1197831</v>
      </c>
      <c r="C3322" s="1">
        <v>44336</v>
      </c>
      <c r="D3322" t="s">
        <v>52</v>
      </c>
      <c r="E3322" t="s">
        <v>97</v>
      </c>
      <c r="F3322" t="s">
        <v>98</v>
      </c>
      <c r="G3322" t="s">
        <v>15</v>
      </c>
      <c r="H3322" t="s">
        <v>16</v>
      </c>
      <c r="I3322" s="3">
        <v>65</v>
      </c>
      <c r="J3322" s="2">
        <v>750</v>
      </c>
      <c r="K3322" s="3">
        <f t="shared" si="51"/>
        <v>48750</v>
      </c>
      <c r="L3322" s="3">
        <v>19499.999999999993</v>
      </c>
    </row>
    <row r="3323" spans="1:12" x14ac:dyDescent="0.25">
      <c r="A3323" t="s">
        <v>27</v>
      </c>
      <c r="B3323">
        <v>1189833</v>
      </c>
      <c r="C3323" s="1">
        <v>44336</v>
      </c>
      <c r="D3323" t="s">
        <v>12</v>
      </c>
      <c r="E3323" t="s">
        <v>13</v>
      </c>
      <c r="F3323" t="s">
        <v>28</v>
      </c>
      <c r="G3323" t="s">
        <v>15</v>
      </c>
      <c r="H3323" t="s">
        <v>17</v>
      </c>
      <c r="I3323" s="3">
        <v>42</v>
      </c>
      <c r="J3323" s="2">
        <v>264</v>
      </c>
      <c r="K3323" s="3">
        <f t="shared" si="51"/>
        <v>11088</v>
      </c>
      <c r="L3323" s="3">
        <v>7761.6</v>
      </c>
    </row>
    <row r="3324" spans="1:12" x14ac:dyDescent="0.25">
      <c r="A3324" t="s">
        <v>27</v>
      </c>
      <c r="B3324">
        <v>1189833</v>
      </c>
      <c r="C3324" s="1">
        <v>44336</v>
      </c>
      <c r="D3324" t="s">
        <v>12</v>
      </c>
      <c r="E3324" t="s">
        <v>13</v>
      </c>
      <c r="F3324" t="s">
        <v>28</v>
      </c>
      <c r="G3324" t="s">
        <v>41</v>
      </c>
      <c r="H3324" t="s">
        <v>17</v>
      </c>
      <c r="I3324" s="3">
        <v>54</v>
      </c>
      <c r="J3324" s="2">
        <v>215</v>
      </c>
      <c r="K3324" s="3">
        <f t="shared" si="51"/>
        <v>11610</v>
      </c>
      <c r="L3324" s="3">
        <v>7198.2</v>
      </c>
    </row>
    <row r="3325" spans="1:12" x14ac:dyDescent="0.25">
      <c r="A3325" t="s">
        <v>36</v>
      </c>
      <c r="B3325">
        <v>1185732</v>
      </c>
      <c r="C3325" s="1">
        <v>44336</v>
      </c>
      <c r="D3325" t="s">
        <v>12</v>
      </c>
      <c r="E3325" t="s">
        <v>24</v>
      </c>
      <c r="F3325" t="s">
        <v>25</v>
      </c>
      <c r="G3325" t="s">
        <v>41</v>
      </c>
      <c r="H3325" t="s">
        <v>37</v>
      </c>
      <c r="I3325" s="3">
        <v>51</v>
      </c>
      <c r="J3325" s="2">
        <v>63</v>
      </c>
      <c r="K3325" s="3">
        <f t="shared" si="51"/>
        <v>3213</v>
      </c>
      <c r="L3325" s="3">
        <v>1992.06</v>
      </c>
    </row>
    <row r="3326" spans="1:12" x14ac:dyDescent="0.25">
      <c r="A3326" t="s">
        <v>36</v>
      </c>
      <c r="B3326">
        <v>1185732</v>
      </c>
      <c r="C3326" s="1">
        <v>44336</v>
      </c>
      <c r="D3326" t="s">
        <v>12</v>
      </c>
      <c r="E3326" t="s">
        <v>24</v>
      </c>
      <c r="F3326" t="s">
        <v>25</v>
      </c>
      <c r="G3326" t="s">
        <v>41</v>
      </c>
      <c r="H3326" t="s">
        <v>22</v>
      </c>
      <c r="I3326" s="3">
        <v>62</v>
      </c>
      <c r="J3326" s="2">
        <v>69</v>
      </c>
      <c r="K3326" s="3">
        <f t="shared" si="51"/>
        <v>4278</v>
      </c>
      <c r="L3326" s="3">
        <v>2652.3599999999997</v>
      </c>
    </row>
    <row r="3327" spans="1:12" x14ac:dyDescent="0.25">
      <c r="A3327" t="s">
        <v>36</v>
      </c>
      <c r="B3327">
        <v>1185732</v>
      </c>
      <c r="C3327" s="1">
        <v>44336</v>
      </c>
      <c r="D3327" t="s">
        <v>12</v>
      </c>
      <c r="E3327" t="s">
        <v>24</v>
      </c>
      <c r="F3327" t="s">
        <v>25</v>
      </c>
      <c r="G3327" t="s">
        <v>41</v>
      </c>
      <c r="H3327" t="s">
        <v>35</v>
      </c>
      <c r="I3327" s="3">
        <v>53</v>
      </c>
      <c r="J3327" s="2">
        <v>84</v>
      </c>
      <c r="K3327" s="3">
        <f t="shared" si="51"/>
        <v>4452</v>
      </c>
      <c r="L3327" s="3">
        <v>2671.2</v>
      </c>
    </row>
    <row r="3328" spans="1:12" x14ac:dyDescent="0.25">
      <c r="A3328" t="s">
        <v>36</v>
      </c>
      <c r="B3328">
        <v>1185732</v>
      </c>
      <c r="C3328" s="1">
        <v>44336</v>
      </c>
      <c r="D3328" t="s">
        <v>12</v>
      </c>
      <c r="E3328" t="s">
        <v>24</v>
      </c>
      <c r="F3328" t="s">
        <v>25</v>
      </c>
      <c r="G3328" t="s">
        <v>41</v>
      </c>
      <c r="H3328" t="s">
        <v>16</v>
      </c>
      <c r="I3328" s="3">
        <v>67</v>
      </c>
      <c r="J3328" s="2">
        <v>100</v>
      </c>
      <c r="K3328" s="3">
        <f t="shared" si="51"/>
        <v>6700</v>
      </c>
      <c r="L3328" s="3">
        <v>3953</v>
      </c>
    </row>
    <row r="3329" spans="1:12" x14ac:dyDescent="0.25">
      <c r="A3329" t="s">
        <v>11</v>
      </c>
      <c r="B3329">
        <v>1185732</v>
      </c>
      <c r="C3329" s="1">
        <v>44336</v>
      </c>
      <c r="D3329" t="s">
        <v>29</v>
      </c>
      <c r="E3329" t="s">
        <v>87</v>
      </c>
      <c r="F3329" t="s">
        <v>88</v>
      </c>
      <c r="G3329" t="s">
        <v>41</v>
      </c>
      <c r="H3329" t="s">
        <v>16</v>
      </c>
      <c r="I3329" s="3">
        <v>52</v>
      </c>
      <c r="J3329" s="2">
        <v>63</v>
      </c>
      <c r="K3329" s="3">
        <f t="shared" si="51"/>
        <v>3276</v>
      </c>
      <c r="L3329" s="3">
        <v>1932.8400000000001</v>
      </c>
    </row>
    <row r="3330" spans="1:12" x14ac:dyDescent="0.25">
      <c r="A3330" t="s">
        <v>11</v>
      </c>
      <c r="B3330">
        <v>1185732</v>
      </c>
      <c r="C3330" s="1">
        <v>44336</v>
      </c>
      <c r="D3330" t="s">
        <v>29</v>
      </c>
      <c r="E3330" t="s">
        <v>87</v>
      </c>
      <c r="F3330" t="s">
        <v>88</v>
      </c>
      <c r="G3330" t="s">
        <v>41</v>
      </c>
      <c r="H3330" t="s">
        <v>22</v>
      </c>
      <c r="I3330" s="3">
        <v>49</v>
      </c>
      <c r="J3330" s="2">
        <v>36</v>
      </c>
      <c r="K3330" s="3">
        <f t="shared" si="51"/>
        <v>1764</v>
      </c>
      <c r="L3330" s="3">
        <v>1023.12</v>
      </c>
    </row>
    <row r="3331" spans="1:12" x14ac:dyDescent="0.25">
      <c r="A3331" t="s">
        <v>36</v>
      </c>
      <c r="B3331">
        <v>1185732</v>
      </c>
      <c r="C3331" s="1">
        <v>44336</v>
      </c>
      <c r="D3331" t="s">
        <v>12</v>
      </c>
      <c r="E3331" t="s">
        <v>24</v>
      </c>
      <c r="F3331" t="s">
        <v>25</v>
      </c>
      <c r="G3331" t="s">
        <v>41</v>
      </c>
      <c r="H3331" t="s">
        <v>17</v>
      </c>
      <c r="I3331" s="3">
        <v>56</v>
      </c>
      <c r="J3331" s="2">
        <v>72</v>
      </c>
      <c r="K3331" s="3">
        <f t="shared" ref="K3331:K3394" si="52">I3331*J3331</f>
        <v>4032</v>
      </c>
      <c r="L3331" s="3">
        <v>2217.5999999999995</v>
      </c>
    </row>
    <row r="3332" spans="1:12" x14ac:dyDescent="0.25">
      <c r="A3332" t="s">
        <v>11</v>
      </c>
      <c r="B3332">
        <v>1185732</v>
      </c>
      <c r="C3332" s="1">
        <v>44336</v>
      </c>
      <c r="D3332" t="s">
        <v>29</v>
      </c>
      <c r="E3332" t="s">
        <v>87</v>
      </c>
      <c r="F3332" t="s">
        <v>88</v>
      </c>
      <c r="G3332" t="s">
        <v>41</v>
      </c>
      <c r="H3332" t="s">
        <v>17</v>
      </c>
      <c r="I3332" s="3">
        <v>42</v>
      </c>
      <c r="J3332" s="2">
        <v>47</v>
      </c>
      <c r="K3332" s="3">
        <f t="shared" si="52"/>
        <v>1974</v>
      </c>
      <c r="L3332" s="3">
        <v>1065.96</v>
      </c>
    </row>
    <row r="3333" spans="1:12" x14ac:dyDescent="0.25">
      <c r="A3333" t="s">
        <v>11</v>
      </c>
      <c r="B3333">
        <v>1185732</v>
      </c>
      <c r="C3333" s="1">
        <v>44336</v>
      </c>
      <c r="D3333" t="s">
        <v>29</v>
      </c>
      <c r="E3333" t="s">
        <v>87</v>
      </c>
      <c r="F3333" t="s">
        <v>88</v>
      </c>
      <c r="G3333" t="s">
        <v>41</v>
      </c>
      <c r="H3333" t="s">
        <v>35</v>
      </c>
      <c r="I3333" s="3">
        <v>36</v>
      </c>
      <c r="J3333" s="2">
        <v>38</v>
      </c>
      <c r="K3333" s="3">
        <f t="shared" si="52"/>
        <v>1368</v>
      </c>
      <c r="L3333" s="3">
        <v>711.36</v>
      </c>
    </row>
    <row r="3334" spans="1:12" x14ac:dyDescent="0.25">
      <c r="A3334" t="s">
        <v>11</v>
      </c>
      <c r="B3334">
        <v>1185732</v>
      </c>
      <c r="C3334" s="1">
        <v>44336</v>
      </c>
      <c r="D3334" t="s">
        <v>29</v>
      </c>
      <c r="E3334" t="s">
        <v>87</v>
      </c>
      <c r="F3334" t="s">
        <v>88</v>
      </c>
      <c r="G3334" t="s">
        <v>41</v>
      </c>
      <c r="H3334" t="s">
        <v>37</v>
      </c>
      <c r="I3334" s="3">
        <v>37</v>
      </c>
      <c r="J3334" s="2">
        <v>30</v>
      </c>
      <c r="K3334" s="3">
        <f t="shared" si="52"/>
        <v>1110</v>
      </c>
      <c r="L3334" s="3">
        <v>577.20000000000005</v>
      </c>
    </row>
    <row r="3335" spans="1:12" x14ac:dyDescent="0.25">
      <c r="A3335" t="s">
        <v>36</v>
      </c>
      <c r="B3335">
        <v>1185732</v>
      </c>
      <c r="C3335" s="1">
        <v>44336</v>
      </c>
      <c r="D3335" t="s">
        <v>12</v>
      </c>
      <c r="E3335" t="s">
        <v>24</v>
      </c>
      <c r="F3335" t="s">
        <v>25</v>
      </c>
      <c r="G3335" t="s">
        <v>41</v>
      </c>
      <c r="H3335" t="s">
        <v>38</v>
      </c>
      <c r="I3335" s="3">
        <v>59</v>
      </c>
      <c r="J3335" s="2">
        <v>160</v>
      </c>
      <c r="K3335" s="3">
        <f t="shared" si="52"/>
        <v>9440</v>
      </c>
      <c r="L3335" s="3">
        <v>4720</v>
      </c>
    </row>
    <row r="3336" spans="1:12" x14ac:dyDescent="0.25">
      <c r="A3336" t="s">
        <v>11</v>
      </c>
      <c r="B3336">
        <v>1185732</v>
      </c>
      <c r="C3336" s="1">
        <v>44336</v>
      </c>
      <c r="D3336" t="s">
        <v>29</v>
      </c>
      <c r="E3336" t="s">
        <v>87</v>
      </c>
      <c r="F3336" t="s">
        <v>88</v>
      </c>
      <c r="G3336" t="s">
        <v>41</v>
      </c>
      <c r="H3336" t="s">
        <v>38</v>
      </c>
      <c r="I3336" s="3">
        <v>49</v>
      </c>
      <c r="J3336" s="2">
        <v>118</v>
      </c>
      <c r="K3336" s="3">
        <f t="shared" si="52"/>
        <v>5782</v>
      </c>
      <c r="L3336" s="3">
        <v>2775.3599999999997</v>
      </c>
    </row>
    <row r="3337" spans="1:12" x14ac:dyDescent="0.25">
      <c r="A3337" t="s">
        <v>26</v>
      </c>
      <c r="B3337">
        <v>1197831</v>
      </c>
      <c r="C3337" s="1">
        <v>44336</v>
      </c>
      <c r="D3337" t="s">
        <v>52</v>
      </c>
      <c r="E3337" t="s">
        <v>97</v>
      </c>
      <c r="F3337" t="s">
        <v>98</v>
      </c>
      <c r="G3337" t="s">
        <v>15</v>
      </c>
      <c r="H3337" t="s">
        <v>16</v>
      </c>
      <c r="I3337" s="3">
        <v>49</v>
      </c>
      <c r="J3337" s="2">
        <v>225</v>
      </c>
      <c r="K3337" s="3">
        <f t="shared" si="52"/>
        <v>11025</v>
      </c>
      <c r="L3337" s="3">
        <v>4079.2499999999991</v>
      </c>
    </row>
    <row r="3338" spans="1:12" x14ac:dyDescent="0.25">
      <c r="A3338" t="s">
        <v>26</v>
      </c>
      <c r="B3338">
        <v>1197831</v>
      </c>
      <c r="C3338" s="1">
        <v>44336</v>
      </c>
      <c r="D3338" t="s">
        <v>52</v>
      </c>
      <c r="E3338" t="s">
        <v>97</v>
      </c>
      <c r="F3338" t="s">
        <v>98</v>
      </c>
      <c r="G3338" t="s">
        <v>41</v>
      </c>
      <c r="H3338" t="s">
        <v>16</v>
      </c>
      <c r="I3338" s="3">
        <v>61</v>
      </c>
      <c r="J3338" s="2">
        <v>225</v>
      </c>
      <c r="K3338" s="3">
        <f t="shared" si="52"/>
        <v>13725</v>
      </c>
      <c r="L3338" s="3">
        <v>3568.4999999999982</v>
      </c>
    </row>
    <row r="3339" spans="1:12" x14ac:dyDescent="0.25">
      <c r="A3339" t="s">
        <v>27</v>
      </c>
      <c r="B3339">
        <v>1189833</v>
      </c>
      <c r="C3339" s="1">
        <v>44337</v>
      </c>
      <c r="D3339" t="s">
        <v>12</v>
      </c>
      <c r="E3339" t="s">
        <v>13</v>
      </c>
      <c r="F3339" t="s">
        <v>28</v>
      </c>
      <c r="G3339" t="s">
        <v>15</v>
      </c>
      <c r="H3339" t="s">
        <v>35</v>
      </c>
      <c r="I3339" s="3">
        <v>50</v>
      </c>
      <c r="J3339" s="2">
        <v>675</v>
      </c>
      <c r="K3339" s="3">
        <f t="shared" si="52"/>
        <v>33750</v>
      </c>
      <c r="L3339" s="3">
        <v>20250</v>
      </c>
    </row>
    <row r="3340" spans="1:12" x14ac:dyDescent="0.25">
      <c r="A3340" t="s">
        <v>19</v>
      </c>
      <c r="B3340">
        <v>1185732</v>
      </c>
      <c r="C3340" s="1">
        <v>44337</v>
      </c>
      <c r="D3340" t="s">
        <v>52</v>
      </c>
      <c r="E3340" t="s">
        <v>97</v>
      </c>
      <c r="F3340" t="s">
        <v>98</v>
      </c>
      <c r="G3340" t="s">
        <v>15</v>
      </c>
      <c r="H3340" t="s">
        <v>38</v>
      </c>
      <c r="I3340" s="3">
        <v>35</v>
      </c>
      <c r="J3340" s="2">
        <v>425</v>
      </c>
      <c r="K3340" s="3">
        <f t="shared" si="52"/>
        <v>14875</v>
      </c>
      <c r="L3340" s="3">
        <v>8925</v>
      </c>
    </row>
    <row r="3341" spans="1:12" x14ac:dyDescent="0.25">
      <c r="A3341" t="s">
        <v>19</v>
      </c>
      <c r="B3341">
        <v>1185732</v>
      </c>
      <c r="C3341" s="1">
        <v>44337</v>
      </c>
      <c r="D3341" t="s">
        <v>52</v>
      </c>
      <c r="E3341" t="s">
        <v>97</v>
      </c>
      <c r="F3341" t="s">
        <v>98</v>
      </c>
      <c r="G3341" t="s">
        <v>15</v>
      </c>
      <c r="H3341" t="s">
        <v>38</v>
      </c>
      <c r="I3341" s="3">
        <v>27</v>
      </c>
      <c r="J3341" s="2">
        <v>140</v>
      </c>
      <c r="K3341" s="3">
        <f t="shared" si="52"/>
        <v>3780</v>
      </c>
      <c r="L3341" s="3">
        <v>2116.8000000000002</v>
      </c>
    </row>
    <row r="3342" spans="1:12" x14ac:dyDescent="0.25">
      <c r="A3342" t="s">
        <v>27</v>
      </c>
      <c r="B3342">
        <v>1189833</v>
      </c>
      <c r="C3342" s="1">
        <v>44337</v>
      </c>
      <c r="D3342" t="s">
        <v>12</v>
      </c>
      <c r="E3342" t="s">
        <v>13</v>
      </c>
      <c r="F3342" t="s">
        <v>28</v>
      </c>
      <c r="G3342" t="s">
        <v>15</v>
      </c>
      <c r="H3342" t="s">
        <v>35</v>
      </c>
      <c r="I3342" s="3">
        <v>35</v>
      </c>
      <c r="J3342" s="2">
        <v>223</v>
      </c>
      <c r="K3342" s="3">
        <f t="shared" si="52"/>
        <v>7805</v>
      </c>
      <c r="L3342" s="3">
        <v>4214.7</v>
      </c>
    </row>
    <row r="3343" spans="1:12" x14ac:dyDescent="0.25">
      <c r="A3343" t="s">
        <v>27</v>
      </c>
      <c r="B3343">
        <v>1189833</v>
      </c>
      <c r="C3343" s="1">
        <v>44337</v>
      </c>
      <c r="D3343" t="s">
        <v>12</v>
      </c>
      <c r="E3343" t="s">
        <v>13</v>
      </c>
      <c r="F3343" t="s">
        <v>28</v>
      </c>
      <c r="G3343" t="s">
        <v>41</v>
      </c>
      <c r="H3343" t="s">
        <v>35</v>
      </c>
      <c r="I3343" s="3">
        <v>47</v>
      </c>
      <c r="J3343" s="2">
        <v>169</v>
      </c>
      <c r="K3343" s="3">
        <f t="shared" si="52"/>
        <v>7943</v>
      </c>
      <c r="L3343" s="3">
        <v>3971.5</v>
      </c>
    </row>
    <row r="3344" spans="1:12" x14ac:dyDescent="0.25">
      <c r="A3344" t="s">
        <v>19</v>
      </c>
      <c r="B3344">
        <v>1185732</v>
      </c>
      <c r="C3344" s="1">
        <v>44337</v>
      </c>
      <c r="D3344" t="s">
        <v>52</v>
      </c>
      <c r="E3344" t="s">
        <v>97</v>
      </c>
      <c r="F3344" t="s">
        <v>98</v>
      </c>
      <c r="G3344" t="s">
        <v>41</v>
      </c>
      <c r="H3344" t="s">
        <v>38</v>
      </c>
      <c r="I3344" s="3">
        <v>32</v>
      </c>
      <c r="J3344" s="2">
        <v>119</v>
      </c>
      <c r="K3344" s="3">
        <f t="shared" si="52"/>
        <v>3808</v>
      </c>
      <c r="L3344" s="3">
        <v>1904</v>
      </c>
    </row>
    <row r="3345" spans="1:12" x14ac:dyDescent="0.25">
      <c r="A3345" t="s">
        <v>27</v>
      </c>
      <c r="B3345">
        <v>1189833</v>
      </c>
      <c r="C3345" s="1">
        <v>44338</v>
      </c>
      <c r="D3345" t="s">
        <v>12</v>
      </c>
      <c r="E3345" t="s">
        <v>13</v>
      </c>
      <c r="F3345" t="s">
        <v>28</v>
      </c>
      <c r="G3345" t="s">
        <v>15</v>
      </c>
      <c r="H3345" t="s">
        <v>37</v>
      </c>
      <c r="I3345" s="3">
        <v>50</v>
      </c>
      <c r="J3345" s="2">
        <v>650</v>
      </c>
      <c r="K3345" s="3">
        <f t="shared" si="52"/>
        <v>32500</v>
      </c>
      <c r="L3345" s="3">
        <v>21125</v>
      </c>
    </row>
    <row r="3346" spans="1:12" x14ac:dyDescent="0.25">
      <c r="A3346" t="s">
        <v>19</v>
      </c>
      <c r="B3346">
        <v>1185732</v>
      </c>
      <c r="C3346" s="1">
        <v>44338</v>
      </c>
      <c r="D3346" t="s">
        <v>52</v>
      </c>
      <c r="E3346" t="s">
        <v>97</v>
      </c>
      <c r="F3346" t="s">
        <v>98</v>
      </c>
      <c r="G3346" t="s">
        <v>15</v>
      </c>
      <c r="H3346" t="s">
        <v>17</v>
      </c>
      <c r="I3346" s="3">
        <v>35</v>
      </c>
      <c r="J3346" s="2">
        <v>225</v>
      </c>
      <c r="K3346" s="3">
        <f t="shared" si="52"/>
        <v>7875</v>
      </c>
      <c r="L3346" s="3">
        <v>5118.75</v>
      </c>
    </row>
    <row r="3347" spans="1:12" x14ac:dyDescent="0.25">
      <c r="A3347" t="s">
        <v>19</v>
      </c>
      <c r="B3347">
        <v>1185732</v>
      </c>
      <c r="C3347" s="1">
        <v>44338</v>
      </c>
      <c r="D3347" t="s">
        <v>52</v>
      </c>
      <c r="E3347" t="s">
        <v>97</v>
      </c>
      <c r="F3347" t="s">
        <v>98</v>
      </c>
      <c r="G3347" t="s">
        <v>15</v>
      </c>
      <c r="H3347" t="s">
        <v>17</v>
      </c>
      <c r="I3347" s="3">
        <v>23</v>
      </c>
      <c r="J3347" s="2">
        <v>70</v>
      </c>
      <c r="K3347" s="3">
        <f t="shared" si="52"/>
        <v>1610</v>
      </c>
      <c r="L3347" s="3">
        <v>949.90000000000009</v>
      </c>
    </row>
    <row r="3348" spans="1:12" x14ac:dyDescent="0.25">
      <c r="A3348" t="s">
        <v>27</v>
      </c>
      <c r="B3348">
        <v>1189833</v>
      </c>
      <c r="C3348" s="1">
        <v>44338</v>
      </c>
      <c r="D3348" t="s">
        <v>12</v>
      </c>
      <c r="E3348" t="s">
        <v>13</v>
      </c>
      <c r="F3348" t="s">
        <v>28</v>
      </c>
      <c r="G3348" t="s">
        <v>15</v>
      </c>
      <c r="H3348" t="s">
        <v>37</v>
      </c>
      <c r="I3348" s="3">
        <v>33</v>
      </c>
      <c r="J3348" s="2">
        <v>221</v>
      </c>
      <c r="K3348" s="3">
        <f t="shared" si="52"/>
        <v>7293</v>
      </c>
      <c r="L3348" s="3">
        <v>4229.9400000000005</v>
      </c>
    </row>
    <row r="3349" spans="1:12" x14ac:dyDescent="0.25">
      <c r="A3349" t="s">
        <v>27</v>
      </c>
      <c r="B3349">
        <v>1189833</v>
      </c>
      <c r="C3349" s="1">
        <v>44338</v>
      </c>
      <c r="D3349" t="s">
        <v>12</v>
      </c>
      <c r="E3349" t="s">
        <v>13</v>
      </c>
      <c r="F3349" t="s">
        <v>28</v>
      </c>
      <c r="G3349" t="s">
        <v>41</v>
      </c>
      <c r="H3349" t="s">
        <v>37</v>
      </c>
      <c r="I3349" s="3">
        <v>47</v>
      </c>
      <c r="J3349" s="2">
        <v>176</v>
      </c>
      <c r="K3349" s="3">
        <f t="shared" si="52"/>
        <v>8272</v>
      </c>
      <c r="L3349" s="3">
        <v>4549.6000000000004</v>
      </c>
    </row>
    <row r="3350" spans="1:12" x14ac:dyDescent="0.25">
      <c r="A3350" t="s">
        <v>19</v>
      </c>
      <c r="B3350">
        <v>1185732</v>
      </c>
      <c r="C3350" s="1">
        <v>44338</v>
      </c>
      <c r="D3350" t="s">
        <v>52</v>
      </c>
      <c r="E3350" t="s">
        <v>97</v>
      </c>
      <c r="F3350" t="s">
        <v>98</v>
      </c>
      <c r="G3350" t="s">
        <v>41</v>
      </c>
      <c r="H3350" t="s">
        <v>17</v>
      </c>
      <c r="I3350" s="3">
        <v>32</v>
      </c>
      <c r="J3350" s="2">
        <v>56</v>
      </c>
      <c r="K3350" s="3">
        <f t="shared" si="52"/>
        <v>1792</v>
      </c>
      <c r="L3350" s="3">
        <v>913.92000000000007</v>
      </c>
    </row>
    <row r="3351" spans="1:12" x14ac:dyDescent="0.25">
      <c r="A3351" t="s">
        <v>36</v>
      </c>
      <c r="B3351">
        <v>1185732</v>
      </c>
      <c r="C3351" s="1">
        <v>44339</v>
      </c>
      <c r="D3351" t="s">
        <v>32</v>
      </c>
      <c r="E3351" t="s">
        <v>120</v>
      </c>
      <c r="F3351" t="s">
        <v>121</v>
      </c>
      <c r="G3351" t="s">
        <v>41</v>
      </c>
      <c r="H3351" t="s">
        <v>17</v>
      </c>
      <c r="I3351" s="3">
        <v>45.000000000000007</v>
      </c>
      <c r="J3351" s="2">
        <v>225</v>
      </c>
      <c r="K3351" s="3">
        <f t="shared" si="52"/>
        <v>10125.000000000002</v>
      </c>
      <c r="L3351" s="3">
        <v>6581.2500000000018</v>
      </c>
    </row>
    <row r="3352" spans="1:12" x14ac:dyDescent="0.25">
      <c r="A3352" t="s">
        <v>19</v>
      </c>
      <c r="B3352">
        <v>1185732</v>
      </c>
      <c r="C3352" s="1">
        <v>44339</v>
      </c>
      <c r="D3352" t="s">
        <v>52</v>
      </c>
      <c r="E3352" t="s">
        <v>97</v>
      </c>
      <c r="F3352" t="s">
        <v>98</v>
      </c>
      <c r="G3352" t="s">
        <v>15</v>
      </c>
      <c r="H3352" t="s">
        <v>35</v>
      </c>
      <c r="I3352" s="3">
        <v>25</v>
      </c>
      <c r="J3352" s="2">
        <v>225</v>
      </c>
      <c r="K3352" s="3">
        <f t="shared" si="52"/>
        <v>5625</v>
      </c>
      <c r="L3352" s="3">
        <v>3656.25</v>
      </c>
    </row>
    <row r="3353" spans="1:12" x14ac:dyDescent="0.25">
      <c r="A3353" t="s">
        <v>36</v>
      </c>
      <c r="B3353">
        <v>1185732</v>
      </c>
      <c r="C3353" s="1">
        <v>44339</v>
      </c>
      <c r="D3353" t="s">
        <v>32</v>
      </c>
      <c r="E3353" t="s">
        <v>120</v>
      </c>
      <c r="F3353" t="s">
        <v>121</v>
      </c>
      <c r="G3353" t="s">
        <v>41</v>
      </c>
      <c r="H3353" t="s">
        <v>22</v>
      </c>
      <c r="I3353" s="3">
        <v>50</v>
      </c>
      <c r="J3353" s="2">
        <v>150</v>
      </c>
      <c r="K3353" s="3">
        <f t="shared" si="52"/>
        <v>7500</v>
      </c>
      <c r="L3353" s="3">
        <v>4875</v>
      </c>
    </row>
    <row r="3354" spans="1:12" x14ac:dyDescent="0.25">
      <c r="A3354" t="s">
        <v>36</v>
      </c>
      <c r="B3354">
        <v>1185732</v>
      </c>
      <c r="C3354" s="1">
        <v>44339</v>
      </c>
      <c r="D3354" t="s">
        <v>32</v>
      </c>
      <c r="E3354" t="s">
        <v>120</v>
      </c>
      <c r="F3354" t="s">
        <v>121</v>
      </c>
      <c r="G3354" t="s">
        <v>41</v>
      </c>
      <c r="H3354" t="s">
        <v>38</v>
      </c>
      <c r="I3354" s="3">
        <v>50</v>
      </c>
      <c r="J3354" s="2">
        <v>520</v>
      </c>
      <c r="K3354" s="3">
        <f t="shared" si="52"/>
        <v>26000</v>
      </c>
      <c r="L3354" s="3">
        <v>15600</v>
      </c>
    </row>
    <row r="3355" spans="1:12" x14ac:dyDescent="0.25">
      <c r="A3355" t="s">
        <v>36</v>
      </c>
      <c r="B3355">
        <v>1185732</v>
      </c>
      <c r="C3355" s="1">
        <v>44339</v>
      </c>
      <c r="D3355" t="s">
        <v>32</v>
      </c>
      <c r="E3355" t="s">
        <v>120</v>
      </c>
      <c r="F3355" t="s">
        <v>121</v>
      </c>
      <c r="G3355" t="s">
        <v>41</v>
      </c>
      <c r="H3355" t="s">
        <v>35</v>
      </c>
      <c r="I3355" s="3">
        <v>40</v>
      </c>
      <c r="J3355" s="2">
        <v>200</v>
      </c>
      <c r="K3355" s="3">
        <f t="shared" si="52"/>
        <v>8000</v>
      </c>
      <c r="L3355" s="3">
        <v>4800</v>
      </c>
    </row>
    <row r="3356" spans="1:12" x14ac:dyDescent="0.25">
      <c r="A3356" t="s">
        <v>36</v>
      </c>
      <c r="B3356">
        <v>1185732</v>
      </c>
      <c r="C3356" s="1">
        <v>44339</v>
      </c>
      <c r="D3356" t="s">
        <v>32</v>
      </c>
      <c r="E3356" t="s">
        <v>120</v>
      </c>
      <c r="F3356" t="s">
        <v>121</v>
      </c>
      <c r="G3356" t="s">
        <v>41</v>
      </c>
      <c r="H3356" t="s">
        <v>37</v>
      </c>
      <c r="I3356" s="3">
        <v>40</v>
      </c>
      <c r="J3356" s="2">
        <v>125</v>
      </c>
      <c r="K3356" s="3">
        <f t="shared" si="52"/>
        <v>5000</v>
      </c>
      <c r="L3356" s="3">
        <v>3000</v>
      </c>
    </row>
    <row r="3357" spans="1:12" x14ac:dyDescent="0.25">
      <c r="A3357" t="s">
        <v>36</v>
      </c>
      <c r="B3357">
        <v>1185732</v>
      </c>
      <c r="C3357" s="1">
        <v>44339</v>
      </c>
      <c r="D3357" t="s">
        <v>32</v>
      </c>
      <c r="E3357" t="s">
        <v>120</v>
      </c>
      <c r="F3357" t="s">
        <v>121</v>
      </c>
      <c r="G3357" t="s">
        <v>41</v>
      </c>
      <c r="H3357" t="s">
        <v>16</v>
      </c>
      <c r="I3357" s="3">
        <v>55.000000000000007</v>
      </c>
      <c r="J3357" s="2">
        <v>275</v>
      </c>
      <c r="K3357" s="3">
        <f t="shared" si="52"/>
        <v>15125.000000000002</v>
      </c>
      <c r="L3357" s="3">
        <v>9075.0000000000018</v>
      </c>
    </row>
    <row r="3358" spans="1:12" x14ac:dyDescent="0.25">
      <c r="A3358" t="s">
        <v>27</v>
      </c>
      <c r="B3358">
        <v>1189833</v>
      </c>
      <c r="C3358" s="1">
        <v>44339</v>
      </c>
      <c r="D3358" t="s">
        <v>12</v>
      </c>
      <c r="E3358" t="s">
        <v>13</v>
      </c>
      <c r="F3358" t="s">
        <v>28</v>
      </c>
      <c r="G3358" t="s">
        <v>15</v>
      </c>
      <c r="H3358" t="s">
        <v>22</v>
      </c>
      <c r="I3358" s="3">
        <v>60</v>
      </c>
      <c r="J3358" s="2">
        <v>600</v>
      </c>
      <c r="K3358" s="3">
        <f t="shared" si="52"/>
        <v>36000</v>
      </c>
      <c r="L3358" s="3">
        <v>16199.999999999996</v>
      </c>
    </row>
    <row r="3359" spans="1:12" x14ac:dyDescent="0.25">
      <c r="A3359" t="s">
        <v>19</v>
      </c>
      <c r="B3359">
        <v>1185732</v>
      </c>
      <c r="C3359" s="1">
        <v>44339</v>
      </c>
      <c r="D3359" t="s">
        <v>52</v>
      </c>
      <c r="E3359" t="s">
        <v>97</v>
      </c>
      <c r="F3359" t="s">
        <v>98</v>
      </c>
      <c r="G3359" t="s">
        <v>15</v>
      </c>
      <c r="H3359" t="s">
        <v>35</v>
      </c>
      <c r="I3359" s="3">
        <v>19</v>
      </c>
      <c r="J3359" s="2">
        <v>74</v>
      </c>
      <c r="K3359" s="3">
        <f t="shared" si="52"/>
        <v>1406</v>
      </c>
      <c r="L3359" s="3">
        <v>857.66000000000008</v>
      </c>
    </row>
    <row r="3360" spans="1:12" x14ac:dyDescent="0.25">
      <c r="A3360" t="s">
        <v>36</v>
      </c>
      <c r="B3360">
        <v>1185732</v>
      </c>
      <c r="C3360" s="1">
        <v>44339</v>
      </c>
      <c r="D3360" t="s">
        <v>32</v>
      </c>
      <c r="E3360" t="s">
        <v>120</v>
      </c>
      <c r="F3360" t="s">
        <v>121</v>
      </c>
      <c r="G3360" t="s">
        <v>41</v>
      </c>
      <c r="H3360" t="s">
        <v>22</v>
      </c>
      <c r="I3360" s="3">
        <v>46</v>
      </c>
      <c r="J3360" s="2">
        <v>42</v>
      </c>
      <c r="K3360" s="3">
        <f t="shared" si="52"/>
        <v>1932</v>
      </c>
      <c r="L3360" s="3">
        <v>1043.2800000000002</v>
      </c>
    </row>
    <row r="3361" spans="1:12" x14ac:dyDescent="0.25">
      <c r="A3361" t="s">
        <v>19</v>
      </c>
      <c r="B3361">
        <v>1185732</v>
      </c>
      <c r="C3361" s="1">
        <v>44339</v>
      </c>
      <c r="D3361" t="s">
        <v>52</v>
      </c>
      <c r="E3361" t="s">
        <v>97</v>
      </c>
      <c r="F3361" t="s">
        <v>98</v>
      </c>
      <c r="G3361" t="s">
        <v>41</v>
      </c>
      <c r="H3361" t="s">
        <v>35</v>
      </c>
      <c r="I3361" s="3">
        <v>24</v>
      </c>
      <c r="J3361" s="2">
        <v>65</v>
      </c>
      <c r="K3361" s="3">
        <f t="shared" si="52"/>
        <v>1560</v>
      </c>
      <c r="L3361" s="3">
        <v>811.2</v>
      </c>
    </row>
    <row r="3362" spans="1:12" x14ac:dyDescent="0.25">
      <c r="A3362" t="s">
        <v>36</v>
      </c>
      <c r="B3362">
        <v>1185732</v>
      </c>
      <c r="C3362" s="1">
        <v>44339</v>
      </c>
      <c r="D3362" t="s">
        <v>32</v>
      </c>
      <c r="E3362" t="s">
        <v>120</v>
      </c>
      <c r="F3362" t="s">
        <v>121</v>
      </c>
      <c r="G3362" t="s">
        <v>41</v>
      </c>
      <c r="H3362" t="s">
        <v>17</v>
      </c>
      <c r="I3362" s="3">
        <v>42</v>
      </c>
      <c r="J3362" s="2">
        <v>68</v>
      </c>
      <c r="K3362" s="3">
        <f t="shared" si="52"/>
        <v>2856</v>
      </c>
      <c r="L3362" s="3">
        <v>1428</v>
      </c>
    </row>
    <row r="3363" spans="1:12" x14ac:dyDescent="0.25">
      <c r="A3363" t="s">
        <v>36</v>
      </c>
      <c r="B3363">
        <v>1185732</v>
      </c>
      <c r="C3363" s="1">
        <v>44339</v>
      </c>
      <c r="D3363" t="s">
        <v>32</v>
      </c>
      <c r="E3363" t="s">
        <v>120</v>
      </c>
      <c r="F3363" t="s">
        <v>121</v>
      </c>
      <c r="G3363" t="s">
        <v>41</v>
      </c>
      <c r="H3363" t="s">
        <v>38</v>
      </c>
      <c r="I3363" s="3">
        <v>49</v>
      </c>
      <c r="J3363" s="2">
        <v>156</v>
      </c>
      <c r="K3363" s="3">
        <f t="shared" si="52"/>
        <v>7644</v>
      </c>
      <c r="L3363" s="3">
        <v>3745.56</v>
      </c>
    </row>
    <row r="3364" spans="1:12" x14ac:dyDescent="0.25">
      <c r="A3364" t="s">
        <v>36</v>
      </c>
      <c r="B3364">
        <v>1185732</v>
      </c>
      <c r="C3364" s="1">
        <v>44339</v>
      </c>
      <c r="D3364" t="s">
        <v>32</v>
      </c>
      <c r="E3364" t="s">
        <v>120</v>
      </c>
      <c r="F3364" t="s">
        <v>121</v>
      </c>
      <c r="G3364" t="s">
        <v>41</v>
      </c>
      <c r="H3364" t="s">
        <v>16</v>
      </c>
      <c r="I3364" s="3">
        <v>51</v>
      </c>
      <c r="J3364" s="2">
        <v>83</v>
      </c>
      <c r="K3364" s="3">
        <f t="shared" si="52"/>
        <v>4233</v>
      </c>
      <c r="L3364" s="3">
        <v>2074.17</v>
      </c>
    </row>
    <row r="3365" spans="1:12" x14ac:dyDescent="0.25">
      <c r="A3365" t="s">
        <v>36</v>
      </c>
      <c r="B3365">
        <v>1185732</v>
      </c>
      <c r="C3365" s="1">
        <v>44339</v>
      </c>
      <c r="D3365" t="s">
        <v>32</v>
      </c>
      <c r="E3365" t="s">
        <v>120</v>
      </c>
      <c r="F3365" t="s">
        <v>121</v>
      </c>
      <c r="G3365" t="s">
        <v>41</v>
      </c>
      <c r="H3365" t="s">
        <v>35</v>
      </c>
      <c r="I3365" s="3">
        <v>38</v>
      </c>
      <c r="J3365" s="2">
        <v>58</v>
      </c>
      <c r="K3365" s="3">
        <f t="shared" si="52"/>
        <v>2204</v>
      </c>
      <c r="L3365" s="3">
        <v>1057.92</v>
      </c>
    </row>
    <row r="3366" spans="1:12" x14ac:dyDescent="0.25">
      <c r="A3366" t="s">
        <v>36</v>
      </c>
      <c r="B3366">
        <v>1185732</v>
      </c>
      <c r="C3366" s="1">
        <v>44339</v>
      </c>
      <c r="D3366" t="s">
        <v>32</v>
      </c>
      <c r="E3366" t="s">
        <v>120</v>
      </c>
      <c r="F3366" t="s">
        <v>121</v>
      </c>
      <c r="G3366" t="s">
        <v>41</v>
      </c>
      <c r="H3366" t="s">
        <v>37</v>
      </c>
      <c r="I3366" s="3">
        <v>38</v>
      </c>
      <c r="J3366" s="2">
        <v>38</v>
      </c>
      <c r="K3366" s="3">
        <f t="shared" si="52"/>
        <v>1444</v>
      </c>
      <c r="L3366" s="3">
        <v>664.2399999999999</v>
      </c>
    </row>
    <row r="3367" spans="1:12" x14ac:dyDescent="0.25">
      <c r="A3367" t="s">
        <v>27</v>
      </c>
      <c r="B3367">
        <v>1189833</v>
      </c>
      <c r="C3367" s="1">
        <v>44339</v>
      </c>
      <c r="D3367" t="s">
        <v>12</v>
      </c>
      <c r="E3367" t="s">
        <v>13</v>
      </c>
      <c r="F3367" t="s">
        <v>28</v>
      </c>
      <c r="G3367" t="s">
        <v>15</v>
      </c>
      <c r="H3367" t="s">
        <v>22</v>
      </c>
      <c r="I3367" s="3">
        <v>46</v>
      </c>
      <c r="J3367" s="2">
        <v>204</v>
      </c>
      <c r="K3367" s="3">
        <f t="shared" si="52"/>
        <v>9384</v>
      </c>
      <c r="L3367" s="3">
        <v>4035.119999999999</v>
      </c>
    </row>
    <row r="3368" spans="1:12" x14ac:dyDescent="0.25">
      <c r="A3368" t="s">
        <v>27</v>
      </c>
      <c r="B3368">
        <v>1189833</v>
      </c>
      <c r="C3368" s="1">
        <v>44339</v>
      </c>
      <c r="D3368" t="s">
        <v>12</v>
      </c>
      <c r="E3368" t="s">
        <v>13</v>
      </c>
      <c r="F3368" t="s">
        <v>28</v>
      </c>
      <c r="G3368" t="s">
        <v>41</v>
      </c>
      <c r="H3368" t="s">
        <v>22</v>
      </c>
      <c r="I3368" s="3">
        <v>55</v>
      </c>
      <c r="J3368" s="2">
        <v>174</v>
      </c>
      <c r="K3368" s="3">
        <f t="shared" si="52"/>
        <v>9570</v>
      </c>
      <c r="L3368" s="3">
        <v>2966.7</v>
      </c>
    </row>
    <row r="3369" spans="1:12" x14ac:dyDescent="0.25">
      <c r="A3369" t="s">
        <v>27</v>
      </c>
      <c r="B3369">
        <v>1189833</v>
      </c>
      <c r="C3369" s="1">
        <v>44340</v>
      </c>
      <c r="D3369" t="s">
        <v>12</v>
      </c>
      <c r="E3369" t="s">
        <v>13</v>
      </c>
      <c r="F3369" t="s">
        <v>28</v>
      </c>
      <c r="G3369" t="s">
        <v>15</v>
      </c>
      <c r="H3369" t="s">
        <v>16</v>
      </c>
      <c r="I3369" s="3">
        <v>65</v>
      </c>
      <c r="J3369" s="2">
        <v>700</v>
      </c>
      <c r="K3369" s="3">
        <f t="shared" si="52"/>
        <v>45500</v>
      </c>
      <c r="L3369" s="3">
        <v>36400</v>
      </c>
    </row>
    <row r="3370" spans="1:12" x14ac:dyDescent="0.25">
      <c r="A3370" t="s">
        <v>19</v>
      </c>
      <c r="B3370">
        <v>1128299</v>
      </c>
      <c r="C3370" s="1">
        <v>44340</v>
      </c>
      <c r="D3370" t="s">
        <v>12</v>
      </c>
      <c r="E3370" t="s">
        <v>39</v>
      </c>
      <c r="F3370" t="s">
        <v>40</v>
      </c>
      <c r="G3370" t="s">
        <v>41</v>
      </c>
      <c r="H3370" t="s">
        <v>16</v>
      </c>
      <c r="I3370" s="3">
        <v>70</v>
      </c>
      <c r="J3370" s="2">
        <v>375</v>
      </c>
      <c r="K3370" s="3">
        <f t="shared" si="52"/>
        <v>26250</v>
      </c>
      <c r="L3370" s="3">
        <v>19687.5</v>
      </c>
    </row>
    <row r="3371" spans="1:12" x14ac:dyDescent="0.25">
      <c r="A3371" t="s">
        <v>19</v>
      </c>
      <c r="B3371">
        <v>1128299</v>
      </c>
      <c r="C3371" s="1">
        <v>44340</v>
      </c>
      <c r="D3371" t="s">
        <v>12</v>
      </c>
      <c r="E3371" t="s">
        <v>39</v>
      </c>
      <c r="F3371" t="s">
        <v>40</v>
      </c>
      <c r="G3371" t="s">
        <v>41</v>
      </c>
      <c r="H3371" t="s">
        <v>22</v>
      </c>
      <c r="I3371" s="3">
        <v>55.000000000000007</v>
      </c>
      <c r="J3371" s="2">
        <v>200</v>
      </c>
      <c r="K3371" s="3">
        <f t="shared" si="52"/>
        <v>11000.000000000002</v>
      </c>
      <c r="L3371" s="3">
        <v>7700.0000000000018</v>
      </c>
    </row>
    <row r="3372" spans="1:12" x14ac:dyDescent="0.25">
      <c r="A3372" t="s">
        <v>19</v>
      </c>
      <c r="B3372">
        <v>1128299</v>
      </c>
      <c r="C3372" s="1">
        <v>44340</v>
      </c>
      <c r="D3372" t="s">
        <v>12</v>
      </c>
      <c r="E3372" t="s">
        <v>39</v>
      </c>
      <c r="F3372" t="s">
        <v>40</v>
      </c>
      <c r="G3372" t="s">
        <v>41</v>
      </c>
      <c r="H3372" t="s">
        <v>38</v>
      </c>
      <c r="I3372" s="3">
        <v>50</v>
      </c>
      <c r="J3372" s="2">
        <v>525</v>
      </c>
      <c r="K3372" s="3">
        <f t="shared" si="52"/>
        <v>26250</v>
      </c>
      <c r="L3372" s="3">
        <v>17062.5</v>
      </c>
    </row>
    <row r="3373" spans="1:12" x14ac:dyDescent="0.25">
      <c r="A3373" t="s">
        <v>19</v>
      </c>
      <c r="B3373">
        <v>1128299</v>
      </c>
      <c r="C3373" s="1">
        <v>44340</v>
      </c>
      <c r="D3373" t="s">
        <v>12</v>
      </c>
      <c r="E3373" t="s">
        <v>39</v>
      </c>
      <c r="F3373" t="s">
        <v>40</v>
      </c>
      <c r="G3373" t="s">
        <v>41</v>
      </c>
      <c r="H3373" t="s">
        <v>35</v>
      </c>
      <c r="I3373" s="3">
        <v>55.000000000000007</v>
      </c>
      <c r="J3373" s="2">
        <v>400</v>
      </c>
      <c r="K3373" s="3">
        <f t="shared" si="52"/>
        <v>22000.000000000004</v>
      </c>
      <c r="L3373" s="3">
        <v>14300.000000000004</v>
      </c>
    </row>
    <row r="3374" spans="1:12" x14ac:dyDescent="0.25">
      <c r="A3374" t="s">
        <v>19</v>
      </c>
      <c r="B3374">
        <v>1128299</v>
      </c>
      <c r="C3374" s="1">
        <v>44340</v>
      </c>
      <c r="D3374" t="s">
        <v>12</v>
      </c>
      <c r="E3374" t="s">
        <v>39</v>
      </c>
      <c r="F3374" t="s">
        <v>40</v>
      </c>
      <c r="G3374" t="s">
        <v>41</v>
      </c>
      <c r="H3374" t="s">
        <v>37</v>
      </c>
      <c r="I3374" s="3">
        <v>50</v>
      </c>
      <c r="J3374" s="2">
        <v>300</v>
      </c>
      <c r="K3374" s="3">
        <f t="shared" si="52"/>
        <v>15000</v>
      </c>
      <c r="L3374" s="3">
        <v>9750</v>
      </c>
    </row>
    <row r="3375" spans="1:12" x14ac:dyDescent="0.25">
      <c r="A3375" t="s">
        <v>19</v>
      </c>
      <c r="B3375">
        <v>1185732</v>
      </c>
      <c r="C3375" s="1">
        <v>44340</v>
      </c>
      <c r="D3375" t="s">
        <v>52</v>
      </c>
      <c r="E3375" t="s">
        <v>97</v>
      </c>
      <c r="F3375" t="s">
        <v>98</v>
      </c>
      <c r="G3375" t="s">
        <v>15</v>
      </c>
      <c r="H3375" t="s">
        <v>37</v>
      </c>
      <c r="I3375" s="3">
        <v>30.000000000000004</v>
      </c>
      <c r="J3375" s="2">
        <v>75</v>
      </c>
      <c r="K3375" s="3">
        <f t="shared" si="52"/>
        <v>2250.0000000000005</v>
      </c>
      <c r="L3375" s="3">
        <v>1350.0000000000002</v>
      </c>
    </row>
    <row r="3376" spans="1:12" x14ac:dyDescent="0.25">
      <c r="A3376" t="s">
        <v>19</v>
      </c>
      <c r="B3376">
        <v>1128299</v>
      </c>
      <c r="C3376" s="1">
        <v>44340</v>
      </c>
      <c r="D3376" t="s">
        <v>12</v>
      </c>
      <c r="E3376" t="s">
        <v>39</v>
      </c>
      <c r="F3376" t="s">
        <v>40</v>
      </c>
      <c r="G3376" t="s">
        <v>41</v>
      </c>
      <c r="H3376" t="s">
        <v>17</v>
      </c>
      <c r="I3376" s="3">
        <v>55.000000000000007</v>
      </c>
      <c r="J3376" s="2">
        <v>375</v>
      </c>
      <c r="K3376" s="3">
        <f t="shared" si="52"/>
        <v>20625.000000000004</v>
      </c>
      <c r="L3376" s="3">
        <v>12375.000000000002</v>
      </c>
    </row>
    <row r="3377" spans="1:12" x14ac:dyDescent="0.25">
      <c r="A3377" t="s">
        <v>27</v>
      </c>
      <c r="B3377">
        <v>1189833</v>
      </c>
      <c r="C3377" s="1">
        <v>44340</v>
      </c>
      <c r="D3377" t="s">
        <v>12</v>
      </c>
      <c r="E3377" t="s">
        <v>13</v>
      </c>
      <c r="F3377" t="s">
        <v>28</v>
      </c>
      <c r="G3377" t="s">
        <v>15</v>
      </c>
      <c r="H3377" t="s">
        <v>16</v>
      </c>
      <c r="I3377" s="3">
        <v>49</v>
      </c>
      <c r="J3377" s="2">
        <v>238</v>
      </c>
      <c r="K3377" s="3">
        <f t="shared" si="52"/>
        <v>11662</v>
      </c>
      <c r="L3377" s="3">
        <v>8863.119999999999</v>
      </c>
    </row>
    <row r="3378" spans="1:12" x14ac:dyDescent="0.25">
      <c r="A3378" t="s">
        <v>19</v>
      </c>
      <c r="B3378">
        <v>1128299</v>
      </c>
      <c r="C3378" s="1">
        <v>44340</v>
      </c>
      <c r="D3378" t="s">
        <v>12</v>
      </c>
      <c r="E3378" t="s">
        <v>39</v>
      </c>
      <c r="F3378" t="s">
        <v>40</v>
      </c>
      <c r="G3378" t="s">
        <v>15</v>
      </c>
      <c r="H3378" t="s">
        <v>16</v>
      </c>
      <c r="I3378" s="3">
        <v>53</v>
      </c>
      <c r="J3378" s="2">
        <v>124</v>
      </c>
      <c r="K3378" s="3">
        <f t="shared" si="52"/>
        <v>6572</v>
      </c>
      <c r="L3378" s="3">
        <v>4666.12</v>
      </c>
    </row>
    <row r="3379" spans="1:12" x14ac:dyDescent="0.25">
      <c r="A3379" t="s">
        <v>19</v>
      </c>
      <c r="B3379">
        <v>1128299</v>
      </c>
      <c r="C3379" s="1">
        <v>44340</v>
      </c>
      <c r="D3379" t="s">
        <v>12</v>
      </c>
      <c r="E3379" t="s">
        <v>39</v>
      </c>
      <c r="F3379" t="s">
        <v>40</v>
      </c>
      <c r="G3379" t="s">
        <v>15</v>
      </c>
      <c r="H3379" t="s">
        <v>22</v>
      </c>
      <c r="I3379" s="3">
        <v>39</v>
      </c>
      <c r="J3379" s="2">
        <v>62</v>
      </c>
      <c r="K3379" s="3">
        <f t="shared" si="52"/>
        <v>2418</v>
      </c>
      <c r="L3379" s="3">
        <v>1620.06</v>
      </c>
    </row>
    <row r="3380" spans="1:12" x14ac:dyDescent="0.25">
      <c r="A3380" t="s">
        <v>27</v>
      </c>
      <c r="B3380">
        <v>1189833</v>
      </c>
      <c r="C3380" s="1">
        <v>44340</v>
      </c>
      <c r="D3380" t="s">
        <v>12</v>
      </c>
      <c r="E3380" t="s">
        <v>13</v>
      </c>
      <c r="F3380" t="s">
        <v>28</v>
      </c>
      <c r="G3380" t="s">
        <v>41</v>
      </c>
      <c r="H3380" t="s">
        <v>16</v>
      </c>
      <c r="I3380" s="3">
        <v>59</v>
      </c>
      <c r="J3380" s="2">
        <v>189</v>
      </c>
      <c r="K3380" s="3">
        <f t="shared" si="52"/>
        <v>11151</v>
      </c>
      <c r="L3380" s="3">
        <v>7359.66</v>
      </c>
    </row>
    <row r="3381" spans="1:12" x14ac:dyDescent="0.25">
      <c r="A3381" t="s">
        <v>19</v>
      </c>
      <c r="B3381">
        <v>1128299</v>
      </c>
      <c r="C3381" s="1">
        <v>44340</v>
      </c>
      <c r="D3381" t="s">
        <v>12</v>
      </c>
      <c r="E3381" t="s">
        <v>39</v>
      </c>
      <c r="F3381" t="s">
        <v>40</v>
      </c>
      <c r="G3381" t="s">
        <v>41</v>
      </c>
      <c r="H3381" t="s">
        <v>16</v>
      </c>
      <c r="I3381" s="3">
        <v>64</v>
      </c>
      <c r="J3381" s="2">
        <v>98</v>
      </c>
      <c r="K3381" s="3">
        <f t="shared" si="52"/>
        <v>6272</v>
      </c>
      <c r="L3381" s="3">
        <v>4014.08</v>
      </c>
    </row>
    <row r="3382" spans="1:12" x14ac:dyDescent="0.25">
      <c r="A3382" t="s">
        <v>19</v>
      </c>
      <c r="B3382">
        <v>1128299</v>
      </c>
      <c r="C3382" s="1">
        <v>44340</v>
      </c>
      <c r="D3382" t="s">
        <v>12</v>
      </c>
      <c r="E3382" t="s">
        <v>39</v>
      </c>
      <c r="F3382" t="s">
        <v>40</v>
      </c>
      <c r="G3382" t="s">
        <v>15</v>
      </c>
      <c r="H3382" t="s">
        <v>37</v>
      </c>
      <c r="I3382" s="3">
        <v>39</v>
      </c>
      <c r="J3382" s="2">
        <v>93</v>
      </c>
      <c r="K3382" s="3">
        <f t="shared" si="52"/>
        <v>3627</v>
      </c>
      <c r="L3382" s="3">
        <v>2285.0100000000002</v>
      </c>
    </row>
    <row r="3383" spans="1:12" x14ac:dyDescent="0.25">
      <c r="A3383" t="s">
        <v>19</v>
      </c>
      <c r="B3383">
        <v>1128299</v>
      </c>
      <c r="C3383" s="1">
        <v>44340</v>
      </c>
      <c r="D3383" t="s">
        <v>12</v>
      </c>
      <c r="E3383" t="s">
        <v>39</v>
      </c>
      <c r="F3383" t="s">
        <v>40</v>
      </c>
      <c r="G3383" t="s">
        <v>15</v>
      </c>
      <c r="H3383" t="s">
        <v>38</v>
      </c>
      <c r="I3383" s="3">
        <v>38</v>
      </c>
      <c r="J3383" s="2">
        <v>184</v>
      </c>
      <c r="K3383" s="3">
        <f t="shared" si="52"/>
        <v>6992</v>
      </c>
      <c r="L3383" s="3">
        <v>4335.04</v>
      </c>
    </row>
    <row r="3384" spans="1:12" x14ac:dyDescent="0.25">
      <c r="A3384" t="s">
        <v>19</v>
      </c>
      <c r="B3384">
        <v>1128299</v>
      </c>
      <c r="C3384" s="1">
        <v>44340</v>
      </c>
      <c r="D3384" t="s">
        <v>12</v>
      </c>
      <c r="E3384" t="s">
        <v>39</v>
      </c>
      <c r="F3384" t="s">
        <v>40</v>
      </c>
      <c r="G3384" t="s">
        <v>15</v>
      </c>
      <c r="H3384" t="s">
        <v>35</v>
      </c>
      <c r="I3384" s="3">
        <v>41</v>
      </c>
      <c r="J3384" s="2">
        <v>132</v>
      </c>
      <c r="K3384" s="3">
        <f t="shared" si="52"/>
        <v>5412</v>
      </c>
      <c r="L3384" s="3">
        <v>3355.44</v>
      </c>
    </row>
    <row r="3385" spans="1:12" x14ac:dyDescent="0.25">
      <c r="A3385" t="s">
        <v>19</v>
      </c>
      <c r="B3385">
        <v>1128299</v>
      </c>
      <c r="C3385" s="1">
        <v>44340</v>
      </c>
      <c r="D3385" t="s">
        <v>12</v>
      </c>
      <c r="E3385" t="s">
        <v>39</v>
      </c>
      <c r="F3385" t="s">
        <v>40</v>
      </c>
      <c r="G3385" t="s">
        <v>41</v>
      </c>
      <c r="H3385" t="s">
        <v>22</v>
      </c>
      <c r="I3385" s="3">
        <v>51</v>
      </c>
      <c r="J3385" s="2">
        <v>58</v>
      </c>
      <c r="K3385" s="3">
        <f t="shared" si="52"/>
        <v>2958</v>
      </c>
      <c r="L3385" s="3">
        <v>1745.22</v>
      </c>
    </row>
    <row r="3386" spans="1:12" x14ac:dyDescent="0.25">
      <c r="A3386" t="s">
        <v>19</v>
      </c>
      <c r="B3386">
        <v>1128299</v>
      </c>
      <c r="C3386" s="1">
        <v>44340</v>
      </c>
      <c r="D3386" t="s">
        <v>12</v>
      </c>
      <c r="E3386" t="s">
        <v>39</v>
      </c>
      <c r="F3386" t="s">
        <v>40</v>
      </c>
      <c r="G3386" t="s">
        <v>15</v>
      </c>
      <c r="H3386" t="s">
        <v>17</v>
      </c>
      <c r="I3386" s="3">
        <v>36</v>
      </c>
      <c r="J3386" s="2">
        <v>116</v>
      </c>
      <c r="K3386" s="3">
        <f t="shared" si="52"/>
        <v>4176</v>
      </c>
      <c r="L3386" s="3">
        <v>2422.08</v>
      </c>
    </row>
    <row r="3387" spans="1:12" x14ac:dyDescent="0.25">
      <c r="A3387" t="s">
        <v>19</v>
      </c>
      <c r="B3387">
        <v>1185732</v>
      </c>
      <c r="C3387" s="1">
        <v>44340</v>
      </c>
      <c r="D3387" t="s">
        <v>52</v>
      </c>
      <c r="E3387" t="s">
        <v>97</v>
      </c>
      <c r="F3387" t="s">
        <v>98</v>
      </c>
      <c r="G3387" t="s">
        <v>15</v>
      </c>
      <c r="H3387" t="s">
        <v>37</v>
      </c>
      <c r="I3387" s="3">
        <v>22</v>
      </c>
      <c r="J3387" s="2">
        <v>23</v>
      </c>
      <c r="K3387" s="3">
        <f t="shared" si="52"/>
        <v>506</v>
      </c>
      <c r="L3387" s="3">
        <v>288.41999999999996</v>
      </c>
    </row>
    <row r="3388" spans="1:12" x14ac:dyDescent="0.25">
      <c r="A3388" t="s">
        <v>19</v>
      </c>
      <c r="B3388">
        <v>1128299</v>
      </c>
      <c r="C3388" s="1">
        <v>44340</v>
      </c>
      <c r="D3388" t="s">
        <v>12</v>
      </c>
      <c r="E3388" t="s">
        <v>39</v>
      </c>
      <c r="F3388" t="s">
        <v>40</v>
      </c>
      <c r="G3388" t="s">
        <v>41</v>
      </c>
      <c r="H3388" t="s">
        <v>35</v>
      </c>
      <c r="I3388" s="3">
        <v>50</v>
      </c>
      <c r="J3388" s="2">
        <v>120</v>
      </c>
      <c r="K3388" s="3">
        <f t="shared" si="52"/>
        <v>6000</v>
      </c>
      <c r="L3388" s="3">
        <v>3180</v>
      </c>
    </row>
    <row r="3389" spans="1:12" x14ac:dyDescent="0.25">
      <c r="A3389" t="s">
        <v>19</v>
      </c>
      <c r="B3389">
        <v>1128299</v>
      </c>
      <c r="C3389" s="1">
        <v>44340</v>
      </c>
      <c r="D3389" t="s">
        <v>12</v>
      </c>
      <c r="E3389" t="s">
        <v>39</v>
      </c>
      <c r="F3389" t="s">
        <v>40</v>
      </c>
      <c r="G3389" t="s">
        <v>41</v>
      </c>
      <c r="H3389" t="s">
        <v>38</v>
      </c>
      <c r="I3389" s="3">
        <v>47</v>
      </c>
      <c r="J3389" s="2">
        <v>147</v>
      </c>
      <c r="K3389" s="3">
        <f t="shared" si="52"/>
        <v>6909</v>
      </c>
      <c r="L3389" s="3">
        <v>3661.77</v>
      </c>
    </row>
    <row r="3390" spans="1:12" x14ac:dyDescent="0.25">
      <c r="A3390" t="s">
        <v>19</v>
      </c>
      <c r="B3390">
        <v>1128299</v>
      </c>
      <c r="C3390" s="1">
        <v>44340</v>
      </c>
      <c r="D3390" t="s">
        <v>12</v>
      </c>
      <c r="E3390" t="s">
        <v>39</v>
      </c>
      <c r="F3390" t="s">
        <v>40</v>
      </c>
      <c r="G3390" t="s">
        <v>41</v>
      </c>
      <c r="H3390" t="s">
        <v>37</v>
      </c>
      <c r="I3390" s="3">
        <v>49</v>
      </c>
      <c r="J3390" s="2">
        <v>90</v>
      </c>
      <c r="K3390" s="3">
        <f t="shared" si="52"/>
        <v>4410</v>
      </c>
      <c r="L3390" s="3">
        <v>2205</v>
      </c>
    </row>
    <row r="3391" spans="1:12" x14ac:dyDescent="0.25">
      <c r="A3391" t="s">
        <v>19</v>
      </c>
      <c r="B3391">
        <v>1185732</v>
      </c>
      <c r="C3391" s="1">
        <v>44340</v>
      </c>
      <c r="D3391" t="s">
        <v>52</v>
      </c>
      <c r="E3391" t="s">
        <v>97</v>
      </c>
      <c r="F3391" t="s">
        <v>98</v>
      </c>
      <c r="G3391" t="s">
        <v>41</v>
      </c>
      <c r="H3391" t="s">
        <v>37</v>
      </c>
      <c r="I3391" s="3">
        <v>27</v>
      </c>
      <c r="J3391" s="2">
        <v>19</v>
      </c>
      <c r="K3391" s="3">
        <f t="shared" si="52"/>
        <v>513</v>
      </c>
      <c r="L3391" s="3">
        <v>241.11</v>
      </c>
    </row>
    <row r="3392" spans="1:12" x14ac:dyDescent="0.25">
      <c r="A3392" t="s">
        <v>19</v>
      </c>
      <c r="B3392">
        <v>1128299</v>
      </c>
      <c r="C3392" s="1">
        <v>44340</v>
      </c>
      <c r="D3392" t="s">
        <v>12</v>
      </c>
      <c r="E3392" t="s">
        <v>39</v>
      </c>
      <c r="F3392" t="s">
        <v>40</v>
      </c>
      <c r="G3392" t="s">
        <v>41</v>
      </c>
      <c r="H3392" t="s">
        <v>17</v>
      </c>
      <c r="I3392" s="3">
        <v>53</v>
      </c>
      <c r="J3392" s="2">
        <v>113</v>
      </c>
      <c r="K3392" s="3">
        <f t="shared" si="52"/>
        <v>5989</v>
      </c>
      <c r="L3392" s="3">
        <v>2754.9399999999996</v>
      </c>
    </row>
    <row r="3393" spans="1:12" x14ac:dyDescent="0.25">
      <c r="A3393" t="s">
        <v>19</v>
      </c>
      <c r="B3393">
        <v>1128299</v>
      </c>
      <c r="C3393" s="1">
        <v>44341</v>
      </c>
      <c r="D3393" t="s">
        <v>32</v>
      </c>
      <c r="E3393" t="s">
        <v>82</v>
      </c>
      <c r="F3393" t="s">
        <v>83</v>
      </c>
      <c r="G3393" t="s">
        <v>18</v>
      </c>
      <c r="H3393" t="s">
        <v>16</v>
      </c>
      <c r="I3393" s="3">
        <v>60</v>
      </c>
      <c r="J3393" s="2">
        <v>525</v>
      </c>
      <c r="K3393" s="3">
        <f t="shared" si="52"/>
        <v>31500</v>
      </c>
      <c r="L3393" s="3">
        <v>22050</v>
      </c>
    </row>
    <row r="3394" spans="1:12" x14ac:dyDescent="0.25">
      <c r="A3394" t="s">
        <v>11</v>
      </c>
      <c r="B3394">
        <v>1128299</v>
      </c>
      <c r="C3394" s="1">
        <v>44341</v>
      </c>
      <c r="D3394" t="s">
        <v>12</v>
      </c>
      <c r="E3394" t="s">
        <v>84</v>
      </c>
      <c r="F3394" t="s">
        <v>31</v>
      </c>
      <c r="G3394" t="s">
        <v>18</v>
      </c>
      <c r="H3394" t="s">
        <v>16</v>
      </c>
      <c r="I3394" s="3">
        <v>60</v>
      </c>
      <c r="J3394" s="2">
        <v>525</v>
      </c>
      <c r="K3394" s="3">
        <f t="shared" si="52"/>
        <v>31500</v>
      </c>
      <c r="L3394" s="3">
        <v>22050</v>
      </c>
    </row>
    <row r="3395" spans="1:12" x14ac:dyDescent="0.25">
      <c r="A3395" t="s">
        <v>19</v>
      </c>
      <c r="B3395">
        <v>1185732</v>
      </c>
      <c r="C3395" s="1">
        <v>44341</v>
      </c>
      <c r="D3395" t="s">
        <v>57</v>
      </c>
      <c r="E3395" t="s">
        <v>118</v>
      </c>
      <c r="F3395" t="s">
        <v>119</v>
      </c>
      <c r="G3395" t="s">
        <v>15</v>
      </c>
      <c r="H3395" t="s">
        <v>22</v>
      </c>
      <c r="I3395" s="3">
        <v>44.999999999999993</v>
      </c>
      <c r="J3395" s="2">
        <v>125</v>
      </c>
      <c r="K3395" s="3">
        <f t="shared" ref="K3395:K3458" si="53">I3395*J3395</f>
        <v>5624.9999999999991</v>
      </c>
      <c r="L3395" s="3">
        <v>3656.25</v>
      </c>
    </row>
    <row r="3396" spans="1:12" x14ac:dyDescent="0.25">
      <c r="A3396" t="s">
        <v>19</v>
      </c>
      <c r="B3396">
        <v>1128299</v>
      </c>
      <c r="C3396" s="1">
        <v>44341</v>
      </c>
      <c r="D3396" t="s">
        <v>32</v>
      </c>
      <c r="E3396" t="s">
        <v>82</v>
      </c>
      <c r="F3396" t="s">
        <v>83</v>
      </c>
      <c r="G3396" t="s">
        <v>18</v>
      </c>
      <c r="H3396" t="s">
        <v>17</v>
      </c>
      <c r="I3396" s="3">
        <v>55.000000000000007</v>
      </c>
      <c r="J3396" s="2">
        <v>350</v>
      </c>
      <c r="K3396" s="3">
        <f t="shared" si="53"/>
        <v>19250.000000000004</v>
      </c>
      <c r="L3396" s="3">
        <v>12512.500000000004</v>
      </c>
    </row>
    <row r="3397" spans="1:12" x14ac:dyDescent="0.25">
      <c r="A3397" t="s">
        <v>19</v>
      </c>
      <c r="B3397">
        <v>1128299</v>
      </c>
      <c r="C3397" s="1">
        <v>44341</v>
      </c>
      <c r="D3397" t="s">
        <v>32</v>
      </c>
      <c r="E3397" t="s">
        <v>82</v>
      </c>
      <c r="F3397" t="s">
        <v>83</v>
      </c>
      <c r="G3397" t="s">
        <v>18</v>
      </c>
      <c r="H3397" t="s">
        <v>35</v>
      </c>
      <c r="I3397" s="3">
        <v>55.000000000000007</v>
      </c>
      <c r="J3397" s="2">
        <v>350</v>
      </c>
      <c r="K3397" s="3">
        <f t="shared" si="53"/>
        <v>19250.000000000004</v>
      </c>
      <c r="L3397" s="3">
        <v>12512.500000000004</v>
      </c>
    </row>
    <row r="3398" spans="1:12" x14ac:dyDescent="0.25">
      <c r="A3398" t="s">
        <v>11</v>
      </c>
      <c r="B3398">
        <v>1128299</v>
      </c>
      <c r="C3398" s="1">
        <v>44341</v>
      </c>
      <c r="D3398" t="s">
        <v>12</v>
      </c>
      <c r="E3398" t="s">
        <v>84</v>
      </c>
      <c r="F3398" t="s">
        <v>31</v>
      </c>
      <c r="G3398" t="s">
        <v>18</v>
      </c>
      <c r="H3398" t="s">
        <v>17</v>
      </c>
      <c r="I3398" s="3">
        <v>55.000000000000007</v>
      </c>
      <c r="J3398" s="2">
        <v>350</v>
      </c>
      <c r="K3398" s="3">
        <f t="shared" si="53"/>
        <v>19250.000000000004</v>
      </c>
      <c r="L3398" s="3">
        <v>12512.500000000004</v>
      </c>
    </row>
    <row r="3399" spans="1:12" x14ac:dyDescent="0.25">
      <c r="A3399" t="s">
        <v>11</v>
      </c>
      <c r="B3399">
        <v>1128299</v>
      </c>
      <c r="C3399" s="1">
        <v>44341</v>
      </c>
      <c r="D3399" t="s">
        <v>12</v>
      </c>
      <c r="E3399" t="s">
        <v>84</v>
      </c>
      <c r="F3399" t="s">
        <v>31</v>
      </c>
      <c r="G3399" t="s">
        <v>18</v>
      </c>
      <c r="H3399" t="s">
        <v>35</v>
      </c>
      <c r="I3399" s="3">
        <v>55.000000000000007</v>
      </c>
      <c r="J3399" s="2">
        <v>350</v>
      </c>
      <c r="K3399" s="3">
        <f t="shared" si="53"/>
        <v>19250.000000000004</v>
      </c>
      <c r="L3399" s="3">
        <v>12512.500000000004</v>
      </c>
    </row>
    <row r="3400" spans="1:12" x14ac:dyDescent="0.25">
      <c r="A3400" t="s">
        <v>19</v>
      </c>
      <c r="B3400">
        <v>1128299</v>
      </c>
      <c r="C3400" s="1">
        <v>44341</v>
      </c>
      <c r="D3400" t="s">
        <v>32</v>
      </c>
      <c r="E3400" t="s">
        <v>82</v>
      </c>
      <c r="F3400" t="s">
        <v>83</v>
      </c>
      <c r="G3400" t="s">
        <v>18</v>
      </c>
      <c r="H3400" t="s">
        <v>38</v>
      </c>
      <c r="I3400" s="3">
        <v>50</v>
      </c>
      <c r="J3400" s="2">
        <v>500</v>
      </c>
      <c r="K3400" s="3">
        <f t="shared" si="53"/>
        <v>25000</v>
      </c>
      <c r="L3400" s="3">
        <v>16250</v>
      </c>
    </row>
    <row r="3401" spans="1:12" x14ac:dyDescent="0.25">
      <c r="A3401" t="s">
        <v>19</v>
      </c>
      <c r="B3401">
        <v>1128299</v>
      </c>
      <c r="C3401" s="1">
        <v>44341</v>
      </c>
      <c r="D3401" t="s">
        <v>32</v>
      </c>
      <c r="E3401" t="s">
        <v>82</v>
      </c>
      <c r="F3401" t="s">
        <v>83</v>
      </c>
      <c r="G3401" t="s">
        <v>18</v>
      </c>
      <c r="H3401" t="s">
        <v>37</v>
      </c>
      <c r="I3401" s="3">
        <v>50</v>
      </c>
      <c r="J3401" s="2">
        <v>275</v>
      </c>
      <c r="K3401" s="3">
        <f t="shared" si="53"/>
        <v>13750</v>
      </c>
      <c r="L3401" s="3">
        <v>8937.5</v>
      </c>
    </row>
    <row r="3402" spans="1:12" x14ac:dyDescent="0.25">
      <c r="A3402" t="s">
        <v>11</v>
      </c>
      <c r="B3402">
        <v>1128299</v>
      </c>
      <c r="C3402" s="1">
        <v>44341</v>
      </c>
      <c r="D3402" t="s">
        <v>12</v>
      </c>
      <c r="E3402" t="s">
        <v>84</v>
      </c>
      <c r="F3402" t="s">
        <v>31</v>
      </c>
      <c r="G3402" t="s">
        <v>18</v>
      </c>
      <c r="H3402" t="s">
        <v>38</v>
      </c>
      <c r="I3402" s="3">
        <v>50</v>
      </c>
      <c r="J3402" s="2">
        <v>500</v>
      </c>
      <c r="K3402" s="3">
        <f t="shared" si="53"/>
        <v>25000</v>
      </c>
      <c r="L3402" s="3">
        <v>16250</v>
      </c>
    </row>
    <row r="3403" spans="1:12" x14ac:dyDescent="0.25">
      <c r="A3403" t="s">
        <v>11</v>
      </c>
      <c r="B3403">
        <v>1128299</v>
      </c>
      <c r="C3403" s="1">
        <v>44341</v>
      </c>
      <c r="D3403" t="s">
        <v>12</v>
      </c>
      <c r="E3403" t="s">
        <v>84</v>
      </c>
      <c r="F3403" t="s">
        <v>31</v>
      </c>
      <c r="G3403" t="s">
        <v>18</v>
      </c>
      <c r="H3403" t="s">
        <v>37</v>
      </c>
      <c r="I3403" s="3">
        <v>50</v>
      </c>
      <c r="J3403" s="2">
        <v>275</v>
      </c>
      <c r="K3403" s="3">
        <f t="shared" si="53"/>
        <v>13750</v>
      </c>
      <c r="L3403" s="3">
        <v>8937.5</v>
      </c>
    </row>
    <row r="3404" spans="1:12" x14ac:dyDescent="0.25">
      <c r="A3404" t="s">
        <v>27</v>
      </c>
      <c r="B3404">
        <v>1189833</v>
      </c>
      <c r="C3404" s="1">
        <v>44341</v>
      </c>
      <c r="D3404" t="s">
        <v>12</v>
      </c>
      <c r="E3404" t="s">
        <v>13</v>
      </c>
      <c r="F3404" t="s">
        <v>28</v>
      </c>
      <c r="G3404" t="s">
        <v>15</v>
      </c>
      <c r="H3404" t="s">
        <v>38</v>
      </c>
      <c r="I3404" s="3">
        <v>50</v>
      </c>
      <c r="J3404" s="2">
        <v>900</v>
      </c>
      <c r="K3404" s="3">
        <f t="shared" si="53"/>
        <v>45000</v>
      </c>
      <c r="L3404" s="3">
        <v>27000</v>
      </c>
    </row>
    <row r="3405" spans="1:12" x14ac:dyDescent="0.25">
      <c r="A3405" t="s">
        <v>19</v>
      </c>
      <c r="B3405">
        <v>1128299</v>
      </c>
      <c r="C3405" s="1">
        <v>44341</v>
      </c>
      <c r="D3405" t="s">
        <v>32</v>
      </c>
      <c r="E3405" t="s">
        <v>82</v>
      </c>
      <c r="F3405" t="s">
        <v>83</v>
      </c>
      <c r="G3405" t="s">
        <v>18</v>
      </c>
      <c r="H3405" t="s">
        <v>22</v>
      </c>
      <c r="I3405" s="3">
        <v>44.999999999999993</v>
      </c>
      <c r="J3405" s="2">
        <v>175</v>
      </c>
      <c r="K3405" s="3">
        <f t="shared" si="53"/>
        <v>7874.9999999999991</v>
      </c>
      <c r="L3405" s="3">
        <v>4724.9999999999982</v>
      </c>
    </row>
    <row r="3406" spans="1:12" x14ac:dyDescent="0.25">
      <c r="A3406" t="s">
        <v>11</v>
      </c>
      <c r="B3406">
        <v>1128299</v>
      </c>
      <c r="C3406" s="1">
        <v>44341</v>
      </c>
      <c r="D3406" t="s">
        <v>12</v>
      </c>
      <c r="E3406" t="s">
        <v>84</v>
      </c>
      <c r="F3406" t="s">
        <v>31</v>
      </c>
      <c r="G3406" t="s">
        <v>18</v>
      </c>
      <c r="H3406" t="s">
        <v>22</v>
      </c>
      <c r="I3406" s="3">
        <v>44.999999999999993</v>
      </c>
      <c r="J3406" s="2">
        <v>175</v>
      </c>
      <c r="K3406" s="3">
        <f t="shared" si="53"/>
        <v>7874.9999999999991</v>
      </c>
      <c r="L3406" s="3">
        <v>4724.9999999999982</v>
      </c>
    </row>
    <row r="3407" spans="1:12" x14ac:dyDescent="0.25">
      <c r="A3407" t="s">
        <v>19</v>
      </c>
      <c r="B3407">
        <v>1128299</v>
      </c>
      <c r="C3407" s="1">
        <v>44341</v>
      </c>
      <c r="D3407" t="s">
        <v>32</v>
      </c>
      <c r="E3407" t="s">
        <v>82</v>
      </c>
      <c r="F3407" t="s">
        <v>83</v>
      </c>
      <c r="G3407" t="s">
        <v>15</v>
      </c>
      <c r="H3407" t="s">
        <v>16</v>
      </c>
      <c r="I3407" s="3">
        <v>44</v>
      </c>
      <c r="J3407" s="2">
        <v>168</v>
      </c>
      <c r="K3407" s="3">
        <f t="shared" si="53"/>
        <v>7392</v>
      </c>
      <c r="L3407" s="3">
        <v>4804.8</v>
      </c>
    </row>
    <row r="3408" spans="1:12" x14ac:dyDescent="0.25">
      <c r="A3408" t="s">
        <v>11</v>
      </c>
      <c r="B3408">
        <v>1128299</v>
      </c>
      <c r="C3408" s="1">
        <v>44341</v>
      </c>
      <c r="D3408" t="s">
        <v>12</v>
      </c>
      <c r="E3408" t="s">
        <v>84</v>
      </c>
      <c r="F3408" t="s">
        <v>31</v>
      </c>
      <c r="G3408" t="s">
        <v>15</v>
      </c>
      <c r="H3408" t="s">
        <v>16</v>
      </c>
      <c r="I3408" s="3">
        <v>46</v>
      </c>
      <c r="J3408" s="2">
        <v>173</v>
      </c>
      <c r="K3408" s="3">
        <f t="shared" si="53"/>
        <v>7958</v>
      </c>
      <c r="L3408" s="3">
        <v>5093.12</v>
      </c>
    </row>
    <row r="3409" spans="1:12" x14ac:dyDescent="0.25">
      <c r="A3409" t="s">
        <v>19</v>
      </c>
      <c r="B3409">
        <v>1128299</v>
      </c>
      <c r="C3409" s="1">
        <v>44341</v>
      </c>
      <c r="D3409" t="s">
        <v>32</v>
      </c>
      <c r="E3409" t="s">
        <v>82</v>
      </c>
      <c r="F3409" t="s">
        <v>83</v>
      </c>
      <c r="G3409" t="s">
        <v>15</v>
      </c>
      <c r="H3409" t="s">
        <v>35</v>
      </c>
      <c r="I3409" s="3">
        <v>37</v>
      </c>
      <c r="J3409" s="2">
        <v>109</v>
      </c>
      <c r="K3409" s="3">
        <f t="shared" si="53"/>
        <v>4033</v>
      </c>
      <c r="L3409" s="3">
        <v>2540.79</v>
      </c>
    </row>
    <row r="3410" spans="1:12" x14ac:dyDescent="0.25">
      <c r="A3410" t="s">
        <v>19</v>
      </c>
      <c r="B3410">
        <v>1128299</v>
      </c>
      <c r="C3410" s="1">
        <v>44341</v>
      </c>
      <c r="D3410" t="s">
        <v>32</v>
      </c>
      <c r="E3410" t="s">
        <v>82</v>
      </c>
      <c r="F3410" t="s">
        <v>83</v>
      </c>
      <c r="G3410" t="s">
        <v>15</v>
      </c>
      <c r="H3410" t="s">
        <v>37</v>
      </c>
      <c r="I3410" s="3">
        <v>33</v>
      </c>
      <c r="J3410" s="2">
        <v>85</v>
      </c>
      <c r="K3410" s="3">
        <f t="shared" si="53"/>
        <v>2805</v>
      </c>
      <c r="L3410" s="3">
        <v>1739.1</v>
      </c>
    </row>
    <row r="3411" spans="1:12" x14ac:dyDescent="0.25">
      <c r="A3411" t="s">
        <v>11</v>
      </c>
      <c r="B3411">
        <v>1128299</v>
      </c>
      <c r="C3411" s="1">
        <v>44341</v>
      </c>
      <c r="D3411" t="s">
        <v>12</v>
      </c>
      <c r="E3411" t="s">
        <v>84</v>
      </c>
      <c r="F3411" t="s">
        <v>31</v>
      </c>
      <c r="G3411" t="s">
        <v>15</v>
      </c>
      <c r="H3411" t="s">
        <v>35</v>
      </c>
      <c r="I3411" s="3">
        <v>39</v>
      </c>
      <c r="J3411" s="2">
        <v>119</v>
      </c>
      <c r="K3411" s="3">
        <f t="shared" si="53"/>
        <v>4641</v>
      </c>
      <c r="L3411" s="3">
        <v>2831.01</v>
      </c>
    </row>
    <row r="3412" spans="1:12" x14ac:dyDescent="0.25">
      <c r="A3412" t="s">
        <v>11</v>
      </c>
      <c r="B3412">
        <v>1128299</v>
      </c>
      <c r="C3412" s="1">
        <v>44341</v>
      </c>
      <c r="D3412" t="s">
        <v>12</v>
      </c>
      <c r="E3412" t="s">
        <v>84</v>
      </c>
      <c r="F3412" t="s">
        <v>31</v>
      </c>
      <c r="G3412" t="s">
        <v>15</v>
      </c>
      <c r="H3412" t="s">
        <v>37</v>
      </c>
      <c r="I3412" s="3">
        <v>33</v>
      </c>
      <c r="J3412" s="2">
        <v>94</v>
      </c>
      <c r="K3412" s="3">
        <f t="shared" si="53"/>
        <v>3102</v>
      </c>
      <c r="L3412" s="3">
        <v>1892.22</v>
      </c>
    </row>
    <row r="3413" spans="1:12" x14ac:dyDescent="0.25">
      <c r="A3413" t="s">
        <v>11</v>
      </c>
      <c r="B3413">
        <v>1128299</v>
      </c>
      <c r="C3413" s="1">
        <v>44341</v>
      </c>
      <c r="D3413" t="s">
        <v>12</v>
      </c>
      <c r="E3413" t="s">
        <v>84</v>
      </c>
      <c r="F3413" t="s">
        <v>31</v>
      </c>
      <c r="G3413" t="s">
        <v>15</v>
      </c>
      <c r="H3413" t="s">
        <v>17</v>
      </c>
      <c r="I3413" s="3">
        <v>36</v>
      </c>
      <c r="J3413" s="2">
        <v>109</v>
      </c>
      <c r="K3413" s="3">
        <f t="shared" si="53"/>
        <v>3924</v>
      </c>
      <c r="L3413" s="3">
        <v>2354.4</v>
      </c>
    </row>
    <row r="3414" spans="1:12" x14ac:dyDescent="0.25">
      <c r="A3414" t="s">
        <v>19</v>
      </c>
      <c r="B3414">
        <v>1128299</v>
      </c>
      <c r="C3414" s="1">
        <v>44341</v>
      </c>
      <c r="D3414" t="s">
        <v>32</v>
      </c>
      <c r="E3414" t="s">
        <v>82</v>
      </c>
      <c r="F3414" t="s">
        <v>83</v>
      </c>
      <c r="G3414" t="s">
        <v>15</v>
      </c>
      <c r="H3414" t="s">
        <v>38</v>
      </c>
      <c r="I3414" s="3">
        <v>39</v>
      </c>
      <c r="J3414" s="2">
        <v>175</v>
      </c>
      <c r="K3414" s="3">
        <f t="shared" si="53"/>
        <v>6825</v>
      </c>
      <c r="L3414" s="3">
        <v>4095</v>
      </c>
    </row>
    <row r="3415" spans="1:12" x14ac:dyDescent="0.25">
      <c r="A3415" t="s">
        <v>19</v>
      </c>
      <c r="B3415">
        <v>1128299</v>
      </c>
      <c r="C3415" s="1">
        <v>44341</v>
      </c>
      <c r="D3415" t="s">
        <v>32</v>
      </c>
      <c r="E3415" t="s">
        <v>82</v>
      </c>
      <c r="F3415" t="s">
        <v>83</v>
      </c>
      <c r="G3415" t="s">
        <v>15</v>
      </c>
      <c r="H3415" t="s">
        <v>17</v>
      </c>
      <c r="I3415" s="3">
        <v>40</v>
      </c>
      <c r="J3415" s="2">
        <v>105</v>
      </c>
      <c r="K3415" s="3">
        <f t="shared" si="53"/>
        <v>4200</v>
      </c>
      <c r="L3415" s="3">
        <v>2478</v>
      </c>
    </row>
    <row r="3416" spans="1:12" x14ac:dyDescent="0.25">
      <c r="A3416" t="s">
        <v>11</v>
      </c>
      <c r="B3416">
        <v>1128299</v>
      </c>
      <c r="C3416" s="1">
        <v>44341</v>
      </c>
      <c r="D3416" t="s">
        <v>12</v>
      </c>
      <c r="E3416" t="s">
        <v>84</v>
      </c>
      <c r="F3416" t="s">
        <v>31</v>
      </c>
      <c r="G3416" t="s">
        <v>15</v>
      </c>
      <c r="H3416" t="s">
        <v>38</v>
      </c>
      <c r="I3416" s="3">
        <v>39</v>
      </c>
      <c r="J3416" s="2">
        <v>155</v>
      </c>
      <c r="K3416" s="3">
        <f t="shared" si="53"/>
        <v>6045</v>
      </c>
      <c r="L3416" s="3">
        <v>3506.1</v>
      </c>
    </row>
    <row r="3417" spans="1:12" x14ac:dyDescent="0.25">
      <c r="A3417" t="s">
        <v>19</v>
      </c>
      <c r="B3417">
        <v>1128299</v>
      </c>
      <c r="C3417" s="1">
        <v>44341</v>
      </c>
      <c r="D3417" t="s">
        <v>32</v>
      </c>
      <c r="E3417" t="s">
        <v>82</v>
      </c>
      <c r="F3417" t="s">
        <v>83</v>
      </c>
      <c r="G3417" t="s">
        <v>41</v>
      </c>
      <c r="H3417" t="s">
        <v>16</v>
      </c>
      <c r="I3417" s="3">
        <v>56</v>
      </c>
      <c r="J3417" s="2">
        <v>152</v>
      </c>
      <c r="K3417" s="3">
        <f t="shared" si="53"/>
        <v>8512</v>
      </c>
      <c r="L3417" s="3">
        <v>4851.84</v>
      </c>
    </row>
    <row r="3418" spans="1:12" x14ac:dyDescent="0.25">
      <c r="A3418" t="s">
        <v>19</v>
      </c>
      <c r="B3418">
        <v>1128299</v>
      </c>
      <c r="C3418" s="1">
        <v>44341</v>
      </c>
      <c r="D3418" t="s">
        <v>32</v>
      </c>
      <c r="E3418" t="s">
        <v>82</v>
      </c>
      <c r="F3418" t="s">
        <v>83</v>
      </c>
      <c r="G3418" t="s">
        <v>15</v>
      </c>
      <c r="H3418" t="s">
        <v>22</v>
      </c>
      <c r="I3418" s="3">
        <v>34</v>
      </c>
      <c r="J3418" s="2">
        <v>54</v>
      </c>
      <c r="K3418" s="3">
        <f t="shared" si="53"/>
        <v>1836</v>
      </c>
      <c r="L3418" s="3">
        <v>1046.52</v>
      </c>
    </row>
    <row r="3419" spans="1:12" x14ac:dyDescent="0.25">
      <c r="A3419" t="s">
        <v>11</v>
      </c>
      <c r="B3419">
        <v>1128299</v>
      </c>
      <c r="C3419" s="1">
        <v>44341</v>
      </c>
      <c r="D3419" t="s">
        <v>12</v>
      </c>
      <c r="E3419" t="s">
        <v>84</v>
      </c>
      <c r="F3419" t="s">
        <v>31</v>
      </c>
      <c r="G3419" t="s">
        <v>15</v>
      </c>
      <c r="H3419" t="s">
        <v>22</v>
      </c>
      <c r="I3419" s="3">
        <v>33</v>
      </c>
      <c r="J3419" s="2">
        <v>58</v>
      </c>
      <c r="K3419" s="3">
        <f t="shared" si="53"/>
        <v>1914</v>
      </c>
      <c r="L3419" s="3">
        <v>1071.8400000000001</v>
      </c>
    </row>
    <row r="3420" spans="1:12" x14ac:dyDescent="0.25">
      <c r="A3420" t="s">
        <v>19</v>
      </c>
      <c r="B3420">
        <v>1185732</v>
      </c>
      <c r="C3420" s="1">
        <v>44341</v>
      </c>
      <c r="D3420" t="s">
        <v>57</v>
      </c>
      <c r="E3420" t="s">
        <v>118</v>
      </c>
      <c r="F3420" t="s">
        <v>119</v>
      </c>
      <c r="G3420" t="s">
        <v>41</v>
      </c>
      <c r="H3420" t="s">
        <v>22</v>
      </c>
      <c r="I3420" s="3">
        <v>43</v>
      </c>
      <c r="J3420" s="2">
        <v>35</v>
      </c>
      <c r="K3420" s="3">
        <f t="shared" si="53"/>
        <v>1505</v>
      </c>
      <c r="L3420" s="3">
        <v>827.75000000000011</v>
      </c>
    </row>
    <row r="3421" spans="1:12" x14ac:dyDescent="0.25">
      <c r="A3421" t="s">
        <v>19</v>
      </c>
      <c r="B3421">
        <v>1128299</v>
      </c>
      <c r="C3421" s="1">
        <v>44341</v>
      </c>
      <c r="D3421" t="s">
        <v>32</v>
      </c>
      <c r="E3421" t="s">
        <v>82</v>
      </c>
      <c r="F3421" t="s">
        <v>83</v>
      </c>
      <c r="G3421" t="s">
        <v>41</v>
      </c>
      <c r="H3421" t="s">
        <v>17</v>
      </c>
      <c r="I3421" s="3">
        <v>51</v>
      </c>
      <c r="J3421" s="2">
        <v>98</v>
      </c>
      <c r="K3421" s="3">
        <f t="shared" si="53"/>
        <v>4998</v>
      </c>
      <c r="L3421" s="3">
        <v>2748.9</v>
      </c>
    </row>
    <row r="3422" spans="1:12" x14ac:dyDescent="0.25">
      <c r="A3422" t="s">
        <v>11</v>
      </c>
      <c r="B3422">
        <v>1128299</v>
      </c>
      <c r="C3422" s="1">
        <v>44341</v>
      </c>
      <c r="D3422" t="s">
        <v>12</v>
      </c>
      <c r="E3422" t="s">
        <v>84</v>
      </c>
      <c r="F3422" t="s">
        <v>31</v>
      </c>
      <c r="G3422" t="s">
        <v>41</v>
      </c>
      <c r="H3422" t="s">
        <v>38</v>
      </c>
      <c r="I3422" s="3">
        <v>48</v>
      </c>
      <c r="J3422" s="2">
        <v>145</v>
      </c>
      <c r="K3422" s="3">
        <f t="shared" si="53"/>
        <v>6960</v>
      </c>
      <c r="L3422" s="3">
        <v>3828.0000000000005</v>
      </c>
    </row>
    <row r="3423" spans="1:12" x14ac:dyDescent="0.25">
      <c r="A3423" t="s">
        <v>11</v>
      </c>
      <c r="B3423">
        <v>1128299</v>
      </c>
      <c r="C3423" s="1">
        <v>44341</v>
      </c>
      <c r="D3423" t="s">
        <v>12</v>
      </c>
      <c r="E3423" t="s">
        <v>84</v>
      </c>
      <c r="F3423" t="s">
        <v>31</v>
      </c>
      <c r="G3423" t="s">
        <v>41</v>
      </c>
      <c r="H3423" t="s">
        <v>16</v>
      </c>
      <c r="I3423" s="3">
        <v>54</v>
      </c>
      <c r="J3423" s="2">
        <v>158</v>
      </c>
      <c r="K3423" s="3">
        <f t="shared" si="53"/>
        <v>8532</v>
      </c>
      <c r="L3423" s="3">
        <v>4692.6000000000004</v>
      </c>
    </row>
    <row r="3424" spans="1:12" x14ac:dyDescent="0.25">
      <c r="A3424" t="s">
        <v>19</v>
      </c>
      <c r="B3424">
        <v>1128299</v>
      </c>
      <c r="C3424" s="1">
        <v>44341</v>
      </c>
      <c r="D3424" t="s">
        <v>32</v>
      </c>
      <c r="E3424" t="s">
        <v>82</v>
      </c>
      <c r="F3424" t="s">
        <v>83</v>
      </c>
      <c r="G3424" t="s">
        <v>41</v>
      </c>
      <c r="H3424" t="s">
        <v>38</v>
      </c>
      <c r="I3424" s="3">
        <v>46</v>
      </c>
      <c r="J3424" s="2">
        <v>125</v>
      </c>
      <c r="K3424" s="3">
        <f t="shared" si="53"/>
        <v>5750</v>
      </c>
      <c r="L3424" s="3">
        <v>3105</v>
      </c>
    </row>
    <row r="3425" spans="1:12" x14ac:dyDescent="0.25">
      <c r="A3425" t="s">
        <v>11</v>
      </c>
      <c r="B3425">
        <v>1128299</v>
      </c>
      <c r="C3425" s="1">
        <v>44341</v>
      </c>
      <c r="D3425" t="s">
        <v>12</v>
      </c>
      <c r="E3425" t="s">
        <v>84</v>
      </c>
      <c r="F3425" t="s">
        <v>31</v>
      </c>
      <c r="G3425" t="s">
        <v>41</v>
      </c>
      <c r="H3425" t="s">
        <v>17</v>
      </c>
      <c r="I3425" s="3">
        <v>50</v>
      </c>
      <c r="J3425" s="2">
        <v>105</v>
      </c>
      <c r="K3425" s="3">
        <f t="shared" si="53"/>
        <v>5250</v>
      </c>
      <c r="L3425" s="3">
        <v>2835</v>
      </c>
    </row>
    <row r="3426" spans="1:12" x14ac:dyDescent="0.25">
      <c r="A3426" t="s">
        <v>27</v>
      </c>
      <c r="B3426">
        <v>1189833</v>
      </c>
      <c r="C3426" s="1">
        <v>44341</v>
      </c>
      <c r="D3426" t="s">
        <v>12</v>
      </c>
      <c r="E3426" t="s">
        <v>13</v>
      </c>
      <c r="F3426" t="s">
        <v>28</v>
      </c>
      <c r="G3426" t="s">
        <v>15</v>
      </c>
      <c r="H3426" t="s">
        <v>38</v>
      </c>
      <c r="I3426" s="3">
        <v>39</v>
      </c>
      <c r="J3426" s="2">
        <v>315</v>
      </c>
      <c r="K3426" s="3">
        <f t="shared" si="53"/>
        <v>12285</v>
      </c>
      <c r="L3426" s="3">
        <v>6633.9</v>
      </c>
    </row>
    <row r="3427" spans="1:12" x14ac:dyDescent="0.25">
      <c r="A3427" t="s">
        <v>11</v>
      </c>
      <c r="B3427">
        <v>1128299</v>
      </c>
      <c r="C3427" s="1">
        <v>44341</v>
      </c>
      <c r="D3427" t="s">
        <v>12</v>
      </c>
      <c r="E3427" t="s">
        <v>84</v>
      </c>
      <c r="F3427" t="s">
        <v>31</v>
      </c>
      <c r="G3427" t="s">
        <v>41</v>
      </c>
      <c r="H3427" t="s">
        <v>37</v>
      </c>
      <c r="I3427" s="3">
        <v>49</v>
      </c>
      <c r="J3427" s="2">
        <v>83</v>
      </c>
      <c r="K3427" s="3">
        <f t="shared" si="53"/>
        <v>4067</v>
      </c>
      <c r="L3427" s="3">
        <v>2114.84</v>
      </c>
    </row>
    <row r="3428" spans="1:12" x14ac:dyDescent="0.25">
      <c r="A3428" t="s">
        <v>19</v>
      </c>
      <c r="B3428">
        <v>1128299</v>
      </c>
      <c r="C3428" s="1">
        <v>44341</v>
      </c>
      <c r="D3428" t="s">
        <v>32</v>
      </c>
      <c r="E3428" t="s">
        <v>82</v>
      </c>
      <c r="F3428" t="s">
        <v>83</v>
      </c>
      <c r="G3428" t="s">
        <v>41</v>
      </c>
      <c r="H3428" t="s">
        <v>35</v>
      </c>
      <c r="I3428" s="3">
        <v>50</v>
      </c>
      <c r="J3428" s="2">
        <v>88</v>
      </c>
      <c r="K3428" s="3">
        <f t="shared" si="53"/>
        <v>4400</v>
      </c>
      <c r="L3428" s="3">
        <v>2200</v>
      </c>
    </row>
    <row r="3429" spans="1:12" x14ac:dyDescent="0.25">
      <c r="A3429" t="s">
        <v>19</v>
      </c>
      <c r="B3429">
        <v>1128299</v>
      </c>
      <c r="C3429" s="1">
        <v>44341</v>
      </c>
      <c r="D3429" t="s">
        <v>32</v>
      </c>
      <c r="E3429" t="s">
        <v>82</v>
      </c>
      <c r="F3429" t="s">
        <v>83</v>
      </c>
      <c r="G3429" t="s">
        <v>41</v>
      </c>
      <c r="H3429" t="s">
        <v>37</v>
      </c>
      <c r="I3429" s="3">
        <v>47</v>
      </c>
      <c r="J3429" s="2">
        <v>69</v>
      </c>
      <c r="K3429" s="3">
        <f t="shared" si="53"/>
        <v>3243</v>
      </c>
      <c r="L3429" s="3">
        <v>1621.5</v>
      </c>
    </row>
    <row r="3430" spans="1:12" x14ac:dyDescent="0.25">
      <c r="A3430" t="s">
        <v>11</v>
      </c>
      <c r="B3430">
        <v>1128299</v>
      </c>
      <c r="C3430" s="1">
        <v>44341</v>
      </c>
      <c r="D3430" t="s">
        <v>12</v>
      </c>
      <c r="E3430" t="s">
        <v>84</v>
      </c>
      <c r="F3430" t="s">
        <v>31</v>
      </c>
      <c r="G3430" t="s">
        <v>41</v>
      </c>
      <c r="H3430" t="s">
        <v>35</v>
      </c>
      <c r="I3430" s="3">
        <v>50</v>
      </c>
      <c r="J3430" s="2">
        <v>95</v>
      </c>
      <c r="K3430" s="3">
        <f t="shared" si="53"/>
        <v>4750</v>
      </c>
      <c r="L3430" s="3">
        <v>2375</v>
      </c>
    </row>
    <row r="3431" spans="1:12" x14ac:dyDescent="0.25">
      <c r="A3431" t="s">
        <v>27</v>
      </c>
      <c r="B3431">
        <v>1189833</v>
      </c>
      <c r="C3431" s="1">
        <v>44341</v>
      </c>
      <c r="D3431" t="s">
        <v>12</v>
      </c>
      <c r="E3431" t="s">
        <v>13</v>
      </c>
      <c r="F3431" t="s">
        <v>28</v>
      </c>
      <c r="G3431" t="s">
        <v>41</v>
      </c>
      <c r="H3431" t="s">
        <v>38</v>
      </c>
      <c r="I3431" s="3">
        <v>49</v>
      </c>
      <c r="J3431" s="2">
        <v>225</v>
      </c>
      <c r="K3431" s="3">
        <f t="shared" si="53"/>
        <v>11025</v>
      </c>
      <c r="L3431" s="3">
        <v>5402.25</v>
      </c>
    </row>
    <row r="3432" spans="1:12" x14ac:dyDescent="0.25">
      <c r="A3432" t="s">
        <v>19</v>
      </c>
      <c r="B3432">
        <v>1128299</v>
      </c>
      <c r="C3432" s="1">
        <v>44341</v>
      </c>
      <c r="D3432" t="s">
        <v>32</v>
      </c>
      <c r="E3432" t="s">
        <v>82</v>
      </c>
      <c r="F3432" t="s">
        <v>83</v>
      </c>
      <c r="G3432" t="s">
        <v>41</v>
      </c>
      <c r="H3432" t="s">
        <v>22</v>
      </c>
      <c r="I3432" s="3">
        <v>44</v>
      </c>
      <c r="J3432" s="2">
        <v>49</v>
      </c>
      <c r="K3432" s="3">
        <f t="shared" si="53"/>
        <v>2156</v>
      </c>
      <c r="L3432" s="3">
        <v>991.76</v>
      </c>
    </row>
    <row r="3433" spans="1:12" x14ac:dyDescent="0.25">
      <c r="A3433" t="s">
        <v>11</v>
      </c>
      <c r="B3433">
        <v>1128299</v>
      </c>
      <c r="C3433" s="1">
        <v>44341</v>
      </c>
      <c r="D3433" t="s">
        <v>12</v>
      </c>
      <c r="E3433" t="s">
        <v>84</v>
      </c>
      <c r="F3433" t="s">
        <v>31</v>
      </c>
      <c r="G3433" t="s">
        <v>41</v>
      </c>
      <c r="H3433" t="s">
        <v>22</v>
      </c>
      <c r="I3433" s="3">
        <v>41</v>
      </c>
      <c r="J3433" s="2">
        <v>44</v>
      </c>
      <c r="K3433" s="3">
        <f t="shared" si="53"/>
        <v>1804</v>
      </c>
      <c r="L3433" s="3">
        <v>811.8</v>
      </c>
    </row>
    <row r="3434" spans="1:12" x14ac:dyDescent="0.25">
      <c r="A3434" t="s">
        <v>27</v>
      </c>
      <c r="B3434">
        <v>1189833</v>
      </c>
      <c r="C3434" s="1">
        <v>44342</v>
      </c>
      <c r="D3434" t="s">
        <v>12</v>
      </c>
      <c r="E3434" t="s">
        <v>13</v>
      </c>
      <c r="F3434" t="s">
        <v>28</v>
      </c>
      <c r="G3434" t="s">
        <v>15</v>
      </c>
      <c r="H3434" t="s">
        <v>17</v>
      </c>
      <c r="I3434" s="3">
        <v>55.000000000000007</v>
      </c>
      <c r="J3434" s="2">
        <v>900</v>
      </c>
      <c r="K3434" s="3">
        <f t="shared" si="53"/>
        <v>49500.000000000007</v>
      </c>
      <c r="L3434" s="3">
        <v>37125.000000000007</v>
      </c>
    </row>
    <row r="3435" spans="1:12" x14ac:dyDescent="0.25">
      <c r="A3435" t="s">
        <v>19</v>
      </c>
      <c r="B3435">
        <v>1185732</v>
      </c>
      <c r="C3435" s="1">
        <v>44342</v>
      </c>
      <c r="D3435" t="s">
        <v>57</v>
      </c>
      <c r="E3435" t="s">
        <v>118</v>
      </c>
      <c r="F3435" t="s">
        <v>119</v>
      </c>
      <c r="G3435" t="s">
        <v>15</v>
      </c>
      <c r="H3435" t="s">
        <v>16</v>
      </c>
      <c r="I3435" s="3">
        <v>35</v>
      </c>
      <c r="J3435" s="2">
        <v>225</v>
      </c>
      <c r="K3435" s="3">
        <f t="shared" si="53"/>
        <v>7875</v>
      </c>
      <c r="L3435" s="3">
        <v>3937.5</v>
      </c>
    </row>
    <row r="3436" spans="1:12" x14ac:dyDescent="0.25">
      <c r="A3436" t="s">
        <v>27</v>
      </c>
      <c r="B3436">
        <v>1189833</v>
      </c>
      <c r="C3436" s="1">
        <v>44342</v>
      </c>
      <c r="D3436" t="s">
        <v>12</v>
      </c>
      <c r="E3436" t="s">
        <v>13</v>
      </c>
      <c r="F3436" t="s">
        <v>28</v>
      </c>
      <c r="G3436" t="s">
        <v>15</v>
      </c>
      <c r="H3436" t="s">
        <v>17</v>
      </c>
      <c r="I3436" s="3">
        <v>42</v>
      </c>
      <c r="J3436" s="2">
        <v>288</v>
      </c>
      <c r="K3436" s="3">
        <f t="shared" si="53"/>
        <v>12096</v>
      </c>
      <c r="L3436" s="3">
        <v>8709.119999999999</v>
      </c>
    </row>
    <row r="3437" spans="1:12" x14ac:dyDescent="0.25">
      <c r="A3437" t="s">
        <v>27</v>
      </c>
      <c r="B3437">
        <v>1189833</v>
      </c>
      <c r="C3437" s="1">
        <v>44342</v>
      </c>
      <c r="D3437" t="s">
        <v>12</v>
      </c>
      <c r="E3437" t="s">
        <v>13</v>
      </c>
      <c r="F3437" t="s">
        <v>28</v>
      </c>
      <c r="G3437" t="s">
        <v>41</v>
      </c>
      <c r="H3437" t="s">
        <v>17</v>
      </c>
      <c r="I3437" s="3">
        <v>50</v>
      </c>
      <c r="J3437" s="2">
        <v>243</v>
      </c>
      <c r="K3437" s="3">
        <f t="shared" si="53"/>
        <v>12150</v>
      </c>
      <c r="L3437" s="3">
        <v>7533</v>
      </c>
    </row>
    <row r="3438" spans="1:12" x14ac:dyDescent="0.25">
      <c r="A3438" t="s">
        <v>19</v>
      </c>
      <c r="B3438">
        <v>1185732</v>
      </c>
      <c r="C3438" s="1">
        <v>44342</v>
      </c>
      <c r="D3438" t="s">
        <v>57</v>
      </c>
      <c r="E3438" t="s">
        <v>118</v>
      </c>
      <c r="F3438" t="s">
        <v>119</v>
      </c>
      <c r="G3438" t="s">
        <v>41</v>
      </c>
      <c r="H3438" t="s">
        <v>16</v>
      </c>
      <c r="I3438" s="3">
        <v>32</v>
      </c>
      <c r="J3438" s="2">
        <v>68</v>
      </c>
      <c r="K3438" s="3">
        <f t="shared" si="53"/>
        <v>2176</v>
      </c>
      <c r="L3438" s="3">
        <v>848.6400000000001</v>
      </c>
    </row>
    <row r="3439" spans="1:12" x14ac:dyDescent="0.25">
      <c r="A3439" t="s">
        <v>27</v>
      </c>
      <c r="B3439">
        <v>1128299</v>
      </c>
      <c r="C3439" s="1">
        <v>44343</v>
      </c>
      <c r="D3439" t="s">
        <v>12</v>
      </c>
      <c r="E3439" t="s">
        <v>42</v>
      </c>
      <c r="F3439" t="s">
        <v>43</v>
      </c>
      <c r="G3439" t="s">
        <v>41</v>
      </c>
      <c r="H3439" t="s">
        <v>16</v>
      </c>
      <c r="I3439" s="3">
        <v>75.000000000000014</v>
      </c>
      <c r="J3439" s="2">
        <v>425</v>
      </c>
      <c r="K3439" s="3">
        <f t="shared" si="53"/>
        <v>31875.000000000007</v>
      </c>
      <c r="L3439" s="3">
        <v>23906.250000000007</v>
      </c>
    </row>
    <row r="3440" spans="1:12" x14ac:dyDescent="0.25">
      <c r="A3440" t="s">
        <v>27</v>
      </c>
      <c r="B3440">
        <v>1128299</v>
      </c>
      <c r="C3440" s="1">
        <v>44343</v>
      </c>
      <c r="D3440" t="s">
        <v>12</v>
      </c>
      <c r="E3440" t="s">
        <v>42</v>
      </c>
      <c r="F3440" t="s">
        <v>43</v>
      </c>
      <c r="G3440" t="s">
        <v>41</v>
      </c>
      <c r="H3440" t="s">
        <v>22</v>
      </c>
      <c r="I3440" s="3">
        <v>60.000000000000007</v>
      </c>
      <c r="J3440" s="2">
        <v>250</v>
      </c>
      <c r="K3440" s="3">
        <f t="shared" si="53"/>
        <v>15000.000000000002</v>
      </c>
      <c r="L3440" s="3">
        <v>10500.000000000004</v>
      </c>
    </row>
    <row r="3441" spans="1:12" x14ac:dyDescent="0.25">
      <c r="A3441" t="s">
        <v>27</v>
      </c>
      <c r="B3441">
        <v>1128299</v>
      </c>
      <c r="C3441" s="1">
        <v>44343</v>
      </c>
      <c r="D3441" t="s">
        <v>12</v>
      </c>
      <c r="E3441" t="s">
        <v>42</v>
      </c>
      <c r="F3441" t="s">
        <v>43</v>
      </c>
      <c r="G3441" t="s">
        <v>41</v>
      </c>
      <c r="H3441" t="s">
        <v>35</v>
      </c>
      <c r="I3441" s="3">
        <v>60.000000000000007</v>
      </c>
      <c r="J3441" s="2">
        <v>450</v>
      </c>
      <c r="K3441" s="3">
        <f t="shared" si="53"/>
        <v>27000.000000000004</v>
      </c>
      <c r="L3441" s="3">
        <v>17550.000000000007</v>
      </c>
    </row>
    <row r="3442" spans="1:12" x14ac:dyDescent="0.25">
      <c r="A3442" t="s">
        <v>27</v>
      </c>
      <c r="B3442">
        <v>1128299</v>
      </c>
      <c r="C3442" s="1">
        <v>44343</v>
      </c>
      <c r="D3442" t="s">
        <v>12</v>
      </c>
      <c r="E3442" t="s">
        <v>42</v>
      </c>
      <c r="F3442" t="s">
        <v>43</v>
      </c>
      <c r="G3442" t="s">
        <v>41</v>
      </c>
      <c r="H3442" t="s">
        <v>38</v>
      </c>
      <c r="I3442" s="3">
        <v>55.000000000000007</v>
      </c>
      <c r="J3442" s="2">
        <v>575</v>
      </c>
      <c r="K3442" s="3">
        <f t="shared" si="53"/>
        <v>31625.000000000004</v>
      </c>
      <c r="L3442" s="3">
        <v>20556.250000000007</v>
      </c>
    </row>
    <row r="3443" spans="1:12" x14ac:dyDescent="0.25">
      <c r="A3443" t="s">
        <v>27</v>
      </c>
      <c r="B3443">
        <v>1128299</v>
      </c>
      <c r="C3443" s="1">
        <v>44343</v>
      </c>
      <c r="D3443" t="s">
        <v>12</v>
      </c>
      <c r="E3443" t="s">
        <v>42</v>
      </c>
      <c r="F3443" t="s">
        <v>43</v>
      </c>
      <c r="G3443" t="s">
        <v>41</v>
      </c>
      <c r="H3443" t="s">
        <v>37</v>
      </c>
      <c r="I3443" s="3">
        <v>55.000000000000007</v>
      </c>
      <c r="J3443" s="2">
        <v>350</v>
      </c>
      <c r="K3443" s="3">
        <f t="shared" si="53"/>
        <v>19250.000000000004</v>
      </c>
      <c r="L3443" s="3">
        <v>12512.500000000004</v>
      </c>
    </row>
    <row r="3444" spans="1:12" x14ac:dyDescent="0.25">
      <c r="A3444" t="s">
        <v>27</v>
      </c>
      <c r="B3444">
        <v>1189833</v>
      </c>
      <c r="C3444" s="1">
        <v>44343</v>
      </c>
      <c r="D3444" t="s">
        <v>12</v>
      </c>
      <c r="E3444" t="s">
        <v>13</v>
      </c>
      <c r="F3444" t="s">
        <v>28</v>
      </c>
      <c r="G3444" t="s">
        <v>15</v>
      </c>
      <c r="H3444" t="s">
        <v>35</v>
      </c>
      <c r="I3444" s="3">
        <v>50</v>
      </c>
      <c r="J3444" s="2">
        <v>700</v>
      </c>
      <c r="K3444" s="3">
        <f t="shared" si="53"/>
        <v>35000</v>
      </c>
      <c r="L3444" s="3">
        <v>21000</v>
      </c>
    </row>
    <row r="3445" spans="1:12" x14ac:dyDescent="0.25">
      <c r="A3445" t="s">
        <v>19</v>
      </c>
      <c r="B3445">
        <v>1185732</v>
      </c>
      <c r="C3445" s="1">
        <v>44343</v>
      </c>
      <c r="D3445" t="s">
        <v>57</v>
      </c>
      <c r="E3445" t="s">
        <v>118</v>
      </c>
      <c r="F3445" t="s">
        <v>119</v>
      </c>
      <c r="G3445" t="s">
        <v>15</v>
      </c>
      <c r="H3445" t="s">
        <v>38</v>
      </c>
      <c r="I3445" s="3">
        <v>35</v>
      </c>
      <c r="J3445" s="2">
        <v>475</v>
      </c>
      <c r="K3445" s="3">
        <f t="shared" si="53"/>
        <v>16625</v>
      </c>
      <c r="L3445" s="3">
        <v>9975</v>
      </c>
    </row>
    <row r="3446" spans="1:12" x14ac:dyDescent="0.25">
      <c r="A3446" t="s">
        <v>27</v>
      </c>
      <c r="B3446">
        <v>1128299</v>
      </c>
      <c r="C3446" s="1">
        <v>44343</v>
      </c>
      <c r="D3446" t="s">
        <v>12</v>
      </c>
      <c r="E3446" t="s">
        <v>42</v>
      </c>
      <c r="F3446" t="s">
        <v>43</v>
      </c>
      <c r="G3446" t="s">
        <v>41</v>
      </c>
      <c r="H3446" t="s">
        <v>17</v>
      </c>
      <c r="I3446" s="3">
        <v>60.000000000000007</v>
      </c>
      <c r="J3446" s="2">
        <v>425</v>
      </c>
      <c r="K3446" s="3">
        <f t="shared" si="53"/>
        <v>25500.000000000004</v>
      </c>
      <c r="L3446" s="3">
        <v>15300</v>
      </c>
    </row>
    <row r="3447" spans="1:12" x14ac:dyDescent="0.25">
      <c r="A3447" t="s">
        <v>27</v>
      </c>
      <c r="B3447">
        <v>1128299</v>
      </c>
      <c r="C3447" s="1">
        <v>44343</v>
      </c>
      <c r="D3447" t="s">
        <v>12</v>
      </c>
      <c r="E3447" t="s">
        <v>42</v>
      </c>
      <c r="F3447" t="s">
        <v>43</v>
      </c>
      <c r="G3447" t="s">
        <v>15</v>
      </c>
      <c r="H3447" t="s">
        <v>16</v>
      </c>
      <c r="I3447" s="3">
        <v>56</v>
      </c>
      <c r="J3447" s="2">
        <v>132</v>
      </c>
      <c r="K3447" s="3">
        <f t="shared" si="53"/>
        <v>7392</v>
      </c>
      <c r="L3447" s="3">
        <v>5248.32</v>
      </c>
    </row>
    <row r="3448" spans="1:12" x14ac:dyDescent="0.25">
      <c r="A3448" t="s">
        <v>27</v>
      </c>
      <c r="B3448">
        <v>1128299</v>
      </c>
      <c r="C3448" s="1">
        <v>44343</v>
      </c>
      <c r="D3448" t="s">
        <v>12</v>
      </c>
      <c r="E3448" t="s">
        <v>42</v>
      </c>
      <c r="F3448" t="s">
        <v>43</v>
      </c>
      <c r="G3448" t="s">
        <v>15</v>
      </c>
      <c r="H3448" t="s">
        <v>22</v>
      </c>
      <c r="I3448" s="3">
        <v>45</v>
      </c>
      <c r="J3448" s="2">
        <v>78</v>
      </c>
      <c r="K3448" s="3">
        <f t="shared" si="53"/>
        <v>3510</v>
      </c>
      <c r="L3448" s="3">
        <v>2281.5</v>
      </c>
    </row>
    <row r="3449" spans="1:12" x14ac:dyDescent="0.25">
      <c r="A3449" t="s">
        <v>27</v>
      </c>
      <c r="B3449">
        <v>1128299</v>
      </c>
      <c r="C3449" s="1">
        <v>44343</v>
      </c>
      <c r="D3449" t="s">
        <v>12</v>
      </c>
      <c r="E3449" t="s">
        <v>42</v>
      </c>
      <c r="F3449" t="s">
        <v>43</v>
      </c>
      <c r="G3449" t="s">
        <v>41</v>
      </c>
      <c r="H3449" t="s">
        <v>16</v>
      </c>
      <c r="I3449" s="3">
        <v>69</v>
      </c>
      <c r="J3449" s="2">
        <v>115</v>
      </c>
      <c r="K3449" s="3">
        <f t="shared" si="53"/>
        <v>7935</v>
      </c>
      <c r="L3449" s="3">
        <v>4840.3500000000004</v>
      </c>
    </row>
    <row r="3450" spans="1:12" x14ac:dyDescent="0.25">
      <c r="A3450" t="s">
        <v>27</v>
      </c>
      <c r="B3450">
        <v>1128299</v>
      </c>
      <c r="C3450" s="1">
        <v>44343</v>
      </c>
      <c r="D3450" t="s">
        <v>12</v>
      </c>
      <c r="E3450" t="s">
        <v>42</v>
      </c>
      <c r="F3450" t="s">
        <v>43</v>
      </c>
      <c r="G3450" t="s">
        <v>15</v>
      </c>
      <c r="H3450" t="s">
        <v>35</v>
      </c>
      <c r="I3450" s="3">
        <v>46</v>
      </c>
      <c r="J3450" s="2">
        <v>135</v>
      </c>
      <c r="K3450" s="3">
        <f t="shared" si="53"/>
        <v>6210</v>
      </c>
      <c r="L3450" s="3">
        <v>3663.9</v>
      </c>
    </row>
    <row r="3451" spans="1:12" x14ac:dyDescent="0.25">
      <c r="A3451" t="s">
        <v>27</v>
      </c>
      <c r="B3451">
        <v>1128299</v>
      </c>
      <c r="C3451" s="1">
        <v>44343</v>
      </c>
      <c r="D3451" t="s">
        <v>12</v>
      </c>
      <c r="E3451" t="s">
        <v>42</v>
      </c>
      <c r="F3451" t="s">
        <v>43</v>
      </c>
      <c r="G3451" t="s">
        <v>15</v>
      </c>
      <c r="H3451" t="s">
        <v>38</v>
      </c>
      <c r="I3451" s="3">
        <v>43</v>
      </c>
      <c r="J3451" s="2">
        <v>184</v>
      </c>
      <c r="K3451" s="3">
        <f t="shared" si="53"/>
        <v>7912</v>
      </c>
      <c r="L3451" s="3">
        <v>4668.08</v>
      </c>
    </row>
    <row r="3452" spans="1:12" x14ac:dyDescent="0.25">
      <c r="A3452" t="s">
        <v>27</v>
      </c>
      <c r="B3452">
        <v>1128299</v>
      </c>
      <c r="C3452" s="1">
        <v>44343</v>
      </c>
      <c r="D3452" t="s">
        <v>12</v>
      </c>
      <c r="E3452" t="s">
        <v>42</v>
      </c>
      <c r="F3452" t="s">
        <v>43</v>
      </c>
      <c r="G3452" t="s">
        <v>15</v>
      </c>
      <c r="H3452" t="s">
        <v>37</v>
      </c>
      <c r="I3452" s="3">
        <v>43</v>
      </c>
      <c r="J3452" s="2">
        <v>109</v>
      </c>
      <c r="K3452" s="3">
        <f t="shared" si="53"/>
        <v>4687</v>
      </c>
      <c r="L3452" s="3">
        <v>2765.33</v>
      </c>
    </row>
    <row r="3453" spans="1:12" x14ac:dyDescent="0.25">
      <c r="A3453" t="s">
        <v>27</v>
      </c>
      <c r="B3453">
        <v>1128299</v>
      </c>
      <c r="C3453" s="1">
        <v>44343</v>
      </c>
      <c r="D3453" t="s">
        <v>12</v>
      </c>
      <c r="E3453" t="s">
        <v>42</v>
      </c>
      <c r="F3453" t="s">
        <v>43</v>
      </c>
      <c r="G3453" t="s">
        <v>41</v>
      </c>
      <c r="H3453" t="s">
        <v>22</v>
      </c>
      <c r="I3453" s="3">
        <v>56</v>
      </c>
      <c r="J3453" s="2">
        <v>65</v>
      </c>
      <c r="K3453" s="3">
        <f t="shared" si="53"/>
        <v>3640</v>
      </c>
      <c r="L3453" s="3">
        <v>2111.1999999999998</v>
      </c>
    </row>
    <row r="3454" spans="1:12" x14ac:dyDescent="0.25">
      <c r="A3454" t="s">
        <v>27</v>
      </c>
      <c r="B3454">
        <v>1128299</v>
      </c>
      <c r="C3454" s="1">
        <v>44343</v>
      </c>
      <c r="D3454" t="s">
        <v>12</v>
      </c>
      <c r="E3454" t="s">
        <v>42</v>
      </c>
      <c r="F3454" t="s">
        <v>43</v>
      </c>
      <c r="G3454" t="s">
        <v>15</v>
      </c>
      <c r="H3454" t="s">
        <v>17</v>
      </c>
      <c r="I3454" s="3">
        <v>46</v>
      </c>
      <c r="J3454" s="2">
        <v>136</v>
      </c>
      <c r="K3454" s="3">
        <f t="shared" si="53"/>
        <v>6256</v>
      </c>
      <c r="L3454" s="3">
        <v>3628.4799999999996</v>
      </c>
    </row>
    <row r="3455" spans="1:12" x14ac:dyDescent="0.25">
      <c r="A3455" t="s">
        <v>27</v>
      </c>
      <c r="B3455">
        <v>1128299</v>
      </c>
      <c r="C3455" s="1">
        <v>44343</v>
      </c>
      <c r="D3455" t="s">
        <v>12</v>
      </c>
      <c r="E3455" t="s">
        <v>42</v>
      </c>
      <c r="F3455" t="s">
        <v>43</v>
      </c>
      <c r="G3455" t="s">
        <v>41</v>
      </c>
      <c r="H3455" t="s">
        <v>38</v>
      </c>
      <c r="I3455" s="3">
        <v>51</v>
      </c>
      <c r="J3455" s="2">
        <v>150</v>
      </c>
      <c r="K3455" s="3">
        <f t="shared" si="53"/>
        <v>7650</v>
      </c>
      <c r="L3455" s="3">
        <v>4207.5</v>
      </c>
    </row>
    <row r="3456" spans="1:12" x14ac:dyDescent="0.25">
      <c r="A3456" t="s">
        <v>27</v>
      </c>
      <c r="B3456">
        <v>1128299</v>
      </c>
      <c r="C3456" s="1">
        <v>44343</v>
      </c>
      <c r="D3456" t="s">
        <v>12</v>
      </c>
      <c r="E3456" t="s">
        <v>42</v>
      </c>
      <c r="F3456" t="s">
        <v>43</v>
      </c>
      <c r="G3456" t="s">
        <v>41</v>
      </c>
      <c r="H3456" t="s">
        <v>37</v>
      </c>
      <c r="I3456" s="3">
        <v>51</v>
      </c>
      <c r="J3456" s="2">
        <v>91</v>
      </c>
      <c r="K3456" s="3">
        <f t="shared" si="53"/>
        <v>4641</v>
      </c>
      <c r="L3456" s="3">
        <v>2506.1400000000003</v>
      </c>
    </row>
    <row r="3457" spans="1:12" x14ac:dyDescent="0.25">
      <c r="A3457" t="s">
        <v>27</v>
      </c>
      <c r="B3457">
        <v>1189833</v>
      </c>
      <c r="C3457" s="1">
        <v>44343</v>
      </c>
      <c r="D3457" t="s">
        <v>12</v>
      </c>
      <c r="E3457" t="s">
        <v>13</v>
      </c>
      <c r="F3457" t="s">
        <v>28</v>
      </c>
      <c r="G3457" t="s">
        <v>15</v>
      </c>
      <c r="H3457" t="s">
        <v>35</v>
      </c>
      <c r="I3457" s="3">
        <v>39</v>
      </c>
      <c r="J3457" s="2">
        <v>231</v>
      </c>
      <c r="K3457" s="3">
        <f t="shared" si="53"/>
        <v>9009</v>
      </c>
      <c r="L3457" s="3">
        <v>4864.8599999999997</v>
      </c>
    </row>
    <row r="3458" spans="1:12" x14ac:dyDescent="0.25">
      <c r="A3458" t="s">
        <v>27</v>
      </c>
      <c r="B3458">
        <v>1128299</v>
      </c>
      <c r="C3458" s="1">
        <v>44343</v>
      </c>
      <c r="D3458" t="s">
        <v>12</v>
      </c>
      <c r="E3458" t="s">
        <v>42</v>
      </c>
      <c r="F3458" t="s">
        <v>43</v>
      </c>
      <c r="G3458" t="s">
        <v>41</v>
      </c>
      <c r="H3458" t="s">
        <v>35</v>
      </c>
      <c r="I3458" s="3">
        <v>56</v>
      </c>
      <c r="J3458" s="2">
        <v>126</v>
      </c>
      <c r="K3458" s="3">
        <f t="shared" si="53"/>
        <v>7056</v>
      </c>
      <c r="L3458" s="3">
        <v>3739.6800000000003</v>
      </c>
    </row>
    <row r="3459" spans="1:12" x14ac:dyDescent="0.25">
      <c r="A3459" t="s">
        <v>27</v>
      </c>
      <c r="B3459">
        <v>1128299</v>
      </c>
      <c r="C3459" s="1">
        <v>44343</v>
      </c>
      <c r="D3459" t="s">
        <v>12</v>
      </c>
      <c r="E3459" t="s">
        <v>42</v>
      </c>
      <c r="F3459" t="s">
        <v>43</v>
      </c>
      <c r="G3459" t="s">
        <v>41</v>
      </c>
      <c r="H3459" t="s">
        <v>17</v>
      </c>
      <c r="I3459" s="3">
        <v>58</v>
      </c>
      <c r="J3459" s="2">
        <v>111</v>
      </c>
      <c r="K3459" s="3">
        <f t="shared" ref="K3459:K3522" si="54">I3459*J3459</f>
        <v>6438</v>
      </c>
      <c r="L3459" s="3">
        <v>3154.62</v>
      </c>
    </row>
    <row r="3460" spans="1:12" x14ac:dyDescent="0.25">
      <c r="A3460" t="s">
        <v>27</v>
      </c>
      <c r="B3460">
        <v>1189833</v>
      </c>
      <c r="C3460" s="1">
        <v>44343</v>
      </c>
      <c r="D3460" t="s">
        <v>12</v>
      </c>
      <c r="E3460" t="s">
        <v>13</v>
      </c>
      <c r="F3460" t="s">
        <v>28</v>
      </c>
      <c r="G3460" t="s">
        <v>41</v>
      </c>
      <c r="H3460" t="s">
        <v>35</v>
      </c>
      <c r="I3460" s="3">
        <v>46</v>
      </c>
      <c r="J3460" s="2">
        <v>182</v>
      </c>
      <c r="K3460" s="3">
        <f t="shared" si="54"/>
        <v>8372</v>
      </c>
      <c r="L3460" s="3">
        <v>3851.12</v>
      </c>
    </row>
    <row r="3461" spans="1:12" x14ac:dyDescent="0.25">
      <c r="A3461" t="s">
        <v>19</v>
      </c>
      <c r="B3461">
        <v>1185732</v>
      </c>
      <c r="C3461" s="1">
        <v>44343</v>
      </c>
      <c r="D3461" t="s">
        <v>57</v>
      </c>
      <c r="E3461" t="s">
        <v>118</v>
      </c>
      <c r="F3461" t="s">
        <v>119</v>
      </c>
      <c r="G3461" t="s">
        <v>41</v>
      </c>
      <c r="H3461" t="s">
        <v>38</v>
      </c>
      <c r="I3461" s="3">
        <v>32</v>
      </c>
      <c r="J3461" s="2">
        <v>119</v>
      </c>
      <c r="K3461" s="3">
        <f t="shared" si="54"/>
        <v>3808</v>
      </c>
      <c r="L3461" s="3">
        <v>1751.6799999999998</v>
      </c>
    </row>
    <row r="3462" spans="1:12" x14ac:dyDescent="0.25">
      <c r="A3462" t="s">
        <v>27</v>
      </c>
      <c r="B3462">
        <v>1189833</v>
      </c>
      <c r="C3462" s="1">
        <v>44344</v>
      </c>
      <c r="D3462" t="s">
        <v>12</v>
      </c>
      <c r="E3462" t="s">
        <v>13</v>
      </c>
      <c r="F3462" t="s">
        <v>28</v>
      </c>
      <c r="G3462" t="s">
        <v>15</v>
      </c>
      <c r="H3462" t="s">
        <v>37</v>
      </c>
      <c r="I3462" s="3">
        <v>50</v>
      </c>
      <c r="J3462" s="2">
        <v>700</v>
      </c>
      <c r="K3462" s="3">
        <f t="shared" si="54"/>
        <v>35000</v>
      </c>
      <c r="L3462" s="3">
        <v>22750</v>
      </c>
    </row>
    <row r="3463" spans="1:12" x14ac:dyDescent="0.25">
      <c r="A3463" t="s">
        <v>19</v>
      </c>
      <c r="B3463">
        <v>1185732</v>
      </c>
      <c r="C3463" s="1">
        <v>44344</v>
      </c>
      <c r="D3463" t="s">
        <v>57</v>
      </c>
      <c r="E3463" t="s">
        <v>118</v>
      </c>
      <c r="F3463" t="s">
        <v>119</v>
      </c>
      <c r="G3463" t="s">
        <v>15</v>
      </c>
      <c r="H3463" t="s">
        <v>17</v>
      </c>
      <c r="I3463" s="3">
        <v>35</v>
      </c>
      <c r="J3463" s="2">
        <v>125</v>
      </c>
      <c r="K3463" s="3">
        <f t="shared" si="54"/>
        <v>4375</v>
      </c>
      <c r="L3463" s="3">
        <v>2843.75</v>
      </c>
    </row>
    <row r="3464" spans="1:12" x14ac:dyDescent="0.25">
      <c r="A3464" t="s">
        <v>27</v>
      </c>
      <c r="B3464">
        <v>1189833</v>
      </c>
      <c r="C3464" s="1">
        <v>44344</v>
      </c>
      <c r="D3464" t="s">
        <v>12</v>
      </c>
      <c r="E3464" t="s">
        <v>13</v>
      </c>
      <c r="F3464" t="s">
        <v>28</v>
      </c>
      <c r="G3464" t="s">
        <v>15</v>
      </c>
      <c r="H3464" t="s">
        <v>37</v>
      </c>
      <c r="I3464" s="3">
        <v>35</v>
      </c>
      <c r="J3464" s="2">
        <v>224</v>
      </c>
      <c r="K3464" s="3">
        <f t="shared" si="54"/>
        <v>7840</v>
      </c>
      <c r="L3464" s="3">
        <v>4704</v>
      </c>
    </row>
    <row r="3465" spans="1:12" x14ac:dyDescent="0.25">
      <c r="A3465" t="s">
        <v>27</v>
      </c>
      <c r="B3465">
        <v>1189833</v>
      </c>
      <c r="C3465" s="1">
        <v>44344</v>
      </c>
      <c r="D3465" t="s">
        <v>12</v>
      </c>
      <c r="E3465" t="s">
        <v>13</v>
      </c>
      <c r="F3465" t="s">
        <v>28</v>
      </c>
      <c r="G3465" t="s">
        <v>41</v>
      </c>
      <c r="H3465" t="s">
        <v>37</v>
      </c>
      <c r="I3465" s="3">
        <v>49</v>
      </c>
      <c r="J3465" s="2">
        <v>210</v>
      </c>
      <c r="K3465" s="3">
        <f t="shared" si="54"/>
        <v>10290</v>
      </c>
      <c r="L3465" s="3">
        <v>5145</v>
      </c>
    </row>
    <row r="3466" spans="1:12" x14ac:dyDescent="0.25">
      <c r="A3466" t="s">
        <v>19</v>
      </c>
      <c r="B3466">
        <v>1185732</v>
      </c>
      <c r="C3466" s="1">
        <v>44344</v>
      </c>
      <c r="D3466" t="s">
        <v>57</v>
      </c>
      <c r="E3466" t="s">
        <v>118</v>
      </c>
      <c r="F3466" t="s">
        <v>119</v>
      </c>
      <c r="G3466" t="s">
        <v>41</v>
      </c>
      <c r="H3466" t="s">
        <v>17</v>
      </c>
      <c r="I3466" s="3">
        <v>33</v>
      </c>
      <c r="J3466" s="2">
        <v>38</v>
      </c>
      <c r="K3466" s="3">
        <f t="shared" si="54"/>
        <v>1254</v>
      </c>
      <c r="L3466" s="3">
        <v>627</v>
      </c>
    </row>
    <row r="3467" spans="1:12" x14ac:dyDescent="0.25">
      <c r="A3467" t="s">
        <v>19</v>
      </c>
      <c r="B3467">
        <v>1185732</v>
      </c>
      <c r="C3467" s="1">
        <v>44345</v>
      </c>
      <c r="D3467" t="s">
        <v>57</v>
      </c>
      <c r="E3467" t="s">
        <v>118</v>
      </c>
      <c r="F3467" t="s">
        <v>119</v>
      </c>
      <c r="G3467" t="s">
        <v>15</v>
      </c>
      <c r="H3467" t="s">
        <v>35</v>
      </c>
      <c r="I3467" s="3">
        <v>25</v>
      </c>
      <c r="J3467" s="2">
        <v>175</v>
      </c>
      <c r="K3467" s="3">
        <f t="shared" si="54"/>
        <v>4375</v>
      </c>
      <c r="L3467" s="3">
        <v>2843.75</v>
      </c>
    </row>
    <row r="3468" spans="1:12" x14ac:dyDescent="0.25">
      <c r="A3468" t="s">
        <v>27</v>
      </c>
      <c r="B3468">
        <v>1189833</v>
      </c>
      <c r="C3468" s="1">
        <v>44345</v>
      </c>
      <c r="D3468" t="s">
        <v>12</v>
      </c>
      <c r="E3468" t="s">
        <v>13</v>
      </c>
      <c r="F3468" t="s">
        <v>28</v>
      </c>
      <c r="G3468" t="s">
        <v>15</v>
      </c>
      <c r="H3468" t="s">
        <v>22</v>
      </c>
      <c r="I3468" s="3">
        <v>60</v>
      </c>
      <c r="J3468" s="2">
        <v>625</v>
      </c>
      <c r="K3468" s="3">
        <f t="shared" si="54"/>
        <v>37500</v>
      </c>
      <c r="L3468" s="3">
        <v>16874.999999999996</v>
      </c>
    </row>
    <row r="3469" spans="1:12" x14ac:dyDescent="0.25">
      <c r="A3469" t="s">
        <v>19</v>
      </c>
      <c r="B3469">
        <v>1185732</v>
      </c>
      <c r="C3469" s="1">
        <v>44345</v>
      </c>
      <c r="D3469" t="s">
        <v>57</v>
      </c>
      <c r="E3469" t="s">
        <v>118</v>
      </c>
      <c r="F3469" t="s">
        <v>119</v>
      </c>
      <c r="G3469" t="s">
        <v>41</v>
      </c>
      <c r="H3469" t="s">
        <v>35</v>
      </c>
      <c r="I3469" s="3">
        <v>23</v>
      </c>
      <c r="J3469" s="2">
        <v>47</v>
      </c>
      <c r="K3469" s="3">
        <f t="shared" si="54"/>
        <v>1081</v>
      </c>
      <c r="L3469" s="3">
        <v>540.5</v>
      </c>
    </row>
    <row r="3470" spans="1:12" x14ac:dyDescent="0.25">
      <c r="A3470" t="s">
        <v>27</v>
      </c>
      <c r="B3470">
        <v>1189833</v>
      </c>
      <c r="C3470" s="1">
        <v>44345</v>
      </c>
      <c r="D3470" t="s">
        <v>12</v>
      </c>
      <c r="E3470" t="s">
        <v>13</v>
      </c>
      <c r="F3470" t="s">
        <v>28</v>
      </c>
      <c r="G3470" t="s">
        <v>15</v>
      </c>
      <c r="H3470" t="s">
        <v>22</v>
      </c>
      <c r="I3470" s="3">
        <v>43</v>
      </c>
      <c r="J3470" s="2">
        <v>219</v>
      </c>
      <c r="K3470" s="3">
        <f t="shared" si="54"/>
        <v>9417</v>
      </c>
      <c r="L3470" s="3">
        <v>3578.4599999999991</v>
      </c>
    </row>
    <row r="3471" spans="1:12" x14ac:dyDescent="0.25">
      <c r="A3471" t="s">
        <v>27</v>
      </c>
      <c r="B3471">
        <v>1189833</v>
      </c>
      <c r="C3471" s="1">
        <v>44345</v>
      </c>
      <c r="D3471" t="s">
        <v>12</v>
      </c>
      <c r="E3471" t="s">
        <v>13</v>
      </c>
      <c r="F3471" t="s">
        <v>28</v>
      </c>
      <c r="G3471" t="s">
        <v>41</v>
      </c>
      <c r="H3471" t="s">
        <v>22</v>
      </c>
      <c r="I3471" s="3">
        <v>55</v>
      </c>
      <c r="J3471" s="2">
        <v>156</v>
      </c>
      <c r="K3471" s="3">
        <f t="shared" si="54"/>
        <v>8580</v>
      </c>
      <c r="L3471" s="3">
        <v>3003</v>
      </c>
    </row>
    <row r="3472" spans="1:12" x14ac:dyDescent="0.25">
      <c r="A3472" t="s">
        <v>27</v>
      </c>
      <c r="B3472">
        <v>1189833</v>
      </c>
      <c r="C3472" s="1">
        <v>44346</v>
      </c>
      <c r="D3472" t="s">
        <v>12</v>
      </c>
      <c r="E3472" t="s">
        <v>13</v>
      </c>
      <c r="F3472" t="s">
        <v>28</v>
      </c>
      <c r="G3472" t="s">
        <v>15</v>
      </c>
      <c r="H3472" t="s">
        <v>16</v>
      </c>
      <c r="I3472" s="3">
        <v>65</v>
      </c>
      <c r="J3472" s="2">
        <v>725</v>
      </c>
      <c r="K3472" s="3">
        <f t="shared" si="54"/>
        <v>47125</v>
      </c>
      <c r="L3472" s="3">
        <v>37700</v>
      </c>
    </row>
    <row r="3473" spans="1:12" x14ac:dyDescent="0.25">
      <c r="A3473" t="s">
        <v>19</v>
      </c>
      <c r="B3473">
        <v>1185732</v>
      </c>
      <c r="C3473" s="1">
        <v>44346</v>
      </c>
      <c r="D3473" t="s">
        <v>57</v>
      </c>
      <c r="E3473" t="s">
        <v>118</v>
      </c>
      <c r="F3473" t="s">
        <v>119</v>
      </c>
      <c r="G3473" t="s">
        <v>15</v>
      </c>
      <c r="H3473" t="s">
        <v>37</v>
      </c>
      <c r="I3473" s="3">
        <v>30.000000000000004</v>
      </c>
      <c r="J3473" s="2">
        <v>50</v>
      </c>
      <c r="K3473" s="3">
        <f t="shared" si="54"/>
        <v>1500.0000000000002</v>
      </c>
      <c r="L3473" s="3">
        <v>900</v>
      </c>
    </row>
    <row r="3474" spans="1:12" x14ac:dyDescent="0.25">
      <c r="A3474" t="s">
        <v>27</v>
      </c>
      <c r="B3474">
        <v>1189833</v>
      </c>
      <c r="C3474" s="1">
        <v>44346</v>
      </c>
      <c r="D3474" t="s">
        <v>12</v>
      </c>
      <c r="E3474" t="s">
        <v>13</v>
      </c>
      <c r="F3474" t="s">
        <v>28</v>
      </c>
      <c r="G3474" t="s">
        <v>15</v>
      </c>
      <c r="H3474" t="s">
        <v>16</v>
      </c>
      <c r="I3474" s="3">
        <v>44</v>
      </c>
      <c r="J3474" s="2">
        <v>232</v>
      </c>
      <c r="K3474" s="3">
        <f t="shared" si="54"/>
        <v>10208</v>
      </c>
      <c r="L3474" s="3">
        <v>7656</v>
      </c>
    </row>
    <row r="3475" spans="1:12" x14ac:dyDescent="0.25">
      <c r="A3475" t="s">
        <v>27</v>
      </c>
      <c r="B3475">
        <v>1189833</v>
      </c>
      <c r="C3475" s="1">
        <v>44346</v>
      </c>
      <c r="D3475" t="s">
        <v>12</v>
      </c>
      <c r="E3475" t="s">
        <v>13</v>
      </c>
      <c r="F3475" t="s">
        <v>28</v>
      </c>
      <c r="G3475" t="s">
        <v>41</v>
      </c>
      <c r="H3475" t="s">
        <v>16</v>
      </c>
      <c r="I3475" s="3">
        <v>59</v>
      </c>
      <c r="J3475" s="2">
        <v>196</v>
      </c>
      <c r="K3475" s="3">
        <f t="shared" si="54"/>
        <v>11564</v>
      </c>
      <c r="L3475" s="3">
        <v>7516.6</v>
      </c>
    </row>
    <row r="3476" spans="1:12" x14ac:dyDescent="0.25">
      <c r="A3476" t="s">
        <v>19</v>
      </c>
      <c r="B3476">
        <v>1185732</v>
      </c>
      <c r="C3476" s="1">
        <v>44346</v>
      </c>
      <c r="D3476" t="s">
        <v>57</v>
      </c>
      <c r="E3476" t="s">
        <v>118</v>
      </c>
      <c r="F3476" t="s">
        <v>119</v>
      </c>
      <c r="G3476" t="s">
        <v>41</v>
      </c>
      <c r="H3476" t="s">
        <v>37</v>
      </c>
      <c r="I3476" s="3">
        <v>29</v>
      </c>
      <c r="J3476" s="2">
        <v>14</v>
      </c>
      <c r="K3476" s="3">
        <f t="shared" si="54"/>
        <v>406</v>
      </c>
      <c r="L3476" s="3">
        <v>203</v>
      </c>
    </row>
    <row r="3477" spans="1:12" x14ac:dyDescent="0.25">
      <c r="A3477" t="s">
        <v>19</v>
      </c>
      <c r="B3477">
        <v>1185732</v>
      </c>
      <c r="C3477" s="1">
        <v>44347</v>
      </c>
      <c r="D3477" t="s">
        <v>57</v>
      </c>
      <c r="E3477" t="s">
        <v>118</v>
      </c>
      <c r="F3477" t="s">
        <v>119</v>
      </c>
      <c r="G3477" t="s">
        <v>15</v>
      </c>
      <c r="H3477" t="s">
        <v>22</v>
      </c>
      <c r="I3477" s="3">
        <v>44.999999999999993</v>
      </c>
      <c r="J3477" s="2">
        <v>125</v>
      </c>
      <c r="K3477" s="3">
        <f t="shared" si="54"/>
        <v>5624.9999999999991</v>
      </c>
      <c r="L3477" s="3">
        <v>3656.25</v>
      </c>
    </row>
    <row r="3478" spans="1:12" x14ac:dyDescent="0.25">
      <c r="A3478" t="s">
        <v>19</v>
      </c>
      <c r="B3478">
        <v>1185732</v>
      </c>
      <c r="C3478" s="1">
        <v>44347</v>
      </c>
      <c r="D3478" t="s">
        <v>12</v>
      </c>
      <c r="E3478" t="s">
        <v>13</v>
      </c>
      <c r="F3478" t="s">
        <v>28</v>
      </c>
      <c r="G3478" t="s">
        <v>15</v>
      </c>
      <c r="H3478" t="s">
        <v>38</v>
      </c>
      <c r="I3478" s="3">
        <v>45</v>
      </c>
      <c r="J3478" s="2">
        <v>475</v>
      </c>
      <c r="K3478" s="3">
        <f t="shared" si="54"/>
        <v>21375</v>
      </c>
      <c r="L3478" s="3">
        <v>12825</v>
      </c>
    </row>
    <row r="3479" spans="1:12" x14ac:dyDescent="0.25">
      <c r="A3479" t="s">
        <v>19</v>
      </c>
      <c r="B3479">
        <v>1185732</v>
      </c>
      <c r="C3479" s="1">
        <v>44347</v>
      </c>
      <c r="D3479" t="s">
        <v>12</v>
      </c>
      <c r="E3479" t="s">
        <v>13</v>
      </c>
      <c r="F3479" t="s">
        <v>28</v>
      </c>
      <c r="G3479" t="s">
        <v>15</v>
      </c>
      <c r="H3479" t="s">
        <v>38</v>
      </c>
      <c r="I3479" s="3">
        <v>36</v>
      </c>
      <c r="J3479" s="2">
        <v>147</v>
      </c>
      <c r="K3479" s="3">
        <f t="shared" si="54"/>
        <v>5292</v>
      </c>
      <c r="L3479" s="3">
        <v>2910.6</v>
      </c>
    </row>
    <row r="3480" spans="1:12" x14ac:dyDescent="0.25">
      <c r="A3480" t="s">
        <v>19</v>
      </c>
      <c r="B3480">
        <v>1185732</v>
      </c>
      <c r="C3480" s="1">
        <v>44347</v>
      </c>
      <c r="D3480" t="s">
        <v>57</v>
      </c>
      <c r="E3480" t="s">
        <v>118</v>
      </c>
      <c r="F3480" t="s">
        <v>119</v>
      </c>
      <c r="G3480" t="s">
        <v>41</v>
      </c>
      <c r="H3480" t="s">
        <v>22</v>
      </c>
      <c r="I3480" s="3">
        <v>41</v>
      </c>
      <c r="J3480" s="2">
        <v>31</v>
      </c>
      <c r="K3480" s="3">
        <f t="shared" si="54"/>
        <v>1271</v>
      </c>
      <c r="L3480" s="3">
        <v>648.21</v>
      </c>
    </row>
    <row r="3481" spans="1:12" x14ac:dyDescent="0.25">
      <c r="A3481" t="s">
        <v>19</v>
      </c>
      <c r="B3481">
        <v>1185732</v>
      </c>
      <c r="C3481" s="1">
        <v>44347</v>
      </c>
      <c r="D3481" t="s">
        <v>12</v>
      </c>
      <c r="E3481" t="s">
        <v>13</v>
      </c>
      <c r="F3481" t="s">
        <v>28</v>
      </c>
      <c r="G3481" t="s">
        <v>41</v>
      </c>
      <c r="H3481" t="s">
        <v>38</v>
      </c>
      <c r="I3481" s="3">
        <v>44</v>
      </c>
      <c r="J3481" s="2">
        <v>124</v>
      </c>
      <c r="K3481" s="3">
        <f t="shared" si="54"/>
        <v>5456</v>
      </c>
      <c r="L3481" s="3">
        <v>2618.88</v>
      </c>
    </row>
    <row r="3482" spans="1:12" x14ac:dyDescent="0.25">
      <c r="A3482" t="s">
        <v>19</v>
      </c>
      <c r="B3482">
        <v>1185732</v>
      </c>
      <c r="C3482" s="1">
        <v>44348</v>
      </c>
      <c r="D3482" t="s">
        <v>12</v>
      </c>
      <c r="E3482" t="s">
        <v>13</v>
      </c>
      <c r="F3482" t="s">
        <v>28</v>
      </c>
      <c r="G3482" t="s">
        <v>15</v>
      </c>
      <c r="H3482" t="s">
        <v>17</v>
      </c>
      <c r="I3482" s="3">
        <v>45</v>
      </c>
      <c r="J3482" s="2">
        <v>275</v>
      </c>
      <c r="K3482" s="3">
        <f t="shared" si="54"/>
        <v>12375</v>
      </c>
      <c r="L3482" s="3">
        <v>8043.75</v>
      </c>
    </row>
    <row r="3483" spans="1:12" x14ac:dyDescent="0.25">
      <c r="A3483" t="s">
        <v>19</v>
      </c>
      <c r="B3483">
        <v>1185732</v>
      </c>
      <c r="C3483" s="1">
        <v>44348</v>
      </c>
      <c r="D3483" t="s">
        <v>57</v>
      </c>
      <c r="E3483" t="s">
        <v>118</v>
      </c>
      <c r="F3483" t="s">
        <v>119</v>
      </c>
      <c r="G3483" t="s">
        <v>15</v>
      </c>
      <c r="H3483" t="s">
        <v>16</v>
      </c>
      <c r="I3483" s="3">
        <v>35</v>
      </c>
      <c r="J3483" s="2">
        <v>200</v>
      </c>
      <c r="K3483" s="3">
        <f t="shared" si="54"/>
        <v>7000</v>
      </c>
      <c r="L3483" s="3">
        <v>3500</v>
      </c>
    </row>
    <row r="3484" spans="1:12" x14ac:dyDescent="0.25">
      <c r="A3484" t="s">
        <v>19</v>
      </c>
      <c r="B3484">
        <v>1185732</v>
      </c>
      <c r="C3484" s="1">
        <v>44348</v>
      </c>
      <c r="D3484" t="s">
        <v>12</v>
      </c>
      <c r="E3484" t="s">
        <v>13</v>
      </c>
      <c r="F3484" t="s">
        <v>28</v>
      </c>
      <c r="G3484" t="s">
        <v>15</v>
      </c>
      <c r="H3484" t="s">
        <v>17</v>
      </c>
      <c r="I3484" s="3">
        <v>31</v>
      </c>
      <c r="J3484" s="2">
        <v>91</v>
      </c>
      <c r="K3484" s="3">
        <f t="shared" si="54"/>
        <v>2821</v>
      </c>
      <c r="L3484" s="3">
        <v>1664.39</v>
      </c>
    </row>
    <row r="3485" spans="1:12" x14ac:dyDescent="0.25">
      <c r="A3485" t="s">
        <v>19</v>
      </c>
      <c r="B3485">
        <v>1185732</v>
      </c>
      <c r="C3485" s="1">
        <v>44348</v>
      </c>
      <c r="D3485" t="s">
        <v>12</v>
      </c>
      <c r="E3485" t="s">
        <v>13</v>
      </c>
      <c r="F3485" t="s">
        <v>28</v>
      </c>
      <c r="G3485" t="s">
        <v>41</v>
      </c>
      <c r="H3485" t="s">
        <v>17</v>
      </c>
      <c r="I3485" s="3">
        <v>41</v>
      </c>
      <c r="J3485" s="2">
        <v>77</v>
      </c>
      <c r="K3485" s="3">
        <f t="shared" si="54"/>
        <v>3157</v>
      </c>
      <c r="L3485" s="3">
        <v>1704.7800000000002</v>
      </c>
    </row>
    <row r="3486" spans="1:12" x14ac:dyDescent="0.25">
      <c r="A3486" t="s">
        <v>19</v>
      </c>
      <c r="B3486">
        <v>1185732</v>
      </c>
      <c r="C3486" s="1">
        <v>44348</v>
      </c>
      <c r="D3486" t="s">
        <v>57</v>
      </c>
      <c r="E3486" t="s">
        <v>118</v>
      </c>
      <c r="F3486" t="s">
        <v>119</v>
      </c>
      <c r="G3486" t="s">
        <v>41</v>
      </c>
      <c r="H3486" t="s">
        <v>16</v>
      </c>
      <c r="I3486" s="3">
        <v>32</v>
      </c>
      <c r="J3486" s="2">
        <v>60</v>
      </c>
      <c r="K3486" s="3">
        <f t="shared" si="54"/>
        <v>1920</v>
      </c>
      <c r="L3486" s="3">
        <v>729.59999999999991</v>
      </c>
    </row>
    <row r="3487" spans="1:12" x14ac:dyDescent="0.25">
      <c r="A3487" t="s">
        <v>19</v>
      </c>
      <c r="B3487">
        <v>1185732</v>
      </c>
      <c r="C3487" s="1">
        <v>44349</v>
      </c>
      <c r="D3487" t="s">
        <v>12</v>
      </c>
      <c r="E3487" t="s">
        <v>13</v>
      </c>
      <c r="F3487" t="s">
        <v>28</v>
      </c>
      <c r="G3487" t="s">
        <v>15</v>
      </c>
      <c r="H3487" t="s">
        <v>35</v>
      </c>
      <c r="I3487" s="3">
        <v>35</v>
      </c>
      <c r="J3487" s="2">
        <v>275</v>
      </c>
      <c r="K3487" s="3">
        <f t="shared" si="54"/>
        <v>9625</v>
      </c>
      <c r="L3487" s="3">
        <v>6256.25</v>
      </c>
    </row>
    <row r="3488" spans="1:12" x14ac:dyDescent="0.25">
      <c r="A3488" t="s">
        <v>19</v>
      </c>
      <c r="B3488">
        <v>1185732</v>
      </c>
      <c r="C3488" s="1">
        <v>44349</v>
      </c>
      <c r="D3488" t="s">
        <v>57</v>
      </c>
      <c r="E3488" t="s">
        <v>118</v>
      </c>
      <c r="F3488" t="s">
        <v>119</v>
      </c>
      <c r="G3488" t="s">
        <v>15</v>
      </c>
      <c r="H3488" t="s">
        <v>38</v>
      </c>
      <c r="I3488" s="3">
        <v>40</v>
      </c>
      <c r="J3488" s="2">
        <v>420</v>
      </c>
      <c r="K3488" s="3">
        <f t="shared" si="54"/>
        <v>16800</v>
      </c>
      <c r="L3488" s="3">
        <v>10080</v>
      </c>
    </row>
    <row r="3489" spans="1:12" x14ac:dyDescent="0.25">
      <c r="A3489" t="s">
        <v>19</v>
      </c>
      <c r="B3489">
        <v>1185732</v>
      </c>
      <c r="C3489" s="1">
        <v>44349</v>
      </c>
      <c r="D3489" t="s">
        <v>12</v>
      </c>
      <c r="E3489" t="s">
        <v>13</v>
      </c>
      <c r="F3489" t="s">
        <v>28</v>
      </c>
      <c r="G3489" t="s">
        <v>15</v>
      </c>
      <c r="H3489" t="s">
        <v>35</v>
      </c>
      <c r="I3489" s="3">
        <v>24</v>
      </c>
      <c r="J3489" s="2">
        <v>94</v>
      </c>
      <c r="K3489" s="3">
        <f t="shared" si="54"/>
        <v>2256</v>
      </c>
      <c r="L3489" s="3">
        <v>1376.16</v>
      </c>
    </row>
    <row r="3490" spans="1:12" x14ac:dyDescent="0.25">
      <c r="A3490" t="s">
        <v>19</v>
      </c>
      <c r="B3490">
        <v>1185732</v>
      </c>
      <c r="C3490" s="1">
        <v>44349</v>
      </c>
      <c r="D3490" t="s">
        <v>12</v>
      </c>
      <c r="E3490" t="s">
        <v>13</v>
      </c>
      <c r="F3490" t="s">
        <v>28</v>
      </c>
      <c r="G3490" t="s">
        <v>41</v>
      </c>
      <c r="H3490" t="s">
        <v>35</v>
      </c>
      <c r="I3490" s="3">
        <v>32</v>
      </c>
      <c r="J3490" s="2">
        <v>83</v>
      </c>
      <c r="K3490" s="3">
        <f t="shared" si="54"/>
        <v>2656</v>
      </c>
      <c r="L3490" s="3">
        <v>1407.68</v>
      </c>
    </row>
    <row r="3491" spans="1:12" x14ac:dyDescent="0.25">
      <c r="A3491" t="s">
        <v>19</v>
      </c>
      <c r="B3491">
        <v>1185732</v>
      </c>
      <c r="C3491" s="1">
        <v>44349</v>
      </c>
      <c r="D3491" t="s">
        <v>57</v>
      </c>
      <c r="E3491" t="s">
        <v>118</v>
      </c>
      <c r="F3491" t="s">
        <v>119</v>
      </c>
      <c r="G3491" t="s">
        <v>41</v>
      </c>
      <c r="H3491" t="s">
        <v>38</v>
      </c>
      <c r="I3491" s="3">
        <v>38</v>
      </c>
      <c r="J3491" s="2">
        <v>122</v>
      </c>
      <c r="K3491" s="3">
        <f t="shared" si="54"/>
        <v>4636</v>
      </c>
      <c r="L3491" s="3">
        <v>2132.56</v>
      </c>
    </row>
    <row r="3492" spans="1:12" x14ac:dyDescent="0.25">
      <c r="A3492" t="s">
        <v>11</v>
      </c>
      <c r="B3492">
        <v>1185732</v>
      </c>
      <c r="C3492" s="1">
        <v>44350</v>
      </c>
      <c r="D3492" t="s">
        <v>57</v>
      </c>
      <c r="E3492" t="s">
        <v>85</v>
      </c>
      <c r="F3492" t="s">
        <v>86</v>
      </c>
      <c r="G3492" t="s">
        <v>18</v>
      </c>
      <c r="H3492" t="s">
        <v>35</v>
      </c>
      <c r="I3492" s="3">
        <v>25.000000000000007</v>
      </c>
      <c r="J3492" s="2">
        <v>200</v>
      </c>
      <c r="K3492" s="3">
        <f t="shared" si="54"/>
        <v>5000.0000000000018</v>
      </c>
      <c r="L3492" s="3">
        <v>3500.0000000000014</v>
      </c>
    </row>
    <row r="3493" spans="1:12" x14ac:dyDescent="0.25">
      <c r="A3493" t="s">
        <v>11</v>
      </c>
      <c r="B3493">
        <v>1185732</v>
      </c>
      <c r="C3493" s="1">
        <v>44350</v>
      </c>
      <c r="D3493" t="s">
        <v>57</v>
      </c>
      <c r="E3493" t="s">
        <v>85</v>
      </c>
      <c r="F3493" t="s">
        <v>86</v>
      </c>
      <c r="G3493" t="s">
        <v>18</v>
      </c>
      <c r="H3493" t="s">
        <v>37</v>
      </c>
      <c r="I3493" s="3">
        <v>25.000000000000007</v>
      </c>
      <c r="J3493" s="2">
        <v>175</v>
      </c>
      <c r="K3493" s="3">
        <f t="shared" si="54"/>
        <v>4375.0000000000009</v>
      </c>
      <c r="L3493" s="3">
        <v>3062.5000000000009</v>
      </c>
    </row>
    <row r="3494" spans="1:12" x14ac:dyDescent="0.25">
      <c r="A3494" t="s">
        <v>11</v>
      </c>
      <c r="B3494">
        <v>1185732</v>
      </c>
      <c r="C3494" s="1">
        <v>44350</v>
      </c>
      <c r="D3494" t="s">
        <v>57</v>
      </c>
      <c r="E3494" t="s">
        <v>85</v>
      </c>
      <c r="F3494" t="s">
        <v>86</v>
      </c>
      <c r="G3494" t="s">
        <v>18</v>
      </c>
      <c r="H3494" t="s">
        <v>38</v>
      </c>
      <c r="I3494" s="3">
        <v>35</v>
      </c>
      <c r="J3494" s="2">
        <v>550</v>
      </c>
      <c r="K3494" s="3">
        <f t="shared" si="54"/>
        <v>19250</v>
      </c>
      <c r="L3494" s="3">
        <v>13475</v>
      </c>
    </row>
    <row r="3495" spans="1:12" x14ac:dyDescent="0.25">
      <c r="A3495" t="s">
        <v>19</v>
      </c>
      <c r="B3495">
        <v>1185732</v>
      </c>
      <c r="C3495" s="1">
        <v>44350</v>
      </c>
      <c r="D3495" t="s">
        <v>57</v>
      </c>
      <c r="E3495" t="s">
        <v>118</v>
      </c>
      <c r="F3495" t="s">
        <v>119</v>
      </c>
      <c r="G3495" t="s">
        <v>15</v>
      </c>
      <c r="H3495" t="s">
        <v>17</v>
      </c>
      <c r="I3495" s="3">
        <v>40</v>
      </c>
      <c r="J3495" s="2">
        <v>100</v>
      </c>
      <c r="K3495" s="3">
        <f t="shared" si="54"/>
        <v>4000</v>
      </c>
      <c r="L3495" s="3">
        <v>2600</v>
      </c>
    </row>
    <row r="3496" spans="1:12" x14ac:dyDescent="0.25">
      <c r="A3496" t="s">
        <v>11</v>
      </c>
      <c r="B3496">
        <v>1185732</v>
      </c>
      <c r="C3496" s="1">
        <v>44350</v>
      </c>
      <c r="D3496" t="s">
        <v>57</v>
      </c>
      <c r="E3496" t="s">
        <v>85</v>
      </c>
      <c r="F3496" t="s">
        <v>86</v>
      </c>
      <c r="G3496" t="s">
        <v>18</v>
      </c>
      <c r="H3496" t="s">
        <v>17</v>
      </c>
      <c r="I3496" s="3">
        <v>30.000000000000011</v>
      </c>
      <c r="J3496" s="2">
        <v>300</v>
      </c>
      <c r="K3496" s="3">
        <f t="shared" si="54"/>
        <v>9000.0000000000036</v>
      </c>
      <c r="L3496" s="3">
        <v>5850.0000000000018</v>
      </c>
    </row>
    <row r="3497" spans="1:12" x14ac:dyDescent="0.25">
      <c r="A3497" t="s">
        <v>19</v>
      </c>
      <c r="B3497">
        <v>1185732</v>
      </c>
      <c r="C3497" s="1">
        <v>44350</v>
      </c>
      <c r="D3497" t="s">
        <v>12</v>
      </c>
      <c r="E3497" t="s">
        <v>13</v>
      </c>
      <c r="F3497" t="s">
        <v>28</v>
      </c>
      <c r="G3497" t="s">
        <v>15</v>
      </c>
      <c r="H3497" t="s">
        <v>37</v>
      </c>
      <c r="I3497" s="3">
        <v>40</v>
      </c>
      <c r="J3497" s="2">
        <v>125</v>
      </c>
      <c r="K3497" s="3">
        <f t="shared" si="54"/>
        <v>5000</v>
      </c>
      <c r="L3497" s="3">
        <v>3000</v>
      </c>
    </row>
    <row r="3498" spans="1:12" x14ac:dyDescent="0.25">
      <c r="A3498" t="s">
        <v>11</v>
      </c>
      <c r="B3498">
        <v>1185732</v>
      </c>
      <c r="C3498" s="1">
        <v>44350</v>
      </c>
      <c r="D3498" t="s">
        <v>57</v>
      </c>
      <c r="E3498" t="s">
        <v>85</v>
      </c>
      <c r="F3498" t="s">
        <v>86</v>
      </c>
      <c r="G3498" t="s">
        <v>18</v>
      </c>
      <c r="H3498" t="s">
        <v>16</v>
      </c>
      <c r="I3498" s="3">
        <v>55.000000000000007</v>
      </c>
      <c r="J3498" s="2">
        <v>325</v>
      </c>
      <c r="K3498" s="3">
        <f t="shared" si="54"/>
        <v>17875.000000000004</v>
      </c>
      <c r="L3498" s="3">
        <v>10725.000000000002</v>
      </c>
    </row>
    <row r="3499" spans="1:12" x14ac:dyDescent="0.25">
      <c r="A3499" t="s">
        <v>11</v>
      </c>
      <c r="B3499">
        <v>1185732</v>
      </c>
      <c r="C3499" s="1">
        <v>44350</v>
      </c>
      <c r="D3499" t="s">
        <v>57</v>
      </c>
      <c r="E3499" t="s">
        <v>85</v>
      </c>
      <c r="F3499" t="s">
        <v>86</v>
      </c>
      <c r="G3499" t="s">
        <v>18</v>
      </c>
      <c r="H3499" t="s">
        <v>22</v>
      </c>
      <c r="I3499" s="3">
        <v>35</v>
      </c>
      <c r="J3499" s="2">
        <v>175</v>
      </c>
      <c r="K3499" s="3">
        <f t="shared" si="54"/>
        <v>6125</v>
      </c>
      <c r="L3499" s="3">
        <v>3062.5</v>
      </c>
    </row>
    <row r="3500" spans="1:12" x14ac:dyDescent="0.25">
      <c r="A3500" t="s">
        <v>11</v>
      </c>
      <c r="B3500">
        <v>1185732</v>
      </c>
      <c r="C3500" s="1">
        <v>44350</v>
      </c>
      <c r="D3500" t="s">
        <v>57</v>
      </c>
      <c r="E3500" t="s">
        <v>85</v>
      </c>
      <c r="F3500" t="s">
        <v>86</v>
      </c>
      <c r="G3500" t="s">
        <v>41</v>
      </c>
      <c r="H3500" t="s">
        <v>37</v>
      </c>
      <c r="I3500" s="3">
        <v>24</v>
      </c>
      <c r="J3500" s="2">
        <v>47</v>
      </c>
      <c r="K3500" s="3">
        <f t="shared" si="54"/>
        <v>1128</v>
      </c>
      <c r="L3500" s="3">
        <v>665.52</v>
      </c>
    </row>
    <row r="3501" spans="1:12" x14ac:dyDescent="0.25">
      <c r="A3501" t="s">
        <v>11</v>
      </c>
      <c r="B3501">
        <v>1185732</v>
      </c>
      <c r="C3501" s="1">
        <v>44350</v>
      </c>
      <c r="D3501" t="s">
        <v>57</v>
      </c>
      <c r="E3501" t="s">
        <v>85</v>
      </c>
      <c r="F3501" t="s">
        <v>86</v>
      </c>
      <c r="G3501" t="s">
        <v>41</v>
      </c>
      <c r="H3501" t="s">
        <v>35</v>
      </c>
      <c r="I3501" s="3">
        <v>24</v>
      </c>
      <c r="J3501" s="2">
        <v>52</v>
      </c>
      <c r="K3501" s="3">
        <f t="shared" si="54"/>
        <v>1248</v>
      </c>
      <c r="L3501" s="3">
        <v>698.88</v>
      </c>
    </row>
    <row r="3502" spans="1:12" x14ac:dyDescent="0.25">
      <c r="A3502" t="s">
        <v>11</v>
      </c>
      <c r="B3502">
        <v>1185732</v>
      </c>
      <c r="C3502" s="1">
        <v>44350</v>
      </c>
      <c r="D3502" t="s">
        <v>57</v>
      </c>
      <c r="E3502" t="s">
        <v>85</v>
      </c>
      <c r="F3502" t="s">
        <v>86</v>
      </c>
      <c r="G3502" t="s">
        <v>41</v>
      </c>
      <c r="H3502" t="s">
        <v>38</v>
      </c>
      <c r="I3502" s="3">
        <v>32</v>
      </c>
      <c r="J3502" s="2">
        <v>160</v>
      </c>
      <c r="K3502" s="3">
        <f t="shared" si="54"/>
        <v>5120</v>
      </c>
      <c r="L3502" s="3">
        <v>2867.2</v>
      </c>
    </row>
    <row r="3503" spans="1:12" x14ac:dyDescent="0.25">
      <c r="A3503" t="s">
        <v>19</v>
      </c>
      <c r="B3503">
        <v>1185732</v>
      </c>
      <c r="C3503" s="1">
        <v>44350</v>
      </c>
      <c r="D3503" t="s">
        <v>57</v>
      </c>
      <c r="E3503" t="s">
        <v>118</v>
      </c>
      <c r="F3503" t="s">
        <v>119</v>
      </c>
      <c r="G3503" t="s">
        <v>41</v>
      </c>
      <c r="H3503" t="s">
        <v>17</v>
      </c>
      <c r="I3503" s="3">
        <v>39</v>
      </c>
      <c r="J3503" s="2">
        <v>26</v>
      </c>
      <c r="K3503" s="3">
        <f t="shared" si="54"/>
        <v>1014</v>
      </c>
      <c r="L3503" s="3">
        <v>547.56000000000006</v>
      </c>
    </row>
    <row r="3504" spans="1:12" x14ac:dyDescent="0.25">
      <c r="A3504" t="s">
        <v>19</v>
      </c>
      <c r="B3504">
        <v>1185732</v>
      </c>
      <c r="C3504" s="1">
        <v>44350</v>
      </c>
      <c r="D3504" t="s">
        <v>12</v>
      </c>
      <c r="E3504" t="s">
        <v>13</v>
      </c>
      <c r="F3504" t="s">
        <v>28</v>
      </c>
      <c r="G3504" t="s">
        <v>15</v>
      </c>
      <c r="H3504" t="s">
        <v>37</v>
      </c>
      <c r="I3504" s="3">
        <v>27</v>
      </c>
      <c r="J3504" s="2">
        <v>41</v>
      </c>
      <c r="K3504" s="3">
        <f t="shared" si="54"/>
        <v>1107</v>
      </c>
      <c r="L3504" s="3">
        <v>597.78</v>
      </c>
    </row>
    <row r="3505" spans="1:12" x14ac:dyDescent="0.25">
      <c r="A3505" t="s">
        <v>11</v>
      </c>
      <c r="B3505">
        <v>1185732</v>
      </c>
      <c r="C3505" s="1">
        <v>44350</v>
      </c>
      <c r="D3505" t="s">
        <v>57</v>
      </c>
      <c r="E3505" t="s">
        <v>85</v>
      </c>
      <c r="F3505" t="s">
        <v>86</v>
      </c>
      <c r="G3505" t="s">
        <v>41</v>
      </c>
      <c r="H3505" t="s">
        <v>17</v>
      </c>
      <c r="I3505" s="3">
        <v>27</v>
      </c>
      <c r="J3505" s="2">
        <v>90</v>
      </c>
      <c r="K3505" s="3">
        <f t="shared" si="54"/>
        <v>2430</v>
      </c>
      <c r="L3505" s="3">
        <v>1239.3</v>
      </c>
    </row>
    <row r="3506" spans="1:12" x14ac:dyDescent="0.25">
      <c r="A3506" t="s">
        <v>19</v>
      </c>
      <c r="B3506">
        <v>1185732</v>
      </c>
      <c r="C3506" s="1">
        <v>44350</v>
      </c>
      <c r="D3506" t="s">
        <v>12</v>
      </c>
      <c r="E3506" t="s">
        <v>13</v>
      </c>
      <c r="F3506" t="s">
        <v>28</v>
      </c>
      <c r="G3506" t="s">
        <v>41</v>
      </c>
      <c r="H3506" t="s">
        <v>37</v>
      </c>
      <c r="I3506" s="3">
        <v>37</v>
      </c>
      <c r="J3506" s="2">
        <v>34</v>
      </c>
      <c r="K3506" s="3">
        <f t="shared" si="54"/>
        <v>1258</v>
      </c>
      <c r="L3506" s="3">
        <v>603.84</v>
      </c>
    </row>
    <row r="3507" spans="1:12" x14ac:dyDescent="0.25">
      <c r="A3507" t="s">
        <v>11</v>
      </c>
      <c r="B3507">
        <v>1185732</v>
      </c>
      <c r="C3507" s="1">
        <v>44350</v>
      </c>
      <c r="D3507" t="s">
        <v>57</v>
      </c>
      <c r="E3507" t="s">
        <v>85</v>
      </c>
      <c r="F3507" t="s">
        <v>86</v>
      </c>
      <c r="G3507" t="s">
        <v>41</v>
      </c>
      <c r="H3507" t="s">
        <v>16</v>
      </c>
      <c r="I3507" s="3">
        <v>51</v>
      </c>
      <c r="J3507" s="2">
        <v>98</v>
      </c>
      <c r="K3507" s="3">
        <f t="shared" si="54"/>
        <v>4998</v>
      </c>
      <c r="L3507" s="3">
        <v>2249.1</v>
      </c>
    </row>
    <row r="3508" spans="1:12" x14ac:dyDescent="0.25">
      <c r="A3508" t="s">
        <v>11</v>
      </c>
      <c r="B3508">
        <v>1185732</v>
      </c>
      <c r="C3508" s="1">
        <v>44350</v>
      </c>
      <c r="D3508" t="s">
        <v>57</v>
      </c>
      <c r="E3508" t="s">
        <v>85</v>
      </c>
      <c r="F3508" t="s">
        <v>86</v>
      </c>
      <c r="G3508" t="s">
        <v>41</v>
      </c>
      <c r="H3508" t="s">
        <v>22</v>
      </c>
      <c r="I3508" s="3">
        <v>34</v>
      </c>
      <c r="J3508" s="2">
        <v>46</v>
      </c>
      <c r="K3508" s="3">
        <f t="shared" si="54"/>
        <v>1564</v>
      </c>
      <c r="L3508" s="3">
        <v>625.6</v>
      </c>
    </row>
    <row r="3509" spans="1:12" x14ac:dyDescent="0.25">
      <c r="A3509" t="s">
        <v>11</v>
      </c>
      <c r="B3509">
        <v>1197831</v>
      </c>
      <c r="C3509" s="1">
        <v>44351</v>
      </c>
      <c r="D3509" t="s">
        <v>12</v>
      </c>
      <c r="E3509" t="s">
        <v>66</v>
      </c>
      <c r="F3509" t="s">
        <v>67</v>
      </c>
      <c r="G3509" t="s">
        <v>41</v>
      </c>
      <c r="H3509" t="s">
        <v>22</v>
      </c>
      <c r="I3509" s="3">
        <v>55.000000000000007</v>
      </c>
      <c r="J3509" s="2">
        <v>450</v>
      </c>
      <c r="K3509" s="3">
        <f t="shared" si="54"/>
        <v>24750.000000000004</v>
      </c>
      <c r="L3509" s="3">
        <v>17325.000000000004</v>
      </c>
    </row>
    <row r="3510" spans="1:12" x14ac:dyDescent="0.25">
      <c r="A3510" t="s">
        <v>19</v>
      </c>
      <c r="B3510">
        <v>1185732</v>
      </c>
      <c r="C3510" s="1">
        <v>44351</v>
      </c>
      <c r="D3510" t="s">
        <v>57</v>
      </c>
      <c r="E3510" t="s">
        <v>118</v>
      </c>
      <c r="F3510" t="s">
        <v>119</v>
      </c>
      <c r="G3510" t="s">
        <v>15</v>
      </c>
      <c r="H3510" t="s">
        <v>35</v>
      </c>
      <c r="I3510" s="3">
        <v>30.000000000000004</v>
      </c>
      <c r="J3510" s="2">
        <v>150</v>
      </c>
      <c r="K3510" s="3">
        <f t="shared" si="54"/>
        <v>4500.0000000000009</v>
      </c>
      <c r="L3510" s="3">
        <v>2925.0000000000009</v>
      </c>
    </row>
    <row r="3511" spans="1:12" x14ac:dyDescent="0.25">
      <c r="A3511" t="s">
        <v>19</v>
      </c>
      <c r="B3511">
        <v>1185732</v>
      </c>
      <c r="C3511" s="1">
        <v>44351</v>
      </c>
      <c r="D3511" t="s">
        <v>57</v>
      </c>
      <c r="E3511" t="s">
        <v>95</v>
      </c>
      <c r="F3511" t="s">
        <v>96</v>
      </c>
      <c r="G3511" t="s">
        <v>15</v>
      </c>
      <c r="H3511" t="s">
        <v>22</v>
      </c>
      <c r="I3511" s="3">
        <v>54.999999999999993</v>
      </c>
      <c r="J3511" s="2">
        <v>175</v>
      </c>
      <c r="K3511" s="3">
        <f t="shared" si="54"/>
        <v>9624.9999999999982</v>
      </c>
      <c r="L3511" s="3">
        <v>6256.2499999999991</v>
      </c>
    </row>
    <row r="3512" spans="1:12" x14ac:dyDescent="0.25">
      <c r="A3512" t="s">
        <v>11</v>
      </c>
      <c r="B3512">
        <v>1197831</v>
      </c>
      <c r="C3512" s="1">
        <v>44351</v>
      </c>
      <c r="D3512" t="s">
        <v>12</v>
      </c>
      <c r="E3512" t="s">
        <v>66</v>
      </c>
      <c r="F3512" t="s">
        <v>67</v>
      </c>
      <c r="G3512" t="s">
        <v>41</v>
      </c>
      <c r="H3512" t="s">
        <v>38</v>
      </c>
      <c r="I3512" s="3">
        <v>45</v>
      </c>
      <c r="J3512" s="2">
        <v>750</v>
      </c>
      <c r="K3512" s="3">
        <f t="shared" si="54"/>
        <v>33750</v>
      </c>
      <c r="L3512" s="3">
        <v>21937.5</v>
      </c>
    </row>
    <row r="3513" spans="1:12" x14ac:dyDescent="0.25">
      <c r="A3513" t="s">
        <v>11</v>
      </c>
      <c r="B3513">
        <v>1197831</v>
      </c>
      <c r="C3513" s="1">
        <v>44351</v>
      </c>
      <c r="D3513" t="s">
        <v>12</v>
      </c>
      <c r="E3513" t="s">
        <v>66</v>
      </c>
      <c r="F3513" t="s">
        <v>67</v>
      </c>
      <c r="G3513" t="s">
        <v>41</v>
      </c>
      <c r="H3513" t="s">
        <v>17</v>
      </c>
      <c r="I3513" s="3">
        <v>50</v>
      </c>
      <c r="J3513" s="2">
        <v>750</v>
      </c>
      <c r="K3513" s="3">
        <f t="shared" si="54"/>
        <v>37500</v>
      </c>
      <c r="L3513" s="3">
        <v>24375</v>
      </c>
    </row>
    <row r="3514" spans="1:12" x14ac:dyDescent="0.25">
      <c r="A3514" t="s">
        <v>11</v>
      </c>
      <c r="B3514">
        <v>1197831</v>
      </c>
      <c r="C3514" s="1">
        <v>44351</v>
      </c>
      <c r="D3514" t="s">
        <v>12</v>
      </c>
      <c r="E3514" t="s">
        <v>66</v>
      </c>
      <c r="F3514" t="s">
        <v>67</v>
      </c>
      <c r="G3514" t="s">
        <v>41</v>
      </c>
      <c r="H3514" t="s">
        <v>35</v>
      </c>
      <c r="I3514" s="3">
        <v>50</v>
      </c>
      <c r="J3514" s="2">
        <v>600</v>
      </c>
      <c r="K3514" s="3">
        <f t="shared" si="54"/>
        <v>30000</v>
      </c>
      <c r="L3514" s="3">
        <v>19500</v>
      </c>
    </row>
    <row r="3515" spans="1:12" x14ac:dyDescent="0.25">
      <c r="A3515" t="s">
        <v>26</v>
      </c>
      <c r="B3515">
        <v>1185732</v>
      </c>
      <c r="C3515" s="1">
        <v>44351</v>
      </c>
      <c r="D3515" t="s">
        <v>32</v>
      </c>
      <c r="E3515" t="s">
        <v>108</v>
      </c>
      <c r="F3515" t="s">
        <v>109</v>
      </c>
      <c r="G3515" t="s">
        <v>41</v>
      </c>
      <c r="H3515" t="s">
        <v>17</v>
      </c>
      <c r="I3515" s="3">
        <v>45</v>
      </c>
      <c r="J3515" s="2">
        <v>700</v>
      </c>
      <c r="K3515" s="3">
        <f t="shared" si="54"/>
        <v>31500</v>
      </c>
      <c r="L3515" s="3">
        <v>20475</v>
      </c>
    </row>
    <row r="3516" spans="1:12" x14ac:dyDescent="0.25">
      <c r="A3516" t="s">
        <v>26</v>
      </c>
      <c r="B3516">
        <v>1185732</v>
      </c>
      <c r="C3516" s="1">
        <v>44351</v>
      </c>
      <c r="D3516" t="s">
        <v>32</v>
      </c>
      <c r="E3516" t="s">
        <v>108</v>
      </c>
      <c r="F3516" t="s">
        <v>109</v>
      </c>
      <c r="G3516" t="s">
        <v>41</v>
      </c>
      <c r="H3516" t="s">
        <v>22</v>
      </c>
      <c r="I3516" s="3">
        <v>65</v>
      </c>
      <c r="J3516" s="2">
        <v>650</v>
      </c>
      <c r="K3516" s="3">
        <f t="shared" si="54"/>
        <v>42250</v>
      </c>
      <c r="L3516" s="3">
        <v>27462.5</v>
      </c>
    </row>
    <row r="3517" spans="1:12" x14ac:dyDescent="0.25">
      <c r="A3517" t="s">
        <v>26</v>
      </c>
      <c r="B3517">
        <v>1185732</v>
      </c>
      <c r="C3517" s="1">
        <v>44351</v>
      </c>
      <c r="D3517" t="s">
        <v>32</v>
      </c>
      <c r="E3517" t="s">
        <v>108</v>
      </c>
      <c r="F3517" t="s">
        <v>109</v>
      </c>
      <c r="G3517" t="s">
        <v>41</v>
      </c>
      <c r="H3517" t="s">
        <v>35</v>
      </c>
      <c r="I3517" s="3">
        <v>50</v>
      </c>
      <c r="J3517" s="2">
        <v>675</v>
      </c>
      <c r="K3517" s="3">
        <f t="shared" si="54"/>
        <v>33750</v>
      </c>
      <c r="L3517" s="3">
        <v>20250</v>
      </c>
    </row>
    <row r="3518" spans="1:12" x14ac:dyDescent="0.25">
      <c r="A3518" t="s">
        <v>26</v>
      </c>
      <c r="B3518">
        <v>1185732</v>
      </c>
      <c r="C3518" s="1">
        <v>44351</v>
      </c>
      <c r="D3518" t="s">
        <v>32</v>
      </c>
      <c r="E3518" t="s">
        <v>108</v>
      </c>
      <c r="F3518" t="s">
        <v>109</v>
      </c>
      <c r="G3518" t="s">
        <v>41</v>
      </c>
      <c r="H3518" t="s">
        <v>37</v>
      </c>
      <c r="I3518" s="3">
        <v>50</v>
      </c>
      <c r="J3518" s="2">
        <v>650</v>
      </c>
      <c r="K3518" s="3">
        <f t="shared" si="54"/>
        <v>32500</v>
      </c>
      <c r="L3518" s="3">
        <v>19500</v>
      </c>
    </row>
    <row r="3519" spans="1:12" x14ac:dyDescent="0.25">
      <c r="A3519" t="s">
        <v>26</v>
      </c>
      <c r="B3519">
        <v>1185732</v>
      </c>
      <c r="C3519" s="1">
        <v>44351</v>
      </c>
      <c r="D3519" t="s">
        <v>32</v>
      </c>
      <c r="E3519" t="s">
        <v>108</v>
      </c>
      <c r="F3519" t="s">
        <v>109</v>
      </c>
      <c r="G3519" t="s">
        <v>41</v>
      </c>
      <c r="H3519" t="s">
        <v>38</v>
      </c>
      <c r="I3519" s="3">
        <v>49.999999999999993</v>
      </c>
      <c r="J3519" s="2">
        <v>950</v>
      </c>
      <c r="K3519" s="3">
        <f t="shared" si="54"/>
        <v>47499.999999999993</v>
      </c>
      <c r="L3519" s="3">
        <v>28499.999999999993</v>
      </c>
    </row>
    <row r="3520" spans="1:12" x14ac:dyDescent="0.25">
      <c r="A3520" t="s">
        <v>11</v>
      </c>
      <c r="B3520">
        <v>1197831</v>
      </c>
      <c r="C3520" s="1">
        <v>44351</v>
      </c>
      <c r="D3520" t="s">
        <v>12</v>
      </c>
      <c r="E3520" t="s">
        <v>66</v>
      </c>
      <c r="F3520" t="s">
        <v>67</v>
      </c>
      <c r="G3520" t="s">
        <v>41</v>
      </c>
      <c r="H3520" t="s">
        <v>37</v>
      </c>
      <c r="I3520" s="3">
        <v>50</v>
      </c>
      <c r="J3520" s="2">
        <v>550</v>
      </c>
      <c r="K3520" s="3">
        <f t="shared" si="54"/>
        <v>27500</v>
      </c>
      <c r="L3520" s="3">
        <v>15125</v>
      </c>
    </row>
    <row r="3521" spans="1:12" x14ac:dyDescent="0.25">
      <c r="A3521" t="s">
        <v>11</v>
      </c>
      <c r="B3521">
        <v>1197831</v>
      </c>
      <c r="C3521" s="1">
        <v>44351</v>
      </c>
      <c r="D3521" t="s">
        <v>12</v>
      </c>
      <c r="E3521" t="s">
        <v>66</v>
      </c>
      <c r="F3521" t="s">
        <v>67</v>
      </c>
      <c r="G3521" t="s">
        <v>41</v>
      </c>
      <c r="H3521" t="s">
        <v>16</v>
      </c>
      <c r="I3521" s="3">
        <v>60.000000000000007</v>
      </c>
      <c r="J3521" s="2">
        <v>825</v>
      </c>
      <c r="K3521" s="3">
        <f t="shared" si="54"/>
        <v>49500.000000000007</v>
      </c>
      <c r="L3521" s="3">
        <v>24750.000000000004</v>
      </c>
    </row>
    <row r="3522" spans="1:12" x14ac:dyDescent="0.25">
      <c r="A3522" t="s">
        <v>26</v>
      </c>
      <c r="B3522">
        <v>1185732</v>
      </c>
      <c r="C3522" s="1">
        <v>44351</v>
      </c>
      <c r="D3522" t="s">
        <v>32</v>
      </c>
      <c r="E3522" t="s">
        <v>108</v>
      </c>
      <c r="F3522" t="s">
        <v>109</v>
      </c>
      <c r="G3522" t="s">
        <v>41</v>
      </c>
      <c r="H3522" t="s">
        <v>16</v>
      </c>
      <c r="I3522" s="3">
        <v>70</v>
      </c>
      <c r="J3522" s="2">
        <v>825</v>
      </c>
      <c r="K3522" s="3">
        <f t="shared" si="54"/>
        <v>57750</v>
      </c>
      <c r="L3522" s="3">
        <v>28875</v>
      </c>
    </row>
    <row r="3523" spans="1:12" x14ac:dyDescent="0.25">
      <c r="A3523" t="s">
        <v>11</v>
      </c>
      <c r="B3523">
        <v>1197831</v>
      </c>
      <c r="C3523" s="1">
        <v>44351</v>
      </c>
      <c r="D3523" t="s">
        <v>12</v>
      </c>
      <c r="E3523" t="s">
        <v>66</v>
      </c>
      <c r="F3523" t="s">
        <v>67</v>
      </c>
      <c r="G3523" t="s">
        <v>15</v>
      </c>
      <c r="H3523" t="s">
        <v>22</v>
      </c>
      <c r="I3523" s="3">
        <v>43</v>
      </c>
      <c r="J3523" s="2">
        <v>158</v>
      </c>
      <c r="K3523" s="3">
        <f t="shared" ref="K3523:K3586" si="55">I3523*J3523</f>
        <v>6794</v>
      </c>
      <c r="L3523" s="3">
        <v>4484.0400000000009</v>
      </c>
    </row>
    <row r="3524" spans="1:12" x14ac:dyDescent="0.25">
      <c r="A3524" t="s">
        <v>11</v>
      </c>
      <c r="B3524">
        <v>1197831</v>
      </c>
      <c r="C3524" s="1">
        <v>44351</v>
      </c>
      <c r="D3524" t="s">
        <v>12</v>
      </c>
      <c r="E3524" t="s">
        <v>66</v>
      </c>
      <c r="F3524" t="s">
        <v>67</v>
      </c>
      <c r="G3524" t="s">
        <v>15</v>
      </c>
      <c r="H3524" t="s">
        <v>38</v>
      </c>
      <c r="I3524" s="3">
        <v>31</v>
      </c>
      <c r="J3524" s="2">
        <v>233</v>
      </c>
      <c r="K3524" s="3">
        <f t="shared" si="55"/>
        <v>7223</v>
      </c>
      <c r="L3524" s="3">
        <v>4478.26</v>
      </c>
    </row>
    <row r="3525" spans="1:12" x14ac:dyDescent="0.25">
      <c r="A3525" t="s">
        <v>11</v>
      </c>
      <c r="B3525">
        <v>1197831</v>
      </c>
      <c r="C3525" s="1">
        <v>44351</v>
      </c>
      <c r="D3525" t="s">
        <v>12</v>
      </c>
      <c r="E3525" t="s">
        <v>66</v>
      </c>
      <c r="F3525" t="s">
        <v>67</v>
      </c>
      <c r="G3525" t="s">
        <v>15</v>
      </c>
      <c r="H3525" t="s">
        <v>17</v>
      </c>
      <c r="I3525" s="3">
        <v>35</v>
      </c>
      <c r="J3525" s="2">
        <v>263</v>
      </c>
      <c r="K3525" s="3">
        <f t="shared" si="55"/>
        <v>9205</v>
      </c>
      <c r="L3525" s="3">
        <v>5430.9500000000007</v>
      </c>
    </row>
    <row r="3526" spans="1:12" x14ac:dyDescent="0.25">
      <c r="A3526" t="s">
        <v>11</v>
      </c>
      <c r="B3526">
        <v>1197831</v>
      </c>
      <c r="C3526" s="1">
        <v>44351</v>
      </c>
      <c r="D3526" t="s">
        <v>12</v>
      </c>
      <c r="E3526" t="s">
        <v>66</v>
      </c>
      <c r="F3526" t="s">
        <v>67</v>
      </c>
      <c r="G3526" t="s">
        <v>15</v>
      </c>
      <c r="H3526" t="s">
        <v>35</v>
      </c>
      <c r="I3526" s="3">
        <v>34</v>
      </c>
      <c r="J3526" s="2">
        <v>186</v>
      </c>
      <c r="K3526" s="3">
        <f t="shared" si="55"/>
        <v>6324</v>
      </c>
      <c r="L3526" s="3">
        <v>3731.1600000000003</v>
      </c>
    </row>
    <row r="3527" spans="1:12" x14ac:dyDescent="0.25">
      <c r="A3527" t="s">
        <v>11</v>
      </c>
      <c r="B3527">
        <v>1197831</v>
      </c>
      <c r="C3527" s="1">
        <v>44351</v>
      </c>
      <c r="D3527" t="s">
        <v>12</v>
      </c>
      <c r="E3527" t="s">
        <v>66</v>
      </c>
      <c r="F3527" t="s">
        <v>67</v>
      </c>
      <c r="G3527" t="s">
        <v>41</v>
      </c>
      <c r="H3527" t="s">
        <v>22</v>
      </c>
      <c r="I3527" s="3">
        <v>52</v>
      </c>
      <c r="J3527" s="2">
        <v>117</v>
      </c>
      <c r="K3527" s="3">
        <f t="shared" si="55"/>
        <v>6084</v>
      </c>
      <c r="L3527" s="3">
        <v>3467.88</v>
      </c>
    </row>
    <row r="3528" spans="1:12" x14ac:dyDescent="0.25">
      <c r="A3528" t="s">
        <v>26</v>
      </c>
      <c r="B3528">
        <v>1185732</v>
      </c>
      <c r="C3528" s="1">
        <v>44351</v>
      </c>
      <c r="D3528" t="s">
        <v>32</v>
      </c>
      <c r="E3528" t="s">
        <v>108</v>
      </c>
      <c r="F3528" t="s">
        <v>109</v>
      </c>
      <c r="G3528" t="s">
        <v>41</v>
      </c>
      <c r="H3528" t="s">
        <v>17</v>
      </c>
      <c r="I3528" s="3">
        <v>42</v>
      </c>
      <c r="J3528" s="2">
        <v>182</v>
      </c>
      <c r="K3528" s="3">
        <f t="shared" si="55"/>
        <v>7644</v>
      </c>
      <c r="L3528" s="3">
        <v>4051.32</v>
      </c>
    </row>
    <row r="3529" spans="1:12" x14ac:dyDescent="0.25">
      <c r="A3529" t="s">
        <v>11</v>
      </c>
      <c r="B3529">
        <v>1197831</v>
      </c>
      <c r="C3529" s="1">
        <v>44351</v>
      </c>
      <c r="D3529" t="s">
        <v>12</v>
      </c>
      <c r="E3529" t="s">
        <v>66</v>
      </c>
      <c r="F3529" t="s">
        <v>67</v>
      </c>
      <c r="G3529" t="s">
        <v>41</v>
      </c>
      <c r="H3529" t="s">
        <v>17</v>
      </c>
      <c r="I3529" s="3">
        <v>46</v>
      </c>
      <c r="J3529" s="2">
        <v>188</v>
      </c>
      <c r="K3529" s="3">
        <f t="shared" si="55"/>
        <v>8648</v>
      </c>
      <c r="L3529" s="3">
        <v>4496.96</v>
      </c>
    </row>
    <row r="3530" spans="1:12" x14ac:dyDescent="0.25">
      <c r="A3530" t="s">
        <v>11</v>
      </c>
      <c r="B3530">
        <v>1197831</v>
      </c>
      <c r="C3530" s="1">
        <v>44351</v>
      </c>
      <c r="D3530" t="s">
        <v>12</v>
      </c>
      <c r="E3530" t="s">
        <v>66</v>
      </c>
      <c r="F3530" t="s">
        <v>67</v>
      </c>
      <c r="G3530" t="s">
        <v>41</v>
      </c>
      <c r="H3530" t="s">
        <v>35</v>
      </c>
      <c r="I3530" s="3">
        <v>47</v>
      </c>
      <c r="J3530" s="2">
        <v>174</v>
      </c>
      <c r="K3530" s="3">
        <f t="shared" si="55"/>
        <v>8178</v>
      </c>
      <c r="L3530" s="3">
        <v>4252.5599999999995</v>
      </c>
    </row>
    <row r="3531" spans="1:12" x14ac:dyDescent="0.25">
      <c r="A3531" t="s">
        <v>19</v>
      </c>
      <c r="B3531">
        <v>1185732</v>
      </c>
      <c r="C3531" s="1">
        <v>44351</v>
      </c>
      <c r="D3531" t="s">
        <v>57</v>
      </c>
      <c r="E3531" t="s">
        <v>95</v>
      </c>
      <c r="F3531" t="s">
        <v>96</v>
      </c>
      <c r="G3531" t="s">
        <v>41</v>
      </c>
      <c r="H3531" t="s">
        <v>22</v>
      </c>
      <c r="I3531" s="3">
        <v>53</v>
      </c>
      <c r="J3531" s="2">
        <v>47</v>
      </c>
      <c r="K3531" s="3">
        <f t="shared" si="55"/>
        <v>2491</v>
      </c>
      <c r="L3531" s="3">
        <v>1270.4100000000001</v>
      </c>
    </row>
    <row r="3532" spans="1:12" x14ac:dyDescent="0.25">
      <c r="A3532" t="s">
        <v>26</v>
      </c>
      <c r="B3532">
        <v>1185732</v>
      </c>
      <c r="C3532" s="1">
        <v>44351</v>
      </c>
      <c r="D3532" t="s">
        <v>32</v>
      </c>
      <c r="E3532" t="s">
        <v>108</v>
      </c>
      <c r="F3532" t="s">
        <v>109</v>
      </c>
      <c r="G3532" t="s">
        <v>41</v>
      </c>
      <c r="H3532" t="s">
        <v>22</v>
      </c>
      <c r="I3532" s="3">
        <v>61</v>
      </c>
      <c r="J3532" s="2">
        <v>163</v>
      </c>
      <c r="K3532" s="3">
        <f t="shared" si="55"/>
        <v>9943</v>
      </c>
      <c r="L3532" s="3">
        <v>5070.93</v>
      </c>
    </row>
    <row r="3533" spans="1:12" x14ac:dyDescent="0.25">
      <c r="A3533" t="s">
        <v>11</v>
      </c>
      <c r="B3533">
        <v>1197831</v>
      </c>
      <c r="C3533" s="1">
        <v>44351</v>
      </c>
      <c r="D3533" t="s">
        <v>12</v>
      </c>
      <c r="E3533" t="s">
        <v>66</v>
      </c>
      <c r="F3533" t="s">
        <v>67</v>
      </c>
      <c r="G3533" t="s">
        <v>15</v>
      </c>
      <c r="H3533" t="s">
        <v>37</v>
      </c>
      <c r="I3533" s="3">
        <v>33</v>
      </c>
      <c r="J3533" s="2">
        <v>187</v>
      </c>
      <c r="K3533" s="3">
        <f t="shared" si="55"/>
        <v>6171</v>
      </c>
      <c r="L3533" s="3">
        <v>3147.21</v>
      </c>
    </row>
    <row r="3534" spans="1:12" x14ac:dyDescent="0.25">
      <c r="A3534" t="s">
        <v>11</v>
      </c>
      <c r="B3534">
        <v>1197831</v>
      </c>
      <c r="C3534" s="1">
        <v>44351</v>
      </c>
      <c r="D3534" t="s">
        <v>12</v>
      </c>
      <c r="E3534" t="s">
        <v>66</v>
      </c>
      <c r="F3534" t="s">
        <v>67</v>
      </c>
      <c r="G3534" t="s">
        <v>41</v>
      </c>
      <c r="H3534" t="s">
        <v>38</v>
      </c>
      <c r="I3534" s="3">
        <v>42</v>
      </c>
      <c r="J3534" s="2">
        <v>195</v>
      </c>
      <c r="K3534" s="3">
        <f t="shared" si="55"/>
        <v>8190</v>
      </c>
      <c r="L3534" s="3">
        <v>4176.8999999999996</v>
      </c>
    </row>
    <row r="3535" spans="1:12" x14ac:dyDescent="0.25">
      <c r="A3535" t="s">
        <v>19</v>
      </c>
      <c r="B3535">
        <v>1185732</v>
      </c>
      <c r="C3535" s="1">
        <v>44351</v>
      </c>
      <c r="D3535" t="s">
        <v>57</v>
      </c>
      <c r="E3535" t="s">
        <v>118</v>
      </c>
      <c r="F3535" t="s">
        <v>119</v>
      </c>
      <c r="G3535" t="s">
        <v>41</v>
      </c>
      <c r="H3535" t="s">
        <v>35</v>
      </c>
      <c r="I3535" s="3">
        <v>29</v>
      </c>
      <c r="J3535" s="2">
        <v>39</v>
      </c>
      <c r="K3535" s="3">
        <f t="shared" si="55"/>
        <v>1131</v>
      </c>
      <c r="L3535" s="3">
        <v>565.5</v>
      </c>
    </row>
    <row r="3536" spans="1:12" x14ac:dyDescent="0.25">
      <c r="A3536" t="s">
        <v>26</v>
      </c>
      <c r="B3536">
        <v>1185732</v>
      </c>
      <c r="C3536" s="1">
        <v>44351</v>
      </c>
      <c r="D3536" t="s">
        <v>32</v>
      </c>
      <c r="E3536" t="s">
        <v>108</v>
      </c>
      <c r="F3536" t="s">
        <v>109</v>
      </c>
      <c r="G3536" t="s">
        <v>41</v>
      </c>
      <c r="H3536" t="s">
        <v>37</v>
      </c>
      <c r="I3536" s="3">
        <v>49</v>
      </c>
      <c r="J3536" s="2">
        <v>169</v>
      </c>
      <c r="K3536" s="3">
        <f t="shared" si="55"/>
        <v>8281</v>
      </c>
      <c r="L3536" s="3">
        <v>4057.6899999999996</v>
      </c>
    </row>
    <row r="3537" spans="1:12" x14ac:dyDescent="0.25">
      <c r="A3537" t="s">
        <v>26</v>
      </c>
      <c r="B3537">
        <v>1185732</v>
      </c>
      <c r="C3537" s="1">
        <v>44351</v>
      </c>
      <c r="D3537" t="s">
        <v>32</v>
      </c>
      <c r="E3537" t="s">
        <v>108</v>
      </c>
      <c r="F3537" t="s">
        <v>109</v>
      </c>
      <c r="G3537" t="s">
        <v>41</v>
      </c>
      <c r="H3537" t="s">
        <v>35</v>
      </c>
      <c r="I3537" s="3">
        <v>47</v>
      </c>
      <c r="J3537" s="2">
        <v>169</v>
      </c>
      <c r="K3537" s="3">
        <f t="shared" si="55"/>
        <v>7943</v>
      </c>
      <c r="L3537" s="3">
        <v>3653.7799999999997</v>
      </c>
    </row>
    <row r="3538" spans="1:12" x14ac:dyDescent="0.25">
      <c r="A3538" t="s">
        <v>26</v>
      </c>
      <c r="B3538">
        <v>1185732</v>
      </c>
      <c r="C3538" s="1">
        <v>44351</v>
      </c>
      <c r="D3538" t="s">
        <v>32</v>
      </c>
      <c r="E3538" t="s">
        <v>108</v>
      </c>
      <c r="F3538" t="s">
        <v>109</v>
      </c>
      <c r="G3538" t="s">
        <v>41</v>
      </c>
      <c r="H3538" t="s">
        <v>38</v>
      </c>
      <c r="I3538" s="3">
        <v>46</v>
      </c>
      <c r="J3538" s="2">
        <v>238</v>
      </c>
      <c r="K3538" s="3">
        <f t="shared" si="55"/>
        <v>10948</v>
      </c>
      <c r="L3538" s="3">
        <v>4926.5999999999995</v>
      </c>
    </row>
    <row r="3539" spans="1:12" x14ac:dyDescent="0.25">
      <c r="A3539" t="s">
        <v>11</v>
      </c>
      <c r="B3539">
        <v>1197831</v>
      </c>
      <c r="C3539" s="1">
        <v>44351</v>
      </c>
      <c r="D3539" t="s">
        <v>12</v>
      </c>
      <c r="E3539" t="s">
        <v>66</v>
      </c>
      <c r="F3539" t="s">
        <v>67</v>
      </c>
      <c r="G3539" t="s">
        <v>15</v>
      </c>
      <c r="H3539" t="s">
        <v>16</v>
      </c>
      <c r="I3539" s="3">
        <v>39</v>
      </c>
      <c r="J3539" s="2">
        <v>248</v>
      </c>
      <c r="K3539" s="3">
        <f t="shared" si="55"/>
        <v>9672</v>
      </c>
      <c r="L3539" s="3">
        <v>4352.3999999999996</v>
      </c>
    </row>
    <row r="3540" spans="1:12" x14ac:dyDescent="0.25">
      <c r="A3540" t="s">
        <v>11</v>
      </c>
      <c r="B3540">
        <v>1197831</v>
      </c>
      <c r="C3540" s="1">
        <v>44351</v>
      </c>
      <c r="D3540" t="s">
        <v>12</v>
      </c>
      <c r="E3540" t="s">
        <v>66</v>
      </c>
      <c r="F3540" t="s">
        <v>67</v>
      </c>
      <c r="G3540" t="s">
        <v>41</v>
      </c>
      <c r="H3540" t="s">
        <v>37</v>
      </c>
      <c r="I3540" s="3">
        <v>48</v>
      </c>
      <c r="J3540" s="2">
        <v>143</v>
      </c>
      <c r="K3540" s="3">
        <f t="shared" si="55"/>
        <v>6864</v>
      </c>
      <c r="L3540" s="3">
        <v>2814.2399999999993</v>
      </c>
    </row>
    <row r="3541" spans="1:12" x14ac:dyDescent="0.25">
      <c r="A3541" t="s">
        <v>26</v>
      </c>
      <c r="B3541">
        <v>1185732</v>
      </c>
      <c r="C3541" s="1">
        <v>44351</v>
      </c>
      <c r="D3541" t="s">
        <v>32</v>
      </c>
      <c r="E3541" t="s">
        <v>108</v>
      </c>
      <c r="F3541" t="s">
        <v>109</v>
      </c>
      <c r="G3541" t="s">
        <v>41</v>
      </c>
      <c r="H3541" t="s">
        <v>16</v>
      </c>
      <c r="I3541" s="3">
        <v>67</v>
      </c>
      <c r="J3541" s="2">
        <v>231</v>
      </c>
      <c r="K3541" s="3">
        <f t="shared" si="55"/>
        <v>15477</v>
      </c>
      <c r="L3541" s="3">
        <v>6190.8000000000011</v>
      </c>
    </row>
    <row r="3542" spans="1:12" x14ac:dyDescent="0.25">
      <c r="A3542" t="s">
        <v>11</v>
      </c>
      <c r="B3542">
        <v>1197831</v>
      </c>
      <c r="C3542" s="1">
        <v>44351</v>
      </c>
      <c r="D3542" t="s">
        <v>12</v>
      </c>
      <c r="E3542" t="s">
        <v>66</v>
      </c>
      <c r="F3542" t="s">
        <v>67</v>
      </c>
      <c r="G3542" t="s">
        <v>41</v>
      </c>
      <c r="H3542" t="s">
        <v>16</v>
      </c>
      <c r="I3542" s="3">
        <v>55</v>
      </c>
      <c r="J3542" s="2">
        <v>231</v>
      </c>
      <c r="K3542" s="3">
        <f t="shared" si="55"/>
        <v>12705</v>
      </c>
      <c r="L3542" s="3">
        <v>4954.95</v>
      </c>
    </row>
    <row r="3543" spans="1:12" x14ac:dyDescent="0.25">
      <c r="A3543" t="s">
        <v>26</v>
      </c>
      <c r="B3543">
        <v>1185732</v>
      </c>
      <c r="C3543" s="1">
        <v>44352</v>
      </c>
      <c r="D3543" t="s">
        <v>29</v>
      </c>
      <c r="E3543" t="s">
        <v>93</v>
      </c>
      <c r="F3543" t="s">
        <v>94</v>
      </c>
      <c r="G3543" t="s">
        <v>18</v>
      </c>
      <c r="H3543" t="s">
        <v>35</v>
      </c>
      <c r="I3543" s="3">
        <v>45</v>
      </c>
      <c r="J3543" s="2">
        <v>300</v>
      </c>
      <c r="K3543" s="3">
        <f t="shared" si="55"/>
        <v>13500</v>
      </c>
      <c r="L3543" s="3">
        <v>9450</v>
      </c>
    </row>
    <row r="3544" spans="1:12" x14ac:dyDescent="0.25">
      <c r="A3544" t="s">
        <v>26</v>
      </c>
      <c r="B3544">
        <v>1185732</v>
      </c>
      <c r="C3544" s="1">
        <v>44352</v>
      </c>
      <c r="D3544" t="s">
        <v>29</v>
      </c>
      <c r="E3544" t="s">
        <v>93</v>
      </c>
      <c r="F3544" t="s">
        <v>94</v>
      </c>
      <c r="G3544" t="s">
        <v>18</v>
      </c>
      <c r="H3544" t="s">
        <v>37</v>
      </c>
      <c r="I3544" s="3">
        <v>45</v>
      </c>
      <c r="J3544" s="2">
        <v>275</v>
      </c>
      <c r="K3544" s="3">
        <f t="shared" si="55"/>
        <v>12375</v>
      </c>
      <c r="L3544" s="3">
        <v>8662.5</v>
      </c>
    </row>
    <row r="3545" spans="1:12" x14ac:dyDescent="0.25">
      <c r="A3545" t="s">
        <v>26</v>
      </c>
      <c r="B3545">
        <v>1185732</v>
      </c>
      <c r="C3545" s="1">
        <v>44352</v>
      </c>
      <c r="D3545" t="s">
        <v>29</v>
      </c>
      <c r="E3545" t="s">
        <v>93</v>
      </c>
      <c r="F3545" t="s">
        <v>94</v>
      </c>
      <c r="G3545" t="s">
        <v>18</v>
      </c>
      <c r="H3545" t="s">
        <v>22</v>
      </c>
      <c r="I3545" s="3">
        <v>54.999999999999993</v>
      </c>
      <c r="J3545" s="2">
        <v>275</v>
      </c>
      <c r="K3545" s="3">
        <f t="shared" si="55"/>
        <v>15124.999999999998</v>
      </c>
      <c r="L3545" s="3">
        <v>10587.499999999996</v>
      </c>
    </row>
    <row r="3546" spans="1:12" x14ac:dyDescent="0.25">
      <c r="A3546" t="s">
        <v>26</v>
      </c>
      <c r="B3546">
        <v>1185732</v>
      </c>
      <c r="C3546" s="1">
        <v>44352</v>
      </c>
      <c r="D3546" t="s">
        <v>29</v>
      </c>
      <c r="E3546" t="s">
        <v>93</v>
      </c>
      <c r="F3546" t="s">
        <v>94</v>
      </c>
      <c r="G3546" t="s">
        <v>18</v>
      </c>
      <c r="H3546" t="s">
        <v>16</v>
      </c>
      <c r="I3546" s="3">
        <v>60</v>
      </c>
      <c r="J3546" s="2">
        <v>425</v>
      </c>
      <c r="K3546" s="3">
        <f t="shared" si="55"/>
        <v>25500</v>
      </c>
      <c r="L3546" s="3">
        <v>16575</v>
      </c>
    </row>
    <row r="3547" spans="1:12" x14ac:dyDescent="0.25">
      <c r="A3547" t="s">
        <v>26</v>
      </c>
      <c r="B3547">
        <v>1185732</v>
      </c>
      <c r="C3547" s="1">
        <v>44352</v>
      </c>
      <c r="D3547" t="s">
        <v>29</v>
      </c>
      <c r="E3547" t="s">
        <v>93</v>
      </c>
      <c r="F3547" t="s">
        <v>94</v>
      </c>
      <c r="G3547" t="s">
        <v>18</v>
      </c>
      <c r="H3547" t="s">
        <v>38</v>
      </c>
      <c r="I3547" s="3">
        <v>54.999999999999993</v>
      </c>
      <c r="J3547" s="2">
        <v>625</v>
      </c>
      <c r="K3547" s="3">
        <f t="shared" si="55"/>
        <v>34374.999999999993</v>
      </c>
      <c r="L3547" s="3">
        <v>20624.999999999996</v>
      </c>
    </row>
    <row r="3548" spans="1:12" x14ac:dyDescent="0.25">
      <c r="A3548" t="s">
        <v>26</v>
      </c>
      <c r="B3548">
        <v>1185732</v>
      </c>
      <c r="C3548" s="1">
        <v>44352</v>
      </c>
      <c r="D3548" t="s">
        <v>29</v>
      </c>
      <c r="E3548" t="s">
        <v>93</v>
      </c>
      <c r="F3548" t="s">
        <v>94</v>
      </c>
      <c r="G3548" t="s">
        <v>18</v>
      </c>
      <c r="H3548" t="s">
        <v>17</v>
      </c>
      <c r="I3548" s="3">
        <v>50</v>
      </c>
      <c r="J3548" s="2">
        <v>375</v>
      </c>
      <c r="K3548" s="3">
        <f t="shared" si="55"/>
        <v>18750</v>
      </c>
      <c r="L3548" s="3">
        <v>11250</v>
      </c>
    </row>
    <row r="3549" spans="1:12" x14ac:dyDescent="0.25">
      <c r="A3549" t="s">
        <v>19</v>
      </c>
      <c r="B3549">
        <v>1185732</v>
      </c>
      <c r="C3549" s="1">
        <v>44352</v>
      </c>
      <c r="D3549" t="s">
        <v>57</v>
      </c>
      <c r="E3549" t="s">
        <v>95</v>
      </c>
      <c r="F3549" t="s">
        <v>96</v>
      </c>
      <c r="G3549" t="s">
        <v>15</v>
      </c>
      <c r="H3549" t="s">
        <v>16</v>
      </c>
      <c r="I3549" s="3">
        <v>45</v>
      </c>
      <c r="J3549" s="2">
        <v>275</v>
      </c>
      <c r="K3549" s="3">
        <f t="shared" si="55"/>
        <v>12375</v>
      </c>
      <c r="L3549" s="3">
        <v>6187.5</v>
      </c>
    </row>
    <row r="3550" spans="1:12" x14ac:dyDescent="0.25">
      <c r="A3550" t="s">
        <v>26</v>
      </c>
      <c r="B3550">
        <v>1185732</v>
      </c>
      <c r="C3550" s="1">
        <v>44352</v>
      </c>
      <c r="D3550" t="s">
        <v>29</v>
      </c>
      <c r="E3550" t="s">
        <v>93</v>
      </c>
      <c r="F3550" t="s">
        <v>94</v>
      </c>
      <c r="G3550" t="s">
        <v>15</v>
      </c>
      <c r="H3550" t="s">
        <v>22</v>
      </c>
      <c r="I3550" s="3">
        <v>36</v>
      </c>
      <c r="J3550" s="2">
        <v>91</v>
      </c>
      <c r="K3550" s="3">
        <f t="shared" si="55"/>
        <v>3276</v>
      </c>
      <c r="L3550" s="3">
        <v>2227.6800000000003</v>
      </c>
    </row>
    <row r="3551" spans="1:12" x14ac:dyDescent="0.25">
      <c r="A3551" t="s">
        <v>26</v>
      </c>
      <c r="B3551">
        <v>1185732</v>
      </c>
      <c r="C3551" s="1">
        <v>44352</v>
      </c>
      <c r="D3551" t="s">
        <v>29</v>
      </c>
      <c r="E3551" t="s">
        <v>93</v>
      </c>
      <c r="F3551" t="s">
        <v>94</v>
      </c>
      <c r="G3551" t="s">
        <v>15</v>
      </c>
      <c r="H3551" t="s">
        <v>35</v>
      </c>
      <c r="I3551" s="3">
        <v>35</v>
      </c>
      <c r="J3551" s="2">
        <v>96</v>
      </c>
      <c r="K3551" s="3">
        <f t="shared" si="55"/>
        <v>3360</v>
      </c>
      <c r="L3551" s="3">
        <v>2251.1999999999998</v>
      </c>
    </row>
    <row r="3552" spans="1:12" x14ac:dyDescent="0.25">
      <c r="A3552" t="s">
        <v>26</v>
      </c>
      <c r="B3552">
        <v>1185732</v>
      </c>
      <c r="C3552" s="1">
        <v>44352</v>
      </c>
      <c r="D3552" t="s">
        <v>29</v>
      </c>
      <c r="E3552" t="s">
        <v>93</v>
      </c>
      <c r="F3552" t="s">
        <v>94</v>
      </c>
      <c r="G3552" t="s">
        <v>15</v>
      </c>
      <c r="H3552" t="s">
        <v>37</v>
      </c>
      <c r="I3552" s="3">
        <v>35</v>
      </c>
      <c r="J3552" s="2">
        <v>85</v>
      </c>
      <c r="K3552" s="3">
        <f t="shared" si="55"/>
        <v>2975</v>
      </c>
      <c r="L3552" s="3">
        <v>1933.75</v>
      </c>
    </row>
    <row r="3553" spans="1:12" x14ac:dyDescent="0.25">
      <c r="A3553" t="s">
        <v>26</v>
      </c>
      <c r="B3553">
        <v>1185732</v>
      </c>
      <c r="C3553" s="1">
        <v>44352</v>
      </c>
      <c r="D3553" t="s">
        <v>29</v>
      </c>
      <c r="E3553" t="s">
        <v>93</v>
      </c>
      <c r="F3553" t="s">
        <v>94</v>
      </c>
      <c r="G3553" t="s">
        <v>15</v>
      </c>
      <c r="H3553" t="s">
        <v>16</v>
      </c>
      <c r="I3553" s="3">
        <v>39</v>
      </c>
      <c r="J3553" s="2">
        <v>128</v>
      </c>
      <c r="K3553" s="3">
        <f t="shared" si="55"/>
        <v>4992</v>
      </c>
      <c r="L3553" s="3">
        <v>3045.12</v>
      </c>
    </row>
    <row r="3554" spans="1:12" x14ac:dyDescent="0.25">
      <c r="A3554" t="s">
        <v>26</v>
      </c>
      <c r="B3554">
        <v>1185732</v>
      </c>
      <c r="C3554" s="1">
        <v>44352</v>
      </c>
      <c r="D3554" t="s">
        <v>29</v>
      </c>
      <c r="E3554" t="s">
        <v>93</v>
      </c>
      <c r="F3554" t="s">
        <v>94</v>
      </c>
      <c r="G3554" t="s">
        <v>41</v>
      </c>
      <c r="H3554" t="s">
        <v>37</v>
      </c>
      <c r="I3554" s="3">
        <v>42</v>
      </c>
      <c r="J3554" s="2">
        <v>80</v>
      </c>
      <c r="K3554" s="3">
        <f t="shared" si="55"/>
        <v>3360</v>
      </c>
      <c r="L3554" s="3">
        <v>1948.8</v>
      </c>
    </row>
    <row r="3555" spans="1:12" x14ac:dyDescent="0.25">
      <c r="A3555" t="s">
        <v>26</v>
      </c>
      <c r="B3555">
        <v>1185732</v>
      </c>
      <c r="C3555" s="1">
        <v>44352</v>
      </c>
      <c r="D3555" t="s">
        <v>29</v>
      </c>
      <c r="E3555" t="s">
        <v>93</v>
      </c>
      <c r="F3555" t="s">
        <v>94</v>
      </c>
      <c r="G3555" t="s">
        <v>41</v>
      </c>
      <c r="H3555" t="s">
        <v>22</v>
      </c>
      <c r="I3555" s="3">
        <v>53</v>
      </c>
      <c r="J3555" s="2">
        <v>74</v>
      </c>
      <c r="K3555" s="3">
        <f t="shared" si="55"/>
        <v>3922</v>
      </c>
      <c r="L3555" s="3">
        <v>2196.3199999999997</v>
      </c>
    </row>
    <row r="3556" spans="1:12" x14ac:dyDescent="0.25">
      <c r="A3556" t="s">
        <v>26</v>
      </c>
      <c r="B3556">
        <v>1185732</v>
      </c>
      <c r="C3556" s="1">
        <v>44352</v>
      </c>
      <c r="D3556" t="s">
        <v>29</v>
      </c>
      <c r="E3556" t="s">
        <v>93</v>
      </c>
      <c r="F3556" t="s">
        <v>94</v>
      </c>
      <c r="G3556" t="s">
        <v>41</v>
      </c>
      <c r="H3556" t="s">
        <v>35</v>
      </c>
      <c r="I3556" s="3">
        <v>42</v>
      </c>
      <c r="J3556" s="2">
        <v>87</v>
      </c>
      <c r="K3556" s="3">
        <f t="shared" si="55"/>
        <v>3654</v>
      </c>
      <c r="L3556" s="3">
        <v>2009.7000000000003</v>
      </c>
    </row>
    <row r="3557" spans="1:12" x14ac:dyDescent="0.25">
      <c r="A3557" t="s">
        <v>26</v>
      </c>
      <c r="B3557">
        <v>1185732</v>
      </c>
      <c r="C3557" s="1">
        <v>44352</v>
      </c>
      <c r="D3557" t="s">
        <v>29</v>
      </c>
      <c r="E3557" t="s">
        <v>93</v>
      </c>
      <c r="F3557" t="s">
        <v>94</v>
      </c>
      <c r="G3557" t="s">
        <v>15</v>
      </c>
      <c r="H3557" t="s">
        <v>38</v>
      </c>
      <c r="I3557" s="3">
        <v>40</v>
      </c>
      <c r="J3557" s="2">
        <v>206</v>
      </c>
      <c r="K3557" s="3">
        <f t="shared" si="55"/>
        <v>8240</v>
      </c>
      <c r="L3557" s="3">
        <v>4367.2</v>
      </c>
    </row>
    <row r="3558" spans="1:12" x14ac:dyDescent="0.25">
      <c r="A3558" t="s">
        <v>26</v>
      </c>
      <c r="B3558">
        <v>1185732</v>
      </c>
      <c r="C3558" s="1">
        <v>44352</v>
      </c>
      <c r="D3558" t="s">
        <v>29</v>
      </c>
      <c r="E3558" t="s">
        <v>93</v>
      </c>
      <c r="F3558" t="s">
        <v>94</v>
      </c>
      <c r="G3558" t="s">
        <v>15</v>
      </c>
      <c r="H3558" t="s">
        <v>17</v>
      </c>
      <c r="I3558" s="3">
        <v>38</v>
      </c>
      <c r="J3558" s="2">
        <v>124</v>
      </c>
      <c r="K3558" s="3">
        <f t="shared" si="55"/>
        <v>4712</v>
      </c>
      <c r="L3558" s="3">
        <v>2497.3599999999997</v>
      </c>
    </row>
    <row r="3559" spans="1:12" x14ac:dyDescent="0.25">
      <c r="A3559" t="s">
        <v>26</v>
      </c>
      <c r="B3559">
        <v>1185732</v>
      </c>
      <c r="C3559" s="1">
        <v>44352</v>
      </c>
      <c r="D3559" t="s">
        <v>29</v>
      </c>
      <c r="E3559" t="s">
        <v>93</v>
      </c>
      <c r="F3559" t="s">
        <v>94</v>
      </c>
      <c r="G3559" t="s">
        <v>41</v>
      </c>
      <c r="H3559" t="s">
        <v>16</v>
      </c>
      <c r="I3559" s="3">
        <v>56</v>
      </c>
      <c r="J3559" s="2">
        <v>123</v>
      </c>
      <c r="K3559" s="3">
        <f t="shared" si="55"/>
        <v>6888</v>
      </c>
      <c r="L3559" s="3">
        <v>3512.88</v>
      </c>
    </row>
    <row r="3560" spans="1:12" x14ac:dyDescent="0.25">
      <c r="A3560" t="s">
        <v>26</v>
      </c>
      <c r="B3560">
        <v>1185732</v>
      </c>
      <c r="C3560" s="1">
        <v>44352</v>
      </c>
      <c r="D3560" t="s">
        <v>29</v>
      </c>
      <c r="E3560" t="s">
        <v>93</v>
      </c>
      <c r="F3560" t="s">
        <v>94</v>
      </c>
      <c r="G3560" t="s">
        <v>41</v>
      </c>
      <c r="H3560" t="s">
        <v>17</v>
      </c>
      <c r="I3560" s="3">
        <v>48</v>
      </c>
      <c r="J3560" s="2">
        <v>94</v>
      </c>
      <c r="K3560" s="3">
        <f t="shared" si="55"/>
        <v>4512</v>
      </c>
      <c r="L3560" s="3">
        <v>2256</v>
      </c>
    </row>
    <row r="3561" spans="1:12" x14ac:dyDescent="0.25">
      <c r="A3561" t="s">
        <v>26</v>
      </c>
      <c r="B3561">
        <v>1185732</v>
      </c>
      <c r="C3561" s="1">
        <v>44352</v>
      </c>
      <c r="D3561" t="s">
        <v>29</v>
      </c>
      <c r="E3561" t="s">
        <v>93</v>
      </c>
      <c r="F3561" t="s">
        <v>94</v>
      </c>
      <c r="G3561" t="s">
        <v>41</v>
      </c>
      <c r="H3561" t="s">
        <v>38</v>
      </c>
      <c r="I3561" s="3">
        <v>50</v>
      </c>
      <c r="J3561" s="2">
        <v>175</v>
      </c>
      <c r="K3561" s="3">
        <f t="shared" si="55"/>
        <v>8750</v>
      </c>
      <c r="L3561" s="3">
        <v>3937.5</v>
      </c>
    </row>
    <row r="3562" spans="1:12" x14ac:dyDescent="0.25">
      <c r="A3562" t="s">
        <v>19</v>
      </c>
      <c r="B3562">
        <v>1185732</v>
      </c>
      <c r="C3562" s="1">
        <v>44352</v>
      </c>
      <c r="D3562" t="s">
        <v>57</v>
      </c>
      <c r="E3562" t="s">
        <v>95</v>
      </c>
      <c r="F3562" t="s">
        <v>96</v>
      </c>
      <c r="G3562" t="s">
        <v>41</v>
      </c>
      <c r="H3562" t="s">
        <v>16</v>
      </c>
      <c r="I3562" s="3">
        <v>41</v>
      </c>
      <c r="J3562" s="2">
        <v>69</v>
      </c>
      <c r="K3562" s="3">
        <f t="shared" si="55"/>
        <v>2829</v>
      </c>
      <c r="L3562" s="3">
        <v>1131.6000000000001</v>
      </c>
    </row>
    <row r="3563" spans="1:12" x14ac:dyDescent="0.25">
      <c r="A3563" t="s">
        <v>19</v>
      </c>
      <c r="B3563">
        <v>1185732</v>
      </c>
      <c r="C3563" s="1">
        <v>44353</v>
      </c>
      <c r="D3563" t="s">
        <v>57</v>
      </c>
      <c r="E3563" t="s">
        <v>78</v>
      </c>
      <c r="F3563" t="s">
        <v>79</v>
      </c>
      <c r="G3563" t="s">
        <v>18</v>
      </c>
      <c r="H3563" t="s">
        <v>35</v>
      </c>
      <c r="I3563" s="3">
        <v>25.000000000000007</v>
      </c>
      <c r="J3563" s="2">
        <v>200</v>
      </c>
      <c r="K3563" s="3">
        <f t="shared" si="55"/>
        <v>5000.0000000000018</v>
      </c>
      <c r="L3563" s="3">
        <v>3500.0000000000014</v>
      </c>
    </row>
    <row r="3564" spans="1:12" x14ac:dyDescent="0.25">
      <c r="A3564" t="s">
        <v>19</v>
      </c>
      <c r="B3564">
        <v>1185732</v>
      </c>
      <c r="C3564" s="1">
        <v>44353</v>
      </c>
      <c r="D3564" t="s">
        <v>57</v>
      </c>
      <c r="E3564" t="s">
        <v>78</v>
      </c>
      <c r="F3564" t="s">
        <v>79</v>
      </c>
      <c r="G3564" t="s">
        <v>18</v>
      </c>
      <c r="H3564" t="s">
        <v>37</v>
      </c>
      <c r="I3564" s="3">
        <v>25.000000000000007</v>
      </c>
      <c r="J3564" s="2">
        <v>175</v>
      </c>
      <c r="K3564" s="3">
        <f t="shared" si="55"/>
        <v>4375.0000000000009</v>
      </c>
      <c r="L3564" s="3">
        <v>3062.5000000000009</v>
      </c>
    </row>
    <row r="3565" spans="1:12" x14ac:dyDescent="0.25">
      <c r="A3565" t="s">
        <v>19</v>
      </c>
      <c r="B3565">
        <v>1185732</v>
      </c>
      <c r="C3565" s="1">
        <v>44353</v>
      </c>
      <c r="D3565" t="s">
        <v>57</v>
      </c>
      <c r="E3565" t="s">
        <v>78</v>
      </c>
      <c r="F3565" t="s">
        <v>79</v>
      </c>
      <c r="G3565" t="s">
        <v>18</v>
      </c>
      <c r="H3565" t="s">
        <v>38</v>
      </c>
      <c r="I3565" s="3">
        <v>35</v>
      </c>
      <c r="J3565" s="2">
        <v>525</v>
      </c>
      <c r="K3565" s="3">
        <f t="shared" si="55"/>
        <v>18375</v>
      </c>
      <c r="L3565" s="3">
        <v>12862.5</v>
      </c>
    </row>
    <row r="3566" spans="1:12" x14ac:dyDescent="0.25">
      <c r="A3566" t="s">
        <v>19</v>
      </c>
      <c r="B3566">
        <v>1185732</v>
      </c>
      <c r="C3566" s="1">
        <v>44353</v>
      </c>
      <c r="D3566" t="s">
        <v>57</v>
      </c>
      <c r="E3566" t="s">
        <v>118</v>
      </c>
      <c r="F3566" t="s">
        <v>119</v>
      </c>
      <c r="G3566" t="s">
        <v>15</v>
      </c>
      <c r="H3566" t="s">
        <v>22</v>
      </c>
      <c r="I3566" s="3">
        <v>50</v>
      </c>
      <c r="J3566" s="2">
        <v>50</v>
      </c>
      <c r="K3566" s="3">
        <f t="shared" si="55"/>
        <v>2500</v>
      </c>
      <c r="L3566" s="3">
        <v>1625</v>
      </c>
    </row>
    <row r="3567" spans="1:12" x14ac:dyDescent="0.25">
      <c r="A3567" t="s">
        <v>19</v>
      </c>
      <c r="B3567">
        <v>1185732</v>
      </c>
      <c r="C3567" s="1">
        <v>44353</v>
      </c>
      <c r="D3567" t="s">
        <v>57</v>
      </c>
      <c r="E3567" t="s">
        <v>78</v>
      </c>
      <c r="F3567" t="s">
        <v>79</v>
      </c>
      <c r="G3567" t="s">
        <v>18</v>
      </c>
      <c r="H3567" t="s">
        <v>17</v>
      </c>
      <c r="I3567" s="3">
        <v>30.000000000000011</v>
      </c>
      <c r="J3567" s="2">
        <v>275</v>
      </c>
      <c r="K3567" s="3">
        <f t="shared" si="55"/>
        <v>8250.0000000000036</v>
      </c>
      <c r="L3567" s="3">
        <v>5362.5000000000018</v>
      </c>
    </row>
    <row r="3568" spans="1:12" x14ac:dyDescent="0.25">
      <c r="A3568" t="s">
        <v>19</v>
      </c>
      <c r="B3568">
        <v>1185732</v>
      </c>
      <c r="C3568" s="1">
        <v>44353</v>
      </c>
      <c r="D3568" t="s">
        <v>57</v>
      </c>
      <c r="E3568" t="s">
        <v>95</v>
      </c>
      <c r="F3568" t="s">
        <v>96</v>
      </c>
      <c r="G3568" t="s">
        <v>15</v>
      </c>
      <c r="H3568" t="s">
        <v>38</v>
      </c>
      <c r="I3568" s="3">
        <v>45</v>
      </c>
      <c r="J3568" s="2">
        <v>525</v>
      </c>
      <c r="K3568" s="3">
        <f t="shared" si="55"/>
        <v>23625</v>
      </c>
      <c r="L3568" s="3">
        <v>14175</v>
      </c>
    </row>
    <row r="3569" spans="1:12" x14ac:dyDescent="0.25">
      <c r="A3569" t="s">
        <v>19</v>
      </c>
      <c r="B3569">
        <v>1185732</v>
      </c>
      <c r="C3569" s="1">
        <v>44353</v>
      </c>
      <c r="D3569" t="s">
        <v>57</v>
      </c>
      <c r="E3569" t="s">
        <v>78</v>
      </c>
      <c r="F3569" t="s">
        <v>79</v>
      </c>
      <c r="G3569" t="s">
        <v>18</v>
      </c>
      <c r="H3569" t="s">
        <v>16</v>
      </c>
      <c r="I3569" s="3">
        <v>55.000000000000007</v>
      </c>
      <c r="J3569" s="2">
        <v>325</v>
      </c>
      <c r="K3569" s="3">
        <f t="shared" si="55"/>
        <v>17875.000000000004</v>
      </c>
      <c r="L3569" s="3">
        <v>10725.000000000002</v>
      </c>
    </row>
    <row r="3570" spans="1:12" x14ac:dyDescent="0.25">
      <c r="A3570" t="s">
        <v>19</v>
      </c>
      <c r="B3570">
        <v>1185732</v>
      </c>
      <c r="C3570" s="1">
        <v>44353</v>
      </c>
      <c r="D3570" t="s">
        <v>57</v>
      </c>
      <c r="E3570" t="s">
        <v>78</v>
      </c>
      <c r="F3570" t="s">
        <v>79</v>
      </c>
      <c r="G3570" t="s">
        <v>18</v>
      </c>
      <c r="H3570" t="s">
        <v>22</v>
      </c>
      <c r="I3570" s="3">
        <v>35</v>
      </c>
      <c r="J3570" s="2">
        <v>175</v>
      </c>
      <c r="K3570" s="3">
        <f t="shared" si="55"/>
        <v>6125</v>
      </c>
      <c r="L3570" s="3">
        <v>3062.5</v>
      </c>
    </row>
    <row r="3571" spans="1:12" x14ac:dyDescent="0.25">
      <c r="A3571" t="s">
        <v>19</v>
      </c>
      <c r="B3571">
        <v>1185732</v>
      </c>
      <c r="C3571" s="1">
        <v>44353</v>
      </c>
      <c r="D3571" t="s">
        <v>57</v>
      </c>
      <c r="E3571" t="s">
        <v>78</v>
      </c>
      <c r="F3571" t="s">
        <v>79</v>
      </c>
      <c r="G3571" t="s">
        <v>41</v>
      </c>
      <c r="H3571" t="s">
        <v>38</v>
      </c>
      <c r="I3571" s="3">
        <v>32</v>
      </c>
      <c r="J3571" s="2">
        <v>137</v>
      </c>
      <c r="K3571" s="3">
        <f t="shared" si="55"/>
        <v>4384</v>
      </c>
      <c r="L3571" s="3">
        <v>2542.7200000000003</v>
      </c>
    </row>
    <row r="3572" spans="1:12" x14ac:dyDescent="0.25">
      <c r="A3572" t="s">
        <v>19</v>
      </c>
      <c r="B3572">
        <v>1185732</v>
      </c>
      <c r="C3572" s="1">
        <v>44353</v>
      </c>
      <c r="D3572" t="s">
        <v>57</v>
      </c>
      <c r="E3572" t="s">
        <v>78</v>
      </c>
      <c r="F3572" t="s">
        <v>79</v>
      </c>
      <c r="G3572" t="s">
        <v>41</v>
      </c>
      <c r="H3572" t="s">
        <v>37</v>
      </c>
      <c r="I3572" s="3">
        <v>24</v>
      </c>
      <c r="J3572" s="2">
        <v>44</v>
      </c>
      <c r="K3572" s="3">
        <f t="shared" si="55"/>
        <v>1056</v>
      </c>
      <c r="L3572" s="3">
        <v>591.36</v>
      </c>
    </row>
    <row r="3573" spans="1:12" x14ac:dyDescent="0.25">
      <c r="A3573" t="s">
        <v>19</v>
      </c>
      <c r="B3573">
        <v>1185732</v>
      </c>
      <c r="C3573" s="1">
        <v>44353</v>
      </c>
      <c r="D3573" t="s">
        <v>57</v>
      </c>
      <c r="E3573" t="s">
        <v>78</v>
      </c>
      <c r="F3573" t="s">
        <v>79</v>
      </c>
      <c r="G3573" t="s">
        <v>41</v>
      </c>
      <c r="H3573" t="s">
        <v>35</v>
      </c>
      <c r="I3573" s="3">
        <v>23</v>
      </c>
      <c r="J3573" s="2">
        <v>50</v>
      </c>
      <c r="K3573" s="3">
        <f t="shared" si="55"/>
        <v>1150</v>
      </c>
      <c r="L3573" s="3">
        <v>632.5</v>
      </c>
    </row>
    <row r="3574" spans="1:12" x14ac:dyDescent="0.25">
      <c r="A3574" t="s">
        <v>19</v>
      </c>
      <c r="B3574">
        <v>1185732</v>
      </c>
      <c r="C3574" s="1">
        <v>44353</v>
      </c>
      <c r="D3574" t="s">
        <v>57</v>
      </c>
      <c r="E3574" t="s">
        <v>118</v>
      </c>
      <c r="F3574" t="s">
        <v>119</v>
      </c>
      <c r="G3574" t="s">
        <v>41</v>
      </c>
      <c r="H3574" t="s">
        <v>22</v>
      </c>
      <c r="I3574" s="3">
        <v>45</v>
      </c>
      <c r="J3574" s="2">
        <v>13</v>
      </c>
      <c r="K3574" s="3">
        <f t="shared" si="55"/>
        <v>585</v>
      </c>
      <c r="L3574" s="3">
        <v>310.05</v>
      </c>
    </row>
    <row r="3575" spans="1:12" x14ac:dyDescent="0.25">
      <c r="A3575" t="s">
        <v>19</v>
      </c>
      <c r="B3575">
        <v>1185732</v>
      </c>
      <c r="C3575" s="1">
        <v>44353</v>
      </c>
      <c r="D3575" t="s">
        <v>57</v>
      </c>
      <c r="E3575" t="s">
        <v>78</v>
      </c>
      <c r="F3575" t="s">
        <v>79</v>
      </c>
      <c r="G3575" t="s">
        <v>41</v>
      </c>
      <c r="H3575" t="s">
        <v>17</v>
      </c>
      <c r="I3575" s="3">
        <v>28</v>
      </c>
      <c r="J3575" s="2">
        <v>77</v>
      </c>
      <c r="K3575" s="3">
        <f t="shared" si="55"/>
        <v>2156</v>
      </c>
      <c r="L3575" s="3">
        <v>1121.1200000000001</v>
      </c>
    </row>
    <row r="3576" spans="1:12" x14ac:dyDescent="0.25">
      <c r="A3576" t="s">
        <v>19</v>
      </c>
      <c r="B3576">
        <v>1185732</v>
      </c>
      <c r="C3576" s="1">
        <v>44353</v>
      </c>
      <c r="D3576" t="s">
        <v>57</v>
      </c>
      <c r="E3576" t="s">
        <v>95</v>
      </c>
      <c r="F3576" t="s">
        <v>96</v>
      </c>
      <c r="G3576" t="s">
        <v>41</v>
      </c>
      <c r="H3576" t="s">
        <v>38</v>
      </c>
      <c r="I3576" s="3">
        <v>44</v>
      </c>
      <c r="J3576" s="2">
        <v>158</v>
      </c>
      <c r="K3576" s="3">
        <f t="shared" si="55"/>
        <v>6952</v>
      </c>
      <c r="L3576" s="3">
        <v>3406.48</v>
      </c>
    </row>
    <row r="3577" spans="1:12" x14ac:dyDescent="0.25">
      <c r="A3577" t="s">
        <v>19</v>
      </c>
      <c r="B3577">
        <v>1185732</v>
      </c>
      <c r="C3577" s="1">
        <v>44353</v>
      </c>
      <c r="D3577" t="s">
        <v>57</v>
      </c>
      <c r="E3577" t="s">
        <v>78</v>
      </c>
      <c r="F3577" t="s">
        <v>79</v>
      </c>
      <c r="G3577" t="s">
        <v>41</v>
      </c>
      <c r="H3577" t="s">
        <v>16</v>
      </c>
      <c r="I3577" s="3">
        <v>51</v>
      </c>
      <c r="J3577" s="2">
        <v>85</v>
      </c>
      <c r="K3577" s="3">
        <f t="shared" si="55"/>
        <v>4335</v>
      </c>
      <c r="L3577" s="3">
        <v>2037.4499999999998</v>
      </c>
    </row>
    <row r="3578" spans="1:12" x14ac:dyDescent="0.25">
      <c r="A3578" t="s">
        <v>19</v>
      </c>
      <c r="B3578">
        <v>1185732</v>
      </c>
      <c r="C3578" s="1">
        <v>44353</v>
      </c>
      <c r="D3578" t="s">
        <v>57</v>
      </c>
      <c r="E3578" t="s">
        <v>78</v>
      </c>
      <c r="F3578" t="s">
        <v>79</v>
      </c>
      <c r="G3578" t="s">
        <v>41</v>
      </c>
      <c r="H3578" t="s">
        <v>22</v>
      </c>
      <c r="I3578" s="3">
        <v>34</v>
      </c>
      <c r="J3578" s="2">
        <v>44</v>
      </c>
      <c r="K3578" s="3">
        <f t="shared" si="55"/>
        <v>1496</v>
      </c>
      <c r="L3578" s="3">
        <v>538.55999999999995</v>
      </c>
    </row>
    <row r="3579" spans="1:12" x14ac:dyDescent="0.25">
      <c r="A3579" t="s">
        <v>19</v>
      </c>
      <c r="B3579">
        <v>1185732</v>
      </c>
      <c r="C3579" s="1">
        <v>44354</v>
      </c>
      <c r="D3579" t="s">
        <v>32</v>
      </c>
      <c r="E3579" t="s">
        <v>46</v>
      </c>
      <c r="F3579" t="s">
        <v>47</v>
      </c>
      <c r="G3579" t="s">
        <v>41</v>
      </c>
      <c r="H3579" t="s">
        <v>35</v>
      </c>
      <c r="I3579" s="3">
        <v>50</v>
      </c>
      <c r="J3579" s="2">
        <v>775</v>
      </c>
      <c r="K3579" s="3">
        <f t="shared" si="55"/>
        <v>38750</v>
      </c>
      <c r="L3579" s="3">
        <v>29062.5</v>
      </c>
    </row>
    <row r="3580" spans="1:12" x14ac:dyDescent="0.25">
      <c r="A3580" t="s">
        <v>19</v>
      </c>
      <c r="B3580">
        <v>1185732</v>
      </c>
      <c r="C3580" s="1">
        <v>44354</v>
      </c>
      <c r="D3580" t="s">
        <v>32</v>
      </c>
      <c r="E3580" t="s">
        <v>46</v>
      </c>
      <c r="F3580" t="s">
        <v>47</v>
      </c>
      <c r="G3580" t="s">
        <v>41</v>
      </c>
      <c r="H3580" t="s">
        <v>37</v>
      </c>
      <c r="I3580" s="3">
        <v>50</v>
      </c>
      <c r="J3580" s="2">
        <v>750</v>
      </c>
      <c r="K3580" s="3">
        <f t="shared" si="55"/>
        <v>37500</v>
      </c>
      <c r="L3580" s="3">
        <v>26250</v>
      </c>
    </row>
    <row r="3581" spans="1:12" x14ac:dyDescent="0.25">
      <c r="A3581" t="s">
        <v>19</v>
      </c>
      <c r="B3581">
        <v>1185732</v>
      </c>
      <c r="C3581" s="1">
        <v>44354</v>
      </c>
      <c r="D3581" t="s">
        <v>57</v>
      </c>
      <c r="E3581" t="s">
        <v>95</v>
      </c>
      <c r="F3581" t="s">
        <v>96</v>
      </c>
      <c r="G3581" t="s">
        <v>15</v>
      </c>
      <c r="H3581" t="s">
        <v>17</v>
      </c>
      <c r="I3581" s="3">
        <v>45</v>
      </c>
      <c r="J3581" s="2">
        <v>175</v>
      </c>
      <c r="K3581" s="3">
        <f t="shared" si="55"/>
        <v>7875</v>
      </c>
      <c r="L3581" s="3">
        <v>5118.75</v>
      </c>
    </row>
    <row r="3582" spans="1:12" x14ac:dyDescent="0.25">
      <c r="A3582" t="s">
        <v>19</v>
      </c>
      <c r="B3582">
        <v>1185732</v>
      </c>
      <c r="C3582" s="1">
        <v>44354</v>
      </c>
      <c r="D3582" t="s">
        <v>32</v>
      </c>
      <c r="E3582" t="s">
        <v>46</v>
      </c>
      <c r="F3582" t="s">
        <v>47</v>
      </c>
      <c r="G3582" t="s">
        <v>41</v>
      </c>
      <c r="H3582" t="s">
        <v>17</v>
      </c>
      <c r="I3582" s="3">
        <v>50</v>
      </c>
      <c r="J3582" s="2">
        <v>800</v>
      </c>
      <c r="K3582" s="3">
        <f t="shared" si="55"/>
        <v>40000</v>
      </c>
      <c r="L3582" s="3">
        <v>26000</v>
      </c>
    </row>
    <row r="3583" spans="1:12" x14ac:dyDescent="0.25">
      <c r="A3583" t="s">
        <v>19</v>
      </c>
      <c r="B3583">
        <v>1185732</v>
      </c>
      <c r="C3583" s="1">
        <v>44354</v>
      </c>
      <c r="D3583" t="s">
        <v>32</v>
      </c>
      <c r="E3583" t="s">
        <v>46</v>
      </c>
      <c r="F3583" t="s">
        <v>47</v>
      </c>
      <c r="G3583" t="s">
        <v>41</v>
      </c>
      <c r="H3583" t="s">
        <v>22</v>
      </c>
      <c r="I3583" s="3">
        <v>65</v>
      </c>
      <c r="J3583" s="2">
        <v>750</v>
      </c>
      <c r="K3583" s="3">
        <f t="shared" si="55"/>
        <v>48750</v>
      </c>
      <c r="L3583" s="3">
        <v>31687.5</v>
      </c>
    </row>
    <row r="3584" spans="1:12" x14ac:dyDescent="0.25">
      <c r="A3584" t="s">
        <v>19</v>
      </c>
      <c r="B3584">
        <v>1185732</v>
      </c>
      <c r="C3584" s="1">
        <v>44354</v>
      </c>
      <c r="D3584" t="s">
        <v>32</v>
      </c>
      <c r="E3584" t="s">
        <v>46</v>
      </c>
      <c r="F3584" t="s">
        <v>47</v>
      </c>
      <c r="G3584" t="s">
        <v>41</v>
      </c>
      <c r="H3584" t="s">
        <v>38</v>
      </c>
      <c r="I3584" s="3">
        <v>54.999999999999993</v>
      </c>
      <c r="J3584" s="2">
        <v>1050</v>
      </c>
      <c r="K3584" s="3">
        <f t="shared" si="55"/>
        <v>57749.999999999993</v>
      </c>
      <c r="L3584" s="3">
        <v>31762.499999999993</v>
      </c>
    </row>
    <row r="3585" spans="1:12" x14ac:dyDescent="0.25">
      <c r="A3585" t="s">
        <v>19</v>
      </c>
      <c r="B3585">
        <v>1185732</v>
      </c>
      <c r="C3585" s="1">
        <v>44354</v>
      </c>
      <c r="D3585" t="s">
        <v>57</v>
      </c>
      <c r="E3585" t="s">
        <v>118</v>
      </c>
      <c r="F3585" t="s">
        <v>119</v>
      </c>
      <c r="G3585" t="s">
        <v>15</v>
      </c>
      <c r="H3585" t="s">
        <v>16</v>
      </c>
      <c r="I3585" s="3">
        <v>40</v>
      </c>
      <c r="J3585" s="2">
        <v>150</v>
      </c>
      <c r="K3585" s="3">
        <f t="shared" si="55"/>
        <v>6000</v>
      </c>
      <c r="L3585" s="3">
        <v>3000</v>
      </c>
    </row>
    <row r="3586" spans="1:12" x14ac:dyDescent="0.25">
      <c r="A3586" t="s">
        <v>19</v>
      </c>
      <c r="B3586">
        <v>1185732</v>
      </c>
      <c r="C3586" s="1">
        <v>44354</v>
      </c>
      <c r="D3586" t="s">
        <v>32</v>
      </c>
      <c r="E3586" t="s">
        <v>46</v>
      </c>
      <c r="F3586" t="s">
        <v>47</v>
      </c>
      <c r="G3586" t="s">
        <v>41</v>
      </c>
      <c r="H3586" t="s">
        <v>16</v>
      </c>
      <c r="I3586" s="3">
        <v>70</v>
      </c>
      <c r="J3586" s="2">
        <v>925</v>
      </c>
      <c r="K3586" s="3">
        <f t="shared" si="55"/>
        <v>64750</v>
      </c>
      <c r="L3586" s="3">
        <v>32375</v>
      </c>
    </row>
    <row r="3587" spans="1:12" x14ac:dyDescent="0.25">
      <c r="A3587" t="s">
        <v>19</v>
      </c>
      <c r="B3587">
        <v>1185732</v>
      </c>
      <c r="C3587" s="1">
        <v>44354</v>
      </c>
      <c r="D3587" t="s">
        <v>32</v>
      </c>
      <c r="E3587" t="s">
        <v>46</v>
      </c>
      <c r="F3587" t="s">
        <v>47</v>
      </c>
      <c r="G3587" t="s">
        <v>41</v>
      </c>
      <c r="H3587" t="s">
        <v>35</v>
      </c>
      <c r="I3587" s="3">
        <v>47</v>
      </c>
      <c r="J3587" s="2">
        <v>209</v>
      </c>
      <c r="K3587" s="3">
        <f t="shared" ref="K3587:K3650" si="56">I3587*J3587</f>
        <v>9823</v>
      </c>
      <c r="L3587" s="3">
        <v>6286.72</v>
      </c>
    </row>
    <row r="3588" spans="1:12" x14ac:dyDescent="0.25">
      <c r="A3588" t="s">
        <v>19</v>
      </c>
      <c r="B3588">
        <v>1185732</v>
      </c>
      <c r="C3588" s="1">
        <v>44354</v>
      </c>
      <c r="D3588" t="s">
        <v>32</v>
      </c>
      <c r="E3588" t="s">
        <v>46</v>
      </c>
      <c r="F3588" t="s">
        <v>47</v>
      </c>
      <c r="G3588" t="s">
        <v>41</v>
      </c>
      <c r="H3588" t="s">
        <v>22</v>
      </c>
      <c r="I3588" s="3">
        <v>62</v>
      </c>
      <c r="J3588" s="2">
        <v>195</v>
      </c>
      <c r="K3588" s="3">
        <f t="shared" si="56"/>
        <v>12090</v>
      </c>
      <c r="L3588" s="3">
        <v>6649.5000000000009</v>
      </c>
    </row>
    <row r="3589" spans="1:12" x14ac:dyDescent="0.25">
      <c r="A3589" t="s">
        <v>19</v>
      </c>
      <c r="B3589">
        <v>1185732</v>
      </c>
      <c r="C3589" s="1">
        <v>44354</v>
      </c>
      <c r="D3589" t="s">
        <v>32</v>
      </c>
      <c r="E3589" t="s">
        <v>46</v>
      </c>
      <c r="F3589" t="s">
        <v>47</v>
      </c>
      <c r="G3589" t="s">
        <v>41</v>
      </c>
      <c r="H3589" t="s">
        <v>37</v>
      </c>
      <c r="I3589" s="3">
        <v>47</v>
      </c>
      <c r="J3589" s="2">
        <v>218</v>
      </c>
      <c r="K3589" s="3">
        <f t="shared" si="56"/>
        <v>10246</v>
      </c>
      <c r="L3589" s="3">
        <v>5635.3</v>
      </c>
    </row>
    <row r="3590" spans="1:12" x14ac:dyDescent="0.25">
      <c r="A3590" t="s">
        <v>19</v>
      </c>
      <c r="B3590">
        <v>1185732</v>
      </c>
      <c r="C3590" s="1">
        <v>44354</v>
      </c>
      <c r="D3590" t="s">
        <v>32</v>
      </c>
      <c r="E3590" t="s">
        <v>46</v>
      </c>
      <c r="F3590" t="s">
        <v>47</v>
      </c>
      <c r="G3590" t="s">
        <v>41</v>
      </c>
      <c r="H3590" t="s">
        <v>17</v>
      </c>
      <c r="I3590" s="3">
        <v>49</v>
      </c>
      <c r="J3590" s="2">
        <v>200</v>
      </c>
      <c r="K3590" s="3">
        <f t="shared" si="56"/>
        <v>9800</v>
      </c>
      <c r="L3590" s="3">
        <v>5390</v>
      </c>
    </row>
    <row r="3591" spans="1:12" x14ac:dyDescent="0.25">
      <c r="A3591" t="s">
        <v>19</v>
      </c>
      <c r="B3591">
        <v>1185732</v>
      </c>
      <c r="C3591" s="1">
        <v>44354</v>
      </c>
      <c r="D3591" t="s">
        <v>57</v>
      </c>
      <c r="E3591" t="s">
        <v>95</v>
      </c>
      <c r="F3591" t="s">
        <v>96</v>
      </c>
      <c r="G3591" t="s">
        <v>41</v>
      </c>
      <c r="H3591" t="s">
        <v>17</v>
      </c>
      <c r="I3591" s="3">
        <v>43</v>
      </c>
      <c r="J3591" s="2">
        <v>51</v>
      </c>
      <c r="K3591" s="3">
        <f t="shared" si="56"/>
        <v>2193</v>
      </c>
      <c r="L3591" s="3">
        <v>1162.29</v>
      </c>
    </row>
    <row r="3592" spans="1:12" x14ac:dyDescent="0.25">
      <c r="A3592" t="s">
        <v>19</v>
      </c>
      <c r="B3592">
        <v>1185732</v>
      </c>
      <c r="C3592" s="1">
        <v>44354</v>
      </c>
      <c r="D3592" t="s">
        <v>32</v>
      </c>
      <c r="E3592" t="s">
        <v>46</v>
      </c>
      <c r="F3592" t="s">
        <v>47</v>
      </c>
      <c r="G3592" t="s">
        <v>41</v>
      </c>
      <c r="H3592" t="s">
        <v>38</v>
      </c>
      <c r="I3592" s="3">
        <v>51</v>
      </c>
      <c r="J3592" s="2">
        <v>273</v>
      </c>
      <c r="K3592" s="3">
        <f t="shared" si="56"/>
        <v>13923</v>
      </c>
      <c r="L3592" s="3">
        <v>6126.119999999999</v>
      </c>
    </row>
    <row r="3593" spans="1:12" x14ac:dyDescent="0.25">
      <c r="A3593" t="s">
        <v>19</v>
      </c>
      <c r="B3593">
        <v>1185732</v>
      </c>
      <c r="C3593" s="1">
        <v>44354</v>
      </c>
      <c r="D3593" t="s">
        <v>57</v>
      </c>
      <c r="E3593" t="s">
        <v>118</v>
      </c>
      <c r="F3593" t="s">
        <v>119</v>
      </c>
      <c r="G3593" t="s">
        <v>41</v>
      </c>
      <c r="H3593" t="s">
        <v>16</v>
      </c>
      <c r="I3593" s="3">
        <v>37</v>
      </c>
      <c r="J3593" s="2">
        <v>38</v>
      </c>
      <c r="K3593" s="3">
        <f t="shared" si="56"/>
        <v>1406</v>
      </c>
      <c r="L3593" s="3">
        <v>548.34</v>
      </c>
    </row>
    <row r="3594" spans="1:12" x14ac:dyDescent="0.25">
      <c r="A3594" t="s">
        <v>19</v>
      </c>
      <c r="B3594">
        <v>1185732</v>
      </c>
      <c r="C3594" s="1">
        <v>44354</v>
      </c>
      <c r="D3594" t="s">
        <v>32</v>
      </c>
      <c r="E3594" t="s">
        <v>46</v>
      </c>
      <c r="F3594" t="s">
        <v>47</v>
      </c>
      <c r="G3594" t="s">
        <v>41</v>
      </c>
      <c r="H3594" t="s">
        <v>16</v>
      </c>
      <c r="I3594" s="3">
        <v>65</v>
      </c>
      <c r="J3594" s="2">
        <v>250</v>
      </c>
      <c r="K3594" s="3">
        <f t="shared" si="56"/>
        <v>16250</v>
      </c>
      <c r="L3594" s="3">
        <v>5850</v>
      </c>
    </row>
    <row r="3595" spans="1:12" x14ac:dyDescent="0.25">
      <c r="A3595" t="s">
        <v>27</v>
      </c>
      <c r="B3595">
        <v>1185732</v>
      </c>
      <c r="C3595" s="1">
        <v>44355</v>
      </c>
      <c r="D3595" t="s">
        <v>29</v>
      </c>
      <c r="E3595" t="s">
        <v>91</v>
      </c>
      <c r="F3595" t="s">
        <v>92</v>
      </c>
      <c r="G3595" t="s">
        <v>18</v>
      </c>
      <c r="H3595" t="s">
        <v>22</v>
      </c>
      <c r="I3595" s="3">
        <v>49.999999999999993</v>
      </c>
      <c r="J3595" s="2">
        <v>250</v>
      </c>
      <c r="K3595" s="3">
        <f t="shared" si="56"/>
        <v>12499.999999999998</v>
      </c>
      <c r="L3595" s="3">
        <v>8750</v>
      </c>
    </row>
    <row r="3596" spans="1:12" x14ac:dyDescent="0.25">
      <c r="A3596" t="s">
        <v>19</v>
      </c>
      <c r="B3596">
        <v>1185732</v>
      </c>
      <c r="C3596" s="1">
        <v>44355</v>
      </c>
      <c r="D3596" t="s">
        <v>29</v>
      </c>
      <c r="E3596" t="s">
        <v>48</v>
      </c>
      <c r="F3596" t="s">
        <v>49</v>
      </c>
      <c r="G3596" t="s">
        <v>18</v>
      </c>
      <c r="H3596" t="s">
        <v>22</v>
      </c>
      <c r="I3596" s="3">
        <v>49.999999999999993</v>
      </c>
      <c r="J3596" s="2">
        <v>200</v>
      </c>
      <c r="K3596" s="3">
        <f t="shared" si="56"/>
        <v>9999.9999999999982</v>
      </c>
      <c r="L3596" s="3">
        <v>7000</v>
      </c>
    </row>
    <row r="3597" spans="1:12" x14ac:dyDescent="0.25">
      <c r="A3597" t="s">
        <v>19</v>
      </c>
      <c r="B3597">
        <v>1185732</v>
      </c>
      <c r="C3597" s="1">
        <v>44355</v>
      </c>
      <c r="D3597" t="s">
        <v>57</v>
      </c>
      <c r="E3597" t="s">
        <v>95</v>
      </c>
      <c r="F3597" t="s">
        <v>96</v>
      </c>
      <c r="G3597" t="s">
        <v>15</v>
      </c>
      <c r="H3597" t="s">
        <v>35</v>
      </c>
      <c r="I3597" s="3">
        <v>35</v>
      </c>
      <c r="J3597" s="2">
        <v>225</v>
      </c>
      <c r="K3597" s="3">
        <f t="shared" si="56"/>
        <v>7875</v>
      </c>
      <c r="L3597" s="3">
        <v>5118.75</v>
      </c>
    </row>
    <row r="3598" spans="1:12" x14ac:dyDescent="0.25">
      <c r="A3598" t="s">
        <v>27</v>
      </c>
      <c r="B3598">
        <v>1185732</v>
      </c>
      <c r="C3598" s="1">
        <v>44355</v>
      </c>
      <c r="D3598" t="s">
        <v>29</v>
      </c>
      <c r="E3598" t="s">
        <v>91</v>
      </c>
      <c r="F3598" t="s">
        <v>92</v>
      </c>
      <c r="G3598" t="s">
        <v>18</v>
      </c>
      <c r="H3598" t="s">
        <v>38</v>
      </c>
      <c r="I3598" s="3">
        <v>49.999999999999993</v>
      </c>
      <c r="J3598" s="2">
        <v>600</v>
      </c>
      <c r="K3598" s="3">
        <f t="shared" si="56"/>
        <v>29999.999999999996</v>
      </c>
      <c r="L3598" s="3">
        <v>19499.999999999996</v>
      </c>
    </row>
    <row r="3599" spans="1:12" x14ac:dyDescent="0.25">
      <c r="A3599" t="s">
        <v>27</v>
      </c>
      <c r="B3599">
        <v>1185732</v>
      </c>
      <c r="C3599" s="1">
        <v>44355</v>
      </c>
      <c r="D3599" t="s">
        <v>29</v>
      </c>
      <c r="E3599" t="s">
        <v>91</v>
      </c>
      <c r="F3599" t="s">
        <v>92</v>
      </c>
      <c r="G3599" t="s">
        <v>18</v>
      </c>
      <c r="H3599" t="s">
        <v>17</v>
      </c>
      <c r="I3599" s="3">
        <v>45</v>
      </c>
      <c r="J3599" s="2">
        <v>350</v>
      </c>
      <c r="K3599" s="3">
        <f t="shared" si="56"/>
        <v>15750</v>
      </c>
      <c r="L3599" s="3">
        <v>10237.5</v>
      </c>
    </row>
    <row r="3600" spans="1:12" x14ac:dyDescent="0.25">
      <c r="A3600" t="s">
        <v>19</v>
      </c>
      <c r="B3600">
        <v>1185732</v>
      </c>
      <c r="C3600" s="1">
        <v>44355</v>
      </c>
      <c r="D3600" t="s">
        <v>29</v>
      </c>
      <c r="E3600" t="s">
        <v>48</v>
      </c>
      <c r="F3600" t="s">
        <v>49</v>
      </c>
      <c r="G3600" t="s">
        <v>18</v>
      </c>
      <c r="H3600" t="s">
        <v>38</v>
      </c>
      <c r="I3600" s="3">
        <v>49.999999999999993</v>
      </c>
      <c r="J3600" s="2">
        <v>550</v>
      </c>
      <c r="K3600" s="3">
        <f t="shared" si="56"/>
        <v>27499.999999999996</v>
      </c>
      <c r="L3600" s="3">
        <v>17874.999999999996</v>
      </c>
    </row>
    <row r="3601" spans="1:12" x14ac:dyDescent="0.25">
      <c r="A3601" t="s">
        <v>19</v>
      </c>
      <c r="B3601">
        <v>1185732</v>
      </c>
      <c r="C3601" s="1">
        <v>44355</v>
      </c>
      <c r="D3601" t="s">
        <v>29</v>
      </c>
      <c r="E3601" t="s">
        <v>48</v>
      </c>
      <c r="F3601" t="s">
        <v>49</v>
      </c>
      <c r="G3601" t="s">
        <v>18</v>
      </c>
      <c r="H3601" t="s">
        <v>17</v>
      </c>
      <c r="I3601" s="3">
        <v>45</v>
      </c>
      <c r="J3601" s="2">
        <v>300</v>
      </c>
      <c r="K3601" s="3">
        <f t="shared" si="56"/>
        <v>13500</v>
      </c>
      <c r="L3601" s="3">
        <v>8775</v>
      </c>
    </row>
    <row r="3602" spans="1:12" x14ac:dyDescent="0.25">
      <c r="A3602" t="s">
        <v>19</v>
      </c>
      <c r="B3602">
        <v>1185732</v>
      </c>
      <c r="C3602" s="1">
        <v>44355</v>
      </c>
      <c r="D3602" t="s">
        <v>57</v>
      </c>
      <c r="E3602" t="s">
        <v>118</v>
      </c>
      <c r="F3602" t="s">
        <v>119</v>
      </c>
      <c r="G3602" t="s">
        <v>15</v>
      </c>
      <c r="H3602" t="s">
        <v>38</v>
      </c>
      <c r="I3602" s="3">
        <v>40</v>
      </c>
      <c r="J3602" s="2">
        <v>375</v>
      </c>
      <c r="K3602" s="3">
        <f t="shared" si="56"/>
        <v>15000</v>
      </c>
      <c r="L3602" s="3">
        <v>9000</v>
      </c>
    </row>
    <row r="3603" spans="1:12" x14ac:dyDescent="0.25">
      <c r="A3603" t="s">
        <v>27</v>
      </c>
      <c r="B3603">
        <v>1185732</v>
      </c>
      <c r="C3603" s="1">
        <v>44355</v>
      </c>
      <c r="D3603" t="s">
        <v>29</v>
      </c>
      <c r="E3603" t="s">
        <v>91</v>
      </c>
      <c r="F3603" t="s">
        <v>92</v>
      </c>
      <c r="G3603" t="s">
        <v>18</v>
      </c>
      <c r="H3603" t="s">
        <v>35</v>
      </c>
      <c r="I3603" s="3">
        <v>40</v>
      </c>
      <c r="J3603" s="2">
        <v>275</v>
      </c>
      <c r="K3603" s="3">
        <f t="shared" si="56"/>
        <v>11000</v>
      </c>
      <c r="L3603" s="3">
        <v>6600</v>
      </c>
    </row>
    <row r="3604" spans="1:12" x14ac:dyDescent="0.25">
      <c r="A3604" t="s">
        <v>27</v>
      </c>
      <c r="B3604">
        <v>1185732</v>
      </c>
      <c r="C3604" s="1">
        <v>44355</v>
      </c>
      <c r="D3604" t="s">
        <v>29</v>
      </c>
      <c r="E3604" t="s">
        <v>91</v>
      </c>
      <c r="F3604" t="s">
        <v>92</v>
      </c>
      <c r="G3604" t="s">
        <v>18</v>
      </c>
      <c r="H3604" t="s">
        <v>37</v>
      </c>
      <c r="I3604" s="3">
        <v>40</v>
      </c>
      <c r="J3604" s="2">
        <v>250</v>
      </c>
      <c r="K3604" s="3">
        <f t="shared" si="56"/>
        <v>10000</v>
      </c>
      <c r="L3604" s="3">
        <v>6000</v>
      </c>
    </row>
    <row r="3605" spans="1:12" x14ac:dyDescent="0.25">
      <c r="A3605" t="s">
        <v>19</v>
      </c>
      <c r="B3605">
        <v>1185732</v>
      </c>
      <c r="C3605" s="1">
        <v>44355</v>
      </c>
      <c r="D3605" t="s">
        <v>29</v>
      </c>
      <c r="E3605" t="s">
        <v>48</v>
      </c>
      <c r="F3605" t="s">
        <v>49</v>
      </c>
      <c r="G3605" t="s">
        <v>18</v>
      </c>
      <c r="H3605" t="s">
        <v>35</v>
      </c>
      <c r="I3605" s="3">
        <v>40</v>
      </c>
      <c r="J3605" s="2">
        <v>225</v>
      </c>
      <c r="K3605" s="3">
        <f t="shared" si="56"/>
        <v>9000</v>
      </c>
      <c r="L3605" s="3">
        <v>5400</v>
      </c>
    </row>
    <row r="3606" spans="1:12" x14ac:dyDescent="0.25">
      <c r="A3606" t="s">
        <v>19</v>
      </c>
      <c r="B3606">
        <v>1185732</v>
      </c>
      <c r="C3606" s="1">
        <v>44355</v>
      </c>
      <c r="D3606" t="s">
        <v>29</v>
      </c>
      <c r="E3606" t="s">
        <v>48</v>
      </c>
      <c r="F3606" t="s">
        <v>49</v>
      </c>
      <c r="G3606" t="s">
        <v>18</v>
      </c>
      <c r="H3606" t="s">
        <v>37</v>
      </c>
      <c r="I3606" s="3">
        <v>40</v>
      </c>
      <c r="J3606" s="2">
        <v>200</v>
      </c>
      <c r="K3606" s="3">
        <f t="shared" si="56"/>
        <v>8000</v>
      </c>
      <c r="L3606" s="3">
        <v>4800</v>
      </c>
    </row>
    <row r="3607" spans="1:12" x14ac:dyDescent="0.25">
      <c r="A3607" t="s">
        <v>19</v>
      </c>
      <c r="B3607">
        <v>1185732</v>
      </c>
      <c r="C3607" s="1">
        <v>44355</v>
      </c>
      <c r="D3607" t="s">
        <v>29</v>
      </c>
      <c r="E3607" t="s">
        <v>48</v>
      </c>
      <c r="F3607" t="s">
        <v>49</v>
      </c>
      <c r="G3607" t="s">
        <v>18</v>
      </c>
      <c r="H3607" t="s">
        <v>16</v>
      </c>
      <c r="I3607" s="3">
        <v>54.999999999999993</v>
      </c>
      <c r="J3607" s="2">
        <v>350</v>
      </c>
      <c r="K3607" s="3">
        <f t="shared" si="56"/>
        <v>19249.999999999996</v>
      </c>
      <c r="L3607" s="3">
        <v>11549.999999999998</v>
      </c>
    </row>
    <row r="3608" spans="1:12" x14ac:dyDescent="0.25">
      <c r="A3608" t="s">
        <v>27</v>
      </c>
      <c r="B3608">
        <v>1185732</v>
      </c>
      <c r="C3608" s="1">
        <v>44355</v>
      </c>
      <c r="D3608" t="s">
        <v>29</v>
      </c>
      <c r="E3608" t="s">
        <v>91</v>
      </c>
      <c r="F3608" t="s">
        <v>92</v>
      </c>
      <c r="G3608" t="s">
        <v>18</v>
      </c>
      <c r="H3608" t="s">
        <v>16</v>
      </c>
      <c r="I3608" s="3">
        <v>54.999999999999993</v>
      </c>
      <c r="J3608" s="2">
        <v>400</v>
      </c>
      <c r="K3608" s="3">
        <f t="shared" si="56"/>
        <v>21999.999999999996</v>
      </c>
      <c r="L3608" s="3">
        <v>13199.999999999996</v>
      </c>
    </row>
    <row r="3609" spans="1:12" x14ac:dyDescent="0.25">
      <c r="A3609" t="s">
        <v>19</v>
      </c>
      <c r="B3609">
        <v>1185732</v>
      </c>
      <c r="C3609" s="1">
        <v>44355</v>
      </c>
      <c r="D3609" t="s">
        <v>29</v>
      </c>
      <c r="E3609" t="s">
        <v>48</v>
      </c>
      <c r="F3609" t="s">
        <v>49</v>
      </c>
      <c r="G3609" t="s">
        <v>15</v>
      </c>
      <c r="H3609" t="s">
        <v>22</v>
      </c>
      <c r="I3609" s="3">
        <v>39</v>
      </c>
      <c r="J3609" s="2">
        <v>66</v>
      </c>
      <c r="K3609" s="3">
        <f t="shared" si="56"/>
        <v>2574</v>
      </c>
      <c r="L3609" s="3">
        <v>1673.1</v>
      </c>
    </row>
    <row r="3610" spans="1:12" x14ac:dyDescent="0.25">
      <c r="A3610" t="s">
        <v>19</v>
      </c>
      <c r="B3610">
        <v>1185732</v>
      </c>
      <c r="C3610" s="1">
        <v>44355</v>
      </c>
      <c r="D3610" t="s">
        <v>29</v>
      </c>
      <c r="E3610" t="s">
        <v>48</v>
      </c>
      <c r="F3610" t="s">
        <v>49</v>
      </c>
      <c r="G3610" t="s">
        <v>15</v>
      </c>
      <c r="H3610" t="s">
        <v>17</v>
      </c>
      <c r="I3610" s="3">
        <v>35</v>
      </c>
      <c r="J3610" s="2">
        <v>105</v>
      </c>
      <c r="K3610" s="3">
        <f t="shared" si="56"/>
        <v>3675</v>
      </c>
      <c r="L3610" s="3">
        <v>2241.75</v>
      </c>
    </row>
    <row r="3611" spans="1:12" x14ac:dyDescent="0.25">
      <c r="A3611" t="s">
        <v>19</v>
      </c>
      <c r="B3611">
        <v>1185732</v>
      </c>
      <c r="C3611" s="1">
        <v>44355</v>
      </c>
      <c r="D3611" t="s">
        <v>29</v>
      </c>
      <c r="E3611" t="s">
        <v>48</v>
      </c>
      <c r="F3611" t="s">
        <v>49</v>
      </c>
      <c r="G3611" t="s">
        <v>15</v>
      </c>
      <c r="H3611" t="s">
        <v>38</v>
      </c>
      <c r="I3611" s="3">
        <v>36</v>
      </c>
      <c r="J3611" s="2">
        <v>176</v>
      </c>
      <c r="K3611" s="3">
        <f t="shared" si="56"/>
        <v>6336</v>
      </c>
      <c r="L3611" s="3">
        <v>3801.6000000000004</v>
      </c>
    </row>
    <row r="3612" spans="1:12" x14ac:dyDescent="0.25">
      <c r="A3612" t="s">
        <v>19</v>
      </c>
      <c r="B3612">
        <v>1185732</v>
      </c>
      <c r="C3612" s="1">
        <v>44355</v>
      </c>
      <c r="D3612" t="s">
        <v>29</v>
      </c>
      <c r="E3612" t="s">
        <v>48</v>
      </c>
      <c r="F3612" t="s">
        <v>49</v>
      </c>
      <c r="G3612" t="s">
        <v>41</v>
      </c>
      <c r="H3612" t="s">
        <v>22</v>
      </c>
      <c r="I3612" s="3">
        <v>48</v>
      </c>
      <c r="J3612" s="2">
        <v>58</v>
      </c>
      <c r="K3612" s="3">
        <f t="shared" si="56"/>
        <v>2784</v>
      </c>
      <c r="L3612" s="3">
        <v>1642.5600000000002</v>
      </c>
    </row>
    <row r="3613" spans="1:12" x14ac:dyDescent="0.25">
      <c r="A3613" t="s">
        <v>19</v>
      </c>
      <c r="B3613">
        <v>1185732</v>
      </c>
      <c r="C3613" s="1">
        <v>44355</v>
      </c>
      <c r="D3613" t="s">
        <v>29</v>
      </c>
      <c r="E3613" t="s">
        <v>48</v>
      </c>
      <c r="F3613" t="s">
        <v>49</v>
      </c>
      <c r="G3613" t="s">
        <v>15</v>
      </c>
      <c r="H3613" t="s">
        <v>35</v>
      </c>
      <c r="I3613" s="3">
        <v>32</v>
      </c>
      <c r="J3613" s="2">
        <v>74</v>
      </c>
      <c r="K3613" s="3">
        <f t="shared" si="56"/>
        <v>2368</v>
      </c>
      <c r="L3613" s="3">
        <v>1373.44</v>
      </c>
    </row>
    <row r="3614" spans="1:12" x14ac:dyDescent="0.25">
      <c r="A3614" t="s">
        <v>27</v>
      </c>
      <c r="B3614">
        <v>1185732</v>
      </c>
      <c r="C3614" s="1">
        <v>44355</v>
      </c>
      <c r="D3614" t="s">
        <v>29</v>
      </c>
      <c r="E3614" t="s">
        <v>91</v>
      </c>
      <c r="F3614" t="s">
        <v>92</v>
      </c>
      <c r="G3614" t="s">
        <v>41</v>
      </c>
      <c r="H3614" t="s">
        <v>22</v>
      </c>
      <c r="I3614" s="3">
        <v>46</v>
      </c>
      <c r="J3614" s="2">
        <v>65</v>
      </c>
      <c r="K3614" s="3">
        <f t="shared" si="56"/>
        <v>2990</v>
      </c>
      <c r="L3614" s="3">
        <v>1644.5000000000002</v>
      </c>
    </row>
    <row r="3615" spans="1:12" x14ac:dyDescent="0.25">
      <c r="A3615" t="s">
        <v>19</v>
      </c>
      <c r="B3615">
        <v>1185732</v>
      </c>
      <c r="C3615" s="1">
        <v>44355</v>
      </c>
      <c r="D3615" t="s">
        <v>29</v>
      </c>
      <c r="E3615" t="s">
        <v>48</v>
      </c>
      <c r="F3615" t="s">
        <v>49</v>
      </c>
      <c r="G3615" t="s">
        <v>41</v>
      </c>
      <c r="H3615" t="s">
        <v>38</v>
      </c>
      <c r="I3615" s="3">
        <v>47</v>
      </c>
      <c r="J3615" s="2">
        <v>138</v>
      </c>
      <c r="K3615" s="3">
        <f t="shared" si="56"/>
        <v>6486</v>
      </c>
      <c r="L3615" s="3">
        <v>3567.3</v>
      </c>
    </row>
    <row r="3616" spans="1:12" x14ac:dyDescent="0.25">
      <c r="A3616" t="s">
        <v>19</v>
      </c>
      <c r="B3616">
        <v>1185732</v>
      </c>
      <c r="C3616" s="1">
        <v>44355</v>
      </c>
      <c r="D3616" t="s">
        <v>29</v>
      </c>
      <c r="E3616" t="s">
        <v>48</v>
      </c>
      <c r="F3616" t="s">
        <v>49</v>
      </c>
      <c r="G3616" t="s">
        <v>15</v>
      </c>
      <c r="H3616" t="s">
        <v>16</v>
      </c>
      <c r="I3616" s="3">
        <v>43</v>
      </c>
      <c r="J3616" s="2">
        <v>119</v>
      </c>
      <c r="K3616" s="3">
        <f t="shared" si="56"/>
        <v>5117</v>
      </c>
      <c r="L3616" s="3">
        <v>2814.35</v>
      </c>
    </row>
    <row r="3617" spans="1:12" x14ac:dyDescent="0.25">
      <c r="A3617" t="s">
        <v>27</v>
      </c>
      <c r="B3617">
        <v>1185732</v>
      </c>
      <c r="C3617" s="1">
        <v>44355</v>
      </c>
      <c r="D3617" t="s">
        <v>29</v>
      </c>
      <c r="E3617" t="s">
        <v>91</v>
      </c>
      <c r="F3617" t="s">
        <v>92</v>
      </c>
      <c r="G3617" t="s">
        <v>41</v>
      </c>
      <c r="H3617" t="s">
        <v>38</v>
      </c>
      <c r="I3617" s="3">
        <v>45</v>
      </c>
      <c r="J3617" s="2">
        <v>156</v>
      </c>
      <c r="K3617" s="3">
        <f t="shared" si="56"/>
        <v>7020</v>
      </c>
      <c r="L3617" s="3">
        <v>3790.8</v>
      </c>
    </row>
    <row r="3618" spans="1:12" x14ac:dyDescent="0.25">
      <c r="A3618" t="s">
        <v>27</v>
      </c>
      <c r="B3618">
        <v>1185732</v>
      </c>
      <c r="C3618" s="1">
        <v>44355</v>
      </c>
      <c r="D3618" t="s">
        <v>29</v>
      </c>
      <c r="E3618" t="s">
        <v>91</v>
      </c>
      <c r="F3618" t="s">
        <v>92</v>
      </c>
      <c r="G3618" t="s">
        <v>41</v>
      </c>
      <c r="H3618" t="s">
        <v>17</v>
      </c>
      <c r="I3618" s="3">
        <v>44</v>
      </c>
      <c r="J3618" s="2">
        <v>105</v>
      </c>
      <c r="K3618" s="3">
        <f t="shared" si="56"/>
        <v>4620</v>
      </c>
      <c r="L3618" s="3">
        <v>2494.8000000000002</v>
      </c>
    </row>
    <row r="3619" spans="1:12" x14ac:dyDescent="0.25">
      <c r="A3619" t="s">
        <v>19</v>
      </c>
      <c r="B3619">
        <v>1185732</v>
      </c>
      <c r="C3619" s="1">
        <v>44355</v>
      </c>
      <c r="D3619" t="s">
        <v>57</v>
      </c>
      <c r="E3619" t="s">
        <v>95</v>
      </c>
      <c r="F3619" t="s">
        <v>96</v>
      </c>
      <c r="G3619" t="s">
        <v>41</v>
      </c>
      <c r="H3619" t="s">
        <v>35</v>
      </c>
      <c r="I3619" s="3">
        <v>32</v>
      </c>
      <c r="J3619" s="2">
        <v>61</v>
      </c>
      <c r="K3619" s="3">
        <f t="shared" si="56"/>
        <v>1952</v>
      </c>
      <c r="L3619" s="3">
        <v>1054.08</v>
      </c>
    </row>
    <row r="3620" spans="1:12" x14ac:dyDescent="0.25">
      <c r="A3620" t="s">
        <v>19</v>
      </c>
      <c r="B3620">
        <v>1185732</v>
      </c>
      <c r="C3620" s="1">
        <v>44355</v>
      </c>
      <c r="D3620" t="s">
        <v>29</v>
      </c>
      <c r="E3620" t="s">
        <v>48</v>
      </c>
      <c r="F3620" t="s">
        <v>49</v>
      </c>
      <c r="G3620" t="s">
        <v>15</v>
      </c>
      <c r="H3620" t="s">
        <v>37</v>
      </c>
      <c r="I3620" s="3">
        <v>26</v>
      </c>
      <c r="J3620" s="2">
        <v>70</v>
      </c>
      <c r="K3620" s="3">
        <f t="shared" si="56"/>
        <v>1820</v>
      </c>
      <c r="L3620" s="3">
        <v>982.8</v>
      </c>
    </row>
    <row r="3621" spans="1:12" x14ac:dyDescent="0.25">
      <c r="A3621" t="s">
        <v>19</v>
      </c>
      <c r="B3621">
        <v>1185732</v>
      </c>
      <c r="C3621" s="1">
        <v>44355</v>
      </c>
      <c r="D3621" t="s">
        <v>29</v>
      </c>
      <c r="E3621" t="s">
        <v>48</v>
      </c>
      <c r="F3621" t="s">
        <v>49</v>
      </c>
      <c r="G3621" t="s">
        <v>41</v>
      </c>
      <c r="H3621" t="s">
        <v>17</v>
      </c>
      <c r="I3621" s="3">
        <v>41</v>
      </c>
      <c r="J3621" s="2">
        <v>90</v>
      </c>
      <c r="K3621" s="3">
        <f t="shared" si="56"/>
        <v>3690</v>
      </c>
      <c r="L3621" s="3">
        <v>1881.9</v>
      </c>
    </row>
    <row r="3622" spans="1:12" x14ac:dyDescent="0.25">
      <c r="A3622" t="s">
        <v>27</v>
      </c>
      <c r="B3622">
        <v>1185732</v>
      </c>
      <c r="C3622" s="1">
        <v>44355</v>
      </c>
      <c r="D3622" t="s">
        <v>29</v>
      </c>
      <c r="E3622" t="s">
        <v>91</v>
      </c>
      <c r="F3622" t="s">
        <v>92</v>
      </c>
      <c r="G3622" t="s">
        <v>41</v>
      </c>
      <c r="H3622" t="s">
        <v>16</v>
      </c>
      <c r="I3622" s="3">
        <v>50</v>
      </c>
      <c r="J3622" s="2">
        <v>120</v>
      </c>
      <c r="K3622" s="3">
        <f t="shared" si="56"/>
        <v>6000</v>
      </c>
      <c r="L3622" s="3">
        <v>3000</v>
      </c>
    </row>
    <row r="3623" spans="1:12" x14ac:dyDescent="0.25">
      <c r="A3623" t="s">
        <v>19</v>
      </c>
      <c r="B3623">
        <v>1185732</v>
      </c>
      <c r="C3623" s="1">
        <v>44355</v>
      </c>
      <c r="D3623" t="s">
        <v>29</v>
      </c>
      <c r="E3623" t="s">
        <v>48</v>
      </c>
      <c r="F3623" t="s">
        <v>49</v>
      </c>
      <c r="G3623" t="s">
        <v>41</v>
      </c>
      <c r="H3623" t="s">
        <v>16</v>
      </c>
      <c r="I3623" s="3">
        <v>51</v>
      </c>
      <c r="J3623" s="2">
        <v>88</v>
      </c>
      <c r="K3623" s="3">
        <f t="shared" si="56"/>
        <v>4488</v>
      </c>
      <c r="L3623" s="3">
        <v>2199.12</v>
      </c>
    </row>
    <row r="3624" spans="1:12" x14ac:dyDescent="0.25">
      <c r="A3624" t="s">
        <v>19</v>
      </c>
      <c r="B3624">
        <v>1185732</v>
      </c>
      <c r="C3624" s="1">
        <v>44355</v>
      </c>
      <c r="D3624" t="s">
        <v>57</v>
      </c>
      <c r="E3624" t="s">
        <v>118</v>
      </c>
      <c r="F3624" t="s">
        <v>119</v>
      </c>
      <c r="G3624" t="s">
        <v>41</v>
      </c>
      <c r="H3624" t="s">
        <v>38</v>
      </c>
      <c r="I3624" s="3">
        <v>38</v>
      </c>
      <c r="J3624" s="2">
        <v>105</v>
      </c>
      <c r="K3624" s="3">
        <f t="shared" si="56"/>
        <v>3990</v>
      </c>
      <c r="L3624" s="3">
        <v>1875.2999999999997</v>
      </c>
    </row>
    <row r="3625" spans="1:12" x14ac:dyDescent="0.25">
      <c r="A3625" t="s">
        <v>27</v>
      </c>
      <c r="B3625">
        <v>1185732</v>
      </c>
      <c r="C3625" s="1">
        <v>44355</v>
      </c>
      <c r="D3625" t="s">
        <v>29</v>
      </c>
      <c r="E3625" t="s">
        <v>91</v>
      </c>
      <c r="F3625" t="s">
        <v>92</v>
      </c>
      <c r="G3625" t="s">
        <v>41</v>
      </c>
      <c r="H3625" t="s">
        <v>35</v>
      </c>
      <c r="I3625" s="3">
        <v>38</v>
      </c>
      <c r="J3625" s="2">
        <v>69</v>
      </c>
      <c r="K3625" s="3">
        <f t="shared" si="56"/>
        <v>2622</v>
      </c>
      <c r="L3625" s="3">
        <v>1232.3399999999999</v>
      </c>
    </row>
    <row r="3626" spans="1:12" x14ac:dyDescent="0.25">
      <c r="A3626" t="s">
        <v>27</v>
      </c>
      <c r="B3626">
        <v>1185732</v>
      </c>
      <c r="C3626" s="1">
        <v>44355</v>
      </c>
      <c r="D3626" t="s">
        <v>29</v>
      </c>
      <c r="E3626" t="s">
        <v>91</v>
      </c>
      <c r="F3626" t="s">
        <v>92</v>
      </c>
      <c r="G3626" t="s">
        <v>41</v>
      </c>
      <c r="H3626" t="s">
        <v>37</v>
      </c>
      <c r="I3626" s="3">
        <v>39</v>
      </c>
      <c r="J3626" s="2">
        <v>65</v>
      </c>
      <c r="K3626" s="3">
        <f t="shared" si="56"/>
        <v>2535</v>
      </c>
      <c r="L3626" s="3">
        <v>1166.0999999999999</v>
      </c>
    </row>
    <row r="3627" spans="1:12" x14ac:dyDescent="0.25">
      <c r="A3627" t="s">
        <v>19</v>
      </c>
      <c r="B3627">
        <v>1185732</v>
      </c>
      <c r="C3627" s="1">
        <v>44355</v>
      </c>
      <c r="D3627" t="s">
        <v>29</v>
      </c>
      <c r="E3627" t="s">
        <v>48</v>
      </c>
      <c r="F3627" t="s">
        <v>49</v>
      </c>
      <c r="G3627" t="s">
        <v>41</v>
      </c>
      <c r="H3627" t="s">
        <v>37</v>
      </c>
      <c r="I3627" s="3">
        <v>39</v>
      </c>
      <c r="J3627" s="2">
        <v>60</v>
      </c>
      <c r="K3627" s="3">
        <f t="shared" si="56"/>
        <v>2340</v>
      </c>
      <c r="L3627" s="3">
        <v>1076.3999999999999</v>
      </c>
    </row>
    <row r="3628" spans="1:12" x14ac:dyDescent="0.25">
      <c r="A3628" t="s">
        <v>19</v>
      </c>
      <c r="B3628">
        <v>1185732</v>
      </c>
      <c r="C3628" s="1">
        <v>44355</v>
      </c>
      <c r="D3628" t="s">
        <v>29</v>
      </c>
      <c r="E3628" t="s">
        <v>48</v>
      </c>
      <c r="F3628" t="s">
        <v>49</v>
      </c>
      <c r="G3628" t="s">
        <v>41</v>
      </c>
      <c r="H3628" t="s">
        <v>35</v>
      </c>
      <c r="I3628" s="3">
        <v>39</v>
      </c>
      <c r="J3628" s="2">
        <v>65</v>
      </c>
      <c r="K3628" s="3">
        <f t="shared" si="56"/>
        <v>2535</v>
      </c>
      <c r="L3628" s="3">
        <v>1140.75</v>
      </c>
    </row>
    <row r="3629" spans="1:12" x14ac:dyDescent="0.25">
      <c r="A3629" t="s">
        <v>26</v>
      </c>
      <c r="B3629">
        <v>1185732</v>
      </c>
      <c r="C3629" s="1">
        <v>44356</v>
      </c>
      <c r="D3629" t="s">
        <v>57</v>
      </c>
      <c r="E3629" t="s">
        <v>76</v>
      </c>
      <c r="F3629" t="s">
        <v>77</v>
      </c>
      <c r="G3629" t="s">
        <v>18</v>
      </c>
      <c r="H3629" t="s">
        <v>17</v>
      </c>
      <c r="I3629" s="3">
        <v>35.000000000000007</v>
      </c>
      <c r="J3629" s="2">
        <v>250</v>
      </c>
      <c r="K3629" s="3">
        <f t="shared" si="56"/>
        <v>8750.0000000000018</v>
      </c>
      <c r="L3629" s="3">
        <v>6125.0000000000018</v>
      </c>
    </row>
    <row r="3630" spans="1:12" x14ac:dyDescent="0.25">
      <c r="A3630" t="s">
        <v>26</v>
      </c>
      <c r="B3630">
        <v>1185732</v>
      </c>
      <c r="C3630" s="1">
        <v>44356</v>
      </c>
      <c r="D3630" t="s">
        <v>57</v>
      </c>
      <c r="E3630" t="s">
        <v>76</v>
      </c>
      <c r="F3630" t="s">
        <v>77</v>
      </c>
      <c r="G3630" t="s">
        <v>18</v>
      </c>
      <c r="H3630" t="s">
        <v>35</v>
      </c>
      <c r="I3630" s="3">
        <v>30.000000000000004</v>
      </c>
      <c r="J3630" s="2">
        <v>200</v>
      </c>
      <c r="K3630" s="3">
        <f t="shared" si="56"/>
        <v>6000.0000000000009</v>
      </c>
      <c r="L3630" s="3">
        <v>4200.0000000000009</v>
      </c>
    </row>
    <row r="3631" spans="1:12" x14ac:dyDescent="0.25">
      <c r="A3631" t="s">
        <v>26</v>
      </c>
      <c r="B3631">
        <v>1185732</v>
      </c>
      <c r="C3631" s="1">
        <v>44356</v>
      </c>
      <c r="D3631" t="s">
        <v>57</v>
      </c>
      <c r="E3631" t="s">
        <v>76</v>
      </c>
      <c r="F3631" t="s">
        <v>77</v>
      </c>
      <c r="G3631" t="s">
        <v>18</v>
      </c>
      <c r="H3631" t="s">
        <v>37</v>
      </c>
      <c r="I3631" s="3">
        <v>30.000000000000004</v>
      </c>
      <c r="J3631" s="2">
        <v>175</v>
      </c>
      <c r="K3631" s="3">
        <f t="shared" si="56"/>
        <v>5250.0000000000009</v>
      </c>
      <c r="L3631" s="3">
        <v>3675.0000000000009</v>
      </c>
    </row>
    <row r="3632" spans="1:12" x14ac:dyDescent="0.25">
      <c r="A3632" t="s">
        <v>19</v>
      </c>
      <c r="B3632">
        <v>1185732</v>
      </c>
      <c r="C3632" s="1">
        <v>44356</v>
      </c>
      <c r="D3632" t="s">
        <v>57</v>
      </c>
      <c r="E3632" t="s">
        <v>118</v>
      </c>
      <c r="F3632" t="s">
        <v>119</v>
      </c>
      <c r="G3632" t="s">
        <v>15</v>
      </c>
      <c r="H3632" t="s">
        <v>17</v>
      </c>
      <c r="I3632" s="3">
        <v>35</v>
      </c>
      <c r="J3632" s="2">
        <v>75</v>
      </c>
      <c r="K3632" s="3">
        <f t="shared" si="56"/>
        <v>2625</v>
      </c>
      <c r="L3632" s="3">
        <v>1706.25</v>
      </c>
    </row>
    <row r="3633" spans="1:12" x14ac:dyDescent="0.25">
      <c r="A3633" t="s">
        <v>26</v>
      </c>
      <c r="B3633">
        <v>1185732</v>
      </c>
      <c r="C3633" s="1">
        <v>44356</v>
      </c>
      <c r="D3633" t="s">
        <v>57</v>
      </c>
      <c r="E3633" t="s">
        <v>76</v>
      </c>
      <c r="F3633" t="s">
        <v>77</v>
      </c>
      <c r="G3633" t="s">
        <v>18</v>
      </c>
      <c r="H3633" t="s">
        <v>38</v>
      </c>
      <c r="I3633" s="3">
        <v>40</v>
      </c>
      <c r="J3633" s="2">
        <v>500</v>
      </c>
      <c r="K3633" s="3">
        <f t="shared" si="56"/>
        <v>20000</v>
      </c>
      <c r="L3633" s="3">
        <v>13000</v>
      </c>
    </row>
    <row r="3634" spans="1:12" x14ac:dyDescent="0.25">
      <c r="A3634" t="s">
        <v>26</v>
      </c>
      <c r="B3634">
        <v>1185732</v>
      </c>
      <c r="C3634" s="1">
        <v>44356</v>
      </c>
      <c r="D3634" t="s">
        <v>57</v>
      </c>
      <c r="E3634" t="s">
        <v>76</v>
      </c>
      <c r="F3634" t="s">
        <v>77</v>
      </c>
      <c r="G3634" t="s">
        <v>18</v>
      </c>
      <c r="H3634" t="s">
        <v>22</v>
      </c>
      <c r="I3634" s="3">
        <v>40</v>
      </c>
      <c r="J3634" s="2">
        <v>175</v>
      </c>
      <c r="K3634" s="3">
        <f t="shared" si="56"/>
        <v>7000</v>
      </c>
      <c r="L3634" s="3">
        <v>4550</v>
      </c>
    </row>
    <row r="3635" spans="1:12" x14ac:dyDescent="0.25">
      <c r="A3635" t="s">
        <v>19</v>
      </c>
      <c r="B3635">
        <v>1185732</v>
      </c>
      <c r="C3635" s="1">
        <v>44356</v>
      </c>
      <c r="D3635" t="s">
        <v>57</v>
      </c>
      <c r="E3635" t="s">
        <v>95</v>
      </c>
      <c r="F3635" t="s">
        <v>96</v>
      </c>
      <c r="G3635" t="s">
        <v>15</v>
      </c>
      <c r="H3635" t="s">
        <v>37</v>
      </c>
      <c r="I3635" s="3">
        <v>40</v>
      </c>
      <c r="J3635" s="2">
        <v>100</v>
      </c>
      <c r="K3635" s="3">
        <f t="shared" si="56"/>
        <v>4000</v>
      </c>
      <c r="L3635" s="3">
        <v>2400</v>
      </c>
    </row>
    <row r="3636" spans="1:12" x14ac:dyDescent="0.25">
      <c r="A3636" t="s">
        <v>26</v>
      </c>
      <c r="B3636">
        <v>1185732</v>
      </c>
      <c r="C3636" s="1">
        <v>44356</v>
      </c>
      <c r="D3636" t="s">
        <v>57</v>
      </c>
      <c r="E3636" t="s">
        <v>76</v>
      </c>
      <c r="F3636" t="s">
        <v>77</v>
      </c>
      <c r="G3636" t="s">
        <v>18</v>
      </c>
      <c r="H3636" t="s">
        <v>16</v>
      </c>
      <c r="I3636" s="3">
        <v>55.000000000000007</v>
      </c>
      <c r="J3636" s="2">
        <v>325</v>
      </c>
      <c r="K3636" s="3">
        <f t="shared" si="56"/>
        <v>17875.000000000004</v>
      </c>
      <c r="L3636" s="3">
        <v>10725.000000000002</v>
      </c>
    </row>
    <row r="3637" spans="1:12" x14ac:dyDescent="0.25">
      <c r="A3637" t="s">
        <v>26</v>
      </c>
      <c r="B3637">
        <v>1185732</v>
      </c>
      <c r="C3637" s="1">
        <v>44356</v>
      </c>
      <c r="D3637" t="s">
        <v>57</v>
      </c>
      <c r="E3637" t="s">
        <v>76</v>
      </c>
      <c r="F3637" t="s">
        <v>77</v>
      </c>
      <c r="G3637" t="s">
        <v>41</v>
      </c>
      <c r="H3637" t="s">
        <v>35</v>
      </c>
      <c r="I3637" s="3">
        <v>27</v>
      </c>
      <c r="J3637" s="2">
        <v>60</v>
      </c>
      <c r="K3637" s="3">
        <f t="shared" si="56"/>
        <v>1620</v>
      </c>
      <c r="L3637" s="3">
        <v>972</v>
      </c>
    </row>
    <row r="3638" spans="1:12" x14ac:dyDescent="0.25">
      <c r="A3638" t="s">
        <v>26</v>
      </c>
      <c r="B3638">
        <v>1185732</v>
      </c>
      <c r="C3638" s="1">
        <v>44356</v>
      </c>
      <c r="D3638" t="s">
        <v>57</v>
      </c>
      <c r="E3638" t="s">
        <v>76</v>
      </c>
      <c r="F3638" t="s">
        <v>77</v>
      </c>
      <c r="G3638" t="s">
        <v>41</v>
      </c>
      <c r="H3638" t="s">
        <v>37</v>
      </c>
      <c r="I3638" s="3">
        <v>29</v>
      </c>
      <c r="J3638" s="2">
        <v>51</v>
      </c>
      <c r="K3638" s="3">
        <f t="shared" si="56"/>
        <v>1479</v>
      </c>
      <c r="L3638" s="3">
        <v>857.82</v>
      </c>
    </row>
    <row r="3639" spans="1:12" x14ac:dyDescent="0.25">
      <c r="A3639" t="s">
        <v>26</v>
      </c>
      <c r="B3639">
        <v>1185732</v>
      </c>
      <c r="C3639" s="1">
        <v>44356</v>
      </c>
      <c r="D3639" t="s">
        <v>57</v>
      </c>
      <c r="E3639" t="s">
        <v>76</v>
      </c>
      <c r="F3639" t="s">
        <v>77</v>
      </c>
      <c r="G3639" t="s">
        <v>41</v>
      </c>
      <c r="H3639" t="s">
        <v>17</v>
      </c>
      <c r="I3639" s="3">
        <v>32</v>
      </c>
      <c r="J3639" s="2">
        <v>65</v>
      </c>
      <c r="K3639" s="3">
        <f t="shared" si="56"/>
        <v>2080</v>
      </c>
      <c r="L3639" s="3">
        <v>1185.5999999999999</v>
      </c>
    </row>
    <row r="3640" spans="1:12" x14ac:dyDescent="0.25">
      <c r="A3640" t="s">
        <v>19</v>
      </c>
      <c r="B3640">
        <v>1185732</v>
      </c>
      <c r="C3640" s="1">
        <v>44356</v>
      </c>
      <c r="D3640" t="s">
        <v>57</v>
      </c>
      <c r="E3640" t="s">
        <v>118</v>
      </c>
      <c r="F3640" t="s">
        <v>119</v>
      </c>
      <c r="G3640" t="s">
        <v>41</v>
      </c>
      <c r="H3640" t="s">
        <v>17</v>
      </c>
      <c r="I3640" s="3">
        <v>32</v>
      </c>
      <c r="J3640" s="2">
        <v>23</v>
      </c>
      <c r="K3640" s="3">
        <f t="shared" si="56"/>
        <v>736</v>
      </c>
      <c r="L3640" s="3">
        <v>404.8</v>
      </c>
    </row>
    <row r="3641" spans="1:12" x14ac:dyDescent="0.25">
      <c r="A3641" t="s">
        <v>26</v>
      </c>
      <c r="B3641">
        <v>1185732</v>
      </c>
      <c r="C3641" s="1">
        <v>44356</v>
      </c>
      <c r="D3641" t="s">
        <v>57</v>
      </c>
      <c r="E3641" t="s">
        <v>76</v>
      </c>
      <c r="F3641" t="s">
        <v>77</v>
      </c>
      <c r="G3641" t="s">
        <v>41</v>
      </c>
      <c r="H3641" t="s">
        <v>38</v>
      </c>
      <c r="I3641" s="3">
        <v>36</v>
      </c>
      <c r="J3641" s="2">
        <v>125</v>
      </c>
      <c r="K3641" s="3">
        <f t="shared" si="56"/>
        <v>4500</v>
      </c>
      <c r="L3641" s="3">
        <v>2475</v>
      </c>
    </row>
    <row r="3642" spans="1:12" x14ac:dyDescent="0.25">
      <c r="A3642" t="s">
        <v>26</v>
      </c>
      <c r="B3642">
        <v>1185732</v>
      </c>
      <c r="C3642" s="1">
        <v>44356</v>
      </c>
      <c r="D3642" t="s">
        <v>57</v>
      </c>
      <c r="E3642" t="s">
        <v>76</v>
      </c>
      <c r="F3642" t="s">
        <v>77</v>
      </c>
      <c r="G3642" t="s">
        <v>41</v>
      </c>
      <c r="H3642" t="s">
        <v>22</v>
      </c>
      <c r="I3642" s="3">
        <v>38</v>
      </c>
      <c r="J3642" s="2">
        <v>47</v>
      </c>
      <c r="K3642" s="3">
        <f t="shared" si="56"/>
        <v>1786</v>
      </c>
      <c r="L3642" s="3">
        <v>964.44</v>
      </c>
    </row>
    <row r="3643" spans="1:12" x14ac:dyDescent="0.25">
      <c r="A3643" t="s">
        <v>19</v>
      </c>
      <c r="B3643">
        <v>1185732</v>
      </c>
      <c r="C3643" s="1">
        <v>44356</v>
      </c>
      <c r="D3643" t="s">
        <v>57</v>
      </c>
      <c r="E3643" t="s">
        <v>95</v>
      </c>
      <c r="F3643" t="s">
        <v>96</v>
      </c>
      <c r="G3643" t="s">
        <v>41</v>
      </c>
      <c r="H3643" t="s">
        <v>37</v>
      </c>
      <c r="I3643" s="3">
        <v>39</v>
      </c>
      <c r="J3643" s="2">
        <v>28</v>
      </c>
      <c r="K3643" s="3">
        <f t="shared" si="56"/>
        <v>1092</v>
      </c>
      <c r="L3643" s="3">
        <v>513.24</v>
      </c>
    </row>
    <row r="3644" spans="1:12" x14ac:dyDescent="0.25">
      <c r="A3644" t="s">
        <v>26</v>
      </c>
      <c r="B3644">
        <v>1185732</v>
      </c>
      <c r="C3644" s="1">
        <v>44356</v>
      </c>
      <c r="D3644" t="s">
        <v>57</v>
      </c>
      <c r="E3644" t="s">
        <v>76</v>
      </c>
      <c r="F3644" t="s">
        <v>77</v>
      </c>
      <c r="G3644" t="s">
        <v>41</v>
      </c>
      <c r="H3644" t="s">
        <v>16</v>
      </c>
      <c r="I3644" s="3">
        <v>51</v>
      </c>
      <c r="J3644" s="2">
        <v>91</v>
      </c>
      <c r="K3644" s="3">
        <f t="shared" si="56"/>
        <v>4641</v>
      </c>
      <c r="L3644" s="3">
        <v>2134.8599999999997</v>
      </c>
    </row>
    <row r="3645" spans="1:12" x14ac:dyDescent="0.25">
      <c r="A3645" t="s">
        <v>19</v>
      </c>
      <c r="B3645">
        <v>1128299</v>
      </c>
      <c r="C3645" s="1">
        <v>44357</v>
      </c>
      <c r="D3645" t="s">
        <v>12</v>
      </c>
      <c r="E3645" t="s">
        <v>20</v>
      </c>
      <c r="F3645" t="s">
        <v>21</v>
      </c>
      <c r="G3645" t="s">
        <v>15</v>
      </c>
      <c r="H3645" t="s">
        <v>22</v>
      </c>
      <c r="I3645" s="3">
        <v>85.000000000000014</v>
      </c>
      <c r="J3645" s="2">
        <v>350</v>
      </c>
      <c r="K3645" s="3">
        <f t="shared" si="56"/>
        <v>29750.000000000004</v>
      </c>
      <c r="L3645" s="3">
        <v>25287.500000000007</v>
      </c>
    </row>
    <row r="3646" spans="1:12" x14ac:dyDescent="0.25">
      <c r="A3646" t="s">
        <v>19</v>
      </c>
      <c r="B3646">
        <v>1128299</v>
      </c>
      <c r="C3646" s="1">
        <v>44357</v>
      </c>
      <c r="D3646" t="s">
        <v>12</v>
      </c>
      <c r="E3646" t="s">
        <v>20</v>
      </c>
      <c r="F3646" t="s">
        <v>21</v>
      </c>
      <c r="G3646" t="s">
        <v>15</v>
      </c>
      <c r="H3646" t="s">
        <v>17</v>
      </c>
      <c r="I3646" s="3">
        <v>75</v>
      </c>
      <c r="J3646" s="2">
        <v>600</v>
      </c>
      <c r="K3646" s="3">
        <f t="shared" si="56"/>
        <v>45000</v>
      </c>
      <c r="L3646" s="3">
        <v>36000</v>
      </c>
    </row>
    <row r="3647" spans="1:12" x14ac:dyDescent="0.25">
      <c r="A3647" t="s">
        <v>19</v>
      </c>
      <c r="B3647">
        <v>1128299</v>
      </c>
      <c r="C3647" s="1">
        <v>44357</v>
      </c>
      <c r="D3647" t="s">
        <v>12</v>
      </c>
      <c r="E3647" t="s">
        <v>20</v>
      </c>
      <c r="F3647" t="s">
        <v>21</v>
      </c>
      <c r="G3647" t="s">
        <v>15</v>
      </c>
      <c r="H3647" t="s">
        <v>38</v>
      </c>
      <c r="I3647" s="3">
        <v>70</v>
      </c>
      <c r="J3647" s="2">
        <v>725</v>
      </c>
      <c r="K3647" s="3">
        <f t="shared" si="56"/>
        <v>50750</v>
      </c>
      <c r="L3647" s="3">
        <v>38062.5</v>
      </c>
    </row>
    <row r="3648" spans="1:12" x14ac:dyDescent="0.25">
      <c r="A3648" t="s">
        <v>19</v>
      </c>
      <c r="B3648">
        <v>1128299</v>
      </c>
      <c r="C3648" s="1">
        <v>44357</v>
      </c>
      <c r="D3648" t="s">
        <v>12</v>
      </c>
      <c r="E3648" t="s">
        <v>20</v>
      </c>
      <c r="F3648" t="s">
        <v>21</v>
      </c>
      <c r="G3648" t="s">
        <v>15</v>
      </c>
      <c r="H3648" t="s">
        <v>35</v>
      </c>
      <c r="I3648" s="3">
        <v>75</v>
      </c>
      <c r="J3648" s="2">
        <v>600</v>
      </c>
      <c r="K3648" s="3">
        <f t="shared" si="56"/>
        <v>45000</v>
      </c>
      <c r="L3648" s="3">
        <v>33750</v>
      </c>
    </row>
    <row r="3649" spans="1:12" x14ac:dyDescent="0.25">
      <c r="A3649" t="s">
        <v>19</v>
      </c>
      <c r="B3649">
        <v>1128299</v>
      </c>
      <c r="C3649" s="1">
        <v>44357</v>
      </c>
      <c r="D3649" t="s">
        <v>12</v>
      </c>
      <c r="E3649" t="s">
        <v>20</v>
      </c>
      <c r="F3649" t="s">
        <v>21</v>
      </c>
      <c r="G3649" t="s">
        <v>15</v>
      </c>
      <c r="H3649" t="s">
        <v>37</v>
      </c>
      <c r="I3649" s="3">
        <v>75</v>
      </c>
      <c r="J3649" s="2">
        <v>475</v>
      </c>
      <c r="K3649" s="3">
        <f t="shared" si="56"/>
        <v>35625</v>
      </c>
      <c r="L3649" s="3">
        <v>26718.75</v>
      </c>
    </row>
    <row r="3650" spans="1:12" x14ac:dyDescent="0.25">
      <c r="A3650" t="s">
        <v>11</v>
      </c>
      <c r="B3650">
        <v>1185732</v>
      </c>
      <c r="C3650" s="1">
        <v>44357</v>
      </c>
      <c r="D3650" t="s">
        <v>29</v>
      </c>
      <c r="E3650" t="s">
        <v>60</v>
      </c>
      <c r="F3650" t="s">
        <v>61</v>
      </c>
      <c r="G3650" t="s">
        <v>18</v>
      </c>
      <c r="H3650" t="s">
        <v>35</v>
      </c>
      <c r="I3650" s="3">
        <v>50</v>
      </c>
      <c r="J3650" s="2">
        <v>600</v>
      </c>
      <c r="K3650" s="3">
        <f t="shared" si="56"/>
        <v>30000</v>
      </c>
      <c r="L3650" s="3">
        <v>22500</v>
      </c>
    </row>
    <row r="3651" spans="1:12" x14ac:dyDescent="0.25">
      <c r="A3651" t="s">
        <v>11</v>
      </c>
      <c r="B3651">
        <v>1185732</v>
      </c>
      <c r="C3651" s="1">
        <v>44357</v>
      </c>
      <c r="D3651" t="s">
        <v>29</v>
      </c>
      <c r="E3651" t="s">
        <v>60</v>
      </c>
      <c r="F3651" t="s">
        <v>61</v>
      </c>
      <c r="G3651" t="s">
        <v>18</v>
      </c>
      <c r="H3651" t="s">
        <v>37</v>
      </c>
      <c r="I3651" s="3">
        <v>50</v>
      </c>
      <c r="J3651" s="2">
        <v>575</v>
      </c>
      <c r="K3651" s="3">
        <f t="shared" ref="K3651:K3714" si="57">I3651*J3651</f>
        <v>28750</v>
      </c>
      <c r="L3651" s="3">
        <v>20125</v>
      </c>
    </row>
    <row r="3652" spans="1:12" x14ac:dyDescent="0.25">
      <c r="A3652" t="s">
        <v>11</v>
      </c>
      <c r="B3652">
        <v>1185732</v>
      </c>
      <c r="C3652" s="1">
        <v>44357</v>
      </c>
      <c r="D3652" t="s">
        <v>57</v>
      </c>
      <c r="E3652" t="s">
        <v>103</v>
      </c>
      <c r="F3652" t="s">
        <v>104</v>
      </c>
      <c r="G3652" t="s">
        <v>18</v>
      </c>
      <c r="H3652" t="s">
        <v>22</v>
      </c>
      <c r="I3652" s="3">
        <v>40</v>
      </c>
      <c r="J3652" s="2">
        <v>175</v>
      </c>
      <c r="K3652" s="3">
        <f t="shared" si="57"/>
        <v>7000</v>
      </c>
      <c r="L3652" s="3">
        <v>4900</v>
      </c>
    </row>
    <row r="3653" spans="1:12" x14ac:dyDescent="0.25">
      <c r="A3653" t="s">
        <v>19</v>
      </c>
      <c r="B3653">
        <v>1185732</v>
      </c>
      <c r="C3653" s="1">
        <v>44357</v>
      </c>
      <c r="D3653" t="s">
        <v>57</v>
      </c>
      <c r="E3653" t="s">
        <v>118</v>
      </c>
      <c r="F3653" t="s">
        <v>119</v>
      </c>
      <c r="G3653" t="s">
        <v>15</v>
      </c>
      <c r="H3653" t="s">
        <v>35</v>
      </c>
      <c r="I3653" s="3">
        <v>25.000000000000007</v>
      </c>
      <c r="J3653" s="2">
        <v>75</v>
      </c>
      <c r="K3653" s="3">
        <f t="shared" si="57"/>
        <v>1875.0000000000005</v>
      </c>
      <c r="L3653" s="3">
        <v>1218.7500000000005</v>
      </c>
    </row>
    <row r="3654" spans="1:12" x14ac:dyDescent="0.25">
      <c r="A3654" t="s">
        <v>11</v>
      </c>
      <c r="B3654">
        <v>1185732</v>
      </c>
      <c r="C3654" s="1">
        <v>44357</v>
      </c>
      <c r="D3654" t="s">
        <v>29</v>
      </c>
      <c r="E3654" t="s">
        <v>60</v>
      </c>
      <c r="F3654" t="s">
        <v>61</v>
      </c>
      <c r="G3654" t="s">
        <v>18</v>
      </c>
      <c r="H3654" t="s">
        <v>17</v>
      </c>
      <c r="I3654" s="3">
        <v>55.000000000000007</v>
      </c>
      <c r="J3654" s="2">
        <v>625</v>
      </c>
      <c r="K3654" s="3">
        <f t="shared" si="57"/>
        <v>34375.000000000007</v>
      </c>
      <c r="L3654" s="3">
        <v>22343.750000000007</v>
      </c>
    </row>
    <row r="3655" spans="1:12" x14ac:dyDescent="0.25">
      <c r="A3655" t="s">
        <v>19</v>
      </c>
      <c r="B3655">
        <v>1185732</v>
      </c>
      <c r="C3655" s="1">
        <v>44357</v>
      </c>
      <c r="D3655" t="s">
        <v>57</v>
      </c>
      <c r="E3655" t="s">
        <v>95</v>
      </c>
      <c r="F3655" t="s">
        <v>96</v>
      </c>
      <c r="G3655" t="s">
        <v>15</v>
      </c>
      <c r="H3655" t="s">
        <v>22</v>
      </c>
      <c r="I3655" s="3">
        <v>54.999999999999993</v>
      </c>
      <c r="J3655" s="2">
        <v>175</v>
      </c>
      <c r="K3655" s="3">
        <f t="shared" si="57"/>
        <v>9624.9999999999982</v>
      </c>
      <c r="L3655" s="3">
        <v>6256.2499999999991</v>
      </c>
    </row>
    <row r="3656" spans="1:12" x14ac:dyDescent="0.25">
      <c r="A3656" t="s">
        <v>11</v>
      </c>
      <c r="B3656">
        <v>1185732</v>
      </c>
      <c r="C3656" s="1">
        <v>44357</v>
      </c>
      <c r="D3656" t="s">
        <v>29</v>
      </c>
      <c r="E3656" t="s">
        <v>60</v>
      </c>
      <c r="F3656" t="s">
        <v>61</v>
      </c>
      <c r="G3656" t="s">
        <v>18</v>
      </c>
      <c r="H3656" t="s">
        <v>22</v>
      </c>
      <c r="I3656" s="3">
        <v>65</v>
      </c>
      <c r="J3656" s="2">
        <v>575</v>
      </c>
      <c r="K3656" s="3">
        <f t="shared" si="57"/>
        <v>37375</v>
      </c>
      <c r="L3656" s="3">
        <v>24293.75</v>
      </c>
    </row>
    <row r="3657" spans="1:12" x14ac:dyDescent="0.25">
      <c r="A3657" t="s">
        <v>11</v>
      </c>
      <c r="B3657">
        <v>1185732</v>
      </c>
      <c r="C3657" s="1">
        <v>44357</v>
      </c>
      <c r="D3657" t="s">
        <v>57</v>
      </c>
      <c r="E3657" t="s">
        <v>103</v>
      </c>
      <c r="F3657" t="s">
        <v>104</v>
      </c>
      <c r="G3657" t="s">
        <v>18</v>
      </c>
      <c r="H3657" t="s">
        <v>35</v>
      </c>
      <c r="I3657" s="3">
        <v>30.000000000000004</v>
      </c>
      <c r="J3657" s="2">
        <v>200</v>
      </c>
      <c r="K3657" s="3">
        <f t="shared" si="57"/>
        <v>6000.0000000000009</v>
      </c>
      <c r="L3657" s="3">
        <v>3900.0000000000009</v>
      </c>
    </row>
    <row r="3658" spans="1:12" x14ac:dyDescent="0.25">
      <c r="A3658" t="s">
        <v>11</v>
      </c>
      <c r="B3658">
        <v>1185732</v>
      </c>
      <c r="C3658" s="1">
        <v>44357</v>
      </c>
      <c r="D3658" t="s">
        <v>57</v>
      </c>
      <c r="E3658" t="s">
        <v>103</v>
      </c>
      <c r="F3658" t="s">
        <v>104</v>
      </c>
      <c r="G3658" t="s">
        <v>18</v>
      </c>
      <c r="H3658" t="s">
        <v>37</v>
      </c>
      <c r="I3658" s="3">
        <v>30.000000000000004</v>
      </c>
      <c r="J3658" s="2">
        <v>175</v>
      </c>
      <c r="K3658" s="3">
        <f t="shared" si="57"/>
        <v>5250.0000000000009</v>
      </c>
      <c r="L3658" s="3">
        <v>3412.5000000000009</v>
      </c>
    </row>
    <row r="3659" spans="1:12" x14ac:dyDescent="0.25">
      <c r="A3659" t="s">
        <v>11</v>
      </c>
      <c r="B3659">
        <v>1185732</v>
      </c>
      <c r="C3659" s="1">
        <v>44357</v>
      </c>
      <c r="D3659" t="s">
        <v>57</v>
      </c>
      <c r="E3659" t="s">
        <v>103</v>
      </c>
      <c r="F3659" t="s">
        <v>104</v>
      </c>
      <c r="G3659" t="s">
        <v>18</v>
      </c>
      <c r="H3659" t="s">
        <v>17</v>
      </c>
      <c r="I3659" s="3">
        <v>35.000000000000007</v>
      </c>
      <c r="J3659" s="2">
        <v>325</v>
      </c>
      <c r="K3659" s="3">
        <f t="shared" si="57"/>
        <v>11375.000000000002</v>
      </c>
      <c r="L3659" s="3">
        <v>6825.0000000000018</v>
      </c>
    </row>
    <row r="3660" spans="1:12" x14ac:dyDescent="0.25">
      <c r="A3660" t="s">
        <v>19</v>
      </c>
      <c r="B3660">
        <v>1128299</v>
      </c>
      <c r="C3660" s="1">
        <v>44357</v>
      </c>
      <c r="D3660" t="s">
        <v>12</v>
      </c>
      <c r="E3660" t="s">
        <v>20</v>
      </c>
      <c r="F3660" t="s">
        <v>21</v>
      </c>
      <c r="G3660" t="s">
        <v>15</v>
      </c>
      <c r="H3660" t="s">
        <v>16</v>
      </c>
      <c r="I3660" s="3">
        <v>100</v>
      </c>
      <c r="J3660" s="2">
        <v>650</v>
      </c>
      <c r="K3660" s="3">
        <f t="shared" si="57"/>
        <v>65000</v>
      </c>
      <c r="L3660" s="3">
        <v>39000</v>
      </c>
    </row>
    <row r="3661" spans="1:12" x14ac:dyDescent="0.25">
      <c r="A3661" t="s">
        <v>11</v>
      </c>
      <c r="B3661">
        <v>1185732</v>
      </c>
      <c r="C3661" s="1">
        <v>44357</v>
      </c>
      <c r="D3661" t="s">
        <v>57</v>
      </c>
      <c r="E3661" t="s">
        <v>103</v>
      </c>
      <c r="F3661" t="s">
        <v>104</v>
      </c>
      <c r="G3661" t="s">
        <v>18</v>
      </c>
      <c r="H3661" t="s">
        <v>38</v>
      </c>
      <c r="I3661" s="3">
        <v>40</v>
      </c>
      <c r="J3661" s="2">
        <v>575</v>
      </c>
      <c r="K3661" s="3">
        <f t="shared" si="57"/>
        <v>23000</v>
      </c>
      <c r="L3661" s="3">
        <v>13800</v>
      </c>
    </row>
    <row r="3662" spans="1:12" x14ac:dyDescent="0.25">
      <c r="A3662" t="s">
        <v>11</v>
      </c>
      <c r="B3662">
        <v>1185732</v>
      </c>
      <c r="C3662" s="1">
        <v>44357</v>
      </c>
      <c r="D3662" t="s">
        <v>57</v>
      </c>
      <c r="E3662" t="s">
        <v>103</v>
      </c>
      <c r="F3662" t="s">
        <v>104</v>
      </c>
      <c r="G3662" t="s">
        <v>18</v>
      </c>
      <c r="H3662" t="s">
        <v>16</v>
      </c>
      <c r="I3662" s="3">
        <v>60.000000000000007</v>
      </c>
      <c r="J3662" s="2">
        <v>325</v>
      </c>
      <c r="K3662" s="3">
        <f t="shared" si="57"/>
        <v>19500.000000000004</v>
      </c>
      <c r="L3662" s="3">
        <v>11700.000000000002</v>
      </c>
    </row>
    <row r="3663" spans="1:12" x14ac:dyDescent="0.25">
      <c r="A3663" t="s">
        <v>11</v>
      </c>
      <c r="B3663">
        <v>1185732</v>
      </c>
      <c r="C3663" s="1">
        <v>44357</v>
      </c>
      <c r="D3663" t="s">
        <v>29</v>
      </c>
      <c r="E3663" t="s">
        <v>60</v>
      </c>
      <c r="F3663" t="s">
        <v>61</v>
      </c>
      <c r="G3663" t="s">
        <v>18</v>
      </c>
      <c r="H3663" t="s">
        <v>38</v>
      </c>
      <c r="I3663" s="3">
        <v>60</v>
      </c>
      <c r="J3663" s="2">
        <v>875</v>
      </c>
      <c r="K3663" s="3">
        <f t="shared" si="57"/>
        <v>52500</v>
      </c>
      <c r="L3663" s="3">
        <v>28875</v>
      </c>
    </row>
    <row r="3664" spans="1:12" x14ac:dyDescent="0.25">
      <c r="A3664" t="s">
        <v>11</v>
      </c>
      <c r="B3664">
        <v>1185732</v>
      </c>
      <c r="C3664" s="1">
        <v>44357</v>
      </c>
      <c r="D3664" t="s">
        <v>29</v>
      </c>
      <c r="E3664" t="s">
        <v>60</v>
      </c>
      <c r="F3664" t="s">
        <v>61</v>
      </c>
      <c r="G3664" t="s">
        <v>18</v>
      </c>
      <c r="H3664" t="s">
        <v>16</v>
      </c>
      <c r="I3664" s="3">
        <v>70</v>
      </c>
      <c r="J3664" s="2">
        <v>725</v>
      </c>
      <c r="K3664" s="3">
        <f t="shared" si="57"/>
        <v>50750</v>
      </c>
      <c r="L3664" s="3">
        <v>25375</v>
      </c>
    </row>
    <row r="3665" spans="1:12" x14ac:dyDescent="0.25">
      <c r="A3665" t="s">
        <v>19</v>
      </c>
      <c r="B3665">
        <v>1128299</v>
      </c>
      <c r="C3665" s="1">
        <v>44357</v>
      </c>
      <c r="D3665" t="s">
        <v>12</v>
      </c>
      <c r="E3665" t="s">
        <v>20</v>
      </c>
      <c r="F3665" t="s">
        <v>21</v>
      </c>
      <c r="G3665" t="s">
        <v>41</v>
      </c>
      <c r="H3665" t="s">
        <v>22</v>
      </c>
      <c r="I3665" s="3">
        <v>83</v>
      </c>
      <c r="J3665" s="2">
        <v>88</v>
      </c>
      <c r="K3665" s="3">
        <f t="shared" si="57"/>
        <v>7304</v>
      </c>
      <c r="L3665" s="3">
        <v>5112.8</v>
      </c>
    </row>
    <row r="3666" spans="1:12" x14ac:dyDescent="0.25">
      <c r="A3666" t="s">
        <v>19</v>
      </c>
      <c r="B3666">
        <v>1128299</v>
      </c>
      <c r="C3666" s="1">
        <v>44357</v>
      </c>
      <c r="D3666" t="s">
        <v>12</v>
      </c>
      <c r="E3666" t="s">
        <v>20</v>
      </c>
      <c r="F3666" t="s">
        <v>21</v>
      </c>
      <c r="G3666" t="s">
        <v>41</v>
      </c>
      <c r="H3666" t="s">
        <v>17</v>
      </c>
      <c r="I3666" s="3">
        <v>72</v>
      </c>
      <c r="J3666" s="2">
        <v>156</v>
      </c>
      <c r="K3666" s="3">
        <f t="shared" si="57"/>
        <v>11232</v>
      </c>
      <c r="L3666" s="3">
        <v>7750.08</v>
      </c>
    </row>
    <row r="3667" spans="1:12" x14ac:dyDescent="0.25">
      <c r="A3667" t="s">
        <v>19</v>
      </c>
      <c r="B3667">
        <v>1128299</v>
      </c>
      <c r="C3667" s="1">
        <v>44357</v>
      </c>
      <c r="D3667" t="s">
        <v>12</v>
      </c>
      <c r="E3667" t="s">
        <v>20</v>
      </c>
      <c r="F3667" t="s">
        <v>21</v>
      </c>
      <c r="G3667" t="s">
        <v>41</v>
      </c>
      <c r="H3667" t="s">
        <v>35</v>
      </c>
      <c r="I3667" s="3">
        <v>71</v>
      </c>
      <c r="J3667" s="2">
        <v>180</v>
      </c>
      <c r="K3667" s="3">
        <f t="shared" si="57"/>
        <v>12780</v>
      </c>
      <c r="L3667" s="3">
        <v>8179.2</v>
      </c>
    </row>
    <row r="3668" spans="1:12" x14ac:dyDescent="0.25">
      <c r="A3668" t="s">
        <v>19</v>
      </c>
      <c r="B3668">
        <v>1128299</v>
      </c>
      <c r="C3668" s="1">
        <v>44357</v>
      </c>
      <c r="D3668" t="s">
        <v>12</v>
      </c>
      <c r="E3668" t="s">
        <v>20</v>
      </c>
      <c r="F3668" t="s">
        <v>21</v>
      </c>
      <c r="G3668" t="s">
        <v>41</v>
      </c>
      <c r="H3668" t="s">
        <v>37</v>
      </c>
      <c r="I3668" s="3">
        <v>74</v>
      </c>
      <c r="J3668" s="2">
        <v>133</v>
      </c>
      <c r="K3668" s="3">
        <f t="shared" si="57"/>
        <v>9842</v>
      </c>
      <c r="L3668" s="3">
        <v>6102.04</v>
      </c>
    </row>
    <row r="3669" spans="1:12" x14ac:dyDescent="0.25">
      <c r="A3669" t="s">
        <v>11</v>
      </c>
      <c r="B3669">
        <v>1185732</v>
      </c>
      <c r="C3669" s="1">
        <v>44357</v>
      </c>
      <c r="D3669" t="s">
        <v>29</v>
      </c>
      <c r="E3669" t="s">
        <v>60</v>
      </c>
      <c r="F3669" t="s">
        <v>61</v>
      </c>
      <c r="G3669" t="s">
        <v>41</v>
      </c>
      <c r="H3669" t="s">
        <v>35</v>
      </c>
      <c r="I3669" s="3">
        <v>48</v>
      </c>
      <c r="J3669" s="2">
        <v>150</v>
      </c>
      <c r="K3669" s="3">
        <f t="shared" si="57"/>
        <v>7200</v>
      </c>
      <c r="L3669" s="3">
        <v>4464</v>
      </c>
    </row>
    <row r="3670" spans="1:12" x14ac:dyDescent="0.25">
      <c r="A3670" t="s">
        <v>19</v>
      </c>
      <c r="B3670">
        <v>1128299</v>
      </c>
      <c r="C3670" s="1">
        <v>44357</v>
      </c>
      <c r="D3670" t="s">
        <v>12</v>
      </c>
      <c r="E3670" t="s">
        <v>20</v>
      </c>
      <c r="F3670" t="s">
        <v>21</v>
      </c>
      <c r="G3670" t="s">
        <v>41</v>
      </c>
      <c r="H3670" t="s">
        <v>38</v>
      </c>
      <c r="I3670" s="3">
        <v>67</v>
      </c>
      <c r="J3670" s="2">
        <v>210</v>
      </c>
      <c r="K3670" s="3">
        <f t="shared" si="57"/>
        <v>14070</v>
      </c>
      <c r="L3670" s="3">
        <v>8442</v>
      </c>
    </row>
    <row r="3671" spans="1:12" x14ac:dyDescent="0.25">
      <c r="A3671" t="s">
        <v>11</v>
      </c>
      <c r="B3671">
        <v>1185732</v>
      </c>
      <c r="C3671" s="1">
        <v>44357</v>
      </c>
      <c r="D3671" t="s">
        <v>29</v>
      </c>
      <c r="E3671" t="s">
        <v>60</v>
      </c>
      <c r="F3671" t="s">
        <v>61</v>
      </c>
      <c r="G3671" t="s">
        <v>41</v>
      </c>
      <c r="H3671" t="s">
        <v>37</v>
      </c>
      <c r="I3671" s="3">
        <v>49</v>
      </c>
      <c r="J3671" s="2">
        <v>144</v>
      </c>
      <c r="K3671" s="3">
        <f t="shared" si="57"/>
        <v>7056</v>
      </c>
      <c r="L3671" s="3">
        <v>4163.04</v>
      </c>
    </row>
    <row r="3672" spans="1:12" x14ac:dyDescent="0.25">
      <c r="A3672" t="s">
        <v>11</v>
      </c>
      <c r="B3672">
        <v>1185732</v>
      </c>
      <c r="C3672" s="1">
        <v>44357</v>
      </c>
      <c r="D3672" t="s">
        <v>57</v>
      </c>
      <c r="E3672" t="s">
        <v>103</v>
      </c>
      <c r="F3672" t="s">
        <v>104</v>
      </c>
      <c r="G3672" t="s">
        <v>41</v>
      </c>
      <c r="H3672" t="s">
        <v>35</v>
      </c>
      <c r="I3672" s="3">
        <v>27</v>
      </c>
      <c r="J3672" s="2">
        <v>50</v>
      </c>
      <c r="K3672" s="3">
        <f t="shared" si="57"/>
        <v>1350</v>
      </c>
      <c r="L3672" s="3">
        <v>742.50000000000011</v>
      </c>
    </row>
    <row r="3673" spans="1:12" x14ac:dyDescent="0.25">
      <c r="A3673" t="s">
        <v>19</v>
      </c>
      <c r="B3673">
        <v>1185732</v>
      </c>
      <c r="C3673" s="1">
        <v>44357</v>
      </c>
      <c r="D3673" t="s">
        <v>57</v>
      </c>
      <c r="E3673" t="s">
        <v>118</v>
      </c>
      <c r="F3673" t="s">
        <v>119</v>
      </c>
      <c r="G3673" t="s">
        <v>41</v>
      </c>
      <c r="H3673" t="s">
        <v>35</v>
      </c>
      <c r="I3673" s="3">
        <v>23</v>
      </c>
      <c r="J3673" s="2">
        <v>21</v>
      </c>
      <c r="K3673" s="3">
        <f t="shared" si="57"/>
        <v>483</v>
      </c>
      <c r="L3673" s="3">
        <v>265.65000000000003</v>
      </c>
    </row>
    <row r="3674" spans="1:12" x14ac:dyDescent="0.25">
      <c r="A3674" t="s">
        <v>11</v>
      </c>
      <c r="B3674">
        <v>1185732</v>
      </c>
      <c r="C3674" s="1">
        <v>44357</v>
      </c>
      <c r="D3674" t="s">
        <v>57</v>
      </c>
      <c r="E3674" t="s">
        <v>103</v>
      </c>
      <c r="F3674" t="s">
        <v>104</v>
      </c>
      <c r="G3674" t="s">
        <v>41</v>
      </c>
      <c r="H3674" t="s">
        <v>22</v>
      </c>
      <c r="I3674" s="3">
        <v>36</v>
      </c>
      <c r="J3674" s="2">
        <v>53</v>
      </c>
      <c r="K3674" s="3">
        <f t="shared" si="57"/>
        <v>1908</v>
      </c>
      <c r="L3674" s="3">
        <v>1049.4000000000001</v>
      </c>
    </row>
    <row r="3675" spans="1:12" x14ac:dyDescent="0.25">
      <c r="A3675" t="s">
        <v>19</v>
      </c>
      <c r="B3675">
        <v>1185732</v>
      </c>
      <c r="C3675" s="1">
        <v>44357</v>
      </c>
      <c r="D3675" t="s">
        <v>57</v>
      </c>
      <c r="E3675" t="s">
        <v>95</v>
      </c>
      <c r="F3675" t="s">
        <v>96</v>
      </c>
      <c r="G3675" t="s">
        <v>41</v>
      </c>
      <c r="H3675" t="s">
        <v>22</v>
      </c>
      <c r="I3675" s="3">
        <v>50</v>
      </c>
      <c r="J3675" s="2">
        <v>44</v>
      </c>
      <c r="K3675" s="3">
        <f t="shared" si="57"/>
        <v>2200</v>
      </c>
      <c r="L3675" s="3">
        <v>1166</v>
      </c>
    </row>
    <row r="3676" spans="1:12" x14ac:dyDescent="0.25">
      <c r="A3676" t="s">
        <v>11</v>
      </c>
      <c r="B3676">
        <v>1185732</v>
      </c>
      <c r="C3676" s="1">
        <v>44357</v>
      </c>
      <c r="D3676" t="s">
        <v>57</v>
      </c>
      <c r="E3676" t="s">
        <v>103</v>
      </c>
      <c r="F3676" t="s">
        <v>104</v>
      </c>
      <c r="G3676" t="s">
        <v>41</v>
      </c>
      <c r="H3676" t="s">
        <v>37</v>
      </c>
      <c r="I3676" s="3">
        <v>29</v>
      </c>
      <c r="J3676" s="2">
        <v>46</v>
      </c>
      <c r="K3676" s="3">
        <f t="shared" si="57"/>
        <v>1334</v>
      </c>
      <c r="L3676" s="3">
        <v>707.02</v>
      </c>
    </row>
    <row r="3677" spans="1:12" x14ac:dyDescent="0.25">
      <c r="A3677" t="s">
        <v>11</v>
      </c>
      <c r="B3677">
        <v>1185732</v>
      </c>
      <c r="C3677" s="1">
        <v>44357</v>
      </c>
      <c r="D3677" t="s">
        <v>29</v>
      </c>
      <c r="E3677" t="s">
        <v>60</v>
      </c>
      <c r="F3677" t="s">
        <v>61</v>
      </c>
      <c r="G3677" t="s">
        <v>41</v>
      </c>
      <c r="H3677" t="s">
        <v>17</v>
      </c>
      <c r="I3677" s="3">
        <v>54</v>
      </c>
      <c r="J3677" s="2">
        <v>175</v>
      </c>
      <c r="K3677" s="3">
        <f t="shared" si="57"/>
        <v>9450</v>
      </c>
      <c r="L3677" s="3">
        <v>4914</v>
      </c>
    </row>
    <row r="3678" spans="1:12" x14ac:dyDescent="0.25">
      <c r="A3678" t="s">
        <v>11</v>
      </c>
      <c r="B3678">
        <v>1185732</v>
      </c>
      <c r="C3678" s="1">
        <v>44357</v>
      </c>
      <c r="D3678" t="s">
        <v>29</v>
      </c>
      <c r="E3678" t="s">
        <v>60</v>
      </c>
      <c r="F3678" t="s">
        <v>61</v>
      </c>
      <c r="G3678" t="s">
        <v>41</v>
      </c>
      <c r="H3678" t="s">
        <v>22</v>
      </c>
      <c r="I3678" s="3">
        <v>62</v>
      </c>
      <c r="J3678" s="2">
        <v>150</v>
      </c>
      <c r="K3678" s="3">
        <f t="shared" si="57"/>
        <v>9300</v>
      </c>
      <c r="L3678" s="3">
        <v>4743</v>
      </c>
    </row>
    <row r="3679" spans="1:12" x14ac:dyDescent="0.25">
      <c r="A3679" t="s">
        <v>11</v>
      </c>
      <c r="B3679">
        <v>1185732</v>
      </c>
      <c r="C3679" s="1">
        <v>44357</v>
      </c>
      <c r="D3679" t="s">
        <v>57</v>
      </c>
      <c r="E3679" t="s">
        <v>103</v>
      </c>
      <c r="F3679" t="s">
        <v>104</v>
      </c>
      <c r="G3679" t="s">
        <v>41</v>
      </c>
      <c r="H3679" t="s">
        <v>16</v>
      </c>
      <c r="I3679" s="3">
        <v>56</v>
      </c>
      <c r="J3679" s="2">
        <v>91</v>
      </c>
      <c r="K3679" s="3">
        <f t="shared" si="57"/>
        <v>5096</v>
      </c>
      <c r="L3679" s="3">
        <v>2497.04</v>
      </c>
    </row>
    <row r="3680" spans="1:12" x14ac:dyDescent="0.25">
      <c r="A3680" t="s">
        <v>19</v>
      </c>
      <c r="B3680">
        <v>1128299</v>
      </c>
      <c r="C3680" s="1">
        <v>44357</v>
      </c>
      <c r="D3680" t="s">
        <v>12</v>
      </c>
      <c r="E3680" t="s">
        <v>20</v>
      </c>
      <c r="F3680" t="s">
        <v>21</v>
      </c>
      <c r="G3680" t="s">
        <v>41</v>
      </c>
      <c r="H3680" t="s">
        <v>16</v>
      </c>
      <c r="I3680" s="3">
        <v>97</v>
      </c>
      <c r="J3680" s="2">
        <v>169</v>
      </c>
      <c r="K3680" s="3">
        <f t="shared" si="57"/>
        <v>16393</v>
      </c>
      <c r="L3680" s="3">
        <v>7868.6399999999994</v>
      </c>
    </row>
    <row r="3681" spans="1:12" x14ac:dyDescent="0.25">
      <c r="A3681" t="s">
        <v>11</v>
      </c>
      <c r="B3681">
        <v>1185732</v>
      </c>
      <c r="C3681" s="1">
        <v>44357</v>
      </c>
      <c r="D3681" t="s">
        <v>57</v>
      </c>
      <c r="E3681" t="s">
        <v>103</v>
      </c>
      <c r="F3681" t="s">
        <v>104</v>
      </c>
      <c r="G3681" t="s">
        <v>41</v>
      </c>
      <c r="H3681" t="s">
        <v>17</v>
      </c>
      <c r="I3681" s="3">
        <v>32</v>
      </c>
      <c r="J3681" s="2">
        <v>94</v>
      </c>
      <c r="K3681" s="3">
        <f t="shared" si="57"/>
        <v>3008</v>
      </c>
      <c r="L3681" s="3">
        <v>1413.76</v>
      </c>
    </row>
    <row r="3682" spans="1:12" x14ac:dyDescent="0.25">
      <c r="A3682" t="s">
        <v>11</v>
      </c>
      <c r="B3682">
        <v>1185732</v>
      </c>
      <c r="C3682" s="1">
        <v>44357</v>
      </c>
      <c r="D3682" t="s">
        <v>57</v>
      </c>
      <c r="E3682" t="s">
        <v>103</v>
      </c>
      <c r="F3682" t="s">
        <v>104</v>
      </c>
      <c r="G3682" t="s">
        <v>41</v>
      </c>
      <c r="H3682" t="s">
        <v>38</v>
      </c>
      <c r="I3682" s="3">
        <v>36</v>
      </c>
      <c r="J3682" s="2">
        <v>155</v>
      </c>
      <c r="K3682" s="3">
        <f t="shared" si="57"/>
        <v>5580</v>
      </c>
      <c r="L3682" s="3">
        <v>2510.9999999999995</v>
      </c>
    </row>
    <row r="3683" spans="1:12" x14ac:dyDescent="0.25">
      <c r="A3683" t="s">
        <v>11</v>
      </c>
      <c r="B3683">
        <v>1185732</v>
      </c>
      <c r="C3683" s="1">
        <v>44357</v>
      </c>
      <c r="D3683" t="s">
        <v>29</v>
      </c>
      <c r="E3683" t="s">
        <v>60</v>
      </c>
      <c r="F3683" t="s">
        <v>61</v>
      </c>
      <c r="G3683" t="s">
        <v>41</v>
      </c>
      <c r="H3683" t="s">
        <v>38</v>
      </c>
      <c r="I3683" s="3">
        <v>59</v>
      </c>
      <c r="J3683" s="2">
        <v>263</v>
      </c>
      <c r="K3683" s="3">
        <f t="shared" si="57"/>
        <v>15517</v>
      </c>
      <c r="L3683" s="3">
        <v>6827.48</v>
      </c>
    </row>
    <row r="3684" spans="1:12" x14ac:dyDescent="0.25">
      <c r="A3684" t="s">
        <v>11</v>
      </c>
      <c r="B3684">
        <v>1185732</v>
      </c>
      <c r="C3684" s="1">
        <v>44357</v>
      </c>
      <c r="D3684" t="s">
        <v>29</v>
      </c>
      <c r="E3684" t="s">
        <v>60</v>
      </c>
      <c r="F3684" t="s">
        <v>61</v>
      </c>
      <c r="G3684" t="s">
        <v>41</v>
      </c>
      <c r="H3684" t="s">
        <v>16</v>
      </c>
      <c r="I3684" s="3">
        <v>69</v>
      </c>
      <c r="J3684" s="2">
        <v>181</v>
      </c>
      <c r="K3684" s="3">
        <f t="shared" si="57"/>
        <v>12489</v>
      </c>
      <c r="L3684" s="3">
        <v>4745.82</v>
      </c>
    </row>
    <row r="3685" spans="1:12" x14ac:dyDescent="0.25">
      <c r="A3685" t="s">
        <v>11</v>
      </c>
      <c r="B3685">
        <v>1185732</v>
      </c>
      <c r="C3685" s="1">
        <v>44358</v>
      </c>
      <c r="D3685" t="s">
        <v>12</v>
      </c>
      <c r="E3685" t="s">
        <v>101</v>
      </c>
      <c r="F3685" t="s">
        <v>102</v>
      </c>
      <c r="G3685" t="s">
        <v>18</v>
      </c>
      <c r="H3685" t="s">
        <v>17</v>
      </c>
      <c r="I3685" s="3">
        <v>25.000000000000011</v>
      </c>
      <c r="J3685" s="2">
        <v>400</v>
      </c>
      <c r="K3685" s="3">
        <f t="shared" si="57"/>
        <v>10000.000000000004</v>
      </c>
      <c r="L3685" s="3">
        <v>6500.0000000000027</v>
      </c>
    </row>
    <row r="3686" spans="1:12" x14ac:dyDescent="0.25">
      <c r="A3686" t="s">
        <v>11</v>
      </c>
      <c r="B3686">
        <v>1185732</v>
      </c>
      <c r="C3686" s="1">
        <v>44358</v>
      </c>
      <c r="D3686" t="s">
        <v>12</v>
      </c>
      <c r="E3686" t="s">
        <v>101</v>
      </c>
      <c r="F3686" t="s">
        <v>102</v>
      </c>
      <c r="G3686" t="s">
        <v>18</v>
      </c>
      <c r="H3686" t="s">
        <v>22</v>
      </c>
      <c r="I3686" s="3">
        <v>35</v>
      </c>
      <c r="J3686" s="2">
        <v>400</v>
      </c>
      <c r="K3686" s="3">
        <f t="shared" si="57"/>
        <v>14000</v>
      </c>
      <c r="L3686" s="3">
        <v>9100</v>
      </c>
    </row>
    <row r="3687" spans="1:12" x14ac:dyDescent="0.25">
      <c r="A3687" t="s">
        <v>36</v>
      </c>
      <c r="B3687">
        <v>1185732</v>
      </c>
      <c r="C3687" s="1">
        <v>44358</v>
      </c>
      <c r="D3687" t="s">
        <v>57</v>
      </c>
      <c r="E3687" t="s">
        <v>110</v>
      </c>
      <c r="F3687" t="s">
        <v>111</v>
      </c>
      <c r="G3687" t="s">
        <v>41</v>
      </c>
      <c r="H3687" t="s">
        <v>17</v>
      </c>
      <c r="I3687" s="3">
        <v>45</v>
      </c>
      <c r="J3687" s="2">
        <v>550</v>
      </c>
      <c r="K3687" s="3">
        <f t="shared" si="57"/>
        <v>24750</v>
      </c>
      <c r="L3687" s="3">
        <v>16087.5</v>
      </c>
    </row>
    <row r="3688" spans="1:12" x14ac:dyDescent="0.25">
      <c r="A3688" t="s">
        <v>36</v>
      </c>
      <c r="B3688">
        <v>1185732</v>
      </c>
      <c r="C3688" s="1">
        <v>44358</v>
      </c>
      <c r="D3688" t="s">
        <v>57</v>
      </c>
      <c r="E3688" t="s">
        <v>110</v>
      </c>
      <c r="F3688" t="s">
        <v>111</v>
      </c>
      <c r="G3688" t="s">
        <v>41</v>
      </c>
      <c r="H3688" t="s">
        <v>22</v>
      </c>
      <c r="I3688" s="3">
        <v>65</v>
      </c>
      <c r="J3688" s="2">
        <v>500</v>
      </c>
      <c r="K3688" s="3">
        <f t="shared" si="57"/>
        <v>32500</v>
      </c>
      <c r="L3688" s="3">
        <v>21125</v>
      </c>
    </row>
    <row r="3689" spans="1:12" x14ac:dyDescent="0.25">
      <c r="A3689" t="s">
        <v>11</v>
      </c>
      <c r="B3689">
        <v>1185732</v>
      </c>
      <c r="C3689" s="1">
        <v>44358</v>
      </c>
      <c r="D3689" t="s">
        <v>12</v>
      </c>
      <c r="E3689" t="s">
        <v>101</v>
      </c>
      <c r="F3689" t="s">
        <v>102</v>
      </c>
      <c r="G3689" t="s">
        <v>18</v>
      </c>
      <c r="H3689" t="s">
        <v>35</v>
      </c>
      <c r="I3689" s="3">
        <v>20.000000000000007</v>
      </c>
      <c r="J3689" s="2">
        <v>425</v>
      </c>
      <c r="K3689" s="3">
        <f t="shared" si="57"/>
        <v>8500.0000000000036</v>
      </c>
      <c r="L3689" s="3">
        <v>5525.0000000000018</v>
      </c>
    </row>
    <row r="3690" spans="1:12" x14ac:dyDescent="0.25">
      <c r="A3690" t="s">
        <v>11</v>
      </c>
      <c r="B3690">
        <v>1185732</v>
      </c>
      <c r="C3690" s="1">
        <v>44358</v>
      </c>
      <c r="D3690" t="s">
        <v>12</v>
      </c>
      <c r="E3690" t="s">
        <v>101</v>
      </c>
      <c r="F3690" t="s">
        <v>102</v>
      </c>
      <c r="G3690" t="s">
        <v>18</v>
      </c>
      <c r="H3690" t="s">
        <v>38</v>
      </c>
      <c r="I3690" s="3">
        <v>30.000000000000004</v>
      </c>
      <c r="J3690" s="2">
        <v>650</v>
      </c>
      <c r="K3690" s="3">
        <f t="shared" si="57"/>
        <v>19500.000000000004</v>
      </c>
      <c r="L3690" s="3">
        <v>11700.000000000002</v>
      </c>
    </row>
    <row r="3691" spans="1:12" x14ac:dyDescent="0.25">
      <c r="A3691" t="s">
        <v>11</v>
      </c>
      <c r="B3691">
        <v>1185732</v>
      </c>
      <c r="C3691" s="1">
        <v>44358</v>
      </c>
      <c r="D3691" t="s">
        <v>12</v>
      </c>
      <c r="E3691" t="s">
        <v>101</v>
      </c>
      <c r="F3691" t="s">
        <v>102</v>
      </c>
      <c r="G3691" t="s">
        <v>18</v>
      </c>
      <c r="H3691" t="s">
        <v>37</v>
      </c>
      <c r="I3691" s="3">
        <v>20.000000000000007</v>
      </c>
      <c r="J3691" s="2">
        <v>400</v>
      </c>
      <c r="K3691" s="3">
        <f t="shared" si="57"/>
        <v>8000.0000000000027</v>
      </c>
      <c r="L3691" s="3">
        <v>4800.0000000000018</v>
      </c>
    </row>
    <row r="3692" spans="1:12" x14ac:dyDescent="0.25">
      <c r="A3692" t="s">
        <v>36</v>
      </c>
      <c r="B3692">
        <v>1185732</v>
      </c>
      <c r="C3692" s="1">
        <v>44358</v>
      </c>
      <c r="D3692" t="s">
        <v>57</v>
      </c>
      <c r="E3692" t="s">
        <v>110</v>
      </c>
      <c r="F3692" t="s">
        <v>111</v>
      </c>
      <c r="G3692" t="s">
        <v>41</v>
      </c>
      <c r="H3692" t="s">
        <v>35</v>
      </c>
      <c r="I3692" s="3">
        <v>50</v>
      </c>
      <c r="J3692" s="2">
        <v>525</v>
      </c>
      <c r="K3692" s="3">
        <f t="shared" si="57"/>
        <v>26250</v>
      </c>
      <c r="L3692" s="3">
        <v>15750</v>
      </c>
    </row>
    <row r="3693" spans="1:12" x14ac:dyDescent="0.25">
      <c r="A3693" t="s">
        <v>36</v>
      </c>
      <c r="B3693">
        <v>1185732</v>
      </c>
      <c r="C3693" s="1">
        <v>44358</v>
      </c>
      <c r="D3693" t="s">
        <v>57</v>
      </c>
      <c r="E3693" t="s">
        <v>110</v>
      </c>
      <c r="F3693" t="s">
        <v>111</v>
      </c>
      <c r="G3693" t="s">
        <v>41</v>
      </c>
      <c r="H3693" t="s">
        <v>37</v>
      </c>
      <c r="I3693" s="3">
        <v>50</v>
      </c>
      <c r="J3693" s="2">
        <v>500</v>
      </c>
      <c r="K3693" s="3">
        <f t="shared" si="57"/>
        <v>25000</v>
      </c>
      <c r="L3693" s="3">
        <v>15000</v>
      </c>
    </row>
    <row r="3694" spans="1:12" x14ac:dyDescent="0.25">
      <c r="A3694" t="s">
        <v>36</v>
      </c>
      <c r="B3694">
        <v>1185732</v>
      </c>
      <c r="C3694" s="1">
        <v>44358</v>
      </c>
      <c r="D3694" t="s">
        <v>57</v>
      </c>
      <c r="E3694" t="s">
        <v>110</v>
      </c>
      <c r="F3694" t="s">
        <v>111</v>
      </c>
      <c r="G3694" t="s">
        <v>41</v>
      </c>
      <c r="H3694" t="s">
        <v>38</v>
      </c>
      <c r="I3694" s="3">
        <v>49.999999999999993</v>
      </c>
      <c r="J3694" s="2">
        <v>800</v>
      </c>
      <c r="K3694" s="3">
        <f t="shared" si="57"/>
        <v>39999.999999999993</v>
      </c>
      <c r="L3694" s="3">
        <v>23999.999999999993</v>
      </c>
    </row>
    <row r="3695" spans="1:12" x14ac:dyDescent="0.25">
      <c r="A3695" t="s">
        <v>19</v>
      </c>
      <c r="B3695">
        <v>1185732</v>
      </c>
      <c r="C3695" s="1">
        <v>44358</v>
      </c>
      <c r="D3695" t="s">
        <v>57</v>
      </c>
      <c r="E3695" t="s">
        <v>95</v>
      </c>
      <c r="F3695" t="s">
        <v>96</v>
      </c>
      <c r="G3695" t="s">
        <v>15</v>
      </c>
      <c r="H3695" t="s">
        <v>16</v>
      </c>
      <c r="I3695" s="3">
        <v>45</v>
      </c>
      <c r="J3695" s="2">
        <v>275</v>
      </c>
      <c r="K3695" s="3">
        <f t="shared" si="57"/>
        <v>12375</v>
      </c>
      <c r="L3695" s="3">
        <v>6187.5</v>
      </c>
    </row>
    <row r="3696" spans="1:12" x14ac:dyDescent="0.25">
      <c r="A3696" t="s">
        <v>11</v>
      </c>
      <c r="B3696">
        <v>1185732</v>
      </c>
      <c r="C3696" s="1">
        <v>44358</v>
      </c>
      <c r="D3696" t="s">
        <v>12</v>
      </c>
      <c r="E3696" t="s">
        <v>101</v>
      </c>
      <c r="F3696" t="s">
        <v>102</v>
      </c>
      <c r="G3696" t="s">
        <v>18</v>
      </c>
      <c r="H3696" t="s">
        <v>16</v>
      </c>
      <c r="I3696" s="3">
        <v>40</v>
      </c>
      <c r="J3696" s="2">
        <v>575</v>
      </c>
      <c r="K3696" s="3">
        <f t="shared" si="57"/>
        <v>23000</v>
      </c>
      <c r="L3696" s="3">
        <v>11500</v>
      </c>
    </row>
    <row r="3697" spans="1:12" x14ac:dyDescent="0.25">
      <c r="A3697" t="s">
        <v>36</v>
      </c>
      <c r="B3697">
        <v>1185732</v>
      </c>
      <c r="C3697" s="1">
        <v>44358</v>
      </c>
      <c r="D3697" t="s">
        <v>57</v>
      </c>
      <c r="E3697" t="s">
        <v>110</v>
      </c>
      <c r="F3697" t="s">
        <v>111</v>
      </c>
      <c r="G3697" t="s">
        <v>41</v>
      </c>
      <c r="H3697" t="s">
        <v>16</v>
      </c>
      <c r="I3697" s="3">
        <v>70</v>
      </c>
      <c r="J3697" s="2">
        <v>675</v>
      </c>
      <c r="K3697" s="3">
        <f t="shared" si="57"/>
        <v>47250</v>
      </c>
      <c r="L3697" s="3">
        <v>23625</v>
      </c>
    </row>
    <row r="3698" spans="1:12" x14ac:dyDescent="0.25">
      <c r="A3698" t="s">
        <v>11</v>
      </c>
      <c r="B3698">
        <v>1185732</v>
      </c>
      <c r="C3698" s="1">
        <v>44358</v>
      </c>
      <c r="D3698" t="s">
        <v>12</v>
      </c>
      <c r="E3698" t="s">
        <v>101</v>
      </c>
      <c r="F3698" t="s">
        <v>102</v>
      </c>
      <c r="G3698" t="s">
        <v>15</v>
      </c>
      <c r="H3698" t="s">
        <v>35</v>
      </c>
      <c r="I3698" s="3">
        <v>13</v>
      </c>
      <c r="J3698" s="2">
        <v>128</v>
      </c>
      <c r="K3698" s="3">
        <f t="shared" si="57"/>
        <v>1664</v>
      </c>
      <c r="L3698" s="3">
        <v>1048.3200000000002</v>
      </c>
    </row>
    <row r="3699" spans="1:12" x14ac:dyDescent="0.25">
      <c r="A3699" t="s">
        <v>11</v>
      </c>
      <c r="B3699">
        <v>1185732</v>
      </c>
      <c r="C3699" s="1">
        <v>44358</v>
      </c>
      <c r="D3699" t="s">
        <v>12</v>
      </c>
      <c r="E3699" t="s">
        <v>101</v>
      </c>
      <c r="F3699" t="s">
        <v>102</v>
      </c>
      <c r="G3699" t="s">
        <v>15</v>
      </c>
      <c r="H3699" t="s">
        <v>22</v>
      </c>
      <c r="I3699" s="3">
        <v>24</v>
      </c>
      <c r="J3699" s="2">
        <v>132</v>
      </c>
      <c r="K3699" s="3">
        <f t="shared" si="57"/>
        <v>3168</v>
      </c>
      <c r="L3699" s="3">
        <v>1995.84</v>
      </c>
    </row>
    <row r="3700" spans="1:12" x14ac:dyDescent="0.25">
      <c r="A3700" t="s">
        <v>11</v>
      </c>
      <c r="B3700">
        <v>1185732</v>
      </c>
      <c r="C3700" s="1">
        <v>44358</v>
      </c>
      <c r="D3700" t="s">
        <v>12</v>
      </c>
      <c r="E3700" t="s">
        <v>101</v>
      </c>
      <c r="F3700" t="s">
        <v>102</v>
      </c>
      <c r="G3700" t="s">
        <v>15</v>
      </c>
      <c r="H3700" t="s">
        <v>17</v>
      </c>
      <c r="I3700" s="3">
        <v>18</v>
      </c>
      <c r="J3700" s="2">
        <v>132</v>
      </c>
      <c r="K3700" s="3">
        <f t="shared" si="57"/>
        <v>2376</v>
      </c>
      <c r="L3700" s="3">
        <v>1425.6</v>
      </c>
    </row>
    <row r="3701" spans="1:12" x14ac:dyDescent="0.25">
      <c r="A3701" t="s">
        <v>11</v>
      </c>
      <c r="B3701">
        <v>1185732</v>
      </c>
      <c r="C3701" s="1">
        <v>44358</v>
      </c>
      <c r="D3701" t="s">
        <v>12</v>
      </c>
      <c r="E3701" t="s">
        <v>101</v>
      </c>
      <c r="F3701" t="s">
        <v>102</v>
      </c>
      <c r="G3701" t="s">
        <v>15</v>
      </c>
      <c r="H3701" t="s">
        <v>38</v>
      </c>
      <c r="I3701" s="3">
        <v>21</v>
      </c>
      <c r="J3701" s="2">
        <v>208</v>
      </c>
      <c r="K3701" s="3">
        <f t="shared" si="57"/>
        <v>4368</v>
      </c>
      <c r="L3701" s="3">
        <v>2489.7599999999998</v>
      </c>
    </row>
    <row r="3702" spans="1:12" x14ac:dyDescent="0.25">
      <c r="A3702" t="s">
        <v>11</v>
      </c>
      <c r="B3702">
        <v>1185732</v>
      </c>
      <c r="C3702" s="1">
        <v>44358</v>
      </c>
      <c r="D3702" t="s">
        <v>12</v>
      </c>
      <c r="E3702" t="s">
        <v>101</v>
      </c>
      <c r="F3702" t="s">
        <v>102</v>
      </c>
      <c r="G3702" t="s">
        <v>15</v>
      </c>
      <c r="H3702" t="s">
        <v>37</v>
      </c>
      <c r="I3702" s="3">
        <v>13</v>
      </c>
      <c r="J3702" s="2">
        <v>132</v>
      </c>
      <c r="K3702" s="3">
        <f t="shared" si="57"/>
        <v>1716</v>
      </c>
      <c r="L3702" s="3">
        <v>978.11999999999989</v>
      </c>
    </row>
    <row r="3703" spans="1:12" x14ac:dyDescent="0.25">
      <c r="A3703" t="s">
        <v>11</v>
      </c>
      <c r="B3703">
        <v>1185732</v>
      </c>
      <c r="C3703" s="1">
        <v>44358</v>
      </c>
      <c r="D3703" t="s">
        <v>12</v>
      </c>
      <c r="E3703" t="s">
        <v>101</v>
      </c>
      <c r="F3703" t="s">
        <v>102</v>
      </c>
      <c r="G3703" t="s">
        <v>41</v>
      </c>
      <c r="H3703" t="s">
        <v>22</v>
      </c>
      <c r="I3703" s="3">
        <v>34</v>
      </c>
      <c r="J3703" s="2">
        <v>108</v>
      </c>
      <c r="K3703" s="3">
        <f t="shared" si="57"/>
        <v>3672</v>
      </c>
      <c r="L3703" s="3">
        <v>2019.6000000000001</v>
      </c>
    </row>
    <row r="3704" spans="1:12" x14ac:dyDescent="0.25">
      <c r="A3704" t="s">
        <v>36</v>
      </c>
      <c r="B3704">
        <v>1185732</v>
      </c>
      <c r="C3704" s="1">
        <v>44358</v>
      </c>
      <c r="D3704" t="s">
        <v>57</v>
      </c>
      <c r="E3704" t="s">
        <v>110</v>
      </c>
      <c r="F3704" t="s">
        <v>111</v>
      </c>
      <c r="G3704" t="s">
        <v>41</v>
      </c>
      <c r="H3704" t="s">
        <v>17</v>
      </c>
      <c r="I3704" s="3">
        <v>41</v>
      </c>
      <c r="J3704" s="2">
        <v>138</v>
      </c>
      <c r="K3704" s="3">
        <f t="shared" si="57"/>
        <v>5658</v>
      </c>
      <c r="L3704" s="3">
        <v>3055.32</v>
      </c>
    </row>
    <row r="3705" spans="1:12" x14ac:dyDescent="0.25">
      <c r="A3705" t="s">
        <v>36</v>
      </c>
      <c r="B3705">
        <v>1185732</v>
      </c>
      <c r="C3705" s="1">
        <v>44358</v>
      </c>
      <c r="D3705" t="s">
        <v>57</v>
      </c>
      <c r="E3705" t="s">
        <v>110</v>
      </c>
      <c r="F3705" t="s">
        <v>111</v>
      </c>
      <c r="G3705" t="s">
        <v>41</v>
      </c>
      <c r="H3705" t="s">
        <v>22</v>
      </c>
      <c r="I3705" s="3">
        <v>62</v>
      </c>
      <c r="J3705" s="2">
        <v>150</v>
      </c>
      <c r="K3705" s="3">
        <f t="shared" si="57"/>
        <v>9300</v>
      </c>
      <c r="L3705" s="3">
        <v>4929</v>
      </c>
    </row>
    <row r="3706" spans="1:12" x14ac:dyDescent="0.25">
      <c r="A3706" t="s">
        <v>11</v>
      </c>
      <c r="B3706">
        <v>1185732</v>
      </c>
      <c r="C3706" s="1">
        <v>44358</v>
      </c>
      <c r="D3706" t="s">
        <v>12</v>
      </c>
      <c r="E3706" t="s">
        <v>101</v>
      </c>
      <c r="F3706" t="s">
        <v>102</v>
      </c>
      <c r="G3706" t="s">
        <v>41</v>
      </c>
      <c r="H3706" t="s">
        <v>17</v>
      </c>
      <c r="I3706" s="3">
        <v>24</v>
      </c>
      <c r="J3706" s="2">
        <v>112</v>
      </c>
      <c r="K3706" s="3">
        <f t="shared" si="57"/>
        <v>2688</v>
      </c>
      <c r="L3706" s="3">
        <v>1370.88</v>
      </c>
    </row>
    <row r="3707" spans="1:12" x14ac:dyDescent="0.25">
      <c r="A3707" t="s">
        <v>11</v>
      </c>
      <c r="B3707">
        <v>1185732</v>
      </c>
      <c r="C3707" s="1">
        <v>44358</v>
      </c>
      <c r="D3707" t="s">
        <v>12</v>
      </c>
      <c r="E3707" t="s">
        <v>101</v>
      </c>
      <c r="F3707" t="s">
        <v>102</v>
      </c>
      <c r="G3707" t="s">
        <v>41</v>
      </c>
      <c r="H3707" t="s">
        <v>35</v>
      </c>
      <c r="I3707" s="3">
        <v>19</v>
      </c>
      <c r="J3707" s="2">
        <v>115</v>
      </c>
      <c r="K3707" s="3">
        <f t="shared" si="57"/>
        <v>2185</v>
      </c>
      <c r="L3707" s="3">
        <v>1114.3499999999999</v>
      </c>
    </row>
    <row r="3708" spans="1:12" x14ac:dyDescent="0.25">
      <c r="A3708" t="s">
        <v>11</v>
      </c>
      <c r="B3708">
        <v>1185732</v>
      </c>
      <c r="C3708" s="1">
        <v>44358</v>
      </c>
      <c r="D3708" t="s">
        <v>12</v>
      </c>
      <c r="E3708" t="s">
        <v>101</v>
      </c>
      <c r="F3708" t="s">
        <v>102</v>
      </c>
      <c r="G3708" t="s">
        <v>41</v>
      </c>
      <c r="H3708" t="s">
        <v>38</v>
      </c>
      <c r="I3708" s="3">
        <v>28</v>
      </c>
      <c r="J3708" s="2">
        <v>182</v>
      </c>
      <c r="K3708" s="3">
        <f t="shared" si="57"/>
        <v>5096</v>
      </c>
      <c r="L3708" s="3">
        <v>2497.04</v>
      </c>
    </row>
    <row r="3709" spans="1:12" x14ac:dyDescent="0.25">
      <c r="A3709" t="s">
        <v>11</v>
      </c>
      <c r="B3709">
        <v>1185732</v>
      </c>
      <c r="C3709" s="1">
        <v>44358</v>
      </c>
      <c r="D3709" t="s">
        <v>12</v>
      </c>
      <c r="E3709" t="s">
        <v>101</v>
      </c>
      <c r="F3709" t="s">
        <v>102</v>
      </c>
      <c r="G3709" t="s">
        <v>41</v>
      </c>
      <c r="H3709" t="s">
        <v>37</v>
      </c>
      <c r="I3709" s="3">
        <v>19</v>
      </c>
      <c r="J3709" s="2">
        <v>108</v>
      </c>
      <c r="K3709" s="3">
        <f t="shared" si="57"/>
        <v>2052</v>
      </c>
      <c r="L3709" s="3">
        <v>1005.48</v>
      </c>
    </row>
    <row r="3710" spans="1:12" x14ac:dyDescent="0.25">
      <c r="A3710" t="s">
        <v>36</v>
      </c>
      <c r="B3710">
        <v>1185732</v>
      </c>
      <c r="C3710" s="1">
        <v>44358</v>
      </c>
      <c r="D3710" t="s">
        <v>57</v>
      </c>
      <c r="E3710" t="s">
        <v>110</v>
      </c>
      <c r="F3710" t="s">
        <v>111</v>
      </c>
      <c r="G3710" t="s">
        <v>41</v>
      </c>
      <c r="H3710" t="s">
        <v>37</v>
      </c>
      <c r="I3710" s="3">
        <v>49</v>
      </c>
      <c r="J3710" s="2">
        <v>140</v>
      </c>
      <c r="K3710" s="3">
        <f t="shared" si="57"/>
        <v>6860</v>
      </c>
      <c r="L3710" s="3">
        <v>3361.4</v>
      </c>
    </row>
    <row r="3711" spans="1:12" x14ac:dyDescent="0.25">
      <c r="A3711" t="s">
        <v>36</v>
      </c>
      <c r="B3711">
        <v>1185732</v>
      </c>
      <c r="C3711" s="1">
        <v>44358</v>
      </c>
      <c r="D3711" t="s">
        <v>57</v>
      </c>
      <c r="E3711" t="s">
        <v>110</v>
      </c>
      <c r="F3711" t="s">
        <v>111</v>
      </c>
      <c r="G3711" t="s">
        <v>41</v>
      </c>
      <c r="H3711" t="s">
        <v>38</v>
      </c>
      <c r="I3711" s="3">
        <v>49</v>
      </c>
      <c r="J3711" s="2">
        <v>232</v>
      </c>
      <c r="K3711" s="3">
        <f t="shared" si="57"/>
        <v>11368</v>
      </c>
      <c r="L3711" s="3">
        <v>5342.96</v>
      </c>
    </row>
    <row r="3712" spans="1:12" x14ac:dyDescent="0.25">
      <c r="A3712" t="s">
        <v>36</v>
      </c>
      <c r="B3712">
        <v>1185732</v>
      </c>
      <c r="C3712" s="1">
        <v>44358</v>
      </c>
      <c r="D3712" t="s">
        <v>57</v>
      </c>
      <c r="E3712" t="s">
        <v>110</v>
      </c>
      <c r="F3712" t="s">
        <v>111</v>
      </c>
      <c r="G3712" t="s">
        <v>41</v>
      </c>
      <c r="H3712" t="s">
        <v>35</v>
      </c>
      <c r="I3712" s="3">
        <v>49</v>
      </c>
      <c r="J3712" s="2">
        <v>142</v>
      </c>
      <c r="K3712" s="3">
        <f t="shared" si="57"/>
        <v>6958</v>
      </c>
      <c r="L3712" s="3">
        <v>3200.68</v>
      </c>
    </row>
    <row r="3713" spans="1:12" x14ac:dyDescent="0.25">
      <c r="A3713" t="s">
        <v>11</v>
      </c>
      <c r="B3713">
        <v>1185732</v>
      </c>
      <c r="C3713" s="1">
        <v>44358</v>
      </c>
      <c r="D3713" t="s">
        <v>12</v>
      </c>
      <c r="E3713" t="s">
        <v>101</v>
      </c>
      <c r="F3713" t="s">
        <v>102</v>
      </c>
      <c r="G3713" t="s">
        <v>15</v>
      </c>
      <c r="H3713" t="s">
        <v>16</v>
      </c>
      <c r="I3713" s="3">
        <v>32</v>
      </c>
      <c r="J3713" s="2">
        <v>190</v>
      </c>
      <c r="K3713" s="3">
        <f t="shared" si="57"/>
        <v>6080</v>
      </c>
      <c r="L3713" s="3">
        <v>2796.7999999999997</v>
      </c>
    </row>
    <row r="3714" spans="1:12" x14ac:dyDescent="0.25">
      <c r="A3714" t="s">
        <v>11</v>
      </c>
      <c r="B3714">
        <v>1185732</v>
      </c>
      <c r="C3714" s="1">
        <v>44358</v>
      </c>
      <c r="D3714" t="s">
        <v>12</v>
      </c>
      <c r="E3714" t="s">
        <v>101</v>
      </c>
      <c r="F3714" t="s">
        <v>102</v>
      </c>
      <c r="G3714" t="s">
        <v>41</v>
      </c>
      <c r="H3714" t="s">
        <v>16</v>
      </c>
      <c r="I3714" s="3">
        <v>38</v>
      </c>
      <c r="J3714" s="2">
        <v>150</v>
      </c>
      <c r="K3714" s="3">
        <f t="shared" si="57"/>
        <v>5700</v>
      </c>
      <c r="L3714" s="3">
        <v>2280</v>
      </c>
    </row>
    <row r="3715" spans="1:12" x14ac:dyDescent="0.25">
      <c r="A3715" t="s">
        <v>36</v>
      </c>
      <c r="B3715">
        <v>1185732</v>
      </c>
      <c r="C3715" s="1">
        <v>44358</v>
      </c>
      <c r="D3715" t="s">
        <v>57</v>
      </c>
      <c r="E3715" t="s">
        <v>110</v>
      </c>
      <c r="F3715" t="s">
        <v>111</v>
      </c>
      <c r="G3715" t="s">
        <v>41</v>
      </c>
      <c r="H3715" t="s">
        <v>16</v>
      </c>
      <c r="I3715" s="3">
        <v>64</v>
      </c>
      <c r="J3715" s="2">
        <v>196</v>
      </c>
      <c r="K3715" s="3">
        <f t="shared" ref="K3715:K3778" si="58">I3715*J3715</f>
        <v>12544</v>
      </c>
      <c r="L3715" s="3">
        <v>4766.72</v>
      </c>
    </row>
    <row r="3716" spans="1:12" x14ac:dyDescent="0.25">
      <c r="A3716" t="s">
        <v>19</v>
      </c>
      <c r="B3716">
        <v>1185732</v>
      </c>
      <c r="C3716" s="1">
        <v>44358</v>
      </c>
      <c r="D3716" t="s">
        <v>57</v>
      </c>
      <c r="E3716" t="s">
        <v>95</v>
      </c>
      <c r="F3716" t="s">
        <v>96</v>
      </c>
      <c r="G3716" t="s">
        <v>41</v>
      </c>
      <c r="H3716" t="s">
        <v>16</v>
      </c>
      <c r="I3716" s="3">
        <v>43</v>
      </c>
      <c r="J3716" s="2">
        <v>77</v>
      </c>
      <c r="K3716" s="3">
        <f t="shared" si="58"/>
        <v>3311</v>
      </c>
      <c r="L3716" s="3">
        <v>1158.8499999999999</v>
      </c>
    </row>
    <row r="3717" spans="1:12" x14ac:dyDescent="0.25">
      <c r="A3717" t="s">
        <v>27</v>
      </c>
      <c r="B3717">
        <v>1185732</v>
      </c>
      <c r="C3717" s="1">
        <v>44359</v>
      </c>
      <c r="D3717" t="s">
        <v>12</v>
      </c>
      <c r="E3717" t="s">
        <v>62</v>
      </c>
      <c r="F3717" t="s">
        <v>63</v>
      </c>
      <c r="G3717" t="s">
        <v>18</v>
      </c>
      <c r="H3717" t="s">
        <v>16</v>
      </c>
      <c r="I3717" s="3">
        <v>55.000000000000007</v>
      </c>
      <c r="J3717" s="2">
        <v>650</v>
      </c>
      <c r="K3717" s="3">
        <f t="shared" si="58"/>
        <v>35750.000000000007</v>
      </c>
      <c r="L3717" s="3">
        <v>26812.500000000007</v>
      </c>
    </row>
    <row r="3718" spans="1:12" x14ac:dyDescent="0.25">
      <c r="A3718" t="s">
        <v>27</v>
      </c>
      <c r="B3718">
        <v>1185732</v>
      </c>
      <c r="C3718" s="1">
        <v>44359</v>
      </c>
      <c r="D3718" t="s">
        <v>12</v>
      </c>
      <c r="E3718" t="s">
        <v>62</v>
      </c>
      <c r="F3718" t="s">
        <v>63</v>
      </c>
      <c r="G3718" t="s">
        <v>18</v>
      </c>
      <c r="H3718" t="s">
        <v>17</v>
      </c>
      <c r="I3718" s="3">
        <v>45.000000000000007</v>
      </c>
      <c r="J3718" s="2">
        <v>600</v>
      </c>
      <c r="K3718" s="3">
        <f t="shared" si="58"/>
        <v>27000.000000000004</v>
      </c>
      <c r="L3718" s="3">
        <v>18900.000000000007</v>
      </c>
    </row>
    <row r="3719" spans="1:12" x14ac:dyDescent="0.25">
      <c r="A3719" t="s">
        <v>27</v>
      </c>
      <c r="B3719">
        <v>1185732</v>
      </c>
      <c r="C3719" s="1">
        <v>44359</v>
      </c>
      <c r="D3719" t="s">
        <v>12</v>
      </c>
      <c r="E3719" t="s">
        <v>62</v>
      </c>
      <c r="F3719" t="s">
        <v>63</v>
      </c>
      <c r="G3719" t="s">
        <v>18</v>
      </c>
      <c r="H3719" t="s">
        <v>22</v>
      </c>
      <c r="I3719" s="3">
        <v>50</v>
      </c>
      <c r="J3719" s="2">
        <v>500</v>
      </c>
      <c r="K3719" s="3">
        <f t="shared" si="58"/>
        <v>25000</v>
      </c>
      <c r="L3719" s="3">
        <v>17500</v>
      </c>
    </row>
    <row r="3720" spans="1:12" x14ac:dyDescent="0.25">
      <c r="A3720" t="s">
        <v>19</v>
      </c>
      <c r="B3720">
        <v>1185732</v>
      </c>
      <c r="C3720" s="1">
        <v>44359</v>
      </c>
      <c r="D3720" t="s">
        <v>57</v>
      </c>
      <c r="E3720" t="s">
        <v>74</v>
      </c>
      <c r="F3720" t="s">
        <v>75</v>
      </c>
      <c r="G3720" t="s">
        <v>41</v>
      </c>
      <c r="H3720" t="s">
        <v>17</v>
      </c>
      <c r="I3720" s="3">
        <v>40.000000000000007</v>
      </c>
      <c r="J3720" s="2">
        <v>250</v>
      </c>
      <c r="K3720" s="3">
        <f t="shared" si="58"/>
        <v>10000.000000000002</v>
      </c>
      <c r="L3720" s="3">
        <v>7000.0000000000018</v>
      </c>
    </row>
    <row r="3721" spans="1:12" x14ac:dyDescent="0.25">
      <c r="A3721" t="s">
        <v>19</v>
      </c>
      <c r="B3721">
        <v>1185732</v>
      </c>
      <c r="C3721" s="1">
        <v>44359</v>
      </c>
      <c r="D3721" t="s">
        <v>57</v>
      </c>
      <c r="E3721" t="s">
        <v>74</v>
      </c>
      <c r="F3721" t="s">
        <v>75</v>
      </c>
      <c r="G3721" t="s">
        <v>41</v>
      </c>
      <c r="H3721" t="s">
        <v>35</v>
      </c>
      <c r="I3721" s="3">
        <v>35</v>
      </c>
      <c r="J3721" s="2">
        <v>200</v>
      </c>
      <c r="K3721" s="3">
        <f t="shared" si="58"/>
        <v>7000</v>
      </c>
      <c r="L3721" s="3">
        <v>4900</v>
      </c>
    </row>
    <row r="3722" spans="1:12" x14ac:dyDescent="0.25">
      <c r="A3722" t="s">
        <v>19</v>
      </c>
      <c r="B3722">
        <v>1185732</v>
      </c>
      <c r="C3722" s="1">
        <v>44359</v>
      </c>
      <c r="D3722" t="s">
        <v>57</v>
      </c>
      <c r="E3722" t="s">
        <v>74</v>
      </c>
      <c r="F3722" t="s">
        <v>75</v>
      </c>
      <c r="G3722" t="s">
        <v>41</v>
      </c>
      <c r="H3722" t="s">
        <v>37</v>
      </c>
      <c r="I3722" s="3">
        <v>35</v>
      </c>
      <c r="J3722" s="2">
        <v>175</v>
      </c>
      <c r="K3722" s="3">
        <f t="shared" si="58"/>
        <v>6125</v>
      </c>
      <c r="L3722" s="3">
        <v>4287.5</v>
      </c>
    </row>
    <row r="3723" spans="1:12" x14ac:dyDescent="0.25">
      <c r="A3723" t="s">
        <v>19</v>
      </c>
      <c r="B3723">
        <v>1185732</v>
      </c>
      <c r="C3723" s="1">
        <v>44359</v>
      </c>
      <c r="D3723" t="s">
        <v>57</v>
      </c>
      <c r="E3723" t="s">
        <v>118</v>
      </c>
      <c r="F3723" t="s">
        <v>119</v>
      </c>
      <c r="G3723" t="s">
        <v>15</v>
      </c>
      <c r="H3723" t="s">
        <v>22</v>
      </c>
      <c r="I3723" s="3">
        <v>45</v>
      </c>
      <c r="J3723" s="2">
        <v>25</v>
      </c>
      <c r="K3723" s="3">
        <f t="shared" si="58"/>
        <v>1125</v>
      </c>
      <c r="L3723" s="3">
        <v>731.25</v>
      </c>
    </row>
    <row r="3724" spans="1:12" x14ac:dyDescent="0.25">
      <c r="A3724" t="s">
        <v>27</v>
      </c>
      <c r="B3724">
        <v>1185732</v>
      </c>
      <c r="C3724" s="1">
        <v>44359</v>
      </c>
      <c r="D3724" t="s">
        <v>12</v>
      </c>
      <c r="E3724" t="s">
        <v>62</v>
      </c>
      <c r="F3724" t="s">
        <v>63</v>
      </c>
      <c r="G3724" t="s">
        <v>18</v>
      </c>
      <c r="H3724" t="s">
        <v>35</v>
      </c>
      <c r="I3724" s="3">
        <v>40</v>
      </c>
      <c r="J3724" s="2">
        <v>525</v>
      </c>
      <c r="K3724" s="3">
        <f t="shared" si="58"/>
        <v>21000</v>
      </c>
      <c r="L3724" s="3">
        <v>13650</v>
      </c>
    </row>
    <row r="3725" spans="1:12" x14ac:dyDescent="0.25">
      <c r="A3725" t="s">
        <v>27</v>
      </c>
      <c r="B3725">
        <v>1185732</v>
      </c>
      <c r="C3725" s="1">
        <v>44359</v>
      </c>
      <c r="D3725" t="s">
        <v>12</v>
      </c>
      <c r="E3725" t="s">
        <v>62</v>
      </c>
      <c r="F3725" t="s">
        <v>63</v>
      </c>
      <c r="G3725" t="s">
        <v>18</v>
      </c>
      <c r="H3725" t="s">
        <v>37</v>
      </c>
      <c r="I3725" s="3">
        <v>40</v>
      </c>
      <c r="J3725" s="2">
        <v>500</v>
      </c>
      <c r="K3725" s="3">
        <f t="shared" si="58"/>
        <v>20000</v>
      </c>
      <c r="L3725" s="3">
        <v>13000</v>
      </c>
    </row>
    <row r="3726" spans="1:12" x14ac:dyDescent="0.25">
      <c r="A3726" t="s">
        <v>19</v>
      </c>
      <c r="B3726">
        <v>1185732</v>
      </c>
      <c r="C3726" s="1">
        <v>44359</v>
      </c>
      <c r="D3726" t="s">
        <v>57</v>
      </c>
      <c r="E3726" t="s">
        <v>74</v>
      </c>
      <c r="F3726" t="s">
        <v>75</v>
      </c>
      <c r="G3726" t="s">
        <v>41</v>
      </c>
      <c r="H3726" t="s">
        <v>38</v>
      </c>
      <c r="I3726" s="3">
        <v>45</v>
      </c>
      <c r="J3726" s="2">
        <v>500</v>
      </c>
      <c r="K3726" s="3">
        <f t="shared" si="58"/>
        <v>22500</v>
      </c>
      <c r="L3726" s="3">
        <v>14625</v>
      </c>
    </row>
    <row r="3727" spans="1:12" x14ac:dyDescent="0.25">
      <c r="A3727" t="s">
        <v>19</v>
      </c>
      <c r="B3727">
        <v>1185732</v>
      </c>
      <c r="C3727" s="1">
        <v>44359</v>
      </c>
      <c r="D3727" t="s">
        <v>57</v>
      </c>
      <c r="E3727" t="s">
        <v>74</v>
      </c>
      <c r="F3727" t="s">
        <v>75</v>
      </c>
      <c r="G3727" t="s">
        <v>41</v>
      </c>
      <c r="H3727" t="s">
        <v>22</v>
      </c>
      <c r="I3727" s="3">
        <v>45</v>
      </c>
      <c r="J3727" s="2">
        <v>175</v>
      </c>
      <c r="K3727" s="3">
        <f t="shared" si="58"/>
        <v>7875</v>
      </c>
      <c r="L3727" s="3">
        <v>5118.75</v>
      </c>
    </row>
    <row r="3728" spans="1:12" x14ac:dyDescent="0.25">
      <c r="A3728" t="s">
        <v>36</v>
      </c>
      <c r="B3728">
        <v>1185732</v>
      </c>
      <c r="C3728" s="1">
        <v>44359</v>
      </c>
      <c r="D3728" t="s">
        <v>29</v>
      </c>
      <c r="E3728" t="s">
        <v>80</v>
      </c>
      <c r="F3728" t="s">
        <v>81</v>
      </c>
      <c r="G3728" t="s">
        <v>18</v>
      </c>
      <c r="H3728" t="s">
        <v>35</v>
      </c>
      <c r="I3728" s="3">
        <v>50</v>
      </c>
      <c r="J3728" s="2">
        <v>325</v>
      </c>
      <c r="K3728" s="3">
        <f t="shared" si="58"/>
        <v>16250</v>
      </c>
      <c r="L3728" s="3">
        <v>10562.5</v>
      </c>
    </row>
    <row r="3729" spans="1:12" x14ac:dyDescent="0.25">
      <c r="A3729" t="s">
        <v>36</v>
      </c>
      <c r="B3729">
        <v>1185732</v>
      </c>
      <c r="C3729" s="1">
        <v>44359</v>
      </c>
      <c r="D3729" t="s">
        <v>29</v>
      </c>
      <c r="E3729" t="s">
        <v>80</v>
      </c>
      <c r="F3729" t="s">
        <v>81</v>
      </c>
      <c r="G3729" t="s">
        <v>18</v>
      </c>
      <c r="H3729" t="s">
        <v>37</v>
      </c>
      <c r="I3729" s="3">
        <v>50</v>
      </c>
      <c r="J3729" s="2">
        <v>300</v>
      </c>
      <c r="K3729" s="3">
        <f t="shared" si="58"/>
        <v>15000</v>
      </c>
      <c r="L3729" s="3">
        <v>9750</v>
      </c>
    </row>
    <row r="3730" spans="1:12" x14ac:dyDescent="0.25">
      <c r="A3730" t="s">
        <v>36</v>
      </c>
      <c r="B3730">
        <v>1185732</v>
      </c>
      <c r="C3730" s="1">
        <v>44359</v>
      </c>
      <c r="D3730" t="s">
        <v>29</v>
      </c>
      <c r="E3730" t="s">
        <v>80</v>
      </c>
      <c r="F3730" t="s">
        <v>81</v>
      </c>
      <c r="G3730" t="s">
        <v>18</v>
      </c>
      <c r="H3730" t="s">
        <v>22</v>
      </c>
      <c r="I3730" s="3">
        <v>60</v>
      </c>
      <c r="J3730" s="2">
        <v>300</v>
      </c>
      <c r="K3730" s="3">
        <f t="shared" si="58"/>
        <v>18000</v>
      </c>
      <c r="L3730" s="3">
        <v>11700</v>
      </c>
    </row>
    <row r="3731" spans="1:12" x14ac:dyDescent="0.25">
      <c r="A3731" t="s">
        <v>19</v>
      </c>
      <c r="B3731">
        <v>1185732</v>
      </c>
      <c r="C3731" s="1">
        <v>44359</v>
      </c>
      <c r="D3731" t="s">
        <v>57</v>
      </c>
      <c r="E3731" t="s">
        <v>95</v>
      </c>
      <c r="F3731" t="s">
        <v>96</v>
      </c>
      <c r="G3731" t="s">
        <v>15</v>
      </c>
      <c r="H3731" t="s">
        <v>38</v>
      </c>
      <c r="I3731" s="3">
        <v>50</v>
      </c>
      <c r="J3731" s="2">
        <v>495</v>
      </c>
      <c r="K3731" s="3">
        <f t="shared" si="58"/>
        <v>24750</v>
      </c>
      <c r="L3731" s="3">
        <v>14850</v>
      </c>
    </row>
    <row r="3732" spans="1:12" x14ac:dyDescent="0.25">
      <c r="A3732" t="s">
        <v>19</v>
      </c>
      <c r="B3732">
        <v>1185732</v>
      </c>
      <c r="C3732" s="1">
        <v>44359</v>
      </c>
      <c r="D3732" t="s">
        <v>57</v>
      </c>
      <c r="E3732" t="s">
        <v>74</v>
      </c>
      <c r="F3732" t="s">
        <v>75</v>
      </c>
      <c r="G3732" t="s">
        <v>41</v>
      </c>
      <c r="H3732" t="s">
        <v>16</v>
      </c>
      <c r="I3732" s="3">
        <v>55.000000000000007</v>
      </c>
      <c r="J3732" s="2">
        <v>325</v>
      </c>
      <c r="K3732" s="3">
        <f t="shared" si="58"/>
        <v>17875.000000000004</v>
      </c>
      <c r="L3732" s="3">
        <v>10725.000000000002</v>
      </c>
    </row>
    <row r="3733" spans="1:12" x14ac:dyDescent="0.25">
      <c r="A3733" t="s">
        <v>36</v>
      </c>
      <c r="B3733">
        <v>1185732</v>
      </c>
      <c r="C3733" s="1">
        <v>44359</v>
      </c>
      <c r="D3733" t="s">
        <v>29</v>
      </c>
      <c r="E3733" t="s">
        <v>80</v>
      </c>
      <c r="F3733" t="s">
        <v>81</v>
      </c>
      <c r="G3733" t="s">
        <v>18</v>
      </c>
      <c r="H3733" t="s">
        <v>16</v>
      </c>
      <c r="I3733" s="3">
        <v>65</v>
      </c>
      <c r="J3733" s="2">
        <v>450</v>
      </c>
      <c r="K3733" s="3">
        <f t="shared" si="58"/>
        <v>29250</v>
      </c>
      <c r="L3733" s="3">
        <v>17550</v>
      </c>
    </row>
    <row r="3734" spans="1:12" x14ac:dyDescent="0.25">
      <c r="A3734" t="s">
        <v>36</v>
      </c>
      <c r="B3734">
        <v>1185732</v>
      </c>
      <c r="C3734" s="1">
        <v>44359</v>
      </c>
      <c r="D3734" t="s">
        <v>29</v>
      </c>
      <c r="E3734" t="s">
        <v>80</v>
      </c>
      <c r="F3734" t="s">
        <v>81</v>
      </c>
      <c r="G3734" t="s">
        <v>18</v>
      </c>
      <c r="H3734" t="s">
        <v>38</v>
      </c>
      <c r="I3734" s="3">
        <v>60</v>
      </c>
      <c r="J3734" s="2">
        <v>650</v>
      </c>
      <c r="K3734" s="3">
        <f t="shared" si="58"/>
        <v>39000</v>
      </c>
      <c r="L3734" s="3">
        <v>21450</v>
      </c>
    </row>
    <row r="3735" spans="1:12" x14ac:dyDescent="0.25">
      <c r="A3735" t="s">
        <v>36</v>
      </c>
      <c r="B3735">
        <v>1185732</v>
      </c>
      <c r="C3735" s="1">
        <v>44359</v>
      </c>
      <c r="D3735" t="s">
        <v>29</v>
      </c>
      <c r="E3735" t="s">
        <v>80</v>
      </c>
      <c r="F3735" t="s">
        <v>81</v>
      </c>
      <c r="G3735" t="s">
        <v>18</v>
      </c>
      <c r="H3735" t="s">
        <v>17</v>
      </c>
      <c r="I3735" s="3">
        <v>55.000000000000007</v>
      </c>
      <c r="J3735" s="2">
        <v>400</v>
      </c>
      <c r="K3735" s="3">
        <f t="shared" si="58"/>
        <v>22000.000000000004</v>
      </c>
      <c r="L3735" s="3">
        <v>12100.000000000002</v>
      </c>
    </row>
    <row r="3736" spans="1:12" x14ac:dyDescent="0.25">
      <c r="A3736" t="s">
        <v>27</v>
      </c>
      <c r="B3736">
        <v>1185732</v>
      </c>
      <c r="C3736" s="1">
        <v>44359</v>
      </c>
      <c r="D3736" t="s">
        <v>12</v>
      </c>
      <c r="E3736" t="s">
        <v>62</v>
      </c>
      <c r="F3736" t="s">
        <v>63</v>
      </c>
      <c r="G3736" t="s">
        <v>18</v>
      </c>
      <c r="H3736" t="s">
        <v>38</v>
      </c>
      <c r="I3736" s="3">
        <v>50</v>
      </c>
      <c r="J3736" s="2">
        <v>850</v>
      </c>
      <c r="K3736" s="3">
        <f t="shared" si="58"/>
        <v>42500</v>
      </c>
      <c r="L3736" s="3">
        <v>21250</v>
      </c>
    </row>
    <row r="3737" spans="1:12" x14ac:dyDescent="0.25">
      <c r="A3737" t="s">
        <v>27</v>
      </c>
      <c r="B3737">
        <v>1185732</v>
      </c>
      <c r="C3737" s="1">
        <v>44359</v>
      </c>
      <c r="D3737" t="s">
        <v>12</v>
      </c>
      <c r="E3737" t="s">
        <v>62</v>
      </c>
      <c r="F3737" t="s">
        <v>63</v>
      </c>
      <c r="G3737" t="s">
        <v>41</v>
      </c>
      <c r="H3737" t="s">
        <v>16</v>
      </c>
      <c r="I3737" s="3">
        <v>50</v>
      </c>
      <c r="J3737" s="2">
        <v>163</v>
      </c>
      <c r="K3737" s="3">
        <f t="shared" si="58"/>
        <v>8150</v>
      </c>
      <c r="L3737" s="3">
        <v>5134.5</v>
      </c>
    </row>
    <row r="3738" spans="1:12" x14ac:dyDescent="0.25">
      <c r="A3738" t="s">
        <v>36</v>
      </c>
      <c r="B3738">
        <v>1185732</v>
      </c>
      <c r="C3738" s="1">
        <v>44359</v>
      </c>
      <c r="D3738" t="s">
        <v>29</v>
      </c>
      <c r="E3738" t="s">
        <v>80</v>
      </c>
      <c r="F3738" t="s">
        <v>81</v>
      </c>
      <c r="G3738" t="s">
        <v>15</v>
      </c>
      <c r="H3738" t="s">
        <v>35</v>
      </c>
      <c r="I3738" s="3">
        <v>35</v>
      </c>
      <c r="J3738" s="2">
        <v>104</v>
      </c>
      <c r="K3738" s="3">
        <f t="shared" si="58"/>
        <v>3640</v>
      </c>
      <c r="L3738" s="3">
        <v>2220.4</v>
      </c>
    </row>
    <row r="3739" spans="1:12" x14ac:dyDescent="0.25">
      <c r="A3739" t="s">
        <v>36</v>
      </c>
      <c r="B3739">
        <v>1185732</v>
      </c>
      <c r="C3739" s="1">
        <v>44359</v>
      </c>
      <c r="D3739" t="s">
        <v>29</v>
      </c>
      <c r="E3739" t="s">
        <v>80</v>
      </c>
      <c r="F3739" t="s">
        <v>81</v>
      </c>
      <c r="G3739" t="s">
        <v>15</v>
      </c>
      <c r="H3739" t="s">
        <v>37</v>
      </c>
      <c r="I3739" s="3">
        <v>38</v>
      </c>
      <c r="J3739" s="2">
        <v>102</v>
      </c>
      <c r="K3739" s="3">
        <f t="shared" si="58"/>
        <v>3876</v>
      </c>
      <c r="L3739" s="3">
        <v>2325.6000000000004</v>
      </c>
    </row>
    <row r="3740" spans="1:12" x14ac:dyDescent="0.25">
      <c r="A3740" t="s">
        <v>19</v>
      </c>
      <c r="B3740">
        <v>1185732</v>
      </c>
      <c r="C3740" s="1">
        <v>44359</v>
      </c>
      <c r="D3740" t="s">
        <v>57</v>
      </c>
      <c r="E3740" t="s">
        <v>74</v>
      </c>
      <c r="F3740" t="s">
        <v>75</v>
      </c>
      <c r="G3740" t="s">
        <v>41</v>
      </c>
      <c r="H3740" t="s">
        <v>17</v>
      </c>
      <c r="I3740" s="3">
        <v>39</v>
      </c>
      <c r="J3740" s="2">
        <v>70</v>
      </c>
      <c r="K3740" s="3">
        <f t="shared" si="58"/>
        <v>2730</v>
      </c>
      <c r="L3740" s="3">
        <v>1638</v>
      </c>
    </row>
    <row r="3741" spans="1:12" x14ac:dyDescent="0.25">
      <c r="A3741" t="s">
        <v>36</v>
      </c>
      <c r="B3741">
        <v>1185732</v>
      </c>
      <c r="C3741" s="1">
        <v>44359</v>
      </c>
      <c r="D3741" t="s">
        <v>29</v>
      </c>
      <c r="E3741" t="s">
        <v>80</v>
      </c>
      <c r="F3741" t="s">
        <v>81</v>
      </c>
      <c r="G3741" t="s">
        <v>15</v>
      </c>
      <c r="H3741" t="s">
        <v>22</v>
      </c>
      <c r="I3741" s="3">
        <v>44</v>
      </c>
      <c r="J3741" s="2">
        <v>105</v>
      </c>
      <c r="K3741" s="3">
        <f t="shared" si="58"/>
        <v>4620</v>
      </c>
      <c r="L3741" s="3">
        <v>2725.8</v>
      </c>
    </row>
    <row r="3742" spans="1:12" x14ac:dyDescent="0.25">
      <c r="A3742" t="s">
        <v>27</v>
      </c>
      <c r="B3742">
        <v>1185732</v>
      </c>
      <c r="C3742" s="1">
        <v>44359</v>
      </c>
      <c r="D3742" t="s">
        <v>12</v>
      </c>
      <c r="E3742" t="s">
        <v>62</v>
      </c>
      <c r="F3742" t="s">
        <v>63</v>
      </c>
      <c r="G3742" t="s">
        <v>41</v>
      </c>
      <c r="H3742" t="s">
        <v>17</v>
      </c>
      <c r="I3742" s="3">
        <v>42</v>
      </c>
      <c r="J3742" s="2">
        <v>168</v>
      </c>
      <c r="K3742" s="3">
        <f t="shared" si="58"/>
        <v>7056</v>
      </c>
      <c r="L3742" s="3">
        <v>4163.04</v>
      </c>
    </row>
    <row r="3743" spans="1:12" x14ac:dyDescent="0.25">
      <c r="A3743" t="s">
        <v>19</v>
      </c>
      <c r="B3743">
        <v>1185732</v>
      </c>
      <c r="C3743" s="1">
        <v>44359</v>
      </c>
      <c r="D3743" t="s">
        <v>57</v>
      </c>
      <c r="E3743" t="s">
        <v>74</v>
      </c>
      <c r="F3743" t="s">
        <v>75</v>
      </c>
      <c r="G3743" t="s">
        <v>41</v>
      </c>
      <c r="H3743" t="s">
        <v>35</v>
      </c>
      <c r="I3743" s="3">
        <v>32</v>
      </c>
      <c r="J3743" s="2">
        <v>54</v>
      </c>
      <c r="K3743" s="3">
        <f t="shared" si="58"/>
        <v>1728</v>
      </c>
      <c r="L3743" s="3">
        <v>984.96</v>
      </c>
    </row>
    <row r="3744" spans="1:12" x14ac:dyDescent="0.25">
      <c r="A3744" t="s">
        <v>27</v>
      </c>
      <c r="B3744">
        <v>1185732</v>
      </c>
      <c r="C3744" s="1">
        <v>44359</v>
      </c>
      <c r="D3744" t="s">
        <v>12</v>
      </c>
      <c r="E3744" t="s">
        <v>62</v>
      </c>
      <c r="F3744" t="s">
        <v>63</v>
      </c>
      <c r="G3744" t="s">
        <v>41</v>
      </c>
      <c r="H3744" t="s">
        <v>22</v>
      </c>
      <c r="I3744" s="3">
        <v>49</v>
      </c>
      <c r="J3744" s="2">
        <v>135</v>
      </c>
      <c r="K3744" s="3">
        <f t="shared" si="58"/>
        <v>6615</v>
      </c>
      <c r="L3744" s="3">
        <v>3704.4</v>
      </c>
    </row>
    <row r="3745" spans="1:12" x14ac:dyDescent="0.25">
      <c r="A3745" t="s">
        <v>19</v>
      </c>
      <c r="B3745">
        <v>1185732</v>
      </c>
      <c r="C3745" s="1">
        <v>44359</v>
      </c>
      <c r="D3745" t="s">
        <v>57</v>
      </c>
      <c r="E3745" t="s">
        <v>74</v>
      </c>
      <c r="F3745" t="s">
        <v>75</v>
      </c>
      <c r="G3745" t="s">
        <v>41</v>
      </c>
      <c r="H3745" t="s">
        <v>22</v>
      </c>
      <c r="I3745" s="3">
        <v>41</v>
      </c>
      <c r="J3745" s="2">
        <v>51</v>
      </c>
      <c r="K3745" s="3">
        <f t="shared" si="58"/>
        <v>2091</v>
      </c>
      <c r="L3745" s="3">
        <v>1150.0500000000002</v>
      </c>
    </row>
    <row r="3746" spans="1:12" x14ac:dyDescent="0.25">
      <c r="A3746" t="s">
        <v>27</v>
      </c>
      <c r="B3746">
        <v>1185732</v>
      </c>
      <c r="C3746" s="1">
        <v>44359</v>
      </c>
      <c r="D3746" t="s">
        <v>12</v>
      </c>
      <c r="E3746" t="s">
        <v>62</v>
      </c>
      <c r="F3746" t="s">
        <v>63</v>
      </c>
      <c r="G3746" t="s">
        <v>41</v>
      </c>
      <c r="H3746" t="s">
        <v>35</v>
      </c>
      <c r="I3746" s="3">
        <v>38</v>
      </c>
      <c r="J3746" s="2">
        <v>131</v>
      </c>
      <c r="K3746" s="3">
        <f t="shared" si="58"/>
        <v>4978</v>
      </c>
      <c r="L3746" s="3">
        <v>2737.9</v>
      </c>
    </row>
    <row r="3747" spans="1:12" x14ac:dyDescent="0.25">
      <c r="A3747" t="s">
        <v>19</v>
      </c>
      <c r="B3747">
        <v>1185732</v>
      </c>
      <c r="C3747" s="1">
        <v>44359</v>
      </c>
      <c r="D3747" t="s">
        <v>57</v>
      </c>
      <c r="E3747" t="s">
        <v>74</v>
      </c>
      <c r="F3747" t="s">
        <v>75</v>
      </c>
      <c r="G3747" t="s">
        <v>41</v>
      </c>
      <c r="H3747" t="s">
        <v>37</v>
      </c>
      <c r="I3747" s="3">
        <v>32</v>
      </c>
      <c r="J3747" s="2">
        <v>49</v>
      </c>
      <c r="K3747" s="3">
        <f t="shared" si="58"/>
        <v>1568</v>
      </c>
      <c r="L3747" s="3">
        <v>862.40000000000009</v>
      </c>
    </row>
    <row r="3748" spans="1:12" x14ac:dyDescent="0.25">
      <c r="A3748" t="s">
        <v>36</v>
      </c>
      <c r="B3748">
        <v>1185732</v>
      </c>
      <c r="C3748" s="1">
        <v>44359</v>
      </c>
      <c r="D3748" t="s">
        <v>29</v>
      </c>
      <c r="E3748" t="s">
        <v>80</v>
      </c>
      <c r="F3748" t="s">
        <v>81</v>
      </c>
      <c r="G3748" t="s">
        <v>15</v>
      </c>
      <c r="H3748" t="s">
        <v>16</v>
      </c>
      <c r="I3748" s="3">
        <v>49</v>
      </c>
      <c r="J3748" s="2">
        <v>158</v>
      </c>
      <c r="K3748" s="3">
        <f t="shared" si="58"/>
        <v>7742</v>
      </c>
      <c r="L3748" s="3">
        <v>4258.1000000000004</v>
      </c>
    </row>
    <row r="3749" spans="1:12" x14ac:dyDescent="0.25">
      <c r="A3749" t="s">
        <v>36</v>
      </c>
      <c r="B3749">
        <v>1185732</v>
      </c>
      <c r="C3749" s="1">
        <v>44359</v>
      </c>
      <c r="D3749" t="s">
        <v>29</v>
      </c>
      <c r="E3749" t="s">
        <v>80</v>
      </c>
      <c r="F3749" t="s">
        <v>81</v>
      </c>
      <c r="G3749" t="s">
        <v>41</v>
      </c>
      <c r="H3749" t="s">
        <v>37</v>
      </c>
      <c r="I3749" s="3">
        <v>47</v>
      </c>
      <c r="J3749" s="2">
        <v>90</v>
      </c>
      <c r="K3749" s="3">
        <f t="shared" si="58"/>
        <v>4230</v>
      </c>
      <c r="L3749" s="3">
        <v>2326.5</v>
      </c>
    </row>
    <row r="3750" spans="1:12" x14ac:dyDescent="0.25">
      <c r="A3750" t="s">
        <v>19</v>
      </c>
      <c r="B3750">
        <v>1185732</v>
      </c>
      <c r="C3750" s="1">
        <v>44359</v>
      </c>
      <c r="D3750" t="s">
        <v>57</v>
      </c>
      <c r="E3750" t="s">
        <v>74</v>
      </c>
      <c r="F3750" t="s">
        <v>75</v>
      </c>
      <c r="G3750" t="s">
        <v>41</v>
      </c>
      <c r="H3750" t="s">
        <v>38</v>
      </c>
      <c r="I3750" s="3">
        <v>41</v>
      </c>
      <c r="J3750" s="2">
        <v>135</v>
      </c>
      <c r="K3750" s="3">
        <f t="shared" si="58"/>
        <v>5535</v>
      </c>
      <c r="L3750" s="3">
        <v>2988.9</v>
      </c>
    </row>
    <row r="3751" spans="1:12" x14ac:dyDescent="0.25">
      <c r="A3751" t="s">
        <v>27</v>
      </c>
      <c r="B3751">
        <v>1185732</v>
      </c>
      <c r="C3751" s="1">
        <v>44359</v>
      </c>
      <c r="D3751" t="s">
        <v>12</v>
      </c>
      <c r="E3751" t="s">
        <v>62</v>
      </c>
      <c r="F3751" t="s">
        <v>63</v>
      </c>
      <c r="G3751" t="s">
        <v>41</v>
      </c>
      <c r="H3751" t="s">
        <v>37</v>
      </c>
      <c r="I3751" s="3">
        <v>38</v>
      </c>
      <c r="J3751" s="2">
        <v>140</v>
      </c>
      <c r="K3751" s="3">
        <f t="shared" si="58"/>
        <v>5320</v>
      </c>
      <c r="L3751" s="3">
        <v>2819.6000000000004</v>
      </c>
    </row>
    <row r="3752" spans="1:12" x14ac:dyDescent="0.25">
      <c r="A3752" t="s">
        <v>36</v>
      </c>
      <c r="B3752">
        <v>1185732</v>
      </c>
      <c r="C3752" s="1">
        <v>44359</v>
      </c>
      <c r="D3752" t="s">
        <v>29</v>
      </c>
      <c r="E3752" t="s">
        <v>80</v>
      </c>
      <c r="F3752" t="s">
        <v>81</v>
      </c>
      <c r="G3752" t="s">
        <v>41</v>
      </c>
      <c r="H3752" t="s">
        <v>35</v>
      </c>
      <c r="I3752" s="3">
        <v>45</v>
      </c>
      <c r="J3752" s="2">
        <v>81</v>
      </c>
      <c r="K3752" s="3">
        <f t="shared" si="58"/>
        <v>3645</v>
      </c>
      <c r="L3752" s="3">
        <v>1931.8500000000001</v>
      </c>
    </row>
    <row r="3753" spans="1:12" x14ac:dyDescent="0.25">
      <c r="A3753" t="s">
        <v>19</v>
      </c>
      <c r="B3753">
        <v>1185732</v>
      </c>
      <c r="C3753" s="1">
        <v>44359</v>
      </c>
      <c r="D3753" t="s">
        <v>57</v>
      </c>
      <c r="E3753" t="s">
        <v>118</v>
      </c>
      <c r="F3753" t="s">
        <v>119</v>
      </c>
      <c r="G3753" t="s">
        <v>41</v>
      </c>
      <c r="H3753" t="s">
        <v>22</v>
      </c>
      <c r="I3753" s="3">
        <v>42</v>
      </c>
      <c r="J3753" s="2">
        <v>6</v>
      </c>
      <c r="K3753" s="3">
        <f t="shared" si="58"/>
        <v>252</v>
      </c>
      <c r="L3753" s="3">
        <v>131.04000000000002</v>
      </c>
    </row>
    <row r="3754" spans="1:12" x14ac:dyDescent="0.25">
      <c r="A3754" t="s">
        <v>36</v>
      </c>
      <c r="B3754">
        <v>1185732</v>
      </c>
      <c r="C3754" s="1">
        <v>44359</v>
      </c>
      <c r="D3754" t="s">
        <v>29</v>
      </c>
      <c r="E3754" t="s">
        <v>80</v>
      </c>
      <c r="F3754" t="s">
        <v>81</v>
      </c>
      <c r="G3754" t="s">
        <v>15</v>
      </c>
      <c r="H3754" t="s">
        <v>38</v>
      </c>
      <c r="I3754" s="3">
        <v>47</v>
      </c>
      <c r="J3754" s="2">
        <v>195</v>
      </c>
      <c r="K3754" s="3">
        <f t="shared" si="58"/>
        <v>9165</v>
      </c>
      <c r="L3754" s="3">
        <v>4674.1499999999996</v>
      </c>
    </row>
    <row r="3755" spans="1:12" x14ac:dyDescent="0.25">
      <c r="A3755" t="s">
        <v>36</v>
      </c>
      <c r="B3755">
        <v>1185732</v>
      </c>
      <c r="C3755" s="1">
        <v>44359</v>
      </c>
      <c r="D3755" t="s">
        <v>29</v>
      </c>
      <c r="E3755" t="s">
        <v>80</v>
      </c>
      <c r="F3755" t="s">
        <v>81</v>
      </c>
      <c r="G3755" t="s">
        <v>41</v>
      </c>
      <c r="H3755" t="s">
        <v>22</v>
      </c>
      <c r="I3755" s="3">
        <v>58</v>
      </c>
      <c r="J3755" s="2">
        <v>81</v>
      </c>
      <c r="K3755" s="3">
        <f t="shared" si="58"/>
        <v>4698</v>
      </c>
      <c r="L3755" s="3">
        <v>2349</v>
      </c>
    </row>
    <row r="3756" spans="1:12" x14ac:dyDescent="0.25">
      <c r="A3756" t="s">
        <v>36</v>
      </c>
      <c r="B3756">
        <v>1185732</v>
      </c>
      <c r="C3756" s="1">
        <v>44359</v>
      </c>
      <c r="D3756" t="s">
        <v>29</v>
      </c>
      <c r="E3756" t="s">
        <v>80</v>
      </c>
      <c r="F3756" t="s">
        <v>81</v>
      </c>
      <c r="G3756" t="s">
        <v>15</v>
      </c>
      <c r="H3756" t="s">
        <v>17</v>
      </c>
      <c r="I3756" s="3">
        <v>44</v>
      </c>
      <c r="J3756" s="2">
        <v>120</v>
      </c>
      <c r="K3756" s="3">
        <f t="shared" si="58"/>
        <v>5280</v>
      </c>
      <c r="L3756" s="3">
        <v>2640</v>
      </c>
    </row>
    <row r="3757" spans="1:12" x14ac:dyDescent="0.25">
      <c r="A3757" t="s">
        <v>36</v>
      </c>
      <c r="B3757">
        <v>1185732</v>
      </c>
      <c r="C3757" s="1">
        <v>44359</v>
      </c>
      <c r="D3757" t="s">
        <v>29</v>
      </c>
      <c r="E3757" t="s">
        <v>80</v>
      </c>
      <c r="F3757" t="s">
        <v>81</v>
      </c>
      <c r="G3757" t="s">
        <v>41</v>
      </c>
      <c r="H3757" t="s">
        <v>16</v>
      </c>
      <c r="I3757" s="3">
        <v>62</v>
      </c>
      <c r="J3757" s="2">
        <v>117</v>
      </c>
      <c r="K3757" s="3">
        <f t="shared" si="58"/>
        <v>7254</v>
      </c>
      <c r="L3757" s="3">
        <v>3481.92</v>
      </c>
    </row>
    <row r="3758" spans="1:12" x14ac:dyDescent="0.25">
      <c r="A3758" t="s">
        <v>19</v>
      </c>
      <c r="B3758">
        <v>1185732</v>
      </c>
      <c r="C3758" s="1">
        <v>44359</v>
      </c>
      <c r="D3758" t="s">
        <v>57</v>
      </c>
      <c r="E3758" t="s">
        <v>74</v>
      </c>
      <c r="F3758" t="s">
        <v>75</v>
      </c>
      <c r="G3758" t="s">
        <v>41</v>
      </c>
      <c r="H3758" t="s">
        <v>16</v>
      </c>
      <c r="I3758" s="3">
        <v>50</v>
      </c>
      <c r="J3758" s="2">
        <v>94</v>
      </c>
      <c r="K3758" s="3">
        <f t="shared" si="58"/>
        <v>4700</v>
      </c>
      <c r="L3758" s="3">
        <v>2209</v>
      </c>
    </row>
    <row r="3759" spans="1:12" x14ac:dyDescent="0.25">
      <c r="A3759" t="s">
        <v>19</v>
      </c>
      <c r="B3759">
        <v>1185732</v>
      </c>
      <c r="C3759" s="1">
        <v>44359</v>
      </c>
      <c r="D3759" t="s">
        <v>57</v>
      </c>
      <c r="E3759" t="s">
        <v>95</v>
      </c>
      <c r="F3759" t="s">
        <v>96</v>
      </c>
      <c r="G3759" t="s">
        <v>41</v>
      </c>
      <c r="H3759" t="s">
        <v>38</v>
      </c>
      <c r="I3759" s="3">
        <v>47</v>
      </c>
      <c r="J3759" s="2">
        <v>144</v>
      </c>
      <c r="K3759" s="3">
        <f t="shared" si="58"/>
        <v>6768</v>
      </c>
      <c r="L3759" s="3">
        <v>3045.6</v>
      </c>
    </row>
    <row r="3760" spans="1:12" x14ac:dyDescent="0.25">
      <c r="A3760" t="s">
        <v>36</v>
      </c>
      <c r="B3760">
        <v>1185732</v>
      </c>
      <c r="C3760" s="1">
        <v>44359</v>
      </c>
      <c r="D3760" t="s">
        <v>29</v>
      </c>
      <c r="E3760" t="s">
        <v>80</v>
      </c>
      <c r="F3760" t="s">
        <v>81</v>
      </c>
      <c r="G3760" t="s">
        <v>41</v>
      </c>
      <c r="H3760" t="s">
        <v>38</v>
      </c>
      <c r="I3760" s="3">
        <v>58</v>
      </c>
      <c r="J3760" s="2">
        <v>163</v>
      </c>
      <c r="K3760" s="3">
        <f t="shared" si="58"/>
        <v>9454</v>
      </c>
      <c r="L3760" s="3">
        <v>3970.6799999999994</v>
      </c>
    </row>
    <row r="3761" spans="1:12" x14ac:dyDescent="0.25">
      <c r="A3761" t="s">
        <v>36</v>
      </c>
      <c r="B3761">
        <v>1185732</v>
      </c>
      <c r="C3761" s="1">
        <v>44359</v>
      </c>
      <c r="D3761" t="s">
        <v>29</v>
      </c>
      <c r="E3761" t="s">
        <v>80</v>
      </c>
      <c r="F3761" t="s">
        <v>81</v>
      </c>
      <c r="G3761" t="s">
        <v>41</v>
      </c>
      <c r="H3761" t="s">
        <v>17</v>
      </c>
      <c r="I3761" s="3">
        <v>53</v>
      </c>
      <c r="J3761" s="2">
        <v>116</v>
      </c>
      <c r="K3761" s="3">
        <f t="shared" si="58"/>
        <v>6148</v>
      </c>
      <c r="L3761" s="3">
        <v>2520.6799999999994</v>
      </c>
    </row>
    <row r="3762" spans="1:12" x14ac:dyDescent="0.25">
      <c r="A3762" t="s">
        <v>27</v>
      </c>
      <c r="B3762">
        <v>1185732</v>
      </c>
      <c r="C3762" s="1">
        <v>44359</v>
      </c>
      <c r="D3762" t="s">
        <v>12</v>
      </c>
      <c r="E3762" t="s">
        <v>62</v>
      </c>
      <c r="F3762" t="s">
        <v>63</v>
      </c>
      <c r="G3762" t="s">
        <v>41</v>
      </c>
      <c r="H3762" t="s">
        <v>38</v>
      </c>
      <c r="I3762" s="3">
        <v>46</v>
      </c>
      <c r="J3762" s="2">
        <v>247</v>
      </c>
      <c r="K3762" s="3">
        <f t="shared" si="58"/>
        <v>11362</v>
      </c>
      <c r="L3762" s="3">
        <v>4203.9399999999996</v>
      </c>
    </row>
    <row r="3763" spans="1:12" x14ac:dyDescent="0.25">
      <c r="A3763" t="s">
        <v>26</v>
      </c>
      <c r="B3763">
        <v>1128299</v>
      </c>
      <c r="C3763" s="1">
        <v>44360</v>
      </c>
      <c r="D3763" t="s">
        <v>32</v>
      </c>
      <c r="E3763" t="s">
        <v>44</v>
      </c>
      <c r="F3763" t="s">
        <v>45</v>
      </c>
      <c r="G3763" t="s">
        <v>41</v>
      </c>
      <c r="H3763" t="s">
        <v>16</v>
      </c>
      <c r="I3763" s="3">
        <v>70</v>
      </c>
      <c r="J3763" s="2">
        <v>575</v>
      </c>
      <c r="K3763" s="3">
        <f t="shared" si="58"/>
        <v>40250</v>
      </c>
      <c r="L3763" s="3">
        <v>30187.5</v>
      </c>
    </row>
    <row r="3764" spans="1:12" x14ac:dyDescent="0.25">
      <c r="A3764" t="s">
        <v>26</v>
      </c>
      <c r="B3764">
        <v>1128299</v>
      </c>
      <c r="C3764" s="1">
        <v>44360</v>
      </c>
      <c r="D3764" t="s">
        <v>32</v>
      </c>
      <c r="E3764" t="s">
        <v>44</v>
      </c>
      <c r="F3764" t="s">
        <v>45</v>
      </c>
      <c r="G3764" t="s">
        <v>41</v>
      </c>
      <c r="H3764" t="s">
        <v>35</v>
      </c>
      <c r="I3764" s="3">
        <v>55.000000000000007</v>
      </c>
      <c r="J3764" s="2">
        <v>525</v>
      </c>
      <c r="K3764" s="3">
        <f t="shared" si="58"/>
        <v>28875.000000000004</v>
      </c>
      <c r="L3764" s="3">
        <v>18768.750000000007</v>
      </c>
    </row>
    <row r="3765" spans="1:12" x14ac:dyDescent="0.25">
      <c r="A3765" t="s">
        <v>26</v>
      </c>
      <c r="B3765">
        <v>1128299</v>
      </c>
      <c r="C3765" s="1">
        <v>44360</v>
      </c>
      <c r="D3765" t="s">
        <v>32</v>
      </c>
      <c r="E3765" t="s">
        <v>44</v>
      </c>
      <c r="F3765" t="s">
        <v>45</v>
      </c>
      <c r="G3765" t="s">
        <v>41</v>
      </c>
      <c r="H3765" t="s">
        <v>22</v>
      </c>
      <c r="I3765" s="3">
        <v>55.000000000000007</v>
      </c>
      <c r="J3765" s="2">
        <v>275</v>
      </c>
      <c r="K3765" s="3">
        <f t="shared" si="58"/>
        <v>15125.000000000002</v>
      </c>
      <c r="L3765" s="3">
        <v>9831.2500000000036</v>
      </c>
    </row>
    <row r="3766" spans="1:12" x14ac:dyDescent="0.25">
      <c r="A3766" t="s">
        <v>19</v>
      </c>
      <c r="B3766">
        <v>1185732</v>
      </c>
      <c r="C3766" s="1">
        <v>44360</v>
      </c>
      <c r="D3766" t="s">
        <v>57</v>
      </c>
      <c r="E3766" t="s">
        <v>95</v>
      </c>
      <c r="F3766" t="s">
        <v>96</v>
      </c>
      <c r="G3766" t="s">
        <v>15</v>
      </c>
      <c r="H3766" t="s">
        <v>17</v>
      </c>
      <c r="I3766" s="3">
        <v>50</v>
      </c>
      <c r="J3766" s="2">
        <v>200</v>
      </c>
      <c r="K3766" s="3">
        <f t="shared" si="58"/>
        <v>10000</v>
      </c>
      <c r="L3766" s="3">
        <v>6500</v>
      </c>
    </row>
    <row r="3767" spans="1:12" x14ac:dyDescent="0.25">
      <c r="A3767" t="s">
        <v>26</v>
      </c>
      <c r="B3767">
        <v>1128299</v>
      </c>
      <c r="C3767" s="1">
        <v>44360</v>
      </c>
      <c r="D3767" t="s">
        <v>32</v>
      </c>
      <c r="E3767" t="s">
        <v>44</v>
      </c>
      <c r="F3767" t="s">
        <v>45</v>
      </c>
      <c r="G3767" t="s">
        <v>41</v>
      </c>
      <c r="H3767" t="s">
        <v>38</v>
      </c>
      <c r="I3767" s="3">
        <v>50</v>
      </c>
      <c r="J3767" s="2">
        <v>675</v>
      </c>
      <c r="K3767" s="3">
        <f t="shared" si="58"/>
        <v>33750</v>
      </c>
      <c r="L3767" s="3">
        <v>20250</v>
      </c>
    </row>
    <row r="3768" spans="1:12" x14ac:dyDescent="0.25">
      <c r="A3768" t="s">
        <v>26</v>
      </c>
      <c r="B3768">
        <v>1128299</v>
      </c>
      <c r="C3768" s="1">
        <v>44360</v>
      </c>
      <c r="D3768" t="s">
        <v>32</v>
      </c>
      <c r="E3768" t="s">
        <v>44</v>
      </c>
      <c r="F3768" t="s">
        <v>45</v>
      </c>
      <c r="G3768" t="s">
        <v>41</v>
      </c>
      <c r="H3768" t="s">
        <v>17</v>
      </c>
      <c r="I3768" s="3">
        <v>55.000000000000007</v>
      </c>
      <c r="J3768" s="2">
        <v>525</v>
      </c>
      <c r="K3768" s="3">
        <f t="shared" si="58"/>
        <v>28875.000000000004</v>
      </c>
      <c r="L3768" s="3">
        <v>17325.000000000004</v>
      </c>
    </row>
    <row r="3769" spans="1:12" x14ac:dyDescent="0.25">
      <c r="A3769" t="s">
        <v>26</v>
      </c>
      <c r="B3769">
        <v>1128299</v>
      </c>
      <c r="C3769" s="1">
        <v>44360</v>
      </c>
      <c r="D3769" t="s">
        <v>32</v>
      </c>
      <c r="E3769" t="s">
        <v>44</v>
      </c>
      <c r="F3769" t="s">
        <v>45</v>
      </c>
      <c r="G3769" t="s">
        <v>41</v>
      </c>
      <c r="H3769" t="s">
        <v>37</v>
      </c>
      <c r="I3769" s="3">
        <v>50</v>
      </c>
      <c r="J3769" s="2">
        <v>400</v>
      </c>
      <c r="K3769" s="3">
        <f t="shared" si="58"/>
        <v>20000</v>
      </c>
      <c r="L3769" s="3">
        <v>12000</v>
      </c>
    </row>
    <row r="3770" spans="1:12" x14ac:dyDescent="0.25">
      <c r="A3770" t="s">
        <v>19</v>
      </c>
      <c r="B3770">
        <v>1185732</v>
      </c>
      <c r="C3770" s="1">
        <v>44360</v>
      </c>
      <c r="D3770" t="s">
        <v>57</v>
      </c>
      <c r="E3770" t="s">
        <v>118</v>
      </c>
      <c r="F3770" t="s">
        <v>119</v>
      </c>
      <c r="G3770" t="s">
        <v>15</v>
      </c>
      <c r="H3770" t="s">
        <v>16</v>
      </c>
      <c r="I3770" s="3">
        <v>35</v>
      </c>
      <c r="J3770" s="2">
        <v>150</v>
      </c>
      <c r="K3770" s="3">
        <f t="shared" si="58"/>
        <v>5250</v>
      </c>
      <c r="L3770" s="3">
        <v>2625</v>
      </c>
    </row>
    <row r="3771" spans="1:12" x14ac:dyDescent="0.25">
      <c r="A3771" t="s">
        <v>26</v>
      </c>
      <c r="B3771">
        <v>1128299</v>
      </c>
      <c r="C3771" s="1">
        <v>44360</v>
      </c>
      <c r="D3771" t="s">
        <v>32</v>
      </c>
      <c r="E3771" t="s">
        <v>44</v>
      </c>
      <c r="F3771" t="s">
        <v>45</v>
      </c>
      <c r="G3771" t="s">
        <v>15</v>
      </c>
      <c r="H3771" t="s">
        <v>16</v>
      </c>
      <c r="I3771" s="3">
        <v>53</v>
      </c>
      <c r="J3771" s="2">
        <v>190</v>
      </c>
      <c r="K3771" s="3">
        <f t="shared" si="58"/>
        <v>10070</v>
      </c>
      <c r="L3771" s="3">
        <v>6847.6</v>
      </c>
    </row>
    <row r="3772" spans="1:12" x14ac:dyDescent="0.25">
      <c r="A3772" t="s">
        <v>26</v>
      </c>
      <c r="B3772">
        <v>1128299</v>
      </c>
      <c r="C3772" s="1">
        <v>44360</v>
      </c>
      <c r="D3772" t="s">
        <v>32</v>
      </c>
      <c r="E3772" t="s">
        <v>44</v>
      </c>
      <c r="F3772" t="s">
        <v>45</v>
      </c>
      <c r="G3772" t="s">
        <v>41</v>
      </c>
      <c r="H3772" t="s">
        <v>16</v>
      </c>
      <c r="I3772" s="3">
        <v>67</v>
      </c>
      <c r="J3772" s="2">
        <v>150</v>
      </c>
      <c r="K3772" s="3">
        <f t="shared" si="58"/>
        <v>10050</v>
      </c>
      <c r="L3772" s="3">
        <v>6532.5</v>
      </c>
    </row>
    <row r="3773" spans="1:12" x14ac:dyDescent="0.25">
      <c r="A3773" t="s">
        <v>26</v>
      </c>
      <c r="B3773">
        <v>1128299</v>
      </c>
      <c r="C3773" s="1">
        <v>44360</v>
      </c>
      <c r="D3773" t="s">
        <v>32</v>
      </c>
      <c r="E3773" t="s">
        <v>44</v>
      </c>
      <c r="F3773" t="s">
        <v>45</v>
      </c>
      <c r="G3773" t="s">
        <v>15</v>
      </c>
      <c r="H3773" t="s">
        <v>35</v>
      </c>
      <c r="I3773" s="3">
        <v>39</v>
      </c>
      <c r="J3773" s="2">
        <v>158</v>
      </c>
      <c r="K3773" s="3">
        <f t="shared" si="58"/>
        <v>6162</v>
      </c>
      <c r="L3773" s="3">
        <v>3820.44</v>
      </c>
    </row>
    <row r="3774" spans="1:12" x14ac:dyDescent="0.25">
      <c r="A3774" t="s">
        <v>26</v>
      </c>
      <c r="B3774">
        <v>1128299</v>
      </c>
      <c r="C3774" s="1">
        <v>44360</v>
      </c>
      <c r="D3774" t="s">
        <v>32</v>
      </c>
      <c r="E3774" t="s">
        <v>44</v>
      </c>
      <c r="F3774" t="s">
        <v>45</v>
      </c>
      <c r="G3774" t="s">
        <v>15</v>
      </c>
      <c r="H3774" t="s">
        <v>22</v>
      </c>
      <c r="I3774" s="3">
        <v>42</v>
      </c>
      <c r="J3774" s="2">
        <v>94</v>
      </c>
      <c r="K3774" s="3">
        <f t="shared" si="58"/>
        <v>3948</v>
      </c>
      <c r="L3774" s="3">
        <v>2408.2800000000002</v>
      </c>
    </row>
    <row r="3775" spans="1:12" x14ac:dyDescent="0.25">
      <c r="A3775" t="s">
        <v>26</v>
      </c>
      <c r="B3775">
        <v>1128299</v>
      </c>
      <c r="C3775" s="1">
        <v>44360</v>
      </c>
      <c r="D3775" t="s">
        <v>32</v>
      </c>
      <c r="E3775" t="s">
        <v>44</v>
      </c>
      <c r="F3775" t="s">
        <v>45</v>
      </c>
      <c r="G3775" t="s">
        <v>15</v>
      </c>
      <c r="H3775" t="s">
        <v>37</v>
      </c>
      <c r="I3775" s="3">
        <v>33</v>
      </c>
      <c r="J3775" s="2">
        <v>132</v>
      </c>
      <c r="K3775" s="3">
        <f t="shared" si="58"/>
        <v>4356</v>
      </c>
      <c r="L3775" s="3">
        <v>2482.92</v>
      </c>
    </row>
    <row r="3776" spans="1:12" x14ac:dyDescent="0.25">
      <c r="A3776" t="s">
        <v>26</v>
      </c>
      <c r="B3776">
        <v>1128299</v>
      </c>
      <c r="C3776" s="1">
        <v>44360</v>
      </c>
      <c r="D3776" t="s">
        <v>32</v>
      </c>
      <c r="E3776" t="s">
        <v>44</v>
      </c>
      <c r="F3776" t="s">
        <v>45</v>
      </c>
      <c r="G3776" t="s">
        <v>15</v>
      </c>
      <c r="H3776" t="s">
        <v>38</v>
      </c>
      <c r="I3776" s="3">
        <v>35</v>
      </c>
      <c r="J3776" s="2">
        <v>203</v>
      </c>
      <c r="K3776" s="3">
        <f t="shared" si="58"/>
        <v>7105</v>
      </c>
      <c r="L3776" s="3">
        <v>4049.8499999999995</v>
      </c>
    </row>
    <row r="3777" spans="1:12" x14ac:dyDescent="0.25">
      <c r="A3777" t="s">
        <v>26</v>
      </c>
      <c r="B3777">
        <v>1128299</v>
      </c>
      <c r="C3777" s="1">
        <v>44360</v>
      </c>
      <c r="D3777" t="s">
        <v>32</v>
      </c>
      <c r="E3777" t="s">
        <v>44</v>
      </c>
      <c r="F3777" t="s">
        <v>45</v>
      </c>
      <c r="G3777" t="s">
        <v>15</v>
      </c>
      <c r="H3777" t="s">
        <v>17</v>
      </c>
      <c r="I3777" s="3">
        <v>41</v>
      </c>
      <c r="J3777" s="2">
        <v>163</v>
      </c>
      <c r="K3777" s="3">
        <f t="shared" si="58"/>
        <v>6683</v>
      </c>
      <c r="L3777" s="3">
        <v>3742.48</v>
      </c>
    </row>
    <row r="3778" spans="1:12" x14ac:dyDescent="0.25">
      <c r="A3778" t="s">
        <v>19</v>
      </c>
      <c r="B3778">
        <v>1185732</v>
      </c>
      <c r="C3778" s="1">
        <v>44360</v>
      </c>
      <c r="D3778" t="s">
        <v>57</v>
      </c>
      <c r="E3778" t="s">
        <v>95</v>
      </c>
      <c r="F3778" t="s">
        <v>96</v>
      </c>
      <c r="G3778" t="s">
        <v>41</v>
      </c>
      <c r="H3778" t="s">
        <v>17</v>
      </c>
      <c r="I3778" s="3">
        <v>46</v>
      </c>
      <c r="J3778" s="2">
        <v>60</v>
      </c>
      <c r="K3778" s="3">
        <f t="shared" si="58"/>
        <v>2760</v>
      </c>
      <c r="L3778" s="3">
        <v>1435.2</v>
      </c>
    </row>
    <row r="3779" spans="1:12" x14ac:dyDescent="0.25">
      <c r="A3779" t="s">
        <v>26</v>
      </c>
      <c r="B3779">
        <v>1128299</v>
      </c>
      <c r="C3779" s="1">
        <v>44360</v>
      </c>
      <c r="D3779" t="s">
        <v>32</v>
      </c>
      <c r="E3779" t="s">
        <v>44</v>
      </c>
      <c r="F3779" t="s">
        <v>45</v>
      </c>
      <c r="G3779" t="s">
        <v>41</v>
      </c>
      <c r="H3779" t="s">
        <v>35</v>
      </c>
      <c r="I3779" s="3">
        <v>52</v>
      </c>
      <c r="J3779" s="2">
        <v>142</v>
      </c>
      <c r="K3779" s="3">
        <f t="shared" ref="K3779:K3842" si="59">I3779*J3779</f>
        <v>7384</v>
      </c>
      <c r="L3779" s="3">
        <v>3839.6800000000003</v>
      </c>
    </row>
    <row r="3780" spans="1:12" x14ac:dyDescent="0.25">
      <c r="A3780" t="s">
        <v>26</v>
      </c>
      <c r="B3780">
        <v>1128299</v>
      </c>
      <c r="C3780" s="1">
        <v>44360</v>
      </c>
      <c r="D3780" t="s">
        <v>32</v>
      </c>
      <c r="E3780" t="s">
        <v>44</v>
      </c>
      <c r="F3780" t="s">
        <v>45</v>
      </c>
      <c r="G3780" t="s">
        <v>41</v>
      </c>
      <c r="H3780" t="s">
        <v>22</v>
      </c>
      <c r="I3780" s="3">
        <v>51</v>
      </c>
      <c r="J3780" s="2">
        <v>72</v>
      </c>
      <c r="K3780" s="3">
        <f t="shared" si="59"/>
        <v>3672</v>
      </c>
      <c r="L3780" s="3">
        <v>1909.44</v>
      </c>
    </row>
    <row r="3781" spans="1:12" x14ac:dyDescent="0.25">
      <c r="A3781" t="s">
        <v>26</v>
      </c>
      <c r="B3781">
        <v>1128299</v>
      </c>
      <c r="C3781" s="1">
        <v>44360</v>
      </c>
      <c r="D3781" t="s">
        <v>32</v>
      </c>
      <c r="E3781" t="s">
        <v>44</v>
      </c>
      <c r="F3781" t="s">
        <v>45</v>
      </c>
      <c r="G3781" t="s">
        <v>41</v>
      </c>
      <c r="H3781" t="s">
        <v>17</v>
      </c>
      <c r="I3781" s="3">
        <v>54</v>
      </c>
      <c r="J3781" s="2">
        <v>147</v>
      </c>
      <c r="K3781" s="3">
        <f t="shared" si="59"/>
        <v>7938</v>
      </c>
      <c r="L3781" s="3">
        <v>3889.62</v>
      </c>
    </row>
    <row r="3782" spans="1:12" x14ac:dyDescent="0.25">
      <c r="A3782" t="s">
        <v>26</v>
      </c>
      <c r="B3782">
        <v>1128299</v>
      </c>
      <c r="C3782" s="1">
        <v>44360</v>
      </c>
      <c r="D3782" t="s">
        <v>32</v>
      </c>
      <c r="E3782" t="s">
        <v>44</v>
      </c>
      <c r="F3782" t="s">
        <v>45</v>
      </c>
      <c r="G3782" t="s">
        <v>41</v>
      </c>
      <c r="H3782" t="s">
        <v>37</v>
      </c>
      <c r="I3782" s="3">
        <v>49</v>
      </c>
      <c r="J3782" s="2">
        <v>120</v>
      </c>
      <c r="K3782" s="3">
        <f t="shared" si="59"/>
        <v>5880</v>
      </c>
      <c r="L3782" s="3">
        <v>2881.2</v>
      </c>
    </row>
    <row r="3783" spans="1:12" x14ac:dyDescent="0.25">
      <c r="A3783" t="s">
        <v>26</v>
      </c>
      <c r="B3783">
        <v>1128299</v>
      </c>
      <c r="C3783" s="1">
        <v>44360</v>
      </c>
      <c r="D3783" t="s">
        <v>32</v>
      </c>
      <c r="E3783" t="s">
        <v>44</v>
      </c>
      <c r="F3783" t="s">
        <v>45</v>
      </c>
      <c r="G3783" t="s">
        <v>41</v>
      </c>
      <c r="H3783" t="s">
        <v>38</v>
      </c>
      <c r="I3783" s="3">
        <v>46</v>
      </c>
      <c r="J3783" s="2">
        <v>176</v>
      </c>
      <c r="K3783" s="3">
        <f t="shared" si="59"/>
        <v>8096</v>
      </c>
      <c r="L3783" s="3">
        <v>3805.12</v>
      </c>
    </row>
    <row r="3784" spans="1:12" x14ac:dyDescent="0.25">
      <c r="A3784" t="s">
        <v>19</v>
      </c>
      <c r="B3784">
        <v>1185732</v>
      </c>
      <c r="C3784" s="1">
        <v>44360</v>
      </c>
      <c r="D3784" t="s">
        <v>57</v>
      </c>
      <c r="E3784" t="s">
        <v>118</v>
      </c>
      <c r="F3784" t="s">
        <v>119</v>
      </c>
      <c r="G3784" t="s">
        <v>41</v>
      </c>
      <c r="H3784" t="s">
        <v>16</v>
      </c>
      <c r="I3784" s="3">
        <v>34</v>
      </c>
      <c r="J3784" s="2">
        <v>39</v>
      </c>
      <c r="K3784" s="3">
        <f t="shared" si="59"/>
        <v>1326</v>
      </c>
      <c r="L3784" s="3">
        <v>503.88</v>
      </c>
    </row>
    <row r="3785" spans="1:12" x14ac:dyDescent="0.25">
      <c r="A3785" t="s">
        <v>19</v>
      </c>
      <c r="B3785">
        <v>1185732</v>
      </c>
      <c r="C3785" s="1">
        <v>44361</v>
      </c>
      <c r="D3785" t="s">
        <v>57</v>
      </c>
      <c r="E3785" t="s">
        <v>95</v>
      </c>
      <c r="F3785" t="s">
        <v>96</v>
      </c>
      <c r="G3785" t="s">
        <v>15</v>
      </c>
      <c r="H3785" t="s">
        <v>35</v>
      </c>
      <c r="I3785" s="3">
        <v>40</v>
      </c>
      <c r="J3785" s="2">
        <v>225</v>
      </c>
      <c r="K3785" s="3">
        <f t="shared" si="59"/>
        <v>9000</v>
      </c>
      <c r="L3785" s="3">
        <v>5850</v>
      </c>
    </row>
    <row r="3786" spans="1:12" x14ac:dyDescent="0.25">
      <c r="A3786" t="s">
        <v>27</v>
      </c>
      <c r="B3786">
        <v>1197831</v>
      </c>
      <c r="C3786" s="1">
        <v>44361</v>
      </c>
      <c r="D3786" t="s">
        <v>57</v>
      </c>
      <c r="E3786" t="s">
        <v>72</v>
      </c>
      <c r="F3786" t="s">
        <v>73</v>
      </c>
      <c r="G3786" t="s">
        <v>41</v>
      </c>
      <c r="H3786" t="s">
        <v>38</v>
      </c>
      <c r="I3786" s="3">
        <v>40</v>
      </c>
      <c r="J3786" s="2">
        <v>575</v>
      </c>
      <c r="K3786" s="3">
        <f t="shared" si="59"/>
        <v>23000</v>
      </c>
      <c r="L3786" s="3">
        <v>14950</v>
      </c>
    </row>
    <row r="3787" spans="1:12" x14ac:dyDescent="0.25">
      <c r="A3787" t="s">
        <v>27</v>
      </c>
      <c r="B3787">
        <v>1197831</v>
      </c>
      <c r="C3787" s="1">
        <v>44361</v>
      </c>
      <c r="D3787" t="s">
        <v>57</v>
      </c>
      <c r="E3787" t="s">
        <v>72</v>
      </c>
      <c r="F3787" t="s">
        <v>73</v>
      </c>
      <c r="G3787" t="s">
        <v>41</v>
      </c>
      <c r="H3787" t="s">
        <v>17</v>
      </c>
      <c r="I3787" s="3">
        <v>35</v>
      </c>
      <c r="J3787" s="2">
        <v>325</v>
      </c>
      <c r="K3787" s="3">
        <f t="shared" si="59"/>
        <v>11375</v>
      </c>
      <c r="L3787" s="3">
        <v>7393.75</v>
      </c>
    </row>
    <row r="3788" spans="1:12" x14ac:dyDescent="0.25">
      <c r="A3788" t="s">
        <v>27</v>
      </c>
      <c r="B3788">
        <v>1197831</v>
      </c>
      <c r="C3788" s="1">
        <v>44361</v>
      </c>
      <c r="D3788" t="s">
        <v>57</v>
      </c>
      <c r="E3788" t="s">
        <v>72</v>
      </c>
      <c r="F3788" t="s">
        <v>73</v>
      </c>
      <c r="G3788" t="s">
        <v>41</v>
      </c>
      <c r="H3788" t="s">
        <v>35</v>
      </c>
      <c r="I3788" s="3">
        <v>40</v>
      </c>
      <c r="J3788" s="2">
        <v>300</v>
      </c>
      <c r="K3788" s="3">
        <f t="shared" si="59"/>
        <v>12000</v>
      </c>
      <c r="L3788" s="3">
        <v>7800</v>
      </c>
    </row>
    <row r="3789" spans="1:12" x14ac:dyDescent="0.25">
      <c r="A3789" t="s">
        <v>27</v>
      </c>
      <c r="B3789">
        <v>1197831</v>
      </c>
      <c r="C3789" s="1">
        <v>44361</v>
      </c>
      <c r="D3789" t="s">
        <v>57</v>
      </c>
      <c r="E3789" t="s">
        <v>72</v>
      </c>
      <c r="F3789" t="s">
        <v>73</v>
      </c>
      <c r="G3789" t="s">
        <v>41</v>
      </c>
      <c r="H3789" t="s">
        <v>37</v>
      </c>
      <c r="I3789" s="3">
        <v>40</v>
      </c>
      <c r="J3789" s="2">
        <v>275</v>
      </c>
      <c r="K3789" s="3">
        <f t="shared" si="59"/>
        <v>11000</v>
      </c>
      <c r="L3789" s="3">
        <v>7150</v>
      </c>
    </row>
    <row r="3790" spans="1:12" x14ac:dyDescent="0.25">
      <c r="A3790" t="s">
        <v>27</v>
      </c>
      <c r="B3790">
        <v>1197831</v>
      </c>
      <c r="C3790" s="1">
        <v>44361</v>
      </c>
      <c r="D3790" t="s">
        <v>57</v>
      </c>
      <c r="E3790" t="s">
        <v>72</v>
      </c>
      <c r="F3790" t="s">
        <v>73</v>
      </c>
      <c r="G3790" t="s">
        <v>41</v>
      </c>
      <c r="H3790" t="s">
        <v>22</v>
      </c>
      <c r="I3790" s="3">
        <v>54.999999999999993</v>
      </c>
      <c r="J3790" s="2">
        <v>275</v>
      </c>
      <c r="K3790" s="3">
        <f t="shared" si="59"/>
        <v>15124.999999999998</v>
      </c>
      <c r="L3790" s="3">
        <v>9831.2499999999982</v>
      </c>
    </row>
    <row r="3791" spans="1:12" x14ac:dyDescent="0.25">
      <c r="A3791" t="s">
        <v>27</v>
      </c>
      <c r="B3791">
        <v>1197831</v>
      </c>
      <c r="C3791" s="1">
        <v>44361</v>
      </c>
      <c r="D3791" t="s">
        <v>57</v>
      </c>
      <c r="E3791" t="s">
        <v>72</v>
      </c>
      <c r="F3791" t="s">
        <v>73</v>
      </c>
      <c r="G3791" t="s">
        <v>41</v>
      </c>
      <c r="H3791" t="s">
        <v>16</v>
      </c>
      <c r="I3791" s="3">
        <v>60</v>
      </c>
      <c r="J3791" s="2">
        <v>450</v>
      </c>
      <c r="K3791" s="3">
        <f t="shared" si="59"/>
        <v>27000</v>
      </c>
      <c r="L3791" s="3">
        <v>17550</v>
      </c>
    </row>
    <row r="3792" spans="1:12" x14ac:dyDescent="0.25">
      <c r="A3792" t="s">
        <v>19</v>
      </c>
      <c r="B3792">
        <v>1185732</v>
      </c>
      <c r="C3792" s="1">
        <v>44361</v>
      </c>
      <c r="D3792" t="s">
        <v>57</v>
      </c>
      <c r="E3792" t="s">
        <v>118</v>
      </c>
      <c r="F3792" t="s">
        <v>119</v>
      </c>
      <c r="G3792" t="s">
        <v>15</v>
      </c>
      <c r="H3792" t="s">
        <v>38</v>
      </c>
      <c r="I3792" s="3">
        <v>45</v>
      </c>
      <c r="J3792" s="2">
        <v>420</v>
      </c>
      <c r="K3792" s="3">
        <f t="shared" si="59"/>
        <v>18900</v>
      </c>
      <c r="L3792" s="3">
        <v>11340</v>
      </c>
    </row>
    <row r="3793" spans="1:12" x14ac:dyDescent="0.25">
      <c r="A3793" t="s">
        <v>19</v>
      </c>
      <c r="B3793">
        <v>1185732</v>
      </c>
      <c r="C3793" s="1">
        <v>44361</v>
      </c>
      <c r="D3793" t="s">
        <v>57</v>
      </c>
      <c r="E3793" t="s">
        <v>95</v>
      </c>
      <c r="F3793" t="s">
        <v>96</v>
      </c>
      <c r="G3793" t="s">
        <v>41</v>
      </c>
      <c r="H3793" t="s">
        <v>35</v>
      </c>
      <c r="I3793" s="3">
        <v>37</v>
      </c>
      <c r="J3793" s="2">
        <v>68</v>
      </c>
      <c r="K3793" s="3">
        <f t="shared" si="59"/>
        <v>2516</v>
      </c>
      <c r="L3793" s="3">
        <v>1383.8000000000002</v>
      </c>
    </row>
    <row r="3794" spans="1:12" x14ac:dyDescent="0.25">
      <c r="A3794" t="s">
        <v>27</v>
      </c>
      <c r="B3794">
        <v>1197831</v>
      </c>
      <c r="C3794" s="1">
        <v>44361</v>
      </c>
      <c r="D3794" t="s">
        <v>57</v>
      </c>
      <c r="E3794" t="s">
        <v>72</v>
      </c>
      <c r="F3794" t="s">
        <v>73</v>
      </c>
      <c r="G3794" t="s">
        <v>41</v>
      </c>
      <c r="H3794" t="s">
        <v>37</v>
      </c>
      <c r="I3794" s="3">
        <v>38</v>
      </c>
      <c r="J3794" s="2">
        <v>80</v>
      </c>
      <c r="K3794" s="3">
        <f t="shared" si="59"/>
        <v>3040</v>
      </c>
      <c r="L3794" s="3">
        <v>1672.0000000000002</v>
      </c>
    </row>
    <row r="3795" spans="1:12" x14ac:dyDescent="0.25">
      <c r="A3795" t="s">
        <v>27</v>
      </c>
      <c r="B3795">
        <v>1197831</v>
      </c>
      <c r="C3795" s="1">
        <v>44361</v>
      </c>
      <c r="D3795" t="s">
        <v>57</v>
      </c>
      <c r="E3795" t="s">
        <v>72</v>
      </c>
      <c r="F3795" t="s">
        <v>73</v>
      </c>
      <c r="G3795" t="s">
        <v>41</v>
      </c>
      <c r="H3795" t="s">
        <v>35</v>
      </c>
      <c r="I3795" s="3">
        <v>37</v>
      </c>
      <c r="J3795" s="2">
        <v>81</v>
      </c>
      <c r="K3795" s="3">
        <f t="shared" si="59"/>
        <v>2997</v>
      </c>
      <c r="L3795" s="3">
        <v>1618.38</v>
      </c>
    </row>
    <row r="3796" spans="1:12" x14ac:dyDescent="0.25">
      <c r="A3796" t="s">
        <v>27</v>
      </c>
      <c r="B3796">
        <v>1197831</v>
      </c>
      <c r="C3796" s="1">
        <v>44361</v>
      </c>
      <c r="D3796" t="s">
        <v>57</v>
      </c>
      <c r="E3796" t="s">
        <v>72</v>
      </c>
      <c r="F3796" t="s">
        <v>73</v>
      </c>
      <c r="G3796" t="s">
        <v>41</v>
      </c>
      <c r="H3796" t="s">
        <v>17</v>
      </c>
      <c r="I3796" s="3">
        <v>32</v>
      </c>
      <c r="J3796" s="2">
        <v>94</v>
      </c>
      <c r="K3796" s="3">
        <f t="shared" si="59"/>
        <v>3008</v>
      </c>
      <c r="L3796" s="3">
        <v>1564.16</v>
      </c>
    </row>
    <row r="3797" spans="1:12" x14ac:dyDescent="0.25">
      <c r="A3797" t="s">
        <v>27</v>
      </c>
      <c r="B3797">
        <v>1197831</v>
      </c>
      <c r="C3797" s="1">
        <v>44361</v>
      </c>
      <c r="D3797" t="s">
        <v>57</v>
      </c>
      <c r="E3797" t="s">
        <v>72</v>
      </c>
      <c r="F3797" t="s">
        <v>73</v>
      </c>
      <c r="G3797" t="s">
        <v>41</v>
      </c>
      <c r="H3797" t="s">
        <v>22</v>
      </c>
      <c r="I3797" s="3">
        <v>54</v>
      </c>
      <c r="J3797" s="2">
        <v>83</v>
      </c>
      <c r="K3797" s="3">
        <f t="shared" si="59"/>
        <v>4482</v>
      </c>
      <c r="L3797" s="3">
        <v>2330.64</v>
      </c>
    </row>
    <row r="3798" spans="1:12" x14ac:dyDescent="0.25">
      <c r="A3798" t="s">
        <v>27</v>
      </c>
      <c r="B3798">
        <v>1197831</v>
      </c>
      <c r="C3798" s="1">
        <v>44361</v>
      </c>
      <c r="D3798" t="s">
        <v>57</v>
      </c>
      <c r="E3798" t="s">
        <v>72</v>
      </c>
      <c r="F3798" t="s">
        <v>73</v>
      </c>
      <c r="G3798" t="s">
        <v>41</v>
      </c>
      <c r="H3798" t="s">
        <v>16</v>
      </c>
      <c r="I3798" s="3">
        <v>58</v>
      </c>
      <c r="J3798" s="2">
        <v>117</v>
      </c>
      <c r="K3798" s="3">
        <f t="shared" si="59"/>
        <v>6786</v>
      </c>
      <c r="L3798" s="3">
        <v>3460.86</v>
      </c>
    </row>
    <row r="3799" spans="1:12" x14ac:dyDescent="0.25">
      <c r="A3799" t="s">
        <v>27</v>
      </c>
      <c r="B3799">
        <v>1197831</v>
      </c>
      <c r="C3799" s="1">
        <v>44361</v>
      </c>
      <c r="D3799" t="s">
        <v>57</v>
      </c>
      <c r="E3799" t="s">
        <v>72</v>
      </c>
      <c r="F3799" t="s">
        <v>73</v>
      </c>
      <c r="G3799" t="s">
        <v>41</v>
      </c>
      <c r="H3799" t="s">
        <v>38</v>
      </c>
      <c r="I3799" s="3">
        <v>37</v>
      </c>
      <c r="J3799" s="2">
        <v>144</v>
      </c>
      <c r="K3799" s="3">
        <f t="shared" si="59"/>
        <v>5328</v>
      </c>
      <c r="L3799" s="3">
        <v>2664</v>
      </c>
    </row>
    <row r="3800" spans="1:12" x14ac:dyDescent="0.25">
      <c r="A3800" t="s">
        <v>19</v>
      </c>
      <c r="B3800">
        <v>1185732</v>
      </c>
      <c r="C3800" s="1">
        <v>44361</v>
      </c>
      <c r="D3800" t="s">
        <v>57</v>
      </c>
      <c r="E3800" t="s">
        <v>118</v>
      </c>
      <c r="F3800" t="s">
        <v>119</v>
      </c>
      <c r="G3800" t="s">
        <v>41</v>
      </c>
      <c r="H3800" t="s">
        <v>38</v>
      </c>
      <c r="I3800" s="3">
        <v>44</v>
      </c>
      <c r="J3800" s="2">
        <v>118</v>
      </c>
      <c r="K3800" s="3">
        <f t="shared" si="59"/>
        <v>5192</v>
      </c>
      <c r="L3800" s="3">
        <v>2388.3199999999997</v>
      </c>
    </row>
    <row r="3801" spans="1:12" x14ac:dyDescent="0.25">
      <c r="A3801" t="s">
        <v>26</v>
      </c>
      <c r="B3801">
        <v>1185732</v>
      </c>
      <c r="C3801" s="1">
        <v>44362</v>
      </c>
      <c r="D3801" t="s">
        <v>29</v>
      </c>
      <c r="E3801" t="s">
        <v>50</v>
      </c>
      <c r="F3801" t="s">
        <v>51</v>
      </c>
      <c r="G3801" t="s">
        <v>18</v>
      </c>
      <c r="H3801" t="s">
        <v>35</v>
      </c>
      <c r="I3801" s="3">
        <v>45</v>
      </c>
      <c r="J3801" s="2">
        <v>250</v>
      </c>
      <c r="K3801" s="3">
        <f t="shared" si="59"/>
        <v>11250</v>
      </c>
      <c r="L3801" s="3">
        <v>8437.5</v>
      </c>
    </row>
    <row r="3802" spans="1:12" x14ac:dyDescent="0.25">
      <c r="A3802" t="s">
        <v>26</v>
      </c>
      <c r="B3802">
        <v>1185732</v>
      </c>
      <c r="C3802" s="1">
        <v>44362</v>
      </c>
      <c r="D3802" t="s">
        <v>29</v>
      </c>
      <c r="E3802" t="s">
        <v>50</v>
      </c>
      <c r="F3802" t="s">
        <v>51</v>
      </c>
      <c r="G3802" t="s">
        <v>18</v>
      </c>
      <c r="H3802" t="s">
        <v>37</v>
      </c>
      <c r="I3802" s="3">
        <v>45</v>
      </c>
      <c r="J3802" s="2">
        <v>225</v>
      </c>
      <c r="K3802" s="3">
        <f t="shared" si="59"/>
        <v>10125</v>
      </c>
      <c r="L3802" s="3">
        <v>7593.75</v>
      </c>
    </row>
    <row r="3803" spans="1:12" x14ac:dyDescent="0.25">
      <c r="A3803" t="s">
        <v>26</v>
      </c>
      <c r="B3803">
        <v>1185732</v>
      </c>
      <c r="C3803" s="1">
        <v>44362</v>
      </c>
      <c r="D3803" t="s">
        <v>29</v>
      </c>
      <c r="E3803" t="s">
        <v>50</v>
      </c>
      <c r="F3803" t="s">
        <v>51</v>
      </c>
      <c r="G3803" t="s">
        <v>18</v>
      </c>
      <c r="H3803" t="s">
        <v>22</v>
      </c>
      <c r="I3803" s="3">
        <v>54.999999999999993</v>
      </c>
      <c r="J3803" s="2">
        <v>225</v>
      </c>
      <c r="K3803" s="3">
        <f t="shared" si="59"/>
        <v>12374.999999999998</v>
      </c>
      <c r="L3803" s="3">
        <v>9281.2499999999982</v>
      </c>
    </row>
    <row r="3804" spans="1:12" x14ac:dyDescent="0.25">
      <c r="A3804" t="s">
        <v>19</v>
      </c>
      <c r="B3804">
        <v>1185732</v>
      </c>
      <c r="C3804" s="1">
        <v>44362</v>
      </c>
      <c r="D3804" t="s">
        <v>29</v>
      </c>
      <c r="E3804" t="s">
        <v>89</v>
      </c>
      <c r="F3804" t="s">
        <v>90</v>
      </c>
      <c r="G3804" t="s">
        <v>18</v>
      </c>
      <c r="H3804" t="s">
        <v>22</v>
      </c>
      <c r="I3804" s="3">
        <v>54.999999999999993</v>
      </c>
      <c r="J3804" s="2">
        <v>300</v>
      </c>
      <c r="K3804" s="3">
        <f t="shared" si="59"/>
        <v>16499.999999999996</v>
      </c>
      <c r="L3804" s="3">
        <v>11549.999999999996</v>
      </c>
    </row>
    <row r="3805" spans="1:12" x14ac:dyDescent="0.25">
      <c r="A3805" t="s">
        <v>26</v>
      </c>
      <c r="B3805">
        <v>1185732</v>
      </c>
      <c r="C3805" s="1">
        <v>44362</v>
      </c>
      <c r="D3805" t="s">
        <v>29</v>
      </c>
      <c r="E3805" t="s">
        <v>50</v>
      </c>
      <c r="F3805" t="s">
        <v>51</v>
      </c>
      <c r="G3805" t="s">
        <v>18</v>
      </c>
      <c r="H3805" t="s">
        <v>17</v>
      </c>
      <c r="I3805" s="3">
        <v>50</v>
      </c>
      <c r="J3805" s="2">
        <v>325</v>
      </c>
      <c r="K3805" s="3">
        <f t="shared" si="59"/>
        <v>16250</v>
      </c>
      <c r="L3805" s="3">
        <v>11375</v>
      </c>
    </row>
    <row r="3806" spans="1:12" x14ac:dyDescent="0.25">
      <c r="A3806" t="s">
        <v>26</v>
      </c>
      <c r="B3806">
        <v>1185732</v>
      </c>
      <c r="C3806" s="1">
        <v>44362</v>
      </c>
      <c r="D3806" t="s">
        <v>29</v>
      </c>
      <c r="E3806" t="s">
        <v>50</v>
      </c>
      <c r="F3806" t="s">
        <v>51</v>
      </c>
      <c r="G3806" t="s">
        <v>18</v>
      </c>
      <c r="H3806" t="s">
        <v>16</v>
      </c>
      <c r="I3806" s="3">
        <v>60</v>
      </c>
      <c r="J3806" s="2">
        <v>375</v>
      </c>
      <c r="K3806" s="3">
        <f t="shared" si="59"/>
        <v>22500</v>
      </c>
      <c r="L3806" s="3">
        <v>15750</v>
      </c>
    </row>
    <row r="3807" spans="1:12" x14ac:dyDescent="0.25">
      <c r="A3807" t="s">
        <v>26</v>
      </c>
      <c r="B3807">
        <v>1185732</v>
      </c>
      <c r="C3807" s="1">
        <v>44362</v>
      </c>
      <c r="D3807" t="s">
        <v>29</v>
      </c>
      <c r="E3807" t="s">
        <v>50</v>
      </c>
      <c r="F3807" t="s">
        <v>51</v>
      </c>
      <c r="G3807" t="s">
        <v>18</v>
      </c>
      <c r="H3807" t="s">
        <v>38</v>
      </c>
      <c r="I3807" s="3">
        <v>54.999999999999993</v>
      </c>
      <c r="J3807" s="2">
        <v>575</v>
      </c>
      <c r="K3807" s="3">
        <f t="shared" si="59"/>
        <v>31624.999999999996</v>
      </c>
      <c r="L3807" s="3">
        <v>22137.499999999993</v>
      </c>
    </row>
    <row r="3808" spans="1:12" x14ac:dyDescent="0.25">
      <c r="A3808" t="s">
        <v>19</v>
      </c>
      <c r="B3808">
        <v>1185732</v>
      </c>
      <c r="C3808" s="1">
        <v>44362</v>
      </c>
      <c r="D3808" t="s">
        <v>57</v>
      </c>
      <c r="E3808" t="s">
        <v>118</v>
      </c>
      <c r="F3808" t="s">
        <v>119</v>
      </c>
      <c r="G3808" t="s">
        <v>15</v>
      </c>
      <c r="H3808" t="s">
        <v>17</v>
      </c>
      <c r="I3808" s="3">
        <v>40.000000000000007</v>
      </c>
      <c r="J3808" s="2">
        <v>125</v>
      </c>
      <c r="K3808" s="3">
        <f t="shared" si="59"/>
        <v>5000.0000000000009</v>
      </c>
      <c r="L3808" s="3">
        <v>3250.0000000000009</v>
      </c>
    </row>
    <row r="3809" spans="1:12" x14ac:dyDescent="0.25">
      <c r="A3809" t="s">
        <v>19</v>
      </c>
      <c r="B3809">
        <v>1185732</v>
      </c>
      <c r="C3809" s="1">
        <v>44362</v>
      </c>
      <c r="D3809" t="s">
        <v>29</v>
      </c>
      <c r="E3809" t="s">
        <v>89</v>
      </c>
      <c r="F3809" t="s">
        <v>90</v>
      </c>
      <c r="G3809" t="s">
        <v>18</v>
      </c>
      <c r="H3809" t="s">
        <v>38</v>
      </c>
      <c r="I3809" s="3">
        <v>54.999999999999993</v>
      </c>
      <c r="J3809" s="2">
        <v>650</v>
      </c>
      <c r="K3809" s="3">
        <f t="shared" si="59"/>
        <v>35749.999999999993</v>
      </c>
      <c r="L3809" s="3">
        <v>23237.499999999996</v>
      </c>
    </row>
    <row r="3810" spans="1:12" x14ac:dyDescent="0.25">
      <c r="A3810" t="s">
        <v>19</v>
      </c>
      <c r="B3810">
        <v>1185732</v>
      </c>
      <c r="C3810" s="1">
        <v>44362</v>
      </c>
      <c r="D3810" t="s">
        <v>29</v>
      </c>
      <c r="E3810" t="s">
        <v>89</v>
      </c>
      <c r="F3810" t="s">
        <v>90</v>
      </c>
      <c r="G3810" t="s">
        <v>18</v>
      </c>
      <c r="H3810" t="s">
        <v>17</v>
      </c>
      <c r="I3810" s="3">
        <v>50</v>
      </c>
      <c r="J3810" s="2">
        <v>400</v>
      </c>
      <c r="K3810" s="3">
        <f t="shared" si="59"/>
        <v>20000</v>
      </c>
      <c r="L3810" s="3">
        <v>13000</v>
      </c>
    </row>
    <row r="3811" spans="1:12" x14ac:dyDescent="0.25">
      <c r="A3811" t="s">
        <v>19</v>
      </c>
      <c r="B3811">
        <v>1185732</v>
      </c>
      <c r="C3811" s="1">
        <v>44362</v>
      </c>
      <c r="D3811" t="s">
        <v>57</v>
      </c>
      <c r="E3811" t="s">
        <v>95</v>
      </c>
      <c r="F3811" t="s">
        <v>96</v>
      </c>
      <c r="G3811" t="s">
        <v>15</v>
      </c>
      <c r="H3811" t="s">
        <v>37</v>
      </c>
      <c r="I3811" s="3">
        <v>45</v>
      </c>
      <c r="J3811" s="2">
        <v>75</v>
      </c>
      <c r="K3811" s="3">
        <f t="shared" si="59"/>
        <v>3375</v>
      </c>
      <c r="L3811" s="3">
        <v>2025</v>
      </c>
    </row>
    <row r="3812" spans="1:12" x14ac:dyDescent="0.25">
      <c r="A3812" t="s">
        <v>19</v>
      </c>
      <c r="B3812">
        <v>1185732</v>
      </c>
      <c r="C3812" s="1">
        <v>44362</v>
      </c>
      <c r="D3812" t="s">
        <v>29</v>
      </c>
      <c r="E3812" t="s">
        <v>89</v>
      </c>
      <c r="F3812" t="s">
        <v>90</v>
      </c>
      <c r="G3812" t="s">
        <v>18</v>
      </c>
      <c r="H3812" t="s">
        <v>35</v>
      </c>
      <c r="I3812" s="3">
        <v>45</v>
      </c>
      <c r="J3812" s="2">
        <v>325</v>
      </c>
      <c r="K3812" s="3">
        <f t="shared" si="59"/>
        <v>14625</v>
      </c>
      <c r="L3812" s="3">
        <v>8775</v>
      </c>
    </row>
    <row r="3813" spans="1:12" x14ac:dyDescent="0.25">
      <c r="A3813" t="s">
        <v>19</v>
      </c>
      <c r="B3813">
        <v>1185732</v>
      </c>
      <c r="C3813" s="1">
        <v>44362</v>
      </c>
      <c r="D3813" t="s">
        <v>29</v>
      </c>
      <c r="E3813" t="s">
        <v>89</v>
      </c>
      <c r="F3813" t="s">
        <v>90</v>
      </c>
      <c r="G3813" t="s">
        <v>18</v>
      </c>
      <c r="H3813" t="s">
        <v>37</v>
      </c>
      <c r="I3813" s="3">
        <v>45</v>
      </c>
      <c r="J3813" s="2">
        <v>300</v>
      </c>
      <c r="K3813" s="3">
        <f t="shared" si="59"/>
        <v>13500</v>
      </c>
      <c r="L3813" s="3">
        <v>8100</v>
      </c>
    </row>
    <row r="3814" spans="1:12" x14ac:dyDescent="0.25">
      <c r="A3814" t="s">
        <v>19</v>
      </c>
      <c r="B3814">
        <v>1185732</v>
      </c>
      <c r="C3814" s="1">
        <v>44362</v>
      </c>
      <c r="D3814" t="s">
        <v>29</v>
      </c>
      <c r="E3814" t="s">
        <v>89</v>
      </c>
      <c r="F3814" t="s">
        <v>90</v>
      </c>
      <c r="G3814" t="s">
        <v>18</v>
      </c>
      <c r="H3814" t="s">
        <v>16</v>
      </c>
      <c r="I3814" s="3">
        <v>60</v>
      </c>
      <c r="J3814" s="2">
        <v>450</v>
      </c>
      <c r="K3814" s="3">
        <f t="shared" si="59"/>
        <v>27000</v>
      </c>
      <c r="L3814" s="3">
        <v>16200</v>
      </c>
    </row>
    <row r="3815" spans="1:12" x14ac:dyDescent="0.25">
      <c r="A3815" t="s">
        <v>26</v>
      </c>
      <c r="B3815">
        <v>1185732</v>
      </c>
      <c r="C3815" s="1">
        <v>44362</v>
      </c>
      <c r="D3815" t="s">
        <v>29</v>
      </c>
      <c r="E3815" t="s">
        <v>50</v>
      </c>
      <c r="F3815" t="s">
        <v>51</v>
      </c>
      <c r="G3815" t="s">
        <v>15</v>
      </c>
      <c r="H3815" t="s">
        <v>37</v>
      </c>
      <c r="I3815" s="3">
        <v>34</v>
      </c>
      <c r="J3815" s="2">
        <v>72</v>
      </c>
      <c r="K3815" s="3">
        <f t="shared" si="59"/>
        <v>2448</v>
      </c>
      <c r="L3815" s="3">
        <v>1762.56</v>
      </c>
    </row>
    <row r="3816" spans="1:12" x14ac:dyDescent="0.25">
      <c r="A3816" t="s">
        <v>26</v>
      </c>
      <c r="B3816">
        <v>1185732</v>
      </c>
      <c r="C3816" s="1">
        <v>44362</v>
      </c>
      <c r="D3816" t="s">
        <v>29</v>
      </c>
      <c r="E3816" t="s">
        <v>50</v>
      </c>
      <c r="F3816" t="s">
        <v>51</v>
      </c>
      <c r="G3816" t="s">
        <v>15</v>
      </c>
      <c r="H3816" t="s">
        <v>35</v>
      </c>
      <c r="I3816" s="3">
        <v>36</v>
      </c>
      <c r="J3816" s="2">
        <v>75</v>
      </c>
      <c r="K3816" s="3">
        <f t="shared" si="59"/>
        <v>2700</v>
      </c>
      <c r="L3816" s="3">
        <v>1863</v>
      </c>
    </row>
    <row r="3817" spans="1:12" x14ac:dyDescent="0.25">
      <c r="A3817" t="s">
        <v>26</v>
      </c>
      <c r="B3817">
        <v>1185732</v>
      </c>
      <c r="C3817" s="1">
        <v>44362</v>
      </c>
      <c r="D3817" t="s">
        <v>29</v>
      </c>
      <c r="E3817" t="s">
        <v>50</v>
      </c>
      <c r="F3817" t="s">
        <v>51</v>
      </c>
      <c r="G3817" t="s">
        <v>15</v>
      </c>
      <c r="H3817" t="s">
        <v>17</v>
      </c>
      <c r="I3817" s="3">
        <v>36</v>
      </c>
      <c r="J3817" s="2">
        <v>114</v>
      </c>
      <c r="K3817" s="3">
        <f t="shared" si="59"/>
        <v>4104</v>
      </c>
      <c r="L3817" s="3">
        <v>2790.7200000000003</v>
      </c>
    </row>
    <row r="3818" spans="1:12" x14ac:dyDescent="0.25">
      <c r="A3818" t="s">
        <v>26</v>
      </c>
      <c r="B3818">
        <v>1185732</v>
      </c>
      <c r="C3818" s="1">
        <v>44362</v>
      </c>
      <c r="D3818" t="s">
        <v>29</v>
      </c>
      <c r="E3818" t="s">
        <v>50</v>
      </c>
      <c r="F3818" t="s">
        <v>51</v>
      </c>
      <c r="G3818" t="s">
        <v>15</v>
      </c>
      <c r="H3818" t="s">
        <v>22</v>
      </c>
      <c r="I3818" s="3">
        <v>39</v>
      </c>
      <c r="J3818" s="2">
        <v>74</v>
      </c>
      <c r="K3818" s="3">
        <f t="shared" si="59"/>
        <v>2886</v>
      </c>
      <c r="L3818" s="3">
        <v>1962.48</v>
      </c>
    </row>
    <row r="3819" spans="1:12" x14ac:dyDescent="0.25">
      <c r="A3819" t="s">
        <v>26</v>
      </c>
      <c r="B3819">
        <v>1185732</v>
      </c>
      <c r="C3819" s="1">
        <v>44362</v>
      </c>
      <c r="D3819" t="s">
        <v>29</v>
      </c>
      <c r="E3819" t="s">
        <v>50</v>
      </c>
      <c r="F3819" t="s">
        <v>51</v>
      </c>
      <c r="G3819" t="s">
        <v>41</v>
      </c>
      <c r="H3819" t="s">
        <v>37</v>
      </c>
      <c r="I3819" s="3">
        <v>41</v>
      </c>
      <c r="J3819" s="2">
        <v>65</v>
      </c>
      <c r="K3819" s="3">
        <f t="shared" si="59"/>
        <v>2665</v>
      </c>
      <c r="L3819" s="3">
        <v>1732.25</v>
      </c>
    </row>
    <row r="3820" spans="1:12" x14ac:dyDescent="0.25">
      <c r="A3820" t="s">
        <v>26</v>
      </c>
      <c r="B3820">
        <v>1185732</v>
      </c>
      <c r="C3820" s="1">
        <v>44362</v>
      </c>
      <c r="D3820" t="s">
        <v>29</v>
      </c>
      <c r="E3820" t="s">
        <v>50</v>
      </c>
      <c r="F3820" t="s">
        <v>51</v>
      </c>
      <c r="G3820" t="s">
        <v>15</v>
      </c>
      <c r="H3820" t="s">
        <v>38</v>
      </c>
      <c r="I3820" s="3">
        <v>39</v>
      </c>
      <c r="J3820" s="2">
        <v>196</v>
      </c>
      <c r="K3820" s="3">
        <f t="shared" si="59"/>
        <v>7644</v>
      </c>
      <c r="L3820" s="3">
        <v>4968.6000000000004</v>
      </c>
    </row>
    <row r="3821" spans="1:12" x14ac:dyDescent="0.25">
      <c r="A3821" t="s">
        <v>26</v>
      </c>
      <c r="B3821">
        <v>1185732</v>
      </c>
      <c r="C3821" s="1">
        <v>44362</v>
      </c>
      <c r="D3821" t="s">
        <v>29</v>
      </c>
      <c r="E3821" t="s">
        <v>50</v>
      </c>
      <c r="F3821" t="s">
        <v>51</v>
      </c>
      <c r="G3821" t="s">
        <v>15</v>
      </c>
      <c r="H3821" t="s">
        <v>16</v>
      </c>
      <c r="I3821" s="3">
        <v>47</v>
      </c>
      <c r="J3821" s="2">
        <v>120</v>
      </c>
      <c r="K3821" s="3">
        <f t="shared" si="59"/>
        <v>5640</v>
      </c>
      <c r="L3821" s="3">
        <v>3666</v>
      </c>
    </row>
    <row r="3822" spans="1:12" x14ac:dyDescent="0.25">
      <c r="A3822" t="s">
        <v>26</v>
      </c>
      <c r="B3822">
        <v>1185732</v>
      </c>
      <c r="C3822" s="1">
        <v>44362</v>
      </c>
      <c r="D3822" t="s">
        <v>29</v>
      </c>
      <c r="E3822" t="s">
        <v>50</v>
      </c>
      <c r="F3822" t="s">
        <v>51</v>
      </c>
      <c r="G3822" t="s">
        <v>41</v>
      </c>
      <c r="H3822" t="s">
        <v>35</v>
      </c>
      <c r="I3822" s="3">
        <v>42</v>
      </c>
      <c r="J3822" s="2">
        <v>68</v>
      </c>
      <c r="K3822" s="3">
        <f t="shared" si="59"/>
        <v>2856</v>
      </c>
      <c r="L3822" s="3">
        <v>1827.8400000000001</v>
      </c>
    </row>
    <row r="3823" spans="1:12" x14ac:dyDescent="0.25">
      <c r="A3823" t="s">
        <v>26</v>
      </c>
      <c r="B3823">
        <v>1185732</v>
      </c>
      <c r="C3823" s="1">
        <v>44362</v>
      </c>
      <c r="D3823" t="s">
        <v>29</v>
      </c>
      <c r="E3823" t="s">
        <v>50</v>
      </c>
      <c r="F3823" t="s">
        <v>51</v>
      </c>
      <c r="G3823" t="s">
        <v>41</v>
      </c>
      <c r="H3823" t="s">
        <v>22</v>
      </c>
      <c r="I3823" s="3">
        <v>51</v>
      </c>
      <c r="J3823" s="2">
        <v>59</v>
      </c>
      <c r="K3823" s="3">
        <f t="shared" si="59"/>
        <v>3009</v>
      </c>
      <c r="L3823" s="3">
        <v>1865.58</v>
      </c>
    </row>
    <row r="3824" spans="1:12" x14ac:dyDescent="0.25">
      <c r="A3824" t="s">
        <v>26</v>
      </c>
      <c r="B3824">
        <v>1185732</v>
      </c>
      <c r="C3824" s="1">
        <v>44362</v>
      </c>
      <c r="D3824" t="s">
        <v>29</v>
      </c>
      <c r="E3824" t="s">
        <v>50</v>
      </c>
      <c r="F3824" t="s">
        <v>51</v>
      </c>
      <c r="G3824" t="s">
        <v>41</v>
      </c>
      <c r="H3824" t="s">
        <v>16</v>
      </c>
      <c r="I3824" s="3">
        <v>54</v>
      </c>
      <c r="J3824" s="2">
        <v>101</v>
      </c>
      <c r="K3824" s="3">
        <f t="shared" si="59"/>
        <v>5454</v>
      </c>
      <c r="L3824" s="3">
        <v>3272.4</v>
      </c>
    </row>
    <row r="3825" spans="1:12" x14ac:dyDescent="0.25">
      <c r="A3825" t="s">
        <v>19</v>
      </c>
      <c r="B3825">
        <v>1185732</v>
      </c>
      <c r="C3825" s="1">
        <v>44362</v>
      </c>
      <c r="D3825" t="s">
        <v>29</v>
      </c>
      <c r="E3825" t="s">
        <v>89</v>
      </c>
      <c r="F3825" t="s">
        <v>90</v>
      </c>
      <c r="G3825" t="s">
        <v>41</v>
      </c>
      <c r="H3825" t="s">
        <v>22</v>
      </c>
      <c r="I3825" s="3">
        <v>50</v>
      </c>
      <c r="J3825" s="2">
        <v>75</v>
      </c>
      <c r="K3825" s="3">
        <f t="shared" si="59"/>
        <v>3750</v>
      </c>
      <c r="L3825" s="3">
        <v>2250</v>
      </c>
    </row>
    <row r="3826" spans="1:12" x14ac:dyDescent="0.25">
      <c r="A3826" t="s">
        <v>26</v>
      </c>
      <c r="B3826">
        <v>1185732</v>
      </c>
      <c r="C3826" s="1">
        <v>44362</v>
      </c>
      <c r="D3826" t="s">
        <v>29</v>
      </c>
      <c r="E3826" t="s">
        <v>50</v>
      </c>
      <c r="F3826" t="s">
        <v>51</v>
      </c>
      <c r="G3826" t="s">
        <v>41</v>
      </c>
      <c r="H3826" t="s">
        <v>17</v>
      </c>
      <c r="I3826" s="3">
        <v>47</v>
      </c>
      <c r="J3826" s="2">
        <v>94</v>
      </c>
      <c r="K3826" s="3">
        <f t="shared" si="59"/>
        <v>4418</v>
      </c>
      <c r="L3826" s="3">
        <v>2562.44</v>
      </c>
    </row>
    <row r="3827" spans="1:12" x14ac:dyDescent="0.25">
      <c r="A3827" t="s">
        <v>26</v>
      </c>
      <c r="B3827">
        <v>1185732</v>
      </c>
      <c r="C3827" s="1">
        <v>44362</v>
      </c>
      <c r="D3827" t="s">
        <v>29</v>
      </c>
      <c r="E3827" t="s">
        <v>50</v>
      </c>
      <c r="F3827" t="s">
        <v>51</v>
      </c>
      <c r="G3827" t="s">
        <v>41</v>
      </c>
      <c r="H3827" t="s">
        <v>38</v>
      </c>
      <c r="I3827" s="3">
        <v>51</v>
      </c>
      <c r="J3827" s="2">
        <v>155</v>
      </c>
      <c r="K3827" s="3">
        <f t="shared" si="59"/>
        <v>7905</v>
      </c>
      <c r="L3827" s="3">
        <v>4584.8999999999996</v>
      </c>
    </row>
    <row r="3828" spans="1:12" x14ac:dyDescent="0.25">
      <c r="A3828" t="s">
        <v>19</v>
      </c>
      <c r="B3828">
        <v>1185732</v>
      </c>
      <c r="C3828" s="1">
        <v>44362</v>
      </c>
      <c r="D3828" t="s">
        <v>29</v>
      </c>
      <c r="E3828" t="s">
        <v>89</v>
      </c>
      <c r="F3828" t="s">
        <v>90</v>
      </c>
      <c r="G3828" t="s">
        <v>41</v>
      </c>
      <c r="H3828" t="s">
        <v>17</v>
      </c>
      <c r="I3828" s="3">
        <v>48</v>
      </c>
      <c r="J3828" s="2">
        <v>120</v>
      </c>
      <c r="K3828" s="3">
        <f t="shared" si="59"/>
        <v>5760</v>
      </c>
      <c r="L3828" s="3">
        <v>3168.0000000000005</v>
      </c>
    </row>
    <row r="3829" spans="1:12" x14ac:dyDescent="0.25">
      <c r="A3829" t="s">
        <v>19</v>
      </c>
      <c r="B3829">
        <v>1185732</v>
      </c>
      <c r="C3829" s="1">
        <v>44362</v>
      </c>
      <c r="D3829" t="s">
        <v>29</v>
      </c>
      <c r="E3829" t="s">
        <v>89</v>
      </c>
      <c r="F3829" t="s">
        <v>90</v>
      </c>
      <c r="G3829" t="s">
        <v>41</v>
      </c>
      <c r="H3829" t="s">
        <v>38</v>
      </c>
      <c r="I3829" s="3">
        <v>51</v>
      </c>
      <c r="J3829" s="2">
        <v>189</v>
      </c>
      <c r="K3829" s="3">
        <f t="shared" si="59"/>
        <v>9639</v>
      </c>
      <c r="L3829" s="3">
        <v>5205.0600000000004</v>
      </c>
    </row>
    <row r="3830" spans="1:12" x14ac:dyDescent="0.25">
      <c r="A3830" t="s">
        <v>19</v>
      </c>
      <c r="B3830">
        <v>1185732</v>
      </c>
      <c r="C3830" s="1">
        <v>44362</v>
      </c>
      <c r="D3830" t="s">
        <v>57</v>
      </c>
      <c r="E3830" t="s">
        <v>118</v>
      </c>
      <c r="F3830" t="s">
        <v>119</v>
      </c>
      <c r="G3830" t="s">
        <v>41</v>
      </c>
      <c r="H3830" t="s">
        <v>17</v>
      </c>
      <c r="I3830" s="3">
        <v>38</v>
      </c>
      <c r="J3830" s="2">
        <v>33</v>
      </c>
      <c r="K3830" s="3">
        <f t="shared" si="59"/>
        <v>1254</v>
      </c>
      <c r="L3830" s="3">
        <v>627</v>
      </c>
    </row>
    <row r="3831" spans="1:12" x14ac:dyDescent="0.25">
      <c r="A3831" t="s">
        <v>19</v>
      </c>
      <c r="B3831">
        <v>1185732</v>
      </c>
      <c r="C3831" s="1">
        <v>44362</v>
      </c>
      <c r="D3831" t="s">
        <v>57</v>
      </c>
      <c r="E3831" t="s">
        <v>95</v>
      </c>
      <c r="F3831" t="s">
        <v>96</v>
      </c>
      <c r="G3831" t="s">
        <v>41</v>
      </c>
      <c r="H3831" t="s">
        <v>37</v>
      </c>
      <c r="I3831" s="3">
        <v>41</v>
      </c>
      <c r="J3831" s="2">
        <v>19</v>
      </c>
      <c r="K3831" s="3">
        <f t="shared" si="59"/>
        <v>779</v>
      </c>
      <c r="L3831" s="3">
        <v>366.13</v>
      </c>
    </row>
    <row r="3832" spans="1:12" x14ac:dyDescent="0.25">
      <c r="A3832" t="s">
        <v>19</v>
      </c>
      <c r="B3832">
        <v>1185732</v>
      </c>
      <c r="C3832" s="1">
        <v>44362</v>
      </c>
      <c r="D3832" t="s">
        <v>29</v>
      </c>
      <c r="E3832" t="s">
        <v>89</v>
      </c>
      <c r="F3832" t="s">
        <v>90</v>
      </c>
      <c r="G3832" t="s">
        <v>41</v>
      </c>
      <c r="H3832" t="s">
        <v>35</v>
      </c>
      <c r="I3832" s="3">
        <v>43</v>
      </c>
      <c r="J3832" s="2">
        <v>85</v>
      </c>
      <c r="K3832" s="3">
        <f t="shared" si="59"/>
        <v>3655</v>
      </c>
      <c r="L3832" s="3">
        <v>1717.85</v>
      </c>
    </row>
    <row r="3833" spans="1:12" x14ac:dyDescent="0.25">
      <c r="A3833" t="s">
        <v>19</v>
      </c>
      <c r="B3833">
        <v>1185732</v>
      </c>
      <c r="C3833" s="1">
        <v>44362</v>
      </c>
      <c r="D3833" t="s">
        <v>29</v>
      </c>
      <c r="E3833" t="s">
        <v>89</v>
      </c>
      <c r="F3833" t="s">
        <v>90</v>
      </c>
      <c r="G3833" t="s">
        <v>41</v>
      </c>
      <c r="H3833" t="s">
        <v>16</v>
      </c>
      <c r="I3833" s="3">
        <v>56</v>
      </c>
      <c r="J3833" s="2">
        <v>135</v>
      </c>
      <c r="K3833" s="3">
        <f t="shared" si="59"/>
        <v>7560</v>
      </c>
      <c r="L3833" s="3">
        <v>3553.2</v>
      </c>
    </row>
    <row r="3834" spans="1:12" x14ac:dyDescent="0.25">
      <c r="A3834" t="s">
        <v>19</v>
      </c>
      <c r="B3834">
        <v>1185732</v>
      </c>
      <c r="C3834" s="1">
        <v>44362</v>
      </c>
      <c r="D3834" t="s">
        <v>29</v>
      </c>
      <c r="E3834" t="s">
        <v>89</v>
      </c>
      <c r="F3834" t="s">
        <v>90</v>
      </c>
      <c r="G3834" t="s">
        <v>41</v>
      </c>
      <c r="H3834" t="s">
        <v>37</v>
      </c>
      <c r="I3834" s="3">
        <v>41</v>
      </c>
      <c r="J3834" s="2">
        <v>75</v>
      </c>
      <c r="K3834" s="3">
        <f t="shared" si="59"/>
        <v>3075</v>
      </c>
      <c r="L3834" s="3">
        <v>1383.7499999999998</v>
      </c>
    </row>
    <row r="3835" spans="1:12" x14ac:dyDescent="0.25">
      <c r="A3835" t="s">
        <v>19</v>
      </c>
      <c r="B3835">
        <v>1185732</v>
      </c>
      <c r="C3835" s="1">
        <v>44363</v>
      </c>
      <c r="D3835" t="s">
        <v>57</v>
      </c>
      <c r="E3835" t="s">
        <v>95</v>
      </c>
      <c r="F3835" t="s">
        <v>96</v>
      </c>
      <c r="G3835" t="s">
        <v>15</v>
      </c>
      <c r="H3835" t="s">
        <v>22</v>
      </c>
      <c r="I3835" s="3">
        <v>60</v>
      </c>
      <c r="J3835" s="2">
        <v>125</v>
      </c>
      <c r="K3835" s="3">
        <f t="shared" si="59"/>
        <v>7500</v>
      </c>
      <c r="L3835" s="3">
        <v>4875</v>
      </c>
    </row>
    <row r="3836" spans="1:12" x14ac:dyDescent="0.25">
      <c r="A3836" t="s">
        <v>19</v>
      </c>
      <c r="B3836">
        <v>1185732</v>
      </c>
      <c r="C3836" s="1">
        <v>44363</v>
      </c>
      <c r="D3836" t="s">
        <v>57</v>
      </c>
      <c r="E3836" t="s">
        <v>118</v>
      </c>
      <c r="F3836" t="s">
        <v>119</v>
      </c>
      <c r="G3836" t="s">
        <v>15</v>
      </c>
      <c r="H3836" t="s">
        <v>35</v>
      </c>
      <c r="I3836" s="3">
        <v>35</v>
      </c>
      <c r="J3836" s="2">
        <v>100</v>
      </c>
      <c r="K3836" s="3">
        <f t="shared" si="59"/>
        <v>3500</v>
      </c>
      <c r="L3836" s="3">
        <v>2275</v>
      </c>
    </row>
    <row r="3837" spans="1:12" x14ac:dyDescent="0.25">
      <c r="A3837" t="s">
        <v>19</v>
      </c>
      <c r="B3837">
        <v>1185732</v>
      </c>
      <c r="C3837" s="1">
        <v>44363</v>
      </c>
      <c r="D3837" t="s">
        <v>57</v>
      </c>
      <c r="E3837" t="s">
        <v>95</v>
      </c>
      <c r="F3837" t="s">
        <v>96</v>
      </c>
      <c r="G3837" t="s">
        <v>41</v>
      </c>
      <c r="H3837" t="s">
        <v>22</v>
      </c>
      <c r="I3837" s="3">
        <v>56</v>
      </c>
      <c r="J3837" s="2">
        <v>38</v>
      </c>
      <c r="K3837" s="3">
        <f t="shared" si="59"/>
        <v>2128</v>
      </c>
      <c r="L3837" s="3">
        <v>1127.8400000000001</v>
      </c>
    </row>
    <row r="3838" spans="1:12" x14ac:dyDescent="0.25">
      <c r="A3838" t="s">
        <v>19</v>
      </c>
      <c r="B3838">
        <v>1185732</v>
      </c>
      <c r="C3838" s="1">
        <v>44363</v>
      </c>
      <c r="D3838" t="s">
        <v>57</v>
      </c>
      <c r="E3838" t="s">
        <v>118</v>
      </c>
      <c r="F3838" t="s">
        <v>119</v>
      </c>
      <c r="G3838" t="s">
        <v>41</v>
      </c>
      <c r="H3838" t="s">
        <v>35</v>
      </c>
      <c r="I3838" s="3">
        <v>32</v>
      </c>
      <c r="J3838" s="2">
        <v>30</v>
      </c>
      <c r="K3838" s="3">
        <f t="shared" si="59"/>
        <v>960</v>
      </c>
      <c r="L3838" s="3">
        <v>499.20000000000005</v>
      </c>
    </row>
    <row r="3839" spans="1:12" x14ac:dyDescent="0.25">
      <c r="A3839" t="s">
        <v>23</v>
      </c>
      <c r="B3839">
        <v>1128299</v>
      </c>
      <c r="C3839" s="1">
        <v>44364</v>
      </c>
      <c r="D3839" t="s">
        <v>32</v>
      </c>
      <c r="E3839" t="s">
        <v>33</v>
      </c>
      <c r="F3839" t="s">
        <v>34</v>
      </c>
      <c r="G3839" t="s">
        <v>18</v>
      </c>
      <c r="H3839" t="s">
        <v>22</v>
      </c>
      <c r="I3839" s="3">
        <v>95</v>
      </c>
      <c r="J3839" s="2">
        <v>450</v>
      </c>
      <c r="K3839" s="3">
        <f t="shared" si="59"/>
        <v>42750</v>
      </c>
      <c r="L3839" s="3">
        <v>34200</v>
      </c>
    </row>
    <row r="3840" spans="1:12" x14ac:dyDescent="0.25">
      <c r="A3840" t="s">
        <v>23</v>
      </c>
      <c r="B3840">
        <v>1128299</v>
      </c>
      <c r="C3840" s="1">
        <v>44364</v>
      </c>
      <c r="D3840" t="s">
        <v>32</v>
      </c>
      <c r="E3840" t="s">
        <v>33</v>
      </c>
      <c r="F3840" t="s">
        <v>34</v>
      </c>
      <c r="G3840" t="s">
        <v>18</v>
      </c>
      <c r="H3840" t="s">
        <v>17</v>
      </c>
      <c r="I3840" s="3">
        <v>70</v>
      </c>
      <c r="J3840" s="2">
        <v>700</v>
      </c>
      <c r="K3840" s="3">
        <f t="shared" si="59"/>
        <v>49000</v>
      </c>
      <c r="L3840" s="3">
        <v>36750</v>
      </c>
    </row>
    <row r="3841" spans="1:12" x14ac:dyDescent="0.25">
      <c r="A3841" t="s">
        <v>23</v>
      </c>
      <c r="B3841">
        <v>1128299</v>
      </c>
      <c r="C3841" s="1">
        <v>44364</v>
      </c>
      <c r="D3841" t="s">
        <v>32</v>
      </c>
      <c r="E3841" t="s">
        <v>33</v>
      </c>
      <c r="F3841" t="s">
        <v>34</v>
      </c>
      <c r="G3841" t="s">
        <v>18</v>
      </c>
      <c r="H3841" t="s">
        <v>35</v>
      </c>
      <c r="I3841" s="3">
        <v>85</v>
      </c>
      <c r="J3841" s="2">
        <v>700</v>
      </c>
      <c r="K3841" s="3">
        <f t="shared" si="59"/>
        <v>59500</v>
      </c>
      <c r="L3841" s="3">
        <v>41650</v>
      </c>
    </row>
    <row r="3842" spans="1:12" x14ac:dyDescent="0.25">
      <c r="A3842" t="s">
        <v>23</v>
      </c>
      <c r="B3842">
        <v>1128299</v>
      </c>
      <c r="C3842" s="1">
        <v>44364</v>
      </c>
      <c r="D3842" t="s">
        <v>32</v>
      </c>
      <c r="E3842" t="s">
        <v>33</v>
      </c>
      <c r="F3842" t="s">
        <v>34</v>
      </c>
      <c r="G3842" t="s">
        <v>18</v>
      </c>
      <c r="H3842" t="s">
        <v>37</v>
      </c>
      <c r="I3842" s="3">
        <v>85</v>
      </c>
      <c r="J3842" s="2">
        <v>575</v>
      </c>
      <c r="K3842" s="3">
        <f t="shared" si="59"/>
        <v>48875</v>
      </c>
      <c r="L3842" s="3">
        <v>34212.5</v>
      </c>
    </row>
    <row r="3843" spans="1:12" x14ac:dyDescent="0.25">
      <c r="A3843" t="s">
        <v>26</v>
      </c>
      <c r="B3843">
        <v>1185732</v>
      </c>
      <c r="C3843" s="1">
        <v>44364</v>
      </c>
      <c r="D3843" t="s">
        <v>57</v>
      </c>
      <c r="E3843" t="s">
        <v>70</v>
      </c>
      <c r="F3843" t="s">
        <v>71</v>
      </c>
      <c r="G3843" t="s">
        <v>18</v>
      </c>
      <c r="H3843" t="s">
        <v>35</v>
      </c>
      <c r="I3843" s="3">
        <v>45</v>
      </c>
      <c r="J3843" s="2">
        <v>550</v>
      </c>
      <c r="K3843" s="3">
        <f t="shared" ref="K3843:K3906" si="60">I3843*J3843</f>
        <v>24750</v>
      </c>
      <c r="L3843" s="3">
        <v>17325</v>
      </c>
    </row>
    <row r="3844" spans="1:12" x14ac:dyDescent="0.25">
      <c r="A3844" t="s">
        <v>23</v>
      </c>
      <c r="B3844">
        <v>1128299</v>
      </c>
      <c r="C3844" s="1">
        <v>44364</v>
      </c>
      <c r="D3844" t="s">
        <v>32</v>
      </c>
      <c r="E3844" t="s">
        <v>33</v>
      </c>
      <c r="F3844" t="s">
        <v>34</v>
      </c>
      <c r="G3844" t="s">
        <v>15</v>
      </c>
      <c r="H3844" t="s">
        <v>38</v>
      </c>
      <c r="I3844" s="3">
        <v>64.999999999999986</v>
      </c>
      <c r="J3844" s="2">
        <v>825</v>
      </c>
      <c r="K3844" s="3">
        <f t="shared" si="60"/>
        <v>53624.999999999985</v>
      </c>
      <c r="L3844" s="3">
        <v>37537.499999999985</v>
      </c>
    </row>
    <row r="3845" spans="1:12" x14ac:dyDescent="0.25">
      <c r="A3845" t="s">
        <v>26</v>
      </c>
      <c r="B3845">
        <v>1185732</v>
      </c>
      <c r="C3845" s="1">
        <v>44364</v>
      </c>
      <c r="D3845" t="s">
        <v>57</v>
      </c>
      <c r="E3845" t="s">
        <v>70</v>
      </c>
      <c r="F3845" t="s">
        <v>71</v>
      </c>
      <c r="G3845" t="s">
        <v>18</v>
      </c>
      <c r="H3845" t="s">
        <v>37</v>
      </c>
      <c r="I3845" s="3">
        <v>45</v>
      </c>
      <c r="J3845" s="2">
        <v>525</v>
      </c>
      <c r="K3845" s="3">
        <f t="shared" si="60"/>
        <v>23625</v>
      </c>
      <c r="L3845" s="3">
        <v>15356.25</v>
      </c>
    </row>
    <row r="3846" spans="1:12" x14ac:dyDescent="0.25">
      <c r="A3846" t="s">
        <v>11</v>
      </c>
      <c r="B3846">
        <v>1128299</v>
      </c>
      <c r="C3846" s="1">
        <v>44364</v>
      </c>
      <c r="D3846" t="s">
        <v>52</v>
      </c>
      <c r="E3846" t="s">
        <v>64</v>
      </c>
      <c r="F3846" t="s">
        <v>65</v>
      </c>
      <c r="G3846" t="s">
        <v>41</v>
      </c>
      <c r="H3846" t="s">
        <v>16</v>
      </c>
      <c r="I3846" s="3">
        <v>110.00000000000001</v>
      </c>
      <c r="J3846" s="2">
        <v>750</v>
      </c>
      <c r="K3846" s="3">
        <f t="shared" si="60"/>
        <v>82500.000000000015</v>
      </c>
      <c r="L3846" s="3">
        <v>53625.000000000015</v>
      </c>
    </row>
    <row r="3847" spans="1:12" x14ac:dyDescent="0.25">
      <c r="A3847" t="s">
        <v>19</v>
      </c>
      <c r="B3847">
        <v>1185732</v>
      </c>
      <c r="C3847" s="1">
        <v>44364</v>
      </c>
      <c r="D3847" t="s">
        <v>57</v>
      </c>
      <c r="E3847" t="s">
        <v>118</v>
      </c>
      <c r="F3847" t="s">
        <v>119</v>
      </c>
      <c r="G3847" t="s">
        <v>15</v>
      </c>
      <c r="H3847" t="s">
        <v>37</v>
      </c>
      <c r="I3847" s="3">
        <v>35</v>
      </c>
      <c r="J3847" s="2">
        <v>25</v>
      </c>
      <c r="K3847" s="3">
        <f t="shared" si="60"/>
        <v>875</v>
      </c>
      <c r="L3847" s="3">
        <v>525</v>
      </c>
    </row>
    <row r="3848" spans="1:12" x14ac:dyDescent="0.25">
      <c r="A3848" t="s">
        <v>26</v>
      </c>
      <c r="B3848">
        <v>1185732</v>
      </c>
      <c r="C3848" s="1">
        <v>44364</v>
      </c>
      <c r="D3848" t="s">
        <v>57</v>
      </c>
      <c r="E3848" t="s">
        <v>70</v>
      </c>
      <c r="F3848" t="s">
        <v>71</v>
      </c>
      <c r="G3848" t="s">
        <v>18</v>
      </c>
      <c r="H3848" t="s">
        <v>17</v>
      </c>
      <c r="I3848" s="3">
        <v>50</v>
      </c>
      <c r="J3848" s="2">
        <v>575</v>
      </c>
      <c r="K3848" s="3">
        <f t="shared" si="60"/>
        <v>28750</v>
      </c>
      <c r="L3848" s="3">
        <v>17250</v>
      </c>
    </row>
    <row r="3849" spans="1:12" x14ac:dyDescent="0.25">
      <c r="A3849" t="s">
        <v>26</v>
      </c>
      <c r="B3849">
        <v>1185732</v>
      </c>
      <c r="C3849" s="1">
        <v>44364</v>
      </c>
      <c r="D3849" t="s">
        <v>57</v>
      </c>
      <c r="E3849" t="s">
        <v>70</v>
      </c>
      <c r="F3849" t="s">
        <v>71</v>
      </c>
      <c r="G3849" t="s">
        <v>18</v>
      </c>
      <c r="H3849" t="s">
        <v>22</v>
      </c>
      <c r="I3849" s="3">
        <v>60</v>
      </c>
      <c r="J3849" s="2">
        <v>525</v>
      </c>
      <c r="K3849" s="3">
        <f t="shared" si="60"/>
        <v>31500</v>
      </c>
      <c r="L3849" s="3">
        <v>18900</v>
      </c>
    </row>
    <row r="3850" spans="1:12" x14ac:dyDescent="0.25">
      <c r="A3850" t="s">
        <v>11</v>
      </c>
      <c r="B3850">
        <v>1128299</v>
      </c>
      <c r="C3850" s="1">
        <v>44364</v>
      </c>
      <c r="D3850" t="s">
        <v>52</v>
      </c>
      <c r="E3850" t="s">
        <v>64</v>
      </c>
      <c r="F3850" t="s">
        <v>65</v>
      </c>
      <c r="G3850" t="s">
        <v>41</v>
      </c>
      <c r="H3850" t="s">
        <v>38</v>
      </c>
      <c r="I3850" s="3">
        <v>60</v>
      </c>
      <c r="J3850" s="2">
        <v>825</v>
      </c>
      <c r="K3850" s="3">
        <f t="shared" si="60"/>
        <v>49500</v>
      </c>
      <c r="L3850" s="3">
        <v>29700</v>
      </c>
    </row>
    <row r="3851" spans="1:12" x14ac:dyDescent="0.25">
      <c r="A3851" t="s">
        <v>11</v>
      </c>
      <c r="B3851">
        <v>1128299</v>
      </c>
      <c r="C3851" s="1">
        <v>44364</v>
      </c>
      <c r="D3851" t="s">
        <v>52</v>
      </c>
      <c r="E3851" t="s">
        <v>64</v>
      </c>
      <c r="F3851" t="s">
        <v>65</v>
      </c>
      <c r="G3851" t="s">
        <v>41</v>
      </c>
      <c r="H3851" t="s">
        <v>17</v>
      </c>
      <c r="I3851" s="3">
        <v>70</v>
      </c>
      <c r="J3851" s="2">
        <v>700</v>
      </c>
      <c r="K3851" s="3">
        <f t="shared" si="60"/>
        <v>49000</v>
      </c>
      <c r="L3851" s="3">
        <v>29400</v>
      </c>
    </row>
    <row r="3852" spans="1:12" x14ac:dyDescent="0.25">
      <c r="A3852" t="s">
        <v>11</v>
      </c>
      <c r="B3852">
        <v>1128299</v>
      </c>
      <c r="C3852" s="1">
        <v>44364</v>
      </c>
      <c r="D3852" t="s">
        <v>52</v>
      </c>
      <c r="E3852" t="s">
        <v>64</v>
      </c>
      <c r="F3852" t="s">
        <v>65</v>
      </c>
      <c r="G3852" t="s">
        <v>41</v>
      </c>
      <c r="H3852" t="s">
        <v>35</v>
      </c>
      <c r="I3852" s="3">
        <v>85</v>
      </c>
      <c r="J3852" s="2">
        <v>700</v>
      </c>
      <c r="K3852" s="3">
        <f t="shared" si="60"/>
        <v>59500</v>
      </c>
      <c r="L3852" s="3">
        <v>35700</v>
      </c>
    </row>
    <row r="3853" spans="1:12" x14ac:dyDescent="0.25">
      <c r="A3853" t="s">
        <v>11</v>
      </c>
      <c r="B3853">
        <v>1128299</v>
      </c>
      <c r="C3853" s="1">
        <v>44364</v>
      </c>
      <c r="D3853" t="s">
        <v>52</v>
      </c>
      <c r="E3853" t="s">
        <v>64</v>
      </c>
      <c r="F3853" t="s">
        <v>65</v>
      </c>
      <c r="G3853" t="s">
        <v>41</v>
      </c>
      <c r="H3853" t="s">
        <v>37</v>
      </c>
      <c r="I3853" s="3">
        <v>85</v>
      </c>
      <c r="J3853" s="2">
        <v>575</v>
      </c>
      <c r="K3853" s="3">
        <f t="shared" si="60"/>
        <v>48875</v>
      </c>
      <c r="L3853" s="3">
        <v>29325</v>
      </c>
    </row>
    <row r="3854" spans="1:12" x14ac:dyDescent="0.25">
      <c r="A3854" t="s">
        <v>11</v>
      </c>
      <c r="B3854">
        <v>1185732</v>
      </c>
      <c r="C3854" s="1">
        <v>44364</v>
      </c>
      <c r="D3854" t="s">
        <v>29</v>
      </c>
      <c r="E3854" t="s">
        <v>105</v>
      </c>
      <c r="F3854" t="s">
        <v>47</v>
      </c>
      <c r="G3854" t="s">
        <v>18</v>
      </c>
      <c r="H3854" t="s">
        <v>38</v>
      </c>
      <c r="I3854" s="3">
        <v>45</v>
      </c>
      <c r="J3854" s="2">
        <v>600</v>
      </c>
      <c r="K3854" s="3">
        <f t="shared" si="60"/>
        <v>27000</v>
      </c>
      <c r="L3854" s="3">
        <v>16200</v>
      </c>
    </row>
    <row r="3855" spans="1:12" x14ac:dyDescent="0.25">
      <c r="A3855" t="s">
        <v>11</v>
      </c>
      <c r="B3855">
        <v>1185732</v>
      </c>
      <c r="C3855" s="1">
        <v>44364</v>
      </c>
      <c r="D3855" t="s">
        <v>29</v>
      </c>
      <c r="E3855" t="s">
        <v>105</v>
      </c>
      <c r="F3855" t="s">
        <v>47</v>
      </c>
      <c r="G3855" t="s">
        <v>18</v>
      </c>
      <c r="H3855" t="s">
        <v>17</v>
      </c>
      <c r="I3855" s="3">
        <v>40.000000000000007</v>
      </c>
      <c r="J3855" s="2">
        <v>425</v>
      </c>
      <c r="K3855" s="3">
        <f t="shared" si="60"/>
        <v>17000.000000000004</v>
      </c>
      <c r="L3855" s="3">
        <v>10200.000000000002</v>
      </c>
    </row>
    <row r="3856" spans="1:12" x14ac:dyDescent="0.25">
      <c r="A3856" t="s">
        <v>11</v>
      </c>
      <c r="B3856">
        <v>1185732</v>
      </c>
      <c r="C3856" s="1">
        <v>44364</v>
      </c>
      <c r="D3856" t="s">
        <v>29</v>
      </c>
      <c r="E3856" t="s">
        <v>105</v>
      </c>
      <c r="F3856" t="s">
        <v>47</v>
      </c>
      <c r="G3856" t="s">
        <v>18</v>
      </c>
      <c r="H3856" t="s">
        <v>35</v>
      </c>
      <c r="I3856" s="3">
        <v>35</v>
      </c>
      <c r="J3856" s="2">
        <v>300</v>
      </c>
      <c r="K3856" s="3">
        <f t="shared" si="60"/>
        <v>10500</v>
      </c>
      <c r="L3856" s="3">
        <v>6300</v>
      </c>
    </row>
    <row r="3857" spans="1:12" x14ac:dyDescent="0.25">
      <c r="A3857" t="s">
        <v>11</v>
      </c>
      <c r="B3857">
        <v>1185732</v>
      </c>
      <c r="C3857" s="1">
        <v>44364</v>
      </c>
      <c r="D3857" t="s">
        <v>29</v>
      </c>
      <c r="E3857" t="s">
        <v>105</v>
      </c>
      <c r="F3857" t="s">
        <v>47</v>
      </c>
      <c r="G3857" t="s">
        <v>18</v>
      </c>
      <c r="H3857" t="s">
        <v>37</v>
      </c>
      <c r="I3857" s="3">
        <v>35</v>
      </c>
      <c r="J3857" s="2">
        <v>275</v>
      </c>
      <c r="K3857" s="3">
        <f t="shared" si="60"/>
        <v>9625</v>
      </c>
      <c r="L3857" s="3">
        <v>5775</v>
      </c>
    </row>
    <row r="3858" spans="1:12" x14ac:dyDescent="0.25">
      <c r="A3858" t="s">
        <v>11</v>
      </c>
      <c r="B3858">
        <v>1185732</v>
      </c>
      <c r="C3858" s="1">
        <v>44364</v>
      </c>
      <c r="D3858" t="s">
        <v>29</v>
      </c>
      <c r="E3858" t="s">
        <v>105</v>
      </c>
      <c r="F3858" t="s">
        <v>47</v>
      </c>
      <c r="G3858" t="s">
        <v>18</v>
      </c>
      <c r="H3858" t="s">
        <v>22</v>
      </c>
      <c r="I3858" s="3">
        <v>45</v>
      </c>
      <c r="J3858" s="2">
        <v>275</v>
      </c>
      <c r="K3858" s="3">
        <f t="shared" si="60"/>
        <v>12375</v>
      </c>
      <c r="L3858" s="3">
        <v>7425</v>
      </c>
    </row>
    <row r="3859" spans="1:12" x14ac:dyDescent="0.25">
      <c r="A3859" t="s">
        <v>11</v>
      </c>
      <c r="B3859">
        <v>1185732</v>
      </c>
      <c r="C3859" s="1">
        <v>44364</v>
      </c>
      <c r="D3859" t="s">
        <v>29</v>
      </c>
      <c r="E3859" t="s">
        <v>105</v>
      </c>
      <c r="F3859" t="s">
        <v>47</v>
      </c>
      <c r="G3859" t="s">
        <v>18</v>
      </c>
      <c r="H3859" t="s">
        <v>16</v>
      </c>
      <c r="I3859" s="3">
        <v>65.000000000000014</v>
      </c>
      <c r="J3859" s="2">
        <v>425</v>
      </c>
      <c r="K3859" s="3">
        <f t="shared" si="60"/>
        <v>27625.000000000007</v>
      </c>
      <c r="L3859" s="3">
        <v>16575.000000000004</v>
      </c>
    </row>
    <row r="3860" spans="1:12" x14ac:dyDescent="0.25">
      <c r="A3860" t="s">
        <v>23</v>
      </c>
      <c r="B3860">
        <v>1128299</v>
      </c>
      <c r="C3860" s="1">
        <v>44364</v>
      </c>
      <c r="D3860" t="s">
        <v>32</v>
      </c>
      <c r="E3860" t="s">
        <v>33</v>
      </c>
      <c r="F3860" t="s">
        <v>34</v>
      </c>
      <c r="G3860" t="s">
        <v>18</v>
      </c>
      <c r="H3860" t="s">
        <v>16</v>
      </c>
      <c r="I3860" s="3">
        <v>110.00000000000001</v>
      </c>
      <c r="J3860" s="2">
        <v>750</v>
      </c>
      <c r="K3860" s="3">
        <f t="shared" si="60"/>
        <v>82500.000000000015</v>
      </c>
      <c r="L3860" s="3">
        <v>45375.000000000007</v>
      </c>
    </row>
    <row r="3861" spans="1:12" x14ac:dyDescent="0.25">
      <c r="A3861" t="s">
        <v>11</v>
      </c>
      <c r="B3861">
        <v>1128299</v>
      </c>
      <c r="C3861" s="1">
        <v>44364</v>
      </c>
      <c r="D3861" t="s">
        <v>52</v>
      </c>
      <c r="E3861" t="s">
        <v>64</v>
      </c>
      <c r="F3861" t="s">
        <v>65</v>
      </c>
      <c r="G3861" t="s">
        <v>41</v>
      </c>
      <c r="H3861" t="s">
        <v>22</v>
      </c>
      <c r="I3861" s="3">
        <v>95</v>
      </c>
      <c r="J3861" s="2">
        <v>450</v>
      </c>
      <c r="K3861" s="3">
        <f t="shared" si="60"/>
        <v>42750</v>
      </c>
      <c r="L3861" s="3">
        <v>23512.5</v>
      </c>
    </row>
    <row r="3862" spans="1:12" x14ac:dyDescent="0.25">
      <c r="A3862" t="s">
        <v>19</v>
      </c>
      <c r="B3862">
        <v>1185732</v>
      </c>
      <c r="C3862" s="1">
        <v>44364</v>
      </c>
      <c r="D3862" t="s">
        <v>57</v>
      </c>
      <c r="E3862" t="s">
        <v>95</v>
      </c>
      <c r="F3862" t="s">
        <v>96</v>
      </c>
      <c r="G3862" t="s">
        <v>15</v>
      </c>
      <c r="H3862" t="s">
        <v>16</v>
      </c>
      <c r="I3862" s="3">
        <v>50</v>
      </c>
      <c r="J3862" s="2">
        <v>225</v>
      </c>
      <c r="K3862" s="3">
        <f t="shared" si="60"/>
        <v>11250</v>
      </c>
      <c r="L3862" s="3">
        <v>5625</v>
      </c>
    </row>
    <row r="3863" spans="1:12" x14ac:dyDescent="0.25">
      <c r="A3863" t="s">
        <v>26</v>
      </c>
      <c r="B3863">
        <v>1185732</v>
      </c>
      <c r="C3863" s="1">
        <v>44364</v>
      </c>
      <c r="D3863" t="s">
        <v>57</v>
      </c>
      <c r="E3863" t="s">
        <v>70</v>
      </c>
      <c r="F3863" t="s">
        <v>71</v>
      </c>
      <c r="G3863" t="s">
        <v>18</v>
      </c>
      <c r="H3863" t="s">
        <v>38</v>
      </c>
      <c r="I3863" s="3">
        <v>54.999999999999993</v>
      </c>
      <c r="J3863" s="2">
        <v>825</v>
      </c>
      <c r="K3863" s="3">
        <f t="shared" si="60"/>
        <v>45374.999999999993</v>
      </c>
      <c r="L3863" s="3">
        <v>22687.499999999996</v>
      </c>
    </row>
    <row r="3864" spans="1:12" x14ac:dyDescent="0.25">
      <c r="A3864" t="s">
        <v>26</v>
      </c>
      <c r="B3864">
        <v>1185732</v>
      </c>
      <c r="C3864" s="1">
        <v>44364</v>
      </c>
      <c r="D3864" t="s">
        <v>57</v>
      </c>
      <c r="E3864" t="s">
        <v>70</v>
      </c>
      <c r="F3864" t="s">
        <v>71</v>
      </c>
      <c r="G3864" t="s">
        <v>18</v>
      </c>
      <c r="H3864" t="s">
        <v>16</v>
      </c>
      <c r="I3864" s="3">
        <v>65</v>
      </c>
      <c r="J3864" s="2">
        <v>675</v>
      </c>
      <c r="K3864" s="3">
        <f t="shared" si="60"/>
        <v>43875</v>
      </c>
      <c r="L3864" s="3">
        <v>19743.749999999996</v>
      </c>
    </row>
    <row r="3865" spans="1:12" x14ac:dyDescent="0.25">
      <c r="A3865" t="s">
        <v>23</v>
      </c>
      <c r="B3865">
        <v>1128299</v>
      </c>
      <c r="C3865" s="1">
        <v>44364</v>
      </c>
      <c r="D3865" t="s">
        <v>32</v>
      </c>
      <c r="E3865" t="s">
        <v>33</v>
      </c>
      <c r="F3865" t="s">
        <v>34</v>
      </c>
      <c r="G3865" t="s">
        <v>15</v>
      </c>
      <c r="H3865" t="s">
        <v>22</v>
      </c>
      <c r="I3865" s="3">
        <v>71</v>
      </c>
      <c r="J3865" s="2">
        <v>153</v>
      </c>
      <c r="K3865" s="3">
        <f t="shared" si="60"/>
        <v>10863</v>
      </c>
      <c r="L3865" s="3">
        <v>8473.14</v>
      </c>
    </row>
    <row r="3866" spans="1:12" x14ac:dyDescent="0.25">
      <c r="A3866" t="s">
        <v>23</v>
      </c>
      <c r="B3866">
        <v>1128299</v>
      </c>
      <c r="C3866" s="1">
        <v>44364</v>
      </c>
      <c r="D3866" t="s">
        <v>32</v>
      </c>
      <c r="E3866" t="s">
        <v>33</v>
      </c>
      <c r="F3866" t="s">
        <v>34</v>
      </c>
      <c r="G3866" t="s">
        <v>15</v>
      </c>
      <c r="H3866" t="s">
        <v>17</v>
      </c>
      <c r="I3866" s="3">
        <v>53</v>
      </c>
      <c r="J3866" s="2">
        <v>224</v>
      </c>
      <c r="K3866" s="3">
        <f t="shared" si="60"/>
        <v>11872</v>
      </c>
      <c r="L3866" s="3">
        <v>8429.1200000000008</v>
      </c>
    </row>
    <row r="3867" spans="1:12" x14ac:dyDescent="0.25">
      <c r="A3867" t="s">
        <v>23</v>
      </c>
      <c r="B3867">
        <v>1128299</v>
      </c>
      <c r="C3867" s="1">
        <v>44364</v>
      </c>
      <c r="D3867" t="s">
        <v>32</v>
      </c>
      <c r="E3867" t="s">
        <v>33</v>
      </c>
      <c r="F3867" t="s">
        <v>34</v>
      </c>
      <c r="G3867" t="s">
        <v>41</v>
      </c>
      <c r="H3867" t="s">
        <v>22</v>
      </c>
      <c r="I3867" s="3">
        <v>89</v>
      </c>
      <c r="J3867" s="2">
        <v>126</v>
      </c>
      <c r="K3867" s="3">
        <f t="shared" si="60"/>
        <v>11214</v>
      </c>
      <c r="L3867" s="3">
        <v>7625.52</v>
      </c>
    </row>
    <row r="3868" spans="1:12" x14ac:dyDescent="0.25">
      <c r="A3868" t="s">
        <v>23</v>
      </c>
      <c r="B3868">
        <v>1128299</v>
      </c>
      <c r="C3868" s="1">
        <v>44364</v>
      </c>
      <c r="D3868" t="s">
        <v>32</v>
      </c>
      <c r="E3868" t="s">
        <v>33</v>
      </c>
      <c r="F3868" t="s">
        <v>34</v>
      </c>
      <c r="G3868" t="s">
        <v>15</v>
      </c>
      <c r="H3868" t="s">
        <v>38</v>
      </c>
      <c r="I3868" s="3">
        <v>50</v>
      </c>
      <c r="J3868" s="2">
        <v>272</v>
      </c>
      <c r="K3868" s="3">
        <f t="shared" si="60"/>
        <v>13600</v>
      </c>
      <c r="L3868" s="3">
        <v>9248</v>
      </c>
    </row>
    <row r="3869" spans="1:12" x14ac:dyDescent="0.25">
      <c r="A3869" t="s">
        <v>23</v>
      </c>
      <c r="B3869">
        <v>1128299</v>
      </c>
      <c r="C3869" s="1">
        <v>44364</v>
      </c>
      <c r="D3869" t="s">
        <v>32</v>
      </c>
      <c r="E3869" t="s">
        <v>33</v>
      </c>
      <c r="F3869" t="s">
        <v>34</v>
      </c>
      <c r="G3869" t="s">
        <v>15</v>
      </c>
      <c r="H3869" t="s">
        <v>35</v>
      </c>
      <c r="I3869" s="3">
        <v>60</v>
      </c>
      <c r="J3869" s="2">
        <v>238</v>
      </c>
      <c r="K3869" s="3">
        <f t="shared" si="60"/>
        <v>14280</v>
      </c>
      <c r="L3869" s="3">
        <v>9567.6</v>
      </c>
    </row>
    <row r="3870" spans="1:12" x14ac:dyDescent="0.25">
      <c r="A3870" t="s">
        <v>23</v>
      </c>
      <c r="B3870">
        <v>1128299</v>
      </c>
      <c r="C3870" s="1">
        <v>44364</v>
      </c>
      <c r="D3870" t="s">
        <v>32</v>
      </c>
      <c r="E3870" t="s">
        <v>33</v>
      </c>
      <c r="F3870" t="s">
        <v>34</v>
      </c>
      <c r="G3870" t="s">
        <v>41</v>
      </c>
      <c r="H3870" t="s">
        <v>17</v>
      </c>
      <c r="I3870" s="3">
        <v>64</v>
      </c>
      <c r="J3870" s="2">
        <v>203</v>
      </c>
      <c r="K3870" s="3">
        <f t="shared" si="60"/>
        <v>12992</v>
      </c>
      <c r="L3870" s="3">
        <v>8444.7999999999993</v>
      </c>
    </row>
    <row r="3871" spans="1:12" x14ac:dyDescent="0.25">
      <c r="A3871" t="s">
        <v>23</v>
      </c>
      <c r="B3871">
        <v>1128299</v>
      </c>
      <c r="C3871" s="1">
        <v>44364</v>
      </c>
      <c r="D3871" t="s">
        <v>32</v>
      </c>
      <c r="E3871" t="s">
        <v>33</v>
      </c>
      <c r="F3871" t="s">
        <v>34</v>
      </c>
      <c r="G3871" t="s">
        <v>15</v>
      </c>
      <c r="H3871" t="s">
        <v>37</v>
      </c>
      <c r="I3871" s="3">
        <v>66</v>
      </c>
      <c r="J3871" s="2">
        <v>196</v>
      </c>
      <c r="K3871" s="3">
        <f t="shared" si="60"/>
        <v>12936</v>
      </c>
      <c r="L3871" s="3">
        <v>8149.68</v>
      </c>
    </row>
    <row r="3872" spans="1:12" x14ac:dyDescent="0.25">
      <c r="A3872" t="s">
        <v>11</v>
      </c>
      <c r="B3872">
        <v>1128299</v>
      </c>
      <c r="C3872" s="1">
        <v>44364</v>
      </c>
      <c r="D3872" t="s">
        <v>52</v>
      </c>
      <c r="E3872" t="s">
        <v>64</v>
      </c>
      <c r="F3872" t="s">
        <v>65</v>
      </c>
      <c r="G3872" t="s">
        <v>15</v>
      </c>
      <c r="H3872" t="s">
        <v>16</v>
      </c>
      <c r="I3872" s="3">
        <v>80</v>
      </c>
      <c r="J3872" s="2">
        <v>248</v>
      </c>
      <c r="K3872" s="3">
        <f t="shared" si="60"/>
        <v>19840</v>
      </c>
      <c r="L3872" s="3">
        <v>11705.6</v>
      </c>
    </row>
    <row r="3873" spans="1:12" x14ac:dyDescent="0.25">
      <c r="A3873" t="s">
        <v>23</v>
      </c>
      <c r="B3873">
        <v>1128299</v>
      </c>
      <c r="C3873" s="1">
        <v>44364</v>
      </c>
      <c r="D3873" t="s">
        <v>32</v>
      </c>
      <c r="E3873" t="s">
        <v>33</v>
      </c>
      <c r="F3873" t="s">
        <v>34</v>
      </c>
      <c r="G3873" t="s">
        <v>41</v>
      </c>
      <c r="H3873" t="s">
        <v>37</v>
      </c>
      <c r="I3873" s="3">
        <v>77</v>
      </c>
      <c r="J3873" s="2">
        <v>155</v>
      </c>
      <c r="K3873" s="3">
        <f t="shared" si="60"/>
        <v>11935</v>
      </c>
      <c r="L3873" s="3">
        <v>6922.3</v>
      </c>
    </row>
    <row r="3874" spans="1:12" x14ac:dyDescent="0.25">
      <c r="A3874" t="s">
        <v>23</v>
      </c>
      <c r="B3874">
        <v>1128299</v>
      </c>
      <c r="C3874" s="1">
        <v>44364</v>
      </c>
      <c r="D3874" t="s">
        <v>32</v>
      </c>
      <c r="E3874" t="s">
        <v>33</v>
      </c>
      <c r="F3874" t="s">
        <v>34</v>
      </c>
      <c r="G3874" t="s">
        <v>41</v>
      </c>
      <c r="H3874" t="s">
        <v>35</v>
      </c>
      <c r="I3874" s="3">
        <v>80</v>
      </c>
      <c r="J3874" s="2">
        <v>210</v>
      </c>
      <c r="K3874" s="3">
        <f t="shared" si="60"/>
        <v>16800</v>
      </c>
      <c r="L3874" s="3">
        <v>9576</v>
      </c>
    </row>
    <row r="3875" spans="1:12" x14ac:dyDescent="0.25">
      <c r="A3875" t="s">
        <v>11</v>
      </c>
      <c r="B3875">
        <v>1128299</v>
      </c>
      <c r="C3875" s="1">
        <v>44364</v>
      </c>
      <c r="D3875" t="s">
        <v>52</v>
      </c>
      <c r="E3875" t="s">
        <v>64</v>
      </c>
      <c r="F3875" t="s">
        <v>65</v>
      </c>
      <c r="G3875" t="s">
        <v>15</v>
      </c>
      <c r="H3875" t="s">
        <v>35</v>
      </c>
      <c r="I3875" s="3">
        <v>55</v>
      </c>
      <c r="J3875" s="2">
        <v>210</v>
      </c>
      <c r="K3875" s="3">
        <f t="shared" si="60"/>
        <v>11550</v>
      </c>
      <c r="L3875" s="3">
        <v>6468.0000000000009</v>
      </c>
    </row>
    <row r="3876" spans="1:12" x14ac:dyDescent="0.25">
      <c r="A3876" t="s">
        <v>26</v>
      </c>
      <c r="B3876">
        <v>1185732</v>
      </c>
      <c r="C3876" s="1">
        <v>44364</v>
      </c>
      <c r="D3876" t="s">
        <v>57</v>
      </c>
      <c r="E3876" t="s">
        <v>70</v>
      </c>
      <c r="F3876" t="s">
        <v>71</v>
      </c>
      <c r="G3876" t="s">
        <v>41</v>
      </c>
      <c r="H3876" t="s">
        <v>35</v>
      </c>
      <c r="I3876" s="3">
        <v>41</v>
      </c>
      <c r="J3876" s="2">
        <v>138</v>
      </c>
      <c r="K3876" s="3">
        <f t="shared" si="60"/>
        <v>5658</v>
      </c>
      <c r="L3876" s="3">
        <v>3168.48</v>
      </c>
    </row>
    <row r="3877" spans="1:12" x14ac:dyDescent="0.25">
      <c r="A3877" t="s">
        <v>11</v>
      </c>
      <c r="B3877">
        <v>1128299</v>
      </c>
      <c r="C3877" s="1">
        <v>44364</v>
      </c>
      <c r="D3877" t="s">
        <v>52</v>
      </c>
      <c r="E3877" t="s">
        <v>64</v>
      </c>
      <c r="F3877" t="s">
        <v>65</v>
      </c>
      <c r="G3877" t="s">
        <v>15</v>
      </c>
      <c r="H3877" t="s">
        <v>17</v>
      </c>
      <c r="I3877" s="3">
        <v>55</v>
      </c>
      <c r="J3877" s="2">
        <v>224</v>
      </c>
      <c r="K3877" s="3">
        <f t="shared" si="60"/>
        <v>12320</v>
      </c>
      <c r="L3877" s="3">
        <v>6776.0000000000009</v>
      </c>
    </row>
    <row r="3878" spans="1:12" x14ac:dyDescent="0.25">
      <c r="A3878" t="s">
        <v>23</v>
      </c>
      <c r="B3878">
        <v>1128299</v>
      </c>
      <c r="C3878" s="1">
        <v>44364</v>
      </c>
      <c r="D3878" t="s">
        <v>32</v>
      </c>
      <c r="E3878" t="s">
        <v>33</v>
      </c>
      <c r="F3878" t="s">
        <v>34</v>
      </c>
      <c r="G3878" t="s">
        <v>41</v>
      </c>
      <c r="H3878" t="s">
        <v>38</v>
      </c>
      <c r="I3878" s="3">
        <v>61</v>
      </c>
      <c r="J3878" s="2">
        <v>223</v>
      </c>
      <c r="K3878" s="3">
        <f t="shared" si="60"/>
        <v>13603</v>
      </c>
      <c r="L3878" s="3">
        <v>7481.6500000000005</v>
      </c>
    </row>
    <row r="3879" spans="1:12" x14ac:dyDescent="0.25">
      <c r="A3879" t="s">
        <v>11</v>
      </c>
      <c r="B3879">
        <v>1128299</v>
      </c>
      <c r="C3879" s="1">
        <v>44364</v>
      </c>
      <c r="D3879" t="s">
        <v>52</v>
      </c>
      <c r="E3879" t="s">
        <v>64</v>
      </c>
      <c r="F3879" t="s">
        <v>65</v>
      </c>
      <c r="G3879" t="s">
        <v>15</v>
      </c>
      <c r="H3879" t="s">
        <v>38</v>
      </c>
      <c r="I3879" s="3">
        <v>47</v>
      </c>
      <c r="J3879" s="2">
        <v>256</v>
      </c>
      <c r="K3879" s="3">
        <f t="shared" si="60"/>
        <v>12032</v>
      </c>
      <c r="L3879" s="3">
        <v>6376.96</v>
      </c>
    </row>
    <row r="3880" spans="1:12" x14ac:dyDescent="0.25">
      <c r="A3880" t="s">
        <v>11</v>
      </c>
      <c r="B3880">
        <v>1128299</v>
      </c>
      <c r="C3880" s="1">
        <v>44364</v>
      </c>
      <c r="D3880" t="s">
        <v>52</v>
      </c>
      <c r="E3880" t="s">
        <v>64</v>
      </c>
      <c r="F3880" t="s">
        <v>65</v>
      </c>
      <c r="G3880" t="s">
        <v>15</v>
      </c>
      <c r="H3880" t="s">
        <v>37</v>
      </c>
      <c r="I3880" s="3">
        <v>59</v>
      </c>
      <c r="J3880" s="2">
        <v>184</v>
      </c>
      <c r="K3880" s="3">
        <f t="shared" si="60"/>
        <v>10856</v>
      </c>
      <c r="L3880" s="3">
        <v>5753.68</v>
      </c>
    </row>
    <row r="3881" spans="1:12" x14ac:dyDescent="0.25">
      <c r="A3881" t="s">
        <v>23</v>
      </c>
      <c r="B3881">
        <v>1128299</v>
      </c>
      <c r="C3881" s="1">
        <v>44364</v>
      </c>
      <c r="D3881" t="s">
        <v>32</v>
      </c>
      <c r="E3881" t="s">
        <v>33</v>
      </c>
      <c r="F3881" t="s">
        <v>34</v>
      </c>
      <c r="G3881" t="s">
        <v>15</v>
      </c>
      <c r="H3881" t="s">
        <v>16</v>
      </c>
      <c r="I3881" s="3">
        <v>74</v>
      </c>
      <c r="J3881" s="2">
        <v>248</v>
      </c>
      <c r="K3881" s="3">
        <f t="shared" si="60"/>
        <v>18352</v>
      </c>
      <c r="L3881" s="3">
        <v>9726.56</v>
      </c>
    </row>
    <row r="3882" spans="1:12" x14ac:dyDescent="0.25">
      <c r="A3882" t="s">
        <v>11</v>
      </c>
      <c r="B3882">
        <v>1128299</v>
      </c>
      <c r="C3882" s="1">
        <v>44364</v>
      </c>
      <c r="D3882" t="s">
        <v>52</v>
      </c>
      <c r="E3882" t="s">
        <v>64</v>
      </c>
      <c r="F3882" t="s">
        <v>65</v>
      </c>
      <c r="G3882" t="s">
        <v>15</v>
      </c>
      <c r="H3882" t="s">
        <v>22</v>
      </c>
      <c r="I3882" s="3">
        <v>70</v>
      </c>
      <c r="J3882" s="2">
        <v>153</v>
      </c>
      <c r="K3882" s="3">
        <f t="shared" si="60"/>
        <v>10710</v>
      </c>
      <c r="L3882" s="3">
        <v>5676.2999999999993</v>
      </c>
    </row>
    <row r="3883" spans="1:12" x14ac:dyDescent="0.25">
      <c r="A3883" t="s">
        <v>26</v>
      </c>
      <c r="B3883">
        <v>1185732</v>
      </c>
      <c r="C3883" s="1">
        <v>44364</v>
      </c>
      <c r="D3883" t="s">
        <v>57</v>
      </c>
      <c r="E3883" t="s">
        <v>70</v>
      </c>
      <c r="F3883" t="s">
        <v>71</v>
      </c>
      <c r="G3883" t="s">
        <v>41</v>
      </c>
      <c r="H3883" t="s">
        <v>37</v>
      </c>
      <c r="I3883" s="3">
        <v>43</v>
      </c>
      <c r="J3883" s="2">
        <v>158</v>
      </c>
      <c r="K3883" s="3">
        <f t="shared" si="60"/>
        <v>6794</v>
      </c>
      <c r="L3883" s="3">
        <v>3532.88</v>
      </c>
    </row>
    <row r="3884" spans="1:12" x14ac:dyDescent="0.25">
      <c r="A3884" t="s">
        <v>11</v>
      </c>
      <c r="B3884">
        <v>1128299</v>
      </c>
      <c r="C3884" s="1">
        <v>44364</v>
      </c>
      <c r="D3884" t="s">
        <v>52</v>
      </c>
      <c r="E3884" t="s">
        <v>64</v>
      </c>
      <c r="F3884" t="s">
        <v>65</v>
      </c>
      <c r="G3884" t="s">
        <v>41</v>
      </c>
      <c r="H3884" t="s">
        <v>16</v>
      </c>
      <c r="I3884" s="3">
        <v>100</v>
      </c>
      <c r="J3884" s="2">
        <v>195</v>
      </c>
      <c r="K3884" s="3">
        <f t="shared" si="60"/>
        <v>19500</v>
      </c>
      <c r="L3884" s="3">
        <v>10140</v>
      </c>
    </row>
    <row r="3885" spans="1:12" x14ac:dyDescent="0.25">
      <c r="A3885" t="s">
        <v>11</v>
      </c>
      <c r="B3885">
        <v>1185732</v>
      </c>
      <c r="C3885" s="1">
        <v>44364</v>
      </c>
      <c r="D3885" t="s">
        <v>29</v>
      </c>
      <c r="E3885" t="s">
        <v>105</v>
      </c>
      <c r="F3885" t="s">
        <v>47</v>
      </c>
      <c r="G3885" t="s">
        <v>41</v>
      </c>
      <c r="H3885" t="s">
        <v>17</v>
      </c>
      <c r="I3885" s="3">
        <v>37</v>
      </c>
      <c r="J3885" s="2">
        <v>119</v>
      </c>
      <c r="K3885" s="3">
        <f t="shared" si="60"/>
        <v>4403</v>
      </c>
      <c r="L3885" s="3">
        <v>2201.5</v>
      </c>
    </row>
    <row r="3886" spans="1:12" x14ac:dyDescent="0.25">
      <c r="A3886" t="s">
        <v>11</v>
      </c>
      <c r="B3886">
        <v>1128299</v>
      </c>
      <c r="C3886" s="1">
        <v>44364</v>
      </c>
      <c r="D3886" t="s">
        <v>52</v>
      </c>
      <c r="E3886" t="s">
        <v>64</v>
      </c>
      <c r="F3886" t="s">
        <v>65</v>
      </c>
      <c r="G3886" t="s">
        <v>41</v>
      </c>
      <c r="H3886" t="s">
        <v>38</v>
      </c>
      <c r="I3886" s="3">
        <v>58</v>
      </c>
      <c r="J3886" s="2">
        <v>248</v>
      </c>
      <c r="K3886" s="3">
        <f t="shared" si="60"/>
        <v>14384</v>
      </c>
      <c r="L3886" s="3">
        <v>7048.16</v>
      </c>
    </row>
    <row r="3887" spans="1:12" x14ac:dyDescent="0.25">
      <c r="A3887" t="s">
        <v>11</v>
      </c>
      <c r="B3887">
        <v>1128299</v>
      </c>
      <c r="C3887" s="1">
        <v>44364</v>
      </c>
      <c r="D3887" t="s">
        <v>52</v>
      </c>
      <c r="E3887" t="s">
        <v>64</v>
      </c>
      <c r="F3887" t="s">
        <v>65</v>
      </c>
      <c r="G3887" t="s">
        <v>41</v>
      </c>
      <c r="H3887" t="s">
        <v>17</v>
      </c>
      <c r="I3887" s="3">
        <v>65</v>
      </c>
      <c r="J3887" s="2">
        <v>210</v>
      </c>
      <c r="K3887" s="3">
        <f t="shared" si="60"/>
        <v>13650</v>
      </c>
      <c r="L3887" s="3">
        <v>6552</v>
      </c>
    </row>
    <row r="3888" spans="1:12" x14ac:dyDescent="0.25">
      <c r="A3888" t="s">
        <v>11</v>
      </c>
      <c r="B3888">
        <v>1185732</v>
      </c>
      <c r="C3888" s="1">
        <v>44364</v>
      </c>
      <c r="D3888" t="s">
        <v>29</v>
      </c>
      <c r="E3888" t="s">
        <v>105</v>
      </c>
      <c r="F3888" t="s">
        <v>47</v>
      </c>
      <c r="G3888" t="s">
        <v>41</v>
      </c>
      <c r="H3888" t="s">
        <v>38</v>
      </c>
      <c r="I3888" s="3">
        <v>43</v>
      </c>
      <c r="J3888" s="2">
        <v>150</v>
      </c>
      <c r="K3888" s="3">
        <f t="shared" si="60"/>
        <v>6450</v>
      </c>
      <c r="L3888" s="3">
        <v>3096</v>
      </c>
    </row>
    <row r="3889" spans="1:12" x14ac:dyDescent="0.25">
      <c r="A3889" t="s">
        <v>11</v>
      </c>
      <c r="B3889">
        <v>1185732</v>
      </c>
      <c r="C3889" s="1">
        <v>44364</v>
      </c>
      <c r="D3889" t="s">
        <v>29</v>
      </c>
      <c r="E3889" t="s">
        <v>105</v>
      </c>
      <c r="F3889" t="s">
        <v>47</v>
      </c>
      <c r="G3889" t="s">
        <v>41</v>
      </c>
      <c r="H3889" t="s">
        <v>37</v>
      </c>
      <c r="I3889" s="3">
        <v>33</v>
      </c>
      <c r="J3889" s="2">
        <v>69</v>
      </c>
      <c r="K3889" s="3">
        <f t="shared" si="60"/>
        <v>2277</v>
      </c>
      <c r="L3889" s="3">
        <v>1092.96</v>
      </c>
    </row>
    <row r="3890" spans="1:12" x14ac:dyDescent="0.25">
      <c r="A3890" t="s">
        <v>11</v>
      </c>
      <c r="B3890">
        <v>1185732</v>
      </c>
      <c r="C3890" s="1">
        <v>44364</v>
      </c>
      <c r="D3890" t="s">
        <v>29</v>
      </c>
      <c r="E3890" t="s">
        <v>105</v>
      </c>
      <c r="F3890" t="s">
        <v>47</v>
      </c>
      <c r="G3890" t="s">
        <v>41</v>
      </c>
      <c r="H3890" t="s">
        <v>16</v>
      </c>
      <c r="I3890" s="3">
        <v>59</v>
      </c>
      <c r="J3890" s="2">
        <v>115</v>
      </c>
      <c r="K3890" s="3">
        <f t="shared" si="60"/>
        <v>6785</v>
      </c>
      <c r="L3890" s="3">
        <v>3256.7999999999997</v>
      </c>
    </row>
    <row r="3891" spans="1:12" x14ac:dyDescent="0.25">
      <c r="A3891" t="s">
        <v>19</v>
      </c>
      <c r="B3891">
        <v>1185732</v>
      </c>
      <c r="C3891" s="1">
        <v>44364</v>
      </c>
      <c r="D3891" t="s">
        <v>57</v>
      </c>
      <c r="E3891" t="s">
        <v>118</v>
      </c>
      <c r="F3891" t="s">
        <v>119</v>
      </c>
      <c r="G3891" t="s">
        <v>41</v>
      </c>
      <c r="H3891" t="s">
        <v>37</v>
      </c>
      <c r="I3891" s="3">
        <v>34</v>
      </c>
      <c r="J3891" s="2">
        <v>7</v>
      </c>
      <c r="K3891" s="3">
        <f t="shared" si="60"/>
        <v>238</v>
      </c>
      <c r="L3891" s="3">
        <v>111.86</v>
      </c>
    </row>
    <row r="3892" spans="1:12" x14ac:dyDescent="0.25">
      <c r="A3892" t="s">
        <v>26</v>
      </c>
      <c r="B3892">
        <v>1185732</v>
      </c>
      <c r="C3892" s="1">
        <v>44364</v>
      </c>
      <c r="D3892" t="s">
        <v>57</v>
      </c>
      <c r="E3892" t="s">
        <v>70</v>
      </c>
      <c r="F3892" t="s">
        <v>71</v>
      </c>
      <c r="G3892" t="s">
        <v>41</v>
      </c>
      <c r="H3892" t="s">
        <v>17</v>
      </c>
      <c r="I3892" s="3">
        <v>46</v>
      </c>
      <c r="J3892" s="2">
        <v>167</v>
      </c>
      <c r="K3892" s="3">
        <f t="shared" si="60"/>
        <v>7682</v>
      </c>
      <c r="L3892" s="3">
        <v>3533.7199999999993</v>
      </c>
    </row>
    <row r="3893" spans="1:12" x14ac:dyDescent="0.25">
      <c r="A3893" t="s">
        <v>11</v>
      </c>
      <c r="B3893">
        <v>1185732</v>
      </c>
      <c r="C3893" s="1">
        <v>44364</v>
      </c>
      <c r="D3893" t="s">
        <v>29</v>
      </c>
      <c r="E3893" t="s">
        <v>105</v>
      </c>
      <c r="F3893" t="s">
        <v>47</v>
      </c>
      <c r="G3893" t="s">
        <v>41</v>
      </c>
      <c r="H3893" t="s">
        <v>35</v>
      </c>
      <c r="I3893" s="3">
        <v>33</v>
      </c>
      <c r="J3893" s="2">
        <v>81</v>
      </c>
      <c r="K3893" s="3">
        <f t="shared" si="60"/>
        <v>2673</v>
      </c>
      <c r="L3893" s="3">
        <v>1229.58</v>
      </c>
    </row>
    <row r="3894" spans="1:12" x14ac:dyDescent="0.25">
      <c r="A3894" t="s">
        <v>26</v>
      </c>
      <c r="B3894">
        <v>1185732</v>
      </c>
      <c r="C3894" s="1">
        <v>44364</v>
      </c>
      <c r="D3894" t="s">
        <v>57</v>
      </c>
      <c r="E3894" t="s">
        <v>70</v>
      </c>
      <c r="F3894" t="s">
        <v>71</v>
      </c>
      <c r="G3894" t="s">
        <v>41</v>
      </c>
      <c r="H3894" t="s">
        <v>22</v>
      </c>
      <c r="I3894" s="3">
        <v>57</v>
      </c>
      <c r="J3894" s="2">
        <v>152</v>
      </c>
      <c r="K3894" s="3">
        <f t="shared" si="60"/>
        <v>8664</v>
      </c>
      <c r="L3894" s="3">
        <v>3898.8</v>
      </c>
    </row>
    <row r="3895" spans="1:12" x14ac:dyDescent="0.25">
      <c r="A3895" t="s">
        <v>11</v>
      </c>
      <c r="B3895">
        <v>1128299</v>
      </c>
      <c r="C3895" s="1">
        <v>44364</v>
      </c>
      <c r="D3895" t="s">
        <v>52</v>
      </c>
      <c r="E3895" t="s">
        <v>64</v>
      </c>
      <c r="F3895" t="s">
        <v>65</v>
      </c>
      <c r="G3895" t="s">
        <v>41</v>
      </c>
      <c r="H3895" t="s">
        <v>35</v>
      </c>
      <c r="I3895" s="3">
        <v>83</v>
      </c>
      <c r="J3895" s="2">
        <v>203</v>
      </c>
      <c r="K3895" s="3">
        <f t="shared" si="60"/>
        <v>16849</v>
      </c>
      <c r="L3895" s="3">
        <v>7582.0500000000011</v>
      </c>
    </row>
    <row r="3896" spans="1:12" x14ac:dyDescent="0.25">
      <c r="A3896" t="s">
        <v>11</v>
      </c>
      <c r="B3896">
        <v>1128299</v>
      </c>
      <c r="C3896" s="1">
        <v>44364</v>
      </c>
      <c r="D3896" t="s">
        <v>52</v>
      </c>
      <c r="E3896" t="s">
        <v>64</v>
      </c>
      <c r="F3896" t="s">
        <v>65</v>
      </c>
      <c r="G3896" t="s">
        <v>41</v>
      </c>
      <c r="H3896" t="s">
        <v>37</v>
      </c>
      <c r="I3896" s="3">
        <v>82</v>
      </c>
      <c r="J3896" s="2">
        <v>161</v>
      </c>
      <c r="K3896" s="3">
        <f t="shared" si="60"/>
        <v>13202</v>
      </c>
      <c r="L3896" s="3">
        <v>5940.9000000000005</v>
      </c>
    </row>
    <row r="3897" spans="1:12" x14ac:dyDescent="0.25">
      <c r="A3897" t="s">
        <v>11</v>
      </c>
      <c r="B3897">
        <v>1185732</v>
      </c>
      <c r="C3897" s="1">
        <v>44364</v>
      </c>
      <c r="D3897" t="s">
        <v>29</v>
      </c>
      <c r="E3897" t="s">
        <v>105</v>
      </c>
      <c r="F3897" t="s">
        <v>47</v>
      </c>
      <c r="G3897" t="s">
        <v>41</v>
      </c>
      <c r="H3897" t="s">
        <v>22</v>
      </c>
      <c r="I3897" s="3">
        <v>41</v>
      </c>
      <c r="J3897" s="2">
        <v>74</v>
      </c>
      <c r="K3897" s="3">
        <f t="shared" si="60"/>
        <v>3034</v>
      </c>
      <c r="L3897" s="3">
        <v>1365.3</v>
      </c>
    </row>
    <row r="3898" spans="1:12" x14ac:dyDescent="0.25">
      <c r="A3898" t="s">
        <v>23</v>
      </c>
      <c r="B3898">
        <v>1128299</v>
      </c>
      <c r="C3898" s="1">
        <v>44364</v>
      </c>
      <c r="D3898" t="s">
        <v>32</v>
      </c>
      <c r="E3898" t="s">
        <v>33</v>
      </c>
      <c r="F3898" t="s">
        <v>34</v>
      </c>
      <c r="G3898" t="s">
        <v>41</v>
      </c>
      <c r="H3898" t="s">
        <v>16</v>
      </c>
      <c r="I3898" s="3">
        <v>103</v>
      </c>
      <c r="J3898" s="2">
        <v>218</v>
      </c>
      <c r="K3898" s="3">
        <f t="shared" si="60"/>
        <v>22454</v>
      </c>
      <c r="L3898" s="3">
        <v>9879.7599999999984</v>
      </c>
    </row>
    <row r="3899" spans="1:12" x14ac:dyDescent="0.25">
      <c r="A3899" t="s">
        <v>11</v>
      </c>
      <c r="B3899">
        <v>1128299</v>
      </c>
      <c r="C3899" s="1">
        <v>44364</v>
      </c>
      <c r="D3899" t="s">
        <v>52</v>
      </c>
      <c r="E3899" t="s">
        <v>64</v>
      </c>
      <c r="F3899" t="s">
        <v>65</v>
      </c>
      <c r="G3899" t="s">
        <v>41</v>
      </c>
      <c r="H3899" t="s">
        <v>22</v>
      </c>
      <c r="I3899" s="3">
        <v>92</v>
      </c>
      <c r="J3899" s="2">
        <v>117</v>
      </c>
      <c r="K3899" s="3">
        <f t="shared" si="60"/>
        <v>10764</v>
      </c>
      <c r="L3899" s="3">
        <v>4628.5199999999995</v>
      </c>
    </row>
    <row r="3900" spans="1:12" x14ac:dyDescent="0.25">
      <c r="A3900" t="s">
        <v>26</v>
      </c>
      <c r="B3900">
        <v>1185732</v>
      </c>
      <c r="C3900" s="1">
        <v>44364</v>
      </c>
      <c r="D3900" t="s">
        <v>57</v>
      </c>
      <c r="E3900" t="s">
        <v>70</v>
      </c>
      <c r="F3900" t="s">
        <v>71</v>
      </c>
      <c r="G3900" t="s">
        <v>41</v>
      </c>
      <c r="H3900" t="s">
        <v>38</v>
      </c>
      <c r="I3900" s="3">
        <v>52</v>
      </c>
      <c r="J3900" s="2">
        <v>206</v>
      </c>
      <c r="K3900" s="3">
        <f t="shared" si="60"/>
        <v>10712</v>
      </c>
      <c r="L3900" s="3">
        <v>4070.5600000000004</v>
      </c>
    </row>
    <row r="3901" spans="1:12" x14ac:dyDescent="0.25">
      <c r="A3901" t="s">
        <v>19</v>
      </c>
      <c r="B3901">
        <v>1185732</v>
      </c>
      <c r="C3901" s="1">
        <v>44364</v>
      </c>
      <c r="D3901" t="s">
        <v>57</v>
      </c>
      <c r="E3901" t="s">
        <v>95</v>
      </c>
      <c r="F3901" t="s">
        <v>96</v>
      </c>
      <c r="G3901" t="s">
        <v>41</v>
      </c>
      <c r="H3901" t="s">
        <v>16</v>
      </c>
      <c r="I3901" s="3">
        <v>45</v>
      </c>
      <c r="J3901" s="2">
        <v>63</v>
      </c>
      <c r="K3901" s="3">
        <f t="shared" si="60"/>
        <v>2835</v>
      </c>
      <c r="L3901" s="3">
        <v>1048.95</v>
      </c>
    </row>
    <row r="3902" spans="1:12" x14ac:dyDescent="0.25">
      <c r="A3902" t="s">
        <v>26</v>
      </c>
      <c r="B3902">
        <v>1185732</v>
      </c>
      <c r="C3902" s="1">
        <v>44364</v>
      </c>
      <c r="D3902" t="s">
        <v>57</v>
      </c>
      <c r="E3902" t="s">
        <v>70</v>
      </c>
      <c r="F3902" t="s">
        <v>71</v>
      </c>
      <c r="G3902" t="s">
        <v>41</v>
      </c>
      <c r="H3902" t="s">
        <v>16</v>
      </c>
      <c r="I3902" s="3">
        <v>60</v>
      </c>
      <c r="J3902" s="2">
        <v>169</v>
      </c>
      <c r="K3902" s="3">
        <f t="shared" si="60"/>
        <v>10140</v>
      </c>
      <c r="L3902" s="3">
        <v>3549</v>
      </c>
    </row>
    <row r="3903" spans="1:12" x14ac:dyDescent="0.25">
      <c r="A3903" t="s">
        <v>19</v>
      </c>
      <c r="B3903">
        <v>1185732</v>
      </c>
      <c r="C3903" s="1">
        <v>44365</v>
      </c>
      <c r="D3903" t="s">
        <v>57</v>
      </c>
      <c r="E3903" t="s">
        <v>106</v>
      </c>
      <c r="F3903" t="s">
        <v>107</v>
      </c>
      <c r="G3903" t="s">
        <v>18</v>
      </c>
      <c r="H3903" t="s">
        <v>17</v>
      </c>
      <c r="I3903" s="3">
        <v>30.000000000000011</v>
      </c>
      <c r="J3903" s="2">
        <v>350</v>
      </c>
      <c r="K3903" s="3">
        <f t="shared" si="60"/>
        <v>10500.000000000004</v>
      </c>
      <c r="L3903" s="3">
        <v>6825.0000000000027</v>
      </c>
    </row>
    <row r="3904" spans="1:12" x14ac:dyDescent="0.25">
      <c r="A3904" t="s">
        <v>19</v>
      </c>
      <c r="B3904">
        <v>1185732</v>
      </c>
      <c r="C3904" s="1">
        <v>44365</v>
      </c>
      <c r="D3904" t="s">
        <v>57</v>
      </c>
      <c r="E3904" t="s">
        <v>106</v>
      </c>
      <c r="F3904" t="s">
        <v>107</v>
      </c>
      <c r="G3904" t="s">
        <v>18</v>
      </c>
      <c r="H3904" t="s">
        <v>35</v>
      </c>
      <c r="I3904" s="3">
        <v>25.000000000000007</v>
      </c>
      <c r="J3904" s="2">
        <v>375</v>
      </c>
      <c r="K3904" s="3">
        <f t="shared" si="60"/>
        <v>9375.0000000000018</v>
      </c>
      <c r="L3904" s="3">
        <v>6093.7500000000018</v>
      </c>
    </row>
    <row r="3905" spans="1:12" x14ac:dyDescent="0.25">
      <c r="A3905" t="s">
        <v>19</v>
      </c>
      <c r="B3905">
        <v>1185732</v>
      </c>
      <c r="C3905" s="1">
        <v>44365</v>
      </c>
      <c r="D3905" t="s">
        <v>57</v>
      </c>
      <c r="E3905" t="s">
        <v>118</v>
      </c>
      <c r="F3905" t="s">
        <v>119</v>
      </c>
      <c r="G3905" t="s">
        <v>15</v>
      </c>
      <c r="H3905" t="s">
        <v>22</v>
      </c>
      <c r="I3905" s="3">
        <v>49.999999999999993</v>
      </c>
      <c r="J3905" s="2">
        <v>50</v>
      </c>
      <c r="K3905" s="3">
        <f t="shared" si="60"/>
        <v>2499.9999999999995</v>
      </c>
      <c r="L3905" s="3">
        <v>1624.9999999999998</v>
      </c>
    </row>
    <row r="3906" spans="1:12" x14ac:dyDescent="0.25">
      <c r="A3906" t="s">
        <v>19</v>
      </c>
      <c r="B3906">
        <v>1185732</v>
      </c>
      <c r="C3906" s="1">
        <v>44365</v>
      </c>
      <c r="D3906" t="s">
        <v>57</v>
      </c>
      <c r="E3906" t="s">
        <v>106</v>
      </c>
      <c r="F3906" t="s">
        <v>107</v>
      </c>
      <c r="G3906" t="s">
        <v>18</v>
      </c>
      <c r="H3906" t="s">
        <v>22</v>
      </c>
      <c r="I3906" s="3">
        <v>40</v>
      </c>
      <c r="J3906" s="2">
        <v>350</v>
      </c>
      <c r="K3906" s="3">
        <f t="shared" si="60"/>
        <v>14000</v>
      </c>
      <c r="L3906" s="3">
        <v>9100</v>
      </c>
    </row>
    <row r="3907" spans="1:12" x14ac:dyDescent="0.25">
      <c r="A3907" t="s">
        <v>19</v>
      </c>
      <c r="B3907">
        <v>1185732</v>
      </c>
      <c r="C3907" s="1">
        <v>44365</v>
      </c>
      <c r="D3907" t="s">
        <v>52</v>
      </c>
      <c r="E3907" t="s">
        <v>112</v>
      </c>
      <c r="F3907" t="s">
        <v>113</v>
      </c>
      <c r="G3907" t="s">
        <v>41</v>
      </c>
      <c r="H3907" t="s">
        <v>17</v>
      </c>
      <c r="I3907" s="3">
        <v>40</v>
      </c>
      <c r="J3907" s="2">
        <v>500</v>
      </c>
      <c r="K3907" s="3">
        <f t="shared" ref="K3907:K3970" si="61">I3907*J3907</f>
        <v>20000</v>
      </c>
      <c r="L3907" s="3">
        <v>13000</v>
      </c>
    </row>
    <row r="3908" spans="1:12" x14ac:dyDescent="0.25">
      <c r="A3908" t="s">
        <v>19</v>
      </c>
      <c r="B3908">
        <v>1185732</v>
      </c>
      <c r="C3908" s="1">
        <v>44365</v>
      </c>
      <c r="D3908" t="s">
        <v>52</v>
      </c>
      <c r="E3908" t="s">
        <v>112</v>
      </c>
      <c r="F3908" t="s">
        <v>113</v>
      </c>
      <c r="G3908" t="s">
        <v>41</v>
      </c>
      <c r="H3908" t="s">
        <v>22</v>
      </c>
      <c r="I3908" s="3">
        <v>60</v>
      </c>
      <c r="J3908" s="2">
        <v>450</v>
      </c>
      <c r="K3908" s="3">
        <f t="shared" si="61"/>
        <v>27000</v>
      </c>
      <c r="L3908" s="3">
        <v>17550</v>
      </c>
    </row>
    <row r="3909" spans="1:12" x14ac:dyDescent="0.25">
      <c r="A3909" t="s">
        <v>19</v>
      </c>
      <c r="B3909">
        <v>1185732</v>
      </c>
      <c r="C3909" s="1">
        <v>44365</v>
      </c>
      <c r="D3909" t="s">
        <v>57</v>
      </c>
      <c r="E3909" t="s">
        <v>106</v>
      </c>
      <c r="F3909" t="s">
        <v>107</v>
      </c>
      <c r="G3909" t="s">
        <v>18</v>
      </c>
      <c r="H3909" t="s">
        <v>37</v>
      </c>
      <c r="I3909" s="3">
        <v>25.000000000000007</v>
      </c>
      <c r="J3909" s="2">
        <v>350</v>
      </c>
      <c r="K3909" s="3">
        <f t="shared" si="61"/>
        <v>8750.0000000000018</v>
      </c>
      <c r="L3909" s="3">
        <v>5250.0000000000018</v>
      </c>
    </row>
    <row r="3910" spans="1:12" x14ac:dyDescent="0.25">
      <c r="A3910" t="s">
        <v>19</v>
      </c>
      <c r="B3910">
        <v>1185732</v>
      </c>
      <c r="C3910" s="1">
        <v>44365</v>
      </c>
      <c r="D3910" t="s">
        <v>57</v>
      </c>
      <c r="E3910" t="s">
        <v>95</v>
      </c>
      <c r="F3910" t="s">
        <v>96</v>
      </c>
      <c r="G3910" t="s">
        <v>15</v>
      </c>
      <c r="H3910" t="s">
        <v>38</v>
      </c>
      <c r="I3910" s="3">
        <v>50</v>
      </c>
      <c r="J3910" s="2">
        <v>450</v>
      </c>
      <c r="K3910" s="3">
        <f t="shared" si="61"/>
        <v>22500</v>
      </c>
      <c r="L3910" s="3">
        <v>13500</v>
      </c>
    </row>
    <row r="3911" spans="1:12" x14ac:dyDescent="0.25">
      <c r="A3911" t="s">
        <v>19</v>
      </c>
      <c r="B3911">
        <v>1185732</v>
      </c>
      <c r="C3911" s="1">
        <v>44365</v>
      </c>
      <c r="D3911" t="s">
        <v>57</v>
      </c>
      <c r="E3911" t="s">
        <v>106</v>
      </c>
      <c r="F3911" t="s">
        <v>107</v>
      </c>
      <c r="G3911" t="s">
        <v>18</v>
      </c>
      <c r="H3911" t="s">
        <v>38</v>
      </c>
      <c r="I3911" s="3">
        <v>35</v>
      </c>
      <c r="J3911" s="2">
        <v>600</v>
      </c>
      <c r="K3911" s="3">
        <f t="shared" si="61"/>
        <v>21000</v>
      </c>
      <c r="L3911" s="3">
        <v>12600</v>
      </c>
    </row>
    <row r="3912" spans="1:12" x14ac:dyDescent="0.25">
      <c r="A3912" t="s">
        <v>19</v>
      </c>
      <c r="B3912">
        <v>1185732</v>
      </c>
      <c r="C3912" s="1">
        <v>44365</v>
      </c>
      <c r="D3912" t="s">
        <v>52</v>
      </c>
      <c r="E3912" t="s">
        <v>112</v>
      </c>
      <c r="F3912" t="s">
        <v>113</v>
      </c>
      <c r="G3912" t="s">
        <v>41</v>
      </c>
      <c r="H3912" t="s">
        <v>38</v>
      </c>
      <c r="I3912" s="3">
        <v>44.999999999999993</v>
      </c>
      <c r="J3912" s="2">
        <v>750</v>
      </c>
      <c r="K3912" s="3">
        <f t="shared" si="61"/>
        <v>33749.999999999993</v>
      </c>
      <c r="L3912" s="3">
        <v>20249.999999999996</v>
      </c>
    </row>
    <row r="3913" spans="1:12" x14ac:dyDescent="0.25">
      <c r="A3913" t="s">
        <v>19</v>
      </c>
      <c r="B3913">
        <v>1185732</v>
      </c>
      <c r="C3913" s="1">
        <v>44365</v>
      </c>
      <c r="D3913" t="s">
        <v>52</v>
      </c>
      <c r="E3913" t="s">
        <v>112</v>
      </c>
      <c r="F3913" t="s">
        <v>113</v>
      </c>
      <c r="G3913" t="s">
        <v>41</v>
      </c>
      <c r="H3913" t="s">
        <v>35</v>
      </c>
      <c r="I3913" s="3">
        <v>45</v>
      </c>
      <c r="J3913" s="2">
        <v>475</v>
      </c>
      <c r="K3913" s="3">
        <f t="shared" si="61"/>
        <v>21375</v>
      </c>
      <c r="L3913" s="3">
        <v>12825</v>
      </c>
    </row>
    <row r="3914" spans="1:12" x14ac:dyDescent="0.25">
      <c r="A3914" t="s">
        <v>19</v>
      </c>
      <c r="B3914">
        <v>1185732</v>
      </c>
      <c r="C3914" s="1">
        <v>44365</v>
      </c>
      <c r="D3914" t="s">
        <v>52</v>
      </c>
      <c r="E3914" t="s">
        <v>112</v>
      </c>
      <c r="F3914" t="s">
        <v>113</v>
      </c>
      <c r="G3914" t="s">
        <v>41</v>
      </c>
      <c r="H3914" t="s">
        <v>37</v>
      </c>
      <c r="I3914" s="3">
        <v>45</v>
      </c>
      <c r="J3914" s="2">
        <v>450</v>
      </c>
      <c r="K3914" s="3">
        <f t="shared" si="61"/>
        <v>20250</v>
      </c>
      <c r="L3914" s="3">
        <v>12150</v>
      </c>
    </row>
    <row r="3915" spans="1:12" x14ac:dyDescent="0.25">
      <c r="A3915" t="s">
        <v>19</v>
      </c>
      <c r="B3915">
        <v>1185732</v>
      </c>
      <c r="C3915" s="1">
        <v>44365</v>
      </c>
      <c r="D3915" t="s">
        <v>57</v>
      </c>
      <c r="E3915" t="s">
        <v>106</v>
      </c>
      <c r="F3915" t="s">
        <v>107</v>
      </c>
      <c r="G3915" t="s">
        <v>18</v>
      </c>
      <c r="H3915" t="s">
        <v>16</v>
      </c>
      <c r="I3915" s="3">
        <v>45</v>
      </c>
      <c r="J3915" s="2">
        <v>525</v>
      </c>
      <c r="K3915" s="3">
        <f t="shared" si="61"/>
        <v>23625</v>
      </c>
      <c r="L3915" s="3">
        <v>11812.5</v>
      </c>
    </row>
    <row r="3916" spans="1:12" x14ac:dyDescent="0.25">
      <c r="A3916" t="s">
        <v>19</v>
      </c>
      <c r="B3916">
        <v>1185732</v>
      </c>
      <c r="C3916" s="1">
        <v>44365</v>
      </c>
      <c r="D3916" t="s">
        <v>52</v>
      </c>
      <c r="E3916" t="s">
        <v>112</v>
      </c>
      <c r="F3916" t="s">
        <v>113</v>
      </c>
      <c r="G3916" t="s">
        <v>41</v>
      </c>
      <c r="H3916" t="s">
        <v>16</v>
      </c>
      <c r="I3916" s="3">
        <v>65</v>
      </c>
      <c r="J3916" s="2">
        <v>625</v>
      </c>
      <c r="K3916" s="3">
        <f t="shared" si="61"/>
        <v>40625</v>
      </c>
      <c r="L3916" s="3">
        <v>20312.5</v>
      </c>
    </row>
    <row r="3917" spans="1:12" x14ac:dyDescent="0.25">
      <c r="A3917" t="s">
        <v>19</v>
      </c>
      <c r="B3917">
        <v>1185732</v>
      </c>
      <c r="C3917" s="1">
        <v>44365</v>
      </c>
      <c r="D3917" t="s">
        <v>52</v>
      </c>
      <c r="E3917" t="s">
        <v>112</v>
      </c>
      <c r="F3917" t="s">
        <v>113</v>
      </c>
      <c r="G3917" t="s">
        <v>15</v>
      </c>
      <c r="H3917" t="s">
        <v>22</v>
      </c>
      <c r="I3917" s="3">
        <v>47</v>
      </c>
      <c r="J3917" s="2">
        <v>135</v>
      </c>
      <c r="K3917" s="3">
        <f t="shared" si="61"/>
        <v>6345</v>
      </c>
      <c r="L3917" s="3">
        <v>3933.9</v>
      </c>
    </row>
    <row r="3918" spans="1:12" x14ac:dyDescent="0.25">
      <c r="A3918" t="s">
        <v>19</v>
      </c>
      <c r="B3918">
        <v>1185732</v>
      </c>
      <c r="C3918" s="1">
        <v>44365</v>
      </c>
      <c r="D3918" t="s">
        <v>52</v>
      </c>
      <c r="E3918" t="s">
        <v>112</v>
      </c>
      <c r="F3918" t="s">
        <v>113</v>
      </c>
      <c r="G3918" t="s">
        <v>15</v>
      </c>
      <c r="H3918" t="s">
        <v>17</v>
      </c>
      <c r="I3918" s="3">
        <v>29</v>
      </c>
      <c r="J3918" s="2">
        <v>150</v>
      </c>
      <c r="K3918" s="3">
        <f t="shared" si="61"/>
        <v>4350</v>
      </c>
      <c r="L3918" s="3">
        <v>2653.5</v>
      </c>
    </row>
    <row r="3919" spans="1:12" x14ac:dyDescent="0.25">
      <c r="A3919" t="s">
        <v>19</v>
      </c>
      <c r="B3919">
        <v>1185732</v>
      </c>
      <c r="C3919" s="1">
        <v>44365</v>
      </c>
      <c r="D3919" t="s">
        <v>52</v>
      </c>
      <c r="E3919" t="s">
        <v>112</v>
      </c>
      <c r="F3919" t="s">
        <v>113</v>
      </c>
      <c r="G3919" t="s">
        <v>15</v>
      </c>
      <c r="H3919" t="s">
        <v>37</v>
      </c>
      <c r="I3919" s="3">
        <v>34</v>
      </c>
      <c r="J3919" s="2">
        <v>149</v>
      </c>
      <c r="K3919" s="3">
        <f t="shared" si="61"/>
        <v>5066</v>
      </c>
      <c r="L3919" s="3">
        <v>2887.62</v>
      </c>
    </row>
    <row r="3920" spans="1:12" x14ac:dyDescent="0.25">
      <c r="A3920" t="s">
        <v>19</v>
      </c>
      <c r="B3920">
        <v>1185732</v>
      </c>
      <c r="C3920" s="1">
        <v>44365</v>
      </c>
      <c r="D3920" t="s">
        <v>52</v>
      </c>
      <c r="E3920" t="s">
        <v>112</v>
      </c>
      <c r="F3920" t="s">
        <v>113</v>
      </c>
      <c r="G3920" t="s">
        <v>15</v>
      </c>
      <c r="H3920" t="s">
        <v>38</v>
      </c>
      <c r="I3920" s="3">
        <v>31</v>
      </c>
      <c r="J3920" s="2">
        <v>263</v>
      </c>
      <c r="K3920" s="3">
        <f t="shared" si="61"/>
        <v>8153</v>
      </c>
      <c r="L3920" s="3">
        <v>4565.68</v>
      </c>
    </row>
    <row r="3921" spans="1:12" x14ac:dyDescent="0.25">
      <c r="A3921" t="s">
        <v>19</v>
      </c>
      <c r="B3921">
        <v>1185732</v>
      </c>
      <c r="C3921" s="1">
        <v>44365</v>
      </c>
      <c r="D3921" t="s">
        <v>57</v>
      </c>
      <c r="E3921" t="s">
        <v>106</v>
      </c>
      <c r="F3921" t="s">
        <v>107</v>
      </c>
      <c r="G3921" t="s">
        <v>41</v>
      </c>
      <c r="H3921" t="s">
        <v>22</v>
      </c>
      <c r="I3921" s="3">
        <v>38</v>
      </c>
      <c r="J3921" s="2">
        <v>102</v>
      </c>
      <c r="K3921" s="3">
        <f t="shared" si="61"/>
        <v>3876</v>
      </c>
      <c r="L3921" s="3">
        <v>2131.8000000000002</v>
      </c>
    </row>
    <row r="3922" spans="1:12" x14ac:dyDescent="0.25">
      <c r="A3922" t="s">
        <v>19</v>
      </c>
      <c r="B3922">
        <v>1185732</v>
      </c>
      <c r="C3922" s="1">
        <v>44365</v>
      </c>
      <c r="D3922" t="s">
        <v>52</v>
      </c>
      <c r="E3922" t="s">
        <v>112</v>
      </c>
      <c r="F3922" t="s">
        <v>113</v>
      </c>
      <c r="G3922" t="s">
        <v>41</v>
      </c>
      <c r="H3922" t="s">
        <v>22</v>
      </c>
      <c r="I3922" s="3">
        <v>57</v>
      </c>
      <c r="J3922" s="2">
        <v>135</v>
      </c>
      <c r="K3922" s="3">
        <f t="shared" si="61"/>
        <v>7695</v>
      </c>
      <c r="L3922" s="3">
        <v>4232.25</v>
      </c>
    </row>
    <row r="3923" spans="1:12" x14ac:dyDescent="0.25">
      <c r="A3923" t="s">
        <v>19</v>
      </c>
      <c r="B3923">
        <v>1185732</v>
      </c>
      <c r="C3923" s="1">
        <v>44365</v>
      </c>
      <c r="D3923" t="s">
        <v>57</v>
      </c>
      <c r="E3923" t="s">
        <v>106</v>
      </c>
      <c r="F3923" t="s">
        <v>107</v>
      </c>
      <c r="G3923" t="s">
        <v>41</v>
      </c>
      <c r="H3923" t="s">
        <v>17</v>
      </c>
      <c r="I3923" s="3">
        <v>27</v>
      </c>
      <c r="J3923" s="2">
        <v>91</v>
      </c>
      <c r="K3923" s="3">
        <f t="shared" si="61"/>
        <v>2457</v>
      </c>
      <c r="L3923" s="3">
        <v>1326.7800000000002</v>
      </c>
    </row>
    <row r="3924" spans="1:12" x14ac:dyDescent="0.25">
      <c r="A3924" t="s">
        <v>19</v>
      </c>
      <c r="B3924">
        <v>1185732</v>
      </c>
      <c r="C3924" s="1">
        <v>44365</v>
      </c>
      <c r="D3924" t="s">
        <v>57</v>
      </c>
      <c r="E3924" t="s">
        <v>118</v>
      </c>
      <c r="F3924" t="s">
        <v>119</v>
      </c>
      <c r="G3924" t="s">
        <v>41</v>
      </c>
      <c r="H3924" t="s">
        <v>22</v>
      </c>
      <c r="I3924" s="3">
        <v>46</v>
      </c>
      <c r="J3924" s="2">
        <v>13</v>
      </c>
      <c r="K3924" s="3">
        <f t="shared" si="61"/>
        <v>598</v>
      </c>
      <c r="L3924" s="3">
        <v>322.92</v>
      </c>
    </row>
    <row r="3925" spans="1:12" x14ac:dyDescent="0.25">
      <c r="A3925" t="s">
        <v>19</v>
      </c>
      <c r="B3925">
        <v>1185732</v>
      </c>
      <c r="C3925" s="1">
        <v>44365</v>
      </c>
      <c r="D3925" t="s">
        <v>52</v>
      </c>
      <c r="E3925" t="s">
        <v>112</v>
      </c>
      <c r="F3925" t="s">
        <v>113</v>
      </c>
      <c r="G3925" t="s">
        <v>15</v>
      </c>
      <c r="H3925" t="s">
        <v>35</v>
      </c>
      <c r="I3925" s="3">
        <v>33</v>
      </c>
      <c r="J3925" s="2">
        <v>157</v>
      </c>
      <c r="K3925" s="3">
        <f t="shared" si="61"/>
        <v>5181</v>
      </c>
      <c r="L3925" s="3">
        <v>2797.74</v>
      </c>
    </row>
    <row r="3926" spans="1:12" x14ac:dyDescent="0.25">
      <c r="A3926" t="s">
        <v>19</v>
      </c>
      <c r="B3926">
        <v>1185732</v>
      </c>
      <c r="C3926" s="1">
        <v>44365</v>
      </c>
      <c r="D3926" t="s">
        <v>52</v>
      </c>
      <c r="E3926" t="s">
        <v>112</v>
      </c>
      <c r="F3926" t="s">
        <v>113</v>
      </c>
      <c r="G3926" t="s">
        <v>41</v>
      </c>
      <c r="H3926" t="s">
        <v>17</v>
      </c>
      <c r="I3926" s="3">
        <v>37</v>
      </c>
      <c r="J3926" s="2">
        <v>125</v>
      </c>
      <c r="K3926" s="3">
        <f t="shared" si="61"/>
        <v>4625</v>
      </c>
      <c r="L3926" s="3">
        <v>2451.25</v>
      </c>
    </row>
    <row r="3927" spans="1:12" x14ac:dyDescent="0.25">
      <c r="A3927" t="s">
        <v>19</v>
      </c>
      <c r="B3927">
        <v>1185732</v>
      </c>
      <c r="C3927" s="1">
        <v>44365</v>
      </c>
      <c r="D3927" t="s">
        <v>57</v>
      </c>
      <c r="E3927" t="s">
        <v>106</v>
      </c>
      <c r="F3927" t="s">
        <v>107</v>
      </c>
      <c r="G3927" t="s">
        <v>41</v>
      </c>
      <c r="H3927" t="s">
        <v>35</v>
      </c>
      <c r="I3927" s="3">
        <v>23</v>
      </c>
      <c r="J3927" s="2">
        <v>113</v>
      </c>
      <c r="K3927" s="3">
        <f t="shared" si="61"/>
        <v>2599</v>
      </c>
      <c r="L3927" s="3">
        <v>1325.49</v>
      </c>
    </row>
    <row r="3928" spans="1:12" x14ac:dyDescent="0.25">
      <c r="A3928" t="s">
        <v>19</v>
      </c>
      <c r="B3928">
        <v>1185732</v>
      </c>
      <c r="C3928" s="1">
        <v>44365</v>
      </c>
      <c r="D3928" t="s">
        <v>57</v>
      </c>
      <c r="E3928" t="s">
        <v>106</v>
      </c>
      <c r="F3928" t="s">
        <v>107</v>
      </c>
      <c r="G3928" t="s">
        <v>41</v>
      </c>
      <c r="H3928" t="s">
        <v>37</v>
      </c>
      <c r="I3928" s="3">
        <v>23</v>
      </c>
      <c r="J3928" s="2">
        <v>91</v>
      </c>
      <c r="K3928" s="3">
        <f t="shared" si="61"/>
        <v>2093</v>
      </c>
      <c r="L3928" s="3">
        <v>1046.5</v>
      </c>
    </row>
    <row r="3929" spans="1:12" x14ac:dyDescent="0.25">
      <c r="A3929" t="s">
        <v>19</v>
      </c>
      <c r="B3929">
        <v>1185732</v>
      </c>
      <c r="C3929" s="1">
        <v>44365</v>
      </c>
      <c r="D3929" t="s">
        <v>52</v>
      </c>
      <c r="E3929" t="s">
        <v>112</v>
      </c>
      <c r="F3929" t="s">
        <v>113</v>
      </c>
      <c r="G3929" t="s">
        <v>41</v>
      </c>
      <c r="H3929" t="s">
        <v>37</v>
      </c>
      <c r="I3929" s="3">
        <v>43</v>
      </c>
      <c r="J3929" s="2">
        <v>117</v>
      </c>
      <c r="K3929" s="3">
        <f t="shared" si="61"/>
        <v>5031</v>
      </c>
      <c r="L3929" s="3">
        <v>2515.5</v>
      </c>
    </row>
    <row r="3930" spans="1:12" x14ac:dyDescent="0.25">
      <c r="A3930" t="s">
        <v>19</v>
      </c>
      <c r="B3930">
        <v>1185732</v>
      </c>
      <c r="C3930" s="1">
        <v>44365</v>
      </c>
      <c r="D3930" t="s">
        <v>57</v>
      </c>
      <c r="E3930" t="s">
        <v>95</v>
      </c>
      <c r="F3930" t="s">
        <v>96</v>
      </c>
      <c r="G3930" t="s">
        <v>41</v>
      </c>
      <c r="H3930" t="s">
        <v>38</v>
      </c>
      <c r="I3930" s="3">
        <v>48</v>
      </c>
      <c r="J3930" s="2">
        <v>122</v>
      </c>
      <c r="K3930" s="3">
        <f t="shared" si="61"/>
        <v>5856</v>
      </c>
      <c r="L3930" s="3">
        <v>2810.88</v>
      </c>
    </row>
    <row r="3931" spans="1:12" x14ac:dyDescent="0.25">
      <c r="A3931" t="s">
        <v>19</v>
      </c>
      <c r="B3931">
        <v>1185732</v>
      </c>
      <c r="C3931" s="1">
        <v>44365</v>
      </c>
      <c r="D3931" t="s">
        <v>52</v>
      </c>
      <c r="E3931" t="s">
        <v>112</v>
      </c>
      <c r="F3931" t="s">
        <v>113</v>
      </c>
      <c r="G3931" t="s">
        <v>41</v>
      </c>
      <c r="H3931" t="s">
        <v>38</v>
      </c>
      <c r="I3931" s="3">
        <v>44</v>
      </c>
      <c r="J3931" s="2">
        <v>210</v>
      </c>
      <c r="K3931" s="3">
        <f t="shared" si="61"/>
        <v>9240</v>
      </c>
      <c r="L3931" s="3">
        <v>4435.2</v>
      </c>
    </row>
    <row r="3932" spans="1:12" x14ac:dyDescent="0.25">
      <c r="A3932" t="s">
        <v>19</v>
      </c>
      <c r="B3932">
        <v>1185732</v>
      </c>
      <c r="C3932" s="1">
        <v>44365</v>
      </c>
      <c r="D3932" t="s">
        <v>52</v>
      </c>
      <c r="E3932" t="s">
        <v>112</v>
      </c>
      <c r="F3932" t="s">
        <v>113</v>
      </c>
      <c r="G3932" t="s">
        <v>15</v>
      </c>
      <c r="H3932" t="s">
        <v>16</v>
      </c>
      <c r="I3932" s="3">
        <v>51</v>
      </c>
      <c r="J3932" s="2">
        <v>219</v>
      </c>
      <c r="K3932" s="3">
        <f t="shared" si="61"/>
        <v>11169</v>
      </c>
      <c r="L3932" s="3">
        <v>5249.4299999999994</v>
      </c>
    </row>
    <row r="3933" spans="1:12" x14ac:dyDescent="0.25">
      <c r="A3933" t="s">
        <v>19</v>
      </c>
      <c r="B3933">
        <v>1185732</v>
      </c>
      <c r="C3933" s="1">
        <v>44365</v>
      </c>
      <c r="D3933" t="s">
        <v>57</v>
      </c>
      <c r="E3933" t="s">
        <v>106</v>
      </c>
      <c r="F3933" t="s">
        <v>107</v>
      </c>
      <c r="G3933" t="s">
        <v>41</v>
      </c>
      <c r="H3933" t="s">
        <v>38</v>
      </c>
      <c r="I3933" s="3">
        <v>32</v>
      </c>
      <c r="J3933" s="2">
        <v>168</v>
      </c>
      <c r="K3933" s="3">
        <f t="shared" si="61"/>
        <v>5376</v>
      </c>
      <c r="L3933" s="3">
        <v>2472.96</v>
      </c>
    </row>
    <row r="3934" spans="1:12" x14ac:dyDescent="0.25">
      <c r="A3934" t="s">
        <v>19</v>
      </c>
      <c r="B3934">
        <v>1185732</v>
      </c>
      <c r="C3934" s="1">
        <v>44365</v>
      </c>
      <c r="D3934" t="s">
        <v>52</v>
      </c>
      <c r="E3934" t="s">
        <v>112</v>
      </c>
      <c r="F3934" t="s">
        <v>113</v>
      </c>
      <c r="G3934" t="s">
        <v>41</v>
      </c>
      <c r="H3934" t="s">
        <v>35</v>
      </c>
      <c r="I3934" s="3">
        <v>41</v>
      </c>
      <c r="J3934" s="2">
        <v>143</v>
      </c>
      <c r="K3934" s="3">
        <f t="shared" si="61"/>
        <v>5863</v>
      </c>
      <c r="L3934" s="3">
        <v>2638.35</v>
      </c>
    </row>
    <row r="3935" spans="1:12" x14ac:dyDescent="0.25">
      <c r="A3935" t="s">
        <v>19</v>
      </c>
      <c r="B3935">
        <v>1185732</v>
      </c>
      <c r="C3935" s="1">
        <v>44365</v>
      </c>
      <c r="D3935" t="s">
        <v>52</v>
      </c>
      <c r="E3935" t="s">
        <v>112</v>
      </c>
      <c r="F3935" t="s">
        <v>113</v>
      </c>
      <c r="G3935" t="s">
        <v>41</v>
      </c>
      <c r="H3935" t="s">
        <v>16</v>
      </c>
      <c r="I3935" s="3">
        <v>60</v>
      </c>
      <c r="J3935" s="2">
        <v>188</v>
      </c>
      <c r="K3935" s="3">
        <f t="shared" si="61"/>
        <v>11280</v>
      </c>
      <c r="L3935" s="3">
        <v>4173.6000000000004</v>
      </c>
    </row>
    <row r="3936" spans="1:12" x14ac:dyDescent="0.25">
      <c r="A3936" t="s">
        <v>19</v>
      </c>
      <c r="B3936">
        <v>1185732</v>
      </c>
      <c r="C3936" s="1">
        <v>44365</v>
      </c>
      <c r="D3936" t="s">
        <v>57</v>
      </c>
      <c r="E3936" t="s">
        <v>106</v>
      </c>
      <c r="F3936" t="s">
        <v>107</v>
      </c>
      <c r="G3936" t="s">
        <v>41</v>
      </c>
      <c r="H3936" t="s">
        <v>16</v>
      </c>
      <c r="I3936" s="3">
        <v>42</v>
      </c>
      <c r="J3936" s="2">
        <v>142</v>
      </c>
      <c r="K3936" s="3">
        <f t="shared" si="61"/>
        <v>5964</v>
      </c>
      <c r="L3936" s="3">
        <v>2087.4</v>
      </c>
    </row>
    <row r="3937" spans="1:12" x14ac:dyDescent="0.25">
      <c r="A3937" t="s">
        <v>36</v>
      </c>
      <c r="B3937">
        <v>1185732</v>
      </c>
      <c r="C3937" s="1">
        <v>44366</v>
      </c>
      <c r="D3937" t="s">
        <v>29</v>
      </c>
      <c r="E3937" t="s">
        <v>68</v>
      </c>
      <c r="F3937" t="s">
        <v>69</v>
      </c>
      <c r="G3937" t="s">
        <v>18</v>
      </c>
      <c r="H3937" t="s">
        <v>35</v>
      </c>
      <c r="I3937" s="3">
        <v>55.000000000000007</v>
      </c>
      <c r="J3937" s="2">
        <v>350</v>
      </c>
      <c r="K3937" s="3">
        <f t="shared" si="61"/>
        <v>19250.000000000004</v>
      </c>
      <c r="L3937" s="3">
        <v>13475.000000000004</v>
      </c>
    </row>
    <row r="3938" spans="1:12" x14ac:dyDescent="0.25">
      <c r="A3938" t="s">
        <v>36</v>
      </c>
      <c r="B3938">
        <v>1185732</v>
      </c>
      <c r="C3938" s="1">
        <v>44366</v>
      </c>
      <c r="D3938" t="s">
        <v>29</v>
      </c>
      <c r="E3938" t="s">
        <v>68</v>
      </c>
      <c r="F3938" t="s">
        <v>69</v>
      </c>
      <c r="G3938" t="s">
        <v>18</v>
      </c>
      <c r="H3938" t="s">
        <v>37</v>
      </c>
      <c r="I3938" s="3">
        <v>55.000000000000007</v>
      </c>
      <c r="J3938" s="2">
        <v>325</v>
      </c>
      <c r="K3938" s="3">
        <f t="shared" si="61"/>
        <v>17875.000000000004</v>
      </c>
      <c r="L3938" s="3">
        <v>12512.500000000004</v>
      </c>
    </row>
    <row r="3939" spans="1:12" x14ac:dyDescent="0.25">
      <c r="A3939" t="s">
        <v>36</v>
      </c>
      <c r="B3939">
        <v>1185732</v>
      </c>
      <c r="C3939" s="1">
        <v>44366</v>
      </c>
      <c r="D3939" t="s">
        <v>29</v>
      </c>
      <c r="E3939" t="s">
        <v>68</v>
      </c>
      <c r="F3939" t="s">
        <v>69</v>
      </c>
      <c r="G3939" t="s">
        <v>18</v>
      </c>
      <c r="H3939" t="s">
        <v>22</v>
      </c>
      <c r="I3939" s="3">
        <v>65</v>
      </c>
      <c r="J3939" s="2">
        <v>325</v>
      </c>
      <c r="K3939" s="3">
        <f t="shared" si="61"/>
        <v>21125</v>
      </c>
      <c r="L3939" s="3">
        <v>14787.5</v>
      </c>
    </row>
    <row r="3940" spans="1:12" x14ac:dyDescent="0.25">
      <c r="A3940" t="s">
        <v>19</v>
      </c>
      <c r="B3940">
        <v>1185732</v>
      </c>
      <c r="C3940" s="1">
        <v>44366</v>
      </c>
      <c r="D3940" t="s">
        <v>57</v>
      </c>
      <c r="E3940" t="s">
        <v>95</v>
      </c>
      <c r="F3940" t="s">
        <v>96</v>
      </c>
      <c r="G3940" t="s">
        <v>15</v>
      </c>
      <c r="H3940" t="s">
        <v>17</v>
      </c>
      <c r="I3940" s="3">
        <v>50</v>
      </c>
      <c r="J3940" s="2">
        <v>150</v>
      </c>
      <c r="K3940" s="3">
        <f t="shared" si="61"/>
        <v>7500</v>
      </c>
      <c r="L3940" s="3">
        <v>4875</v>
      </c>
    </row>
    <row r="3941" spans="1:12" x14ac:dyDescent="0.25">
      <c r="A3941" t="s">
        <v>36</v>
      </c>
      <c r="B3941">
        <v>1185732</v>
      </c>
      <c r="C3941" s="1">
        <v>44366</v>
      </c>
      <c r="D3941" t="s">
        <v>29</v>
      </c>
      <c r="E3941" t="s">
        <v>68</v>
      </c>
      <c r="F3941" t="s">
        <v>69</v>
      </c>
      <c r="G3941" t="s">
        <v>18</v>
      </c>
      <c r="H3941" t="s">
        <v>16</v>
      </c>
      <c r="I3941" s="3">
        <v>70</v>
      </c>
      <c r="J3941" s="2">
        <v>475</v>
      </c>
      <c r="K3941" s="3">
        <f t="shared" si="61"/>
        <v>33250</v>
      </c>
      <c r="L3941" s="3">
        <v>21612.5</v>
      </c>
    </row>
    <row r="3942" spans="1:12" x14ac:dyDescent="0.25">
      <c r="A3942" t="s">
        <v>36</v>
      </c>
      <c r="B3942">
        <v>1185732</v>
      </c>
      <c r="C3942" s="1">
        <v>44366</v>
      </c>
      <c r="D3942" t="s">
        <v>29</v>
      </c>
      <c r="E3942" t="s">
        <v>68</v>
      </c>
      <c r="F3942" t="s">
        <v>69</v>
      </c>
      <c r="G3942" t="s">
        <v>18</v>
      </c>
      <c r="H3942" t="s">
        <v>38</v>
      </c>
      <c r="I3942" s="3">
        <v>65</v>
      </c>
      <c r="J3942" s="2">
        <v>675</v>
      </c>
      <c r="K3942" s="3">
        <f t="shared" si="61"/>
        <v>43875</v>
      </c>
      <c r="L3942" s="3">
        <v>26325</v>
      </c>
    </row>
    <row r="3943" spans="1:12" x14ac:dyDescent="0.25">
      <c r="A3943" t="s">
        <v>36</v>
      </c>
      <c r="B3943">
        <v>1185732</v>
      </c>
      <c r="C3943" s="1">
        <v>44366</v>
      </c>
      <c r="D3943" t="s">
        <v>29</v>
      </c>
      <c r="E3943" t="s">
        <v>68</v>
      </c>
      <c r="F3943" t="s">
        <v>69</v>
      </c>
      <c r="G3943" t="s">
        <v>18</v>
      </c>
      <c r="H3943" t="s">
        <v>17</v>
      </c>
      <c r="I3943" s="3">
        <v>60.000000000000007</v>
      </c>
      <c r="J3943" s="2">
        <v>425</v>
      </c>
      <c r="K3943" s="3">
        <f t="shared" si="61"/>
        <v>25500.000000000004</v>
      </c>
      <c r="L3943" s="3">
        <v>15300</v>
      </c>
    </row>
    <row r="3944" spans="1:12" x14ac:dyDescent="0.25">
      <c r="A3944" t="s">
        <v>19</v>
      </c>
      <c r="B3944">
        <v>1185732</v>
      </c>
      <c r="C3944" s="1">
        <v>44366</v>
      </c>
      <c r="D3944" t="s">
        <v>57</v>
      </c>
      <c r="E3944" t="s">
        <v>118</v>
      </c>
      <c r="F3944" t="s">
        <v>119</v>
      </c>
      <c r="G3944" t="s">
        <v>15</v>
      </c>
      <c r="H3944" t="s">
        <v>16</v>
      </c>
      <c r="I3944" s="3">
        <v>54.999999999999993</v>
      </c>
      <c r="J3944" s="2">
        <v>150</v>
      </c>
      <c r="K3944" s="3">
        <f t="shared" si="61"/>
        <v>8249.9999999999982</v>
      </c>
      <c r="L3944" s="3">
        <v>4124.9999999999991</v>
      </c>
    </row>
    <row r="3945" spans="1:12" x14ac:dyDescent="0.25">
      <c r="A3945" t="s">
        <v>36</v>
      </c>
      <c r="B3945">
        <v>1185732</v>
      </c>
      <c r="C3945" s="1">
        <v>44366</v>
      </c>
      <c r="D3945" t="s">
        <v>29</v>
      </c>
      <c r="E3945" t="s">
        <v>68</v>
      </c>
      <c r="F3945" t="s">
        <v>69</v>
      </c>
      <c r="G3945" t="s">
        <v>15</v>
      </c>
      <c r="H3945" t="s">
        <v>37</v>
      </c>
      <c r="I3945" s="3">
        <v>37</v>
      </c>
      <c r="J3945" s="2">
        <v>104</v>
      </c>
      <c r="K3945" s="3">
        <f t="shared" si="61"/>
        <v>3848</v>
      </c>
      <c r="L3945" s="3">
        <v>2539.6800000000003</v>
      </c>
    </row>
    <row r="3946" spans="1:12" x14ac:dyDescent="0.25">
      <c r="A3946" t="s">
        <v>36</v>
      </c>
      <c r="B3946">
        <v>1185732</v>
      </c>
      <c r="C3946" s="1">
        <v>44366</v>
      </c>
      <c r="D3946" t="s">
        <v>29</v>
      </c>
      <c r="E3946" t="s">
        <v>68</v>
      </c>
      <c r="F3946" t="s">
        <v>69</v>
      </c>
      <c r="G3946" t="s">
        <v>15</v>
      </c>
      <c r="H3946" t="s">
        <v>35</v>
      </c>
      <c r="I3946" s="3">
        <v>43</v>
      </c>
      <c r="J3946" s="2">
        <v>109</v>
      </c>
      <c r="K3946" s="3">
        <f t="shared" si="61"/>
        <v>4687</v>
      </c>
      <c r="L3946" s="3">
        <v>2999.6800000000003</v>
      </c>
    </row>
    <row r="3947" spans="1:12" x14ac:dyDescent="0.25">
      <c r="A3947" t="s">
        <v>36</v>
      </c>
      <c r="B3947">
        <v>1185732</v>
      </c>
      <c r="C3947" s="1">
        <v>44366</v>
      </c>
      <c r="D3947" t="s">
        <v>29</v>
      </c>
      <c r="E3947" t="s">
        <v>68</v>
      </c>
      <c r="F3947" t="s">
        <v>69</v>
      </c>
      <c r="G3947" t="s">
        <v>15</v>
      </c>
      <c r="H3947" t="s">
        <v>22</v>
      </c>
      <c r="I3947" s="3">
        <v>47</v>
      </c>
      <c r="J3947" s="2">
        <v>114</v>
      </c>
      <c r="K3947" s="3">
        <f t="shared" si="61"/>
        <v>5358</v>
      </c>
      <c r="L3947" s="3">
        <v>3375.54</v>
      </c>
    </row>
    <row r="3948" spans="1:12" x14ac:dyDescent="0.25">
      <c r="A3948" t="s">
        <v>36</v>
      </c>
      <c r="B3948">
        <v>1185732</v>
      </c>
      <c r="C3948" s="1">
        <v>44366</v>
      </c>
      <c r="D3948" t="s">
        <v>29</v>
      </c>
      <c r="E3948" t="s">
        <v>68</v>
      </c>
      <c r="F3948" t="s">
        <v>69</v>
      </c>
      <c r="G3948" t="s">
        <v>41</v>
      </c>
      <c r="H3948" t="s">
        <v>37</v>
      </c>
      <c r="I3948" s="3">
        <v>52</v>
      </c>
      <c r="J3948" s="2">
        <v>91</v>
      </c>
      <c r="K3948" s="3">
        <f t="shared" si="61"/>
        <v>4732</v>
      </c>
      <c r="L3948" s="3">
        <v>2744.5600000000004</v>
      </c>
    </row>
    <row r="3949" spans="1:12" x14ac:dyDescent="0.25">
      <c r="A3949" t="s">
        <v>36</v>
      </c>
      <c r="B3949">
        <v>1185732</v>
      </c>
      <c r="C3949" s="1">
        <v>44366</v>
      </c>
      <c r="D3949" t="s">
        <v>29</v>
      </c>
      <c r="E3949" t="s">
        <v>68</v>
      </c>
      <c r="F3949" t="s">
        <v>69</v>
      </c>
      <c r="G3949" t="s">
        <v>15</v>
      </c>
      <c r="H3949" t="s">
        <v>16</v>
      </c>
      <c r="I3949" s="3">
        <v>50</v>
      </c>
      <c r="J3949" s="2">
        <v>162</v>
      </c>
      <c r="K3949" s="3">
        <f t="shared" si="61"/>
        <v>8100</v>
      </c>
      <c r="L3949" s="3">
        <v>4698</v>
      </c>
    </row>
    <row r="3950" spans="1:12" x14ac:dyDescent="0.25">
      <c r="A3950" t="s">
        <v>36</v>
      </c>
      <c r="B3950">
        <v>1185732</v>
      </c>
      <c r="C3950" s="1">
        <v>44366</v>
      </c>
      <c r="D3950" t="s">
        <v>29</v>
      </c>
      <c r="E3950" t="s">
        <v>68</v>
      </c>
      <c r="F3950" t="s">
        <v>69</v>
      </c>
      <c r="G3950" t="s">
        <v>41</v>
      </c>
      <c r="H3950" t="s">
        <v>22</v>
      </c>
      <c r="I3950" s="3">
        <v>60</v>
      </c>
      <c r="J3950" s="2">
        <v>94</v>
      </c>
      <c r="K3950" s="3">
        <f t="shared" si="61"/>
        <v>5640</v>
      </c>
      <c r="L3950" s="3">
        <v>3214.8</v>
      </c>
    </row>
    <row r="3951" spans="1:12" x14ac:dyDescent="0.25">
      <c r="A3951" t="s">
        <v>36</v>
      </c>
      <c r="B3951">
        <v>1185732</v>
      </c>
      <c r="C3951" s="1">
        <v>44366</v>
      </c>
      <c r="D3951" t="s">
        <v>29</v>
      </c>
      <c r="E3951" t="s">
        <v>68</v>
      </c>
      <c r="F3951" t="s">
        <v>69</v>
      </c>
      <c r="G3951" t="s">
        <v>41</v>
      </c>
      <c r="H3951" t="s">
        <v>35</v>
      </c>
      <c r="I3951" s="3">
        <v>53</v>
      </c>
      <c r="J3951" s="2">
        <v>88</v>
      </c>
      <c r="K3951" s="3">
        <f t="shared" si="61"/>
        <v>4664</v>
      </c>
      <c r="L3951" s="3">
        <v>2611.84</v>
      </c>
    </row>
    <row r="3952" spans="1:12" x14ac:dyDescent="0.25">
      <c r="A3952" t="s">
        <v>19</v>
      </c>
      <c r="B3952">
        <v>1185732</v>
      </c>
      <c r="C3952" s="1">
        <v>44366</v>
      </c>
      <c r="D3952" t="s">
        <v>57</v>
      </c>
      <c r="E3952" t="s">
        <v>95</v>
      </c>
      <c r="F3952" t="s">
        <v>96</v>
      </c>
      <c r="G3952" t="s">
        <v>41</v>
      </c>
      <c r="H3952" t="s">
        <v>17</v>
      </c>
      <c r="I3952" s="3">
        <v>48</v>
      </c>
      <c r="J3952" s="2">
        <v>44</v>
      </c>
      <c r="K3952" s="3">
        <f t="shared" si="61"/>
        <v>2112</v>
      </c>
      <c r="L3952" s="3">
        <v>1140.48</v>
      </c>
    </row>
    <row r="3953" spans="1:12" x14ac:dyDescent="0.25">
      <c r="A3953" t="s">
        <v>36</v>
      </c>
      <c r="B3953">
        <v>1185732</v>
      </c>
      <c r="C3953" s="1">
        <v>44366</v>
      </c>
      <c r="D3953" t="s">
        <v>29</v>
      </c>
      <c r="E3953" t="s">
        <v>68</v>
      </c>
      <c r="F3953" t="s">
        <v>69</v>
      </c>
      <c r="G3953" t="s">
        <v>15</v>
      </c>
      <c r="H3953" t="s">
        <v>38</v>
      </c>
      <c r="I3953" s="3">
        <v>44</v>
      </c>
      <c r="J3953" s="2">
        <v>216</v>
      </c>
      <c r="K3953" s="3">
        <f t="shared" si="61"/>
        <v>9504</v>
      </c>
      <c r="L3953" s="3">
        <v>5132.16</v>
      </c>
    </row>
    <row r="3954" spans="1:12" x14ac:dyDescent="0.25">
      <c r="A3954" t="s">
        <v>36</v>
      </c>
      <c r="B3954">
        <v>1185732</v>
      </c>
      <c r="C3954" s="1">
        <v>44366</v>
      </c>
      <c r="D3954" t="s">
        <v>29</v>
      </c>
      <c r="E3954" t="s">
        <v>68</v>
      </c>
      <c r="F3954" t="s">
        <v>69</v>
      </c>
      <c r="G3954" t="s">
        <v>41</v>
      </c>
      <c r="H3954" t="s">
        <v>16</v>
      </c>
      <c r="I3954" s="3">
        <v>66</v>
      </c>
      <c r="J3954" s="2">
        <v>138</v>
      </c>
      <c r="K3954" s="3">
        <f t="shared" si="61"/>
        <v>9108</v>
      </c>
      <c r="L3954" s="3">
        <v>4827.2400000000007</v>
      </c>
    </row>
    <row r="3955" spans="1:12" x14ac:dyDescent="0.25">
      <c r="A3955" t="s">
        <v>36</v>
      </c>
      <c r="B3955">
        <v>1185732</v>
      </c>
      <c r="C3955" s="1">
        <v>44366</v>
      </c>
      <c r="D3955" t="s">
        <v>29</v>
      </c>
      <c r="E3955" t="s">
        <v>68</v>
      </c>
      <c r="F3955" t="s">
        <v>69</v>
      </c>
      <c r="G3955" t="s">
        <v>15</v>
      </c>
      <c r="H3955" t="s">
        <v>17</v>
      </c>
      <c r="I3955" s="3">
        <v>40</v>
      </c>
      <c r="J3955" s="2">
        <v>140</v>
      </c>
      <c r="K3955" s="3">
        <f t="shared" si="61"/>
        <v>5600</v>
      </c>
      <c r="L3955" s="3">
        <v>2968</v>
      </c>
    </row>
    <row r="3956" spans="1:12" x14ac:dyDescent="0.25">
      <c r="A3956" t="s">
        <v>36</v>
      </c>
      <c r="B3956">
        <v>1185732</v>
      </c>
      <c r="C3956" s="1">
        <v>44366</v>
      </c>
      <c r="D3956" t="s">
        <v>29</v>
      </c>
      <c r="E3956" t="s">
        <v>68</v>
      </c>
      <c r="F3956" t="s">
        <v>69</v>
      </c>
      <c r="G3956" t="s">
        <v>41</v>
      </c>
      <c r="H3956" t="s">
        <v>17</v>
      </c>
      <c r="I3956" s="3">
        <v>56</v>
      </c>
      <c r="J3956" s="2">
        <v>123</v>
      </c>
      <c r="K3956" s="3">
        <f t="shared" si="61"/>
        <v>6888</v>
      </c>
      <c r="L3956" s="3">
        <v>3375.12</v>
      </c>
    </row>
    <row r="3957" spans="1:12" x14ac:dyDescent="0.25">
      <c r="A3957" t="s">
        <v>36</v>
      </c>
      <c r="B3957">
        <v>1185732</v>
      </c>
      <c r="C3957" s="1">
        <v>44366</v>
      </c>
      <c r="D3957" t="s">
        <v>29</v>
      </c>
      <c r="E3957" t="s">
        <v>68</v>
      </c>
      <c r="F3957" t="s">
        <v>69</v>
      </c>
      <c r="G3957" t="s">
        <v>41</v>
      </c>
      <c r="H3957" t="s">
        <v>38</v>
      </c>
      <c r="I3957" s="3">
        <v>59</v>
      </c>
      <c r="J3957" s="2">
        <v>169</v>
      </c>
      <c r="K3957" s="3">
        <f t="shared" si="61"/>
        <v>9971</v>
      </c>
      <c r="L3957" s="3">
        <v>4686.37</v>
      </c>
    </row>
    <row r="3958" spans="1:12" x14ac:dyDescent="0.25">
      <c r="A3958" t="s">
        <v>19</v>
      </c>
      <c r="B3958">
        <v>1185732</v>
      </c>
      <c r="C3958" s="1">
        <v>44366</v>
      </c>
      <c r="D3958" t="s">
        <v>57</v>
      </c>
      <c r="E3958" t="s">
        <v>118</v>
      </c>
      <c r="F3958" t="s">
        <v>119</v>
      </c>
      <c r="G3958" t="s">
        <v>41</v>
      </c>
      <c r="H3958" t="s">
        <v>16</v>
      </c>
      <c r="I3958" s="3">
        <v>51</v>
      </c>
      <c r="J3958" s="2">
        <v>41</v>
      </c>
      <c r="K3958" s="3">
        <f t="shared" si="61"/>
        <v>2091</v>
      </c>
      <c r="L3958" s="3">
        <v>794.57999999999993</v>
      </c>
    </row>
    <row r="3959" spans="1:12" x14ac:dyDescent="0.25">
      <c r="A3959" t="s">
        <v>19</v>
      </c>
      <c r="B3959">
        <v>1185732</v>
      </c>
      <c r="C3959" s="1">
        <v>44367</v>
      </c>
      <c r="D3959" t="s">
        <v>57</v>
      </c>
      <c r="E3959" t="s">
        <v>95</v>
      </c>
      <c r="F3959" t="s">
        <v>96</v>
      </c>
      <c r="G3959" t="s">
        <v>15</v>
      </c>
      <c r="H3959" t="s">
        <v>35</v>
      </c>
      <c r="I3959" s="3">
        <v>40</v>
      </c>
      <c r="J3959" s="2">
        <v>150</v>
      </c>
      <c r="K3959" s="3">
        <f t="shared" si="61"/>
        <v>6000</v>
      </c>
      <c r="L3959" s="3">
        <v>3900</v>
      </c>
    </row>
    <row r="3960" spans="1:12" x14ac:dyDescent="0.25">
      <c r="A3960" t="s">
        <v>19</v>
      </c>
      <c r="B3960">
        <v>1185732</v>
      </c>
      <c r="C3960" s="1">
        <v>44367</v>
      </c>
      <c r="D3960" t="s">
        <v>57</v>
      </c>
      <c r="E3960" t="s">
        <v>118</v>
      </c>
      <c r="F3960" t="s">
        <v>119</v>
      </c>
      <c r="G3960" t="s">
        <v>15</v>
      </c>
      <c r="H3960" t="s">
        <v>38</v>
      </c>
      <c r="I3960" s="3">
        <v>40</v>
      </c>
      <c r="J3960" s="2">
        <v>400</v>
      </c>
      <c r="K3960" s="3">
        <f t="shared" si="61"/>
        <v>16000</v>
      </c>
      <c r="L3960" s="3">
        <v>9600</v>
      </c>
    </row>
    <row r="3961" spans="1:12" x14ac:dyDescent="0.25">
      <c r="A3961" t="s">
        <v>19</v>
      </c>
      <c r="B3961">
        <v>1185732</v>
      </c>
      <c r="C3961" s="1">
        <v>44367</v>
      </c>
      <c r="D3961" t="s">
        <v>57</v>
      </c>
      <c r="E3961" t="s">
        <v>95</v>
      </c>
      <c r="F3961" t="s">
        <v>96</v>
      </c>
      <c r="G3961" t="s">
        <v>41</v>
      </c>
      <c r="H3961" t="s">
        <v>35</v>
      </c>
      <c r="I3961" s="3">
        <v>36</v>
      </c>
      <c r="J3961" s="2">
        <v>42</v>
      </c>
      <c r="K3961" s="3">
        <f t="shared" si="61"/>
        <v>1512</v>
      </c>
      <c r="L3961" s="3">
        <v>786.24</v>
      </c>
    </row>
    <row r="3962" spans="1:12" x14ac:dyDescent="0.25">
      <c r="A3962" t="s">
        <v>19</v>
      </c>
      <c r="B3962">
        <v>1185732</v>
      </c>
      <c r="C3962" s="1">
        <v>44367</v>
      </c>
      <c r="D3962" t="s">
        <v>57</v>
      </c>
      <c r="E3962" t="s">
        <v>118</v>
      </c>
      <c r="F3962" t="s">
        <v>119</v>
      </c>
      <c r="G3962" t="s">
        <v>41</v>
      </c>
      <c r="H3962" t="s">
        <v>38</v>
      </c>
      <c r="I3962" s="3">
        <v>36</v>
      </c>
      <c r="J3962" s="2">
        <v>120</v>
      </c>
      <c r="K3962" s="3">
        <f t="shared" si="61"/>
        <v>4320</v>
      </c>
      <c r="L3962" s="3">
        <v>2030.4</v>
      </c>
    </row>
    <row r="3963" spans="1:12" x14ac:dyDescent="0.25">
      <c r="A3963" t="s">
        <v>23</v>
      </c>
      <c r="B3963">
        <v>1197831</v>
      </c>
      <c r="C3963" s="1">
        <v>44368</v>
      </c>
      <c r="D3963" t="s">
        <v>52</v>
      </c>
      <c r="E3963" t="s">
        <v>114</v>
      </c>
      <c r="F3963" t="s">
        <v>115</v>
      </c>
      <c r="G3963" t="s">
        <v>41</v>
      </c>
      <c r="H3963" t="s">
        <v>22</v>
      </c>
      <c r="I3963" s="3">
        <v>54.999999999999993</v>
      </c>
      <c r="J3963" s="2">
        <v>375</v>
      </c>
      <c r="K3963" s="3">
        <f t="shared" si="61"/>
        <v>20624.999999999996</v>
      </c>
      <c r="L3963" s="3">
        <v>13406.25</v>
      </c>
    </row>
    <row r="3964" spans="1:12" x14ac:dyDescent="0.25">
      <c r="A3964" t="s">
        <v>19</v>
      </c>
      <c r="B3964">
        <v>1185732</v>
      </c>
      <c r="C3964" s="1">
        <v>44368</v>
      </c>
      <c r="D3964" t="s">
        <v>57</v>
      </c>
      <c r="E3964" t="s">
        <v>118</v>
      </c>
      <c r="F3964" t="s">
        <v>119</v>
      </c>
      <c r="G3964" t="s">
        <v>15</v>
      </c>
      <c r="H3964" t="s">
        <v>17</v>
      </c>
      <c r="I3964" s="3">
        <v>35.000000000000007</v>
      </c>
      <c r="J3964" s="2">
        <v>150</v>
      </c>
      <c r="K3964" s="3">
        <f t="shared" si="61"/>
        <v>5250.0000000000009</v>
      </c>
      <c r="L3964" s="3">
        <v>3412.5000000000009</v>
      </c>
    </row>
    <row r="3965" spans="1:12" x14ac:dyDescent="0.25">
      <c r="A3965" t="s">
        <v>23</v>
      </c>
      <c r="B3965">
        <v>1197831</v>
      </c>
      <c r="C3965" s="1">
        <v>44368</v>
      </c>
      <c r="D3965" t="s">
        <v>52</v>
      </c>
      <c r="E3965" t="s">
        <v>114</v>
      </c>
      <c r="F3965" t="s">
        <v>115</v>
      </c>
      <c r="G3965" t="s">
        <v>41</v>
      </c>
      <c r="H3965" t="s">
        <v>17</v>
      </c>
      <c r="I3965" s="3">
        <v>35</v>
      </c>
      <c r="J3965" s="2">
        <v>425</v>
      </c>
      <c r="K3965" s="3">
        <f t="shared" si="61"/>
        <v>14875</v>
      </c>
      <c r="L3965" s="3">
        <v>9668.75</v>
      </c>
    </row>
    <row r="3966" spans="1:12" x14ac:dyDescent="0.25">
      <c r="A3966" t="s">
        <v>11</v>
      </c>
      <c r="B3966">
        <v>1197831</v>
      </c>
      <c r="C3966" s="1">
        <v>44368</v>
      </c>
      <c r="D3966" t="s">
        <v>52</v>
      </c>
      <c r="E3966" t="s">
        <v>116</v>
      </c>
      <c r="F3966" t="s">
        <v>117</v>
      </c>
      <c r="G3966" t="s">
        <v>41</v>
      </c>
      <c r="H3966" t="s">
        <v>17</v>
      </c>
      <c r="I3966" s="3">
        <v>35</v>
      </c>
      <c r="J3966" s="2">
        <v>350</v>
      </c>
      <c r="K3966" s="3">
        <f t="shared" si="61"/>
        <v>12250</v>
      </c>
      <c r="L3966" s="3">
        <v>7962.5</v>
      </c>
    </row>
    <row r="3967" spans="1:12" x14ac:dyDescent="0.25">
      <c r="A3967" t="s">
        <v>11</v>
      </c>
      <c r="B3967">
        <v>1197831</v>
      </c>
      <c r="C3967" s="1">
        <v>44368</v>
      </c>
      <c r="D3967" t="s">
        <v>52</v>
      </c>
      <c r="E3967" t="s">
        <v>116</v>
      </c>
      <c r="F3967" t="s">
        <v>117</v>
      </c>
      <c r="G3967" t="s">
        <v>41</v>
      </c>
      <c r="H3967" t="s">
        <v>22</v>
      </c>
      <c r="I3967" s="3">
        <v>54.999999999999993</v>
      </c>
      <c r="J3967" s="2">
        <v>300</v>
      </c>
      <c r="K3967" s="3">
        <f t="shared" si="61"/>
        <v>16499.999999999996</v>
      </c>
      <c r="L3967" s="3">
        <v>10724.999999999998</v>
      </c>
    </row>
    <row r="3968" spans="1:12" x14ac:dyDescent="0.25">
      <c r="A3968" t="s">
        <v>19</v>
      </c>
      <c r="B3968">
        <v>1185732</v>
      </c>
      <c r="C3968" s="1">
        <v>44368</v>
      </c>
      <c r="D3968" t="s">
        <v>57</v>
      </c>
      <c r="E3968" t="s">
        <v>95</v>
      </c>
      <c r="F3968" t="s">
        <v>96</v>
      </c>
      <c r="G3968" t="s">
        <v>15</v>
      </c>
      <c r="H3968" t="s">
        <v>37</v>
      </c>
      <c r="I3968" s="3">
        <v>45</v>
      </c>
      <c r="J3968" s="2">
        <v>75</v>
      </c>
      <c r="K3968" s="3">
        <f t="shared" si="61"/>
        <v>3375</v>
      </c>
      <c r="L3968" s="3">
        <v>2025</v>
      </c>
    </row>
    <row r="3969" spans="1:12" x14ac:dyDescent="0.25">
      <c r="A3969" t="s">
        <v>23</v>
      </c>
      <c r="B3969">
        <v>1197831</v>
      </c>
      <c r="C3969" s="1">
        <v>44368</v>
      </c>
      <c r="D3969" t="s">
        <v>52</v>
      </c>
      <c r="E3969" t="s">
        <v>114</v>
      </c>
      <c r="F3969" t="s">
        <v>115</v>
      </c>
      <c r="G3969" t="s">
        <v>41</v>
      </c>
      <c r="H3969" t="s">
        <v>38</v>
      </c>
      <c r="I3969" s="3">
        <v>40</v>
      </c>
      <c r="J3969" s="2">
        <v>675</v>
      </c>
      <c r="K3969" s="3">
        <f t="shared" si="61"/>
        <v>27000</v>
      </c>
      <c r="L3969" s="3">
        <v>16200</v>
      </c>
    </row>
    <row r="3970" spans="1:12" x14ac:dyDescent="0.25">
      <c r="A3970" t="s">
        <v>23</v>
      </c>
      <c r="B3970">
        <v>1197831</v>
      </c>
      <c r="C3970" s="1">
        <v>44368</v>
      </c>
      <c r="D3970" t="s">
        <v>52</v>
      </c>
      <c r="E3970" t="s">
        <v>114</v>
      </c>
      <c r="F3970" t="s">
        <v>115</v>
      </c>
      <c r="G3970" t="s">
        <v>41</v>
      </c>
      <c r="H3970" t="s">
        <v>35</v>
      </c>
      <c r="I3970" s="3">
        <v>40</v>
      </c>
      <c r="J3970" s="2">
        <v>400</v>
      </c>
      <c r="K3970" s="3">
        <f t="shared" si="61"/>
        <v>16000</v>
      </c>
      <c r="L3970" s="3">
        <v>9600</v>
      </c>
    </row>
    <row r="3971" spans="1:12" x14ac:dyDescent="0.25">
      <c r="A3971" t="s">
        <v>23</v>
      </c>
      <c r="B3971">
        <v>1197831</v>
      </c>
      <c r="C3971" s="1">
        <v>44368</v>
      </c>
      <c r="D3971" t="s">
        <v>52</v>
      </c>
      <c r="E3971" t="s">
        <v>114</v>
      </c>
      <c r="F3971" t="s">
        <v>115</v>
      </c>
      <c r="G3971" t="s">
        <v>41</v>
      </c>
      <c r="H3971" t="s">
        <v>37</v>
      </c>
      <c r="I3971" s="3">
        <v>40</v>
      </c>
      <c r="J3971" s="2">
        <v>375</v>
      </c>
      <c r="K3971" s="3">
        <f t="shared" ref="K3971:K4034" si="62">I3971*J3971</f>
        <v>15000</v>
      </c>
      <c r="L3971" s="3">
        <v>9000</v>
      </c>
    </row>
    <row r="3972" spans="1:12" x14ac:dyDescent="0.25">
      <c r="A3972" t="s">
        <v>23</v>
      </c>
      <c r="B3972">
        <v>1197831</v>
      </c>
      <c r="C3972" s="1">
        <v>44368</v>
      </c>
      <c r="D3972" t="s">
        <v>52</v>
      </c>
      <c r="E3972" t="s">
        <v>114</v>
      </c>
      <c r="F3972" t="s">
        <v>115</v>
      </c>
      <c r="G3972" t="s">
        <v>41</v>
      </c>
      <c r="H3972" t="s">
        <v>16</v>
      </c>
      <c r="I3972" s="3">
        <v>60</v>
      </c>
      <c r="J3972" s="2">
        <v>550</v>
      </c>
      <c r="K3972" s="3">
        <f t="shared" si="62"/>
        <v>33000</v>
      </c>
      <c r="L3972" s="3">
        <v>19800</v>
      </c>
    </row>
    <row r="3973" spans="1:12" x14ac:dyDescent="0.25">
      <c r="A3973" t="s">
        <v>11</v>
      </c>
      <c r="B3973">
        <v>1197831</v>
      </c>
      <c r="C3973" s="1">
        <v>44368</v>
      </c>
      <c r="D3973" t="s">
        <v>52</v>
      </c>
      <c r="E3973" t="s">
        <v>116</v>
      </c>
      <c r="F3973" t="s">
        <v>117</v>
      </c>
      <c r="G3973" t="s">
        <v>41</v>
      </c>
      <c r="H3973" t="s">
        <v>38</v>
      </c>
      <c r="I3973" s="3">
        <v>40</v>
      </c>
      <c r="J3973" s="2">
        <v>600</v>
      </c>
      <c r="K3973" s="3">
        <f t="shared" si="62"/>
        <v>24000</v>
      </c>
      <c r="L3973" s="3">
        <v>14400</v>
      </c>
    </row>
    <row r="3974" spans="1:12" x14ac:dyDescent="0.25">
      <c r="A3974" t="s">
        <v>11</v>
      </c>
      <c r="B3974">
        <v>1197831</v>
      </c>
      <c r="C3974" s="1">
        <v>44368</v>
      </c>
      <c r="D3974" t="s">
        <v>52</v>
      </c>
      <c r="E3974" t="s">
        <v>116</v>
      </c>
      <c r="F3974" t="s">
        <v>117</v>
      </c>
      <c r="G3974" t="s">
        <v>41</v>
      </c>
      <c r="H3974" t="s">
        <v>35</v>
      </c>
      <c r="I3974" s="3">
        <v>40</v>
      </c>
      <c r="J3974" s="2">
        <v>325</v>
      </c>
      <c r="K3974" s="3">
        <f t="shared" si="62"/>
        <v>13000</v>
      </c>
      <c r="L3974" s="3">
        <v>7800</v>
      </c>
    </row>
    <row r="3975" spans="1:12" x14ac:dyDescent="0.25">
      <c r="A3975" t="s">
        <v>11</v>
      </c>
      <c r="B3975">
        <v>1197831</v>
      </c>
      <c r="C3975" s="1">
        <v>44368</v>
      </c>
      <c r="D3975" t="s">
        <v>52</v>
      </c>
      <c r="E3975" t="s">
        <v>116</v>
      </c>
      <c r="F3975" t="s">
        <v>117</v>
      </c>
      <c r="G3975" t="s">
        <v>41</v>
      </c>
      <c r="H3975" t="s">
        <v>37</v>
      </c>
      <c r="I3975" s="3">
        <v>40</v>
      </c>
      <c r="J3975" s="2">
        <v>300</v>
      </c>
      <c r="K3975" s="3">
        <f t="shared" si="62"/>
        <v>12000</v>
      </c>
      <c r="L3975" s="3">
        <v>7200</v>
      </c>
    </row>
    <row r="3976" spans="1:12" x14ac:dyDescent="0.25">
      <c r="A3976" t="s">
        <v>11</v>
      </c>
      <c r="B3976">
        <v>1197831</v>
      </c>
      <c r="C3976" s="1">
        <v>44368</v>
      </c>
      <c r="D3976" t="s">
        <v>52</v>
      </c>
      <c r="E3976" t="s">
        <v>116</v>
      </c>
      <c r="F3976" t="s">
        <v>117</v>
      </c>
      <c r="G3976" t="s">
        <v>41</v>
      </c>
      <c r="H3976" t="s">
        <v>16</v>
      </c>
      <c r="I3976" s="3">
        <v>60</v>
      </c>
      <c r="J3976" s="2">
        <v>475</v>
      </c>
      <c r="K3976" s="3">
        <f t="shared" si="62"/>
        <v>28500</v>
      </c>
      <c r="L3976" s="3">
        <v>17100</v>
      </c>
    </row>
    <row r="3977" spans="1:12" x14ac:dyDescent="0.25">
      <c r="A3977" t="s">
        <v>11</v>
      </c>
      <c r="B3977">
        <v>1197831</v>
      </c>
      <c r="C3977" s="1">
        <v>44368</v>
      </c>
      <c r="D3977" t="s">
        <v>52</v>
      </c>
      <c r="E3977" t="s">
        <v>116</v>
      </c>
      <c r="F3977" t="s">
        <v>117</v>
      </c>
      <c r="G3977" t="s">
        <v>15</v>
      </c>
      <c r="H3977" t="s">
        <v>22</v>
      </c>
      <c r="I3977" s="3">
        <v>41</v>
      </c>
      <c r="J3977" s="2">
        <v>105</v>
      </c>
      <c r="K3977" s="3">
        <f t="shared" si="62"/>
        <v>4305</v>
      </c>
      <c r="L3977" s="3">
        <v>2669.1</v>
      </c>
    </row>
    <row r="3978" spans="1:12" x14ac:dyDescent="0.25">
      <c r="A3978" t="s">
        <v>11</v>
      </c>
      <c r="B3978">
        <v>1197831</v>
      </c>
      <c r="C3978" s="1">
        <v>44368</v>
      </c>
      <c r="D3978" t="s">
        <v>52</v>
      </c>
      <c r="E3978" t="s">
        <v>116</v>
      </c>
      <c r="F3978" t="s">
        <v>117</v>
      </c>
      <c r="G3978" t="s">
        <v>15</v>
      </c>
      <c r="H3978" t="s">
        <v>17</v>
      </c>
      <c r="I3978" s="3">
        <v>25</v>
      </c>
      <c r="J3978" s="2">
        <v>123</v>
      </c>
      <c r="K3978" s="3">
        <f t="shared" si="62"/>
        <v>3075</v>
      </c>
      <c r="L3978" s="3">
        <v>1875.7500000000002</v>
      </c>
    </row>
    <row r="3979" spans="1:12" x14ac:dyDescent="0.25">
      <c r="A3979" t="s">
        <v>23</v>
      </c>
      <c r="B3979">
        <v>1197831</v>
      </c>
      <c r="C3979" s="1">
        <v>44368</v>
      </c>
      <c r="D3979" t="s">
        <v>52</v>
      </c>
      <c r="E3979" t="s">
        <v>114</v>
      </c>
      <c r="F3979" t="s">
        <v>115</v>
      </c>
      <c r="G3979" t="s">
        <v>15</v>
      </c>
      <c r="H3979" t="s">
        <v>17</v>
      </c>
      <c r="I3979" s="3">
        <v>25</v>
      </c>
      <c r="J3979" s="2">
        <v>149</v>
      </c>
      <c r="K3979" s="3">
        <f t="shared" si="62"/>
        <v>3725</v>
      </c>
      <c r="L3979" s="3">
        <v>2272.25</v>
      </c>
    </row>
    <row r="3980" spans="1:12" x14ac:dyDescent="0.25">
      <c r="A3980" t="s">
        <v>23</v>
      </c>
      <c r="B3980">
        <v>1197831</v>
      </c>
      <c r="C3980" s="1">
        <v>44368</v>
      </c>
      <c r="D3980" t="s">
        <v>52</v>
      </c>
      <c r="E3980" t="s">
        <v>114</v>
      </c>
      <c r="F3980" t="s">
        <v>115</v>
      </c>
      <c r="G3980" t="s">
        <v>15</v>
      </c>
      <c r="H3980" t="s">
        <v>22</v>
      </c>
      <c r="I3980" s="3">
        <v>37</v>
      </c>
      <c r="J3980" s="2">
        <v>116</v>
      </c>
      <c r="K3980" s="3">
        <f t="shared" si="62"/>
        <v>4292</v>
      </c>
      <c r="L3980" s="3">
        <v>2618.12</v>
      </c>
    </row>
    <row r="3981" spans="1:12" x14ac:dyDescent="0.25">
      <c r="A3981" t="s">
        <v>11</v>
      </c>
      <c r="B3981">
        <v>1197831</v>
      </c>
      <c r="C3981" s="1">
        <v>44368</v>
      </c>
      <c r="D3981" t="s">
        <v>52</v>
      </c>
      <c r="E3981" t="s">
        <v>116</v>
      </c>
      <c r="F3981" t="s">
        <v>117</v>
      </c>
      <c r="G3981" t="s">
        <v>15</v>
      </c>
      <c r="H3981" t="s">
        <v>16</v>
      </c>
      <c r="I3981" s="3">
        <v>40</v>
      </c>
      <c r="J3981" s="2">
        <v>143</v>
      </c>
      <c r="K3981" s="3">
        <f t="shared" si="62"/>
        <v>5720</v>
      </c>
      <c r="L3981" s="3">
        <v>3317.6</v>
      </c>
    </row>
    <row r="3982" spans="1:12" x14ac:dyDescent="0.25">
      <c r="A3982" t="s">
        <v>23</v>
      </c>
      <c r="B3982">
        <v>1197831</v>
      </c>
      <c r="C3982" s="1">
        <v>44368</v>
      </c>
      <c r="D3982" t="s">
        <v>52</v>
      </c>
      <c r="E3982" t="s">
        <v>114</v>
      </c>
      <c r="F3982" t="s">
        <v>115</v>
      </c>
      <c r="G3982" t="s">
        <v>15</v>
      </c>
      <c r="H3982" t="s">
        <v>16</v>
      </c>
      <c r="I3982" s="3">
        <v>48</v>
      </c>
      <c r="J3982" s="2">
        <v>165</v>
      </c>
      <c r="K3982" s="3">
        <f t="shared" si="62"/>
        <v>7920</v>
      </c>
      <c r="L3982" s="3">
        <v>4514.3999999999996</v>
      </c>
    </row>
    <row r="3983" spans="1:12" x14ac:dyDescent="0.25">
      <c r="A3983" t="s">
        <v>11</v>
      </c>
      <c r="B3983">
        <v>1197831</v>
      </c>
      <c r="C3983" s="1">
        <v>44368</v>
      </c>
      <c r="D3983" t="s">
        <v>52</v>
      </c>
      <c r="E3983" t="s">
        <v>116</v>
      </c>
      <c r="F3983" t="s">
        <v>117</v>
      </c>
      <c r="G3983" t="s">
        <v>15</v>
      </c>
      <c r="H3983" t="s">
        <v>35</v>
      </c>
      <c r="I3983" s="3">
        <v>27</v>
      </c>
      <c r="J3983" s="2">
        <v>107</v>
      </c>
      <c r="K3983" s="3">
        <f t="shared" si="62"/>
        <v>2889</v>
      </c>
      <c r="L3983" s="3">
        <v>1646.7299999999998</v>
      </c>
    </row>
    <row r="3984" spans="1:12" x14ac:dyDescent="0.25">
      <c r="A3984" t="s">
        <v>23</v>
      </c>
      <c r="B3984">
        <v>1197831</v>
      </c>
      <c r="C3984" s="1">
        <v>44368</v>
      </c>
      <c r="D3984" t="s">
        <v>52</v>
      </c>
      <c r="E3984" t="s">
        <v>114</v>
      </c>
      <c r="F3984" t="s">
        <v>115</v>
      </c>
      <c r="G3984" t="s">
        <v>15</v>
      </c>
      <c r="H3984" t="s">
        <v>38</v>
      </c>
      <c r="I3984" s="3">
        <v>28</v>
      </c>
      <c r="J3984" s="2">
        <v>236</v>
      </c>
      <c r="K3984" s="3">
        <f t="shared" si="62"/>
        <v>6608</v>
      </c>
      <c r="L3984" s="3">
        <v>3700.48</v>
      </c>
    </row>
    <row r="3985" spans="1:12" x14ac:dyDescent="0.25">
      <c r="A3985" t="s">
        <v>23</v>
      </c>
      <c r="B3985">
        <v>1197831</v>
      </c>
      <c r="C3985" s="1">
        <v>44368</v>
      </c>
      <c r="D3985" t="s">
        <v>52</v>
      </c>
      <c r="E3985" t="s">
        <v>114</v>
      </c>
      <c r="F3985" t="s">
        <v>115</v>
      </c>
      <c r="G3985" t="s">
        <v>15</v>
      </c>
      <c r="H3985" t="s">
        <v>37</v>
      </c>
      <c r="I3985" s="3">
        <v>29</v>
      </c>
      <c r="J3985" s="2">
        <v>124</v>
      </c>
      <c r="K3985" s="3">
        <f t="shared" si="62"/>
        <v>3596</v>
      </c>
      <c r="L3985" s="3">
        <v>2013.76</v>
      </c>
    </row>
    <row r="3986" spans="1:12" x14ac:dyDescent="0.25">
      <c r="A3986" t="s">
        <v>11</v>
      </c>
      <c r="B3986">
        <v>1197831</v>
      </c>
      <c r="C3986" s="1">
        <v>44368</v>
      </c>
      <c r="D3986" t="s">
        <v>52</v>
      </c>
      <c r="E3986" t="s">
        <v>116</v>
      </c>
      <c r="F3986" t="s">
        <v>117</v>
      </c>
      <c r="G3986" t="s">
        <v>41</v>
      </c>
      <c r="H3986" t="s">
        <v>17</v>
      </c>
      <c r="I3986" s="3">
        <v>33</v>
      </c>
      <c r="J3986" s="2">
        <v>88</v>
      </c>
      <c r="K3986" s="3">
        <f t="shared" si="62"/>
        <v>2904</v>
      </c>
      <c r="L3986" s="3">
        <v>1597.2</v>
      </c>
    </row>
    <row r="3987" spans="1:12" x14ac:dyDescent="0.25">
      <c r="A3987" t="s">
        <v>23</v>
      </c>
      <c r="B3987">
        <v>1197831</v>
      </c>
      <c r="C3987" s="1">
        <v>44368</v>
      </c>
      <c r="D3987" t="s">
        <v>52</v>
      </c>
      <c r="E3987" t="s">
        <v>114</v>
      </c>
      <c r="F3987" t="s">
        <v>115</v>
      </c>
      <c r="G3987" t="s">
        <v>15</v>
      </c>
      <c r="H3987" t="s">
        <v>35</v>
      </c>
      <c r="I3987" s="3">
        <v>28</v>
      </c>
      <c r="J3987" s="2">
        <v>124</v>
      </c>
      <c r="K3987" s="3">
        <f t="shared" si="62"/>
        <v>3472</v>
      </c>
      <c r="L3987" s="3">
        <v>1909.6</v>
      </c>
    </row>
    <row r="3988" spans="1:12" x14ac:dyDescent="0.25">
      <c r="A3988" t="s">
        <v>11</v>
      </c>
      <c r="B3988">
        <v>1197831</v>
      </c>
      <c r="C3988" s="1">
        <v>44368</v>
      </c>
      <c r="D3988" t="s">
        <v>52</v>
      </c>
      <c r="E3988" t="s">
        <v>116</v>
      </c>
      <c r="F3988" t="s">
        <v>117</v>
      </c>
      <c r="G3988" t="s">
        <v>15</v>
      </c>
      <c r="H3988" t="s">
        <v>37</v>
      </c>
      <c r="I3988" s="3">
        <v>29</v>
      </c>
      <c r="J3988" s="2">
        <v>102</v>
      </c>
      <c r="K3988" s="3">
        <f t="shared" si="62"/>
        <v>2958</v>
      </c>
      <c r="L3988" s="3">
        <v>1626.8999999999999</v>
      </c>
    </row>
    <row r="3989" spans="1:12" x14ac:dyDescent="0.25">
      <c r="A3989" t="s">
        <v>11</v>
      </c>
      <c r="B3989">
        <v>1197831</v>
      </c>
      <c r="C3989" s="1">
        <v>44368</v>
      </c>
      <c r="D3989" t="s">
        <v>52</v>
      </c>
      <c r="E3989" t="s">
        <v>116</v>
      </c>
      <c r="F3989" t="s">
        <v>117</v>
      </c>
      <c r="G3989" t="s">
        <v>15</v>
      </c>
      <c r="H3989" t="s">
        <v>38</v>
      </c>
      <c r="I3989" s="3">
        <v>32</v>
      </c>
      <c r="J3989" s="2">
        <v>192</v>
      </c>
      <c r="K3989" s="3">
        <f t="shared" si="62"/>
        <v>6144</v>
      </c>
      <c r="L3989" s="3">
        <v>3317.7599999999998</v>
      </c>
    </row>
    <row r="3990" spans="1:12" x14ac:dyDescent="0.25">
      <c r="A3990" t="s">
        <v>11</v>
      </c>
      <c r="B3990">
        <v>1197831</v>
      </c>
      <c r="C3990" s="1">
        <v>44368</v>
      </c>
      <c r="D3990" t="s">
        <v>52</v>
      </c>
      <c r="E3990" t="s">
        <v>116</v>
      </c>
      <c r="F3990" t="s">
        <v>117</v>
      </c>
      <c r="G3990" t="s">
        <v>41</v>
      </c>
      <c r="H3990" t="s">
        <v>22</v>
      </c>
      <c r="I3990" s="3">
        <v>51</v>
      </c>
      <c r="J3990" s="2">
        <v>87</v>
      </c>
      <c r="K3990" s="3">
        <f t="shared" si="62"/>
        <v>4437</v>
      </c>
      <c r="L3990" s="3">
        <v>2351.61</v>
      </c>
    </row>
    <row r="3991" spans="1:12" x14ac:dyDescent="0.25">
      <c r="A3991" t="s">
        <v>23</v>
      </c>
      <c r="B3991">
        <v>1197831</v>
      </c>
      <c r="C3991" s="1">
        <v>44368</v>
      </c>
      <c r="D3991" t="s">
        <v>52</v>
      </c>
      <c r="E3991" t="s">
        <v>114</v>
      </c>
      <c r="F3991" t="s">
        <v>115</v>
      </c>
      <c r="G3991" t="s">
        <v>41</v>
      </c>
      <c r="H3991" t="s">
        <v>22</v>
      </c>
      <c r="I3991" s="3">
        <v>54</v>
      </c>
      <c r="J3991" s="2">
        <v>98</v>
      </c>
      <c r="K3991" s="3">
        <f t="shared" si="62"/>
        <v>5292</v>
      </c>
      <c r="L3991" s="3">
        <v>2751.84</v>
      </c>
    </row>
    <row r="3992" spans="1:12" x14ac:dyDescent="0.25">
      <c r="A3992" t="s">
        <v>23</v>
      </c>
      <c r="B3992">
        <v>1197831</v>
      </c>
      <c r="C3992" s="1">
        <v>44368</v>
      </c>
      <c r="D3992" t="s">
        <v>52</v>
      </c>
      <c r="E3992" t="s">
        <v>114</v>
      </c>
      <c r="F3992" t="s">
        <v>115</v>
      </c>
      <c r="G3992" t="s">
        <v>41</v>
      </c>
      <c r="H3992" t="s">
        <v>17</v>
      </c>
      <c r="I3992" s="3">
        <v>32</v>
      </c>
      <c r="J3992" s="2">
        <v>106</v>
      </c>
      <c r="K3992" s="3">
        <f t="shared" si="62"/>
        <v>3392</v>
      </c>
      <c r="L3992" s="3">
        <v>1729.92</v>
      </c>
    </row>
    <row r="3993" spans="1:12" x14ac:dyDescent="0.25">
      <c r="A3993" t="s">
        <v>19</v>
      </c>
      <c r="B3993">
        <v>1185732</v>
      </c>
      <c r="C3993" s="1">
        <v>44368</v>
      </c>
      <c r="D3993" t="s">
        <v>57</v>
      </c>
      <c r="E3993" t="s">
        <v>95</v>
      </c>
      <c r="F3993" t="s">
        <v>96</v>
      </c>
      <c r="G3993" t="s">
        <v>41</v>
      </c>
      <c r="H3993" t="s">
        <v>37</v>
      </c>
      <c r="I3993" s="3">
        <v>44</v>
      </c>
      <c r="J3993" s="2">
        <v>20</v>
      </c>
      <c r="K3993" s="3">
        <f t="shared" si="62"/>
        <v>880</v>
      </c>
      <c r="L3993" s="3">
        <v>440</v>
      </c>
    </row>
    <row r="3994" spans="1:12" x14ac:dyDescent="0.25">
      <c r="A3994" t="s">
        <v>19</v>
      </c>
      <c r="B3994">
        <v>1185732</v>
      </c>
      <c r="C3994" s="1">
        <v>44368</v>
      </c>
      <c r="D3994" t="s">
        <v>57</v>
      </c>
      <c r="E3994" t="s">
        <v>118</v>
      </c>
      <c r="F3994" t="s">
        <v>119</v>
      </c>
      <c r="G3994" t="s">
        <v>41</v>
      </c>
      <c r="H3994" t="s">
        <v>17</v>
      </c>
      <c r="I3994" s="3">
        <v>32</v>
      </c>
      <c r="J3994" s="2">
        <v>45</v>
      </c>
      <c r="K3994" s="3">
        <f t="shared" si="62"/>
        <v>1440</v>
      </c>
      <c r="L3994" s="3">
        <v>720</v>
      </c>
    </row>
    <row r="3995" spans="1:12" x14ac:dyDescent="0.25">
      <c r="A3995" t="s">
        <v>23</v>
      </c>
      <c r="B3995">
        <v>1197831</v>
      </c>
      <c r="C3995" s="1">
        <v>44368</v>
      </c>
      <c r="D3995" t="s">
        <v>52</v>
      </c>
      <c r="E3995" t="s">
        <v>114</v>
      </c>
      <c r="F3995" t="s">
        <v>115</v>
      </c>
      <c r="G3995" t="s">
        <v>41</v>
      </c>
      <c r="H3995" t="s">
        <v>38</v>
      </c>
      <c r="I3995" s="3">
        <v>36</v>
      </c>
      <c r="J3995" s="2">
        <v>203</v>
      </c>
      <c r="K3995" s="3">
        <f t="shared" si="62"/>
        <v>7308</v>
      </c>
      <c r="L3995" s="3">
        <v>3654</v>
      </c>
    </row>
    <row r="3996" spans="1:12" x14ac:dyDescent="0.25">
      <c r="A3996" t="s">
        <v>11</v>
      </c>
      <c r="B3996">
        <v>1197831</v>
      </c>
      <c r="C3996" s="1">
        <v>44368</v>
      </c>
      <c r="D3996" t="s">
        <v>52</v>
      </c>
      <c r="E3996" t="s">
        <v>116</v>
      </c>
      <c r="F3996" t="s">
        <v>117</v>
      </c>
      <c r="G3996" t="s">
        <v>41</v>
      </c>
      <c r="H3996" t="s">
        <v>37</v>
      </c>
      <c r="I3996" s="3">
        <v>38</v>
      </c>
      <c r="J3996" s="2">
        <v>87</v>
      </c>
      <c r="K3996" s="3">
        <f t="shared" si="62"/>
        <v>3306</v>
      </c>
      <c r="L3996" s="3">
        <v>1653</v>
      </c>
    </row>
    <row r="3997" spans="1:12" x14ac:dyDescent="0.25">
      <c r="A3997" t="s">
        <v>11</v>
      </c>
      <c r="B3997">
        <v>1197831</v>
      </c>
      <c r="C3997" s="1">
        <v>44368</v>
      </c>
      <c r="D3997" t="s">
        <v>52</v>
      </c>
      <c r="E3997" t="s">
        <v>116</v>
      </c>
      <c r="F3997" t="s">
        <v>117</v>
      </c>
      <c r="G3997" t="s">
        <v>41</v>
      </c>
      <c r="H3997" t="s">
        <v>38</v>
      </c>
      <c r="I3997" s="3">
        <v>38</v>
      </c>
      <c r="J3997" s="2">
        <v>156</v>
      </c>
      <c r="K3997" s="3">
        <f t="shared" si="62"/>
        <v>5928</v>
      </c>
      <c r="L3997" s="3">
        <v>2904.72</v>
      </c>
    </row>
    <row r="3998" spans="1:12" x14ac:dyDescent="0.25">
      <c r="A3998" t="s">
        <v>11</v>
      </c>
      <c r="B3998">
        <v>1197831</v>
      </c>
      <c r="C3998" s="1">
        <v>44368</v>
      </c>
      <c r="D3998" t="s">
        <v>52</v>
      </c>
      <c r="E3998" t="s">
        <v>116</v>
      </c>
      <c r="F3998" t="s">
        <v>117</v>
      </c>
      <c r="G3998" t="s">
        <v>41</v>
      </c>
      <c r="H3998" t="s">
        <v>16</v>
      </c>
      <c r="I3998" s="3">
        <v>55</v>
      </c>
      <c r="J3998" s="2">
        <v>124</v>
      </c>
      <c r="K3998" s="3">
        <f t="shared" si="62"/>
        <v>6820</v>
      </c>
      <c r="L3998" s="3">
        <v>3341.7999999999997</v>
      </c>
    </row>
    <row r="3999" spans="1:12" x14ac:dyDescent="0.25">
      <c r="A3999" t="s">
        <v>23</v>
      </c>
      <c r="B3999">
        <v>1197831</v>
      </c>
      <c r="C3999" s="1">
        <v>44368</v>
      </c>
      <c r="D3999" t="s">
        <v>52</v>
      </c>
      <c r="E3999" t="s">
        <v>114</v>
      </c>
      <c r="F3999" t="s">
        <v>115</v>
      </c>
      <c r="G3999" t="s">
        <v>41</v>
      </c>
      <c r="H3999" t="s">
        <v>37</v>
      </c>
      <c r="I3999" s="3">
        <v>37</v>
      </c>
      <c r="J3999" s="2">
        <v>98</v>
      </c>
      <c r="K3999" s="3">
        <f t="shared" si="62"/>
        <v>3626</v>
      </c>
      <c r="L3999" s="3">
        <v>1740.48</v>
      </c>
    </row>
    <row r="4000" spans="1:12" x14ac:dyDescent="0.25">
      <c r="A4000" t="s">
        <v>11</v>
      </c>
      <c r="B4000">
        <v>1197831</v>
      </c>
      <c r="C4000" s="1">
        <v>44368</v>
      </c>
      <c r="D4000" t="s">
        <v>52</v>
      </c>
      <c r="E4000" t="s">
        <v>116</v>
      </c>
      <c r="F4000" t="s">
        <v>117</v>
      </c>
      <c r="G4000" t="s">
        <v>41</v>
      </c>
      <c r="H4000" t="s">
        <v>35</v>
      </c>
      <c r="I4000" s="3">
        <v>36</v>
      </c>
      <c r="J4000" s="2">
        <v>88</v>
      </c>
      <c r="K4000" s="3">
        <f t="shared" si="62"/>
        <v>3168</v>
      </c>
      <c r="L4000" s="3">
        <v>1520.6399999999999</v>
      </c>
    </row>
    <row r="4001" spans="1:12" x14ac:dyDescent="0.25">
      <c r="A4001" t="s">
        <v>23</v>
      </c>
      <c r="B4001">
        <v>1197831</v>
      </c>
      <c r="C4001" s="1">
        <v>44368</v>
      </c>
      <c r="D4001" t="s">
        <v>52</v>
      </c>
      <c r="E4001" t="s">
        <v>114</v>
      </c>
      <c r="F4001" t="s">
        <v>115</v>
      </c>
      <c r="G4001" t="s">
        <v>41</v>
      </c>
      <c r="H4001" t="s">
        <v>35</v>
      </c>
      <c r="I4001" s="3">
        <v>38</v>
      </c>
      <c r="J4001" s="2">
        <v>104</v>
      </c>
      <c r="K4001" s="3">
        <f t="shared" si="62"/>
        <v>3952</v>
      </c>
      <c r="L4001" s="3">
        <v>1817.92</v>
      </c>
    </row>
    <row r="4002" spans="1:12" x14ac:dyDescent="0.25">
      <c r="A4002" t="s">
        <v>23</v>
      </c>
      <c r="B4002">
        <v>1197831</v>
      </c>
      <c r="C4002" s="1">
        <v>44368</v>
      </c>
      <c r="D4002" t="s">
        <v>52</v>
      </c>
      <c r="E4002" t="s">
        <v>114</v>
      </c>
      <c r="F4002" t="s">
        <v>115</v>
      </c>
      <c r="G4002" t="s">
        <v>41</v>
      </c>
      <c r="H4002" t="s">
        <v>16</v>
      </c>
      <c r="I4002" s="3">
        <v>54</v>
      </c>
      <c r="J4002" s="2">
        <v>160</v>
      </c>
      <c r="K4002" s="3">
        <f t="shared" si="62"/>
        <v>8640</v>
      </c>
      <c r="L4002" s="3">
        <v>3974.3999999999996</v>
      </c>
    </row>
    <row r="4003" spans="1:12" x14ac:dyDescent="0.25">
      <c r="A4003" t="s">
        <v>36</v>
      </c>
      <c r="B4003">
        <v>1185732</v>
      </c>
      <c r="C4003" s="1">
        <v>44369</v>
      </c>
      <c r="D4003" t="s">
        <v>12</v>
      </c>
      <c r="E4003" t="s">
        <v>24</v>
      </c>
      <c r="F4003" t="s">
        <v>25</v>
      </c>
      <c r="G4003" t="s">
        <v>15</v>
      </c>
      <c r="H4003" t="s">
        <v>35</v>
      </c>
      <c r="I4003" s="3">
        <v>55.000000000000007</v>
      </c>
      <c r="J4003" s="2">
        <v>325</v>
      </c>
      <c r="K4003" s="3">
        <f t="shared" si="62"/>
        <v>17875.000000000004</v>
      </c>
      <c r="L4003" s="3">
        <v>13406.250000000004</v>
      </c>
    </row>
    <row r="4004" spans="1:12" x14ac:dyDescent="0.25">
      <c r="A4004" t="s">
        <v>36</v>
      </c>
      <c r="B4004">
        <v>1185732</v>
      </c>
      <c r="C4004" s="1">
        <v>44369</v>
      </c>
      <c r="D4004" t="s">
        <v>12</v>
      </c>
      <c r="E4004" t="s">
        <v>24</v>
      </c>
      <c r="F4004" t="s">
        <v>25</v>
      </c>
      <c r="G4004" t="s">
        <v>15</v>
      </c>
      <c r="H4004" t="s">
        <v>37</v>
      </c>
      <c r="I4004" s="3">
        <v>55.000000000000007</v>
      </c>
      <c r="J4004" s="2">
        <v>300</v>
      </c>
      <c r="K4004" s="3">
        <f t="shared" si="62"/>
        <v>16500.000000000004</v>
      </c>
      <c r="L4004" s="3">
        <v>12375.000000000004</v>
      </c>
    </row>
    <row r="4005" spans="1:12" x14ac:dyDescent="0.25">
      <c r="A4005" t="s">
        <v>36</v>
      </c>
      <c r="B4005">
        <v>1185732</v>
      </c>
      <c r="C4005" s="1">
        <v>44369</v>
      </c>
      <c r="D4005" t="s">
        <v>12</v>
      </c>
      <c r="E4005" t="s">
        <v>24</v>
      </c>
      <c r="F4005" t="s">
        <v>25</v>
      </c>
      <c r="G4005" t="s">
        <v>15</v>
      </c>
      <c r="H4005" t="s">
        <v>22</v>
      </c>
      <c r="I4005" s="3">
        <v>65</v>
      </c>
      <c r="J4005" s="2">
        <v>300</v>
      </c>
      <c r="K4005" s="3">
        <f t="shared" si="62"/>
        <v>19500</v>
      </c>
      <c r="L4005" s="3">
        <v>14625</v>
      </c>
    </row>
    <row r="4006" spans="1:12" x14ac:dyDescent="0.25">
      <c r="A4006" t="s">
        <v>36</v>
      </c>
      <c r="B4006">
        <v>1185732</v>
      </c>
      <c r="C4006" s="1">
        <v>44369</v>
      </c>
      <c r="D4006" t="s">
        <v>12</v>
      </c>
      <c r="E4006" t="s">
        <v>24</v>
      </c>
      <c r="F4006" t="s">
        <v>25</v>
      </c>
      <c r="G4006" t="s">
        <v>15</v>
      </c>
      <c r="H4006" t="s">
        <v>16</v>
      </c>
      <c r="I4006" s="3">
        <v>70</v>
      </c>
      <c r="J4006" s="2">
        <v>450</v>
      </c>
      <c r="K4006" s="3">
        <f t="shared" si="62"/>
        <v>31500</v>
      </c>
      <c r="L4006" s="3">
        <v>22050</v>
      </c>
    </row>
    <row r="4007" spans="1:12" x14ac:dyDescent="0.25">
      <c r="A4007" t="s">
        <v>19</v>
      </c>
      <c r="B4007">
        <v>1185732</v>
      </c>
      <c r="C4007" s="1">
        <v>44369</v>
      </c>
      <c r="D4007" t="s">
        <v>29</v>
      </c>
      <c r="E4007" t="s">
        <v>87</v>
      </c>
      <c r="F4007" t="s">
        <v>88</v>
      </c>
      <c r="G4007" t="s">
        <v>18</v>
      </c>
      <c r="H4007" t="s">
        <v>16</v>
      </c>
      <c r="I4007" s="3">
        <v>54.999999999999993</v>
      </c>
      <c r="J4007" s="2">
        <v>300</v>
      </c>
      <c r="K4007" s="3">
        <f t="shared" si="62"/>
        <v>16499.999999999996</v>
      </c>
      <c r="L4007" s="3">
        <v>11549.999999999996</v>
      </c>
    </row>
    <row r="4008" spans="1:12" x14ac:dyDescent="0.25">
      <c r="A4008" t="s">
        <v>19</v>
      </c>
      <c r="B4008">
        <v>1185732</v>
      </c>
      <c r="C4008" s="1">
        <v>44369</v>
      </c>
      <c r="D4008" t="s">
        <v>29</v>
      </c>
      <c r="E4008" t="s">
        <v>87</v>
      </c>
      <c r="F4008" t="s">
        <v>88</v>
      </c>
      <c r="G4008" t="s">
        <v>18</v>
      </c>
      <c r="H4008" t="s">
        <v>22</v>
      </c>
      <c r="I4008" s="3">
        <v>49.999999999999993</v>
      </c>
      <c r="J4008" s="2">
        <v>150</v>
      </c>
      <c r="K4008" s="3">
        <f t="shared" si="62"/>
        <v>7499.9999999999991</v>
      </c>
      <c r="L4008" s="3">
        <v>5249.9999999999982</v>
      </c>
    </row>
    <row r="4009" spans="1:12" x14ac:dyDescent="0.25">
      <c r="A4009" t="s">
        <v>36</v>
      </c>
      <c r="B4009">
        <v>1185732</v>
      </c>
      <c r="C4009" s="1">
        <v>44369</v>
      </c>
      <c r="D4009" t="s">
        <v>32</v>
      </c>
      <c r="E4009" t="s">
        <v>120</v>
      </c>
      <c r="F4009" t="s">
        <v>121</v>
      </c>
      <c r="G4009" t="s">
        <v>41</v>
      </c>
      <c r="H4009" t="s">
        <v>17</v>
      </c>
      <c r="I4009" s="3">
        <v>35.000000000000007</v>
      </c>
      <c r="J4009" s="2">
        <v>275</v>
      </c>
      <c r="K4009" s="3">
        <f t="shared" si="62"/>
        <v>9625.0000000000018</v>
      </c>
      <c r="L4009" s="3">
        <v>6256.2500000000018</v>
      </c>
    </row>
    <row r="4010" spans="1:12" x14ac:dyDescent="0.25">
      <c r="A4010" t="s">
        <v>19</v>
      </c>
      <c r="B4010">
        <v>1185732</v>
      </c>
      <c r="C4010" s="1">
        <v>44369</v>
      </c>
      <c r="D4010" t="s">
        <v>57</v>
      </c>
      <c r="E4010" t="s">
        <v>95</v>
      </c>
      <c r="F4010" t="s">
        <v>96</v>
      </c>
      <c r="G4010" t="s">
        <v>15</v>
      </c>
      <c r="H4010" t="s">
        <v>22</v>
      </c>
      <c r="I4010" s="3">
        <v>60</v>
      </c>
      <c r="J4010" s="2">
        <v>100</v>
      </c>
      <c r="K4010" s="3">
        <f t="shared" si="62"/>
        <v>6000</v>
      </c>
      <c r="L4010" s="3">
        <v>3900</v>
      </c>
    </row>
    <row r="4011" spans="1:12" x14ac:dyDescent="0.25">
      <c r="A4011" t="s">
        <v>19</v>
      </c>
      <c r="B4011">
        <v>1185732</v>
      </c>
      <c r="C4011" s="1">
        <v>44369</v>
      </c>
      <c r="D4011" t="s">
        <v>57</v>
      </c>
      <c r="E4011" t="s">
        <v>118</v>
      </c>
      <c r="F4011" t="s">
        <v>119</v>
      </c>
      <c r="G4011" t="s">
        <v>15</v>
      </c>
      <c r="H4011" t="s">
        <v>35</v>
      </c>
      <c r="I4011" s="3">
        <v>30.000000000000004</v>
      </c>
      <c r="J4011" s="2">
        <v>175</v>
      </c>
      <c r="K4011" s="3">
        <f t="shared" si="62"/>
        <v>5250.0000000000009</v>
      </c>
      <c r="L4011" s="3">
        <v>3412.5000000000009</v>
      </c>
    </row>
    <row r="4012" spans="1:12" x14ac:dyDescent="0.25">
      <c r="A4012" t="s">
        <v>36</v>
      </c>
      <c r="B4012">
        <v>1185732</v>
      </c>
      <c r="C4012" s="1">
        <v>44369</v>
      </c>
      <c r="D4012" t="s">
        <v>12</v>
      </c>
      <c r="E4012" t="s">
        <v>24</v>
      </c>
      <c r="F4012" t="s">
        <v>25</v>
      </c>
      <c r="G4012" t="s">
        <v>15</v>
      </c>
      <c r="H4012" t="s">
        <v>38</v>
      </c>
      <c r="I4012" s="3">
        <v>65</v>
      </c>
      <c r="J4012" s="2">
        <v>650</v>
      </c>
      <c r="K4012" s="3">
        <f t="shared" si="62"/>
        <v>42250</v>
      </c>
      <c r="L4012" s="3">
        <v>27462.5</v>
      </c>
    </row>
    <row r="4013" spans="1:12" x14ac:dyDescent="0.25">
      <c r="A4013" t="s">
        <v>36</v>
      </c>
      <c r="B4013">
        <v>1185732</v>
      </c>
      <c r="C4013" s="1">
        <v>44369</v>
      </c>
      <c r="D4013" t="s">
        <v>32</v>
      </c>
      <c r="E4013" t="s">
        <v>120</v>
      </c>
      <c r="F4013" t="s">
        <v>121</v>
      </c>
      <c r="G4013" t="s">
        <v>41</v>
      </c>
      <c r="H4013" t="s">
        <v>22</v>
      </c>
      <c r="I4013" s="3">
        <v>50</v>
      </c>
      <c r="J4013" s="2">
        <v>200</v>
      </c>
      <c r="K4013" s="3">
        <f t="shared" si="62"/>
        <v>10000</v>
      </c>
      <c r="L4013" s="3">
        <v>6500</v>
      </c>
    </row>
    <row r="4014" spans="1:12" x14ac:dyDescent="0.25">
      <c r="A4014" t="s">
        <v>11</v>
      </c>
      <c r="B4014">
        <v>1185732</v>
      </c>
      <c r="C4014" s="1">
        <v>44369</v>
      </c>
      <c r="D4014" t="s">
        <v>29</v>
      </c>
      <c r="E4014" t="s">
        <v>87</v>
      </c>
      <c r="F4014" t="s">
        <v>88</v>
      </c>
      <c r="G4014" t="s">
        <v>18</v>
      </c>
      <c r="H4014" t="s">
        <v>17</v>
      </c>
      <c r="I4014" s="3">
        <v>45</v>
      </c>
      <c r="J4014" s="2">
        <v>250</v>
      </c>
      <c r="K4014" s="3">
        <f t="shared" si="62"/>
        <v>11250</v>
      </c>
      <c r="L4014" s="3">
        <v>7312.5</v>
      </c>
    </row>
    <row r="4015" spans="1:12" x14ac:dyDescent="0.25">
      <c r="A4015" t="s">
        <v>19</v>
      </c>
      <c r="B4015">
        <v>1185732</v>
      </c>
      <c r="C4015" s="1">
        <v>44369</v>
      </c>
      <c r="D4015" t="s">
        <v>29</v>
      </c>
      <c r="E4015" t="s">
        <v>87</v>
      </c>
      <c r="F4015" t="s">
        <v>88</v>
      </c>
      <c r="G4015" t="s">
        <v>18</v>
      </c>
      <c r="H4015" t="s">
        <v>35</v>
      </c>
      <c r="I4015" s="3">
        <v>40</v>
      </c>
      <c r="J4015" s="2">
        <v>175</v>
      </c>
      <c r="K4015" s="3">
        <f t="shared" si="62"/>
        <v>7000</v>
      </c>
      <c r="L4015" s="3">
        <v>4550</v>
      </c>
    </row>
    <row r="4016" spans="1:12" x14ac:dyDescent="0.25">
      <c r="A4016" t="s">
        <v>19</v>
      </c>
      <c r="B4016">
        <v>1185732</v>
      </c>
      <c r="C4016" s="1">
        <v>44369</v>
      </c>
      <c r="D4016" t="s">
        <v>29</v>
      </c>
      <c r="E4016" t="s">
        <v>87</v>
      </c>
      <c r="F4016" t="s">
        <v>88</v>
      </c>
      <c r="G4016" t="s">
        <v>18</v>
      </c>
      <c r="H4016" t="s">
        <v>37</v>
      </c>
      <c r="I4016" s="3">
        <v>40</v>
      </c>
      <c r="J4016" s="2">
        <v>150</v>
      </c>
      <c r="K4016" s="3">
        <f t="shared" si="62"/>
        <v>6000</v>
      </c>
      <c r="L4016" s="3">
        <v>3900</v>
      </c>
    </row>
    <row r="4017" spans="1:12" x14ac:dyDescent="0.25">
      <c r="A4017" t="s">
        <v>36</v>
      </c>
      <c r="B4017">
        <v>1185732</v>
      </c>
      <c r="C4017" s="1">
        <v>44369</v>
      </c>
      <c r="D4017" t="s">
        <v>12</v>
      </c>
      <c r="E4017" t="s">
        <v>24</v>
      </c>
      <c r="F4017" t="s">
        <v>25</v>
      </c>
      <c r="G4017" t="s">
        <v>15</v>
      </c>
      <c r="H4017" t="s">
        <v>17</v>
      </c>
      <c r="I4017" s="3">
        <v>60.000000000000007</v>
      </c>
      <c r="J4017" s="2">
        <v>400</v>
      </c>
      <c r="K4017" s="3">
        <f t="shared" si="62"/>
        <v>24000.000000000004</v>
      </c>
      <c r="L4017" s="3">
        <v>15600</v>
      </c>
    </row>
    <row r="4018" spans="1:12" x14ac:dyDescent="0.25">
      <c r="A4018" t="s">
        <v>36</v>
      </c>
      <c r="B4018">
        <v>1185732</v>
      </c>
      <c r="C4018" s="1">
        <v>44369</v>
      </c>
      <c r="D4018" t="s">
        <v>32</v>
      </c>
      <c r="E4018" t="s">
        <v>120</v>
      </c>
      <c r="F4018" t="s">
        <v>121</v>
      </c>
      <c r="G4018" t="s">
        <v>41</v>
      </c>
      <c r="H4018" t="s">
        <v>38</v>
      </c>
      <c r="I4018" s="3">
        <v>40</v>
      </c>
      <c r="J4018" s="2">
        <v>525</v>
      </c>
      <c r="K4018" s="3">
        <f t="shared" si="62"/>
        <v>21000</v>
      </c>
      <c r="L4018" s="3">
        <v>12600</v>
      </c>
    </row>
    <row r="4019" spans="1:12" x14ac:dyDescent="0.25">
      <c r="A4019" t="s">
        <v>36</v>
      </c>
      <c r="B4019">
        <v>1185732</v>
      </c>
      <c r="C4019" s="1">
        <v>44369</v>
      </c>
      <c r="D4019" t="s">
        <v>32</v>
      </c>
      <c r="E4019" t="s">
        <v>120</v>
      </c>
      <c r="F4019" t="s">
        <v>121</v>
      </c>
      <c r="G4019" t="s">
        <v>41</v>
      </c>
      <c r="H4019" t="s">
        <v>35</v>
      </c>
      <c r="I4019" s="3">
        <v>30.000000000000004</v>
      </c>
      <c r="J4019" s="2">
        <v>225</v>
      </c>
      <c r="K4019" s="3">
        <f t="shared" si="62"/>
        <v>6750.0000000000009</v>
      </c>
      <c r="L4019" s="3">
        <v>4050.0000000000009</v>
      </c>
    </row>
    <row r="4020" spans="1:12" x14ac:dyDescent="0.25">
      <c r="A4020" t="s">
        <v>36</v>
      </c>
      <c r="B4020">
        <v>1185732</v>
      </c>
      <c r="C4020" s="1">
        <v>44369</v>
      </c>
      <c r="D4020" t="s">
        <v>32</v>
      </c>
      <c r="E4020" t="s">
        <v>120</v>
      </c>
      <c r="F4020" t="s">
        <v>121</v>
      </c>
      <c r="G4020" t="s">
        <v>41</v>
      </c>
      <c r="H4020" t="s">
        <v>16</v>
      </c>
      <c r="I4020" s="3">
        <v>55.000000000000007</v>
      </c>
      <c r="J4020" s="2">
        <v>375</v>
      </c>
      <c r="K4020" s="3">
        <f t="shared" si="62"/>
        <v>20625.000000000004</v>
      </c>
      <c r="L4020" s="3">
        <v>12375.000000000002</v>
      </c>
    </row>
    <row r="4021" spans="1:12" x14ac:dyDescent="0.25">
      <c r="A4021" t="s">
        <v>11</v>
      </c>
      <c r="B4021">
        <v>1185732</v>
      </c>
      <c r="C4021" s="1">
        <v>44369</v>
      </c>
      <c r="D4021" t="s">
        <v>29</v>
      </c>
      <c r="E4021" t="s">
        <v>87</v>
      </c>
      <c r="F4021" t="s">
        <v>88</v>
      </c>
      <c r="G4021" t="s">
        <v>18</v>
      </c>
      <c r="H4021" t="s">
        <v>38</v>
      </c>
      <c r="I4021" s="3">
        <v>49.999999999999993</v>
      </c>
      <c r="J4021" s="2">
        <v>500</v>
      </c>
      <c r="K4021" s="3">
        <f t="shared" si="62"/>
        <v>24999.999999999996</v>
      </c>
      <c r="L4021" s="3">
        <v>14999.999999999996</v>
      </c>
    </row>
    <row r="4022" spans="1:12" x14ac:dyDescent="0.25">
      <c r="A4022" t="s">
        <v>36</v>
      </c>
      <c r="B4022">
        <v>1185732</v>
      </c>
      <c r="C4022" s="1">
        <v>44369</v>
      </c>
      <c r="D4022" t="s">
        <v>32</v>
      </c>
      <c r="E4022" t="s">
        <v>120</v>
      </c>
      <c r="F4022" t="s">
        <v>121</v>
      </c>
      <c r="G4022" t="s">
        <v>41</v>
      </c>
      <c r="H4022" t="s">
        <v>37</v>
      </c>
      <c r="I4022" s="3">
        <v>30.000000000000004</v>
      </c>
      <c r="J4022" s="2">
        <v>200</v>
      </c>
      <c r="K4022" s="3">
        <f t="shared" si="62"/>
        <v>6000.0000000000009</v>
      </c>
      <c r="L4022" s="3">
        <v>3600</v>
      </c>
    </row>
    <row r="4023" spans="1:12" x14ac:dyDescent="0.25">
      <c r="A4023" t="s">
        <v>36</v>
      </c>
      <c r="B4023">
        <v>1185732</v>
      </c>
      <c r="C4023" s="1">
        <v>44369</v>
      </c>
      <c r="D4023" t="s">
        <v>12</v>
      </c>
      <c r="E4023" t="s">
        <v>24</v>
      </c>
      <c r="F4023" t="s">
        <v>25</v>
      </c>
      <c r="G4023" t="s">
        <v>41</v>
      </c>
      <c r="H4023" t="s">
        <v>22</v>
      </c>
      <c r="I4023" s="3">
        <v>60</v>
      </c>
      <c r="J4023" s="2">
        <v>84</v>
      </c>
      <c r="K4023" s="3">
        <f t="shared" si="62"/>
        <v>5040</v>
      </c>
      <c r="L4023" s="3">
        <v>3225.6000000000004</v>
      </c>
    </row>
    <row r="4024" spans="1:12" x14ac:dyDescent="0.25">
      <c r="A4024" t="s">
        <v>36</v>
      </c>
      <c r="B4024">
        <v>1185732</v>
      </c>
      <c r="C4024" s="1">
        <v>44369</v>
      </c>
      <c r="D4024" t="s">
        <v>12</v>
      </c>
      <c r="E4024" t="s">
        <v>24</v>
      </c>
      <c r="F4024" t="s">
        <v>25</v>
      </c>
      <c r="G4024" t="s">
        <v>41</v>
      </c>
      <c r="H4024" t="s">
        <v>35</v>
      </c>
      <c r="I4024" s="3">
        <v>53</v>
      </c>
      <c r="J4024" s="2">
        <v>81</v>
      </c>
      <c r="K4024" s="3">
        <f t="shared" si="62"/>
        <v>4293</v>
      </c>
      <c r="L4024" s="3">
        <v>2747.52</v>
      </c>
    </row>
    <row r="4025" spans="1:12" x14ac:dyDescent="0.25">
      <c r="A4025" t="s">
        <v>36</v>
      </c>
      <c r="B4025">
        <v>1185732</v>
      </c>
      <c r="C4025" s="1">
        <v>44369</v>
      </c>
      <c r="D4025" t="s">
        <v>12</v>
      </c>
      <c r="E4025" t="s">
        <v>24</v>
      </c>
      <c r="F4025" t="s">
        <v>25</v>
      </c>
      <c r="G4025" t="s">
        <v>41</v>
      </c>
      <c r="H4025" t="s">
        <v>37</v>
      </c>
      <c r="I4025" s="3">
        <v>53</v>
      </c>
      <c r="J4025" s="2">
        <v>90</v>
      </c>
      <c r="K4025" s="3">
        <f t="shared" si="62"/>
        <v>4770</v>
      </c>
      <c r="L4025" s="3">
        <v>3052.8</v>
      </c>
    </row>
    <row r="4026" spans="1:12" x14ac:dyDescent="0.25">
      <c r="A4026" t="s">
        <v>36</v>
      </c>
      <c r="B4026">
        <v>1185732</v>
      </c>
      <c r="C4026" s="1">
        <v>44369</v>
      </c>
      <c r="D4026" t="s">
        <v>12</v>
      </c>
      <c r="E4026" t="s">
        <v>24</v>
      </c>
      <c r="F4026" t="s">
        <v>25</v>
      </c>
      <c r="G4026" t="s">
        <v>41</v>
      </c>
      <c r="H4026" t="s">
        <v>16</v>
      </c>
      <c r="I4026" s="3">
        <v>67</v>
      </c>
      <c r="J4026" s="2">
        <v>126</v>
      </c>
      <c r="K4026" s="3">
        <f t="shared" si="62"/>
        <v>8442</v>
      </c>
      <c r="L4026" s="3">
        <v>4896.3600000000006</v>
      </c>
    </row>
    <row r="4027" spans="1:12" x14ac:dyDescent="0.25">
      <c r="A4027" t="s">
        <v>19</v>
      </c>
      <c r="B4027">
        <v>1185732</v>
      </c>
      <c r="C4027" s="1">
        <v>44369</v>
      </c>
      <c r="D4027" t="s">
        <v>29</v>
      </c>
      <c r="E4027" t="s">
        <v>87</v>
      </c>
      <c r="F4027" t="s">
        <v>88</v>
      </c>
      <c r="G4027" t="s">
        <v>41</v>
      </c>
      <c r="H4027" t="s">
        <v>22</v>
      </c>
      <c r="I4027" s="3">
        <v>49</v>
      </c>
      <c r="J4027" s="2">
        <v>42</v>
      </c>
      <c r="K4027" s="3">
        <f t="shared" si="62"/>
        <v>2058</v>
      </c>
      <c r="L4027" s="3">
        <v>1152.48</v>
      </c>
    </row>
    <row r="4028" spans="1:12" x14ac:dyDescent="0.25">
      <c r="A4028" t="s">
        <v>19</v>
      </c>
      <c r="B4028">
        <v>1185732</v>
      </c>
      <c r="C4028" s="1">
        <v>44369</v>
      </c>
      <c r="D4028" t="s">
        <v>29</v>
      </c>
      <c r="E4028" t="s">
        <v>87</v>
      </c>
      <c r="F4028" t="s">
        <v>88</v>
      </c>
      <c r="G4028" t="s">
        <v>41</v>
      </c>
      <c r="H4028" t="s">
        <v>16</v>
      </c>
      <c r="I4028" s="3">
        <v>53</v>
      </c>
      <c r="J4028" s="2">
        <v>84</v>
      </c>
      <c r="K4028" s="3">
        <f t="shared" si="62"/>
        <v>4452</v>
      </c>
      <c r="L4028" s="3">
        <v>2448.6000000000004</v>
      </c>
    </row>
    <row r="4029" spans="1:12" x14ac:dyDescent="0.25">
      <c r="A4029" t="s">
        <v>19</v>
      </c>
      <c r="B4029">
        <v>1185732</v>
      </c>
      <c r="C4029" s="1">
        <v>44369</v>
      </c>
      <c r="D4029" t="s">
        <v>57</v>
      </c>
      <c r="E4029" t="s">
        <v>118</v>
      </c>
      <c r="F4029" t="s">
        <v>119</v>
      </c>
      <c r="G4029" t="s">
        <v>41</v>
      </c>
      <c r="H4029" t="s">
        <v>35</v>
      </c>
      <c r="I4029" s="3">
        <v>27</v>
      </c>
      <c r="J4029" s="2">
        <v>46</v>
      </c>
      <c r="K4029" s="3">
        <f t="shared" si="62"/>
        <v>1242</v>
      </c>
      <c r="L4029" s="3">
        <v>683.1</v>
      </c>
    </row>
    <row r="4030" spans="1:12" x14ac:dyDescent="0.25">
      <c r="A4030" t="s">
        <v>36</v>
      </c>
      <c r="B4030">
        <v>1185732</v>
      </c>
      <c r="C4030" s="1">
        <v>44369</v>
      </c>
      <c r="D4030" t="s">
        <v>12</v>
      </c>
      <c r="E4030" t="s">
        <v>24</v>
      </c>
      <c r="F4030" t="s">
        <v>25</v>
      </c>
      <c r="G4030" t="s">
        <v>41</v>
      </c>
      <c r="H4030" t="s">
        <v>38</v>
      </c>
      <c r="I4030" s="3">
        <v>59</v>
      </c>
      <c r="J4030" s="2">
        <v>189</v>
      </c>
      <c r="K4030" s="3">
        <f t="shared" si="62"/>
        <v>11151</v>
      </c>
      <c r="L4030" s="3">
        <v>6021.54</v>
      </c>
    </row>
    <row r="4031" spans="1:12" x14ac:dyDescent="0.25">
      <c r="A4031" t="s">
        <v>19</v>
      </c>
      <c r="B4031">
        <v>1185732</v>
      </c>
      <c r="C4031" s="1">
        <v>44369</v>
      </c>
      <c r="D4031" t="s">
        <v>57</v>
      </c>
      <c r="E4031" t="s">
        <v>95</v>
      </c>
      <c r="F4031" t="s">
        <v>96</v>
      </c>
      <c r="G4031" t="s">
        <v>41</v>
      </c>
      <c r="H4031" t="s">
        <v>22</v>
      </c>
      <c r="I4031" s="3">
        <v>54</v>
      </c>
      <c r="J4031" s="2">
        <v>28</v>
      </c>
      <c r="K4031" s="3">
        <f t="shared" si="62"/>
        <v>1512</v>
      </c>
      <c r="L4031" s="3">
        <v>801.36</v>
      </c>
    </row>
    <row r="4032" spans="1:12" x14ac:dyDescent="0.25">
      <c r="A4032" t="s">
        <v>11</v>
      </c>
      <c r="B4032">
        <v>1185732</v>
      </c>
      <c r="C4032" s="1">
        <v>44369</v>
      </c>
      <c r="D4032" t="s">
        <v>29</v>
      </c>
      <c r="E4032" t="s">
        <v>87</v>
      </c>
      <c r="F4032" t="s">
        <v>88</v>
      </c>
      <c r="G4032" t="s">
        <v>41</v>
      </c>
      <c r="H4032" t="s">
        <v>17</v>
      </c>
      <c r="I4032" s="3">
        <v>41</v>
      </c>
      <c r="J4032" s="2">
        <v>75</v>
      </c>
      <c r="K4032" s="3">
        <f t="shared" si="62"/>
        <v>3075</v>
      </c>
      <c r="L4032" s="3">
        <v>1629.75</v>
      </c>
    </row>
    <row r="4033" spans="1:12" x14ac:dyDescent="0.25">
      <c r="A4033" t="s">
        <v>36</v>
      </c>
      <c r="B4033">
        <v>1185732</v>
      </c>
      <c r="C4033" s="1">
        <v>44369</v>
      </c>
      <c r="D4033" t="s">
        <v>32</v>
      </c>
      <c r="E4033" t="s">
        <v>120</v>
      </c>
      <c r="F4033" t="s">
        <v>121</v>
      </c>
      <c r="G4033" t="s">
        <v>41</v>
      </c>
      <c r="H4033" t="s">
        <v>17</v>
      </c>
      <c r="I4033" s="3">
        <v>33</v>
      </c>
      <c r="J4033" s="2">
        <v>77</v>
      </c>
      <c r="K4033" s="3">
        <f t="shared" si="62"/>
        <v>2541</v>
      </c>
      <c r="L4033" s="3">
        <v>1295.9100000000001</v>
      </c>
    </row>
    <row r="4034" spans="1:12" x14ac:dyDescent="0.25">
      <c r="A4034" t="s">
        <v>36</v>
      </c>
      <c r="B4034">
        <v>1185732</v>
      </c>
      <c r="C4034" s="1">
        <v>44369</v>
      </c>
      <c r="D4034" t="s">
        <v>32</v>
      </c>
      <c r="E4034" t="s">
        <v>120</v>
      </c>
      <c r="F4034" t="s">
        <v>121</v>
      </c>
      <c r="G4034" t="s">
        <v>41</v>
      </c>
      <c r="H4034" t="s">
        <v>22</v>
      </c>
      <c r="I4034" s="3">
        <v>49</v>
      </c>
      <c r="J4034" s="2">
        <v>54</v>
      </c>
      <c r="K4034" s="3">
        <f t="shared" si="62"/>
        <v>2646</v>
      </c>
      <c r="L4034" s="3">
        <v>1349.46</v>
      </c>
    </row>
    <row r="4035" spans="1:12" x14ac:dyDescent="0.25">
      <c r="A4035" t="s">
        <v>36</v>
      </c>
      <c r="B4035">
        <v>1185732</v>
      </c>
      <c r="C4035" s="1">
        <v>44369</v>
      </c>
      <c r="D4035" t="s">
        <v>12</v>
      </c>
      <c r="E4035" t="s">
        <v>24</v>
      </c>
      <c r="F4035" t="s">
        <v>25</v>
      </c>
      <c r="G4035" t="s">
        <v>41</v>
      </c>
      <c r="H4035" t="s">
        <v>17</v>
      </c>
      <c r="I4035" s="3">
        <v>55</v>
      </c>
      <c r="J4035" s="2">
        <v>112</v>
      </c>
      <c r="K4035" s="3">
        <f t="shared" ref="K4035:K4098" si="63">I4035*J4035</f>
        <v>6160</v>
      </c>
      <c r="L4035" s="3">
        <v>3080</v>
      </c>
    </row>
    <row r="4036" spans="1:12" x14ac:dyDescent="0.25">
      <c r="A4036" t="s">
        <v>36</v>
      </c>
      <c r="B4036">
        <v>1185732</v>
      </c>
      <c r="C4036" s="1">
        <v>44369</v>
      </c>
      <c r="D4036" t="s">
        <v>32</v>
      </c>
      <c r="E4036" t="s">
        <v>120</v>
      </c>
      <c r="F4036" t="s">
        <v>121</v>
      </c>
      <c r="G4036" t="s">
        <v>41</v>
      </c>
      <c r="H4036" t="s">
        <v>38</v>
      </c>
      <c r="I4036" s="3">
        <v>36</v>
      </c>
      <c r="J4036" s="2">
        <v>142</v>
      </c>
      <c r="K4036" s="3">
        <f t="shared" si="63"/>
        <v>5112</v>
      </c>
      <c r="L4036" s="3">
        <v>2556</v>
      </c>
    </row>
    <row r="4037" spans="1:12" x14ac:dyDescent="0.25">
      <c r="A4037" t="s">
        <v>11</v>
      </c>
      <c r="B4037">
        <v>1185732</v>
      </c>
      <c r="C4037" s="1">
        <v>44369</v>
      </c>
      <c r="D4037" t="s">
        <v>29</v>
      </c>
      <c r="E4037" t="s">
        <v>87</v>
      </c>
      <c r="F4037" t="s">
        <v>88</v>
      </c>
      <c r="G4037" t="s">
        <v>41</v>
      </c>
      <c r="H4037" t="s">
        <v>38</v>
      </c>
      <c r="I4037" s="3">
        <v>47</v>
      </c>
      <c r="J4037" s="2">
        <v>125</v>
      </c>
      <c r="K4037" s="3">
        <f t="shared" si="63"/>
        <v>5875</v>
      </c>
      <c r="L4037" s="3">
        <v>2937.5</v>
      </c>
    </row>
    <row r="4038" spans="1:12" x14ac:dyDescent="0.25">
      <c r="A4038" t="s">
        <v>19</v>
      </c>
      <c r="B4038">
        <v>1185732</v>
      </c>
      <c r="C4038" s="1">
        <v>44369</v>
      </c>
      <c r="D4038" t="s">
        <v>29</v>
      </c>
      <c r="E4038" t="s">
        <v>87</v>
      </c>
      <c r="F4038" t="s">
        <v>88</v>
      </c>
      <c r="G4038" t="s">
        <v>41</v>
      </c>
      <c r="H4038" t="s">
        <v>35</v>
      </c>
      <c r="I4038" s="3">
        <v>37</v>
      </c>
      <c r="J4038" s="2">
        <v>47</v>
      </c>
      <c r="K4038" s="3">
        <f t="shared" si="63"/>
        <v>1739</v>
      </c>
      <c r="L4038" s="3">
        <v>869.5</v>
      </c>
    </row>
    <row r="4039" spans="1:12" x14ac:dyDescent="0.25">
      <c r="A4039" t="s">
        <v>19</v>
      </c>
      <c r="B4039">
        <v>1185732</v>
      </c>
      <c r="C4039" s="1">
        <v>44369</v>
      </c>
      <c r="D4039" t="s">
        <v>29</v>
      </c>
      <c r="E4039" t="s">
        <v>87</v>
      </c>
      <c r="F4039" t="s">
        <v>88</v>
      </c>
      <c r="G4039" t="s">
        <v>41</v>
      </c>
      <c r="H4039" t="s">
        <v>37</v>
      </c>
      <c r="I4039" s="3">
        <v>37</v>
      </c>
      <c r="J4039" s="2">
        <v>44</v>
      </c>
      <c r="K4039" s="3">
        <f t="shared" si="63"/>
        <v>1628</v>
      </c>
      <c r="L4039" s="3">
        <v>814</v>
      </c>
    </row>
    <row r="4040" spans="1:12" x14ac:dyDescent="0.25">
      <c r="A4040" t="s">
        <v>36</v>
      </c>
      <c r="B4040">
        <v>1185732</v>
      </c>
      <c r="C4040" s="1">
        <v>44369</v>
      </c>
      <c r="D4040" t="s">
        <v>32</v>
      </c>
      <c r="E4040" t="s">
        <v>120</v>
      </c>
      <c r="F4040" t="s">
        <v>121</v>
      </c>
      <c r="G4040" t="s">
        <v>41</v>
      </c>
      <c r="H4040" t="s">
        <v>16</v>
      </c>
      <c r="I4040" s="3">
        <v>52</v>
      </c>
      <c r="J4040" s="2">
        <v>101</v>
      </c>
      <c r="K4040" s="3">
        <f t="shared" si="63"/>
        <v>5252</v>
      </c>
      <c r="L4040" s="3">
        <v>2520.96</v>
      </c>
    </row>
    <row r="4041" spans="1:12" x14ac:dyDescent="0.25">
      <c r="A4041" t="s">
        <v>36</v>
      </c>
      <c r="B4041">
        <v>1185732</v>
      </c>
      <c r="C4041" s="1">
        <v>44369</v>
      </c>
      <c r="D4041" t="s">
        <v>32</v>
      </c>
      <c r="E4041" t="s">
        <v>120</v>
      </c>
      <c r="F4041" t="s">
        <v>121</v>
      </c>
      <c r="G4041" t="s">
        <v>41</v>
      </c>
      <c r="H4041" t="s">
        <v>35</v>
      </c>
      <c r="I4041" s="3">
        <v>28</v>
      </c>
      <c r="J4041" s="2">
        <v>56</v>
      </c>
      <c r="K4041" s="3">
        <f t="shared" si="63"/>
        <v>1568</v>
      </c>
      <c r="L4041" s="3">
        <v>705.59999999999991</v>
      </c>
    </row>
    <row r="4042" spans="1:12" x14ac:dyDescent="0.25">
      <c r="A4042" t="s">
        <v>36</v>
      </c>
      <c r="B4042">
        <v>1185732</v>
      </c>
      <c r="C4042" s="1">
        <v>44369</v>
      </c>
      <c r="D4042" t="s">
        <v>32</v>
      </c>
      <c r="E4042" t="s">
        <v>120</v>
      </c>
      <c r="F4042" t="s">
        <v>121</v>
      </c>
      <c r="G4042" t="s">
        <v>41</v>
      </c>
      <c r="H4042" t="s">
        <v>37</v>
      </c>
      <c r="I4042" s="3">
        <v>29</v>
      </c>
      <c r="J4042" s="2">
        <v>52</v>
      </c>
      <c r="K4042" s="3">
        <f t="shared" si="63"/>
        <v>1508</v>
      </c>
      <c r="L4042" s="3">
        <v>678.59999999999991</v>
      </c>
    </row>
    <row r="4043" spans="1:12" x14ac:dyDescent="0.25">
      <c r="A4043" t="s">
        <v>19</v>
      </c>
      <c r="B4043">
        <v>1128299</v>
      </c>
      <c r="C4043" s="1">
        <v>44370</v>
      </c>
      <c r="D4043" t="s">
        <v>12</v>
      </c>
      <c r="E4043" t="s">
        <v>39</v>
      </c>
      <c r="F4043" t="s">
        <v>40</v>
      </c>
      <c r="G4043" t="s">
        <v>41</v>
      </c>
      <c r="H4043" t="s">
        <v>16</v>
      </c>
      <c r="I4043" s="3">
        <v>70</v>
      </c>
      <c r="J4043" s="2">
        <v>525</v>
      </c>
      <c r="K4043" s="3">
        <f t="shared" si="63"/>
        <v>36750</v>
      </c>
      <c r="L4043" s="3">
        <v>27562.5</v>
      </c>
    </row>
    <row r="4044" spans="1:12" x14ac:dyDescent="0.25">
      <c r="A4044" t="s">
        <v>19</v>
      </c>
      <c r="B4044">
        <v>1128299</v>
      </c>
      <c r="C4044" s="1">
        <v>44370</v>
      </c>
      <c r="D4044" t="s">
        <v>12</v>
      </c>
      <c r="E4044" t="s">
        <v>39</v>
      </c>
      <c r="F4044" t="s">
        <v>40</v>
      </c>
      <c r="G4044" t="s">
        <v>41</v>
      </c>
      <c r="H4044" t="s">
        <v>22</v>
      </c>
      <c r="I4044" s="3">
        <v>55.000000000000007</v>
      </c>
      <c r="J4044" s="2">
        <v>225</v>
      </c>
      <c r="K4044" s="3">
        <f t="shared" si="63"/>
        <v>12375.000000000002</v>
      </c>
      <c r="L4044" s="3">
        <v>8662.5000000000018</v>
      </c>
    </row>
    <row r="4045" spans="1:12" x14ac:dyDescent="0.25">
      <c r="A4045" t="s">
        <v>19</v>
      </c>
      <c r="B4045">
        <v>1128299</v>
      </c>
      <c r="C4045" s="1">
        <v>44370</v>
      </c>
      <c r="D4045" t="s">
        <v>12</v>
      </c>
      <c r="E4045" t="s">
        <v>39</v>
      </c>
      <c r="F4045" t="s">
        <v>40</v>
      </c>
      <c r="G4045" t="s">
        <v>41</v>
      </c>
      <c r="H4045" t="s">
        <v>38</v>
      </c>
      <c r="I4045" s="3">
        <v>50</v>
      </c>
      <c r="J4045" s="2">
        <v>625</v>
      </c>
      <c r="K4045" s="3">
        <f t="shared" si="63"/>
        <v>31250</v>
      </c>
      <c r="L4045" s="3">
        <v>20312.5</v>
      </c>
    </row>
    <row r="4046" spans="1:12" x14ac:dyDescent="0.25">
      <c r="A4046" t="s">
        <v>19</v>
      </c>
      <c r="B4046">
        <v>1128299</v>
      </c>
      <c r="C4046" s="1">
        <v>44370</v>
      </c>
      <c r="D4046" t="s">
        <v>12</v>
      </c>
      <c r="E4046" t="s">
        <v>39</v>
      </c>
      <c r="F4046" t="s">
        <v>40</v>
      </c>
      <c r="G4046" t="s">
        <v>41</v>
      </c>
      <c r="H4046" t="s">
        <v>35</v>
      </c>
      <c r="I4046" s="3">
        <v>55.000000000000007</v>
      </c>
      <c r="J4046" s="2">
        <v>475</v>
      </c>
      <c r="K4046" s="3">
        <f t="shared" si="63"/>
        <v>26125.000000000004</v>
      </c>
      <c r="L4046" s="3">
        <v>16981.250000000004</v>
      </c>
    </row>
    <row r="4047" spans="1:12" x14ac:dyDescent="0.25">
      <c r="A4047" t="s">
        <v>19</v>
      </c>
      <c r="B4047">
        <v>1128299</v>
      </c>
      <c r="C4047" s="1">
        <v>44370</v>
      </c>
      <c r="D4047" t="s">
        <v>12</v>
      </c>
      <c r="E4047" t="s">
        <v>39</v>
      </c>
      <c r="F4047" t="s">
        <v>40</v>
      </c>
      <c r="G4047" t="s">
        <v>41</v>
      </c>
      <c r="H4047" t="s">
        <v>37</v>
      </c>
      <c r="I4047" s="3">
        <v>50</v>
      </c>
      <c r="J4047" s="2">
        <v>350</v>
      </c>
      <c r="K4047" s="3">
        <f t="shared" si="63"/>
        <v>17500</v>
      </c>
      <c r="L4047" s="3">
        <v>11375</v>
      </c>
    </row>
    <row r="4048" spans="1:12" x14ac:dyDescent="0.25">
      <c r="A4048" t="s">
        <v>19</v>
      </c>
      <c r="B4048">
        <v>1185732</v>
      </c>
      <c r="C4048" s="1">
        <v>44370</v>
      </c>
      <c r="D4048" t="s">
        <v>57</v>
      </c>
      <c r="E4048" t="s">
        <v>118</v>
      </c>
      <c r="F4048" t="s">
        <v>119</v>
      </c>
      <c r="G4048" t="s">
        <v>15</v>
      </c>
      <c r="H4048" t="s">
        <v>37</v>
      </c>
      <c r="I4048" s="3">
        <v>30.000000000000004</v>
      </c>
      <c r="J4048" s="2">
        <v>150</v>
      </c>
      <c r="K4048" s="3">
        <f t="shared" si="63"/>
        <v>4500.0000000000009</v>
      </c>
      <c r="L4048" s="3">
        <v>2700.0000000000005</v>
      </c>
    </row>
    <row r="4049" spans="1:12" x14ac:dyDescent="0.25">
      <c r="A4049" t="s">
        <v>19</v>
      </c>
      <c r="B4049">
        <v>1128299</v>
      </c>
      <c r="C4049" s="1">
        <v>44370</v>
      </c>
      <c r="D4049" t="s">
        <v>12</v>
      </c>
      <c r="E4049" t="s">
        <v>39</v>
      </c>
      <c r="F4049" t="s">
        <v>40</v>
      </c>
      <c r="G4049" t="s">
        <v>41</v>
      </c>
      <c r="H4049" t="s">
        <v>17</v>
      </c>
      <c r="I4049" s="3">
        <v>55.000000000000007</v>
      </c>
      <c r="J4049" s="2">
        <v>475</v>
      </c>
      <c r="K4049" s="3">
        <f t="shared" si="63"/>
        <v>26125.000000000004</v>
      </c>
      <c r="L4049" s="3">
        <v>15675</v>
      </c>
    </row>
    <row r="4050" spans="1:12" x14ac:dyDescent="0.25">
      <c r="A4050" t="s">
        <v>19</v>
      </c>
      <c r="B4050">
        <v>1185732</v>
      </c>
      <c r="C4050" s="1">
        <v>44370</v>
      </c>
      <c r="D4050" t="s">
        <v>57</v>
      </c>
      <c r="E4050" t="s">
        <v>95</v>
      </c>
      <c r="F4050" t="s">
        <v>96</v>
      </c>
      <c r="G4050" t="s">
        <v>15</v>
      </c>
      <c r="H4050" t="s">
        <v>16</v>
      </c>
      <c r="I4050" s="3">
        <v>50</v>
      </c>
      <c r="J4050" s="2">
        <v>225</v>
      </c>
      <c r="K4050" s="3">
        <f t="shared" si="63"/>
        <v>11250</v>
      </c>
      <c r="L4050" s="3">
        <v>5625</v>
      </c>
    </row>
    <row r="4051" spans="1:12" x14ac:dyDescent="0.25">
      <c r="A4051" t="s">
        <v>19</v>
      </c>
      <c r="B4051">
        <v>1128299</v>
      </c>
      <c r="C4051" s="1">
        <v>44370</v>
      </c>
      <c r="D4051" t="s">
        <v>12</v>
      </c>
      <c r="E4051" t="s">
        <v>39</v>
      </c>
      <c r="F4051" t="s">
        <v>40</v>
      </c>
      <c r="G4051" t="s">
        <v>15</v>
      </c>
      <c r="H4051" t="s">
        <v>16</v>
      </c>
      <c r="I4051" s="3">
        <v>46</v>
      </c>
      <c r="J4051" s="2">
        <v>158</v>
      </c>
      <c r="K4051" s="3">
        <f t="shared" si="63"/>
        <v>7268</v>
      </c>
      <c r="L4051" s="3">
        <v>5014.92</v>
      </c>
    </row>
    <row r="4052" spans="1:12" x14ac:dyDescent="0.25">
      <c r="A4052" t="s">
        <v>19</v>
      </c>
      <c r="B4052">
        <v>1128299</v>
      </c>
      <c r="C4052" s="1">
        <v>44370</v>
      </c>
      <c r="D4052" t="s">
        <v>12</v>
      </c>
      <c r="E4052" t="s">
        <v>39</v>
      </c>
      <c r="F4052" t="s">
        <v>40</v>
      </c>
      <c r="G4052" t="s">
        <v>15</v>
      </c>
      <c r="H4052" t="s">
        <v>22</v>
      </c>
      <c r="I4052" s="3">
        <v>43</v>
      </c>
      <c r="J4052" s="2">
        <v>72</v>
      </c>
      <c r="K4052" s="3">
        <f t="shared" si="63"/>
        <v>3096</v>
      </c>
      <c r="L4052" s="3">
        <v>2043.3600000000001</v>
      </c>
    </row>
    <row r="4053" spans="1:12" x14ac:dyDescent="0.25">
      <c r="A4053" t="s">
        <v>19</v>
      </c>
      <c r="B4053">
        <v>1128299</v>
      </c>
      <c r="C4053" s="1">
        <v>44370</v>
      </c>
      <c r="D4053" t="s">
        <v>12</v>
      </c>
      <c r="E4053" t="s">
        <v>39</v>
      </c>
      <c r="F4053" t="s">
        <v>40</v>
      </c>
      <c r="G4053" t="s">
        <v>15</v>
      </c>
      <c r="H4053" t="s">
        <v>35</v>
      </c>
      <c r="I4053" s="3">
        <v>41</v>
      </c>
      <c r="J4053" s="2">
        <v>147</v>
      </c>
      <c r="K4053" s="3">
        <f t="shared" si="63"/>
        <v>6027</v>
      </c>
      <c r="L4053" s="3">
        <v>3736.74</v>
      </c>
    </row>
    <row r="4054" spans="1:12" x14ac:dyDescent="0.25">
      <c r="A4054" t="s">
        <v>19</v>
      </c>
      <c r="B4054">
        <v>1128299</v>
      </c>
      <c r="C4054" s="1">
        <v>44370</v>
      </c>
      <c r="D4054" t="s">
        <v>12</v>
      </c>
      <c r="E4054" t="s">
        <v>39</v>
      </c>
      <c r="F4054" t="s">
        <v>40</v>
      </c>
      <c r="G4054" t="s">
        <v>41</v>
      </c>
      <c r="H4054" t="s">
        <v>16</v>
      </c>
      <c r="I4054" s="3">
        <v>69</v>
      </c>
      <c r="J4054" s="2">
        <v>131</v>
      </c>
      <c r="K4054" s="3">
        <f t="shared" si="63"/>
        <v>9039</v>
      </c>
      <c r="L4054" s="3">
        <v>5513.79</v>
      </c>
    </row>
    <row r="4055" spans="1:12" x14ac:dyDescent="0.25">
      <c r="A4055" t="s">
        <v>19</v>
      </c>
      <c r="B4055">
        <v>1128299</v>
      </c>
      <c r="C4055" s="1">
        <v>44370</v>
      </c>
      <c r="D4055" t="s">
        <v>12</v>
      </c>
      <c r="E4055" t="s">
        <v>39</v>
      </c>
      <c r="F4055" t="s">
        <v>40</v>
      </c>
      <c r="G4055" t="s">
        <v>15</v>
      </c>
      <c r="H4055" t="s">
        <v>38</v>
      </c>
      <c r="I4055" s="3">
        <v>37</v>
      </c>
      <c r="J4055" s="2">
        <v>194</v>
      </c>
      <c r="K4055" s="3">
        <f t="shared" si="63"/>
        <v>7178</v>
      </c>
      <c r="L4055" s="3">
        <v>4378.58</v>
      </c>
    </row>
    <row r="4056" spans="1:12" x14ac:dyDescent="0.25">
      <c r="A4056" t="s">
        <v>19</v>
      </c>
      <c r="B4056">
        <v>1128299</v>
      </c>
      <c r="C4056" s="1">
        <v>44370</v>
      </c>
      <c r="D4056" t="s">
        <v>12</v>
      </c>
      <c r="E4056" t="s">
        <v>39</v>
      </c>
      <c r="F4056" t="s">
        <v>40</v>
      </c>
      <c r="G4056" t="s">
        <v>15</v>
      </c>
      <c r="H4056" t="s">
        <v>37</v>
      </c>
      <c r="I4056" s="3">
        <v>38</v>
      </c>
      <c r="J4056" s="2">
        <v>105</v>
      </c>
      <c r="K4056" s="3">
        <f t="shared" si="63"/>
        <v>3990</v>
      </c>
      <c r="L4056" s="3">
        <v>2394</v>
      </c>
    </row>
    <row r="4057" spans="1:12" x14ac:dyDescent="0.25">
      <c r="A4057" t="s">
        <v>19</v>
      </c>
      <c r="B4057">
        <v>1128299</v>
      </c>
      <c r="C4057" s="1">
        <v>44370</v>
      </c>
      <c r="D4057" t="s">
        <v>12</v>
      </c>
      <c r="E4057" t="s">
        <v>39</v>
      </c>
      <c r="F4057" t="s">
        <v>40</v>
      </c>
      <c r="G4057" t="s">
        <v>41</v>
      </c>
      <c r="H4057" t="s">
        <v>22</v>
      </c>
      <c r="I4057" s="3">
        <v>51</v>
      </c>
      <c r="J4057" s="2">
        <v>68</v>
      </c>
      <c r="K4057" s="3">
        <f t="shared" si="63"/>
        <v>3468</v>
      </c>
      <c r="L4057" s="3">
        <v>2011.44</v>
      </c>
    </row>
    <row r="4058" spans="1:12" x14ac:dyDescent="0.25">
      <c r="A4058" t="s">
        <v>19</v>
      </c>
      <c r="B4058">
        <v>1128299</v>
      </c>
      <c r="C4058" s="1">
        <v>44370</v>
      </c>
      <c r="D4058" t="s">
        <v>12</v>
      </c>
      <c r="E4058" t="s">
        <v>39</v>
      </c>
      <c r="F4058" t="s">
        <v>40</v>
      </c>
      <c r="G4058" t="s">
        <v>15</v>
      </c>
      <c r="H4058" t="s">
        <v>17</v>
      </c>
      <c r="I4058" s="3">
        <v>36</v>
      </c>
      <c r="J4058" s="2">
        <v>143</v>
      </c>
      <c r="K4058" s="3">
        <f t="shared" si="63"/>
        <v>5148</v>
      </c>
      <c r="L4058" s="3">
        <v>2985.8399999999997</v>
      </c>
    </row>
    <row r="4059" spans="1:12" x14ac:dyDescent="0.25">
      <c r="A4059" t="s">
        <v>19</v>
      </c>
      <c r="B4059">
        <v>1128299</v>
      </c>
      <c r="C4059" s="1">
        <v>44370</v>
      </c>
      <c r="D4059" t="s">
        <v>12</v>
      </c>
      <c r="E4059" t="s">
        <v>39</v>
      </c>
      <c r="F4059" t="s">
        <v>40</v>
      </c>
      <c r="G4059" t="s">
        <v>41</v>
      </c>
      <c r="H4059" t="s">
        <v>35</v>
      </c>
      <c r="I4059" s="3">
        <v>51</v>
      </c>
      <c r="J4059" s="2">
        <v>138</v>
      </c>
      <c r="K4059" s="3">
        <f t="shared" si="63"/>
        <v>7038</v>
      </c>
      <c r="L4059" s="3">
        <v>3870.9</v>
      </c>
    </row>
    <row r="4060" spans="1:12" x14ac:dyDescent="0.25">
      <c r="A4060" t="s">
        <v>19</v>
      </c>
      <c r="B4060">
        <v>1128299</v>
      </c>
      <c r="C4060" s="1">
        <v>44370</v>
      </c>
      <c r="D4060" t="s">
        <v>12</v>
      </c>
      <c r="E4060" t="s">
        <v>39</v>
      </c>
      <c r="F4060" t="s">
        <v>40</v>
      </c>
      <c r="G4060" t="s">
        <v>41</v>
      </c>
      <c r="H4060" t="s">
        <v>38</v>
      </c>
      <c r="I4060" s="3">
        <v>48</v>
      </c>
      <c r="J4060" s="2">
        <v>156</v>
      </c>
      <c r="K4060" s="3">
        <f t="shared" si="63"/>
        <v>7488</v>
      </c>
      <c r="L4060" s="3">
        <v>3818.88</v>
      </c>
    </row>
    <row r="4061" spans="1:12" x14ac:dyDescent="0.25">
      <c r="A4061" t="s">
        <v>19</v>
      </c>
      <c r="B4061">
        <v>1128299</v>
      </c>
      <c r="C4061" s="1">
        <v>44370</v>
      </c>
      <c r="D4061" t="s">
        <v>12</v>
      </c>
      <c r="E4061" t="s">
        <v>39</v>
      </c>
      <c r="F4061" t="s">
        <v>40</v>
      </c>
      <c r="G4061" t="s">
        <v>41</v>
      </c>
      <c r="H4061" t="s">
        <v>37</v>
      </c>
      <c r="I4061" s="3">
        <v>46</v>
      </c>
      <c r="J4061" s="2">
        <v>95</v>
      </c>
      <c r="K4061" s="3">
        <f t="shared" si="63"/>
        <v>4370</v>
      </c>
      <c r="L4061" s="3">
        <v>2185</v>
      </c>
    </row>
    <row r="4062" spans="1:12" x14ac:dyDescent="0.25">
      <c r="A4062" t="s">
        <v>19</v>
      </c>
      <c r="B4062">
        <v>1128299</v>
      </c>
      <c r="C4062" s="1">
        <v>44370</v>
      </c>
      <c r="D4062" t="s">
        <v>12</v>
      </c>
      <c r="E4062" t="s">
        <v>39</v>
      </c>
      <c r="F4062" t="s">
        <v>40</v>
      </c>
      <c r="G4062" t="s">
        <v>41</v>
      </c>
      <c r="H4062" t="s">
        <v>17</v>
      </c>
      <c r="I4062" s="3">
        <v>51</v>
      </c>
      <c r="J4062" s="2">
        <v>138</v>
      </c>
      <c r="K4062" s="3">
        <f t="shared" si="63"/>
        <v>7038</v>
      </c>
      <c r="L4062" s="3">
        <v>3378.24</v>
      </c>
    </row>
    <row r="4063" spans="1:12" x14ac:dyDescent="0.25">
      <c r="A4063" t="s">
        <v>19</v>
      </c>
      <c r="B4063">
        <v>1185732</v>
      </c>
      <c r="C4063" s="1">
        <v>44370</v>
      </c>
      <c r="D4063" t="s">
        <v>57</v>
      </c>
      <c r="E4063" t="s">
        <v>118</v>
      </c>
      <c r="F4063" t="s">
        <v>119</v>
      </c>
      <c r="G4063" t="s">
        <v>41</v>
      </c>
      <c r="H4063" t="s">
        <v>37</v>
      </c>
      <c r="I4063" s="3">
        <v>27</v>
      </c>
      <c r="J4063" s="2">
        <v>39</v>
      </c>
      <c r="K4063" s="3">
        <f t="shared" si="63"/>
        <v>1053</v>
      </c>
      <c r="L4063" s="3">
        <v>484.38</v>
      </c>
    </row>
    <row r="4064" spans="1:12" x14ac:dyDescent="0.25">
      <c r="A4064" t="s">
        <v>19</v>
      </c>
      <c r="B4064">
        <v>1185732</v>
      </c>
      <c r="C4064" s="1">
        <v>44370</v>
      </c>
      <c r="D4064" t="s">
        <v>57</v>
      </c>
      <c r="E4064" t="s">
        <v>95</v>
      </c>
      <c r="F4064" t="s">
        <v>96</v>
      </c>
      <c r="G4064" t="s">
        <v>41</v>
      </c>
      <c r="H4064" t="s">
        <v>16</v>
      </c>
      <c r="I4064" s="3">
        <v>49</v>
      </c>
      <c r="J4064" s="2">
        <v>65</v>
      </c>
      <c r="K4064" s="3">
        <f t="shared" si="63"/>
        <v>3185</v>
      </c>
      <c r="L4064" s="3">
        <v>1274</v>
      </c>
    </row>
    <row r="4065" spans="1:12" x14ac:dyDescent="0.25">
      <c r="A4065" t="s">
        <v>19</v>
      </c>
      <c r="B4065">
        <v>1128299</v>
      </c>
      <c r="C4065" s="1">
        <v>44371</v>
      </c>
      <c r="D4065" t="s">
        <v>32</v>
      </c>
      <c r="E4065" t="s">
        <v>82</v>
      </c>
      <c r="F4065" t="s">
        <v>83</v>
      </c>
      <c r="G4065" t="s">
        <v>18</v>
      </c>
      <c r="H4065" t="s">
        <v>16</v>
      </c>
      <c r="I4065" s="3">
        <v>105</v>
      </c>
      <c r="J4065" s="2">
        <v>700</v>
      </c>
      <c r="K4065" s="3">
        <f t="shared" si="63"/>
        <v>73500</v>
      </c>
      <c r="L4065" s="3">
        <v>51450</v>
      </c>
    </row>
    <row r="4066" spans="1:12" x14ac:dyDescent="0.25">
      <c r="A4066" t="s">
        <v>11</v>
      </c>
      <c r="B4066">
        <v>1128299</v>
      </c>
      <c r="C4066" s="1">
        <v>44371</v>
      </c>
      <c r="D4066" t="s">
        <v>12</v>
      </c>
      <c r="E4066" t="s">
        <v>84</v>
      </c>
      <c r="F4066" t="s">
        <v>31</v>
      </c>
      <c r="G4066" t="s">
        <v>18</v>
      </c>
      <c r="H4066" t="s">
        <v>16</v>
      </c>
      <c r="I4066" s="3">
        <v>105</v>
      </c>
      <c r="J4066" s="2">
        <v>700</v>
      </c>
      <c r="K4066" s="3">
        <f t="shared" si="63"/>
        <v>73500</v>
      </c>
      <c r="L4066" s="3">
        <v>51450</v>
      </c>
    </row>
    <row r="4067" spans="1:12" x14ac:dyDescent="0.25">
      <c r="A4067" t="s">
        <v>19</v>
      </c>
      <c r="B4067">
        <v>1128299</v>
      </c>
      <c r="C4067" s="1">
        <v>44371</v>
      </c>
      <c r="D4067" t="s">
        <v>32</v>
      </c>
      <c r="E4067" t="s">
        <v>82</v>
      </c>
      <c r="F4067" t="s">
        <v>83</v>
      </c>
      <c r="G4067" t="s">
        <v>18</v>
      </c>
      <c r="H4067" t="s">
        <v>38</v>
      </c>
      <c r="I4067" s="3">
        <v>54.999999999999993</v>
      </c>
      <c r="J4067" s="2">
        <v>775</v>
      </c>
      <c r="K4067" s="3">
        <f t="shared" si="63"/>
        <v>42624.999999999993</v>
      </c>
      <c r="L4067" s="3">
        <v>27706.25</v>
      </c>
    </row>
    <row r="4068" spans="1:12" x14ac:dyDescent="0.25">
      <c r="A4068" t="s">
        <v>11</v>
      </c>
      <c r="B4068">
        <v>1128299</v>
      </c>
      <c r="C4068" s="1">
        <v>44371</v>
      </c>
      <c r="D4068" t="s">
        <v>12</v>
      </c>
      <c r="E4068" t="s">
        <v>84</v>
      </c>
      <c r="F4068" t="s">
        <v>31</v>
      </c>
      <c r="G4068" t="s">
        <v>18</v>
      </c>
      <c r="H4068" t="s">
        <v>38</v>
      </c>
      <c r="I4068" s="3">
        <v>54.999999999999993</v>
      </c>
      <c r="J4068" s="2">
        <v>775</v>
      </c>
      <c r="K4068" s="3">
        <f t="shared" si="63"/>
        <v>42624.999999999993</v>
      </c>
      <c r="L4068" s="3">
        <v>27706.25</v>
      </c>
    </row>
    <row r="4069" spans="1:12" x14ac:dyDescent="0.25">
      <c r="A4069" t="s">
        <v>19</v>
      </c>
      <c r="B4069">
        <v>1185732</v>
      </c>
      <c r="C4069" s="1">
        <v>44371</v>
      </c>
      <c r="D4069" t="s">
        <v>57</v>
      </c>
      <c r="E4069" t="s">
        <v>118</v>
      </c>
      <c r="F4069" t="s">
        <v>119</v>
      </c>
      <c r="G4069" t="s">
        <v>15</v>
      </c>
      <c r="H4069" t="s">
        <v>22</v>
      </c>
      <c r="I4069" s="3">
        <v>45</v>
      </c>
      <c r="J4069" s="2">
        <v>150</v>
      </c>
      <c r="K4069" s="3">
        <f t="shared" si="63"/>
        <v>6750</v>
      </c>
      <c r="L4069" s="3">
        <v>4387.5</v>
      </c>
    </row>
    <row r="4070" spans="1:12" x14ac:dyDescent="0.25">
      <c r="A4070" t="s">
        <v>19</v>
      </c>
      <c r="B4070">
        <v>1128299</v>
      </c>
      <c r="C4070" s="1">
        <v>44371</v>
      </c>
      <c r="D4070" t="s">
        <v>32</v>
      </c>
      <c r="E4070" t="s">
        <v>82</v>
      </c>
      <c r="F4070" t="s">
        <v>83</v>
      </c>
      <c r="G4070" t="s">
        <v>18</v>
      </c>
      <c r="H4070" t="s">
        <v>17</v>
      </c>
      <c r="I4070" s="3">
        <v>64.999999999999986</v>
      </c>
      <c r="J4070" s="2">
        <v>650</v>
      </c>
      <c r="K4070" s="3">
        <f t="shared" si="63"/>
        <v>42249.999999999993</v>
      </c>
      <c r="L4070" s="3">
        <v>27462.499999999993</v>
      </c>
    </row>
    <row r="4071" spans="1:12" x14ac:dyDescent="0.25">
      <c r="A4071" t="s">
        <v>19</v>
      </c>
      <c r="B4071">
        <v>1128299</v>
      </c>
      <c r="C4071" s="1">
        <v>44371</v>
      </c>
      <c r="D4071" t="s">
        <v>32</v>
      </c>
      <c r="E4071" t="s">
        <v>82</v>
      </c>
      <c r="F4071" t="s">
        <v>83</v>
      </c>
      <c r="G4071" t="s">
        <v>18</v>
      </c>
      <c r="H4071" t="s">
        <v>35</v>
      </c>
      <c r="I4071" s="3">
        <v>80</v>
      </c>
      <c r="J4071" s="2">
        <v>650</v>
      </c>
      <c r="K4071" s="3">
        <f t="shared" si="63"/>
        <v>52000</v>
      </c>
      <c r="L4071" s="3">
        <v>33800</v>
      </c>
    </row>
    <row r="4072" spans="1:12" x14ac:dyDescent="0.25">
      <c r="A4072" t="s">
        <v>19</v>
      </c>
      <c r="B4072">
        <v>1128299</v>
      </c>
      <c r="C4072" s="1">
        <v>44371</v>
      </c>
      <c r="D4072" t="s">
        <v>32</v>
      </c>
      <c r="E4072" t="s">
        <v>82</v>
      </c>
      <c r="F4072" t="s">
        <v>83</v>
      </c>
      <c r="G4072" t="s">
        <v>18</v>
      </c>
      <c r="H4072" t="s">
        <v>37</v>
      </c>
      <c r="I4072" s="3">
        <v>80</v>
      </c>
      <c r="J4072" s="2">
        <v>525</v>
      </c>
      <c r="K4072" s="3">
        <f t="shared" si="63"/>
        <v>42000</v>
      </c>
      <c r="L4072" s="3">
        <v>27300</v>
      </c>
    </row>
    <row r="4073" spans="1:12" x14ac:dyDescent="0.25">
      <c r="A4073" t="s">
        <v>11</v>
      </c>
      <c r="B4073">
        <v>1128299</v>
      </c>
      <c r="C4073" s="1">
        <v>44371</v>
      </c>
      <c r="D4073" t="s">
        <v>12</v>
      </c>
      <c r="E4073" t="s">
        <v>84</v>
      </c>
      <c r="F4073" t="s">
        <v>31</v>
      </c>
      <c r="G4073" t="s">
        <v>18</v>
      </c>
      <c r="H4073" t="s">
        <v>17</v>
      </c>
      <c r="I4073" s="3">
        <v>64.999999999999986</v>
      </c>
      <c r="J4073" s="2">
        <v>650</v>
      </c>
      <c r="K4073" s="3">
        <f t="shared" si="63"/>
        <v>42249.999999999993</v>
      </c>
      <c r="L4073" s="3">
        <v>27462.499999999993</v>
      </c>
    </row>
    <row r="4074" spans="1:12" x14ac:dyDescent="0.25">
      <c r="A4074" t="s">
        <v>11</v>
      </c>
      <c r="B4074">
        <v>1128299</v>
      </c>
      <c r="C4074" s="1">
        <v>44371</v>
      </c>
      <c r="D4074" t="s">
        <v>12</v>
      </c>
      <c r="E4074" t="s">
        <v>84</v>
      </c>
      <c r="F4074" t="s">
        <v>31</v>
      </c>
      <c r="G4074" t="s">
        <v>18</v>
      </c>
      <c r="H4074" t="s">
        <v>35</v>
      </c>
      <c r="I4074" s="3">
        <v>80</v>
      </c>
      <c r="J4074" s="2">
        <v>650</v>
      </c>
      <c r="K4074" s="3">
        <f t="shared" si="63"/>
        <v>52000</v>
      </c>
      <c r="L4074" s="3">
        <v>33800</v>
      </c>
    </row>
    <row r="4075" spans="1:12" x14ac:dyDescent="0.25">
      <c r="A4075" t="s">
        <v>11</v>
      </c>
      <c r="B4075">
        <v>1128299</v>
      </c>
      <c r="C4075" s="1">
        <v>44371</v>
      </c>
      <c r="D4075" t="s">
        <v>12</v>
      </c>
      <c r="E4075" t="s">
        <v>84</v>
      </c>
      <c r="F4075" t="s">
        <v>31</v>
      </c>
      <c r="G4075" t="s">
        <v>18</v>
      </c>
      <c r="H4075" t="s">
        <v>37</v>
      </c>
      <c r="I4075" s="3">
        <v>80</v>
      </c>
      <c r="J4075" s="2">
        <v>525</v>
      </c>
      <c r="K4075" s="3">
        <f t="shared" si="63"/>
        <v>42000</v>
      </c>
      <c r="L4075" s="3">
        <v>27300</v>
      </c>
    </row>
    <row r="4076" spans="1:12" x14ac:dyDescent="0.25">
      <c r="A4076" t="s">
        <v>19</v>
      </c>
      <c r="B4076">
        <v>1185732</v>
      </c>
      <c r="C4076" s="1">
        <v>44371</v>
      </c>
      <c r="D4076" t="s">
        <v>57</v>
      </c>
      <c r="E4076" t="s">
        <v>95</v>
      </c>
      <c r="F4076" t="s">
        <v>96</v>
      </c>
      <c r="G4076" t="s">
        <v>15</v>
      </c>
      <c r="H4076" t="s">
        <v>38</v>
      </c>
      <c r="I4076" s="3">
        <v>60</v>
      </c>
      <c r="J4076" s="2">
        <v>495</v>
      </c>
      <c r="K4076" s="3">
        <f t="shared" si="63"/>
        <v>29700</v>
      </c>
      <c r="L4076" s="3">
        <v>17820</v>
      </c>
    </row>
    <row r="4077" spans="1:12" x14ac:dyDescent="0.25">
      <c r="A4077" t="s">
        <v>19</v>
      </c>
      <c r="B4077">
        <v>1128299</v>
      </c>
      <c r="C4077" s="1">
        <v>44371</v>
      </c>
      <c r="D4077" t="s">
        <v>32</v>
      </c>
      <c r="E4077" t="s">
        <v>82</v>
      </c>
      <c r="F4077" t="s">
        <v>83</v>
      </c>
      <c r="G4077" t="s">
        <v>18</v>
      </c>
      <c r="H4077" t="s">
        <v>22</v>
      </c>
      <c r="I4077" s="3">
        <v>90</v>
      </c>
      <c r="J4077" s="2">
        <v>400</v>
      </c>
      <c r="K4077" s="3">
        <f t="shared" si="63"/>
        <v>36000</v>
      </c>
      <c r="L4077" s="3">
        <v>21600</v>
      </c>
    </row>
    <row r="4078" spans="1:12" x14ac:dyDescent="0.25">
      <c r="A4078" t="s">
        <v>11</v>
      </c>
      <c r="B4078">
        <v>1128299</v>
      </c>
      <c r="C4078" s="1">
        <v>44371</v>
      </c>
      <c r="D4078" t="s">
        <v>12</v>
      </c>
      <c r="E4078" t="s">
        <v>84</v>
      </c>
      <c r="F4078" t="s">
        <v>31</v>
      </c>
      <c r="G4078" t="s">
        <v>18</v>
      </c>
      <c r="H4078" t="s">
        <v>22</v>
      </c>
      <c r="I4078" s="3">
        <v>90</v>
      </c>
      <c r="J4078" s="2">
        <v>400</v>
      </c>
      <c r="K4078" s="3">
        <f t="shared" si="63"/>
        <v>36000</v>
      </c>
      <c r="L4078" s="3">
        <v>21600</v>
      </c>
    </row>
    <row r="4079" spans="1:12" x14ac:dyDescent="0.25">
      <c r="A4079" t="s">
        <v>11</v>
      </c>
      <c r="B4079">
        <v>1128299</v>
      </c>
      <c r="C4079" s="1">
        <v>44371</v>
      </c>
      <c r="D4079" t="s">
        <v>12</v>
      </c>
      <c r="E4079" t="s">
        <v>84</v>
      </c>
      <c r="F4079" t="s">
        <v>31</v>
      </c>
      <c r="G4079" t="s">
        <v>15</v>
      </c>
      <c r="H4079" t="s">
        <v>16</v>
      </c>
      <c r="I4079" s="3">
        <v>74</v>
      </c>
      <c r="J4079" s="2">
        <v>231</v>
      </c>
      <c r="K4079" s="3">
        <f t="shared" si="63"/>
        <v>17094</v>
      </c>
      <c r="L4079" s="3">
        <v>11452.98</v>
      </c>
    </row>
    <row r="4080" spans="1:12" x14ac:dyDescent="0.25">
      <c r="A4080" t="s">
        <v>19</v>
      </c>
      <c r="B4080">
        <v>1128299</v>
      </c>
      <c r="C4080" s="1">
        <v>44371</v>
      </c>
      <c r="D4080" t="s">
        <v>32</v>
      </c>
      <c r="E4080" t="s">
        <v>82</v>
      </c>
      <c r="F4080" t="s">
        <v>83</v>
      </c>
      <c r="G4080" t="s">
        <v>15</v>
      </c>
      <c r="H4080" t="s">
        <v>38</v>
      </c>
      <c r="I4080" s="3">
        <v>37</v>
      </c>
      <c r="J4080" s="2">
        <v>233</v>
      </c>
      <c r="K4080" s="3">
        <f t="shared" si="63"/>
        <v>8621</v>
      </c>
      <c r="L4080" s="3">
        <v>5431.23</v>
      </c>
    </row>
    <row r="4081" spans="1:12" x14ac:dyDescent="0.25">
      <c r="A4081" t="s">
        <v>19</v>
      </c>
      <c r="B4081">
        <v>1128299</v>
      </c>
      <c r="C4081" s="1">
        <v>44371</v>
      </c>
      <c r="D4081" t="s">
        <v>32</v>
      </c>
      <c r="E4081" t="s">
        <v>82</v>
      </c>
      <c r="F4081" t="s">
        <v>83</v>
      </c>
      <c r="G4081" t="s">
        <v>15</v>
      </c>
      <c r="H4081" t="s">
        <v>35</v>
      </c>
      <c r="I4081" s="3">
        <v>58</v>
      </c>
      <c r="J4081" s="2">
        <v>208</v>
      </c>
      <c r="K4081" s="3">
        <f t="shared" si="63"/>
        <v>12064</v>
      </c>
      <c r="L4081" s="3">
        <v>7600.32</v>
      </c>
    </row>
    <row r="4082" spans="1:12" x14ac:dyDescent="0.25">
      <c r="A4082" t="s">
        <v>19</v>
      </c>
      <c r="B4082">
        <v>1128299</v>
      </c>
      <c r="C4082" s="1">
        <v>44371</v>
      </c>
      <c r="D4082" t="s">
        <v>32</v>
      </c>
      <c r="E4082" t="s">
        <v>82</v>
      </c>
      <c r="F4082" t="s">
        <v>83</v>
      </c>
      <c r="G4082" t="s">
        <v>15</v>
      </c>
      <c r="H4082" t="s">
        <v>16</v>
      </c>
      <c r="I4082" s="3">
        <v>82</v>
      </c>
      <c r="J4082" s="2">
        <v>231</v>
      </c>
      <c r="K4082" s="3">
        <f t="shared" si="63"/>
        <v>18942</v>
      </c>
      <c r="L4082" s="3">
        <v>11933.46</v>
      </c>
    </row>
    <row r="4083" spans="1:12" x14ac:dyDescent="0.25">
      <c r="A4083" t="s">
        <v>11</v>
      </c>
      <c r="B4083">
        <v>1128299</v>
      </c>
      <c r="C4083" s="1">
        <v>44371</v>
      </c>
      <c r="D4083" t="s">
        <v>12</v>
      </c>
      <c r="E4083" t="s">
        <v>84</v>
      </c>
      <c r="F4083" t="s">
        <v>31</v>
      </c>
      <c r="G4083" t="s">
        <v>15</v>
      </c>
      <c r="H4083" t="s">
        <v>38</v>
      </c>
      <c r="I4083" s="3">
        <v>43</v>
      </c>
      <c r="J4083" s="2">
        <v>240</v>
      </c>
      <c r="K4083" s="3">
        <f t="shared" si="63"/>
        <v>10320</v>
      </c>
      <c r="L4083" s="3">
        <v>6398.4</v>
      </c>
    </row>
    <row r="4084" spans="1:12" x14ac:dyDescent="0.25">
      <c r="A4084" t="s">
        <v>11</v>
      </c>
      <c r="B4084">
        <v>1128299</v>
      </c>
      <c r="C4084" s="1">
        <v>44371</v>
      </c>
      <c r="D4084" t="s">
        <v>12</v>
      </c>
      <c r="E4084" t="s">
        <v>84</v>
      </c>
      <c r="F4084" t="s">
        <v>31</v>
      </c>
      <c r="G4084" t="s">
        <v>15</v>
      </c>
      <c r="H4084" t="s">
        <v>35</v>
      </c>
      <c r="I4084" s="3">
        <v>53</v>
      </c>
      <c r="J4084" s="2">
        <v>208</v>
      </c>
      <c r="K4084" s="3">
        <f t="shared" si="63"/>
        <v>11024</v>
      </c>
      <c r="L4084" s="3">
        <v>6724.64</v>
      </c>
    </row>
    <row r="4085" spans="1:12" x14ac:dyDescent="0.25">
      <c r="A4085" t="s">
        <v>19</v>
      </c>
      <c r="B4085">
        <v>1128299</v>
      </c>
      <c r="C4085" s="1">
        <v>44371</v>
      </c>
      <c r="D4085" t="s">
        <v>32</v>
      </c>
      <c r="E4085" t="s">
        <v>82</v>
      </c>
      <c r="F4085" t="s">
        <v>83</v>
      </c>
      <c r="G4085" t="s">
        <v>41</v>
      </c>
      <c r="H4085" t="s">
        <v>16</v>
      </c>
      <c r="I4085" s="3">
        <v>96</v>
      </c>
      <c r="J4085" s="2">
        <v>182</v>
      </c>
      <c r="K4085" s="3">
        <f t="shared" si="63"/>
        <v>17472</v>
      </c>
      <c r="L4085" s="3">
        <v>10483.200000000001</v>
      </c>
    </row>
    <row r="4086" spans="1:12" x14ac:dyDescent="0.25">
      <c r="A4086" t="s">
        <v>11</v>
      </c>
      <c r="B4086">
        <v>1128299</v>
      </c>
      <c r="C4086" s="1">
        <v>44371</v>
      </c>
      <c r="D4086" t="s">
        <v>12</v>
      </c>
      <c r="E4086" t="s">
        <v>84</v>
      </c>
      <c r="F4086" t="s">
        <v>31</v>
      </c>
      <c r="G4086" t="s">
        <v>15</v>
      </c>
      <c r="H4086" t="s">
        <v>37</v>
      </c>
      <c r="I4086" s="3">
        <v>62</v>
      </c>
      <c r="J4086" s="2">
        <v>179</v>
      </c>
      <c r="K4086" s="3">
        <f t="shared" si="63"/>
        <v>11098</v>
      </c>
      <c r="L4086" s="3">
        <v>6547.8200000000006</v>
      </c>
    </row>
    <row r="4087" spans="1:12" x14ac:dyDescent="0.25">
      <c r="A4087" t="s">
        <v>19</v>
      </c>
      <c r="B4087">
        <v>1128299</v>
      </c>
      <c r="C4087" s="1">
        <v>44371</v>
      </c>
      <c r="D4087" t="s">
        <v>32</v>
      </c>
      <c r="E4087" t="s">
        <v>82</v>
      </c>
      <c r="F4087" t="s">
        <v>83</v>
      </c>
      <c r="G4087" t="s">
        <v>15</v>
      </c>
      <c r="H4087" t="s">
        <v>17</v>
      </c>
      <c r="I4087" s="3">
        <v>45</v>
      </c>
      <c r="J4087" s="2">
        <v>221</v>
      </c>
      <c r="K4087" s="3">
        <f t="shared" si="63"/>
        <v>9945</v>
      </c>
      <c r="L4087" s="3">
        <v>5867.55</v>
      </c>
    </row>
    <row r="4088" spans="1:12" x14ac:dyDescent="0.25">
      <c r="A4088" t="s">
        <v>11</v>
      </c>
      <c r="B4088">
        <v>1128299</v>
      </c>
      <c r="C4088" s="1">
        <v>44371</v>
      </c>
      <c r="D4088" t="s">
        <v>12</v>
      </c>
      <c r="E4088" t="s">
        <v>84</v>
      </c>
      <c r="F4088" t="s">
        <v>31</v>
      </c>
      <c r="G4088" t="s">
        <v>15</v>
      </c>
      <c r="H4088" t="s">
        <v>17</v>
      </c>
      <c r="I4088" s="3">
        <v>47</v>
      </c>
      <c r="J4088" s="2">
        <v>202</v>
      </c>
      <c r="K4088" s="3">
        <f t="shared" si="63"/>
        <v>9494</v>
      </c>
      <c r="L4088" s="3">
        <v>5601.46</v>
      </c>
    </row>
    <row r="4089" spans="1:12" x14ac:dyDescent="0.25">
      <c r="A4089" t="s">
        <v>19</v>
      </c>
      <c r="B4089">
        <v>1128299</v>
      </c>
      <c r="C4089" s="1">
        <v>44371</v>
      </c>
      <c r="D4089" t="s">
        <v>32</v>
      </c>
      <c r="E4089" t="s">
        <v>82</v>
      </c>
      <c r="F4089" t="s">
        <v>83</v>
      </c>
      <c r="G4089" t="s">
        <v>15</v>
      </c>
      <c r="H4089" t="s">
        <v>37</v>
      </c>
      <c r="I4089" s="3">
        <v>61</v>
      </c>
      <c r="J4089" s="2">
        <v>184</v>
      </c>
      <c r="K4089" s="3">
        <f t="shared" si="63"/>
        <v>11224</v>
      </c>
      <c r="L4089" s="3">
        <v>6622.16</v>
      </c>
    </row>
    <row r="4090" spans="1:12" x14ac:dyDescent="0.25">
      <c r="A4090" t="s">
        <v>11</v>
      </c>
      <c r="B4090">
        <v>1128299</v>
      </c>
      <c r="C4090" s="1">
        <v>44371</v>
      </c>
      <c r="D4090" t="s">
        <v>12</v>
      </c>
      <c r="E4090" t="s">
        <v>84</v>
      </c>
      <c r="F4090" t="s">
        <v>31</v>
      </c>
      <c r="G4090" t="s">
        <v>41</v>
      </c>
      <c r="H4090" t="s">
        <v>16</v>
      </c>
      <c r="I4090" s="3">
        <v>95</v>
      </c>
      <c r="J4090" s="2">
        <v>189</v>
      </c>
      <c r="K4090" s="3">
        <f t="shared" si="63"/>
        <v>17955</v>
      </c>
      <c r="L4090" s="3">
        <v>9875.25</v>
      </c>
    </row>
    <row r="4091" spans="1:12" x14ac:dyDescent="0.25">
      <c r="A4091" t="s">
        <v>19</v>
      </c>
      <c r="B4091">
        <v>1128299</v>
      </c>
      <c r="C4091" s="1">
        <v>44371</v>
      </c>
      <c r="D4091" t="s">
        <v>32</v>
      </c>
      <c r="E4091" t="s">
        <v>82</v>
      </c>
      <c r="F4091" t="s">
        <v>83</v>
      </c>
      <c r="G4091" t="s">
        <v>41</v>
      </c>
      <c r="H4091" t="s">
        <v>17</v>
      </c>
      <c r="I4091" s="3">
        <v>62</v>
      </c>
      <c r="J4091" s="2">
        <v>176</v>
      </c>
      <c r="K4091" s="3">
        <f t="shared" si="63"/>
        <v>10912</v>
      </c>
      <c r="L4091" s="3">
        <v>5892.4800000000005</v>
      </c>
    </row>
    <row r="4092" spans="1:12" x14ac:dyDescent="0.25">
      <c r="A4092" t="s">
        <v>11</v>
      </c>
      <c r="B4092">
        <v>1128299</v>
      </c>
      <c r="C4092" s="1">
        <v>44371</v>
      </c>
      <c r="D4092" t="s">
        <v>12</v>
      </c>
      <c r="E4092" t="s">
        <v>84</v>
      </c>
      <c r="F4092" t="s">
        <v>31</v>
      </c>
      <c r="G4092" t="s">
        <v>41</v>
      </c>
      <c r="H4092" t="s">
        <v>35</v>
      </c>
      <c r="I4092" s="3">
        <v>78</v>
      </c>
      <c r="J4092" s="2">
        <v>189</v>
      </c>
      <c r="K4092" s="3">
        <f t="shared" si="63"/>
        <v>14742</v>
      </c>
      <c r="L4092" s="3">
        <v>7960.68</v>
      </c>
    </row>
    <row r="4093" spans="1:12" x14ac:dyDescent="0.25">
      <c r="A4093" t="s">
        <v>19</v>
      </c>
      <c r="B4093">
        <v>1128299</v>
      </c>
      <c r="C4093" s="1">
        <v>44371</v>
      </c>
      <c r="D4093" t="s">
        <v>32</v>
      </c>
      <c r="E4093" t="s">
        <v>82</v>
      </c>
      <c r="F4093" t="s">
        <v>83</v>
      </c>
      <c r="G4093" t="s">
        <v>15</v>
      </c>
      <c r="H4093" t="s">
        <v>22</v>
      </c>
      <c r="I4093" s="3">
        <v>68</v>
      </c>
      <c r="J4093" s="2">
        <v>128</v>
      </c>
      <c r="K4093" s="3">
        <f t="shared" si="63"/>
        <v>8704</v>
      </c>
      <c r="L4093" s="3">
        <v>4700.16</v>
      </c>
    </row>
    <row r="4094" spans="1:12" x14ac:dyDescent="0.25">
      <c r="A4094" t="s">
        <v>11</v>
      </c>
      <c r="B4094">
        <v>1128299</v>
      </c>
      <c r="C4094" s="1">
        <v>44371</v>
      </c>
      <c r="D4094" t="s">
        <v>12</v>
      </c>
      <c r="E4094" t="s">
        <v>84</v>
      </c>
      <c r="F4094" t="s">
        <v>31</v>
      </c>
      <c r="G4094" t="s">
        <v>15</v>
      </c>
      <c r="H4094" t="s">
        <v>22</v>
      </c>
      <c r="I4094" s="3">
        <v>67</v>
      </c>
      <c r="J4094" s="2">
        <v>140</v>
      </c>
      <c r="K4094" s="3">
        <f t="shared" si="63"/>
        <v>9380</v>
      </c>
      <c r="L4094" s="3">
        <v>5065.2</v>
      </c>
    </row>
    <row r="4095" spans="1:12" x14ac:dyDescent="0.25">
      <c r="A4095" t="s">
        <v>19</v>
      </c>
      <c r="B4095">
        <v>1128299</v>
      </c>
      <c r="C4095" s="1">
        <v>44371</v>
      </c>
      <c r="D4095" t="s">
        <v>32</v>
      </c>
      <c r="E4095" t="s">
        <v>82</v>
      </c>
      <c r="F4095" t="s">
        <v>83</v>
      </c>
      <c r="G4095" t="s">
        <v>41</v>
      </c>
      <c r="H4095" t="s">
        <v>38</v>
      </c>
      <c r="I4095" s="3">
        <v>53</v>
      </c>
      <c r="J4095" s="2">
        <v>233</v>
      </c>
      <c r="K4095" s="3">
        <f t="shared" si="63"/>
        <v>12349</v>
      </c>
      <c r="L4095" s="3">
        <v>6544.97</v>
      </c>
    </row>
    <row r="4096" spans="1:12" x14ac:dyDescent="0.25">
      <c r="A4096" t="s">
        <v>19</v>
      </c>
      <c r="B4096">
        <v>1128299</v>
      </c>
      <c r="C4096" s="1">
        <v>44371</v>
      </c>
      <c r="D4096" t="s">
        <v>32</v>
      </c>
      <c r="E4096" t="s">
        <v>82</v>
      </c>
      <c r="F4096" t="s">
        <v>83</v>
      </c>
      <c r="G4096" t="s">
        <v>41</v>
      </c>
      <c r="H4096" t="s">
        <v>35</v>
      </c>
      <c r="I4096" s="3">
        <v>73</v>
      </c>
      <c r="J4096" s="2">
        <v>195</v>
      </c>
      <c r="K4096" s="3">
        <f t="shared" si="63"/>
        <v>14235</v>
      </c>
      <c r="L4096" s="3">
        <v>7402.2</v>
      </c>
    </row>
    <row r="4097" spans="1:12" x14ac:dyDescent="0.25">
      <c r="A4097" t="s">
        <v>11</v>
      </c>
      <c r="B4097">
        <v>1128299</v>
      </c>
      <c r="C4097" s="1">
        <v>44371</v>
      </c>
      <c r="D4097" t="s">
        <v>12</v>
      </c>
      <c r="E4097" t="s">
        <v>84</v>
      </c>
      <c r="F4097" t="s">
        <v>31</v>
      </c>
      <c r="G4097" t="s">
        <v>41</v>
      </c>
      <c r="H4097" t="s">
        <v>38</v>
      </c>
      <c r="I4097" s="3">
        <v>51</v>
      </c>
      <c r="J4097" s="2">
        <v>225</v>
      </c>
      <c r="K4097" s="3">
        <f t="shared" si="63"/>
        <v>11475</v>
      </c>
      <c r="L4097" s="3">
        <v>5852.25</v>
      </c>
    </row>
    <row r="4098" spans="1:12" x14ac:dyDescent="0.25">
      <c r="A4098" t="s">
        <v>19</v>
      </c>
      <c r="B4098">
        <v>1128299</v>
      </c>
      <c r="C4098" s="1">
        <v>44371</v>
      </c>
      <c r="D4098" t="s">
        <v>32</v>
      </c>
      <c r="E4098" t="s">
        <v>82</v>
      </c>
      <c r="F4098" t="s">
        <v>83</v>
      </c>
      <c r="G4098" t="s">
        <v>41</v>
      </c>
      <c r="H4098" t="s">
        <v>37</v>
      </c>
      <c r="I4098" s="3">
        <v>72</v>
      </c>
      <c r="J4098" s="2">
        <v>142</v>
      </c>
      <c r="K4098" s="3">
        <f t="shared" si="63"/>
        <v>10224</v>
      </c>
      <c r="L4098" s="3">
        <v>5214.24</v>
      </c>
    </row>
    <row r="4099" spans="1:12" x14ac:dyDescent="0.25">
      <c r="A4099" t="s">
        <v>11</v>
      </c>
      <c r="B4099">
        <v>1128299</v>
      </c>
      <c r="C4099" s="1">
        <v>44371</v>
      </c>
      <c r="D4099" t="s">
        <v>12</v>
      </c>
      <c r="E4099" t="s">
        <v>84</v>
      </c>
      <c r="F4099" t="s">
        <v>31</v>
      </c>
      <c r="G4099" t="s">
        <v>41</v>
      </c>
      <c r="H4099" t="s">
        <v>17</v>
      </c>
      <c r="I4099" s="3">
        <v>62</v>
      </c>
      <c r="J4099" s="2">
        <v>169</v>
      </c>
      <c r="K4099" s="3">
        <f t="shared" ref="K4099:K4162" si="64">I4099*J4099</f>
        <v>10478</v>
      </c>
      <c r="L4099" s="3">
        <v>5343.78</v>
      </c>
    </row>
    <row r="4100" spans="1:12" x14ac:dyDescent="0.25">
      <c r="A4100" t="s">
        <v>19</v>
      </c>
      <c r="B4100">
        <v>1185732</v>
      </c>
      <c r="C4100" s="1">
        <v>44371</v>
      </c>
      <c r="D4100" t="s">
        <v>57</v>
      </c>
      <c r="E4100" t="s">
        <v>118</v>
      </c>
      <c r="F4100" t="s">
        <v>119</v>
      </c>
      <c r="G4100" t="s">
        <v>41</v>
      </c>
      <c r="H4100" t="s">
        <v>22</v>
      </c>
      <c r="I4100" s="3">
        <v>42</v>
      </c>
      <c r="J4100" s="2">
        <v>42</v>
      </c>
      <c r="K4100" s="3">
        <f t="shared" si="64"/>
        <v>1764</v>
      </c>
      <c r="L4100" s="3">
        <v>882</v>
      </c>
    </row>
    <row r="4101" spans="1:12" x14ac:dyDescent="0.25">
      <c r="A4101" t="s">
        <v>11</v>
      </c>
      <c r="B4101">
        <v>1128299</v>
      </c>
      <c r="C4101" s="1">
        <v>44371</v>
      </c>
      <c r="D4101" t="s">
        <v>12</v>
      </c>
      <c r="E4101" t="s">
        <v>84</v>
      </c>
      <c r="F4101" t="s">
        <v>31</v>
      </c>
      <c r="G4101" t="s">
        <v>41</v>
      </c>
      <c r="H4101" t="s">
        <v>37</v>
      </c>
      <c r="I4101" s="3">
        <v>74</v>
      </c>
      <c r="J4101" s="2">
        <v>158</v>
      </c>
      <c r="K4101" s="3">
        <f t="shared" si="64"/>
        <v>11692</v>
      </c>
      <c r="L4101" s="3">
        <v>5846</v>
      </c>
    </row>
    <row r="4102" spans="1:12" x14ac:dyDescent="0.25">
      <c r="A4102" t="s">
        <v>19</v>
      </c>
      <c r="B4102">
        <v>1128299</v>
      </c>
      <c r="C4102" s="1">
        <v>44371</v>
      </c>
      <c r="D4102" t="s">
        <v>32</v>
      </c>
      <c r="E4102" t="s">
        <v>82</v>
      </c>
      <c r="F4102" t="s">
        <v>83</v>
      </c>
      <c r="G4102" t="s">
        <v>41</v>
      </c>
      <c r="H4102" t="s">
        <v>22</v>
      </c>
      <c r="I4102" s="3">
        <v>81</v>
      </c>
      <c r="J4102" s="2">
        <v>104</v>
      </c>
      <c r="K4102" s="3">
        <f t="shared" si="64"/>
        <v>8424</v>
      </c>
      <c r="L4102" s="3">
        <v>4127.76</v>
      </c>
    </row>
    <row r="4103" spans="1:12" x14ac:dyDescent="0.25">
      <c r="A4103" t="s">
        <v>11</v>
      </c>
      <c r="B4103">
        <v>1128299</v>
      </c>
      <c r="C4103" s="1">
        <v>44371</v>
      </c>
      <c r="D4103" t="s">
        <v>12</v>
      </c>
      <c r="E4103" t="s">
        <v>84</v>
      </c>
      <c r="F4103" t="s">
        <v>31</v>
      </c>
      <c r="G4103" t="s">
        <v>41</v>
      </c>
      <c r="H4103" t="s">
        <v>22</v>
      </c>
      <c r="I4103" s="3">
        <v>86</v>
      </c>
      <c r="J4103" s="2">
        <v>108</v>
      </c>
      <c r="K4103" s="3">
        <f t="shared" si="64"/>
        <v>9288</v>
      </c>
      <c r="L4103" s="3">
        <v>4365.3599999999997</v>
      </c>
    </row>
    <row r="4104" spans="1:12" x14ac:dyDescent="0.25">
      <c r="A4104" t="s">
        <v>19</v>
      </c>
      <c r="B4104">
        <v>1185732</v>
      </c>
      <c r="C4104" s="1">
        <v>44371</v>
      </c>
      <c r="D4104" t="s">
        <v>57</v>
      </c>
      <c r="E4104" t="s">
        <v>95</v>
      </c>
      <c r="F4104" t="s">
        <v>96</v>
      </c>
      <c r="G4104" t="s">
        <v>41</v>
      </c>
      <c r="H4104" t="s">
        <v>38</v>
      </c>
      <c r="I4104" s="3">
        <v>58</v>
      </c>
      <c r="J4104" s="2">
        <v>134</v>
      </c>
      <c r="K4104" s="3">
        <f t="shared" si="64"/>
        <v>7772</v>
      </c>
      <c r="L4104" s="3">
        <v>3575.12</v>
      </c>
    </row>
    <row r="4105" spans="1:12" x14ac:dyDescent="0.25">
      <c r="A4105" t="s">
        <v>19</v>
      </c>
      <c r="B4105">
        <v>1185732</v>
      </c>
      <c r="C4105" s="1">
        <v>44372</v>
      </c>
      <c r="D4105" t="s">
        <v>57</v>
      </c>
      <c r="E4105" t="s">
        <v>95</v>
      </c>
      <c r="F4105" t="s">
        <v>96</v>
      </c>
      <c r="G4105" t="s">
        <v>15</v>
      </c>
      <c r="H4105" t="s">
        <v>17</v>
      </c>
      <c r="I4105" s="3">
        <v>55.000000000000007</v>
      </c>
      <c r="J4105" s="2">
        <v>200</v>
      </c>
      <c r="K4105" s="3">
        <f t="shared" si="64"/>
        <v>11000.000000000002</v>
      </c>
      <c r="L4105" s="3">
        <v>7150.0000000000018</v>
      </c>
    </row>
    <row r="4106" spans="1:12" x14ac:dyDescent="0.25">
      <c r="A4106" t="s">
        <v>19</v>
      </c>
      <c r="B4106">
        <v>1185732</v>
      </c>
      <c r="C4106" s="1">
        <v>44372</v>
      </c>
      <c r="D4106" t="s">
        <v>57</v>
      </c>
      <c r="E4106" t="s">
        <v>118</v>
      </c>
      <c r="F4106" t="s">
        <v>119</v>
      </c>
      <c r="G4106" t="s">
        <v>15</v>
      </c>
      <c r="H4106" t="s">
        <v>16</v>
      </c>
      <c r="I4106" s="3">
        <v>50</v>
      </c>
      <c r="J4106" s="2">
        <v>325</v>
      </c>
      <c r="K4106" s="3">
        <f t="shared" si="64"/>
        <v>16250</v>
      </c>
      <c r="L4106" s="3">
        <v>8125</v>
      </c>
    </row>
    <row r="4107" spans="1:12" x14ac:dyDescent="0.25">
      <c r="A4107" t="s">
        <v>19</v>
      </c>
      <c r="B4107">
        <v>1185732</v>
      </c>
      <c r="C4107" s="1">
        <v>44372</v>
      </c>
      <c r="D4107" t="s">
        <v>57</v>
      </c>
      <c r="E4107" t="s">
        <v>95</v>
      </c>
      <c r="F4107" t="s">
        <v>96</v>
      </c>
      <c r="G4107" t="s">
        <v>41</v>
      </c>
      <c r="H4107" t="s">
        <v>17</v>
      </c>
      <c r="I4107" s="3">
        <v>53</v>
      </c>
      <c r="J4107" s="2">
        <v>54</v>
      </c>
      <c r="K4107" s="3">
        <f t="shared" si="64"/>
        <v>2862</v>
      </c>
      <c r="L4107" s="3">
        <v>1574.1000000000001</v>
      </c>
    </row>
    <row r="4108" spans="1:12" x14ac:dyDescent="0.25">
      <c r="A4108" t="s">
        <v>19</v>
      </c>
      <c r="B4108">
        <v>1185732</v>
      </c>
      <c r="C4108" s="1">
        <v>44372</v>
      </c>
      <c r="D4108" t="s">
        <v>57</v>
      </c>
      <c r="E4108" t="s">
        <v>118</v>
      </c>
      <c r="F4108" t="s">
        <v>119</v>
      </c>
      <c r="G4108" t="s">
        <v>41</v>
      </c>
      <c r="H4108" t="s">
        <v>16</v>
      </c>
      <c r="I4108" s="3">
        <v>49</v>
      </c>
      <c r="J4108" s="2">
        <v>85</v>
      </c>
      <c r="K4108" s="3">
        <f t="shared" si="64"/>
        <v>4165</v>
      </c>
      <c r="L4108" s="3">
        <v>1582.6999999999998</v>
      </c>
    </row>
    <row r="4109" spans="1:12" x14ac:dyDescent="0.25">
      <c r="A4109" t="s">
        <v>27</v>
      </c>
      <c r="B4109">
        <v>1128299</v>
      </c>
      <c r="C4109" s="1">
        <v>44373</v>
      </c>
      <c r="D4109" t="s">
        <v>12</v>
      </c>
      <c r="E4109" t="s">
        <v>42</v>
      </c>
      <c r="F4109" t="s">
        <v>43</v>
      </c>
      <c r="G4109" t="s">
        <v>41</v>
      </c>
      <c r="H4109" t="s">
        <v>16</v>
      </c>
      <c r="I4109" s="3">
        <v>75.000000000000014</v>
      </c>
      <c r="J4109" s="2">
        <v>600</v>
      </c>
      <c r="K4109" s="3">
        <f t="shared" si="64"/>
        <v>45000.000000000007</v>
      </c>
      <c r="L4109" s="3">
        <v>33750.000000000007</v>
      </c>
    </row>
    <row r="4110" spans="1:12" x14ac:dyDescent="0.25">
      <c r="A4110" t="s">
        <v>27</v>
      </c>
      <c r="B4110">
        <v>1128299</v>
      </c>
      <c r="C4110" s="1">
        <v>44373</v>
      </c>
      <c r="D4110" t="s">
        <v>12</v>
      </c>
      <c r="E4110" t="s">
        <v>42</v>
      </c>
      <c r="F4110" t="s">
        <v>43</v>
      </c>
      <c r="G4110" t="s">
        <v>41</v>
      </c>
      <c r="H4110" t="s">
        <v>22</v>
      </c>
      <c r="I4110" s="3">
        <v>60.000000000000007</v>
      </c>
      <c r="J4110" s="2">
        <v>300</v>
      </c>
      <c r="K4110" s="3">
        <f t="shared" si="64"/>
        <v>18000.000000000004</v>
      </c>
      <c r="L4110" s="3">
        <v>12600.000000000004</v>
      </c>
    </row>
    <row r="4111" spans="1:12" x14ac:dyDescent="0.25">
      <c r="A4111" t="s">
        <v>27</v>
      </c>
      <c r="B4111">
        <v>1128299</v>
      </c>
      <c r="C4111" s="1">
        <v>44373</v>
      </c>
      <c r="D4111" t="s">
        <v>12</v>
      </c>
      <c r="E4111" t="s">
        <v>42</v>
      </c>
      <c r="F4111" t="s">
        <v>43</v>
      </c>
      <c r="G4111" t="s">
        <v>41</v>
      </c>
      <c r="H4111" t="s">
        <v>38</v>
      </c>
      <c r="I4111" s="3">
        <v>55.000000000000007</v>
      </c>
      <c r="J4111" s="2">
        <v>700</v>
      </c>
      <c r="K4111" s="3">
        <f t="shared" si="64"/>
        <v>38500.000000000007</v>
      </c>
      <c r="L4111" s="3">
        <v>25025.000000000007</v>
      </c>
    </row>
    <row r="4112" spans="1:12" x14ac:dyDescent="0.25">
      <c r="A4112" t="s">
        <v>27</v>
      </c>
      <c r="B4112">
        <v>1128299</v>
      </c>
      <c r="C4112" s="1">
        <v>44373</v>
      </c>
      <c r="D4112" t="s">
        <v>12</v>
      </c>
      <c r="E4112" t="s">
        <v>42</v>
      </c>
      <c r="F4112" t="s">
        <v>43</v>
      </c>
      <c r="G4112" t="s">
        <v>41</v>
      </c>
      <c r="H4112" t="s">
        <v>35</v>
      </c>
      <c r="I4112" s="3">
        <v>60.000000000000007</v>
      </c>
      <c r="J4112" s="2">
        <v>550</v>
      </c>
      <c r="K4112" s="3">
        <f t="shared" si="64"/>
        <v>33000.000000000007</v>
      </c>
      <c r="L4112" s="3">
        <v>21450.000000000007</v>
      </c>
    </row>
    <row r="4113" spans="1:12" x14ac:dyDescent="0.25">
      <c r="A4113" t="s">
        <v>19</v>
      </c>
      <c r="B4113">
        <v>1185732</v>
      </c>
      <c r="C4113" s="1">
        <v>44373</v>
      </c>
      <c r="D4113" t="s">
        <v>57</v>
      </c>
      <c r="E4113" t="s">
        <v>95</v>
      </c>
      <c r="F4113" t="s">
        <v>96</v>
      </c>
      <c r="G4113" t="s">
        <v>15</v>
      </c>
      <c r="H4113" t="s">
        <v>35</v>
      </c>
      <c r="I4113" s="3">
        <v>50</v>
      </c>
      <c r="J4113" s="2">
        <v>175</v>
      </c>
      <c r="K4113" s="3">
        <f t="shared" si="64"/>
        <v>8750</v>
      </c>
      <c r="L4113" s="3">
        <v>5687.5</v>
      </c>
    </row>
    <row r="4114" spans="1:12" x14ac:dyDescent="0.25">
      <c r="A4114" t="s">
        <v>27</v>
      </c>
      <c r="B4114">
        <v>1128299</v>
      </c>
      <c r="C4114" s="1">
        <v>44373</v>
      </c>
      <c r="D4114" t="s">
        <v>12</v>
      </c>
      <c r="E4114" t="s">
        <v>42</v>
      </c>
      <c r="F4114" t="s">
        <v>43</v>
      </c>
      <c r="G4114" t="s">
        <v>41</v>
      </c>
      <c r="H4114" t="s">
        <v>37</v>
      </c>
      <c r="I4114" s="3">
        <v>55.000000000000007</v>
      </c>
      <c r="J4114" s="2">
        <v>425</v>
      </c>
      <c r="K4114" s="3">
        <f t="shared" si="64"/>
        <v>23375.000000000004</v>
      </c>
      <c r="L4114" s="3">
        <v>15193.750000000004</v>
      </c>
    </row>
    <row r="4115" spans="1:12" x14ac:dyDescent="0.25">
      <c r="A4115" t="s">
        <v>19</v>
      </c>
      <c r="B4115">
        <v>1185732</v>
      </c>
      <c r="C4115" s="1">
        <v>44373</v>
      </c>
      <c r="D4115" t="s">
        <v>57</v>
      </c>
      <c r="E4115" t="s">
        <v>118</v>
      </c>
      <c r="F4115" t="s">
        <v>119</v>
      </c>
      <c r="G4115" t="s">
        <v>15</v>
      </c>
      <c r="H4115" t="s">
        <v>38</v>
      </c>
      <c r="I4115" s="3">
        <v>45</v>
      </c>
      <c r="J4115" s="2">
        <v>550</v>
      </c>
      <c r="K4115" s="3">
        <f t="shared" si="64"/>
        <v>24750</v>
      </c>
      <c r="L4115" s="3">
        <v>14850</v>
      </c>
    </row>
    <row r="4116" spans="1:12" x14ac:dyDescent="0.25">
      <c r="A4116" t="s">
        <v>27</v>
      </c>
      <c r="B4116">
        <v>1128299</v>
      </c>
      <c r="C4116" s="1">
        <v>44373</v>
      </c>
      <c r="D4116" t="s">
        <v>12</v>
      </c>
      <c r="E4116" t="s">
        <v>42</v>
      </c>
      <c r="F4116" t="s">
        <v>43</v>
      </c>
      <c r="G4116" t="s">
        <v>41</v>
      </c>
      <c r="H4116" t="s">
        <v>17</v>
      </c>
      <c r="I4116" s="3">
        <v>60.000000000000007</v>
      </c>
      <c r="J4116" s="2">
        <v>550</v>
      </c>
      <c r="K4116" s="3">
        <f t="shared" si="64"/>
        <v>33000.000000000007</v>
      </c>
      <c r="L4116" s="3">
        <v>19800.000000000004</v>
      </c>
    </row>
    <row r="4117" spans="1:12" x14ac:dyDescent="0.25">
      <c r="A4117" t="s">
        <v>27</v>
      </c>
      <c r="B4117">
        <v>1128299</v>
      </c>
      <c r="C4117" s="1">
        <v>44373</v>
      </c>
      <c r="D4117" t="s">
        <v>12</v>
      </c>
      <c r="E4117" t="s">
        <v>42</v>
      </c>
      <c r="F4117" t="s">
        <v>43</v>
      </c>
      <c r="G4117" t="s">
        <v>15</v>
      </c>
      <c r="H4117" t="s">
        <v>16</v>
      </c>
      <c r="I4117" s="3">
        <v>50</v>
      </c>
      <c r="J4117" s="2">
        <v>192</v>
      </c>
      <c r="K4117" s="3">
        <f t="shared" si="64"/>
        <v>9600</v>
      </c>
      <c r="L4117" s="3">
        <v>6912</v>
      </c>
    </row>
    <row r="4118" spans="1:12" x14ac:dyDescent="0.25">
      <c r="A4118" t="s">
        <v>27</v>
      </c>
      <c r="B4118">
        <v>1128299</v>
      </c>
      <c r="C4118" s="1">
        <v>44373</v>
      </c>
      <c r="D4118" t="s">
        <v>12</v>
      </c>
      <c r="E4118" t="s">
        <v>42</v>
      </c>
      <c r="F4118" t="s">
        <v>43</v>
      </c>
      <c r="G4118" t="s">
        <v>15</v>
      </c>
      <c r="H4118" t="s">
        <v>22</v>
      </c>
      <c r="I4118" s="3">
        <v>44</v>
      </c>
      <c r="J4118" s="2">
        <v>93</v>
      </c>
      <c r="K4118" s="3">
        <f t="shared" si="64"/>
        <v>4092</v>
      </c>
      <c r="L4118" s="3">
        <v>2659.8</v>
      </c>
    </row>
    <row r="4119" spans="1:12" x14ac:dyDescent="0.25">
      <c r="A4119" t="s">
        <v>27</v>
      </c>
      <c r="B4119">
        <v>1128299</v>
      </c>
      <c r="C4119" s="1">
        <v>44373</v>
      </c>
      <c r="D4119" t="s">
        <v>12</v>
      </c>
      <c r="E4119" t="s">
        <v>42</v>
      </c>
      <c r="F4119" t="s">
        <v>43</v>
      </c>
      <c r="G4119" t="s">
        <v>41</v>
      </c>
      <c r="H4119" t="s">
        <v>16</v>
      </c>
      <c r="I4119" s="3">
        <v>74</v>
      </c>
      <c r="J4119" s="2">
        <v>162</v>
      </c>
      <c r="K4119" s="3">
        <f t="shared" si="64"/>
        <v>11988</v>
      </c>
      <c r="L4119" s="3">
        <v>7672.32</v>
      </c>
    </row>
    <row r="4120" spans="1:12" x14ac:dyDescent="0.25">
      <c r="A4120" t="s">
        <v>27</v>
      </c>
      <c r="B4120">
        <v>1128299</v>
      </c>
      <c r="C4120" s="1">
        <v>44373</v>
      </c>
      <c r="D4120" t="s">
        <v>12</v>
      </c>
      <c r="E4120" t="s">
        <v>42</v>
      </c>
      <c r="F4120" t="s">
        <v>43</v>
      </c>
      <c r="G4120" t="s">
        <v>15</v>
      </c>
      <c r="H4120" t="s">
        <v>38</v>
      </c>
      <c r="I4120" s="3">
        <v>37</v>
      </c>
      <c r="J4120" s="2">
        <v>224</v>
      </c>
      <c r="K4120" s="3">
        <f t="shared" si="64"/>
        <v>8288</v>
      </c>
      <c r="L4120" s="3">
        <v>5055.68</v>
      </c>
    </row>
    <row r="4121" spans="1:12" x14ac:dyDescent="0.25">
      <c r="A4121" t="s">
        <v>27</v>
      </c>
      <c r="B4121">
        <v>1128299</v>
      </c>
      <c r="C4121" s="1">
        <v>44373</v>
      </c>
      <c r="D4121" t="s">
        <v>12</v>
      </c>
      <c r="E4121" t="s">
        <v>42</v>
      </c>
      <c r="F4121" t="s">
        <v>43</v>
      </c>
      <c r="G4121" t="s">
        <v>15</v>
      </c>
      <c r="H4121" t="s">
        <v>37</v>
      </c>
      <c r="I4121" s="3">
        <v>37</v>
      </c>
      <c r="J4121" s="2">
        <v>128</v>
      </c>
      <c r="K4121" s="3">
        <f t="shared" si="64"/>
        <v>4736</v>
      </c>
      <c r="L4121" s="3">
        <v>2841.6000000000004</v>
      </c>
    </row>
    <row r="4122" spans="1:12" x14ac:dyDescent="0.25">
      <c r="A4122" t="s">
        <v>27</v>
      </c>
      <c r="B4122">
        <v>1128299</v>
      </c>
      <c r="C4122" s="1">
        <v>44373</v>
      </c>
      <c r="D4122" t="s">
        <v>12</v>
      </c>
      <c r="E4122" t="s">
        <v>42</v>
      </c>
      <c r="F4122" t="s">
        <v>43</v>
      </c>
      <c r="G4122" t="s">
        <v>15</v>
      </c>
      <c r="H4122" t="s">
        <v>35</v>
      </c>
      <c r="I4122" s="3">
        <v>41</v>
      </c>
      <c r="J4122" s="2">
        <v>193</v>
      </c>
      <c r="K4122" s="3">
        <f t="shared" si="64"/>
        <v>7913</v>
      </c>
      <c r="L4122" s="3">
        <v>4747.8</v>
      </c>
    </row>
    <row r="4123" spans="1:12" x14ac:dyDescent="0.25">
      <c r="A4123" t="s">
        <v>27</v>
      </c>
      <c r="B4123">
        <v>1128299</v>
      </c>
      <c r="C4123" s="1">
        <v>44373</v>
      </c>
      <c r="D4123" t="s">
        <v>12</v>
      </c>
      <c r="E4123" t="s">
        <v>42</v>
      </c>
      <c r="F4123" t="s">
        <v>43</v>
      </c>
      <c r="G4123" t="s">
        <v>41</v>
      </c>
      <c r="H4123" t="s">
        <v>22</v>
      </c>
      <c r="I4123" s="3">
        <v>56</v>
      </c>
      <c r="J4123" s="2">
        <v>87</v>
      </c>
      <c r="K4123" s="3">
        <f t="shared" si="64"/>
        <v>4872</v>
      </c>
      <c r="L4123" s="3">
        <v>2777.04</v>
      </c>
    </row>
    <row r="4124" spans="1:12" x14ac:dyDescent="0.25">
      <c r="A4124" t="s">
        <v>27</v>
      </c>
      <c r="B4124">
        <v>1128299</v>
      </c>
      <c r="C4124" s="1">
        <v>44373</v>
      </c>
      <c r="D4124" t="s">
        <v>12</v>
      </c>
      <c r="E4124" t="s">
        <v>42</v>
      </c>
      <c r="F4124" t="s">
        <v>43</v>
      </c>
      <c r="G4124" t="s">
        <v>15</v>
      </c>
      <c r="H4124" t="s">
        <v>17</v>
      </c>
      <c r="I4124" s="3">
        <v>47</v>
      </c>
      <c r="J4124" s="2">
        <v>187</v>
      </c>
      <c r="K4124" s="3">
        <f t="shared" si="64"/>
        <v>8789</v>
      </c>
      <c r="L4124" s="3">
        <v>5009.7299999999996</v>
      </c>
    </row>
    <row r="4125" spans="1:12" x14ac:dyDescent="0.25">
      <c r="A4125" t="s">
        <v>27</v>
      </c>
      <c r="B4125">
        <v>1128299</v>
      </c>
      <c r="C4125" s="1">
        <v>44373</v>
      </c>
      <c r="D4125" t="s">
        <v>12</v>
      </c>
      <c r="E4125" t="s">
        <v>42</v>
      </c>
      <c r="F4125" t="s">
        <v>43</v>
      </c>
      <c r="G4125" t="s">
        <v>41</v>
      </c>
      <c r="H4125" t="s">
        <v>37</v>
      </c>
      <c r="I4125" s="3">
        <v>54</v>
      </c>
      <c r="J4125" s="2">
        <v>106</v>
      </c>
      <c r="K4125" s="3">
        <f t="shared" si="64"/>
        <v>5724</v>
      </c>
      <c r="L4125" s="3">
        <v>3148.2000000000003</v>
      </c>
    </row>
    <row r="4126" spans="1:12" x14ac:dyDescent="0.25">
      <c r="A4126" t="s">
        <v>19</v>
      </c>
      <c r="B4126">
        <v>1185732</v>
      </c>
      <c r="C4126" s="1">
        <v>44373</v>
      </c>
      <c r="D4126" t="s">
        <v>57</v>
      </c>
      <c r="E4126" t="s">
        <v>95</v>
      </c>
      <c r="F4126" t="s">
        <v>96</v>
      </c>
      <c r="G4126" t="s">
        <v>41</v>
      </c>
      <c r="H4126" t="s">
        <v>35</v>
      </c>
      <c r="I4126" s="3">
        <v>49</v>
      </c>
      <c r="J4126" s="2">
        <v>44</v>
      </c>
      <c r="K4126" s="3">
        <f t="shared" si="64"/>
        <v>2156</v>
      </c>
      <c r="L4126" s="3">
        <v>1164.2400000000002</v>
      </c>
    </row>
    <row r="4127" spans="1:12" x14ac:dyDescent="0.25">
      <c r="A4127" t="s">
        <v>27</v>
      </c>
      <c r="B4127">
        <v>1128299</v>
      </c>
      <c r="C4127" s="1">
        <v>44373</v>
      </c>
      <c r="D4127" t="s">
        <v>12</v>
      </c>
      <c r="E4127" t="s">
        <v>42</v>
      </c>
      <c r="F4127" t="s">
        <v>43</v>
      </c>
      <c r="G4127" t="s">
        <v>41</v>
      </c>
      <c r="H4127" t="s">
        <v>38</v>
      </c>
      <c r="I4127" s="3">
        <v>52</v>
      </c>
      <c r="J4127" s="2">
        <v>203</v>
      </c>
      <c r="K4127" s="3">
        <f t="shared" si="64"/>
        <v>10556</v>
      </c>
      <c r="L4127" s="3">
        <v>5489.12</v>
      </c>
    </row>
    <row r="4128" spans="1:12" x14ac:dyDescent="0.25">
      <c r="A4128" t="s">
        <v>27</v>
      </c>
      <c r="B4128">
        <v>1128299</v>
      </c>
      <c r="C4128" s="1">
        <v>44373</v>
      </c>
      <c r="D4128" t="s">
        <v>12</v>
      </c>
      <c r="E4128" t="s">
        <v>42</v>
      </c>
      <c r="F4128" t="s">
        <v>43</v>
      </c>
      <c r="G4128" t="s">
        <v>41</v>
      </c>
      <c r="H4128" t="s">
        <v>35</v>
      </c>
      <c r="I4128" s="3">
        <v>54</v>
      </c>
      <c r="J4128" s="2">
        <v>149</v>
      </c>
      <c r="K4128" s="3">
        <f t="shared" si="64"/>
        <v>8046</v>
      </c>
      <c r="L4128" s="3">
        <v>4023</v>
      </c>
    </row>
    <row r="4129" spans="1:12" x14ac:dyDescent="0.25">
      <c r="A4129" t="s">
        <v>19</v>
      </c>
      <c r="B4129">
        <v>1185732</v>
      </c>
      <c r="C4129" s="1">
        <v>44373</v>
      </c>
      <c r="D4129" t="s">
        <v>57</v>
      </c>
      <c r="E4129" t="s">
        <v>118</v>
      </c>
      <c r="F4129" t="s">
        <v>119</v>
      </c>
      <c r="G4129" t="s">
        <v>41</v>
      </c>
      <c r="H4129" t="s">
        <v>38</v>
      </c>
      <c r="I4129" s="3">
        <v>43</v>
      </c>
      <c r="J4129" s="2">
        <v>165</v>
      </c>
      <c r="K4129" s="3">
        <f t="shared" si="64"/>
        <v>7095</v>
      </c>
      <c r="L4129" s="3">
        <v>3476.5499999999997</v>
      </c>
    </row>
    <row r="4130" spans="1:12" x14ac:dyDescent="0.25">
      <c r="A4130" t="s">
        <v>27</v>
      </c>
      <c r="B4130">
        <v>1128299</v>
      </c>
      <c r="C4130" s="1">
        <v>44373</v>
      </c>
      <c r="D4130" t="s">
        <v>12</v>
      </c>
      <c r="E4130" t="s">
        <v>42</v>
      </c>
      <c r="F4130" t="s">
        <v>43</v>
      </c>
      <c r="G4130" t="s">
        <v>41</v>
      </c>
      <c r="H4130" t="s">
        <v>17</v>
      </c>
      <c r="I4130" s="3">
        <v>54</v>
      </c>
      <c r="J4130" s="2">
        <v>154</v>
      </c>
      <c r="K4130" s="3">
        <f t="shared" si="64"/>
        <v>8316</v>
      </c>
      <c r="L4130" s="3">
        <v>3991.6800000000003</v>
      </c>
    </row>
    <row r="4131" spans="1:12" x14ac:dyDescent="0.25">
      <c r="A4131" t="s">
        <v>19</v>
      </c>
      <c r="B4131">
        <v>1185732</v>
      </c>
      <c r="C4131" s="1">
        <v>44374</v>
      </c>
      <c r="D4131" t="s">
        <v>57</v>
      </c>
      <c r="E4131" t="s">
        <v>118</v>
      </c>
      <c r="F4131" t="s">
        <v>119</v>
      </c>
      <c r="G4131" t="s">
        <v>15</v>
      </c>
      <c r="H4131" t="s">
        <v>17</v>
      </c>
      <c r="I4131" s="3">
        <v>40.000000000000007</v>
      </c>
      <c r="J4131" s="2">
        <v>300</v>
      </c>
      <c r="K4131" s="3">
        <f t="shared" si="64"/>
        <v>12000.000000000002</v>
      </c>
      <c r="L4131" s="3">
        <v>7800.0000000000018</v>
      </c>
    </row>
    <row r="4132" spans="1:12" x14ac:dyDescent="0.25">
      <c r="A4132" t="s">
        <v>19</v>
      </c>
      <c r="B4132">
        <v>1185732</v>
      </c>
      <c r="C4132" s="1">
        <v>44374</v>
      </c>
      <c r="D4132" t="s">
        <v>57</v>
      </c>
      <c r="E4132" t="s">
        <v>95</v>
      </c>
      <c r="F4132" t="s">
        <v>96</v>
      </c>
      <c r="G4132" t="s">
        <v>15</v>
      </c>
      <c r="H4132" t="s">
        <v>37</v>
      </c>
      <c r="I4132" s="3">
        <v>50</v>
      </c>
      <c r="J4132" s="2">
        <v>100</v>
      </c>
      <c r="K4132" s="3">
        <f t="shared" si="64"/>
        <v>5000</v>
      </c>
      <c r="L4132" s="3">
        <v>3000</v>
      </c>
    </row>
    <row r="4133" spans="1:12" x14ac:dyDescent="0.25">
      <c r="A4133" t="s">
        <v>19</v>
      </c>
      <c r="B4133">
        <v>1185732</v>
      </c>
      <c r="C4133" s="1">
        <v>44374</v>
      </c>
      <c r="D4133" t="s">
        <v>57</v>
      </c>
      <c r="E4133" t="s">
        <v>118</v>
      </c>
      <c r="F4133" t="s">
        <v>119</v>
      </c>
      <c r="G4133" t="s">
        <v>41</v>
      </c>
      <c r="H4133" t="s">
        <v>17</v>
      </c>
      <c r="I4133" s="3">
        <v>37</v>
      </c>
      <c r="J4133" s="2">
        <v>81</v>
      </c>
      <c r="K4133" s="3">
        <f t="shared" si="64"/>
        <v>2997</v>
      </c>
      <c r="L4133" s="3">
        <v>1648.3500000000001</v>
      </c>
    </row>
    <row r="4134" spans="1:12" x14ac:dyDescent="0.25">
      <c r="A4134" t="s">
        <v>19</v>
      </c>
      <c r="B4134">
        <v>1185732</v>
      </c>
      <c r="C4134" s="1">
        <v>44374</v>
      </c>
      <c r="D4134" t="s">
        <v>57</v>
      </c>
      <c r="E4134" t="s">
        <v>95</v>
      </c>
      <c r="F4134" t="s">
        <v>96</v>
      </c>
      <c r="G4134" t="s">
        <v>41</v>
      </c>
      <c r="H4134" t="s">
        <v>37</v>
      </c>
      <c r="I4134" s="3">
        <v>48</v>
      </c>
      <c r="J4134" s="2">
        <v>28</v>
      </c>
      <c r="K4134" s="3">
        <f t="shared" si="64"/>
        <v>1344</v>
      </c>
      <c r="L4134" s="3">
        <v>631.67999999999995</v>
      </c>
    </row>
    <row r="4135" spans="1:12" x14ac:dyDescent="0.25">
      <c r="A4135" t="s">
        <v>19</v>
      </c>
      <c r="B4135">
        <v>1185732</v>
      </c>
      <c r="C4135" s="1">
        <v>44375</v>
      </c>
      <c r="D4135" t="s">
        <v>57</v>
      </c>
      <c r="E4135" t="s">
        <v>95</v>
      </c>
      <c r="F4135" t="s">
        <v>96</v>
      </c>
      <c r="G4135" t="s">
        <v>15</v>
      </c>
      <c r="H4135" t="s">
        <v>22</v>
      </c>
      <c r="I4135" s="3">
        <v>60</v>
      </c>
      <c r="J4135" s="2">
        <v>125</v>
      </c>
      <c r="K4135" s="3">
        <f t="shared" si="64"/>
        <v>7500</v>
      </c>
      <c r="L4135" s="3">
        <v>4875</v>
      </c>
    </row>
    <row r="4136" spans="1:12" x14ac:dyDescent="0.25">
      <c r="A4136" t="s">
        <v>19</v>
      </c>
      <c r="B4136">
        <v>1185732</v>
      </c>
      <c r="C4136" s="1">
        <v>44375</v>
      </c>
      <c r="D4136" t="s">
        <v>57</v>
      </c>
      <c r="E4136" t="s">
        <v>118</v>
      </c>
      <c r="F4136" t="s">
        <v>119</v>
      </c>
      <c r="G4136" t="s">
        <v>15</v>
      </c>
      <c r="H4136" t="s">
        <v>35</v>
      </c>
      <c r="I4136" s="3">
        <v>35</v>
      </c>
      <c r="J4136" s="2">
        <v>225</v>
      </c>
      <c r="K4136" s="3">
        <f t="shared" si="64"/>
        <v>7875</v>
      </c>
      <c r="L4136" s="3">
        <v>5118.75</v>
      </c>
    </row>
    <row r="4137" spans="1:12" x14ac:dyDescent="0.25">
      <c r="A4137" t="s">
        <v>19</v>
      </c>
      <c r="B4137">
        <v>1185732</v>
      </c>
      <c r="C4137" s="1">
        <v>44375</v>
      </c>
      <c r="D4137" t="s">
        <v>57</v>
      </c>
      <c r="E4137" t="s">
        <v>118</v>
      </c>
      <c r="F4137" t="s">
        <v>119</v>
      </c>
      <c r="G4137" t="s">
        <v>41</v>
      </c>
      <c r="H4137" t="s">
        <v>35</v>
      </c>
      <c r="I4137" s="3">
        <v>34</v>
      </c>
      <c r="J4137" s="2">
        <v>63</v>
      </c>
      <c r="K4137" s="3">
        <f t="shared" si="64"/>
        <v>2142</v>
      </c>
      <c r="L4137" s="3">
        <v>1178.1000000000001</v>
      </c>
    </row>
    <row r="4138" spans="1:12" x14ac:dyDescent="0.25">
      <c r="A4138" t="s">
        <v>19</v>
      </c>
      <c r="B4138">
        <v>1185732</v>
      </c>
      <c r="C4138" s="1">
        <v>44375</v>
      </c>
      <c r="D4138" t="s">
        <v>57</v>
      </c>
      <c r="E4138" t="s">
        <v>95</v>
      </c>
      <c r="F4138" t="s">
        <v>96</v>
      </c>
      <c r="G4138" t="s">
        <v>41</v>
      </c>
      <c r="H4138" t="s">
        <v>22</v>
      </c>
      <c r="I4138" s="3">
        <v>59</v>
      </c>
      <c r="J4138" s="2">
        <v>35</v>
      </c>
      <c r="K4138" s="3">
        <f t="shared" si="64"/>
        <v>2065</v>
      </c>
      <c r="L4138" s="3">
        <v>1115.0999999999999</v>
      </c>
    </row>
    <row r="4139" spans="1:12" x14ac:dyDescent="0.25">
      <c r="A4139" t="s">
        <v>19</v>
      </c>
      <c r="B4139">
        <v>1185732</v>
      </c>
      <c r="C4139" s="1">
        <v>44376</v>
      </c>
      <c r="D4139" t="s">
        <v>57</v>
      </c>
      <c r="E4139" t="s">
        <v>118</v>
      </c>
      <c r="F4139" t="s">
        <v>119</v>
      </c>
      <c r="G4139" t="s">
        <v>15</v>
      </c>
      <c r="H4139" t="s">
        <v>37</v>
      </c>
      <c r="I4139" s="3">
        <v>35</v>
      </c>
      <c r="J4139" s="2">
        <v>175</v>
      </c>
      <c r="K4139" s="3">
        <f t="shared" si="64"/>
        <v>6125</v>
      </c>
      <c r="L4139" s="3">
        <v>3675</v>
      </c>
    </row>
    <row r="4140" spans="1:12" x14ac:dyDescent="0.25">
      <c r="A4140" t="s">
        <v>19</v>
      </c>
      <c r="B4140">
        <v>1185732</v>
      </c>
      <c r="C4140" s="1">
        <v>44376</v>
      </c>
      <c r="D4140" t="s">
        <v>57</v>
      </c>
      <c r="E4140" t="s">
        <v>95</v>
      </c>
      <c r="F4140" t="s">
        <v>96</v>
      </c>
      <c r="G4140" t="s">
        <v>15</v>
      </c>
      <c r="H4140" t="s">
        <v>16</v>
      </c>
      <c r="I4140" s="3">
        <v>65</v>
      </c>
      <c r="J4140" s="2">
        <v>250</v>
      </c>
      <c r="K4140" s="3">
        <f t="shared" si="64"/>
        <v>16250</v>
      </c>
      <c r="L4140" s="3">
        <v>8125</v>
      </c>
    </row>
    <row r="4141" spans="1:12" x14ac:dyDescent="0.25">
      <c r="A4141" t="s">
        <v>19</v>
      </c>
      <c r="B4141">
        <v>1185732</v>
      </c>
      <c r="C4141" s="1">
        <v>44376</v>
      </c>
      <c r="D4141" t="s">
        <v>57</v>
      </c>
      <c r="E4141" t="s">
        <v>118</v>
      </c>
      <c r="F4141" t="s">
        <v>119</v>
      </c>
      <c r="G4141" t="s">
        <v>41</v>
      </c>
      <c r="H4141" t="s">
        <v>37</v>
      </c>
      <c r="I4141" s="3">
        <v>33</v>
      </c>
      <c r="J4141" s="2">
        <v>46</v>
      </c>
      <c r="K4141" s="3">
        <f t="shared" si="64"/>
        <v>1518</v>
      </c>
      <c r="L4141" s="3">
        <v>728.64</v>
      </c>
    </row>
    <row r="4142" spans="1:12" x14ac:dyDescent="0.25">
      <c r="A4142" t="s">
        <v>19</v>
      </c>
      <c r="B4142">
        <v>1185732</v>
      </c>
      <c r="C4142" s="1">
        <v>44376</v>
      </c>
      <c r="D4142" t="s">
        <v>57</v>
      </c>
      <c r="E4142" t="s">
        <v>95</v>
      </c>
      <c r="F4142" t="s">
        <v>96</v>
      </c>
      <c r="G4142" t="s">
        <v>41</v>
      </c>
      <c r="H4142" t="s">
        <v>16</v>
      </c>
      <c r="I4142" s="3">
        <v>64</v>
      </c>
      <c r="J4142" s="2">
        <v>63</v>
      </c>
      <c r="K4142" s="3">
        <f t="shared" si="64"/>
        <v>4032</v>
      </c>
      <c r="L4142" s="3">
        <v>1612.8000000000002</v>
      </c>
    </row>
    <row r="4143" spans="1:12" x14ac:dyDescent="0.25">
      <c r="A4143" t="s">
        <v>19</v>
      </c>
      <c r="B4143">
        <v>1185732</v>
      </c>
      <c r="C4143" s="1">
        <v>44377</v>
      </c>
      <c r="D4143" t="s">
        <v>57</v>
      </c>
      <c r="E4143" t="s">
        <v>118</v>
      </c>
      <c r="F4143" t="s">
        <v>119</v>
      </c>
      <c r="G4143" t="s">
        <v>15</v>
      </c>
      <c r="H4143" t="s">
        <v>22</v>
      </c>
      <c r="I4143" s="3">
        <v>45</v>
      </c>
      <c r="J4143" s="2">
        <v>175</v>
      </c>
      <c r="K4143" s="3">
        <f t="shared" si="64"/>
        <v>7875</v>
      </c>
      <c r="L4143" s="3">
        <v>5118.75</v>
      </c>
    </row>
    <row r="4144" spans="1:12" x14ac:dyDescent="0.25">
      <c r="A4144" t="s">
        <v>19</v>
      </c>
      <c r="B4144">
        <v>1185732</v>
      </c>
      <c r="C4144" s="1">
        <v>44377</v>
      </c>
      <c r="D4144" t="s">
        <v>57</v>
      </c>
      <c r="E4144" t="s">
        <v>95</v>
      </c>
      <c r="F4144" t="s">
        <v>96</v>
      </c>
      <c r="G4144" t="s">
        <v>15</v>
      </c>
      <c r="H4144" t="s">
        <v>38</v>
      </c>
      <c r="I4144" s="3">
        <v>50</v>
      </c>
      <c r="J4144" s="2">
        <v>500</v>
      </c>
      <c r="K4144" s="3">
        <f t="shared" si="64"/>
        <v>25000</v>
      </c>
      <c r="L4144" s="3">
        <v>15000</v>
      </c>
    </row>
    <row r="4145" spans="1:12" x14ac:dyDescent="0.25">
      <c r="A4145" t="s">
        <v>19</v>
      </c>
      <c r="B4145">
        <v>1185732</v>
      </c>
      <c r="C4145" s="1">
        <v>44377</v>
      </c>
      <c r="D4145" t="s">
        <v>57</v>
      </c>
      <c r="E4145" t="s">
        <v>118</v>
      </c>
      <c r="F4145" t="s">
        <v>119</v>
      </c>
      <c r="G4145" t="s">
        <v>41</v>
      </c>
      <c r="H4145" t="s">
        <v>22</v>
      </c>
      <c r="I4145" s="3">
        <v>41</v>
      </c>
      <c r="J4145" s="2">
        <v>44</v>
      </c>
      <c r="K4145" s="3">
        <f t="shared" si="64"/>
        <v>1804</v>
      </c>
      <c r="L4145" s="3">
        <v>920.04</v>
      </c>
    </row>
    <row r="4146" spans="1:12" x14ac:dyDescent="0.25">
      <c r="A4146" t="s">
        <v>19</v>
      </c>
      <c r="B4146">
        <v>1185732</v>
      </c>
      <c r="C4146" s="1">
        <v>44377</v>
      </c>
      <c r="D4146" t="s">
        <v>57</v>
      </c>
      <c r="E4146" t="s">
        <v>95</v>
      </c>
      <c r="F4146" t="s">
        <v>96</v>
      </c>
      <c r="G4146" t="s">
        <v>41</v>
      </c>
      <c r="H4146" t="s">
        <v>38</v>
      </c>
      <c r="I4146" s="3">
        <v>46</v>
      </c>
      <c r="J4146" s="2">
        <v>135</v>
      </c>
      <c r="K4146" s="3">
        <f t="shared" si="64"/>
        <v>6210</v>
      </c>
      <c r="L4146" s="3">
        <v>2794.4999999999995</v>
      </c>
    </row>
    <row r="4147" spans="1:12" x14ac:dyDescent="0.25">
      <c r="A4147" t="s">
        <v>19</v>
      </c>
      <c r="B4147">
        <v>1185732</v>
      </c>
      <c r="C4147" s="1">
        <v>44378</v>
      </c>
      <c r="D4147" t="s">
        <v>57</v>
      </c>
      <c r="E4147" t="s">
        <v>95</v>
      </c>
      <c r="F4147" t="s">
        <v>96</v>
      </c>
      <c r="G4147" t="s">
        <v>15</v>
      </c>
      <c r="H4147" t="s">
        <v>17</v>
      </c>
      <c r="I4147" s="3">
        <v>45.000000000000007</v>
      </c>
      <c r="J4147" s="2">
        <v>250</v>
      </c>
      <c r="K4147" s="3">
        <f t="shared" si="64"/>
        <v>11250.000000000002</v>
      </c>
      <c r="L4147" s="3">
        <v>7312.5000000000018</v>
      </c>
    </row>
    <row r="4148" spans="1:12" x14ac:dyDescent="0.25">
      <c r="A4148" t="s">
        <v>19</v>
      </c>
      <c r="B4148">
        <v>1185732</v>
      </c>
      <c r="C4148" s="1">
        <v>44378</v>
      </c>
      <c r="D4148" t="s">
        <v>57</v>
      </c>
      <c r="E4148" t="s">
        <v>118</v>
      </c>
      <c r="F4148" t="s">
        <v>119</v>
      </c>
      <c r="G4148" t="s">
        <v>15</v>
      </c>
      <c r="H4148" t="s">
        <v>16</v>
      </c>
      <c r="I4148" s="3">
        <v>50</v>
      </c>
      <c r="J4148" s="2">
        <v>350</v>
      </c>
      <c r="K4148" s="3">
        <f t="shared" si="64"/>
        <v>17500</v>
      </c>
      <c r="L4148" s="3">
        <v>8750</v>
      </c>
    </row>
    <row r="4149" spans="1:12" x14ac:dyDescent="0.25">
      <c r="A4149" t="s">
        <v>19</v>
      </c>
      <c r="B4149">
        <v>1185732</v>
      </c>
      <c r="C4149" s="1">
        <v>44378</v>
      </c>
      <c r="D4149" t="s">
        <v>57</v>
      </c>
      <c r="E4149" t="s">
        <v>95</v>
      </c>
      <c r="F4149" t="s">
        <v>96</v>
      </c>
      <c r="G4149" t="s">
        <v>41</v>
      </c>
      <c r="H4149" t="s">
        <v>17</v>
      </c>
      <c r="I4149" s="3">
        <v>43</v>
      </c>
      <c r="J4149" s="2">
        <v>63</v>
      </c>
      <c r="K4149" s="3">
        <f t="shared" si="64"/>
        <v>2709</v>
      </c>
      <c r="L4149" s="3">
        <v>1489.95</v>
      </c>
    </row>
    <row r="4150" spans="1:12" x14ac:dyDescent="0.25">
      <c r="A4150" t="s">
        <v>19</v>
      </c>
      <c r="B4150">
        <v>1185732</v>
      </c>
      <c r="C4150" s="1">
        <v>44378</v>
      </c>
      <c r="D4150" t="s">
        <v>57</v>
      </c>
      <c r="E4150" t="s">
        <v>118</v>
      </c>
      <c r="F4150" t="s">
        <v>119</v>
      </c>
      <c r="G4150" t="s">
        <v>41</v>
      </c>
      <c r="H4150" t="s">
        <v>16</v>
      </c>
      <c r="I4150" s="3">
        <v>49</v>
      </c>
      <c r="J4150" s="2">
        <v>91</v>
      </c>
      <c r="K4150" s="3">
        <f t="shared" si="64"/>
        <v>4459</v>
      </c>
      <c r="L4150" s="3">
        <v>1649.83</v>
      </c>
    </row>
    <row r="4151" spans="1:12" x14ac:dyDescent="0.25">
      <c r="A4151" t="s">
        <v>11</v>
      </c>
      <c r="B4151">
        <v>1185732</v>
      </c>
      <c r="C4151" s="1">
        <v>44379</v>
      </c>
      <c r="D4151" t="s">
        <v>57</v>
      </c>
      <c r="E4151" t="s">
        <v>85</v>
      </c>
      <c r="F4151" t="s">
        <v>86</v>
      </c>
      <c r="G4151" t="s">
        <v>18</v>
      </c>
      <c r="H4151" t="s">
        <v>38</v>
      </c>
      <c r="I4151" s="3">
        <v>50</v>
      </c>
      <c r="J4151" s="2">
        <v>550</v>
      </c>
      <c r="K4151" s="3">
        <f t="shared" si="64"/>
        <v>27500</v>
      </c>
      <c r="L4151" s="3">
        <v>19250</v>
      </c>
    </row>
    <row r="4152" spans="1:12" x14ac:dyDescent="0.25">
      <c r="A4152" t="s">
        <v>11</v>
      </c>
      <c r="B4152">
        <v>1185732</v>
      </c>
      <c r="C4152" s="1">
        <v>44379</v>
      </c>
      <c r="D4152" t="s">
        <v>57</v>
      </c>
      <c r="E4152" t="s">
        <v>85</v>
      </c>
      <c r="F4152" t="s">
        <v>86</v>
      </c>
      <c r="G4152" t="s">
        <v>18</v>
      </c>
      <c r="H4152" t="s">
        <v>35</v>
      </c>
      <c r="I4152" s="3">
        <v>40</v>
      </c>
      <c r="J4152" s="2">
        <v>225</v>
      </c>
      <c r="K4152" s="3">
        <f t="shared" si="64"/>
        <v>9000</v>
      </c>
      <c r="L4152" s="3">
        <v>6300</v>
      </c>
    </row>
    <row r="4153" spans="1:12" x14ac:dyDescent="0.25">
      <c r="A4153" t="s">
        <v>11</v>
      </c>
      <c r="B4153">
        <v>1185732</v>
      </c>
      <c r="C4153" s="1">
        <v>44379</v>
      </c>
      <c r="D4153" t="s">
        <v>57</v>
      </c>
      <c r="E4153" t="s">
        <v>85</v>
      </c>
      <c r="F4153" t="s">
        <v>86</v>
      </c>
      <c r="G4153" t="s">
        <v>18</v>
      </c>
      <c r="H4153" t="s">
        <v>37</v>
      </c>
      <c r="I4153" s="3">
        <v>40</v>
      </c>
      <c r="J4153" s="2">
        <v>175</v>
      </c>
      <c r="K4153" s="3">
        <f t="shared" si="64"/>
        <v>7000</v>
      </c>
      <c r="L4153" s="3">
        <v>4900</v>
      </c>
    </row>
    <row r="4154" spans="1:12" x14ac:dyDescent="0.25">
      <c r="A4154" t="s">
        <v>11</v>
      </c>
      <c r="B4154">
        <v>1185732</v>
      </c>
      <c r="C4154" s="1">
        <v>44379</v>
      </c>
      <c r="D4154" t="s">
        <v>57</v>
      </c>
      <c r="E4154" t="s">
        <v>85</v>
      </c>
      <c r="F4154" t="s">
        <v>86</v>
      </c>
      <c r="G4154" t="s">
        <v>18</v>
      </c>
      <c r="H4154" t="s">
        <v>17</v>
      </c>
      <c r="I4154" s="3">
        <v>45.000000000000007</v>
      </c>
      <c r="J4154" s="2">
        <v>300</v>
      </c>
      <c r="K4154" s="3">
        <f t="shared" si="64"/>
        <v>13500.000000000002</v>
      </c>
      <c r="L4154" s="3">
        <v>8775.0000000000036</v>
      </c>
    </row>
    <row r="4155" spans="1:12" x14ac:dyDescent="0.25">
      <c r="A4155" t="s">
        <v>19</v>
      </c>
      <c r="B4155">
        <v>1185732</v>
      </c>
      <c r="C4155" s="1">
        <v>44379</v>
      </c>
      <c r="D4155" t="s">
        <v>57</v>
      </c>
      <c r="E4155" t="s">
        <v>95</v>
      </c>
      <c r="F4155" t="s">
        <v>96</v>
      </c>
      <c r="G4155" t="s">
        <v>15</v>
      </c>
      <c r="H4155" t="s">
        <v>35</v>
      </c>
      <c r="I4155" s="3">
        <v>40</v>
      </c>
      <c r="J4155" s="2">
        <v>200</v>
      </c>
      <c r="K4155" s="3">
        <f t="shared" si="64"/>
        <v>8000</v>
      </c>
      <c r="L4155" s="3">
        <v>5200</v>
      </c>
    </row>
    <row r="4156" spans="1:12" x14ac:dyDescent="0.25">
      <c r="A4156" t="s">
        <v>26</v>
      </c>
      <c r="B4156">
        <v>1185732</v>
      </c>
      <c r="C4156" s="1">
        <v>44379</v>
      </c>
      <c r="D4156" t="s">
        <v>32</v>
      </c>
      <c r="E4156" t="s">
        <v>108</v>
      </c>
      <c r="F4156" t="s">
        <v>109</v>
      </c>
      <c r="G4156" t="s">
        <v>41</v>
      </c>
      <c r="H4156" t="s">
        <v>17</v>
      </c>
      <c r="I4156" s="3">
        <v>60.000000000000007</v>
      </c>
      <c r="J4156" s="2">
        <v>800</v>
      </c>
      <c r="K4156" s="3">
        <f t="shared" si="64"/>
        <v>48000.000000000007</v>
      </c>
      <c r="L4156" s="3">
        <v>31200.000000000007</v>
      </c>
    </row>
    <row r="4157" spans="1:12" x14ac:dyDescent="0.25">
      <c r="A4157" t="s">
        <v>26</v>
      </c>
      <c r="B4157">
        <v>1185732</v>
      </c>
      <c r="C4157" s="1">
        <v>44379</v>
      </c>
      <c r="D4157" t="s">
        <v>32</v>
      </c>
      <c r="E4157" t="s">
        <v>108</v>
      </c>
      <c r="F4157" t="s">
        <v>109</v>
      </c>
      <c r="G4157" t="s">
        <v>41</v>
      </c>
      <c r="H4157" t="s">
        <v>22</v>
      </c>
      <c r="I4157" s="3">
        <v>65</v>
      </c>
      <c r="J4157" s="2">
        <v>700</v>
      </c>
      <c r="K4157" s="3">
        <f t="shared" si="64"/>
        <v>45500</v>
      </c>
      <c r="L4157" s="3">
        <v>29575</v>
      </c>
    </row>
    <row r="4158" spans="1:12" x14ac:dyDescent="0.25">
      <c r="A4158" t="s">
        <v>19</v>
      </c>
      <c r="B4158">
        <v>1185732</v>
      </c>
      <c r="C4158" s="1">
        <v>44379</v>
      </c>
      <c r="D4158" t="s">
        <v>57</v>
      </c>
      <c r="E4158" t="s">
        <v>118</v>
      </c>
      <c r="F4158" t="s">
        <v>119</v>
      </c>
      <c r="G4158" t="s">
        <v>15</v>
      </c>
      <c r="H4158" t="s">
        <v>38</v>
      </c>
      <c r="I4158" s="3">
        <v>45</v>
      </c>
      <c r="J4158" s="2">
        <v>500</v>
      </c>
      <c r="K4158" s="3">
        <f t="shared" si="64"/>
        <v>22500</v>
      </c>
      <c r="L4158" s="3">
        <v>13500</v>
      </c>
    </row>
    <row r="4159" spans="1:12" x14ac:dyDescent="0.25">
      <c r="A4159" t="s">
        <v>26</v>
      </c>
      <c r="B4159">
        <v>1185732</v>
      </c>
      <c r="C4159" s="1">
        <v>44379</v>
      </c>
      <c r="D4159" t="s">
        <v>32</v>
      </c>
      <c r="E4159" t="s">
        <v>108</v>
      </c>
      <c r="F4159" t="s">
        <v>109</v>
      </c>
      <c r="G4159" t="s">
        <v>41</v>
      </c>
      <c r="H4159" t="s">
        <v>38</v>
      </c>
      <c r="I4159" s="3">
        <v>65</v>
      </c>
      <c r="J4159" s="2">
        <v>1050</v>
      </c>
      <c r="K4159" s="3">
        <f t="shared" si="64"/>
        <v>68250</v>
      </c>
      <c r="L4159" s="3">
        <v>40950</v>
      </c>
    </row>
    <row r="4160" spans="1:12" x14ac:dyDescent="0.25">
      <c r="A4160" t="s">
        <v>26</v>
      </c>
      <c r="B4160">
        <v>1185732</v>
      </c>
      <c r="C4160" s="1">
        <v>44379</v>
      </c>
      <c r="D4160" t="s">
        <v>32</v>
      </c>
      <c r="E4160" t="s">
        <v>108</v>
      </c>
      <c r="F4160" t="s">
        <v>109</v>
      </c>
      <c r="G4160" t="s">
        <v>41</v>
      </c>
      <c r="H4160" t="s">
        <v>35</v>
      </c>
      <c r="I4160" s="3">
        <v>55.000000000000007</v>
      </c>
      <c r="J4160" s="2">
        <v>725</v>
      </c>
      <c r="K4160" s="3">
        <f t="shared" si="64"/>
        <v>39875.000000000007</v>
      </c>
      <c r="L4160" s="3">
        <v>23925.000000000004</v>
      </c>
    </row>
    <row r="4161" spans="1:12" x14ac:dyDescent="0.25">
      <c r="A4161" t="s">
        <v>26</v>
      </c>
      <c r="B4161">
        <v>1185732</v>
      </c>
      <c r="C4161" s="1">
        <v>44379</v>
      </c>
      <c r="D4161" t="s">
        <v>32</v>
      </c>
      <c r="E4161" t="s">
        <v>108</v>
      </c>
      <c r="F4161" t="s">
        <v>109</v>
      </c>
      <c r="G4161" t="s">
        <v>41</v>
      </c>
      <c r="H4161" t="s">
        <v>37</v>
      </c>
      <c r="I4161" s="3">
        <v>55.000000000000007</v>
      </c>
      <c r="J4161" s="2">
        <v>675</v>
      </c>
      <c r="K4161" s="3">
        <f t="shared" si="64"/>
        <v>37125.000000000007</v>
      </c>
      <c r="L4161" s="3">
        <v>22275.000000000004</v>
      </c>
    </row>
    <row r="4162" spans="1:12" x14ac:dyDescent="0.25">
      <c r="A4162" t="s">
        <v>11</v>
      </c>
      <c r="B4162">
        <v>1185732</v>
      </c>
      <c r="C4162" s="1">
        <v>44379</v>
      </c>
      <c r="D4162" t="s">
        <v>57</v>
      </c>
      <c r="E4162" t="s">
        <v>85</v>
      </c>
      <c r="F4162" t="s">
        <v>86</v>
      </c>
      <c r="G4162" t="s">
        <v>18</v>
      </c>
      <c r="H4162" t="s">
        <v>16</v>
      </c>
      <c r="I4162" s="3">
        <v>55.000000000000007</v>
      </c>
      <c r="J4162" s="2">
        <v>375</v>
      </c>
      <c r="K4162" s="3">
        <f t="shared" si="64"/>
        <v>20625.000000000004</v>
      </c>
      <c r="L4162" s="3">
        <v>12375.000000000002</v>
      </c>
    </row>
    <row r="4163" spans="1:12" x14ac:dyDescent="0.25">
      <c r="A4163" t="s">
        <v>26</v>
      </c>
      <c r="B4163">
        <v>1185732</v>
      </c>
      <c r="C4163" s="1">
        <v>44379</v>
      </c>
      <c r="D4163" t="s">
        <v>32</v>
      </c>
      <c r="E4163" t="s">
        <v>108</v>
      </c>
      <c r="F4163" t="s">
        <v>109</v>
      </c>
      <c r="G4163" t="s">
        <v>41</v>
      </c>
      <c r="H4163" t="s">
        <v>16</v>
      </c>
      <c r="I4163" s="3">
        <v>70</v>
      </c>
      <c r="J4163" s="2">
        <v>875</v>
      </c>
      <c r="K4163" s="3">
        <f t="shared" ref="K4163:K4226" si="65">I4163*J4163</f>
        <v>61250</v>
      </c>
      <c r="L4163" s="3">
        <v>30625</v>
      </c>
    </row>
    <row r="4164" spans="1:12" x14ac:dyDescent="0.25">
      <c r="A4164" t="s">
        <v>11</v>
      </c>
      <c r="B4164">
        <v>1185732</v>
      </c>
      <c r="C4164" s="1">
        <v>44379</v>
      </c>
      <c r="D4164" t="s">
        <v>57</v>
      </c>
      <c r="E4164" t="s">
        <v>85</v>
      </c>
      <c r="F4164" t="s">
        <v>86</v>
      </c>
      <c r="G4164" t="s">
        <v>18</v>
      </c>
      <c r="H4164" t="s">
        <v>22</v>
      </c>
      <c r="I4164" s="3">
        <v>50</v>
      </c>
      <c r="J4164" s="2">
        <v>200</v>
      </c>
      <c r="K4164" s="3">
        <f t="shared" si="65"/>
        <v>10000</v>
      </c>
      <c r="L4164" s="3">
        <v>5000</v>
      </c>
    </row>
    <row r="4165" spans="1:12" x14ac:dyDescent="0.25">
      <c r="A4165" t="s">
        <v>11</v>
      </c>
      <c r="B4165">
        <v>1185732</v>
      </c>
      <c r="C4165" s="1">
        <v>44379</v>
      </c>
      <c r="D4165" t="s">
        <v>57</v>
      </c>
      <c r="E4165" t="s">
        <v>85</v>
      </c>
      <c r="F4165" t="s">
        <v>86</v>
      </c>
      <c r="G4165" t="s">
        <v>41</v>
      </c>
      <c r="H4165" t="s">
        <v>38</v>
      </c>
      <c r="I4165" s="3">
        <v>45</v>
      </c>
      <c r="J4165" s="2">
        <v>149</v>
      </c>
      <c r="K4165" s="3">
        <f t="shared" si="65"/>
        <v>6705</v>
      </c>
      <c r="L4165" s="3">
        <v>3888.9</v>
      </c>
    </row>
    <row r="4166" spans="1:12" x14ac:dyDescent="0.25">
      <c r="A4166" t="s">
        <v>11</v>
      </c>
      <c r="B4166">
        <v>1185732</v>
      </c>
      <c r="C4166" s="1">
        <v>44379</v>
      </c>
      <c r="D4166" t="s">
        <v>57</v>
      </c>
      <c r="E4166" t="s">
        <v>85</v>
      </c>
      <c r="F4166" t="s">
        <v>86</v>
      </c>
      <c r="G4166" t="s">
        <v>41</v>
      </c>
      <c r="H4166" t="s">
        <v>37</v>
      </c>
      <c r="I4166" s="3">
        <v>38</v>
      </c>
      <c r="J4166" s="2">
        <v>51</v>
      </c>
      <c r="K4166" s="3">
        <f t="shared" si="65"/>
        <v>1938</v>
      </c>
      <c r="L4166" s="3">
        <v>1124.04</v>
      </c>
    </row>
    <row r="4167" spans="1:12" x14ac:dyDescent="0.25">
      <c r="A4167" t="s">
        <v>11</v>
      </c>
      <c r="B4167">
        <v>1185732</v>
      </c>
      <c r="C4167" s="1">
        <v>44379</v>
      </c>
      <c r="D4167" t="s">
        <v>57</v>
      </c>
      <c r="E4167" t="s">
        <v>85</v>
      </c>
      <c r="F4167" t="s">
        <v>86</v>
      </c>
      <c r="G4167" t="s">
        <v>41</v>
      </c>
      <c r="H4167" t="s">
        <v>35</v>
      </c>
      <c r="I4167" s="3">
        <v>38</v>
      </c>
      <c r="J4167" s="2">
        <v>61</v>
      </c>
      <c r="K4167" s="3">
        <f t="shared" si="65"/>
        <v>2318</v>
      </c>
      <c r="L4167" s="3">
        <v>1321.26</v>
      </c>
    </row>
    <row r="4168" spans="1:12" x14ac:dyDescent="0.25">
      <c r="A4168" t="s">
        <v>19</v>
      </c>
      <c r="B4168">
        <v>1185732</v>
      </c>
      <c r="C4168" s="1">
        <v>44379</v>
      </c>
      <c r="D4168" t="s">
        <v>57</v>
      </c>
      <c r="E4168" t="s">
        <v>95</v>
      </c>
      <c r="F4168" t="s">
        <v>96</v>
      </c>
      <c r="G4168" t="s">
        <v>41</v>
      </c>
      <c r="H4168" t="s">
        <v>35</v>
      </c>
      <c r="I4168" s="3">
        <v>39</v>
      </c>
      <c r="J4168" s="2">
        <v>54</v>
      </c>
      <c r="K4168" s="3">
        <f t="shared" si="65"/>
        <v>2106</v>
      </c>
      <c r="L4168" s="3">
        <v>1158.3000000000002</v>
      </c>
    </row>
    <row r="4169" spans="1:12" x14ac:dyDescent="0.25">
      <c r="A4169" t="s">
        <v>26</v>
      </c>
      <c r="B4169">
        <v>1185732</v>
      </c>
      <c r="C4169" s="1">
        <v>44379</v>
      </c>
      <c r="D4169" t="s">
        <v>32</v>
      </c>
      <c r="E4169" t="s">
        <v>108</v>
      </c>
      <c r="F4169" t="s">
        <v>109</v>
      </c>
      <c r="G4169" t="s">
        <v>41</v>
      </c>
      <c r="H4169" t="s">
        <v>22</v>
      </c>
      <c r="I4169" s="3">
        <v>59</v>
      </c>
      <c r="J4169" s="2">
        <v>182</v>
      </c>
      <c r="K4169" s="3">
        <f t="shared" si="65"/>
        <v>10738</v>
      </c>
      <c r="L4169" s="3">
        <v>5476.38</v>
      </c>
    </row>
    <row r="4170" spans="1:12" x14ac:dyDescent="0.25">
      <c r="A4170" t="s">
        <v>11</v>
      </c>
      <c r="B4170">
        <v>1185732</v>
      </c>
      <c r="C4170" s="1">
        <v>44379</v>
      </c>
      <c r="D4170" t="s">
        <v>57</v>
      </c>
      <c r="E4170" t="s">
        <v>85</v>
      </c>
      <c r="F4170" t="s">
        <v>86</v>
      </c>
      <c r="G4170" t="s">
        <v>41</v>
      </c>
      <c r="H4170" t="s">
        <v>17</v>
      </c>
      <c r="I4170" s="3">
        <v>42</v>
      </c>
      <c r="J4170" s="2">
        <v>87</v>
      </c>
      <c r="K4170" s="3">
        <f t="shared" si="65"/>
        <v>3654</v>
      </c>
      <c r="L4170" s="3">
        <v>1863.54</v>
      </c>
    </row>
    <row r="4171" spans="1:12" x14ac:dyDescent="0.25">
      <c r="A4171" t="s">
        <v>26</v>
      </c>
      <c r="B4171">
        <v>1185732</v>
      </c>
      <c r="C4171" s="1">
        <v>44379</v>
      </c>
      <c r="D4171" t="s">
        <v>32</v>
      </c>
      <c r="E4171" t="s">
        <v>108</v>
      </c>
      <c r="F4171" t="s">
        <v>109</v>
      </c>
      <c r="G4171" t="s">
        <v>41</v>
      </c>
      <c r="H4171" t="s">
        <v>38</v>
      </c>
      <c r="I4171" s="3">
        <v>60</v>
      </c>
      <c r="J4171" s="2">
        <v>294</v>
      </c>
      <c r="K4171" s="3">
        <f t="shared" si="65"/>
        <v>17640</v>
      </c>
      <c r="L4171" s="3">
        <v>8820</v>
      </c>
    </row>
    <row r="4172" spans="1:12" x14ac:dyDescent="0.25">
      <c r="A4172" t="s">
        <v>26</v>
      </c>
      <c r="B4172">
        <v>1185732</v>
      </c>
      <c r="C4172" s="1">
        <v>44379</v>
      </c>
      <c r="D4172" t="s">
        <v>32</v>
      </c>
      <c r="E4172" t="s">
        <v>108</v>
      </c>
      <c r="F4172" t="s">
        <v>109</v>
      </c>
      <c r="G4172" t="s">
        <v>41</v>
      </c>
      <c r="H4172" t="s">
        <v>17</v>
      </c>
      <c r="I4172" s="3">
        <v>58</v>
      </c>
      <c r="J4172" s="2">
        <v>224</v>
      </c>
      <c r="K4172" s="3">
        <f t="shared" si="65"/>
        <v>12992</v>
      </c>
      <c r="L4172" s="3">
        <v>6496</v>
      </c>
    </row>
    <row r="4173" spans="1:12" x14ac:dyDescent="0.25">
      <c r="A4173" t="s">
        <v>26</v>
      </c>
      <c r="B4173">
        <v>1185732</v>
      </c>
      <c r="C4173" s="1">
        <v>44379</v>
      </c>
      <c r="D4173" t="s">
        <v>32</v>
      </c>
      <c r="E4173" t="s">
        <v>108</v>
      </c>
      <c r="F4173" t="s">
        <v>109</v>
      </c>
      <c r="G4173" t="s">
        <v>41</v>
      </c>
      <c r="H4173" t="s">
        <v>37</v>
      </c>
      <c r="I4173" s="3">
        <v>52</v>
      </c>
      <c r="J4173" s="2">
        <v>203</v>
      </c>
      <c r="K4173" s="3">
        <f t="shared" si="65"/>
        <v>10556</v>
      </c>
      <c r="L4173" s="3">
        <v>5172.4399999999996</v>
      </c>
    </row>
    <row r="4174" spans="1:12" x14ac:dyDescent="0.25">
      <c r="A4174" t="s">
        <v>19</v>
      </c>
      <c r="B4174">
        <v>1185732</v>
      </c>
      <c r="C4174" s="1">
        <v>44379</v>
      </c>
      <c r="D4174" t="s">
        <v>57</v>
      </c>
      <c r="E4174" t="s">
        <v>118</v>
      </c>
      <c r="F4174" t="s">
        <v>119</v>
      </c>
      <c r="G4174" t="s">
        <v>41</v>
      </c>
      <c r="H4174" t="s">
        <v>38</v>
      </c>
      <c r="I4174" s="3">
        <v>41</v>
      </c>
      <c r="J4174" s="2">
        <v>145</v>
      </c>
      <c r="K4174" s="3">
        <f t="shared" si="65"/>
        <v>5945</v>
      </c>
      <c r="L4174" s="3">
        <v>2794.1499999999996</v>
      </c>
    </row>
    <row r="4175" spans="1:12" x14ac:dyDescent="0.25">
      <c r="A4175" t="s">
        <v>11</v>
      </c>
      <c r="B4175">
        <v>1185732</v>
      </c>
      <c r="C4175" s="1">
        <v>44379</v>
      </c>
      <c r="D4175" t="s">
        <v>57</v>
      </c>
      <c r="E4175" t="s">
        <v>85</v>
      </c>
      <c r="F4175" t="s">
        <v>86</v>
      </c>
      <c r="G4175" t="s">
        <v>41</v>
      </c>
      <c r="H4175" t="s">
        <v>16</v>
      </c>
      <c r="I4175" s="3">
        <v>52</v>
      </c>
      <c r="J4175" s="2">
        <v>94</v>
      </c>
      <c r="K4175" s="3">
        <f t="shared" si="65"/>
        <v>4888</v>
      </c>
      <c r="L4175" s="3">
        <v>2248.48</v>
      </c>
    </row>
    <row r="4176" spans="1:12" x14ac:dyDescent="0.25">
      <c r="A4176" t="s">
        <v>26</v>
      </c>
      <c r="B4176">
        <v>1185732</v>
      </c>
      <c r="C4176" s="1">
        <v>44379</v>
      </c>
      <c r="D4176" t="s">
        <v>32</v>
      </c>
      <c r="E4176" t="s">
        <v>108</v>
      </c>
      <c r="F4176" t="s">
        <v>109</v>
      </c>
      <c r="G4176" t="s">
        <v>41</v>
      </c>
      <c r="H4176" t="s">
        <v>35</v>
      </c>
      <c r="I4176" s="3">
        <v>53</v>
      </c>
      <c r="J4176" s="2">
        <v>196</v>
      </c>
      <c r="K4176" s="3">
        <f t="shared" si="65"/>
        <v>10388</v>
      </c>
      <c r="L4176" s="3">
        <v>4674.5999999999995</v>
      </c>
    </row>
    <row r="4177" spans="1:12" x14ac:dyDescent="0.25">
      <c r="A4177" t="s">
        <v>11</v>
      </c>
      <c r="B4177">
        <v>1185732</v>
      </c>
      <c r="C4177" s="1">
        <v>44379</v>
      </c>
      <c r="D4177" t="s">
        <v>57</v>
      </c>
      <c r="E4177" t="s">
        <v>85</v>
      </c>
      <c r="F4177" t="s">
        <v>86</v>
      </c>
      <c r="G4177" t="s">
        <v>41</v>
      </c>
      <c r="H4177" t="s">
        <v>22</v>
      </c>
      <c r="I4177" s="3">
        <v>48</v>
      </c>
      <c r="J4177" s="2">
        <v>50</v>
      </c>
      <c r="K4177" s="3">
        <f t="shared" si="65"/>
        <v>2400</v>
      </c>
      <c r="L4177" s="3">
        <v>912</v>
      </c>
    </row>
    <row r="4178" spans="1:12" x14ac:dyDescent="0.25">
      <c r="A4178" t="s">
        <v>26</v>
      </c>
      <c r="B4178">
        <v>1185732</v>
      </c>
      <c r="C4178" s="1">
        <v>44379</v>
      </c>
      <c r="D4178" t="s">
        <v>32</v>
      </c>
      <c r="E4178" t="s">
        <v>108</v>
      </c>
      <c r="F4178" t="s">
        <v>109</v>
      </c>
      <c r="G4178" t="s">
        <v>41</v>
      </c>
      <c r="H4178" t="s">
        <v>16</v>
      </c>
      <c r="I4178" s="3">
        <v>64</v>
      </c>
      <c r="J4178" s="2">
        <v>263</v>
      </c>
      <c r="K4178" s="3">
        <f t="shared" si="65"/>
        <v>16832</v>
      </c>
      <c r="L4178" s="3">
        <v>6227.84</v>
      </c>
    </row>
    <row r="4179" spans="1:12" x14ac:dyDescent="0.25">
      <c r="A4179" t="s">
        <v>26</v>
      </c>
      <c r="B4179">
        <v>1185732</v>
      </c>
      <c r="C4179" s="1">
        <v>44380</v>
      </c>
      <c r="D4179" t="s">
        <v>29</v>
      </c>
      <c r="E4179" t="s">
        <v>93</v>
      </c>
      <c r="F4179" t="s">
        <v>94</v>
      </c>
      <c r="G4179" t="s">
        <v>18</v>
      </c>
      <c r="H4179" t="s">
        <v>35</v>
      </c>
      <c r="I4179" s="3">
        <v>45</v>
      </c>
      <c r="J4179" s="2">
        <v>325</v>
      </c>
      <c r="K4179" s="3">
        <f t="shared" si="65"/>
        <v>14625</v>
      </c>
      <c r="L4179" s="3">
        <v>10237.5</v>
      </c>
    </row>
    <row r="4180" spans="1:12" x14ac:dyDescent="0.25">
      <c r="A4180" t="s">
        <v>26</v>
      </c>
      <c r="B4180">
        <v>1185732</v>
      </c>
      <c r="C4180" s="1">
        <v>44380</v>
      </c>
      <c r="D4180" t="s">
        <v>29</v>
      </c>
      <c r="E4180" t="s">
        <v>93</v>
      </c>
      <c r="F4180" t="s">
        <v>94</v>
      </c>
      <c r="G4180" t="s">
        <v>18</v>
      </c>
      <c r="H4180" t="s">
        <v>37</v>
      </c>
      <c r="I4180" s="3">
        <v>45</v>
      </c>
      <c r="J4180" s="2">
        <v>275</v>
      </c>
      <c r="K4180" s="3">
        <f t="shared" si="65"/>
        <v>12375</v>
      </c>
      <c r="L4180" s="3">
        <v>8662.5</v>
      </c>
    </row>
    <row r="4181" spans="1:12" x14ac:dyDescent="0.25">
      <c r="A4181" t="s">
        <v>26</v>
      </c>
      <c r="B4181">
        <v>1185732</v>
      </c>
      <c r="C4181" s="1">
        <v>44380</v>
      </c>
      <c r="D4181" t="s">
        <v>29</v>
      </c>
      <c r="E4181" t="s">
        <v>93</v>
      </c>
      <c r="F4181" t="s">
        <v>94</v>
      </c>
      <c r="G4181" t="s">
        <v>18</v>
      </c>
      <c r="H4181" t="s">
        <v>22</v>
      </c>
      <c r="I4181" s="3">
        <v>54.999999999999993</v>
      </c>
      <c r="J4181" s="2">
        <v>300</v>
      </c>
      <c r="K4181" s="3">
        <f t="shared" si="65"/>
        <v>16499.999999999996</v>
      </c>
      <c r="L4181" s="3">
        <v>11549.999999999996</v>
      </c>
    </row>
    <row r="4182" spans="1:12" x14ac:dyDescent="0.25">
      <c r="A4182" t="s">
        <v>19</v>
      </c>
      <c r="B4182">
        <v>1185732</v>
      </c>
      <c r="C4182" s="1">
        <v>44380</v>
      </c>
      <c r="D4182" t="s">
        <v>57</v>
      </c>
      <c r="E4182" t="s">
        <v>118</v>
      </c>
      <c r="F4182" t="s">
        <v>119</v>
      </c>
      <c r="G4182" t="s">
        <v>15</v>
      </c>
      <c r="H4182" t="s">
        <v>17</v>
      </c>
      <c r="I4182" s="3">
        <v>45.000000000000007</v>
      </c>
      <c r="J4182" s="2">
        <v>275</v>
      </c>
      <c r="K4182" s="3">
        <f t="shared" si="65"/>
        <v>12375.000000000002</v>
      </c>
      <c r="L4182" s="3">
        <v>8043.7500000000018</v>
      </c>
    </row>
    <row r="4183" spans="1:12" x14ac:dyDescent="0.25">
      <c r="A4183" t="s">
        <v>26</v>
      </c>
      <c r="B4183">
        <v>1185732</v>
      </c>
      <c r="C4183" s="1">
        <v>44380</v>
      </c>
      <c r="D4183" t="s">
        <v>29</v>
      </c>
      <c r="E4183" t="s">
        <v>93</v>
      </c>
      <c r="F4183" t="s">
        <v>94</v>
      </c>
      <c r="G4183" t="s">
        <v>18</v>
      </c>
      <c r="H4183" t="s">
        <v>16</v>
      </c>
      <c r="I4183" s="3">
        <v>60</v>
      </c>
      <c r="J4183" s="2">
        <v>475</v>
      </c>
      <c r="K4183" s="3">
        <f t="shared" si="65"/>
        <v>28500</v>
      </c>
      <c r="L4183" s="3">
        <v>18525</v>
      </c>
    </row>
    <row r="4184" spans="1:12" x14ac:dyDescent="0.25">
      <c r="A4184" t="s">
        <v>19</v>
      </c>
      <c r="B4184">
        <v>1185732</v>
      </c>
      <c r="C4184" s="1">
        <v>44380</v>
      </c>
      <c r="D4184" t="s">
        <v>57</v>
      </c>
      <c r="E4184" t="s">
        <v>95</v>
      </c>
      <c r="F4184" t="s">
        <v>96</v>
      </c>
      <c r="G4184" t="s">
        <v>15</v>
      </c>
      <c r="H4184" t="s">
        <v>37</v>
      </c>
      <c r="I4184" s="3">
        <v>40</v>
      </c>
      <c r="J4184" s="2">
        <v>175</v>
      </c>
      <c r="K4184" s="3">
        <f t="shared" si="65"/>
        <v>7000</v>
      </c>
      <c r="L4184" s="3">
        <v>4200</v>
      </c>
    </row>
    <row r="4185" spans="1:12" x14ac:dyDescent="0.25">
      <c r="A4185" t="s">
        <v>26</v>
      </c>
      <c r="B4185">
        <v>1185732</v>
      </c>
      <c r="C4185" s="1">
        <v>44380</v>
      </c>
      <c r="D4185" t="s">
        <v>29</v>
      </c>
      <c r="E4185" t="s">
        <v>93</v>
      </c>
      <c r="F4185" t="s">
        <v>94</v>
      </c>
      <c r="G4185" t="s">
        <v>18</v>
      </c>
      <c r="H4185" t="s">
        <v>38</v>
      </c>
      <c r="I4185" s="3">
        <v>54.999999999999993</v>
      </c>
      <c r="J4185" s="2">
        <v>650</v>
      </c>
      <c r="K4185" s="3">
        <f t="shared" si="65"/>
        <v>35749.999999999993</v>
      </c>
      <c r="L4185" s="3">
        <v>21449.999999999996</v>
      </c>
    </row>
    <row r="4186" spans="1:12" x14ac:dyDescent="0.25">
      <c r="A4186" t="s">
        <v>26</v>
      </c>
      <c r="B4186">
        <v>1185732</v>
      </c>
      <c r="C4186" s="1">
        <v>44380</v>
      </c>
      <c r="D4186" t="s">
        <v>29</v>
      </c>
      <c r="E4186" t="s">
        <v>93</v>
      </c>
      <c r="F4186" t="s">
        <v>94</v>
      </c>
      <c r="G4186" t="s">
        <v>18</v>
      </c>
      <c r="H4186" t="s">
        <v>17</v>
      </c>
      <c r="I4186" s="3">
        <v>50</v>
      </c>
      <c r="J4186" s="2">
        <v>400</v>
      </c>
      <c r="K4186" s="3">
        <f t="shared" si="65"/>
        <v>20000</v>
      </c>
      <c r="L4186" s="3">
        <v>12000</v>
      </c>
    </row>
    <row r="4187" spans="1:12" x14ac:dyDescent="0.25">
      <c r="A4187" t="s">
        <v>26</v>
      </c>
      <c r="B4187">
        <v>1185732</v>
      </c>
      <c r="C4187" s="1">
        <v>44380</v>
      </c>
      <c r="D4187" t="s">
        <v>29</v>
      </c>
      <c r="E4187" t="s">
        <v>93</v>
      </c>
      <c r="F4187" t="s">
        <v>94</v>
      </c>
      <c r="G4187" t="s">
        <v>15</v>
      </c>
      <c r="H4187" t="s">
        <v>22</v>
      </c>
      <c r="I4187" s="3">
        <v>43</v>
      </c>
      <c r="J4187" s="2">
        <v>93</v>
      </c>
      <c r="K4187" s="3">
        <f t="shared" si="65"/>
        <v>3999</v>
      </c>
      <c r="L4187" s="3">
        <v>2679.33</v>
      </c>
    </row>
    <row r="4188" spans="1:12" x14ac:dyDescent="0.25">
      <c r="A4188" t="s">
        <v>26</v>
      </c>
      <c r="B4188">
        <v>1185732</v>
      </c>
      <c r="C4188" s="1">
        <v>44380</v>
      </c>
      <c r="D4188" t="s">
        <v>29</v>
      </c>
      <c r="E4188" t="s">
        <v>93</v>
      </c>
      <c r="F4188" t="s">
        <v>94</v>
      </c>
      <c r="G4188" t="s">
        <v>15</v>
      </c>
      <c r="H4188" t="s">
        <v>35</v>
      </c>
      <c r="I4188" s="3">
        <v>29</v>
      </c>
      <c r="J4188" s="2">
        <v>111</v>
      </c>
      <c r="K4188" s="3">
        <f t="shared" si="65"/>
        <v>3219</v>
      </c>
      <c r="L4188" s="3">
        <v>2124.54</v>
      </c>
    </row>
    <row r="4189" spans="1:12" x14ac:dyDescent="0.25">
      <c r="A4189" t="s">
        <v>26</v>
      </c>
      <c r="B4189">
        <v>1185732</v>
      </c>
      <c r="C4189" s="1">
        <v>44380</v>
      </c>
      <c r="D4189" t="s">
        <v>29</v>
      </c>
      <c r="E4189" t="s">
        <v>93</v>
      </c>
      <c r="F4189" t="s">
        <v>94</v>
      </c>
      <c r="G4189" t="s">
        <v>15</v>
      </c>
      <c r="H4189" t="s">
        <v>37</v>
      </c>
      <c r="I4189" s="3">
        <v>34</v>
      </c>
      <c r="J4189" s="2">
        <v>94</v>
      </c>
      <c r="K4189" s="3">
        <f t="shared" si="65"/>
        <v>3196</v>
      </c>
      <c r="L4189" s="3">
        <v>2045.44</v>
      </c>
    </row>
    <row r="4190" spans="1:12" x14ac:dyDescent="0.25">
      <c r="A4190" t="s">
        <v>26</v>
      </c>
      <c r="B4190">
        <v>1185732</v>
      </c>
      <c r="C4190" s="1">
        <v>44380</v>
      </c>
      <c r="D4190" t="s">
        <v>29</v>
      </c>
      <c r="E4190" t="s">
        <v>93</v>
      </c>
      <c r="F4190" t="s">
        <v>94</v>
      </c>
      <c r="G4190" t="s">
        <v>15</v>
      </c>
      <c r="H4190" t="s">
        <v>16</v>
      </c>
      <c r="I4190" s="3">
        <v>40</v>
      </c>
      <c r="J4190" s="2">
        <v>152</v>
      </c>
      <c r="K4190" s="3">
        <f t="shared" si="65"/>
        <v>6080</v>
      </c>
      <c r="L4190" s="3">
        <v>3769.6</v>
      </c>
    </row>
    <row r="4191" spans="1:12" x14ac:dyDescent="0.25">
      <c r="A4191" t="s">
        <v>26</v>
      </c>
      <c r="B4191">
        <v>1185732</v>
      </c>
      <c r="C4191" s="1">
        <v>44380</v>
      </c>
      <c r="D4191" t="s">
        <v>29</v>
      </c>
      <c r="E4191" t="s">
        <v>93</v>
      </c>
      <c r="F4191" t="s">
        <v>94</v>
      </c>
      <c r="G4191" t="s">
        <v>15</v>
      </c>
      <c r="H4191" t="s">
        <v>17</v>
      </c>
      <c r="I4191" s="3">
        <v>38</v>
      </c>
      <c r="J4191" s="2">
        <v>120</v>
      </c>
      <c r="K4191" s="3">
        <f t="shared" si="65"/>
        <v>4560</v>
      </c>
      <c r="L4191" s="3">
        <v>2644.7999999999997</v>
      </c>
    </row>
    <row r="4192" spans="1:12" x14ac:dyDescent="0.25">
      <c r="A4192" t="s">
        <v>26</v>
      </c>
      <c r="B4192">
        <v>1185732</v>
      </c>
      <c r="C4192" s="1">
        <v>44380</v>
      </c>
      <c r="D4192" t="s">
        <v>29</v>
      </c>
      <c r="E4192" t="s">
        <v>93</v>
      </c>
      <c r="F4192" t="s">
        <v>94</v>
      </c>
      <c r="G4192" t="s">
        <v>41</v>
      </c>
      <c r="H4192" t="s">
        <v>35</v>
      </c>
      <c r="I4192" s="3">
        <v>44</v>
      </c>
      <c r="J4192" s="2">
        <v>81</v>
      </c>
      <c r="K4192" s="3">
        <f t="shared" si="65"/>
        <v>3564</v>
      </c>
      <c r="L4192" s="3">
        <v>1995.84</v>
      </c>
    </row>
    <row r="4193" spans="1:12" x14ac:dyDescent="0.25">
      <c r="A4193" t="s">
        <v>26</v>
      </c>
      <c r="B4193">
        <v>1185732</v>
      </c>
      <c r="C4193" s="1">
        <v>44380</v>
      </c>
      <c r="D4193" t="s">
        <v>29</v>
      </c>
      <c r="E4193" t="s">
        <v>93</v>
      </c>
      <c r="F4193" t="s">
        <v>94</v>
      </c>
      <c r="G4193" t="s">
        <v>41</v>
      </c>
      <c r="H4193" t="s">
        <v>37</v>
      </c>
      <c r="I4193" s="3">
        <v>42</v>
      </c>
      <c r="J4193" s="2">
        <v>80</v>
      </c>
      <c r="K4193" s="3">
        <f t="shared" si="65"/>
        <v>3360</v>
      </c>
      <c r="L4193" s="3">
        <v>1881.6</v>
      </c>
    </row>
    <row r="4194" spans="1:12" x14ac:dyDescent="0.25">
      <c r="A4194" t="s">
        <v>26</v>
      </c>
      <c r="B4194">
        <v>1185732</v>
      </c>
      <c r="C4194" s="1">
        <v>44380</v>
      </c>
      <c r="D4194" t="s">
        <v>29</v>
      </c>
      <c r="E4194" t="s">
        <v>93</v>
      </c>
      <c r="F4194" t="s">
        <v>94</v>
      </c>
      <c r="G4194" t="s">
        <v>41</v>
      </c>
      <c r="H4194" t="s">
        <v>22</v>
      </c>
      <c r="I4194" s="3">
        <v>53</v>
      </c>
      <c r="J4194" s="2">
        <v>81</v>
      </c>
      <c r="K4194" s="3">
        <f t="shared" si="65"/>
        <v>4293</v>
      </c>
      <c r="L4194" s="3">
        <v>2404.08</v>
      </c>
    </row>
    <row r="4195" spans="1:12" x14ac:dyDescent="0.25">
      <c r="A4195" t="s">
        <v>26</v>
      </c>
      <c r="B4195">
        <v>1185732</v>
      </c>
      <c r="C4195" s="1">
        <v>44380</v>
      </c>
      <c r="D4195" t="s">
        <v>29</v>
      </c>
      <c r="E4195" t="s">
        <v>93</v>
      </c>
      <c r="F4195" t="s">
        <v>94</v>
      </c>
      <c r="G4195" t="s">
        <v>15</v>
      </c>
      <c r="H4195" t="s">
        <v>38</v>
      </c>
      <c r="I4195" s="3">
        <v>42</v>
      </c>
      <c r="J4195" s="2">
        <v>195</v>
      </c>
      <c r="K4195" s="3">
        <f t="shared" si="65"/>
        <v>8190</v>
      </c>
      <c r="L4195" s="3">
        <v>4504.5</v>
      </c>
    </row>
    <row r="4196" spans="1:12" x14ac:dyDescent="0.25">
      <c r="A4196" t="s">
        <v>26</v>
      </c>
      <c r="B4196">
        <v>1185732</v>
      </c>
      <c r="C4196" s="1">
        <v>44380</v>
      </c>
      <c r="D4196" t="s">
        <v>29</v>
      </c>
      <c r="E4196" t="s">
        <v>93</v>
      </c>
      <c r="F4196" t="s">
        <v>94</v>
      </c>
      <c r="G4196" t="s">
        <v>41</v>
      </c>
      <c r="H4196" t="s">
        <v>16</v>
      </c>
      <c r="I4196" s="3">
        <v>56</v>
      </c>
      <c r="J4196" s="2">
        <v>143</v>
      </c>
      <c r="K4196" s="3">
        <f t="shared" si="65"/>
        <v>8008</v>
      </c>
      <c r="L4196" s="3">
        <v>4164.16</v>
      </c>
    </row>
    <row r="4197" spans="1:12" x14ac:dyDescent="0.25">
      <c r="A4197" t="s">
        <v>19</v>
      </c>
      <c r="B4197">
        <v>1185732</v>
      </c>
      <c r="C4197" s="1">
        <v>44380</v>
      </c>
      <c r="D4197" t="s">
        <v>57</v>
      </c>
      <c r="E4197" t="s">
        <v>118</v>
      </c>
      <c r="F4197" t="s">
        <v>119</v>
      </c>
      <c r="G4197" t="s">
        <v>41</v>
      </c>
      <c r="H4197" t="s">
        <v>17</v>
      </c>
      <c r="I4197" s="3">
        <v>42</v>
      </c>
      <c r="J4197" s="2">
        <v>80</v>
      </c>
      <c r="K4197" s="3">
        <f t="shared" si="65"/>
        <v>3360</v>
      </c>
      <c r="L4197" s="3">
        <v>1713.6000000000001</v>
      </c>
    </row>
    <row r="4198" spans="1:12" x14ac:dyDescent="0.25">
      <c r="A4198" t="s">
        <v>19</v>
      </c>
      <c r="B4198">
        <v>1185732</v>
      </c>
      <c r="C4198" s="1">
        <v>44380</v>
      </c>
      <c r="D4198" t="s">
        <v>57</v>
      </c>
      <c r="E4198" t="s">
        <v>95</v>
      </c>
      <c r="F4198" t="s">
        <v>96</v>
      </c>
      <c r="G4198" t="s">
        <v>41</v>
      </c>
      <c r="H4198" t="s">
        <v>37</v>
      </c>
      <c r="I4198" s="3">
        <v>38</v>
      </c>
      <c r="J4198" s="2">
        <v>47</v>
      </c>
      <c r="K4198" s="3">
        <f t="shared" si="65"/>
        <v>1786</v>
      </c>
      <c r="L4198" s="3">
        <v>839.42</v>
      </c>
    </row>
    <row r="4199" spans="1:12" x14ac:dyDescent="0.25">
      <c r="A4199" t="s">
        <v>26</v>
      </c>
      <c r="B4199">
        <v>1185732</v>
      </c>
      <c r="C4199" s="1">
        <v>44380</v>
      </c>
      <c r="D4199" t="s">
        <v>29</v>
      </c>
      <c r="E4199" t="s">
        <v>93</v>
      </c>
      <c r="F4199" t="s">
        <v>94</v>
      </c>
      <c r="G4199" t="s">
        <v>41</v>
      </c>
      <c r="H4199" t="s">
        <v>17</v>
      </c>
      <c r="I4199" s="3">
        <v>48</v>
      </c>
      <c r="J4199" s="2">
        <v>112</v>
      </c>
      <c r="K4199" s="3">
        <f t="shared" si="65"/>
        <v>5376</v>
      </c>
      <c r="L4199" s="3">
        <v>2526.7199999999998</v>
      </c>
    </row>
    <row r="4200" spans="1:12" x14ac:dyDescent="0.25">
      <c r="A4200" t="s">
        <v>26</v>
      </c>
      <c r="B4200">
        <v>1185732</v>
      </c>
      <c r="C4200" s="1">
        <v>44380</v>
      </c>
      <c r="D4200" t="s">
        <v>29</v>
      </c>
      <c r="E4200" t="s">
        <v>93</v>
      </c>
      <c r="F4200" t="s">
        <v>94</v>
      </c>
      <c r="G4200" t="s">
        <v>41</v>
      </c>
      <c r="H4200" t="s">
        <v>38</v>
      </c>
      <c r="I4200" s="3">
        <v>54</v>
      </c>
      <c r="J4200" s="2">
        <v>189</v>
      </c>
      <c r="K4200" s="3">
        <f t="shared" si="65"/>
        <v>10206</v>
      </c>
      <c r="L4200" s="3">
        <v>4694.7599999999993</v>
      </c>
    </row>
    <row r="4201" spans="1:12" x14ac:dyDescent="0.25">
      <c r="A4201" t="s">
        <v>19</v>
      </c>
      <c r="B4201">
        <v>1185732</v>
      </c>
      <c r="C4201" s="1">
        <v>44381</v>
      </c>
      <c r="D4201" t="s">
        <v>57</v>
      </c>
      <c r="E4201" t="s">
        <v>95</v>
      </c>
      <c r="F4201" t="s">
        <v>96</v>
      </c>
      <c r="G4201" t="s">
        <v>15</v>
      </c>
      <c r="H4201" t="s">
        <v>22</v>
      </c>
      <c r="I4201" s="3">
        <v>50</v>
      </c>
      <c r="J4201" s="2">
        <v>175</v>
      </c>
      <c r="K4201" s="3">
        <f t="shared" si="65"/>
        <v>8750</v>
      </c>
      <c r="L4201" s="3">
        <v>5687.5</v>
      </c>
    </row>
    <row r="4202" spans="1:12" x14ac:dyDescent="0.25">
      <c r="A4202" t="s">
        <v>19</v>
      </c>
      <c r="B4202">
        <v>1185732</v>
      </c>
      <c r="C4202" s="1">
        <v>44381</v>
      </c>
      <c r="D4202" t="s">
        <v>57</v>
      </c>
      <c r="E4202" t="s">
        <v>118</v>
      </c>
      <c r="F4202" t="s">
        <v>119</v>
      </c>
      <c r="G4202" t="s">
        <v>15</v>
      </c>
      <c r="H4202" t="s">
        <v>35</v>
      </c>
      <c r="I4202" s="3">
        <v>40</v>
      </c>
      <c r="J4202" s="2">
        <v>200</v>
      </c>
      <c r="K4202" s="3">
        <f t="shared" si="65"/>
        <v>8000</v>
      </c>
      <c r="L4202" s="3">
        <v>5200</v>
      </c>
    </row>
    <row r="4203" spans="1:12" x14ac:dyDescent="0.25">
      <c r="A4203" t="s">
        <v>19</v>
      </c>
      <c r="B4203">
        <v>1185732</v>
      </c>
      <c r="C4203" s="1">
        <v>44381</v>
      </c>
      <c r="D4203" t="s">
        <v>57</v>
      </c>
      <c r="E4203" t="s">
        <v>118</v>
      </c>
      <c r="F4203" t="s">
        <v>119</v>
      </c>
      <c r="G4203" t="s">
        <v>41</v>
      </c>
      <c r="H4203" t="s">
        <v>35</v>
      </c>
      <c r="I4203" s="3">
        <v>36</v>
      </c>
      <c r="J4203" s="2">
        <v>52</v>
      </c>
      <c r="K4203" s="3">
        <f t="shared" si="65"/>
        <v>1872</v>
      </c>
      <c r="L4203" s="3">
        <v>973.44</v>
      </c>
    </row>
    <row r="4204" spans="1:12" x14ac:dyDescent="0.25">
      <c r="A4204" t="s">
        <v>19</v>
      </c>
      <c r="B4204">
        <v>1185732</v>
      </c>
      <c r="C4204" s="1">
        <v>44381</v>
      </c>
      <c r="D4204" t="s">
        <v>57</v>
      </c>
      <c r="E4204" t="s">
        <v>95</v>
      </c>
      <c r="F4204" t="s">
        <v>96</v>
      </c>
      <c r="G4204" t="s">
        <v>41</v>
      </c>
      <c r="H4204" t="s">
        <v>22</v>
      </c>
      <c r="I4204" s="3">
        <v>46</v>
      </c>
      <c r="J4204" s="2">
        <v>51</v>
      </c>
      <c r="K4204" s="3">
        <f t="shared" si="65"/>
        <v>2346</v>
      </c>
      <c r="L4204" s="3">
        <v>1173</v>
      </c>
    </row>
    <row r="4205" spans="1:12" x14ac:dyDescent="0.25">
      <c r="A4205" t="s">
        <v>19</v>
      </c>
      <c r="B4205">
        <v>1185732</v>
      </c>
      <c r="C4205" s="1">
        <v>44382</v>
      </c>
      <c r="D4205" t="s">
        <v>32</v>
      </c>
      <c r="E4205" t="s">
        <v>46</v>
      </c>
      <c r="F4205" t="s">
        <v>47</v>
      </c>
      <c r="G4205" t="s">
        <v>41</v>
      </c>
      <c r="H4205" t="s">
        <v>35</v>
      </c>
      <c r="I4205" s="3">
        <v>55.000000000000007</v>
      </c>
      <c r="J4205" s="2">
        <v>825</v>
      </c>
      <c r="K4205" s="3">
        <f t="shared" si="65"/>
        <v>45375.000000000007</v>
      </c>
      <c r="L4205" s="3">
        <v>34031.250000000007</v>
      </c>
    </row>
    <row r="4206" spans="1:12" x14ac:dyDescent="0.25">
      <c r="A4206" t="s">
        <v>19</v>
      </c>
      <c r="B4206">
        <v>1185732</v>
      </c>
      <c r="C4206" s="1">
        <v>44382</v>
      </c>
      <c r="D4206" t="s">
        <v>32</v>
      </c>
      <c r="E4206" t="s">
        <v>46</v>
      </c>
      <c r="F4206" t="s">
        <v>47</v>
      </c>
      <c r="G4206" t="s">
        <v>41</v>
      </c>
      <c r="H4206" t="s">
        <v>37</v>
      </c>
      <c r="I4206" s="3">
        <v>55.000000000000007</v>
      </c>
      <c r="J4206" s="2">
        <v>775</v>
      </c>
      <c r="K4206" s="3">
        <f t="shared" si="65"/>
        <v>42625.000000000007</v>
      </c>
      <c r="L4206" s="3">
        <v>29837.500000000007</v>
      </c>
    </row>
    <row r="4207" spans="1:12" x14ac:dyDescent="0.25">
      <c r="A4207" t="s">
        <v>19</v>
      </c>
      <c r="B4207">
        <v>1185732</v>
      </c>
      <c r="C4207" s="1">
        <v>44382</v>
      </c>
      <c r="D4207" t="s">
        <v>57</v>
      </c>
      <c r="E4207" t="s">
        <v>78</v>
      </c>
      <c r="F4207" t="s">
        <v>79</v>
      </c>
      <c r="G4207" t="s">
        <v>18</v>
      </c>
      <c r="H4207" t="s">
        <v>38</v>
      </c>
      <c r="I4207" s="3">
        <v>50</v>
      </c>
      <c r="J4207" s="2">
        <v>550</v>
      </c>
      <c r="K4207" s="3">
        <f t="shared" si="65"/>
        <v>27500</v>
      </c>
      <c r="L4207" s="3">
        <v>19250</v>
      </c>
    </row>
    <row r="4208" spans="1:12" x14ac:dyDescent="0.25">
      <c r="A4208" t="s">
        <v>19</v>
      </c>
      <c r="B4208">
        <v>1185732</v>
      </c>
      <c r="C4208" s="1">
        <v>44382</v>
      </c>
      <c r="D4208" t="s">
        <v>57</v>
      </c>
      <c r="E4208" t="s">
        <v>78</v>
      </c>
      <c r="F4208" t="s">
        <v>79</v>
      </c>
      <c r="G4208" t="s">
        <v>18</v>
      </c>
      <c r="H4208" t="s">
        <v>35</v>
      </c>
      <c r="I4208" s="3">
        <v>40</v>
      </c>
      <c r="J4208" s="2">
        <v>225</v>
      </c>
      <c r="K4208" s="3">
        <f t="shared" si="65"/>
        <v>9000</v>
      </c>
      <c r="L4208" s="3">
        <v>6300</v>
      </c>
    </row>
    <row r="4209" spans="1:12" x14ac:dyDescent="0.25">
      <c r="A4209" t="s">
        <v>19</v>
      </c>
      <c r="B4209">
        <v>1185732</v>
      </c>
      <c r="C4209" s="1">
        <v>44382</v>
      </c>
      <c r="D4209" t="s">
        <v>57</v>
      </c>
      <c r="E4209" t="s">
        <v>78</v>
      </c>
      <c r="F4209" t="s">
        <v>79</v>
      </c>
      <c r="G4209" t="s">
        <v>18</v>
      </c>
      <c r="H4209" t="s">
        <v>37</v>
      </c>
      <c r="I4209" s="3">
        <v>40</v>
      </c>
      <c r="J4209" s="2">
        <v>175</v>
      </c>
      <c r="K4209" s="3">
        <f t="shared" si="65"/>
        <v>7000</v>
      </c>
      <c r="L4209" s="3">
        <v>4900</v>
      </c>
    </row>
    <row r="4210" spans="1:12" x14ac:dyDescent="0.25">
      <c r="A4210" t="s">
        <v>19</v>
      </c>
      <c r="B4210">
        <v>1185732</v>
      </c>
      <c r="C4210" s="1">
        <v>44382</v>
      </c>
      <c r="D4210" t="s">
        <v>32</v>
      </c>
      <c r="E4210" t="s">
        <v>46</v>
      </c>
      <c r="F4210" t="s">
        <v>47</v>
      </c>
      <c r="G4210" t="s">
        <v>41</v>
      </c>
      <c r="H4210" t="s">
        <v>17</v>
      </c>
      <c r="I4210" s="3">
        <v>60.000000000000007</v>
      </c>
      <c r="J4210" s="2">
        <v>900</v>
      </c>
      <c r="K4210" s="3">
        <f t="shared" si="65"/>
        <v>54000.000000000007</v>
      </c>
      <c r="L4210" s="3">
        <v>35100.000000000015</v>
      </c>
    </row>
    <row r="4211" spans="1:12" x14ac:dyDescent="0.25">
      <c r="A4211" t="s">
        <v>19</v>
      </c>
      <c r="B4211">
        <v>1185732</v>
      </c>
      <c r="C4211" s="1">
        <v>44382</v>
      </c>
      <c r="D4211" t="s">
        <v>57</v>
      </c>
      <c r="E4211" t="s">
        <v>78</v>
      </c>
      <c r="F4211" t="s">
        <v>79</v>
      </c>
      <c r="G4211" t="s">
        <v>18</v>
      </c>
      <c r="H4211" t="s">
        <v>17</v>
      </c>
      <c r="I4211" s="3">
        <v>45.000000000000007</v>
      </c>
      <c r="J4211" s="2">
        <v>300</v>
      </c>
      <c r="K4211" s="3">
        <f t="shared" si="65"/>
        <v>13500.000000000002</v>
      </c>
      <c r="L4211" s="3">
        <v>8775.0000000000036</v>
      </c>
    </row>
    <row r="4212" spans="1:12" x14ac:dyDescent="0.25">
      <c r="A4212" t="s">
        <v>19</v>
      </c>
      <c r="B4212">
        <v>1185732</v>
      </c>
      <c r="C4212" s="1">
        <v>44382</v>
      </c>
      <c r="D4212" t="s">
        <v>32</v>
      </c>
      <c r="E4212" t="s">
        <v>46</v>
      </c>
      <c r="F4212" t="s">
        <v>47</v>
      </c>
      <c r="G4212" t="s">
        <v>41</v>
      </c>
      <c r="H4212" t="s">
        <v>22</v>
      </c>
      <c r="I4212" s="3">
        <v>65</v>
      </c>
      <c r="J4212" s="2">
        <v>800</v>
      </c>
      <c r="K4212" s="3">
        <f t="shared" si="65"/>
        <v>52000</v>
      </c>
      <c r="L4212" s="3">
        <v>33800</v>
      </c>
    </row>
    <row r="4213" spans="1:12" x14ac:dyDescent="0.25">
      <c r="A4213" t="s">
        <v>19</v>
      </c>
      <c r="B4213">
        <v>1185732</v>
      </c>
      <c r="C4213" s="1">
        <v>44382</v>
      </c>
      <c r="D4213" t="s">
        <v>57</v>
      </c>
      <c r="E4213" t="s">
        <v>118</v>
      </c>
      <c r="F4213" t="s">
        <v>119</v>
      </c>
      <c r="G4213" t="s">
        <v>15</v>
      </c>
      <c r="H4213" t="s">
        <v>37</v>
      </c>
      <c r="I4213" s="3">
        <v>30.000000000000004</v>
      </c>
      <c r="J4213" s="2">
        <v>125</v>
      </c>
      <c r="K4213" s="3">
        <f t="shared" si="65"/>
        <v>3750.0000000000005</v>
      </c>
      <c r="L4213" s="3">
        <v>2250.0000000000005</v>
      </c>
    </row>
    <row r="4214" spans="1:12" x14ac:dyDescent="0.25">
      <c r="A4214" t="s">
        <v>19</v>
      </c>
      <c r="B4214">
        <v>1185732</v>
      </c>
      <c r="C4214" s="1">
        <v>44382</v>
      </c>
      <c r="D4214" t="s">
        <v>57</v>
      </c>
      <c r="E4214" t="s">
        <v>78</v>
      </c>
      <c r="F4214" t="s">
        <v>79</v>
      </c>
      <c r="G4214" t="s">
        <v>18</v>
      </c>
      <c r="H4214" t="s">
        <v>16</v>
      </c>
      <c r="I4214" s="3">
        <v>55.000000000000007</v>
      </c>
      <c r="J4214" s="2">
        <v>375</v>
      </c>
      <c r="K4214" s="3">
        <f t="shared" si="65"/>
        <v>20625.000000000004</v>
      </c>
      <c r="L4214" s="3">
        <v>12375.000000000002</v>
      </c>
    </row>
    <row r="4215" spans="1:12" x14ac:dyDescent="0.25">
      <c r="A4215" t="s">
        <v>19</v>
      </c>
      <c r="B4215">
        <v>1185732</v>
      </c>
      <c r="C4215" s="1">
        <v>44382</v>
      </c>
      <c r="D4215" t="s">
        <v>32</v>
      </c>
      <c r="E4215" t="s">
        <v>46</v>
      </c>
      <c r="F4215" t="s">
        <v>47</v>
      </c>
      <c r="G4215" t="s">
        <v>41</v>
      </c>
      <c r="H4215" t="s">
        <v>38</v>
      </c>
      <c r="I4215" s="3">
        <v>65</v>
      </c>
      <c r="J4215" s="2">
        <v>1150</v>
      </c>
      <c r="K4215" s="3">
        <f t="shared" si="65"/>
        <v>74750</v>
      </c>
      <c r="L4215" s="3">
        <v>41112.5</v>
      </c>
    </row>
    <row r="4216" spans="1:12" x14ac:dyDescent="0.25">
      <c r="A4216" t="s">
        <v>19</v>
      </c>
      <c r="B4216">
        <v>1185732</v>
      </c>
      <c r="C4216" s="1">
        <v>44382</v>
      </c>
      <c r="D4216" t="s">
        <v>57</v>
      </c>
      <c r="E4216" t="s">
        <v>95</v>
      </c>
      <c r="F4216" t="s">
        <v>96</v>
      </c>
      <c r="G4216" t="s">
        <v>15</v>
      </c>
      <c r="H4216" t="s">
        <v>16</v>
      </c>
      <c r="I4216" s="3">
        <v>55.000000000000007</v>
      </c>
      <c r="J4216" s="2">
        <v>350</v>
      </c>
      <c r="K4216" s="3">
        <f t="shared" si="65"/>
        <v>19250.000000000004</v>
      </c>
      <c r="L4216" s="3">
        <v>9625.0000000000018</v>
      </c>
    </row>
    <row r="4217" spans="1:12" x14ac:dyDescent="0.25">
      <c r="A4217" t="s">
        <v>19</v>
      </c>
      <c r="B4217">
        <v>1185732</v>
      </c>
      <c r="C4217" s="1">
        <v>44382</v>
      </c>
      <c r="D4217" t="s">
        <v>32</v>
      </c>
      <c r="E4217" t="s">
        <v>46</v>
      </c>
      <c r="F4217" t="s">
        <v>47</v>
      </c>
      <c r="G4217" t="s">
        <v>41</v>
      </c>
      <c r="H4217" t="s">
        <v>16</v>
      </c>
      <c r="I4217" s="3">
        <v>70</v>
      </c>
      <c r="J4217" s="2">
        <v>975</v>
      </c>
      <c r="K4217" s="3">
        <f t="shared" si="65"/>
        <v>68250</v>
      </c>
      <c r="L4217" s="3">
        <v>34125</v>
      </c>
    </row>
    <row r="4218" spans="1:12" x14ac:dyDescent="0.25">
      <c r="A4218" t="s">
        <v>19</v>
      </c>
      <c r="B4218">
        <v>1185732</v>
      </c>
      <c r="C4218" s="1">
        <v>44382</v>
      </c>
      <c r="D4218" t="s">
        <v>57</v>
      </c>
      <c r="E4218" t="s">
        <v>78</v>
      </c>
      <c r="F4218" t="s">
        <v>79</v>
      </c>
      <c r="G4218" t="s">
        <v>18</v>
      </c>
      <c r="H4218" t="s">
        <v>22</v>
      </c>
      <c r="I4218" s="3">
        <v>50</v>
      </c>
      <c r="J4218" s="2">
        <v>200</v>
      </c>
      <c r="K4218" s="3">
        <f t="shared" si="65"/>
        <v>10000</v>
      </c>
      <c r="L4218" s="3">
        <v>5000</v>
      </c>
    </row>
    <row r="4219" spans="1:12" x14ac:dyDescent="0.25">
      <c r="A4219" t="s">
        <v>19</v>
      </c>
      <c r="B4219">
        <v>1185732</v>
      </c>
      <c r="C4219" s="1">
        <v>44382</v>
      </c>
      <c r="D4219" t="s">
        <v>32</v>
      </c>
      <c r="E4219" t="s">
        <v>46</v>
      </c>
      <c r="F4219" t="s">
        <v>47</v>
      </c>
      <c r="G4219" t="s">
        <v>41</v>
      </c>
      <c r="H4219" t="s">
        <v>35</v>
      </c>
      <c r="I4219" s="3">
        <v>51</v>
      </c>
      <c r="J4219" s="2">
        <v>248</v>
      </c>
      <c r="K4219" s="3">
        <f t="shared" si="65"/>
        <v>12648</v>
      </c>
      <c r="L4219" s="3">
        <v>8094.72</v>
      </c>
    </row>
    <row r="4220" spans="1:12" x14ac:dyDescent="0.25">
      <c r="A4220" t="s">
        <v>19</v>
      </c>
      <c r="B4220">
        <v>1185732</v>
      </c>
      <c r="C4220" s="1">
        <v>44382</v>
      </c>
      <c r="D4220" t="s">
        <v>57</v>
      </c>
      <c r="E4220" t="s">
        <v>78</v>
      </c>
      <c r="F4220" t="s">
        <v>79</v>
      </c>
      <c r="G4220" t="s">
        <v>41</v>
      </c>
      <c r="H4220" t="s">
        <v>37</v>
      </c>
      <c r="I4220" s="3">
        <v>37</v>
      </c>
      <c r="J4220" s="2">
        <v>47</v>
      </c>
      <c r="K4220" s="3">
        <f t="shared" si="65"/>
        <v>1739</v>
      </c>
      <c r="L4220" s="3">
        <v>1026.01</v>
      </c>
    </row>
    <row r="4221" spans="1:12" x14ac:dyDescent="0.25">
      <c r="A4221" t="s">
        <v>19</v>
      </c>
      <c r="B4221">
        <v>1185732</v>
      </c>
      <c r="C4221" s="1">
        <v>44382</v>
      </c>
      <c r="D4221" t="s">
        <v>32</v>
      </c>
      <c r="E4221" t="s">
        <v>46</v>
      </c>
      <c r="F4221" t="s">
        <v>47</v>
      </c>
      <c r="G4221" t="s">
        <v>41</v>
      </c>
      <c r="H4221" t="s">
        <v>37</v>
      </c>
      <c r="I4221" s="3">
        <v>52</v>
      </c>
      <c r="J4221" s="2">
        <v>202</v>
      </c>
      <c r="K4221" s="3">
        <f t="shared" si="65"/>
        <v>10504</v>
      </c>
      <c r="L4221" s="3">
        <v>6092.32</v>
      </c>
    </row>
    <row r="4222" spans="1:12" x14ac:dyDescent="0.25">
      <c r="A4222" t="s">
        <v>19</v>
      </c>
      <c r="B4222">
        <v>1185732</v>
      </c>
      <c r="C4222" s="1">
        <v>44382</v>
      </c>
      <c r="D4222" t="s">
        <v>57</v>
      </c>
      <c r="E4222" t="s">
        <v>78</v>
      </c>
      <c r="F4222" t="s">
        <v>79</v>
      </c>
      <c r="G4222" t="s">
        <v>41</v>
      </c>
      <c r="H4222" t="s">
        <v>38</v>
      </c>
      <c r="I4222" s="3">
        <v>49</v>
      </c>
      <c r="J4222" s="2">
        <v>138</v>
      </c>
      <c r="K4222" s="3">
        <f t="shared" si="65"/>
        <v>6762</v>
      </c>
      <c r="L4222" s="3">
        <v>3786.72</v>
      </c>
    </row>
    <row r="4223" spans="1:12" x14ac:dyDescent="0.25">
      <c r="A4223" t="s">
        <v>19</v>
      </c>
      <c r="B4223">
        <v>1185732</v>
      </c>
      <c r="C4223" s="1">
        <v>44382</v>
      </c>
      <c r="D4223" t="s">
        <v>57</v>
      </c>
      <c r="E4223" t="s">
        <v>78</v>
      </c>
      <c r="F4223" t="s">
        <v>79</v>
      </c>
      <c r="G4223" t="s">
        <v>41</v>
      </c>
      <c r="H4223" t="s">
        <v>35</v>
      </c>
      <c r="I4223" s="3">
        <v>36</v>
      </c>
      <c r="J4223" s="2">
        <v>68</v>
      </c>
      <c r="K4223" s="3">
        <f t="shared" si="65"/>
        <v>2448</v>
      </c>
      <c r="L4223" s="3">
        <v>1370.8799999999999</v>
      </c>
    </row>
    <row r="4224" spans="1:12" x14ac:dyDescent="0.25">
      <c r="A4224" t="s">
        <v>19</v>
      </c>
      <c r="B4224">
        <v>1185732</v>
      </c>
      <c r="C4224" s="1">
        <v>44382</v>
      </c>
      <c r="D4224" t="s">
        <v>32</v>
      </c>
      <c r="E4224" t="s">
        <v>46</v>
      </c>
      <c r="F4224" t="s">
        <v>47</v>
      </c>
      <c r="G4224" t="s">
        <v>41</v>
      </c>
      <c r="H4224" t="s">
        <v>22</v>
      </c>
      <c r="I4224" s="3">
        <v>64</v>
      </c>
      <c r="J4224" s="2">
        <v>240</v>
      </c>
      <c r="K4224" s="3">
        <f t="shared" si="65"/>
        <v>15360</v>
      </c>
      <c r="L4224" s="3">
        <v>8448</v>
      </c>
    </row>
    <row r="4225" spans="1:12" x14ac:dyDescent="0.25">
      <c r="A4225" t="s">
        <v>19</v>
      </c>
      <c r="B4225">
        <v>1185732</v>
      </c>
      <c r="C4225" s="1">
        <v>44382</v>
      </c>
      <c r="D4225" t="s">
        <v>32</v>
      </c>
      <c r="E4225" t="s">
        <v>46</v>
      </c>
      <c r="F4225" t="s">
        <v>47</v>
      </c>
      <c r="G4225" t="s">
        <v>41</v>
      </c>
      <c r="H4225" t="s">
        <v>17</v>
      </c>
      <c r="I4225" s="3">
        <v>58</v>
      </c>
      <c r="J4225" s="2">
        <v>270</v>
      </c>
      <c r="K4225" s="3">
        <f t="shared" si="65"/>
        <v>15660</v>
      </c>
      <c r="L4225" s="3">
        <v>7986.6</v>
      </c>
    </row>
    <row r="4226" spans="1:12" x14ac:dyDescent="0.25">
      <c r="A4226" t="s">
        <v>19</v>
      </c>
      <c r="B4226">
        <v>1185732</v>
      </c>
      <c r="C4226" s="1">
        <v>44382</v>
      </c>
      <c r="D4226" t="s">
        <v>57</v>
      </c>
      <c r="E4226" t="s">
        <v>78</v>
      </c>
      <c r="F4226" t="s">
        <v>79</v>
      </c>
      <c r="G4226" t="s">
        <v>41</v>
      </c>
      <c r="H4226" t="s">
        <v>17</v>
      </c>
      <c r="I4226" s="3">
        <v>44</v>
      </c>
      <c r="J4226" s="2">
        <v>87</v>
      </c>
      <c r="K4226" s="3">
        <f t="shared" si="65"/>
        <v>3828</v>
      </c>
      <c r="L4226" s="3">
        <v>1952.28</v>
      </c>
    </row>
    <row r="4227" spans="1:12" x14ac:dyDescent="0.25">
      <c r="A4227" t="s">
        <v>19</v>
      </c>
      <c r="B4227">
        <v>1185732</v>
      </c>
      <c r="C4227" s="1">
        <v>44382</v>
      </c>
      <c r="D4227" t="s">
        <v>57</v>
      </c>
      <c r="E4227" t="s">
        <v>78</v>
      </c>
      <c r="F4227" t="s">
        <v>79</v>
      </c>
      <c r="G4227" t="s">
        <v>41</v>
      </c>
      <c r="H4227" t="s">
        <v>16</v>
      </c>
      <c r="I4227" s="3">
        <v>51</v>
      </c>
      <c r="J4227" s="2">
        <v>94</v>
      </c>
      <c r="K4227" s="3">
        <f t="shared" ref="K4227:K4290" si="66">I4227*J4227</f>
        <v>4794</v>
      </c>
      <c r="L4227" s="3">
        <v>2397</v>
      </c>
    </row>
    <row r="4228" spans="1:12" x14ac:dyDescent="0.25">
      <c r="A4228" t="s">
        <v>19</v>
      </c>
      <c r="B4228">
        <v>1185732</v>
      </c>
      <c r="C4228" s="1">
        <v>44382</v>
      </c>
      <c r="D4228" t="s">
        <v>57</v>
      </c>
      <c r="E4228" t="s">
        <v>118</v>
      </c>
      <c r="F4228" t="s">
        <v>119</v>
      </c>
      <c r="G4228" t="s">
        <v>41</v>
      </c>
      <c r="H4228" t="s">
        <v>37</v>
      </c>
      <c r="I4228" s="3">
        <v>29</v>
      </c>
      <c r="J4228" s="2">
        <v>38</v>
      </c>
      <c r="K4228" s="3">
        <f t="shared" si="66"/>
        <v>1102</v>
      </c>
      <c r="L4228" s="3">
        <v>539.98</v>
      </c>
    </row>
    <row r="4229" spans="1:12" x14ac:dyDescent="0.25">
      <c r="A4229" t="s">
        <v>19</v>
      </c>
      <c r="B4229">
        <v>1185732</v>
      </c>
      <c r="C4229" s="1">
        <v>44382</v>
      </c>
      <c r="D4229" t="s">
        <v>32</v>
      </c>
      <c r="E4229" t="s">
        <v>46</v>
      </c>
      <c r="F4229" t="s">
        <v>47</v>
      </c>
      <c r="G4229" t="s">
        <v>41</v>
      </c>
      <c r="H4229" t="s">
        <v>38</v>
      </c>
      <c r="I4229" s="3">
        <v>63</v>
      </c>
      <c r="J4229" s="2">
        <v>311</v>
      </c>
      <c r="K4229" s="3">
        <f t="shared" si="66"/>
        <v>19593</v>
      </c>
      <c r="L4229" s="3">
        <v>8033.1299999999992</v>
      </c>
    </row>
    <row r="4230" spans="1:12" x14ac:dyDescent="0.25">
      <c r="A4230" t="s">
        <v>19</v>
      </c>
      <c r="B4230">
        <v>1185732</v>
      </c>
      <c r="C4230" s="1">
        <v>44382</v>
      </c>
      <c r="D4230" t="s">
        <v>57</v>
      </c>
      <c r="E4230" t="s">
        <v>78</v>
      </c>
      <c r="F4230" t="s">
        <v>79</v>
      </c>
      <c r="G4230" t="s">
        <v>41</v>
      </c>
      <c r="H4230" t="s">
        <v>22</v>
      </c>
      <c r="I4230" s="3">
        <v>46</v>
      </c>
      <c r="J4230" s="2">
        <v>60</v>
      </c>
      <c r="K4230" s="3">
        <f t="shared" si="66"/>
        <v>2760</v>
      </c>
      <c r="L4230" s="3">
        <v>1104</v>
      </c>
    </row>
    <row r="4231" spans="1:12" x14ac:dyDescent="0.25">
      <c r="A4231" t="s">
        <v>19</v>
      </c>
      <c r="B4231">
        <v>1185732</v>
      </c>
      <c r="C4231" s="1">
        <v>44382</v>
      </c>
      <c r="D4231" t="s">
        <v>57</v>
      </c>
      <c r="E4231" t="s">
        <v>95</v>
      </c>
      <c r="F4231" t="s">
        <v>96</v>
      </c>
      <c r="G4231" t="s">
        <v>41</v>
      </c>
      <c r="H4231" t="s">
        <v>16</v>
      </c>
      <c r="I4231" s="3">
        <v>51</v>
      </c>
      <c r="J4231" s="2">
        <v>105</v>
      </c>
      <c r="K4231" s="3">
        <f t="shared" si="66"/>
        <v>5355</v>
      </c>
      <c r="L4231" s="3">
        <v>1981.35</v>
      </c>
    </row>
    <row r="4232" spans="1:12" x14ac:dyDescent="0.25">
      <c r="A4232" t="s">
        <v>19</v>
      </c>
      <c r="B4232">
        <v>1185732</v>
      </c>
      <c r="C4232" s="1">
        <v>44382</v>
      </c>
      <c r="D4232" t="s">
        <v>32</v>
      </c>
      <c r="E4232" t="s">
        <v>46</v>
      </c>
      <c r="F4232" t="s">
        <v>47</v>
      </c>
      <c r="G4232" t="s">
        <v>41</v>
      </c>
      <c r="H4232" t="s">
        <v>16</v>
      </c>
      <c r="I4232" s="3">
        <v>66</v>
      </c>
      <c r="J4232" s="2">
        <v>244</v>
      </c>
      <c r="K4232" s="3">
        <f t="shared" si="66"/>
        <v>16104</v>
      </c>
      <c r="L4232" s="3">
        <v>5636.4</v>
      </c>
    </row>
    <row r="4233" spans="1:12" x14ac:dyDescent="0.25">
      <c r="A4233" t="s">
        <v>19</v>
      </c>
      <c r="B4233">
        <v>1185732</v>
      </c>
      <c r="C4233" s="1">
        <v>44383</v>
      </c>
      <c r="D4233" t="s">
        <v>29</v>
      </c>
      <c r="E4233" t="s">
        <v>48</v>
      </c>
      <c r="F4233" t="s">
        <v>49</v>
      </c>
      <c r="G4233" t="s">
        <v>18</v>
      </c>
      <c r="H4233" t="s">
        <v>22</v>
      </c>
      <c r="I4233" s="3">
        <v>49.999999999999993</v>
      </c>
      <c r="J4233" s="2">
        <v>225</v>
      </c>
      <c r="K4233" s="3">
        <f t="shared" si="66"/>
        <v>11249.999999999998</v>
      </c>
      <c r="L4233" s="3">
        <v>7875</v>
      </c>
    </row>
    <row r="4234" spans="1:12" x14ac:dyDescent="0.25">
      <c r="A4234" t="s">
        <v>27</v>
      </c>
      <c r="B4234">
        <v>1185732</v>
      </c>
      <c r="C4234" s="1">
        <v>44383</v>
      </c>
      <c r="D4234" t="s">
        <v>29</v>
      </c>
      <c r="E4234" t="s">
        <v>91</v>
      </c>
      <c r="F4234" t="s">
        <v>92</v>
      </c>
      <c r="G4234" t="s">
        <v>18</v>
      </c>
      <c r="H4234" t="s">
        <v>22</v>
      </c>
      <c r="I4234" s="3">
        <v>49.999999999999993</v>
      </c>
      <c r="J4234" s="2">
        <v>275</v>
      </c>
      <c r="K4234" s="3">
        <f t="shared" si="66"/>
        <v>13749.999999999998</v>
      </c>
      <c r="L4234" s="3">
        <v>9624.9999999999964</v>
      </c>
    </row>
    <row r="4235" spans="1:12" x14ac:dyDescent="0.25">
      <c r="A4235" t="s">
        <v>11</v>
      </c>
      <c r="B4235">
        <v>1197831</v>
      </c>
      <c r="C4235" s="1">
        <v>44383</v>
      </c>
      <c r="D4235" t="s">
        <v>12</v>
      </c>
      <c r="E4235" t="s">
        <v>66</v>
      </c>
      <c r="F4235" t="s">
        <v>67</v>
      </c>
      <c r="G4235" t="s">
        <v>41</v>
      </c>
      <c r="H4235" t="s">
        <v>22</v>
      </c>
      <c r="I4235" s="3">
        <v>55.000000000000007</v>
      </c>
      <c r="J4235" s="2">
        <v>525</v>
      </c>
      <c r="K4235" s="3">
        <f t="shared" si="66"/>
        <v>28875.000000000004</v>
      </c>
      <c r="L4235" s="3">
        <v>18768.750000000007</v>
      </c>
    </row>
    <row r="4236" spans="1:12" x14ac:dyDescent="0.25">
      <c r="A4236" t="s">
        <v>19</v>
      </c>
      <c r="B4236">
        <v>1185732</v>
      </c>
      <c r="C4236" s="1">
        <v>44383</v>
      </c>
      <c r="D4236" t="s">
        <v>57</v>
      </c>
      <c r="E4236" t="s">
        <v>118</v>
      </c>
      <c r="F4236" t="s">
        <v>119</v>
      </c>
      <c r="G4236" t="s">
        <v>15</v>
      </c>
      <c r="H4236" t="s">
        <v>22</v>
      </c>
      <c r="I4236" s="3">
        <v>40</v>
      </c>
      <c r="J4236" s="2">
        <v>100</v>
      </c>
      <c r="K4236" s="3">
        <f t="shared" si="66"/>
        <v>4000</v>
      </c>
      <c r="L4236" s="3">
        <v>2600</v>
      </c>
    </row>
    <row r="4237" spans="1:12" x14ac:dyDescent="0.25">
      <c r="A4237" t="s">
        <v>27</v>
      </c>
      <c r="B4237">
        <v>1185732</v>
      </c>
      <c r="C4237" s="1">
        <v>44383</v>
      </c>
      <c r="D4237" t="s">
        <v>29</v>
      </c>
      <c r="E4237" t="s">
        <v>91</v>
      </c>
      <c r="F4237" t="s">
        <v>92</v>
      </c>
      <c r="G4237" t="s">
        <v>18</v>
      </c>
      <c r="H4237" t="s">
        <v>38</v>
      </c>
      <c r="I4237" s="3">
        <v>49.999999999999993</v>
      </c>
      <c r="J4237" s="2">
        <v>625</v>
      </c>
      <c r="K4237" s="3">
        <f t="shared" si="66"/>
        <v>31249.999999999996</v>
      </c>
      <c r="L4237" s="3">
        <v>20312.499999999996</v>
      </c>
    </row>
    <row r="4238" spans="1:12" x14ac:dyDescent="0.25">
      <c r="A4238" t="s">
        <v>27</v>
      </c>
      <c r="B4238">
        <v>1185732</v>
      </c>
      <c r="C4238" s="1">
        <v>44383</v>
      </c>
      <c r="D4238" t="s">
        <v>29</v>
      </c>
      <c r="E4238" t="s">
        <v>91</v>
      </c>
      <c r="F4238" t="s">
        <v>92</v>
      </c>
      <c r="G4238" t="s">
        <v>18</v>
      </c>
      <c r="H4238" t="s">
        <v>17</v>
      </c>
      <c r="I4238" s="3">
        <v>45</v>
      </c>
      <c r="J4238" s="2">
        <v>375</v>
      </c>
      <c r="K4238" s="3">
        <f t="shared" si="66"/>
        <v>16875</v>
      </c>
      <c r="L4238" s="3">
        <v>10968.75</v>
      </c>
    </row>
    <row r="4239" spans="1:12" x14ac:dyDescent="0.25">
      <c r="A4239" t="s">
        <v>19</v>
      </c>
      <c r="B4239">
        <v>1185732</v>
      </c>
      <c r="C4239" s="1">
        <v>44383</v>
      </c>
      <c r="D4239" t="s">
        <v>29</v>
      </c>
      <c r="E4239" t="s">
        <v>48</v>
      </c>
      <c r="F4239" t="s">
        <v>49</v>
      </c>
      <c r="G4239" t="s">
        <v>18</v>
      </c>
      <c r="H4239" t="s">
        <v>38</v>
      </c>
      <c r="I4239" s="3">
        <v>49.999999999999993</v>
      </c>
      <c r="J4239" s="2">
        <v>575</v>
      </c>
      <c r="K4239" s="3">
        <f t="shared" si="66"/>
        <v>28749.999999999996</v>
      </c>
      <c r="L4239" s="3">
        <v>18687.499999999996</v>
      </c>
    </row>
    <row r="4240" spans="1:12" x14ac:dyDescent="0.25">
      <c r="A4240" t="s">
        <v>19</v>
      </c>
      <c r="B4240">
        <v>1185732</v>
      </c>
      <c r="C4240" s="1">
        <v>44383</v>
      </c>
      <c r="D4240" t="s">
        <v>29</v>
      </c>
      <c r="E4240" t="s">
        <v>48</v>
      </c>
      <c r="F4240" t="s">
        <v>49</v>
      </c>
      <c r="G4240" t="s">
        <v>18</v>
      </c>
      <c r="H4240" t="s">
        <v>17</v>
      </c>
      <c r="I4240" s="3">
        <v>45</v>
      </c>
      <c r="J4240" s="2">
        <v>325</v>
      </c>
      <c r="K4240" s="3">
        <f t="shared" si="66"/>
        <v>14625</v>
      </c>
      <c r="L4240" s="3">
        <v>9506.25</v>
      </c>
    </row>
    <row r="4241" spans="1:12" x14ac:dyDescent="0.25">
      <c r="A4241" t="s">
        <v>11</v>
      </c>
      <c r="B4241">
        <v>1197831</v>
      </c>
      <c r="C4241" s="1">
        <v>44383</v>
      </c>
      <c r="D4241" t="s">
        <v>12</v>
      </c>
      <c r="E4241" t="s">
        <v>66</v>
      </c>
      <c r="F4241" t="s">
        <v>67</v>
      </c>
      <c r="G4241" t="s">
        <v>41</v>
      </c>
      <c r="H4241" t="s">
        <v>17</v>
      </c>
      <c r="I4241" s="3">
        <v>55.000000000000007</v>
      </c>
      <c r="J4241" s="2">
        <v>775</v>
      </c>
      <c r="K4241" s="3">
        <f t="shared" si="66"/>
        <v>42625.000000000007</v>
      </c>
      <c r="L4241" s="3">
        <v>25575.000000000007</v>
      </c>
    </row>
    <row r="4242" spans="1:12" x14ac:dyDescent="0.25">
      <c r="A4242" t="s">
        <v>19</v>
      </c>
      <c r="B4242">
        <v>1185732</v>
      </c>
      <c r="C4242" s="1">
        <v>44383</v>
      </c>
      <c r="D4242" t="s">
        <v>57</v>
      </c>
      <c r="E4242" t="s">
        <v>95</v>
      </c>
      <c r="F4242" t="s">
        <v>96</v>
      </c>
      <c r="G4242" t="s">
        <v>15</v>
      </c>
      <c r="H4242" t="s">
        <v>38</v>
      </c>
      <c r="I4242" s="3">
        <v>50</v>
      </c>
      <c r="J4242" s="2">
        <v>575</v>
      </c>
      <c r="K4242" s="3">
        <f t="shared" si="66"/>
        <v>28750</v>
      </c>
      <c r="L4242" s="3">
        <v>17250</v>
      </c>
    </row>
    <row r="4243" spans="1:12" x14ac:dyDescent="0.25">
      <c r="A4243" t="s">
        <v>11</v>
      </c>
      <c r="B4243">
        <v>1197831</v>
      </c>
      <c r="C4243" s="1">
        <v>44383</v>
      </c>
      <c r="D4243" t="s">
        <v>12</v>
      </c>
      <c r="E4243" t="s">
        <v>66</v>
      </c>
      <c r="F4243" t="s">
        <v>67</v>
      </c>
      <c r="G4243" t="s">
        <v>41</v>
      </c>
      <c r="H4243" t="s">
        <v>38</v>
      </c>
      <c r="I4243" s="3">
        <v>50</v>
      </c>
      <c r="J4243" s="2">
        <v>775</v>
      </c>
      <c r="K4243" s="3">
        <f t="shared" si="66"/>
        <v>38750</v>
      </c>
      <c r="L4243" s="3">
        <v>23250</v>
      </c>
    </row>
    <row r="4244" spans="1:12" x14ac:dyDescent="0.25">
      <c r="A4244" t="s">
        <v>11</v>
      </c>
      <c r="B4244">
        <v>1197831</v>
      </c>
      <c r="C4244" s="1">
        <v>44383</v>
      </c>
      <c r="D4244" t="s">
        <v>12</v>
      </c>
      <c r="E4244" t="s">
        <v>66</v>
      </c>
      <c r="F4244" t="s">
        <v>67</v>
      </c>
      <c r="G4244" t="s">
        <v>41</v>
      </c>
      <c r="H4244" t="s">
        <v>35</v>
      </c>
      <c r="I4244" s="3">
        <v>50</v>
      </c>
      <c r="J4244" s="2">
        <v>925</v>
      </c>
      <c r="K4244" s="3">
        <f t="shared" si="66"/>
        <v>46250</v>
      </c>
      <c r="L4244" s="3">
        <v>27750</v>
      </c>
    </row>
    <row r="4245" spans="1:12" x14ac:dyDescent="0.25">
      <c r="A4245" t="s">
        <v>27</v>
      </c>
      <c r="B4245">
        <v>1185732</v>
      </c>
      <c r="C4245" s="1">
        <v>44383</v>
      </c>
      <c r="D4245" t="s">
        <v>29</v>
      </c>
      <c r="E4245" t="s">
        <v>91</v>
      </c>
      <c r="F4245" t="s">
        <v>92</v>
      </c>
      <c r="G4245" t="s">
        <v>18</v>
      </c>
      <c r="H4245" t="s">
        <v>35</v>
      </c>
      <c r="I4245" s="3">
        <v>40</v>
      </c>
      <c r="J4245" s="2">
        <v>300</v>
      </c>
      <c r="K4245" s="3">
        <f t="shared" si="66"/>
        <v>12000</v>
      </c>
      <c r="L4245" s="3">
        <v>7200</v>
      </c>
    </row>
    <row r="4246" spans="1:12" x14ac:dyDescent="0.25">
      <c r="A4246" t="s">
        <v>27</v>
      </c>
      <c r="B4246">
        <v>1185732</v>
      </c>
      <c r="C4246" s="1">
        <v>44383</v>
      </c>
      <c r="D4246" t="s">
        <v>29</v>
      </c>
      <c r="E4246" t="s">
        <v>91</v>
      </c>
      <c r="F4246" t="s">
        <v>92</v>
      </c>
      <c r="G4246" t="s">
        <v>18</v>
      </c>
      <c r="H4246" t="s">
        <v>37</v>
      </c>
      <c r="I4246" s="3">
        <v>40</v>
      </c>
      <c r="J4246" s="2">
        <v>250</v>
      </c>
      <c r="K4246" s="3">
        <f t="shared" si="66"/>
        <v>10000</v>
      </c>
      <c r="L4246" s="3">
        <v>6000</v>
      </c>
    </row>
    <row r="4247" spans="1:12" x14ac:dyDescent="0.25">
      <c r="A4247" t="s">
        <v>27</v>
      </c>
      <c r="B4247">
        <v>1185732</v>
      </c>
      <c r="C4247" s="1">
        <v>44383</v>
      </c>
      <c r="D4247" t="s">
        <v>29</v>
      </c>
      <c r="E4247" t="s">
        <v>91</v>
      </c>
      <c r="F4247" t="s">
        <v>92</v>
      </c>
      <c r="G4247" t="s">
        <v>18</v>
      </c>
      <c r="H4247" t="s">
        <v>16</v>
      </c>
      <c r="I4247" s="3">
        <v>54.999999999999993</v>
      </c>
      <c r="J4247" s="2">
        <v>450</v>
      </c>
      <c r="K4247" s="3">
        <f t="shared" si="66"/>
        <v>24749.999999999996</v>
      </c>
      <c r="L4247" s="3">
        <v>14849.999999999996</v>
      </c>
    </row>
    <row r="4248" spans="1:12" x14ac:dyDescent="0.25">
      <c r="A4248" t="s">
        <v>19</v>
      </c>
      <c r="B4248">
        <v>1185732</v>
      </c>
      <c r="C4248" s="1">
        <v>44383</v>
      </c>
      <c r="D4248" t="s">
        <v>29</v>
      </c>
      <c r="E4248" t="s">
        <v>48</v>
      </c>
      <c r="F4248" t="s">
        <v>49</v>
      </c>
      <c r="G4248" t="s">
        <v>18</v>
      </c>
      <c r="H4248" t="s">
        <v>35</v>
      </c>
      <c r="I4248" s="3">
        <v>40</v>
      </c>
      <c r="J4248" s="2">
        <v>250</v>
      </c>
      <c r="K4248" s="3">
        <f t="shared" si="66"/>
        <v>10000</v>
      </c>
      <c r="L4248" s="3">
        <v>6000</v>
      </c>
    </row>
    <row r="4249" spans="1:12" x14ac:dyDescent="0.25">
      <c r="A4249" t="s">
        <v>19</v>
      </c>
      <c r="B4249">
        <v>1185732</v>
      </c>
      <c r="C4249" s="1">
        <v>44383</v>
      </c>
      <c r="D4249" t="s">
        <v>29</v>
      </c>
      <c r="E4249" t="s">
        <v>48</v>
      </c>
      <c r="F4249" t="s">
        <v>49</v>
      </c>
      <c r="G4249" t="s">
        <v>18</v>
      </c>
      <c r="H4249" t="s">
        <v>37</v>
      </c>
      <c r="I4249" s="3">
        <v>40</v>
      </c>
      <c r="J4249" s="2">
        <v>200</v>
      </c>
      <c r="K4249" s="3">
        <f t="shared" si="66"/>
        <v>8000</v>
      </c>
      <c r="L4249" s="3">
        <v>4800</v>
      </c>
    </row>
    <row r="4250" spans="1:12" x14ac:dyDescent="0.25">
      <c r="A4250" t="s">
        <v>19</v>
      </c>
      <c r="B4250">
        <v>1185732</v>
      </c>
      <c r="C4250" s="1">
        <v>44383</v>
      </c>
      <c r="D4250" t="s">
        <v>29</v>
      </c>
      <c r="E4250" t="s">
        <v>48</v>
      </c>
      <c r="F4250" t="s">
        <v>49</v>
      </c>
      <c r="G4250" t="s">
        <v>18</v>
      </c>
      <c r="H4250" t="s">
        <v>16</v>
      </c>
      <c r="I4250" s="3">
        <v>54.999999999999993</v>
      </c>
      <c r="J4250" s="2">
        <v>400</v>
      </c>
      <c r="K4250" s="3">
        <f t="shared" si="66"/>
        <v>21999.999999999996</v>
      </c>
      <c r="L4250" s="3">
        <v>13199.999999999996</v>
      </c>
    </row>
    <row r="4251" spans="1:12" x14ac:dyDescent="0.25">
      <c r="A4251" t="s">
        <v>11</v>
      </c>
      <c r="B4251">
        <v>1197831</v>
      </c>
      <c r="C4251" s="1">
        <v>44383</v>
      </c>
      <c r="D4251" t="s">
        <v>12</v>
      </c>
      <c r="E4251" t="s">
        <v>66</v>
      </c>
      <c r="F4251" t="s">
        <v>67</v>
      </c>
      <c r="G4251" t="s">
        <v>41</v>
      </c>
      <c r="H4251" t="s">
        <v>37</v>
      </c>
      <c r="I4251" s="3">
        <v>50</v>
      </c>
      <c r="J4251" s="2">
        <v>525</v>
      </c>
      <c r="K4251" s="3">
        <f t="shared" si="66"/>
        <v>26250</v>
      </c>
      <c r="L4251" s="3">
        <v>13125</v>
      </c>
    </row>
    <row r="4252" spans="1:12" x14ac:dyDescent="0.25">
      <c r="A4252" t="s">
        <v>19</v>
      </c>
      <c r="B4252">
        <v>1197831</v>
      </c>
      <c r="C4252" s="1">
        <v>44383</v>
      </c>
      <c r="D4252" t="s">
        <v>12</v>
      </c>
      <c r="E4252" t="s">
        <v>66</v>
      </c>
      <c r="F4252" t="s">
        <v>67</v>
      </c>
      <c r="G4252" t="s">
        <v>41</v>
      </c>
      <c r="H4252" t="s">
        <v>16</v>
      </c>
      <c r="I4252" s="3">
        <v>65</v>
      </c>
      <c r="J4252" s="2">
        <v>800</v>
      </c>
      <c r="K4252" s="3">
        <f t="shared" si="66"/>
        <v>52000</v>
      </c>
      <c r="L4252" s="3">
        <v>23400</v>
      </c>
    </row>
    <row r="4253" spans="1:12" x14ac:dyDescent="0.25">
      <c r="A4253" t="s">
        <v>19</v>
      </c>
      <c r="B4253">
        <v>1185732</v>
      </c>
      <c r="C4253" s="1">
        <v>44383</v>
      </c>
      <c r="D4253" t="s">
        <v>29</v>
      </c>
      <c r="E4253" t="s">
        <v>48</v>
      </c>
      <c r="F4253" t="s">
        <v>49</v>
      </c>
      <c r="G4253" t="s">
        <v>15</v>
      </c>
      <c r="H4253" t="s">
        <v>22</v>
      </c>
      <c r="I4253" s="3">
        <v>33</v>
      </c>
      <c r="J4253" s="2">
        <v>68</v>
      </c>
      <c r="K4253" s="3">
        <f t="shared" si="66"/>
        <v>2244</v>
      </c>
      <c r="L4253" s="3">
        <v>1481.04</v>
      </c>
    </row>
    <row r="4254" spans="1:12" x14ac:dyDescent="0.25">
      <c r="A4254" t="s">
        <v>19</v>
      </c>
      <c r="B4254">
        <v>1185732</v>
      </c>
      <c r="C4254" s="1">
        <v>44383</v>
      </c>
      <c r="D4254" t="s">
        <v>29</v>
      </c>
      <c r="E4254" t="s">
        <v>48</v>
      </c>
      <c r="F4254" t="s">
        <v>49</v>
      </c>
      <c r="G4254" t="s">
        <v>15</v>
      </c>
      <c r="H4254" t="s">
        <v>17</v>
      </c>
      <c r="I4254" s="3">
        <v>32</v>
      </c>
      <c r="J4254" s="2">
        <v>114</v>
      </c>
      <c r="K4254" s="3">
        <f t="shared" si="66"/>
        <v>3648</v>
      </c>
      <c r="L4254" s="3">
        <v>2298.2399999999998</v>
      </c>
    </row>
    <row r="4255" spans="1:12" x14ac:dyDescent="0.25">
      <c r="A4255" t="s">
        <v>19</v>
      </c>
      <c r="B4255">
        <v>1185732</v>
      </c>
      <c r="C4255" s="1">
        <v>44383</v>
      </c>
      <c r="D4255" t="s">
        <v>29</v>
      </c>
      <c r="E4255" t="s">
        <v>48</v>
      </c>
      <c r="F4255" t="s">
        <v>49</v>
      </c>
      <c r="G4255" t="s">
        <v>15</v>
      </c>
      <c r="H4255" t="s">
        <v>38</v>
      </c>
      <c r="I4255" s="3">
        <v>38</v>
      </c>
      <c r="J4255" s="2">
        <v>173</v>
      </c>
      <c r="K4255" s="3">
        <f t="shared" si="66"/>
        <v>6574</v>
      </c>
      <c r="L4255" s="3">
        <v>4075.88</v>
      </c>
    </row>
    <row r="4256" spans="1:12" x14ac:dyDescent="0.25">
      <c r="A4256" t="s">
        <v>19</v>
      </c>
      <c r="B4256">
        <v>1185732</v>
      </c>
      <c r="C4256" s="1">
        <v>44383</v>
      </c>
      <c r="D4256" t="s">
        <v>29</v>
      </c>
      <c r="E4256" t="s">
        <v>48</v>
      </c>
      <c r="F4256" t="s">
        <v>49</v>
      </c>
      <c r="G4256" t="s">
        <v>41</v>
      </c>
      <c r="H4256" t="s">
        <v>22</v>
      </c>
      <c r="I4256" s="3">
        <v>47</v>
      </c>
      <c r="J4256" s="2">
        <v>63</v>
      </c>
      <c r="K4256" s="3">
        <f t="shared" si="66"/>
        <v>2961</v>
      </c>
      <c r="L4256" s="3">
        <v>1776.6</v>
      </c>
    </row>
    <row r="4257" spans="1:12" x14ac:dyDescent="0.25">
      <c r="A4257" t="s">
        <v>11</v>
      </c>
      <c r="B4257">
        <v>1197831</v>
      </c>
      <c r="C4257" s="1">
        <v>44383</v>
      </c>
      <c r="D4257" t="s">
        <v>12</v>
      </c>
      <c r="E4257" t="s">
        <v>66</v>
      </c>
      <c r="F4257" t="s">
        <v>67</v>
      </c>
      <c r="G4257" t="s">
        <v>15</v>
      </c>
      <c r="H4257" t="s">
        <v>22</v>
      </c>
      <c r="I4257" s="3">
        <v>43</v>
      </c>
      <c r="J4257" s="2">
        <v>173</v>
      </c>
      <c r="K4257" s="3">
        <f t="shared" si="66"/>
        <v>7439</v>
      </c>
      <c r="L4257" s="3">
        <v>4463.3999999999996</v>
      </c>
    </row>
    <row r="4258" spans="1:12" x14ac:dyDescent="0.25">
      <c r="A4258" t="s">
        <v>11</v>
      </c>
      <c r="B4258">
        <v>1197831</v>
      </c>
      <c r="C4258" s="1">
        <v>44383</v>
      </c>
      <c r="D4258" t="s">
        <v>12</v>
      </c>
      <c r="E4258" t="s">
        <v>66</v>
      </c>
      <c r="F4258" t="s">
        <v>67</v>
      </c>
      <c r="G4258" t="s">
        <v>15</v>
      </c>
      <c r="H4258" t="s">
        <v>35</v>
      </c>
      <c r="I4258" s="3">
        <v>34</v>
      </c>
      <c r="J4258" s="2">
        <v>278</v>
      </c>
      <c r="K4258" s="3">
        <f t="shared" si="66"/>
        <v>9452</v>
      </c>
      <c r="L4258" s="3">
        <v>5482.16</v>
      </c>
    </row>
    <row r="4259" spans="1:12" x14ac:dyDescent="0.25">
      <c r="A4259" t="s">
        <v>19</v>
      </c>
      <c r="B4259">
        <v>1185732</v>
      </c>
      <c r="C4259" s="1">
        <v>44383</v>
      </c>
      <c r="D4259" t="s">
        <v>29</v>
      </c>
      <c r="E4259" t="s">
        <v>48</v>
      </c>
      <c r="F4259" t="s">
        <v>49</v>
      </c>
      <c r="G4259" t="s">
        <v>15</v>
      </c>
      <c r="H4259" t="s">
        <v>16</v>
      </c>
      <c r="I4259" s="3">
        <v>38</v>
      </c>
      <c r="J4259" s="2">
        <v>136</v>
      </c>
      <c r="K4259" s="3">
        <f t="shared" si="66"/>
        <v>5168</v>
      </c>
      <c r="L4259" s="3">
        <v>2997.4399999999996</v>
      </c>
    </row>
    <row r="4260" spans="1:12" x14ac:dyDescent="0.25">
      <c r="A4260" t="s">
        <v>11</v>
      </c>
      <c r="B4260">
        <v>1197831</v>
      </c>
      <c r="C4260" s="1">
        <v>44383</v>
      </c>
      <c r="D4260" t="s">
        <v>12</v>
      </c>
      <c r="E4260" t="s">
        <v>66</v>
      </c>
      <c r="F4260" t="s">
        <v>67</v>
      </c>
      <c r="G4260" t="s">
        <v>15</v>
      </c>
      <c r="H4260" t="s">
        <v>17</v>
      </c>
      <c r="I4260" s="3">
        <v>40</v>
      </c>
      <c r="J4260" s="2">
        <v>271</v>
      </c>
      <c r="K4260" s="3">
        <f t="shared" si="66"/>
        <v>10840</v>
      </c>
      <c r="L4260" s="3">
        <v>6178.8000000000011</v>
      </c>
    </row>
    <row r="4261" spans="1:12" x14ac:dyDescent="0.25">
      <c r="A4261" t="s">
        <v>27</v>
      </c>
      <c r="B4261">
        <v>1185732</v>
      </c>
      <c r="C4261" s="1">
        <v>44383</v>
      </c>
      <c r="D4261" t="s">
        <v>29</v>
      </c>
      <c r="E4261" t="s">
        <v>91</v>
      </c>
      <c r="F4261" t="s">
        <v>92</v>
      </c>
      <c r="G4261" t="s">
        <v>41</v>
      </c>
      <c r="H4261" t="s">
        <v>22</v>
      </c>
      <c r="I4261" s="3">
        <v>48</v>
      </c>
      <c r="J4261" s="2">
        <v>74</v>
      </c>
      <c r="K4261" s="3">
        <f t="shared" si="66"/>
        <v>3552</v>
      </c>
      <c r="L4261" s="3">
        <v>2024.64</v>
      </c>
    </row>
    <row r="4262" spans="1:12" x14ac:dyDescent="0.25">
      <c r="A4262" t="s">
        <v>19</v>
      </c>
      <c r="B4262">
        <v>1185732</v>
      </c>
      <c r="C4262" s="1">
        <v>44383</v>
      </c>
      <c r="D4262" t="s">
        <v>29</v>
      </c>
      <c r="E4262" t="s">
        <v>48</v>
      </c>
      <c r="F4262" t="s">
        <v>49</v>
      </c>
      <c r="G4262" t="s">
        <v>41</v>
      </c>
      <c r="H4262" t="s">
        <v>38</v>
      </c>
      <c r="I4262" s="3">
        <v>46</v>
      </c>
      <c r="J4262" s="2">
        <v>167</v>
      </c>
      <c r="K4262" s="3">
        <f t="shared" si="66"/>
        <v>7682</v>
      </c>
      <c r="L4262" s="3">
        <v>4225.1000000000004</v>
      </c>
    </row>
    <row r="4263" spans="1:12" x14ac:dyDescent="0.25">
      <c r="A4263" t="s">
        <v>19</v>
      </c>
      <c r="B4263">
        <v>1185732</v>
      </c>
      <c r="C4263" s="1">
        <v>44383</v>
      </c>
      <c r="D4263" t="s">
        <v>29</v>
      </c>
      <c r="E4263" t="s">
        <v>48</v>
      </c>
      <c r="F4263" t="s">
        <v>49</v>
      </c>
      <c r="G4263" t="s">
        <v>15</v>
      </c>
      <c r="H4263" t="s">
        <v>35</v>
      </c>
      <c r="I4263" s="3">
        <v>27</v>
      </c>
      <c r="J4263" s="2">
        <v>78</v>
      </c>
      <c r="K4263" s="3">
        <f t="shared" si="66"/>
        <v>2106</v>
      </c>
      <c r="L4263" s="3">
        <v>1158.3</v>
      </c>
    </row>
    <row r="4264" spans="1:12" x14ac:dyDescent="0.25">
      <c r="A4264" t="s">
        <v>11</v>
      </c>
      <c r="B4264">
        <v>1197831</v>
      </c>
      <c r="C4264" s="1">
        <v>44383</v>
      </c>
      <c r="D4264" t="s">
        <v>12</v>
      </c>
      <c r="E4264" t="s">
        <v>66</v>
      </c>
      <c r="F4264" t="s">
        <v>67</v>
      </c>
      <c r="G4264" t="s">
        <v>15</v>
      </c>
      <c r="H4264" t="s">
        <v>38</v>
      </c>
      <c r="I4264" s="3">
        <v>35</v>
      </c>
      <c r="J4264" s="2">
        <v>264</v>
      </c>
      <c r="K4264" s="3">
        <f t="shared" si="66"/>
        <v>9240</v>
      </c>
      <c r="L4264" s="3">
        <v>4989.6000000000004</v>
      </c>
    </row>
    <row r="4265" spans="1:12" x14ac:dyDescent="0.25">
      <c r="A4265" t="s">
        <v>19</v>
      </c>
      <c r="B4265">
        <v>1185732</v>
      </c>
      <c r="C4265" s="1">
        <v>44383</v>
      </c>
      <c r="D4265" t="s">
        <v>29</v>
      </c>
      <c r="E4265" t="s">
        <v>48</v>
      </c>
      <c r="F4265" t="s">
        <v>49</v>
      </c>
      <c r="G4265" t="s">
        <v>15</v>
      </c>
      <c r="H4265" t="s">
        <v>37</v>
      </c>
      <c r="I4265" s="3">
        <v>31</v>
      </c>
      <c r="J4265" s="2">
        <v>60</v>
      </c>
      <c r="K4265" s="3">
        <f t="shared" si="66"/>
        <v>1860</v>
      </c>
      <c r="L4265" s="3">
        <v>1004.4</v>
      </c>
    </row>
    <row r="4266" spans="1:12" x14ac:dyDescent="0.25">
      <c r="A4266" t="s">
        <v>27</v>
      </c>
      <c r="B4266">
        <v>1185732</v>
      </c>
      <c r="C4266" s="1">
        <v>44383</v>
      </c>
      <c r="D4266" t="s">
        <v>29</v>
      </c>
      <c r="E4266" t="s">
        <v>91</v>
      </c>
      <c r="F4266" t="s">
        <v>92</v>
      </c>
      <c r="G4266" t="s">
        <v>41</v>
      </c>
      <c r="H4266" t="s">
        <v>38</v>
      </c>
      <c r="I4266" s="3">
        <v>47</v>
      </c>
      <c r="J4266" s="2">
        <v>188</v>
      </c>
      <c r="K4266" s="3">
        <f t="shared" si="66"/>
        <v>8836</v>
      </c>
      <c r="L4266" s="3">
        <v>4683.08</v>
      </c>
    </row>
    <row r="4267" spans="1:12" x14ac:dyDescent="0.25">
      <c r="A4267" t="s">
        <v>19</v>
      </c>
      <c r="B4267">
        <v>1185732</v>
      </c>
      <c r="C4267" s="1">
        <v>44383</v>
      </c>
      <c r="D4267" t="s">
        <v>57</v>
      </c>
      <c r="E4267" t="s">
        <v>118</v>
      </c>
      <c r="F4267" t="s">
        <v>119</v>
      </c>
      <c r="G4267" t="s">
        <v>41</v>
      </c>
      <c r="H4267" t="s">
        <v>22</v>
      </c>
      <c r="I4267" s="3">
        <v>37</v>
      </c>
      <c r="J4267" s="2">
        <v>27</v>
      </c>
      <c r="K4267" s="3">
        <f t="shared" si="66"/>
        <v>999</v>
      </c>
      <c r="L4267" s="3">
        <v>519.48</v>
      </c>
    </row>
    <row r="4268" spans="1:12" x14ac:dyDescent="0.25">
      <c r="A4268" t="s">
        <v>11</v>
      </c>
      <c r="B4268">
        <v>1197831</v>
      </c>
      <c r="C4268" s="1">
        <v>44383</v>
      </c>
      <c r="D4268" t="s">
        <v>12</v>
      </c>
      <c r="E4268" t="s">
        <v>66</v>
      </c>
      <c r="F4268" t="s">
        <v>67</v>
      </c>
      <c r="G4268" t="s">
        <v>41</v>
      </c>
      <c r="H4268" t="s">
        <v>22</v>
      </c>
      <c r="I4268" s="3">
        <v>53</v>
      </c>
      <c r="J4268" s="2">
        <v>131</v>
      </c>
      <c r="K4268" s="3">
        <f t="shared" si="66"/>
        <v>6943</v>
      </c>
      <c r="L4268" s="3">
        <v>3610.36</v>
      </c>
    </row>
    <row r="4269" spans="1:12" x14ac:dyDescent="0.25">
      <c r="A4269" t="s">
        <v>11</v>
      </c>
      <c r="B4269">
        <v>1197831</v>
      </c>
      <c r="C4269" s="1">
        <v>44383</v>
      </c>
      <c r="D4269" t="s">
        <v>12</v>
      </c>
      <c r="E4269" t="s">
        <v>66</v>
      </c>
      <c r="F4269" t="s">
        <v>67</v>
      </c>
      <c r="G4269" t="s">
        <v>41</v>
      </c>
      <c r="H4269" t="s">
        <v>38</v>
      </c>
      <c r="I4269" s="3">
        <v>48</v>
      </c>
      <c r="J4269" s="2">
        <v>217</v>
      </c>
      <c r="K4269" s="3">
        <f t="shared" si="66"/>
        <v>10416</v>
      </c>
      <c r="L4269" s="3">
        <v>5208</v>
      </c>
    </row>
    <row r="4270" spans="1:12" x14ac:dyDescent="0.25">
      <c r="A4270" t="s">
        <v>27</v>
      </c>
      <c r="B4270">
        <v>1185732</v>
      </c>
      <c r="C4270" s="1">
        <v>44383</v>
      </c>
      <c r="D4270" t="s">
        <v>29</v>
      </c>
      <c r="E4270" t="s">
        <v>91</v>
      </c>
      <c r="F4270" t="s">
        <v>92</v>
      </c>
      <c r="G4270" t="s">
        <v>41</v>
      </c>
      <c r="H4270" t="s">
        <v>17</v>
      </c>
      <c r="I4270" s="3">
        <v>42</v>
      </c>
      <c r="J4270" s="2">
        <v>98</v>
      </c>
      <c r="K4270" s="3">
        <f t="shared" si="66"/>
        <v>4116</v>
      </c>
      <c r="L4270" s="3">
        <v>2058</v>
      </c>
    </row>
    <row r="4271" spans="1:12" x14ac:dyDescent="0.25">
      <c r="A4271" t="s">
        <v>19</v>
      </c>
      <c r="B4271">
        <v>1185732</v>
      </c>
      <c r="C4271" s="1">
        <v>44383</v>
      </c>
      <c r="D4271" t="s">
        <v>29</v>
      </c>
      <c r="E4271" t="s">
        <v>48</v>
      </c>
      <c r="F4271" t="s">
        <v>49</v>
      </c>
      <c r="G4271" t="s">
        <v>41</v>
      </c>
      <c r="H4271" t="s">
        <v>17</v>
      </c>
      <c r="I4271" s="3">
        <v>41</v>
      </c>
      <c r="J4271" s="2">
        <v>81</v>
      </c>
      <c r="K4271" s="3">
        <f t="shared" si="66"/>
        <v>3321</v>
      </c>
      <c r="L4271" s="3">
        <v>1660.5</v>
      </c>
    </row>
    <row r="4272" spans="1:12" x14ac:dyDescent="0.25">
      <c r="A4272" t="s">
        <v>19</v>
      </c>
      <c r="B4272">
        <v>1185732</v>
      </c>
      <c r="C4272" s="1">
        <v>44383</v>
      </c>
      <c r="D4272" t="s">
        <v>29</v>
      </c>
      <c r="E4272" t="s">
        <v>48</v>
      </c>
      <c r="F4272" t="s">
        <v>49</v>
      </c>
      <c r="G4272" t="s">
        <v>41</v>
      </c>
      <c r="H4272" t="s">
        <v>16</v>
      </c>
      <c r="I4272" s="3">
        <v>50</v>
      </c>
      <c r="J4272" s="2">
        <v>116</v>
      </c>
      <c r="K4272" s="3">
        <f t="shared" si="66"/>
        <v>5800</v>
      </c>
      <c r="L4272" s="3">
        <v>2900</v>
      </c>
    </row>
    <row r="4273" spans="1:12" x14ac:dyDescent="0.25">
      <c r="A4273" t="s">
        <v>19</v>
      </c>
      <c r="B4273">
        <v>1185732</v>
      </c>
      <c r="C4273" s="1">
        <v>44383</v>
      </c>
      <c r="D4273" t="s">
        <v>57</v>
      </c>
      <c r="E4273" t="s">
        <v>95</v>
      </c>
      <c r="F4273" t="s">
        <v>96</v>
      </c>
      <c r="G4273" t="s">
        <v>41</v>
      </c>
      <c r="H4273" t="s">
        <v>38</v>
      </c>
      <c r="I4273" s="3">
        <v>47</v>
      </c>
      <c r="J4273" s="2">
        <v>161</v>
      </c>
      <c r="K4273" s="3">
        <f t="shared" si="66"/>
        <v>7567</v>
      </c>
      <c r="L4273" s="3">
        <v>3632.16</v>
      </c>
    </row>
    <row r="4274" spans="1:12" x14ac:dyDescent="0.25">
      <c r="A4274" t="s">
        <v>11</v>
      </c>
      <c r="B4274">
        <v>1197831</v>
      </c>
      <c r="C4274" s="1">
        <v>44383</v>
      </c>
      <c r="D4274" t="s">
        <v>12</v>
      </c>
      <c r="E4274" t="s">
        <v>66</v>
      </c>
      <c r="F4274" t="s">
        <v>67</v>
      </c>
      <c r="G4274" t="s">
        <v>41</v>
      </c>
      <c r="H4274" t="s">
        <v>17</v>
      </c>
      <c r="I4274" s="3">
        <v>52</v>
      </c>
      <c r="J4274" s="2">
        <v>202</v>
      </c>
      <c r="K4274" s="3">
        <f t="shared" si="66"/>
        <v>10504</v>
      </c>
      <c r="L4274" s="3">
        <v>5041.92</v>
      </c>
    </row>
    <row r="4275" spans="1:12" x14ac:dyDescent="0.25">
      <c r="A4275" t="s">
        <v>27</v>
      </c>
      <c r="B4275">
        <v>1185732</v>
      </c>
      <c r="C4275" s="1">
        <v>44383</v>
      </c>
      <c r="D4275" t="s">
        <v>29</v>
      </c>
      <c r="E4275" t="s">
        <v>91</v>
      </c>
      <c r="F4275" t="s">
        <v>92</v>
      </c>
      <c r="G4275" t="s">
        <v>41</v>
      </c>
      <c r="H4275" t="s">
        <v>35</v>
      </c>
      <c r="I4275" s="3">
        <v>37</v>
      </c>
      <c r="J4275" s="2">
        <v>81</v>
      </c>
      <c r="K4275" s="3">
        <f t="shared" si="66"/>
        <v>2997</v>
      </c>
      <c r="L4275" s="3">
        <v>1438.56</v>
      </c>
    </row>
    <row r="4276" spans="1:12" x14ac:dyDescent="0.25">
      <c r="A4276" t="s">
        <v>19</v>
      </c>
      <c r="B4276">
        <v>1185732</v>
      </c>
      <c r="C4276" s="1">
        <v>44383</v>
      </c>
      <c r="D4276" t="s">
        <v>29</v>
      </c>
      <c r="E4276" t="s">
        <v>48</v>
      </c>
      <c r="F4276" t="s">
        <v>49</v>
      </c>
      <c r="G4276" t="s">
        <v>41</v>
      </c>
      <c r="H4276" t="s">
        <v>35</v>
      </c>
      <c r="I4276" s="3">
        <v>37</v>
      </c>
      <c r="J4276" s="2">
        <v>65</v>
      </c>
      <c r="K4276" s="3">
        <f t="shared" si="66"/>
        <v>2405</v>
      </c>
      <c r="L4276" s="3">
        <v>1154.3999999999999</v>
      </c>
    </row>
    <row r="4277" spans="1:12" x14ac:dyDescent="0.25">
      <c r="A4277" t="s">
        <v>19</v>
      </c>
      <c r="B4277">
        <v>1185732</v>
      </c>
      <c r="C4277" s="1">
        <v>44383</v>
      </c>
      <c r="D4277" t="s">
        <v>29</v>
      </c>
      <c r="E4277" t="s">
        <v>48</v>
      </c>
      <c r="F4277" t="s">
        <v>49</v>
      </c>
      <c r="G4277" t="s">
        <v>41</v>
      </c>
      <c r="H4277" t="s">
        <v>37</v>
      </c>
      <c r="I4277" s="3">
        <v>37</v>
      </c>
      <c r="J4277" s="2">
        <v>58</v>
      </c>
      <c r="K4277" s="3">
        <f t="shared" si="66"/>
        <v>2146</v>
      </c>
      <c r="L4277" s="3">
        <v>1030.08</v>
      </c>
    </row>
    <row r="4278" spans="1:12" x14ac:dyDescent="0.25">
      <c r="A4278" t="s">
        <v>27</v>
      </c>
      <c r="B4278">
        <v>1185732</v>
      </c>
      <c r="C4278" s="1">
        <v>44383</v>
      </c>
      <c r="D4278" t="s">
        <v>29</v>
      </c>
      <c r="E4278" t="s">
        <v>91</v>
      </c>
      <c r="F4278" t="s">
        <v>92</v>
      </c>
      <c r="G4278" t="s">
        <v>41</v>
      </c>
      <c r="H4278" t="s">
        <v>16</v>
      </c>
      <c r="I4278" s="3">
        <v>54</v>
      </c>
      <c r="J4278" s="2">
        <v>131</v>
      </c>
      <c r="K4278" s="3">
        <f t="shared" si="66"/>
        <v>7074</v>
      </c>
      <c r="L4278" s="3">
        <v>3324.7799999999997</v>
      </c>
    </row>
    <row r="4279" spans="1:12" x14ac:dyDescent="0.25">
      <c r="A4279" t="s">
        <v>11</v>
      </c>
      <c r="B4279">
        <v>1197831</v>
      </c>
      <c r="C4279" s="1">
        <v>44383</v>
      </c>
      <c r="D4279" t="s">
        <v>12</v>
      </c>
      <c r="E4279" t="s">
        <v>66</v>
      </c>
      <c r="F4279" t="s">
        <v>67</v>
      </c>
      <c r="G4279" t="s">
        <v>15</v>
      </c>
      <c r="H4279" t="s">
        <v>37</v>
      </c>
      <c r="I4279" s="3">
        <v>38</v>
      </c>
      <c r="J4279" s="2">
        <v>158</v>
      </c>
      <c r="K4279" s="3">
        <f t="shared" si="66"/>
        <v>6004</v>
      </c>
      <c r="L4279" s="3">
        <v>2821.8799999999997</v>
      </c>
    </row>
    <row r="4280" spans="1:12" x14ac:dyDescent="0.25">
      <c r="A4280" t="s">
        <v>27</v>
      </c>
      <c r="B4280">
        <v>1185732</v>
      </c>
      <c r="C4280" s="1">
        <v>44383</v>
      </c>
      <c r="D4280" t="s">
        <v>29</v>
      </c>
      <c r="E4280" t="s">
        <v>91</v>
      </c>
      <c r="F4280" t="s">
        <v>92</v>
      </c>
      <c r="G4280" t="s">
        <v>41</v>
      </c>
      <c r="H4280" t="s">
        <v>37</v>
      </c>
      <c r="I4280" s="3">
        <v>36</v>
      </c>
      <c r="J4280" s="2">
        <v>63</v>
      </c>
      <c r="K4280" s="3">
        <f t="shared" si="66"/>
        <v>2268</v>
      </c>
      <c r="L4280" s="3">
        <v>1043.28</v>
      </c>
    </row>
    <row r="4281" spans="1:12" x14ac:dyDescent="0.25">
      <c r="A4281" t="s">
        <v>11</v>
      </c>
      <c r="B4281">
        <v>1197831</v>
      </c>
      <c r="C4281" s="1">
        <v>44383</v>
      </c>
      <c r="D4281" t="s">
        <v>12</v>
      </c>
      <c r="E4281" t="s">
        <v>66</v>
      </c>
      <c r="F4281" t="s">
        <v>67</v>
      </c>
      <c r="G4281" t="s">
        <v>41</v>
      </c>
      <c r="H4281" t="s">
        <v>35</v>
      </c>
      <c r="I4281" s="3">
        <v>46</v>
      </c>
      <c r="J4281" s="2">
        <v>241</v>
      </c>
      <c r="K4281" s="3">
        <f t="shared" si="66"/>
        <v>11086</v>
      </c>
      <c r="L4281" s="3">
        <v>4988.7000000000007</v>
      </c>
    </row>
    <row r="4282" spans="1:12" x14ac:dyDescent="0.25">
      <c r="A4282" t="s">
        <v>19</v>
      </c>
      <c r="B4282">
        <v>1197831</v>
      </c>
      <c r="C4282" s="1">
        <v>44383</v>
      </c>
      <c r="D4282" t="s">
        <v>12</v>
      </c>
      <c r="E4282" t="s">
        <v>66</v>
      </c>
      <c r="F4282" t="s">
        <v>67</v>
      </c>
      <c r="G4282" t="s">
        <v>15</v>
      </c>
      <c r="H4282" t="s">
        <v>16</v>
      </c>
      <c r="I4282" s="3">
        <v>51</v>
      </c>
      <c r="J4282" s="2">
        <v>264</v>
      </c>
      <c r="K4282" s="3">
        <f t="shared" si="66"/>
        <v>13464</v>
      </c>
      <c r="L4282" s="3">
        <v>5520.2399999999989</v>
      </c>
    </row>
    <row r="4283" spans="1:12" x14ac:dyDescent="0.25">
      <c r="A4283" t="s">
        <v>11</v>
      </c>
      <c r="B4283">
        <v>1197831</v>
      </c>
      <c r="C4283" s="1">
        <v>44383</v>
      </c>
      <c r="D4283" t="s">
        <v>12</v>
      </c>
      <c r="E4283" t="s">
        <v>66</v>
      </c>
      <c r="F4283" t="s">
        <v>67</v>
      </c>
      <c r="G4283" t="s">
        <v>41</v>
      </c>
      <c r="H4283" t="s">
        <v>37</v>
      </c>
      <c r="I4283" s="3">
        <v>47</v>
      </c>
      <c r="J4283" s="2">
        <v>137</v>
      </c>
      <c r="K4283" s="3">
        <f t="shared" si="66"/>
        <v>6439</v>
      </c>
      <c r="L4283" s="3">
        <v>2318.04</v>
      </c>
    </row>
    <row r="4284" spans="1:12" x14ac:dyDescent="0.25">
      <c r="A4284" t="s">
        <v>19</v>
      </c>
      <c r="B4284">
        <v>1197831</v>
      </c>
      <c r="C4284" s="1">
        <v>44383</v>
      </c>
      <c r="D4284" t="s">
        <v>12</v>
      </c>
      <c r="E4284" t="s">
        <v>66</v>
      </c>
      <c r="F4284" t="s">
        <v>67</v>
      </c>
      <c r="G4284" t="s">
        <v>41</v>
      </c>
      <c r="H4284" t="s">
        <v>16</v>
      </c>
      <c r="I4284" s="3">
        <v>64</v>
      </c>
      <c r="J4284" s="2">
        <v>208</v>
      </c>
      <c r="K4284" s="3">
        <f t="shared" si="66"/>
        <v>13312</v>
      </c>
      <c r="L4284" s="3">
        <v>4126.7199999999993</v>
      </c>
    </row>
    <row r="4285" spans="1:12" x14ac:dyDescent="0.25">
      <c r="A4285" t="s">
        <v>19</v>
      </c>
      <c r="B4285">
        <v>1185732</v>
      </c>
      <c r="C4285" s="1">
        <v>44384</v>
      </c>
      <c r="D4285" t="s">
        <v>57</v>
      </c>
      <c r="E4285" t="s">
        <v>95</v>
      </c>
      <c r="F4285" t="s">
        <v>96</v>
      </c>
      <c r="G4285" t="s">
        <v>15</v>
      </c>
      <c r="H4285" t="s">
        <v>17</v>
      </c>
      <c r="I4285" s="3">
        <v>45.000000000000007</v>
      </c>
      <c r="J4285" s="2">
        <v>325</v>
      </c>
      <c r="K4285" s="3">
        <f t="shared" si="66"/>
        <v>14625.000000000002</v>
      </c>
      <c r="L4285" s="3">
        <v>9506.2500000000036</v>
      </c>
    </row>
    <row r="4286" spans="1:12" x14ac:dyDescent="0.25">
      <c r="A4286" t="s">
        <v>19</v>
      </c>
      <c r="B4286">
        <v>1185732</v>
      </c>
      <c r="C4286" s="1">
        <v>44384</v>
      </c>
      <c r="D4286" t="s">
        <v>57</v>
      </c>
      <c r="E4286" t="s">
        <v>118</v>
      </c>
      <c r="F4286" t="s">
        <v>119</v>
      </c>
      <c r="G4286" t="s">
        <v>15</v>
      </c>
      <c r="H4286" t="s">
        <v>16</v>
      </c>
      <c r="I4286" s="3">
        <v>45</v>
      </c>
      <c r="J4286" s="2">
        <v>275</v>
      </c>
      <c r="K4286" s="3">
        <f t="shared" si="66"/>
        <v>12375</v>
      </c>
      <c r="L4286" s="3">
        <v>6187.5</v>
      </c>
    </row>
    <row r="4287" spans="1:12" x14ac:dyDescent="0.25">
      <c r="A4287" t="s">
        <v>19</v>
      </c>
      <c r="B4287">
        <v>1185732</v>
      </c>
      <c r="C4287" s="1">
        <v>44384</v>
      </c>
      <c r="D4287" t="s">
        <v>57</v>
      </c>
      <c r="E4287" t="s">
        <v>95</v>
      </c>
      <c r="F4287" t="s">
        <v>96</v>
      </c>
      <c r="G4287" t="s">
        <v>41</v>
      </c>
      <c r="H4287" t="s">
        <v>17</v>
      </c>
      <c r="I4287" s="3">
        <v>43</v>
      </c>
      <c r="J4287" s="2">
        <v>81</v>
      </c>
      <c r="K4287" s="3">
        <f t="shared" si="66"/>
        <v>3483</v>
      </c>
      <c r="L4287" s="3">
        <v>1915.65</v>
      </c>
    </row>
    <row r="4288" spans="1:12" x14ac:dyDescent="0.25">
      <c r="A4288" t="s">
        <v>19</v>
      </c>
      <c r="B4288">
        <v>1185732</v>
      </c>
      <c r="C4288" s="1">
        <v>44384</v>
      </c>
      <c r="D4288" t="s">
        <v>57</v>
      </c>
      <c r="E4288" t="s">
        <v>118</v>
      </c>
      <c r="F4288" t="s">
        <v>119</v>
      </c>
      <c r="G4288" t="s">
        <v>41</v>
      </c>
      <c r="H4288" t="s">
        <v>16</v>
      </c>
      <c r="I4288" s="3">
        <v>44</v>
      </c>
      <c r="J4288" s="2">
        <v>69</v>
      </c>
      <c r="K4288" s="3">
        <f t="shared" si="66"/>
        <v>3036</v>
      </c>
      <c r="L4288" s="3">
        <v>1214.4000000000001</v>
      </c>
    </row>
    <row r="4289" spans="1:12" x14ac:dyDescent="0.25">
      <c r="A4289" t="s">
        <v>11</v>
      </c>
      <c r="B4289">
        <v>1185732</v>
      </c>
      <c r="C4289" s="1">
        <v>44385</v>
      </c>
      <c r="D4289" t="s">
        <v>29</v>
      </c>
      <c r="E4289" t="s">
        <v>60</v>
      </c>
      <c r="F4289" t="s">
        <v>61</v>
      </c>
      <c r="G4289" t="s">
        <v>18</v>
      </c>
      <c r="H4289" t="s">
        <v>35</v>
      </c>
      <c r="I4289" s="3">
        <v>55.000000000000007</v>
      </c>
      <c r="J4289" s="2">
        <v>625</v>
      </c>
      <c r="K4289" s="3">
        <f t="shared" si="66"/>
        <v>34375.000000000007</v>
      </c>
      <c r="L4289" s="3">
        <v>25781.250000000007</v>
      </c>
    </row>
    <row r="4290" spans="1:12" x14ac:dyDescent="0.25">
      <c r="A4290" t="s">
        <v>26</v>
      </c>
      <c r="B4290">
        <v>1185732</v>
      </c>
      <c r="C4290" s="1">
        <v>44385</v>
      </c>
      <c r="D4290" t="s">
        <v>57</v>
      </c>
      <c r="E4290" t="s">
        <v>76</v>
      </c>
      <c r="F4290" t="s">
        <v>77</v>
      </c>
      <c r="G4290" t="s">
        <v>18</v>
      </c>
      <c r="H4290" t="s">
        <v>17</v>
      </c>
      <c r="I4290" s="3">
        <v>45.000000000000007</v>
      </c>
      <c r="J4290" s="2">
        <v>300</v>
      </c>
      <c r="K4290" s="3">
        <f t="shared" si="66"/>
        <v>13500.000000000002</v>
      </c>
      <c r="L4290" s="3">
        <v>9450.0000000000036</v>
      </c>
    </row>
    <row r="4291" spans="1:12" x14ac:dyDescent="0.25">
      <c r="A4291" t="s">
        <v>11</v>
      </c>
      <c r="B4291">
        <v>1185732</v>
      </c>
      <c r="C4291" s="1">
        <v>44385</v>
      </c>
      <c r="D4291" t="s">
        <v>29</v>
      </c>
      <c r="E4291" t="s">
        <v>60</v>
      </c>
      <c r="F4291" t="s">
        <v>61</v>
      </c>
      <c r="G4291" t="s">
        <v>18</v>
      </c>
      <c r="H4291" t="s">
        <v>37</v>
      </c>
      <c r="I4291" s="3">
        <v>55.000000000000007</v>
      </c>
      <c r="J4291" s="2">
        <v>575</v>
      </c>
      <c r="K4291" s="3">
        <f t="shared" ref="K4291:K4354" si="67">I4291*J4291</f>
        <v>31625.000000000004</v>
      </c>
      <c r="L4291" s="3">
        <v>22137.500000000007</v>
      </c>
    </row>
    <row r="4292" spans="1:12" x14ac:dyDescent="0.25">
      <c r="A4292" t="s">
        <v>26</v>
      </c>
      <c r="B4292">
        <v>1185732</v>
      </c>
      <c r="C4292" s="1">
        <v>44385</v>
      </c>
      <c r="D4292" t="s">
        <v>57</v>
      </c>
      <c r="E4292" t="s">
        <v>76</v>
      </c>
      <c r="F4292" t="s">
        <v>77</v>
      </c>
      <c r="G4292" t="s">
        <v>18</v>
      </c>
      <c r="H4292" t="s">
        <v>35</v>
      </c>
      <c r="I4292" s="3">
        <v>40</v>
      </c>
      <c r="J4292" s="2">
        <v>225</v>
      </c>
      <c r="K4292" s="3">
        <f t="shared" si="67"/>
        <v>9000</v>
      </c>
      <c r="L4292" s="3">
        <v>6300</v>
      </c>
    </row>
    <row r="4293" spans="1:12" x14ac:dyDescent="0.25">
      <c r="A4293" t="s">
        <v>26</v>
      </c>
      <c r="B4293">
        <v>1185732</v>
      </c>
      <c r="C4293" s="1">
        <v>44385</v>
      </c>
      <c r="D4293" t="s">
        <v>57</v>
      </c>
      <c r="E4293" t="s">
        <v>76</v>
      </c>
      <c r="F4293" t="s">
        <v>77</v>
      </c>
      <c r="G4293" t="s">
        <v>18</v>
      </c>
      <c r="H4293" t="s">
        <v>37</v>
      </c>
      <c r="I4293" s="3">
        <v>40</v>
      </c>
      <c r="J4293" s="2">
        <v>175</v>
      </c>
      <c r="K4293" s="3">
        <f t="shared" si="67"/>
        <v>7000</v>
      </c>
      <c r="L4293" s="3">
        <v>4900</v>
      </c>
    </row>
    <row r="4294" spans="1:12" x14ac:dyDescent="0.25">
      <c r="A4294" t="s">
        <v>19</v>
      </c>
      <c r="B4294">
        <v>1185732</v>
      </c>
      <c r="C4294" s="1">
        <v>44385</v>
      </c>
      <c r="D4294" t="s">
        <v>57</v>
      </c>
      <c r="E4294" t="s">
        <v>95</v>
      </c>
      <c r="F4294" t="s">
        <v>96</v>
      </c>
      <c r="G4294" t="s">
        <v>15</v>
      </c>
      <c r="H4294" t="s">
        <v>35</v>
      </c>
      <c r="I4294" s="3">
        <v>40</v>
      </c>
      <c r="J4294" s="2">
        <v>250</v>
      </c>
      <c r="K4294" s="3">
        <f t="shared" si="67"/>
        <v>10000</v>
      </c>
      <c r="L4294" s="3">
        <v>6500</v>
      </c>
    </row>
    <row r="4295" spans="1:12" x14ac:dyDescent="0.25">
      <c r="A4295" t="s">
        <v>11</v>
      </c>
      <c r="B4295">
        <v>1185732</v>
      </c>
      <c r="C4295" s="1">
        <v>44385</v>
      </c>
      <c r="D4295" t="s">
        <v>29</v>
      </c>
      <c r="E4295" t="s">
        <v>60</v>
      </c>
      <c r="F4295" t="s">
        <v>61</v>
      </c>
      <c r="G4295" t="s">
        <v>18</v>
      </c>
      <c r="H4295" t="s">
        <v>17</v>
      </c>
      <c r="I4295" s="3">
        <v>60.000000000000007</v>
      </c>
      <c r="J4295" s="2">
        <v>700</v>
      </c>
      <c r="K4295" s="3">
        <f t="shared" si="67"/>
        <v>42000.000000000007</v>
      </c>
      <c r="L4295" s="3">
        <v>27300.000000000007</v>
      </c>
    </row>
    <row r="4296" spans="1:12" x14ac:dyDescent="0.25">
      <c r="A4296" t="s">
        <v>11</v>
      </c>
      <c r="B4296">
        <v>1185732</v>
      </c>
      <c r="C4296" s="1">
        <v>44385</v>
      </c>
      <c r="D4296" t="s">
        <v>29</v>
      </c>
      <c r="E4296" t="s">
        <v>60</v>
      </c>
      <c r="F4296" t="s">
        <v>61</v>
      </c>
      <c r="G4296" t="s">
        <v>18</v>
      </c>
      <c r="H4296" t="s">
        <v>22</v>
      </c>
      <c r="I4296" s="3">
        <v>65</v>
      </c>
      <c r="J4296" s="2">
        <v>600</v>
      </c>
      <c r="K4296" s="3">
        <f t="shared" si="67"/>
        <v>39000</v>
      </c>
      <c r="L4296" s="3">
        <v>25350</v>
      </c>
    </row>
    <row r="4297" spans="1:12" x14ac:dyDescent="0.25">
      <c r="A4297" t="s">
        <v>26</v>
      </c>
      <c r="B4297">
        <v>1185732</v>
      </c>
      <c r="C4297" s="1">
        <v>44385</v>
      </c>
      <c r="D4297" t="s">
        <v>57</v>
      </c>
      <c r="E4297" t="s">
        <v>76</v>
      </c>
      <c r="F4297" t="s">
        <v>77</v>
      </c>
      <c r="G4297" t="s">
        <v>18</v>
      </c>
      <c r="H4297" t="s">
        <v>38</v>
      </c>
      <c r="I4297" s="3">
        <v>50</v>
      </c>
      <c r="J4297" s="2">
        <v>550</v>
      </c>
      <c r="K4297" s="3">
        <f t="shared" si="67"/>
        <v>27500</v>
      </c>
      <c r="L4297" s="3">
        <v>17875</v>
      </c>
    </row>
    <row r="4298" spans="1:12" x14ac:dyDescent="0.25">
      <c r="A4298" t="s">
        <v>26</v>
      </c>
      <c r="B4298">
        <v>1185732</v>
      </c>
      <c r="C4298" s="1">
        <v>44385</v>
      </c>
      <c r="D4298" t="s">
        <v>57</v>
      </c>
      <c r="E4298" t="s">
        <v>76</v>
      </c>
      <c r="F4298" t="s">
        <v>77</v>
      </c>
      <c r="G4298" t="s">
        <v>18</v>
      </c>
      <c r="H4298" t="s">
        <v>22</v>
      </c>
      <c r="I4298" s="3">
        <v>50</v>
      </c>
      <c r="J4298" s="2">
        <v>200</v>
      </c>
      <c r="K4298" s="3">
        <f t="shared" si="67"/>
        <v>10000</v>
      </c>
      <c r="L4298" s="3">
        <v>6500</v>
      </c>
    </row>
    <row r="4299" spans="1:12" x14ac:dyDescent="0.25">
      <c r="A4299" t="s">
        <v>19</v>
      </c>
      <c r="B4299">
        <v>1185732</v>
      </c>
      <c r="C4299" s="1">
        <v>44385</v>
      </c>
      <c r="D4299" t="s">
        <v>57</v>
      </c>
      <c r="E4299" t="s">
        <v>118</v>
      </c>
      <c r="F4299" t="s">
        <v>119</v>
      </c>
      <c r="G4299" t="s">
        <v>15</v>
      </c>
      <c r="H4299" t="s">
        <v>38</v>
      </c>
      <c r="I4299" s="3">
        <v>40</v>
      </c>
      <c r="J4299" s="2">
        <v>400</v>
      </c>
      <c r="K4299" s="3">
        <f t="shared" si="67"/>
        <v>16000</v>
      </c>
      <c r="L4299" s="3">
        <v>9600</v>
      </c>
    </row>
    <row r="4300" spans="1:12" x14ac:dyDescent="0.25">
      <c r="A4300" t="s">
        <v>26</v>
      </c>
      <c r="B4300">
        <v>1185732</v>
      </c>
      <c r="C4300" s="1">
        <v>44385</v>
      </c>
      <c r="D4300" t="s">
        <v>57</v>
      </c>
      <c r="E4300" t="s">
        <v>76</v>
      </c>
      <c r="F4300" t="s">
        <v>77</v>
      </c>
      <c r="G4300" t="s">
        <v>18</v>
      </c>
      <c r="H4300" t="s">
        <v>16</v>
      </c>
      <c r="I4300" s="3">
        <v>55.000000000000007</v>
      </c>
      <c r="J4300" s="2">
        <v>375</v>
      </c>
      <c r="K4300" s="3">
        <f t="shared" si="67"/>
        <v>20625.000000000004</v>
      </c>
      <c r="L4300" s="3">
        <v>12375.000000000002</v>
      </c>
    </row>
    <row r="4301" spans="1:12" x14ac:dyDescent="0.25">
      <c r="A4301" t="s">
        <v>11</v>
      </c>
      <c r="B4301">
        <v>1185732</v>
      </c>
      <c r="C4301" s="1">
        <v>44385</v>
      </c>
      <c r="D4301" t="s">
        <v>29</v>
      </c>
      <c r="E4301" t="s">
        <v>60</v>
      </c>
      <c r="F4301" t="s">
        <v>61</v>
      </c>
      <c r="G4301" t="s">
        <v>18</v>
      </c>
      <c r="H4301" t="s">
        <v>38</v>
      </c>
      <c r="I4301" s="3">
        <v>65</v>
      </c>
      <c r="J4301" s="2">
        <v>950</v>
      </c>
      <c r="K4301" s="3">
        <f t="shared" si="67"/>
        <v>61750</v>
      </c>
      <c r="L4301" s="3">
        <v>33962.5</v>
      </c>
    </row>
    <row r="4302" spans="1:12" x14ac:dyDescent="0.25">
      <c r="A4302" t="s">
        <v>11</v>
      </c>
      <c r="B4302">
        <v>1185732</v>
      </c>
      <c r="C4302" s="1">
        <v>44385</v>
      </c>
      <c r="D4302" t="s">
        <v>29</v>
      </c>
      <c r="E4302" t="s">
        <v>60</v>
      </c>
      <c r="F4302" t="s">
        <v>61</v>
      </c>
      <c r="G4302" t="s">
        <v>18</v>
      </c>
      <c r="H4302" t="s">
        <v>16</v>
      </c>
      <c r="I4302" s="3">
        <v>70</v>
      </c>
      <c r="J4302" s="2">
        <v>775</v>
      </c>
      <c r="K4302" s="3">
        <f t="shared" si="67"/>
        <v>54250</v>
      </c>
      <c r="L4302" s="3">
        <v>27125</v>
      </c>
    </row>
    <row r="4303" spans="1:12" x14ac:dyDescent="0.25">
      <c r="A4303" t="s">
        <v>11</v>
      </c>
      <c r="B4303">
        <v>1185732</v>
      </c>
      <c r="C4303" s="1">
        <v>44385</v>
      </c>
      <c r="D4303" t="s">
        <v>29</v>
      </c>
      <c r="E4303" t="s">
        <v>60</v>
      </c>
      <c r="F4303" t="s">
        <v>61</v>
      </c>
      <c r="G4303" t="s">
        <v>41</v>
      </c>
      <c r="H4303" t="s">
        <v>35</v>
      </c>
      <c r="I4303" s="3">
        <v>51</v>
      </c>
      <c r="J4303" s="2">
        <v>169</v>
      </c>
      <c r="K4303" s="3">
        <f t="shared" si="67"/>
        <v>8619</v>
      </c>
      <c r="L4303" s="3">
        <v>5602.35</v>
      </c>
    </row>
    <row r="4304" spans="1:12" x14ac:dyDescent="0.25">
      <c r="A4304" t="s">
        <v>26</v>
      </c>
      <c r="B4304">
        <v>1185732</v>
      </c>
      <c r="C4304" s="1">
        <v>44385</v>
      </c>
      <c r="D4304" t="s">
        <v>57</v>
      </c>
      <c r="E4304" t="s">
        <v>76</v>
      </c>
      <c r="F4304" t="s">
        <v>77</v>
      </c>
      <c r="G4304" t="s">
        <v>41</v>
      </c>
      <c r="H4304" t="s">
        <v>35</v>
      </c>
      <c r="I4304" s="3">
        <v>37</v>
      </c>
      <c r="J4304" s="2">
        <v>59</v>
      </c>
      <c r="K4304" s="3">
        <f t="shared" si="67"/>
        <v>2183</v>
      </c>
      <c r="L4304" s="3">
        <v>1309.8</v>
      </c>
    </row>
    <row r="4305" spans="1:12" x14ac:dyDescent="0.25">
      <c r="A4305" t="s">
        <v>26</v>
      </c>
      <c r="B4305">
        <v>1185732</v>
      </c>
      <c r="C4305" s="1">
        <v>44385</v>
      </c>
      <c r="D4305" t="s">
        <v>57</v>
      </c>
      <c r="E4305" t="s">
        <v>76</v>
      </c>
      <c r="F4305" t="s">
        <v>77</v>
      </c>
      <c r="G4305" t="s">
        <v>41</v>
      </c>
      <c r="H4305" t="s">
        <v>17</v>
      </c>
      <c r="I4305" s="3">
        <v>44</v>
      </c>
      <c r="J4305" s="2">
        <v>84</v>
      </c>
      <c r="K4305" s="3">
        <f t="shared" si="67"/>
        <v>3696</v>
      </c>
      <c r="L4305" s="3">
        <v>2106.7200000000003</v>
      </c>
    </row>
    <row r="4306" spans="1:12" x14ac:dyDescent="0.25">
      <c r="A4306" t="s">
        <v>11</v>
      </c>
      <c r="B4306">
        <v>1185732</v>
      </c>
      <c r="C4306" s="1">
        <v>44385</v>
      </c>
      <c r="D4306" t="s">
        <v>29</v>
      </c>
      <c r="E4306" t="s">
        <v>60</v>
      </c>
      <c r="F4306" t="s">
        <v>61</v>
      </c>
      <c r="G4306" t="s">
        <v>41</v>
      </c>
      <c r="H4306" t="s">
        <v>37</v>
      </c>
      <c r="I4306" s="3">
        <v>53</v>
      </c>
      <c r="J4306" s="2">
        <v>150</v>
      </c>
      <c r="K4306" s="3">
        <f t="shared" si="67"/>
        <v>7950</v>
      </c>
      <c r="L4306" s="3">
        <v>4531.5</v>
      </c>
    </row>
    <row r="4307" spans="1:12" x14ac:dyDescent="0.25">
      <c r="A4307" t="s">
        <v>26</v>
      </c>
      <c r="B4307">
        <v>1185732</v>
      </c>
      <c r="C4307" s="1">
        <v>44385</v>
      </c>
      <c r="D4307" t="s">
        <v>57</v>
      </c>
      <c r="E4307" t="s">
        <v>76</v>
      </c>
      <c r="F4307" t="s">
        <v>77</v>
      </c>
      <c r="G4307" t="s">
        <v>41</v>
      </c>
      <c r="H4307" t="s">
        <v>37</v>
      </c>
      <c r="I4307" s="3">
        <v>38</v>
      </c>
      <c r="J4307" s="2">
        <v>53</v>
      </c>
      <c r="K4307" s="3">
        <f t="shared" si="67"/>
        <v>2014</v>
      </c>
      <c r="L4307" s="3">
        <v>1147.98</v>
      </c>
    </row>
    <row r="4308" spans="1:12" x14ac:dyDescent="0.25">
      <c r="A4308" t="s">
        <v>19</v>
      </c>
      <c r="B4308">
        <v>1185732</v>
      </c>
      <c r="C4308" s="1">
        <v>44385</v>
      </c>
      <c r="D4308" t="s">
        <v>57</v>
      </c>
      <c r="E4308" t="s">
        <v>95</v>
      </c>
      <c r="F4308" t="s">
        <v>96</v>
      </c>
      <c r="G4308" t="s">
        <v>41</v>
      </c>
      <c r="H4308" t="s">
        <v>35</v>
      </c>
      <c r="I4308" s="3">
        <v>36</v>
      </c>
      <c r="J4308" s="2">
        <v>65</v>
      </c>
      <c r="K4308" s="3">
        <f t="shared" si="67"/>
        <v>2340</v>
      </c>
      <c r="L4308" s="3">
        <v>1287</v>
      </c>
    </row>
    <row r="4309" spans="1:12" x14ac:dyDescent="0.25">
      <c r="A4309" t="s">
        <v>11</v>
      </c>
      <c r="B4309">
        <v>1185732</v>
      </c>
      <c r="C4309" s="1">
        <v>44385</v>
      </c>
      <c r="D4309" t="s">
        <v>29</v>
      </c>
      <c r="E4309" t="s">
        <v>60</v>
      </c>
      <c r="F4309" t="s">
        <v>61</v>
      </c>
      <c r="G4309" t="s">
        <v>41</v>
      </c>
      <c r="H4309" t="s">
        <v>17</v>
      </c>
      <c r="I4309" s="3">
        <v>56</v>
      </c>
      <c r="J4309" s="2">
        <v>196</v>
      </c>
      <c r="K4309" s="3">
        <f t="shared" si="67"/>
        <v>10976</v>
      </c>
      <c r="L4309" s="3">
        <v>6036.8</v>
      </c>
    </row>
    <row r="4310" spans="1:12" x14ac:dyDescent="0.25">
      <c r="A4310" t="s">
        <v>11</v>
      </c>
      <c r="B4310">
        <v>1185732</v>
      </c>
      <c r="C4310" s="1">
        <v>44385</v>
      </c>
      <c r="D4310" t="s">
        <v>29</v>
      </c>
      <c r="E4310" t="s">
        <v>60</v>
      </c>
      <c r="F4310" t="s">
        <v>61</v>
      </c>
      <c r="G4310" t="s">
        <v>41</v>
      </c>
      <c r="H4310" t="s">
        <v>22</v>
      </c>
      <c r="I4310" s="3">
        <v>62</v>
      </c>
      <c r="J4310" s="2">
        <v>168</v>
      </c>
      <c r="K4310" s="3">
        <f t="shared" si="67"/>
        <v>10416</v>
      </c>
      <c r="L4310" s="3">
        <v>5624.64</v>
      </c>
    </row>
    <row r="4311" spans="1:12" x14ac:dyDescent="0.25">
      <c r="A4311" t="s">
        <v>26</v>
      </c>
      <c r="B4311">
        <v>1185732</v>
      </c>
      <c r="C4311" s="1">
        <v>44385</v>
      </c>
      <c r="D4311" t="s">
        <v>57</v>
      </c>
      <c r="E4311" t="s">
        <v>76</v>
      </c>
      <c r="F4311" t="s">
        <v>77</v>
      </c>
      <c r="G4311" t="s">
        <v>41</v>
      </c>
      <c r="H4311" t="s">
        <v>22</v>
      </c>
      <c r="I4311" s="3">
        <v>49</v>
      </c>
      <c r="J4311" s="2">
        <v>60</v>
      </c>
      <c r="K4311" s="3">
        <f t="shared" si="67"/>
        <v>2940</v>
      </c>
      <c r="L4311" s="3">
        <v>1587.6000000000001</v>
      </c>
    </row>
    <row r="4312" spans="1:12" x14ac:dyDescent="0.25">
      <c r="A4312" t="s">
        <v>26</v>
      </c>
      <c r="B4312">
        <v>1185732</v>
      </c>
      <c r="C4312" s="1">
        <v>44385</v>
      </c>
      <c r="D4312" t="s">
        <v>57</v>
      </c>
      <c r="E4312" t="s">
        <v>76</v>
      </c>
      <c r="F4312" t="s">
        <v>77</v>
      </c>
      <c r="G4312" t="s">
        <v>41</v>
      </c>
      <c r="H4312" t="s">
        <v>38</v>
      </c>
      <c r="I4312" s="3">
        <v>48</v>
      </c>
      <c r="J4312" s="2">
        <v>160</v>
      </c>
      <c r="K4312" s="3">
        <f t="shared" si="67"/>
        <v>7680</v>
      </c>
      <c r="L4312" s="3">
        <v>3916.8</v>
      </c>
    </row>
    <row r="4313" spans="1:12" x14ac:dyDescent="0.25">
      <c r="A4313" t="s">
        <v>19</v>
      </c>
      <c r="B4313">
        <v>1185732</v>
      </c>
      <c r="C4313" s="1">
        <v>44385</v>
      </c>
      <c r="D4313" t="s">
        <v>57</v>
      </c>
      <c r="E4313" t="s">
        <v>118</v>
      </c>
      <c r="F4313" t="s">
        <v>119</v>
      </c>
      <c r="G4313" t="s">
        <v>41</v>
      </c>
      <c r="H4313" t="s">
        <v>38</v>
      </c>
      <c r="I4313" s="3">
        <v>38</v>
      </c>
      <c r="J4313" s="2">
        <v>112</v>
      </c>
      <c r="K4313" s="3">
        <f t="shared" si="67"/>
        <v>4256</v>
      </c>
      <c r="L4313" s="3">
        <v>1957.7599999999998</v>
      </c>
    </row>
    <row r="4314" spans="1:12" x14ac:dyDescent="0.25">
      <c r="A4314" t="s">
        <v>26</v>
      </c>
      <c r="B4314">
        <v>1185732</v>
      </c>
      <c r="C4314" s="1">
        <v>44385</v>
      </c>
      <c r="D4314" t="s">
        <v>57</v>
      </c>
      <c r="E4314" t="s">
        <v>76</v>
      </c>
      <c r="F4314" t="s">
        <v>77</v>
      </c>
      <c r="G4314" t="s">
        <v>41</v>
      </c>
      <c r="H4314" t="s">
        <v>16</v>
      </c>
      <c r="I4314" s="3">
        <v>54</v>
      </c>
      <c r="J4314" s="2">
        <v>98</v>
      </c>
      <c r="K4314" s="3">
        <f t="shared" si="67"/>
        <v>5292</v>
      </c>
      <c r="L4314" s="3">
        <v>2434.3199999999997</v>
      </c>
    </row>
    <row r="4315" spans="1:12" x14ac:dyDescent="0.25">
      <c r="A4315" t="s">
        <v>11</v>
      </c>
      <c r="B4315">
        <v>1185732</v>
      </c>
      <c r="C4315" s="1">
        <v>44385</v>
      </c>
      <c r="D4315" t="s">
        <v>29</v>
      </c>
      <c r="E4315" t="s">
        <v>60</v>
      </c>
      <c r="F4315" t="s">
        <v>61</v>
      </c>
      <c r="G4315" t="s">
        <v>41</v>
      </c>
      <c r="H4315" t="s">
        <v>38</v>
      </c>
      <c r="I4315" s="3">
        <v>59</v>
      </c>
      <c r="J4315" s="2">
        <v>247</v>
      </c>
      <c r="K4315" s="3">
        <f t="shared" si="67"/>
        <v>14573</v>
      </c>
      <c r="L4315" s="3">
        <v>6557.8499999999995</v>
      </c>
    </row>
    <row r="4316" spans="1:12" x14ac:dyDescent="0.25">
      <c r="A4316" t="s">
        <v>11</v>
      </c>
      <c r="B4316">
        <v>1185732</v>
      </c>
      <c r="C4316" s="1">
        <v>44385</v>
      </c>
      <c r="D4316" t="s">
        <v>29</v>
      </c>
      <c r="E4316" t="s">
        <v>60</v>
      </c>
      <c r="F4316" t="s">
        <v>61</v>
      </c>
      <c r="G4316" t="s">
        <v>41</v>
      </c>
      <c r="H4316" t="s">
        <v>16</v>
      </c>
      <c r="I4316" s="3">
        <v>66</v>
      </c>
      <c r="J4316" s="2">
        <v>194</v>
      </c>
      <c r="K4316" s="3">
        <f t="shared" si="67"/>
        <v>12804</v>
      </c>
      <c r="L4316" s="3">
        <v>4481.3999999999996</v>
      </c>
    </row>
    <row r="4317" spans="1:12" x14ac:dyDescent="0.25">
      <c r="A4317" t="s">
        <v>19</v>
      </c>
      <c r="B4317">
        <v>1128299</v>
      </c>
      <c r="C4317" s="1">
        <v>44386</v>
      </c>
      <c r="D4317" t="s">
        <v>12</v>
      </c>
      <c r="E4317" t="s">
        <v>20</v>
      </c>
      <c r="F4317" t="s">
        <v>21</v>
      </c>
      <c r="G4317" t="s">
        <v>15</v>
      </c>
      <c r="H4317" t="s">
        <v>22</v>
      </c>
      <c r="I4317" s="3">
        <v>85.000000000000014</v>
      </c>
      <c r="J4317" s="2">
        <v>550</v>
      </c>
      <c r="K4317" s="3">
        <f t="shared" si="67"/>
        <v>46750.000000000007</v>
      </c>
      <c r="L4317" s="3">
        <v>39737.500000000007</v>
      </c>
    </row>
    <row r="4318" spans="1:12" x14ac:dyDescent="0.25">
      <c r="A4318" t="s">
        <v>19</v>
      </c>
      <c r="B4318">
        <v>1128299</v>
      </c>
      <c r="C4318" s="1">
        <v>44386</v>
      </c>
      <c r="D4318" t="s">
        <v>12</v>
      </c>
      <c r="E4318" t="s">
        <v>20</v>
      </c>
      <c r="F4318" t="s">
        <v>21</v>
      </c>
      <c r="G4318" t="s">
        <v>15</v>
      </c>
      <c r="H4318" t="s">
        <v>17</v>
      </c>
      <c r="I4318" s="3">
        <v>85.000000000000014</v>
      </c>
      <c r="J4318" s="2">
        <v>650</v>
      </c>
      <c r="K4318" s="3">
        <f t="shared" si="67"/>
        <v>55250.000000000007</v>
      </c>
      <c r="L4318" s="3">
        <v>44200.000000000015</v>
      </c>
    </row>
    <row r="4319" spans="1:12" x14ac:dyDescent="0.25">
      <c r="A4319" t="s">
        <v>19</v>
      </c>
      <c r="B4319">
        <v>1128299</v>
      </c>
      <c r="C4319" s="1">
        <v>44386</v>
      </c>
      <c r="D4319" t="s">
        <v>12</v>
      </c>
      <c r="E4319" t="s">
        <v>20</v>
      </c>
      <c r="F4319" t="s">
        <v>21</v>
      </c>
      <c r="G4319" t="s">
        <v>15</v>
      </c>
      <c r="H4319" t="s">
        <v>38</v>
      </c>
      <c r="I4319" s="3">
        <v>80</v>
      </c>
      <c r="J4319" s="2">
        <v>800</v>
      </c>
      <c r="K4319" s="3">
        <f t="shared" si="67"/>
        <v>64000</v>
      </c>
      <c r="L4319" s="3">
        <v>48000</v>
      </c>
    </row>
    <row r="4320" spans="1:12" x14ac:dyDescent="0.25">
      <c r="A4320" t="s">
        <v>19</v>
      </c>
      <c r="B4320">
        <v>1128299</v>
      </c>
      <c r="C4320" s="1">
        <v>44386</v>
      </c>
      <c r="D4320" t="s">
        <v>12</v>
      </c>
      <c r="E4320" t="s">
        <v>20</v>
      </c>
      <c r="F4320" t="s">
        <v>21</v>
      </c>
      <c r="G4320" t="s">
        <v>15</v>
      </c>
      <c r="H4320" t="s">
        <v>35</v>
      </c>
      <c r="I4320" s="3">
        <v>85.000000000000014</v>
      </c>
      <c r="J4320" s="2">
        <v>600</v>
      </c>
      <c r="K4320" s="3">
        <f t="shared" si="67"/>
        <v>51000.000000000007</v>
      </c>
      <c r="L4320" s="3">
        <v>38250.000000000007</v>
      </c>
    </row>
    <row r="4321" spans="1:12" x14ac:dyDescent="0.25">
      <c r="A4321" t="s">
        <v>19</v>
      </c>
      <c r="B4321">
        <v>1128299</v>
      </c>
      <c r="C4321" s="1">
        <v>44386</v>
      </c>
      <c r="D4321" t="s">
        <v>12</v>
      </c>
      <c r="E4321" t="s">
        <v>20</v>
      </c>
      <c r="F4321" t="s">
        <v>21</v>
      </c>
      <c r="G4321" t="s">
        <v>15</v>
      </c>
      <c r="H4321" t="s">
        <v>37</v>
      </c>
      <c r="I4321" s="3">
        <v>80</v>
      </c>
      <c r="J4321" s="2">
        <v>500</v>
      </c>
      <c r="K4321" s="3">
        <f t="shared" si="67"/>
        <v>40000</v>
      </c>
      <c r="L4321" s="3">
        <v>30000</v>
      </c>
    </row>
    <row r="4322" spans="1:12" x14ac:dyDescent="0.25">
      <c r="A4322" t="s">
        <v>11</v>
      </c>
      <c r="B4322">
        <v>1185732</v>
      </c>
      <c r="C4322" s="1">
        <v>44386</v>
      </c>
      <c r="D4322" t="s">
        <v>57</v>
      </c>
      <c r="E4322" t="s">
        <v>103</v>
      </c>
      <c r="F4322" t="s">
        <v>104</v>
      </c>
      <c r="G4322" t="s">
        <v>18</v>
      </c>
      <c r="H4322" t="s">
        <v>22</v>
      </c>
      <c r="I4322" s="3">
        <v>55.000000000000007</v>
      </c>
      <c r="J4322" s="2">
        <v>200</v>
      </c>
      <c r="K4322" s="3">
        <f t="shared" si="67"/>
        <v>11000.000000000002</v>
      </c>
      <c r="L4322" s="3">
        <v>7700.0000000000018</v>
      </c>
    </row>
    <row r="4323" spans="1:12" x14ac:dyDescent="0.25">
      <c r="A4323" t="s">
        <v>19</v>
      </c>
      <c r="B4323">
        <v>1185732</v>
      </c>
      <c r="C4323" s="1">
        <v>44386</v>
      </c>
      <c r="D4323" t="s">
        <v>57</v>
      </c>
      <c r="E4323" t="s">
        <v>118</v>
      </c>
      <c r="F4323" t="s">
        <v>119</v>
      </c>
      <c r="G4323" t="s">
        <v>15</v>
      </c>
      <c r="H4323" t="s">
        <v>17</v>
      </c>
      <c r="I4323" s="3">
        <v>35.000000000000007</v>
      </c>
      <c r="J4323" s="2">
        <v>200</v>
      </c>
      <c r="K4323" s="3">
        <f t="shared" si="67"/>
        <v>7000.0000000000018</v>
      </c>
      <c r="L4323" s="3">
        <v>4550.0000000000018</v>
      </c>
    </row>
    <row r="4324" spans="1:12" x14ac:dyDescent="0.25">
      <c r="A4324" t="s">
        <v>36</v>
      </c>
      <c r="B4324">
        <v>1185732</v>
      </c>
      <c r="C4324" s="1">
        <v>44386</v>
      </c>
      <c r="D4324" t="s">
        <v>57</v>
      </c>
      <c r="E4324" t="s">
        <v>110</v>
      </c>
      <c r="F4324" t="s">
        <v>111</v>
      </c>
      <c r="G4324" t="s">
        <v>41</v>
      </c>
      <c r="H4324" t="s">
        <v>17</v>
      </c>
      <c r="I4324" s="3">
        <v>60.000000000000007</v>
      </c>
      <c r="J4324" s="2">
        <v>650</v>
      </c>
      <c r="K4324" s="3">
        <f t="shared" si="67"/>
        <v>39000.000000000007</v>
      </c>
      <c r="L4324" s="3">
        <v>25350.000000000007</v>
      </c>
    </row>
    <row r="4325" spans="1:12" x14ac:dyDescent="0.25">
      <c r="A4325" t="s">
        <v>36</v>
      </c>
      <c r="B4325">
        <v>1185732</v>
      </c>
      <c r="C4325" s="1">
        <v>44386</v>
      </c>
      <c r="D4325" t="s">
        <v>57</v>
      </c>
      <c r="E4325" t="s">
        <v>110</v>
      </c>
      <c r="F4325" t="s">
        <v>111</v>
      </c>
      <c r="G4325" t="s">
        <v>41</v>
      </c>
      <c r="H4325" t="s">
        <v>22</v>
      </c>
      <c r="I4325" s="3">
        <v>65</v>
      </c>
      <c r="J4325" s="2">
        <v>550</v>
      </c>
      <c r="K4325" s="3">
        <f t="shared" si="67"/>
        <v>35750</v>
      </c>
      <c r="L4325" s="3">
        <v>23237.5</v>
      </c>
    </row>
    <row r="4326" spans="1:12" x14ac:dyDescent="0.25">
      <c r="A4326" t="s">
        <v>11</v>
      </c>
      <c r="B4326">
        <v>1185732</v>
      </c>
      <c r="C4326" s="1">
        <v>44386</v>
      </c>
      <c r="D4326" t="s">
        <v>57</v>
      </c>
      <c r="E4326" t="s">
        <v>103</v>
      </c>
      <c r="F4326" t="s">
        <v>104</v>
      </c>
      <c r="G4326" t="s">
        <v>18</v>
      </c>
      <c r="H4326" t="s">
        <v>35</v>
      </c>
      <c r="I4326" s="3">
        <v>45</v>
      </c>
      <c r="J4326" s="2">
        <v>225</v>
      </c>
      <c r="K4326" s="3">
        <f t="shared" si="67"/>
        <v>10125</v>
      </c>
      <c r="L4326" s="3">
        <v>6581.25</v>
      </c>
    </row>
    <row r="4327" spans="1:12" x14ac:dyDescent="0.25">
      <c r="A4327" t="s">
        <v>11</v>
      </c>
      <c r="B4327">
        <v>1185732</v>
      </c>
      <c r="C4327" s="1">
        <v>44386</v>
      </c>
      <c r="D4327" t="s">
        <v>57</v>
      </c>
      <c r="E4327" t="s">
        <v>103</v>
      </c>
      <c r="F4327" t="s">
        <v>104</v>
      </c>
      <c r="G4327" t="s">
        <v>18</v>
      </c>
      <c r="H4327" t="s">
        <v>37</v>
      </c>
      <c r="I4327" s="3">
        <v>45</v>
      </c>
      <c r="J4327" s="2">
        <v>175</v>
      </c>
      <c r="K4327" s="3">
        <f t="shared" si="67"/>
        <v>7875</v>
      </c>
      <c r="L4327" s="3">
        <v>5118.75</v>
      </c>
    </row>
    <row r="4328" spans="1:12" x14ac:dyDescent="0.25">
      <c r="A4328" t="s">
        <v>19</v>
      </c>
      <c r="B4328">
        <v>1185732</v>
      </c>
      <c r="C4328" s="1">
        <v>44386</v>
      </c>
      <c r="D4328" t="s">
        <v>57</v>
      </c>
      <c r="E4328" t="s">
        <v>95</v>
      </c>
      <c r="F4328" t="s">
        <v>96</v>
      </c>
      <c r="G4328" t="s">
        <v>15</v>
      </c>
      <c r="H4328" t="s">
        <v>37</v>
      </c>
      <c r="I4328" s="3">
        <v>40</v>
      </c>
      <c r="J4328" s="2">
        <v>200</v>
      </c>
      <c r="K4328" s="3">
        <f t="shared" si="67"/>
        <v>8000</v>
      </c>
      <c r="L4328" s="3">
        <v>4800</v>
      </c>
    </row>
    <row r="4329" spans="1:12" x14ac:dyDescent="0.25">
      <c r="A4329" t="s">
        <v>19</v>
      </c>
      <c r="B4329">
        <v>1128299</v>
      </c>
      <c r="C4329" s="1">
        <v>44386</v>
      </c>
      <c r="D4329" t="s">
        <v>12</v>
      </c>
      <c r="E4329" t="s">
        <v>20</v>
      </c>
      <c r="F4329" t="s">
        <v>21</v>
      </c>
      <c r="G4329" t="s">
        <v>15</v>
      </c>
      <c r="H4329" t="s">
        <v>16</v>
      </c>
      <c r="I4329" s="3">
        <v>100</v>
      </c>
      <c r="J4329" s="2">
        <v>550</v>
      </c>
      <c r="K4329" s="3">
        <f t="shared" si="67"/>
        <v>55000</v>
      </c>
      <c r="L4329" s="3">
        <v>33000</v>
      </c>
    </row>
    <row r="4330" spans="1:12" x14ac:dyDescent="0.25">
      <c r="A4330" t="s">
        <v>36</v>
      </c>
      <c r="B4330">
        <v>1185732</v>
      </c>
      <c r="C4330" s="1">
        <v>44386</v>
      </c>
      <c r="D4330" t="s">
        <v>57</v>
      </c>
      <c r="E4330" t="s">
        <v>110</v>
      </c>
      <c r="F4330" t="s">
        <v>111</v>
      </c>
      <c r="G4330" t="s">
        <v>41</v>
      </c>
      <c r="H4330" t="s">
        <v>38</v>
      </c>
      <c r="I4330" s="3">
        <v>65</v>
      </c>
      <c r="J4330" s="2">
        <v>900</v>
      </c>
      <c r="K4330" s="3">
        <f t="shared" si="67"/>
        <v>58500</v>
      </c>
      <c r="L4330" s="3">
        <v>35100</v>
      </c>
    </row>
    <row r="4331" spans="1:12" x14ac:dyDescent="0.25">
      <c r="A4331" t="s">
        <v>36</v>
      </c>
      <c r="B4331">
        <v>1185732</v>
      </c>
      <c r="C4331" s="1">
        <v>44386</v>
      </c>
      <c r="D4331" t="s">
        <v>57</v>
      </c>
      <c r="E4331" t="s">
        <v>110</v>
      </c>
      <c r="F4331" t="s">
        <v>111</v>
      </c>
      <c r="G4331" t="s">
        <v>41</v>
      </c>
      <c r="H4331" t="s">
        <v>35</v>
      </c>
      <c r="I4331" s="3">
        <v>55.000000000000007</v>
      </c>
      <c r="J4331" s="2">
        <v>575</v>
      </c>
      <c r="K4331" s="3">
        <f t="shared" si="67"/>
        <v>31625.000000000004</v>
      </c>
      <c r="L4331" s="3">
        <v>18975.000000000004</v>
      </c>
    </row>
    <row r="4332" spans="1:12" x14ac:dyDescent="0.25">
      <c r="A4332" t="s">
        <v>36</v>
      </c>
      <c r="B4332">
        <v>1185732</v>
      </c>
      <c r="C4332" s="1">
        <v>44386</v>
      </c>
      <c r="D4332" t="s">
        <v>57</v>
      </c>
      <c r="E4332" t="s">
        <v>110</v>
      </c>
      <c r="F4332" t="s">
        <v>111</v>
      </c>
      <c r="G4332" t="s">
        <v>41</v>
      </c>
      <c r="H4332" t="s">
        <v>37</v>
      </c>
      <c r="I4332" s="3">
        <v>55.000000000000007</v>
      </c>
      <c r="J4332" s="2">
        <v>525</v>
      </c>
      <c r="K4332" s="3">
        <f t="shared" si="67"/>
        <v>28875.000000000004</v>
      </c>
      <c r="L4332" s="3">
        <v>17325.000000000004</v>
      </c>
    </row>
    <row r="4333" spans="1:12" x14ac:dyDescent="0.25">
      <c r="A4333" t="s">
        <v>11</v>
      </c>
      <c r="B4333">
        <v>1185732</v>
      </c>
      <c r="C4333" s="1">
        <v>44386</v>
      </c>
      <c r="D4333" t="s">
        <v>57</v>
      </c>
      <c r="E4333" t="s">
        <v>103</v>
      </c>
      <c r="F4333" t="s">
        <v>104</v>
      </c>
      <c r="G4333" t="s">
        <v>18</v>
      </c>
      <c r="H4333" t="s">
        <v>38</v>
      </c>
      <c r="I4333" s="3">
        <v>55.000000000000007</v>
      </c>
      <c r="J4333" s="2">
        <v>550</v>
      </c>
      <c r="K4333" s="3">
        <f t="shared" si="67"/>
        <v>30250.000000000004</v>
      </c>
      <c r="L4333" s="3">
        <v>18150.000000000004</v>
      </c>
    </row>
    <row r="4334" spans="1:12" x14ac:dyDescent="0.25">
      <c r="A4334" t="s">
        <v>11</v>
      </c>
      <c r="B4334">
        <v>1185732</v>
      </c>
      <c r="C4334" s="1">
        <v>44386</v>
      </c>
      <c r="D4334" t="s">
        <v>57</v>
      </c>
      <c r="E4334" t="s">
        <v>103</v>
      </c>
      <c r="F4334" t="s">
        <v>104</v>
      </c>
      <c r="G4334" t="s">
        <v>18</v>
      </c>
      <c r="H4334" t="s">
        <v>17</v>
      </c>
      <c r="I4334" s="3">
        <v>50.000000000000014</v>
      </c>
      <c r="J4334" s="2">
        <v>300</v>
      </c>
      <c r="K4334" s="3">
        <f t="shared" si="67"/>
        <v>15000.000000000004</v>
      </c>
      <c r="L4334" s="3">
        <v>9000.0000000000018</v>
      </c>
    </row>
    <row r="4335" spans="1:12" x14ac:dyDescent="0.25">
      <c r="A4335" t="s">
        <v>11</v>
      </c>
      <c r="B4335">
        <v>1185732</v>
      </c>
      <c r="C4335" s="1">
        <v>44386</v>
      </c>
      <c r="D4335" t="s">
        <v>57</v>
      </c>
      <c r="E4335" t="s">
        <v>103</v>
      </c>
      <c r="F4335" t="s">
        <v>104</v>
      </c>
      <c r="G4335" t="s">
        <v>18</v>
      </c>
      <c r="H4335" t="s">
        <v>16</v>
      </c>
      <c r="I4335" s="3">
        <v>60.000000000000007</v>
      </c>
      <c r="J4335" s="2">
        <v>375</v>
      </c>
      <c r="K4335" s="3">
        <f t="shared" si="67"/>
        <v>22500.000000000004</v>
      </c>
      <c r="L4335" s="3">
        <v>13500</v>
      </c>
    </row>
    <row r="4336" spans="1:12" x14ac:dyDescent="0.25">
      <c r="A4336" t="s">
        <v>36</v>
      </c>
      <c r="B4336">
        <v>1185732</v>
      </c>
      <c r="C4336" s="1">
        <v>44386</v>
      </c>
      <c r="D4336" t="s">
        <v>57</v>
      </c>
      <c r="E4336" t="s">
        <v>110</v>
      </c>
      <c r="F4336" t="s">
        <v>111</v>
      </c>
      <c r="G4336" t="s">
        <v>41</v>
      </c>
      <c r="H4336" t="s">
        <v>16</v>
      </c>
      <c r="I4336" s="3">
        <v>70</v>
      </c>
      <c r="J4336" s="2">
        <v>725</v>
      </c>
      <c r="K4336" s="3">
        <f t="shared" si="67"/>
        <v>50750</v>
      </c>
      <c r="L4336" s="3">
        <v>25375</v>
      </c>
    </row>
    <row r="4337" spans="1:12" x14ac:dyDescent="0.25">
      <c r="A4337" t="s">
        <v>19</v>
      </c>
      <c r="B4337">
        <v>1128299</v>
      </c>
      <c r="C4337" s="1">
        <v>44386</v>
      </c>
      <c r="D4337" t="s">
        <v>12</v>
      </c>
      <c r="E4337" t="s">
        <v>20</v>
      </c>
      <c r="F4337" t="s">
        <v>21</v>
      </c>
      <c r="G4337" t="s">
        <v>41</v>
      </c>
      <c r="H4337" t="s">
        <v>22</v>
      </c>
      <c r="I4337" s="3">
        <v>80</v>
      </c>
      <c r="J4337" s="2">
        <v>149</v>
      </c>
      <c r="K4337" s="3">
        <f t="shared" si="67"/>
        <v>11920</v>
      </c>
      <c r="L4337" s="3">
        <v>8344</v>
      </c>
    </row>
    <row r="4338" spans="1:12" x14ac:dyDescent="0.25">
      <c r="A4338" t="s">
        <v>19</v>
      </c>
      <c r="B4338">
        <v>1128299</v>
      </c>
      <c r="C4338" s="1">
        <v>44386</v>
      </c>
      <c r="D4338" t="s">
        <v>12</v>
      </c>
      <c r="E4338" t="s">
        <v>20</v>
      </c>
      <c r="F4338" t="s">
        <v>21</v>
      </c>
      <c r="G4338" t="s">
        <v>41</v>
      </c>
      <c r="H4338" t="s">
        <v>17</v>
      </c>
      <c r="I4338" s="3">
        <v>81</v>
      </c>
      <c r="J4338" s="2">
        <v>182</v>
      </c>
      <c r="K4338" s="3">
        <f t="shared" si="67"/>
        <v>14742</v>
      </c>
      <c r="L4338" s="3">
        <v>9729.7199999999993</v>
      </c>
    </row>
    <row r="4339" spans="1:12" x14ac:dyDescent="0.25">
      <c r="A4339" t="s">
        <v>19</v>
      </c>
      <c r="B4339">
        <v>1128299</v>
      </c>
      <c r="C4339" s="1">
        <v>44386</v>
      </c>
      <c r="D4339" t="s">
        <v>12</v>
      </c>
      <c r="E4339" t="s">
        <v>20</v>
      </c>
      <c r="F4339" t="s">
        <v>21</v>
      </c>
      <c r="G4339" t="s">
        <v>41</v>
      </c>
      <c r="H4339" t="s">
        <v>35</v>
      </c>
      <c r="I4339" s="3">
        <v>79</v>
      </c>
      <c r="J4339" s="2">
        <v>150</v>
      </c>
      <c r="K4339" s="3">
        <f t="shared" si="67"/>
        <v>11850</v>
      </c>
      <c r="L4339" s="3">
        <v>7584</v>
      </c>
    </row>
    <row r="4340" spans="1:12" x14ac:dyDescent="0.25">
      <c r="A4340" t="s">
        <v>19</v>
      </c>
      <c r="B4340">
        <v>1128299</v>
      </c>
      <c r="C4340" s="1">
        <v>44386</v>
      </c>
      <c r="D4340" t="s">
        <v>12</v>
      </c>
      <c r="E4340" t="s">
        <v>20</v>
      </c>
      <c r="F4340" t="s">
        <v>21</v>
      </c>
      <c r="G4340" t="s">
        <v>41</v>
      </c>
      <c r="H4340" t="s">
        <v>38</v>
      </c>
      <c r="I4340" s="3">
        <v>74</v>
      </c>
      <c r="J4340" s="2">
        <v>208</v>
      </c>
      <c r="K4340" s="3">
        <f t="shared" si="67"/>
        <v>15392</v>
      </c>
      <c r="L4340" s="3">
        <v>9696.9599999999991</v>
      </c>
    </row>
    <row r="4341" spans="1:12" x14ac:dyDescent="0.25">
      <c r="A4341" t="s">
        <v>19</v>
      </c>
      <c r="B4341">
        <v>1128299</v>
      </c>
      <c r="C4341" s="1">
        <v>44386</v>
      </c>
      <c r="D4341" t="s">
        <v>12</v>
      </c>
      <c r="E4341" t="s">
        <v>20</v>
      </c>
      <c r="F4341" t="s">
        <v>21</v>
      </c>
      <c r="G4341" t="s">
        <v>41</v>
      </c>
      <c r="H4341" t="s">
        <v>37</v>
      </c>
      <c r="I4341" s="3">
        <v>73</v>
      </c>
      <c r="J4341" s="2">
        <v>130</v>
      </c>
      <c r="K4341" s="3">
        <f t="shared" si="67"/>
        <v>9490</v>
      </c>
      <c r="L4341" s="3">
        <v>5694</v>
      </c>
    </row>
    <row r="4342" spans="1:12" x14ac:dyDescent="0.25">
      <c r="A4342" t="s">
        <v>11</v>
      </c>
      <c r="B4342">
        <v>1185732</v>
      </c>
      <c r="C4342" s="1">
        <v>44386</v>
      </c>
      <c r="D4342" t="s">
        <v>57</v>
      </c>
      <c r="E4342" t="s">
        <v>103</v>
      </c>
      <c r="F4342" t="s">
        <v>104</v>
      </c>
      <c r="G4342" t="s">
        <v>41</v>
      </c>
      <c r="H4342" t="s">
        <v>22</v>
      </c>
      <c r="I4342" s="3">
        <v>51</v>
      </c>
      <c r="J4342" s="2">
        <v>50</v>
      </c>
      <c r="K4342" s="3">
        <f t="shared" si="67"/>
        <v>2550</v>
      </c>
      <c r="L4342" s="3">
        <v>1479</v>
      </c>
    </row>
    <row r="4343" spans="1:12" x14ac:dyDescent="0.25">
      <c r="A4343" t="s">
        <v>11</v>
      </c>
      <c r="B4343">
        <v>1185732</v>
      </c>
      <c r="C4343" s="1">
        <v>44386</v>
      </c>
      <c r="D4343" t="s">
        <v>57</v>
      </c>
      <c r="E4343" t="s">
        <v>103</v>
      </c>
      <c r="F4343" t="s">
        <v>104</v>
      </c>
      <c r="G4343" t="s">
        <v>41</v>
      </c>
      <c r="H4343" t="s">
        <v>35</v>
      </c>
      <c r="I4343" s="3">
        <v>42</v>
      </c>
      <c r="J4343" s="2">
        <v>68</v>
      </c>
      <c r="K4343" s="3">
        <f t="shared" si="67"/>
        <v>2856</v>
      </c>
      <c r="L4343" s="3">
        <v>1570.8000000000002</v>
      </c>
    </row>
    <row r="4344" spans="1:12" x14ac:dyDescent="0.25">
      <c r="A4344" t="s">
        <v>19</v>
      </c>
      <c r="B4344">
        <v>1185732</v>
      </c>
      <c r="C4344" s="1">
        <v>44386</v>
      </c>
      <c r="D4344" t="s">
        <v>57</v>
      </c>
      <c r="E4344" t="s">
        <v>118</v>
      </c>
      <c r="F4344" t="s">
        <v>119</v>
      </c>
      <c r="G4344" t="s">
        <v>41</v>
      </c>
      <c r="H4344" t="s">
        <v>17</v>
      </c>
      <c r="I4344" s="3">
        <v>33</v>
      </c>
      <c r="J4344" s="2">
        <v>56</v>
      </c>
      <c r="K4344" s="3">
        <f t="shared" si="67"/>
        <v>1848</v>
      </c>
      <c r="L4344" s="3">
        <v>997.92000000000007</v>
      </c>
    </row>
    <row r="4345" spans="1:12" x14ac:dyDescent="0.25">
      <c r="A4345" t="s">
        <v>36</v>
      </c>
      <c r="B4345">
        <v>1185732</v>
      </c>
      <c r="C4345" s="1">
        <v>44386</v>
      </c>
      <c r="D4345" t="s">
        <v>57</v>
      </c>
      <c r="E4345" t="s">
        <v>110</v>
      </c>
      <c r="F4345" t="s">
        <v>111</v>
      </c>
      <c r="G4345" t="s">
        <v>41</v>
      </c>
      <c r="H4345" t="s">
        <v>22</v>
      </c>
      <c r="I4345" s="3">
        <v>59</v>
      </c>
      <c r="J4345" s="2">
        <v>154</v>
      </c>
      <c r="K4345" s="3">
        <f t="shared" si="67"/>
        <v>9086</v>
      </c>
      <c r="L4345" s="3">
        <v>4906.4400000000005</v>
      </c>
    </row>
    <row r="4346" spans="1:12" x14ac:dyDescent="0.25">
      <c r="A4346" t="s">
        <v>36</v>
      </c>
      <c r="B4346">
        <v>1185732</v>
      </c>
      <c r="C4346" s="1">
        <v>44386</v>
      </c>
      <c r="D4346" t="s">
        <v>57</v>
      </c>
      <c r="E4346" t="s">
        <v>110</v>
      </c>
      <c r="F4346" t="s">
        <v>111</v>
      </c>
      <c r="G4346" t="s">
        <v>41</v>
      </c>
      <c r="H4346" t="s">
        <v>17</v>
      </c>
      <c r="I4346" s="3">
        <v>56</v>
      </c>
      <c r="J4346" s="2">
        <v>195</v>
      </c>
      <c r="K4346" s="3">
        <f t="shared" si="67"/>
        <v>10920</v>
      </c>
      <c r="L4346" s="3">
        <v>5787.6</v>
      </c>
    </row>
    <row r="4347" spans="1:12" x14ac:dyDescent="0.25">
      <c r="A4347" t="s">
        <v>11</v>
      </c>
      <c r="B4347">
        <v>1185732</v>
      </c>
      <c r="C4347" s="1">
        <v>44386</v>
      </c>
      <c r="D4347" t="s">
        <v>57</v>
      </c>
      <c r="E4347" t="s">
        <v>103</v>
      </c>
      <c r="F4347" t="s">
        <v>104</v>
      </c>
      <c r="G4347" t="s">
        <v>41</v>
      </c>
      <c r="H4347" t="s">
        <v>37</v>
      </c>
      <c r="I4347" s="3">
        <v>42</v>
      </c>
      <c r="J4347" s="2">
        <v>49</v>
      </c>
      <c r="K4347" s="3">
        <f t="shared" si="67"/>
        <v>2058</v>
      </c>
      <c r="L4347" s="3">
        <v>1090.74</v>
      </c>
    </row>
    <row r="4348" spans="1:12" x14ac:dyDescent="0.25">
      <c r="A4348" t="s">
        <v>11</v>
      </c>
      <c r="B4348">
        <v>1185732</v>
      </c>
      <c r="C4348" s="1">
        <v>44386</v>
      </c>
      <c r="D4348" t="s">
        <v>57</v>
      </c>
      <c r="E4348" t="s">
        <v>103</v>
      </c>
      <c r="F4348" t="s">
        <v>104</v>
      </c>
      <c r="G4348" t="s">
        <v>41</v>
      </c>
      <c r="H4348" t="s">
        <v>17</v>
      </c>
      <c r="I4348" s="3">
        <v>49</v>
      </c>
      <c r="J4348" s="2">
        <v>84</v>
      </c>
      <c r="K4348" s="3">
        <f t="shared" si="67"/>
        <v>4116</v>
      </c>
      <c r="L4348" s="3">
        <v>2058</v>
      </c>
    </row>
    <row r="4349" spans="1:12" x14ac:dyDescent="0.25">
      <c r="A4349" t="s">
        <v>36</v>
      </c>
      <c r="B4349">
        <v>1185732</v>
      </c>
      <c r="C4349" s="1">
        <v>44386</v>
      </c>
      <c r="D4349" t="s">
        <v>57</v>
      </c>
      <c r="E4349" t="s">
        <v>110</v>
      </c>
      <c r="F4349" t="s">
        <v>111</v>
      </c>
      <c r="G4349" t="s">
        <v>41</v>
      </c>
      <c r="H4349" t="s">
        <v>35</v>
      </c>
      <c r="I4349" s="3">
        <v>51</v>
      </c>
      <c r="J4349" s="2">
        <v>173</v>
      </c>
      <c r="K4349" s="3">
        <f t="shared" si="67"/>
        <v>8823</v>
      </c>
      <c r="L4349" s="3">
        <v>4323.2699999999995</v>
      </c>
    </row>
    <row r="4350" spans="1:12" x14ac:dyDescent="0.25">
      <c r="A4350" t="s">
        <v>11</v>
      </c>
      <c r="B4350">
        <v>1185732</v>
      </c>
      <c r="C4350" s="1">
        <v>44386</v>
      </c>
      <c r="D4350" t="s">
        <v>57</v>
      </c>
      <c r="E4350" t="s">
        <v>103</v>
      </c>
      <c r="F4350" t="s">
        <v>104</v>
      </c>
      <c r="G4350" t="s">
        <v>41</v>
      </c>
      <c r="H4350" t="s">
        <v>16</v>
      </c>
      <c r="I4350" s="3">
        <v>54</v>
      </c>
      <c r="J4350" s="2">
        <v>101</v>
      </c>
      <c r="K4350" s="3">
        <f t="shared" si="67"/>
        <v>5454</v>
      </c>
      <c r="L4350" s="3">
        <v>2672.46</v>
      </c>
    </row>
    <row r="4351" spans="1:12" x14ac:dyDescent="0.25">
      <c r="A4351" t="s">
        <v>19</v>
      </c>
      <c r="B4351">
        <v>1128299</v>
      </c>
      <c r="C4351" s="1">
        <v>44386</v>
      </c>
      <c r="D4351" t="s">
        <v>12</v>
      </c>
      <c r="E4351" t="s">
        <v>20</v>
      </c>
      <c r="F4351" t="s">
        <v>21</v>
      </c>
      <c r="G4351" t="s">
        <v>41</v>
      </c>
      <c r="H4351" t="s">
        <v>16</v>
      </c>
      <c r="I4351" s="3">
        <v>96</v>
      </c>
      <c r="J4351" s="2">
        <v>154</v>
      </c>
      <c r="K4351" s="3">
        <f t="shared" si="67"/>
        <v>14784</v>
      </c>
      <c r="L4351" s="3">
        <v>7096.32</v>
      </c>
    </row>
    <row r="4352" spans="1:12" x14ac:dyDescent="0.25">
      <c r="A4352" t="s">
        <v>36</v>
      </c>
      <c r="B4352">
        <v>1185732</v>
      </c>
      <c r="C4352" s="1">
        <v>44386</v>
      </c>
      <c r="D4352" t="s">
        <v>57</v>
      </c>
      <c r="E4352" t="s">
        <v>110</v>
      </c>
      <c r="F4352" t="s">
        <v>111</v>
      </c>
      <c r="G4352" t="s">
        <v>41</v>
      </c>
      <c r="H4352" t="s">
        <v>38</v>
      </c>
      <c r="I4352" s="3">
        <v>63</v>
      </c>
      <c r="J4352" s="2">
        <v>252</v>
      </c>
      <c r="K4352" s="3">
        <f t="shared" si="67"/>
        <v>15876</v>
      </c>
      <c r="L4352" s="3">
        <v>7620.48</v>
      </c>
    </row>
    <row r="4353" spans="1:12" x14ac:dyDescent="0.25">
      <c r="A4353" t="s">
        <v>11</v>
      </c>
      <c r="B4353">
        <v>1185732</v>
      </c>
      <c r="C4353" s="1">
        <v>44386</v>
      </c>
      <c r="D4353" t="s">
        <v>57</v>
      </c>
      <c r="E4353" t="s">
        <v>103</v>
      </c>
      <c r="F4353" t="s">
        <v>104</v>
      </c>
      <c r="G4353" t="s">
        <v>41</v>
      </c>
      <c r="H4353" t="s">
        <v>38</v>
      </c>
      <c r="I4353" s="3">
        <v>51</v>
      </c>
      <c r="J4353" s="2">
        <v>149</v>
      </c>
      <c r="K4353" s="3">
        <f t="shared" si="67"/>
        <v>7599</v>
      </c>
      <c r="L4353" s="3">
        <v>3571.5299999999997</v>
      </c>
    </row>
    <row r="4354" spans="1:12" x14ac:dyDescent="0.25">
      <c r="A4354" t="s">
        <v>19</v>
      </c>
      <c r="B4354">
        <v>1185732</v>
      </c>
      <c r="C4354" s="1">
        <v>44386</v>
      </c>
      <c r="D4354" t="s">
        <v>57</v>
      </c>
      <c r="E4354" t="s">
        <v>95</v>
      </c>
      <c r="F4354" t="s">
        <v>96</v>
      </c>
      <c r="G4354" t="s">
        <v>41</v>
      </c>
      <c r="H4354" t="s">
        <v>37</v>
      </c>
      <c r="I4354" s="3">
        <v>39</v>
      </c>
      <c r="J4354" s="2">
        <v>50</v>
      </c>
      <c r="K4354" s="3">
        <f t="shared" si="67"/>
        <v>1950</v>
      </c>
      <c r="L4354" s="3">
        <v>897</v>
      </c>
    </row>
    <row r="4355" spans="1:12" x14ac:dyDescent="0.25">
      <c r="A4355" t="s">
        <v>36</v>
      </c>
      <c r="B4355">
        <v>1185732</v>
      </c>
      <c r="C4355" s="1">
        <v>44386</v>
      </c>
      <c r="D4355" t="s">
        <v>57</v>
      </c>
      <c r="E4355" t="s">
        <v>110</v>
      </c>
      <c r="F4355" t="s">
        <v>111</v>
      </c>
      <c r="G4355" t="s">
        <v>41</v>
      </c>
      <c r="H4355" t="s">
        <v>37</v>
      </c>
      <c r="I4355" s="3">
        <v>53</v>
      </c>
      <c r="J4355" s="2">
        <v>152</v>
      </c>
      <c r="K4355" s="3">
        <f t="shared" ref="K4355:K4418" si="68">I4355*J4355</f>
        <v>8056</v>
      </c>
      <c r="L4355" s="3">
        <v>3705.7599999999993</v>
      </c>
    </row>
    <row r="4356" spans="1:12" x14ac:dyDescent="0.25">
      <c r="A4356" t="s">
        <v>36</v>
      </c>
      <c r="B4356">
        <v>1185732</v>
      </c>
      <c r="C4356" s="1">
        <v>44386</v>
      </c>
      <c r="D4356" t="s">
        <v>57</v>
      </c>
      <c r="E4356" t="s">
        <v>110</v>
      </c>
      <c r="F4356" t="s">
        <v>111</v>
      </c>
      <c r="G4356" t="s">
        <v>41</v>
      </c>
      <c r="H4356" t="s">
        <v>16</v>
      </c>
      <c r="I4356" s="3">
        <v>69</v>
      </c>
      <c r="J4356" s="2">
        <v>181</v>
      </c>
      <c r="K4356" s="3">
        <f t="shared" si="68"/>
        <v>12489</v>
      </c>
      <c r="L4356" s="3">
        <v>4620.93</v>
      </c>
    </row>
    <row r="4357" spans="1:12" x14ac:dyDescent="0.25">
      <c r="A4357" t="s">
        <v>27</v>
      </c>
      <c r="B4357">
        <v>1185732</v>
      </c>
      <c r="C4357" s="1">
        <v>44387</v>
      </c>
      <c r="D4357" t="s">
        <v>12</v>
      </c>
      <c r="E4357" t="s">
        <v>62</v>
      </c>
      <c r="F4357" t="s">
        <v>63</v>
      </c>
      <c r="G4357" t="s">
        <v>18</v>
      </c>
      <c r="H4357" t="s">
        <v>16</v>
      </c>
      <c r="I4357" s="3">
        <v>55.000000000000007</v>
      </c>
      <c r="J4357" s="2">
        <v>700</v>
      </c>
      <c r="K4357" s="3">
        <f t="shared" si="68"/>
        <v>38500.000000000007</v>
      </c>
      <c r="L4357" s="3">
        <v>28875.000000000007</v>
      </c>
    </row>
    <row r="4358" spans="1:12" x14ac:dyDescent="0.25">
      <c r="A4358" t="s">
        <v>27</v>
      </c>
      <c r="B4358">
        <v>1185732</v>
      </c>
      <c r="C4358" s="1">
        <v>44387</v>
      </c>
      <c r="D4358" t="s">
        <v>12</v>
      </c>
      <c r="E4358" t="s">
        <v>62</v>
      </c>
      <c r="F4358" t="s">
        <v>63</v>
      </c>
      <c r="G4358" t="s">
        <v>18</v>
      </c>
      <c r="H4358" t="s">
        <v>17</v>
      </c>
      <c r="I4358" s="3">
        <v>45.000000000000007</v>
      </c>
      <c r="J4358" s="2">
        <v>625</v>
      </c>
      <c r="K4358" s="3">
        <f t="shared" si="68"/>
        <v>28125.000000000004</v>
      </c>
      <c r="L4358" s="3">
        <v>19687.500000000007</v>
      </c>
    </row>
    <row r="4359" spans="1:12" x14ac:dyDescent="0.25">
      <c r="A4359" t="s">
        <v>27</v>
      </c>
      <c r="B4359">
        <v>1185732</v>
      </c>
      <c r="C4359" s="1">
        <v>44387</v>
      </c>
      <c r="D4359" t="s">
        <v>12</v>
      </c>
      <c r="E4359" t="s">
        <v>62</v>
      </c>
      <c r="F4359" t="s">
        <v>63</v>
      </c>
      <c r="G4359" t="s">
        <v>18</v>
      </c>
      <c r="H4359" t="s">
        <v>22</v>
      </c>
      <c r="I4359" s="3">
        <v>50</v>
      </c>
      <c r="J4359" s="2">
        <v>525</v>
      </c>
      <c r="K4359" s="3">
        <f t="shared" si="68"/>
        <v>26250</v>
      </c>
      <c r="L4359" s="3">
        <v>18375</v>
      </c>
    </row>
    <row r="4360" spans="1:12" x14ac:dyDescent="0.25">
      <c r="A4360" t="s">
        <v>11</v>
      </c>
      <c r="B4360">
        <v>1185732</v>
      </c>
      <c r="C4360" s="1">
        <v>44387</v>
      </c>
      <c r="D4360" t="s">
        <v>12</v>
      </c>
      <c r="E4360" t="s">
        <v>101</v>
      </c>
      <c r="F4360" t="s">
        <v>102</v>
      </c>
      <c r="G4360" t="s">
        <v>18</v>
      </c>
      <c r="H4360" t="s">
        <v>35</v>
      </c>
      <c r="I4360" s="3">
        <v>25.000000000000007</v>
      </c>
      <c r="J4360" s="2">
        <v>475</v>
      </c>
      <c r="K4360" s="3">
        <f t="shared" si="68"/>
        <v>11875.000000000004</v>
      </c>
      <c r="L4360" s="3">
        <v>7718.7500000000027</v>
      </c>
    </row>
    <row r="4361" spans="1:12" x14ac:dyDescent="0.25">
      <c r="A4361" t="s">
        <v>19</v>
      </c>
      <c r="B4361">
        <v>1185732</v>
      </c>
      <c r="C4361" s="1">
        <v>44387</v>
      </c>
      <c r="D4361" t="s">
        <v>57</v>
      </c>
      <c r="E4361" t="s">
        <v>95</v>
      </c>
      <c r="F4361" t="s">
        <v>96</v>
      </c>
      <c r="G4361" t="s">
        <v>15</v>
      </c>
      <c r="H4361" t="s">
        <v>22</v>
      </c>
      <c r="I4361" s="3">
        <v>50</v>
      </c>
      <c r="J4361" s="2">
        <v>225</v>
      </c>
      <c r="K4361" s="3">
        <f t="shared" si="68"/>
        <v>11250</v>
      </c>
      <c r="L4361" s="3">
        <v>7312.5</v>
      </c>
    </row>
    <row r="4362" spans="1:12" x14ac:dyDescent="0.25">
      <c r="A4362" t="s">
        <v>19</v>
      </c>
      <c r="B4362">
        <v>1185732</v>
      </c>
      <c r="C4362" s="1">
        <v>44387</v>
      </c>
      <c r="D4362" t="s">
        <v>57</v>
      </c>
      <c r="E4362" t="s">
        <v>118</v>
      </c>
      <c r="F4362" t="s">
        <v>119</v>
      </c>
      <c r="G4362" t="s">
        <v>15</v>
      </c>
      <c r="H4362" t="s">
        <v>35</v>
      </c>
      <c r="I4362" s="3">
        <v>20</v>
      </c>
      <c r="J4362" s="2">
        <v>100</v>
      </c>
      <c r="K4362" s="3">
        <f t="shared" si="68"/>
        <v>2000</v>
      </c>
      <c r="L4362" s="3">
        <v>1300</v>
      </c>
    </row>
    <row r="4363" spans="1:12" x14ac:dyDescent="0.25">
      <c r="A4363" t="s">
        <v>27</v>
      </c>
      <c r="B4363">
        <v>1185732</v>
      </c>
      <c r="C4363" s="1">
        <v>44387</v>
      </c>
      <c r="D4363" t="s">
        <v>12</v>
      </c>
      <c r="E4363" t="s">
        <v>62</v>
      </c>
      <c r="F4363" t="s">
        <v>63</v>
      </c>
      <c r="G4363" t="s">
        <v>18</v>
      </c>
      <c r="H4363" t="s">
        <v>35</v>
      </c>
      <c r="I4363" s="3">
        <v>40</v>
      </c>
      <c r="J4363" s="2">
        <v>550</v>
      </c>
      <c r="K4363" s="3">
        <f t="shared" si="68"/>
        <v>22000</v>
      </c>
      <c r="L4363" s="3">
        <v>14300</v>
      </c>
    </row>
    <row r="4364" spans="1:12" x14ac:dyDescent="0.25">
      <c r="A4364" t="s">
        <v>27</v>
      </c>
      <c r="B4364">
        <v>1185732</v>
      </c>
      <c r="C4364" s="1">
        <v>44387</v>
      </c>
      <c r="D4364" t="s">
        <v>12</v>
      </c>
      <c r="E4364" t="s">
        <v>62</v>
      </c>
      <c r="F4364" t="s">
        <v>63</v>
      </c>
      <c r="G4364" t="s">
        <v>18</v>
      </c>
      <c r="H4364" t="s">
        <v>37</v>
      </c>
      <c r="I4364" s="3">
        <v>40</v>
      </c>
      <c r="J4364" s="2">
        <v>500</v>
      </c>
      <c r="K4364" s="3">
        <f t="shared" si="68"/>
        <v>20000</v>
      </c>
      <c r="L4364" s="3">
        <v>13000</v>
      </c>
    </row>
    <row r="4365" spans="1:12" x14ac:dyDescent="0.25">
      <c r="A4365" t="s">
        <v>11</v>
      </c>
      <c r="B4365">
        <v>1185732</v>
      </c>
      <c r="C4365" s="1">
        <v>44387</v>
      </c>
      <c r="D4365" t="s">
        <v>12</v>
      </c>
      <c r="E4365" t="s">
        <v>101</v>
      </c>
      <c r="F4365" t="s">
        <v>102</v>
      </c>
      <c r="G4365" t="s">
        <v>18</v>
      </c>
      <c r="H4365" t="s">
        <v>22</v>
      </c>
      <c r="I4365" s="3">
        <v>35</v>
      </c>
      <c r="J4365" s="2">
        <v>425</v>
      </c>
      <c r="K4365" s="3">
        <f t="shared" si="68"/>
        <v>14875</v>
      </c>
      <c r="L4365" s="3">
        <v>9668.75</v>
      </c>
    </row>
    <row r="4366" spans="1:12" x14ac:dyDescent="0.25">
      <c r="A4366" t="s">
        <v>36</v>
      </c>
      <c r="B4366">
        <v>1185732</v>
      </c>
      <c r="C4366" s="1">
        <v>44387</v>
      </c>
      <c r="D4366" t="s">
        <v>29</v>
      </c>
      <c r="E4366" t="s">
        <v>80</v>
      </c>
      <c r="F4366" t="s">
        <v>81</v>
      </c>
      <c r="G4366" t="s">
        <v>18</v>
      </c>
      <c r="H4366" t="s">
        <v>35</v>
      </c>
      <c r="I4366" s="3">
        <v>50</v>
      </c>
      <c r="J4366" s="2">
        <v>350</v>
      </c>
      <c r="K4366" s="3">
        <f t="shared" si="68"/>
        <v>17500</v>
      </c>
      <c r="L4366" s="3">
        <v>11375</v>
      </c>
    </row>
    <row r="4367" spans="1:12" x14ac:dyDescent="0.25">
      <c r="A4367" t="s">
        <v>36</v>
      </c>
      <c r="B4367">
        <v>1185732</v>
      </c>
      <c r="C4367" s="1">
        <v>44387</v>
      </c>
      <c r="D4367" t="s">
        <v>29</v>
      </c>
      <c r="E4367" t="s">
        <v>80</v>
      </c>
      <c r="F4367" t="s">
        <v>81</v>
      </c>
      <c r="G4367" t="s">
        <v>18</v>
      </c>
      <c r="H4367" t="s">
        <v>37</v>
      </c>
      <c r="I4367" s="3">
        <v>50</v>
      </c>
      <c r="J4367" s="2">
        <v>300</v>
      </c>
      <c r="K4367" s="3">
        <f t="shared" si="68"/>
        <v>15000</v>
      </c>
      <c r="L4367" s="3">
        <v>9750</v>
      </c>
    </row>
    <row r="4368" spans="1:12" x14ac:dyDescent="0.25">
      <c r="A4368" t="s">
        <v>36</v>
      </c>
      <c r="B4368">
        <v>1185732</v>
      </c>
      <c r="C4368" s="1">
        <v>44387</v>
      </c>
      <c r="D4368" t="s">
        <v>29</v>
      </c>
      <c r="E4368" t="s">
        <v>80</v>
      </c>
      <c r="F4368" t="s">
        <v>81</v>
      </c>
      <c r="G4368" t="s">
        <v>18</v>
      </c>
      <c r="H4368" t="s">
        <v>22</v>
      </c>
      <c r="I4368" s="3">
        <v>60</v>
      </c>
      <c r="J4368" s="2">
        <v>325</v>
      </c>
      <c r="K4368" s="3">
        <f t="shared" si="68"/>
        <v>19500</v>
      </c>
      <c r="L4368" s="3">
        <v>12675</v>
      </c>
    </row>
    <row r="4369" spans="1:12" x14ac:dyDescent="0.25">
      <c r="A4369" t="s">
        <v>11</v>
      </c>
      <c r="B4369">
        <v>1185732</v>
      </c>
      <c r="C4369" s="1">
        <v>44387</v>
      </c>
      <c r="D4369" t="s">
        <v>12</v>
      </c>
      <c r="E4369" t="s">
        <v>101</v>
      </c>
      <c r="F4369" t="s">
        <v>102</v>
      </c>
      <c r="G4369" t="s">
        <v>18</v>
      </c>
      <c r="H4369" t="s">
        <v>17</v>
      </c>
      <c r="I4369" s="3">
        <v>30.000000000000011</v>
      </c>
      <c r="J4369" s="2">
        <v>550</v>
      </c>
      <c r="K4369" s="3">
        <f t="shared" si="68"/>
        <v>16500.000000000007</v>
      </c>
      <c r="L4369" s="3">
        <v>10725.000000000004</v>
      </c>
    </row>
    <row r="4370" spans="1:12" x14ac:dyDescent="0.25">
      <c r="A4370" t="s">
        <v>11</v>
      </c>
      <c r="B4370">
        <v>1185732</v>
      </c>
      <c r="C4370" s="1">
        <v>44387</v>
      </c>
      <c r="D4370" t="s">
        <v>12</v>
      </c>
      <c r="E4370" t="s">
        <v>101</v>
      </c>
      <c r="F4370" t="s">
        <v>102</v>
      </c>
      <c r="G4370" t="s">
        <v>18</v>
      </c>
      <c r="H4370" t="s">
        <v>38</v>
      </c>
      <c r="I4370" s="3">
        <v>35</v>
      </c>
      <c r="J4370" s="2">
        <v>800</v>
      </c>
      <c r="K4370" s="3">
        <f t="shared" si="68"/>
        <v>28000</v>
      </c>
      <c r="L4370" s="3">
        <v>16800</v>
      </c>
    </row>
    <row r="4371" spans="1:12" x14ac:dyDescent="0.25">
      <c r="A4371" t="s">
        <v>11</v>
      </c>
      <c r="B4371">
        <v>1185732</v>
      </c>
      <c r="C4371" s="1">
        <v>44387</v>
      </c>
      <c r="D4371" t="s">
        <v>12</v>
      </c>
      <c r="E4371" t="s">
        <v>101</v>
      </c>
      <c r="F4371" t="s">
        <v>102</v>
      </c>
      <c r="G4371" t="s">
        <v>18</v>
      </c>
      <c r="H4371" t="s">
        <v>37</v>
      </c>
      <c r="I4371" s="3">
        <v>25.000000000000007</v>
      </c>
      <c r="J4371" s="2">
        <v>425</v>
      </c>
      <c r="K4371" s="3">
        <f t="shared" si="68"/>
        <v>10625.000000000004</v>
      </c>
      <c r="L4371" s="3">
        <v>6375.0000000000018</v>
      </c>
    </row>
    <row r="4372" spans="1:12" x14ac:dyDescent="0.25">
      <c r="A4372" t="s">
        <v>36</v>
      </c>
      <c r="B4372">
        <v>1185732</v>
      </c>
      <c r="C4372" s="1">
        <v>44387</v>
      </c>
      <c r="D4372" t="s">
        <v>29</v>
      </c>
      <c r="E4372" t="s">
        <v>80</v>
      </c>
      <c r="F4372" t="s">
        <v>81</v>
      </c>
      <c r="G4372" t="s">
        <v>18</v>
      </c>
      <c r="H4372" t="s">
        <v>16</v>
      </c>
      <c r="I4372" s="3">
        <v>65</v>
      </c>
      <c r="J4372" s="2">
        <v>500</v>
      </c>
      <c r="K4372" s="3">
        <f t="shared" si="68"/>
        <v>32500</v>
      </c>
      <c r="L4372" s="3">
        <v>19500</v>
      </c>
    </row>
    <row r="4373" spans="1:12" x14ac:dyDescent="0.25">
      <c r="A4373" t="s">
        <v>36</v>
      </c>
      <c r="B4373">
        <v>1185732</v>
      </c>
      <c r="C4373" s="1">
        <v>44387</v>
      </c>
      <c r="D4373" t="s">
        <v>29</v>
      </c>
      <c r="E4373" t="s">
        <v>80</v>
      </c>
      <c r="F4373" t="s">
        <v>81</v>
      </c>
      <c r="G4373" t="s">
        <v>18</v>
      </c>
      <c r="H4373" t="s">
        <v>38</v>
      </c>
      <c r="I4373" s="3">
        <v>60</v>
      </c>
      <c r="J4373" s="2">
        <v>675</v>
      </c>
      <c r="K4373" s="3">
        <f t="shared" si="68"/>
        <v>40500</v>
      </c>
      <c r="L4373" s="3">
        <v>22275</v>
      </c>
    </row>
    <row r="4374" spans="1:12" x14ac:dyDescent="0.25">
      <c r="A4374" t="s">
        <v>36</v>
      </c>
      <c r="B4374">
        <v>1185732</v>
      </c>
      <c r="C4374" s="1">
        <v>44387</v>
      </c>
      <c r="D4374" t="s">
        <v>29</v>
      </c>
      <c r="E4374" t="s">
        <v>80</v>
      </c>
      <c r="F4374" t="s">
        <v>81</v>
      </c>
      <c r="G4374" t="s">
        <v>18</v>
      </c>
      <c r="H4374" t="s">
        <v>17</v>
      </c>
      <c r="I4374" s="3">
        <v>55.000000000000007</v>
      </c>
      <c r="J4374" s="2">
        <v>425</v>
      </c>
      <c r="K4374" s="3">
        <f t="shared" si="68"/>
        <v>23375.000000000004</v>
      </c>
      <c r="L4374" s="3">
        <v>12856.250000000002</v>
      </c>
    </row>
    <row r="4375" spans="1:12" x14ac:dyDescent="0.25">
      <c r="A4375" t="s">
        <v>27</v>
      </c>
      <c r="B4375">
        <v>1185732</v>
      </c>
      <c r="C4375" s="1">
        <v>44387</v>
      </c>
      <c r="D4375" t="s">
        <v>12</v>
      </c>
      <c r="E4375" t="s">
        <v>62</v>
      </c>
      <c r="F4375" t="s">
        <v>63</v>
      </c>
      <c r="G4375" t="s">
        <v>18</v>
      </c>
      <c r="H4375" t="s">
        <v>38</v>
      </c>
      <c r="I4375" s="3">
        <v>50</v>
      </c>
      <c r="J4375" s="2">
        <v>875</v>
      </c>
      <c r="K4375" s="3">
        <f t="shared" si="68"/>
        <v>43750</v>
      </c>
      <c r="L4375" s="3">
        <v>21875</v>
      </c>
    </row>
    <row r="4376" spans="1:12" x14ac:dyDescent="0.25">
      <c r="A4376" t="s">
        <v>11</v>
      </c>
      <c r="B4376">
        <v>1185732</v>
      </c>
      <c r="C4376" s="1">
        <v>44387</v>
      </c>
      <c r="D4376" t="s">
        <v>12</v>
      </c>
      <c r="E4376" t="s">
        <v>101</v>
      </c>
      <c r="F4376" t="s">
        <v>102</v>
      </c>
      <c r="G4376" t="s">
        <v>18</v>
      </c>
      <c r="H4376" t="s">
        <v>16</v>
      </c>
      <c r="I4376" s="3">
        <v>40</v>
      </c>
      <c r="J4376" s="2">
        <v>600</v>
      </c>
      <c r="K4376" s="3">
        <f t="shared" si="68"/>
        <v>24000</v>
      </c>
      <c r="L4376" s="3">
        <v>12000</v>
      </c>
    </row>
    <row r="4377" spans="1:12" x14ac:dyDescent="0.25">
      <c r="A4377" t="s">
        <v>27</v>
      </c>
      <c r="B4377">
        <v>1185732</v>
      </c>
      <c r="C4377" s="1">
        <v>44387</v>
      </c>
      <c r="D4377" t="s">
        <v>12</v>
      </c>
      <c r="E4377" t="s">
        <v>62</v>
      </c>
      <c r="F4377" t="s">
        <v>63</v>
      </c>
      <c r="G4377" t="s">
        <v>41</v>
      </c>
      <c r="H4377" t="s">
        <v>16</v>
      </c>
      <c r="I4377" s="3">
        <v>51</v>
      </c>
      <c r="J4377" s="2">
        <v>196</v>
      </c>
      <c r="K4377" s="3">
        <f t="shared" si="68"/>
        <v>9996</v>
      </c>
      <c r="L4377" s="3">
        <v>6397.4400000000005</v>
      </c>
    </row>
    <row r="4378" spans="1:12" x14ac:dyDescent="0.25">
      <c r="A4378" t="s">
        <v>36</v>
      </c>
      <c r="B4378">
        <v>1185732</v>
      </c>
      <c r="C4378" s="1">
        <v>44387</v>
      </c>
      <c r="D4378" t="s">
        <v>29</v>
      </c>
      <c r="E4378" t="s">
        <v>80</v>
      </c>
      <c r="F4378" t="s">
        <v>81</v>
      </c>
      <c r="G4378" t="s">
        <v>15</v>
      </c>
      <c r="H4378" t="s">
        <v>35</v>
      </c>
      <c r="I4378" s="3">
        <v>33</v>
      </c>
      <c r="J4378" s="2">
        <v>109</v>
      </c>
      <c r="K4378" s="3">
        <f t="shared" si="68"/>
        <v>3597</v>
      </c>
      <c r="L4378" s="3">
        <v>2266.11</v>
      </c>
    </row>
    <row r="4379" spans="1:12" x14ac:dyDescent="0.25">
      <c r="A4379" t="s">
        <v>11</v>
      </c>
      <c r="B4379">
        <v>1185732</v>
      </c>
      <c r="C4379" s="1">
        <v>44387</v>
      </c>
      <c r="D4379" t="s">
        <v>12</v>
      </c>
      <c r="E4379" t="s">
        <v>101</v>
      </c>
      <c r="F4379" t="s">
        <v>102</v>
      </c>
      <c r="G4379" t="s">
        <v>15</v>
      </c>
      <c r="H4379" t="s">
        <v>22</v>
      </c>
      <c r="I4379" s="3">
        <v>28</v>
      </c>
      <c r="J4379" s="2">
        <v>140</v>
      </c>
      <c r="K4379" s="3">
        <f t="shared" si="68"/>
        <v>3920</v>
      </c>
      <c r="L4379" s="3">
        <v>2430.4</v>
      </c>
    </row>
    <row r="4380" spans="1:12" x14ac:dyDescent="0.25">
      <c r="A4380" t="s">
        <v>36</v>
      </c>
      <c r="B4380">
        <v>1185732</v>
      </c>
      <c r="C4380" s="1">
        <v>44387</v>
      </c>
      <c r="D4380" t="s">
        <v>29</v>
      </c>
      <c r="E4380" t="s">
        <v>80</v>
      </c>
      <c r="F4380" t="s">
        <v>81</v>
      </c>
      <c r="G4380" t="s">
        <v>15</v>
      </c>
      <c r="H4380" t="s">
        <v>22</v>
      </c>
      <c r="I4380" s="3">
        <v>39</v>
      </c>
      <c r="J4380" s="2">
        <v>114</v>
      </c>
      <c r="K4380" s="3">
        <f t="shared" si="68"/>
        <v>4446</v>
      </c>
      <c r="L4380" s="3">
        <v>2756.52</v>
      </c>
    </row>
    <row r="4381" spans="1:12" x14ac:dyDescent="0.25">
      <c r="A4381" t="s">
        <v>11</v>
      </c>
      <c r="B4381">
        <v>1185732</v>
      </c>
      <c r="C4381" s="1">
        <v>44387</v>
      </c>
      <c r="D4381" t="s">
        <v>12</v>
      </c>
      <c r="E4381" t="s">
        <v>101</v>
      </c>
      <c r="F4381" t="s">
        <v>102</v>
      </c>
      <c r="G4381" t="s">
        <v>15</v>
      </c>
      <c r="H4381" t="s">
        <v>17</v>
      </c>
      <c r="I4381" s="3">
        <v>20</v>
      </c>
      <c r="J4381" s="2">
        <v>182</v>
      </c>
      <c r="K4381" s="3">
        <f t="shared" si="68"/>
        <v>3640</v>
      </c>
      <c r="L4381" s="3">
        <v>2220.4</v>
      </c>
    </row>
    <row r="4382" spans="1:12" x14ac:dyDescent="0.25">
      <c r="A4382" t="s">
        <v>11</v>
      </c>
      <c r="B4382">
        <v>1185732</v>
      </c>
      <c r="C4382" s="1">
        <v>44387</v>
      </c>
      <c r="D4382" t="s">
        <v>12</v>
      </c>
      <c r="E4382" t="s">
        <v>101</v>
      </c>
      <c r="F4382" t="s">
        <v>102</v>
      </c>
      <c r="G4382" t="s">
        <v>15</v>
      </c>
      <c r="H4382" t="s">
        <v>35</v>
      </c>
      <c r="I4382" s="3">
        <v>19</v>
      </c>
      <c r="J4382" s="2">
        <v>157</v>
      </c>
      <c r="K4382" s="3">
        <f t="shared" si="68"/>
        <v>2983</v>
      </c>
      <c r="L4382" s="3">
        <v>1819.63</v>
      </c>
    </row>
    <row r="4383" spans="1:12" x14ac:dyDescent="0.25">
      <c r="A4383" t="s">
        <v>27</v>
      </c>
      <c r="B4383">
        <v>1185732</v>
      </c>
      <c r="C4383" s="1">
        <v>44387</v>
      </c>
      <c r="D4383" t="s">
        <v>12</v>
      </c>
      <c r="E4383" t="s">
        <v>62</v>
      </c>
      <c r="F4383" t="s">
        <v>63</v>
      </c>
      <c r="G4383" t="s">
        <v>41</v>
      </c>
      <c r="H4383" t="s">
        <v>22</v>
      </c>
      <c r="I4383" s="3">
        <v>48</v>
      </c>
      <c r="J4383" s="2">
        <v>137</v>
      </c>
      <c r="K4383" s="3">
        <f t="shared" si="68"/>
        <v>6576</v>
      </c>
      <c r="L4383" s="3">
        <v>3814.08</v>
      </c>
    </row>
    <row r="4384" spans="1:12" x14ac:dyDescent="0.25">
      <c r="A4384" t="s">
        <v>36</v>
      </c>
      <c r="B4384">
        <v>1185732</v>
      </c>
      <c r="C4384" s="1">
        <v>44387</v>
      </c>
      <c r="D4384" t="s">
        <v>29</v>
      </c>
      <c r="E4384" t="s">
        <v>80</v>
      </c>
      <c r="F4384" t="s">
        <v>81</v>
      </c>
      <c r="G4384" t="s">
        <v>15</v>
      </c>
      <c r="H4384" t="s">
        <v>37</v>
      </c>
      <c r="I4384" s="3">
        <v>36</v>
      </c>
      <c r="J4384" s="2">
        <v>96</v>
      </c>
      <c r="K4384" s="3">
        <f t="shared" si="68"/>
        <v>3456</v>
      </c>
      <c r="L4384" s="3">
        <v>2004.48</v>
      </c>
    </row>
    <row r="4385" spans="1:12" x14ac:dyDescent="0.25">
      <c r="A4385" t="s">
        <v>27</v>
      </c>
      <c r="B4385">
        <v>1185732</v>
      </c>
      <c r="C4385" s="1">
        <v>44387</v>
      </c>
      <c r="D4385" t="s">
        <v>12</v>
      </c>
      <c r="E4385" t="s">
        <v>62</v>
      </c>
      <c r="F4385" t="s">
        <v>63</v>
      </c>
      <c r="G4385" t="s">
        <v>41</v>
      </c>
      <c r="H4385" t="s">
        <v>17</v>
      </c>
      <c r="I4385" s="3">
        <v>44</v>
      </c>
      <c r="J4385" s="2">
        <v>163</v>
      </c>
      <c r="K4385" s="3">
        <f t="shared" si="68"/>
        <v>7172</v>
      </c>
      <c r="L4385" s="3">
        <v>4088.04</v>
      </c>
    </row>
    <row r="4386" spans="1:12" x14ac:dyDescent="0.25">
      <c r="A4386" t="s">
        <v>11</v>
      </c>
      <c r="B4386">
        <v>1185732</v>
      </c>
      <c r="C4386" s="1">
        <v>44387</v>
      </c>
      <c r="D4386" t="s">
        <v>12</v>
      </c>
      <c r="E4386" t="s">
        <v>101</v>
      </c>
      <c r="F4386" t="s">
        <v>102</v>
      </c>
      <c r="G4386" t="s">
        <v>15</v>
      </c>
      <c r="H4386" t="s">
        <v>38</v>
      </c>
      <c r="I4386" s="3">
        <v>28</v>
      </c>
      <c r="J4386" s="2">
        <v>248</v>
      </c>
      <c r="K4386" s="3">
        <f t="shared" si="68"/>
        <v>6944</v>
      </c>
      <c r="L4386" s="3">
        <v>3958.0799999999995</v>
      </c>
    </row>
    <row r="4387" spans="1:12" x14ac:dyDescent="0.25">
      <c r="A4387" t="s">
        <v>19</v>
      </c>
      <c r="B4387">
        <v>1185732</v>
      </c>
      <c r="C4387" s="1">
        <v>44387</v>
      </c>
      <c r="D4387" t="s">
        <v>57</v>
      </c>
      <c r="E4387" t="s">
        <v>95</v>
      </c>
      <c r="F4387" t="s">
        <v>96</v>
      </c>
      <c r="G4387" t="s">
        <v>41</v>
      </c>
      <c r="H4387" t="s">
        <v>22</v>
      </c>
      <c r="I4387" s="3">
        <v>47</v>
      </c>
      <c r="J4387" s="2">
        <v>56</v>
      </c>
      <c r="K4387" s="3">
        <f t="shared" si="68"/>
        <v>2632</v>
      </c>
      <c r="L4387" s="3">
        <v>1421.2800000000002</v>
      </c>
    </row>
    <row r="4388" spans="1:12" x14ac:dyDescent="0.25">
      <c r="A4388" t="s">
        <v>11</v>
      </c>
      <c r="B4388">
        <v>1185732</v>
      </c>
      <c r="C4388" s="1">
        <v>44387</v>
      </c>
      <c r="D4388" t="s">
        <v>12</v>
      </c>
      <c r="E4388" t="s">
        <v>101</v>
      </c>
      <c r="F4388" t="s">
        <v>102</v>
      </c>
      <c r="G4388" t="s">
        <v>41</v>
      </c>
      <c r="H4388" t="s">
        <v>22</v>
      </c>
      <c r="I4388" s="3">
        <v>32</v>
      </c>
      <c r="J4388" s="2">
        <v>128</v>
      </c>
      <c r="K4388" s="3">
        <f t="shared" si="68"/>
        <v>4096</v>
      </c>
      <c r="L4388" s="3">
        <v>2211.84</v>
      </c>
    </row>
    <row r="4389" spans="1:12" x14ac:dyDescent="0.25">
      <c r="A4389" t="s">
        <v>27</v>
      </c>
      <c r="B4389">
        <v>1185732</v>
      </c>
      <c r="C4389" s="1">
        <v>44387</v>
      </c>
      <c r="D4389" t="s">
        <v>12</v>
      </c>
      <c r="E4389" t="s">
        <v>62</v>
      </c>
      <c r="F4389" t="s">
        <v>63</v>
      </c>
      <c r="G4389" t="s">
        <v>41</v>
      </c>
      <c r="H4389" t="s">
        <v>37</v>
      </c>
      <c r="I4389" s="3">
        <v>39</v>
      </c>
      <c r="J4389" s="2">
        <v>150</v>
      </c>
      <c r="K4389" s="3">
        <f t="shared" si="68"/>
        <v>5850</v>
      </c>
      <c r="L4389" s="3">
        <v>3100.5</v>
      </c>
    </row>
    <row r="4390" spans="1:12" x14ac:dyDescent="0.25">
      <c r="A4390" t="s">
        <v>36</v>
      </c>
      <c r="B4390">
        <v>1185732</v>
      </c>
      <c r="C4390" s="1">
        <v>44387</v>
      </c>
      <c r="D4390" t="s">
        <v>29</v>
      </c>
      <c r="E4390" t="s">
        <v>80</v>
      </c>
      <c r="F4390" t="s">
        <v>81</v>
      </c>
      <c r="G4390" t="s">
        <v>41</v>
      </c>
      <c r="H4390" t="s">
        <v>22</v>
      </c>
      <c r="I4390" s="3">
        <v>54</v>
      </c>
      <c r="J4390" s="2">
        <v>94</v>
      </c>
      <c r="K4390" s="3">
        <f t="shared" si="68"/>
        <v>5076</v>
      </c>
      <c r="L4390" s="3">
        <v>2690.28</v>
      </c>
    </row>
    <row r="4391" spans="1:12" x14ac:dyDescent="0.25">
      <c r="A4391" t="s">
        <v>11</v>
      </c>
      <c r="B4391">
        <v>1185732</v>
      </c>
      <c r="C4391" s="1">
        <v>44387</v>
      </c>
      <c r="D4391" t="s">
        <v>12</v>
      </c>
      <c r="E4391" t="s">
        <v>101</v>
      </c>
      <c r="F4391" t="s">
        <v>102</v>
      </c>
      <c r="G4391" t="s">
        <v>15</v>
      </c>
      <c r="H4391" t="s">
        <v>37</v>
      </c>
      <c r="I4391" s="3">
        <v>16</v>
      </c>
      <c r="J4391" s="2">
        <v>128</v>
      </c>
      <c r="K4391" s="3">
        <f t="shared" si="68"/>
        <v>2048</v>
      </c>
      <c r="L4391" s="3">
        <v>1085.44</v>
      </c>
    </row>
    <row r="4392" spans="1:12" x14ac:dyDescent="0.25">
      <c r="A4392" t="s">
        <v>36</v>
      </c>
      <c r="B4392">
        <v>1185732</v>
      </c>
      <c r="C4392" s="1">
        <v>44387</v>
      </c>
      <c r="D4392" t="s">
        <v>29</v>
      </c>
      <c r="E4392" t="s">
        <v>80</v>
      </c>
      <c r="F4392" t="s">
        <v>81</v>
      </c>
      <c r="G4392" t="s">
        <v>15</v>
      </c>
      <c r="H4392" t="s">
        <v>16</v>
      </c>
      <c r="I4392" s="3">
        <v>49</v>
      </c>
      <c r="J4392" s="2">
        <v>175</v>
      </c>
      <c r="K4392" s="3">
        <f t="shared" si="68"/>
        <v>8575</v>
      </c>
      <c r="L4392" s="3">
        <v>4544.75</v>
      </c>
    </row>
    <row r="4393" spans="1:12" x14ac:dyDescent="0.25">
      <c r="A4393" t="s">
        <v>19</v>
      </c>
      <c r="B4393">
        <v>1185732</v>
      </c>
      <c r="C4393" s="1">
        <v>44387</v>
      </c>
      <c r="D4393" t="s">
        <v>57</v>
      </c>
      <c r="E4393" t="s">
        <v>118</v>
      </c>
      <c r="F4393" t="s">
        <v>119</v>
      </c>
      <c r="G4393" t="s">
        <v>41</v>
      </c>
      <c r="H4393" t="s">
        <v>35</v>
      </c>
      <c r="I4393" s="3">
        <v>18</v>
      </c>
      <c r="J4393" s="2">
        <v>25</v>
      </c>
      <c r="K4393" s="3">
        <f t="shared" si="68"/>
        <v>450</v>
      </c>
      <c r="L4393" s="3">
        <v>234</v>
      </c>
    </row>
    <row r="4394" spans="1:12" x14ac:dyDescent="0.25">
      <c r="A4394" t="s">
        <v>27</v>
      </c>
      <c r="B4394">
        <v>1185732</v>
      </c>
      <c r="C4394" s="1">
        <v>44387</v>
      </c>
      <c r="D4394" t="s">
        <v>12</v>
      </c>
      <c r="E4394" t="s">
        <v>62</v>
      </c>
      <c r="F4394" t="s">
        <v>63</v>
      </c>
      <c r="G4394" t="s">
        <v>41</v>
      </c>
      <c r="H4394" t="s">
        <v>35</v>
      </c>
      <c r="I4394" s="3">
        <v>38</v>
      </c>
      <c r="J4394" s="2">
        <v>149</v>
      </c>
      <c r="K4394" s="3">
        <f t="shared" si="68"/>
        <v>5662</v>
      </c>
      <c r="L4394" s="3">
        <v>2944.2400000000002</v>
      </c>
    </row>
    <row r="4395" spans="1:12" x14ac:dyDescent="0.25">
      <c r="A4395" t="s">
        <v>11</v>
      </c>
      <c r="B4395">
        <v>1185732</v>
      </c>
      <c r="C4395" s="1">
        <v>44387</v>
      </c>
      <c r="D4395" t="s">
        <v>12</v>
      </c>
      <c r="E4395" t="s">
        <v>101</v>
      </c>
      <c r="F4395" t="s">
        <v>102</v>
      </c>
      <c r="G4395" t="s">
        <v>41</v>
      </c>
      <c r="H4395" t="s">
        <v>17</v>
      </c>
      <c r="I4395" s="3">
        <v>29</v>
      </c>
      <c r="J4395" s="2">
        <v>160</v>
      </c>
      <c r="K4395" s="3">
        <f t="shared" si="68"/>
        <v>4640</v>
      </c>
      <c r="L4395" s="3">
        <v>2412.8000000000002</v>
      </c>
    </row>
    <row r="4396" spans="1:12" x14ac:dyDescent="0.25">
      <c r="A4396" t="s">
        <v>11</v>
      </c>
      <c r="B4396">
        <v>1185732</v>
      </c>
      <c r="C4396" s="1">
        <v>44387</v>
      </c>
      <c r="D4396" t="s">
        <v>12</v>
      </c>
      <c r="E4396" t="s">
        <v>101</v>
      </c>
      <c r="F4396" t="s">
        <v>102</v>
      </c>
      <c r="G4396" t="s">
        <v>41</v>
      </c>
      <c r="H4396" t="s">
        <v>35</v>
      </c>
      <c r="I4396" s="3">
        <v>24</v>
      </c>
      <c r="J4396" s="2">
        <v>138</v>
      </c>
      <c r="K4396" s="3">
        <f t="shared" si="68"/>
        <v>3312</v>
      </c>
      <c r="L4396" s="3">
        <v>1722.24</v>
      </c>
    </row>
    <row r="4397" spans="1:12" x14ac:dyDescent="0.25">
      <c r="A4397" t="s">
        <v>36</v>
      </c>
      <c r="B4397">
        <v>1185732</v>
      </c>
      <c r="C4397" s="1">
        <v>44387</v>
      </c>
      <c r="D4397" t="s">
        <v>29</v>
      </c>
      <c r="E4397" t="s">
        <v>80</v>
      </c>
      <c r="F4397" t="s">
        <v>81</v>
      </c>
      <c r="G4397" t="s">
        <v>41</v>
      </c>
      <c r="H4397" t="s">
        <v>35</v>
      </c>
      <c r="I4397" s="3">
        <v>46</v>
      </c>
      <c r="J4397" s="2">
        <v>98</v>
      </c>
      <c r="K4397" s="3">
        <f t="shared" si="68"/>
        <v>4508</v>
      </c>
      <c r="L4397" s="3">
        <v>2344.16</v>
      </c>
    </row>
    <row r="4398" spans="1:12" x14ac:dyDescent="0.25">
      <c r="A4398" t="s">
        <v>36</v>
      </c>
      <c r="B4398">
        <v>1185732</v>
      </c>
      <c r="C4398" s="1">
        <v>44387</v>
      </c>
      <c r="D4398" t="s">
        <v>29</v>
      </c>
      <c r="E4398" t="s">
        <v>80</v>
      </c>
      <c r="F4398" t="s">
        <v>81</v>
      </c>
      <c r="G4398" t="s">
        <v>41</v>
      </c>
      <c r="H4398" t="s">
        <v>37</v>
      </c>
      <c r="I4398" s="3">
        <v>46</v>
      </c>
      <c r="J4398" s="2">
        <v>90</v>
      </c>
      <c r="K4398" s="3">
        <f t="shared" si="68"/>
        <v>4140</v>
      </c>
      <c r="L4398" s="3">
        <v>2111.4</v>
      </c>
    </row>
    <row r="4399" spans="1:12" x14ac:dyDescent="0.25">
      <c r="A4399" t="s">
        <v>11</v>
      </c>
      <c r="B4399">
        <v>1185732</v>
      </c>
      <c r="C4399" s="1">
        <v>44387</v>
      </c>
      <c r="D4399" t="s">
        <v>12</v>
      </c>
      <c r="E4399" t="s">
        <v>101</v>
      </c>
      <c r="F4399" t="s">
        <v>102</v>
      </c>
      <c r="G4399" t="s">
        <v>41</v>
      </c>
      <c r="H4399" t="s">
        <v>37</v>
      </c>
      <c r="I4399" s="3">
        <v>23</v>
      </c>
      <c r="J4399" s="2">
        <v>115</v>
      </c>
      <c r="K4399" s="3">
        <f t="shared" si="68"/>
        <v>2645</v>
      </c>
      <c r="L4399" s="3">
        <v>1322.5</v>
      </c>
    </row>
    <row r="4400" spans="1:12" x14ac:dyDescent="0.25">
      <c r="A4400" t="s">
        <v>36</v>
      </c>
      <c r="B4400">
        <v>1185732</v>
      </c>
      <c r="C4400" s="1">
        <v>44387</v>
      </c>
      <c r="D4400" t="s">
        <v>29</v>
      </c>
      <c r="E4400" t="s">
        <v>80</v>
      </c>
      <c r="F4400" t="s">
        <v>81</v>
      </c>
      <c r="G4400" t="s">
        <v>15</v>
      </c>
      <c r="H4400" t="s">
        <v>17</v>
      </c>
      <c r="I4400" s="3">
        <v>42</v>
      </c>
      <c r="J4400" s="2">
        <v>145</v>
      </c>
      <c r="K4400" s="3">
        <f t="shared" si="68"/>
        <v>6090</v>
      </c>
      <c r="L4400" s="3">
        <v>3045</v>
      </c>
    </row>
    <row r="4401" spans="1:12" x14ac:dyDescent="0.25">
      <c r="A4401" t="s">
        <v>11</v>
      </c>
      <c r="B4401">
        <v>1185732</v>
      </c>
      <c r="C4401" s="1">
        <v>44387</v>
      </c>
      <c r="D4401" t="s">
        <v>12</v>
      </c>
      <c r="E4401" t="s">
        <v>101</v>
      </c>
      <c r="F4401" t="s">
        <v>102</v>
      </c>
      <c r="G4401" t="s">
        <v>41</v>
      </c>
      <c r="H4401" t="s">
        <v>38</v>
      </c>
      <c r="I4401" s="3">
        <v>34</v>
      </c>
      <c r="J4401" s="2">
        <v>224</v>
      </c>
      <c r="K4401" s="3">
        <f t="shared" si="68"/>
        <v>7616</v>
      </c>
      <c r="L4401" s="3">
        <v>3655.68</v>
      </c>
    </row>
    <row r="4402" spans="1:12" x14ac:dyDescent="0.25">
      <c r="A4402" t="s">
        <v>36</v>
      </c>
      <c r="B4402">
        <v>1185732</v>
      </c>
      <c r="C4402" s="1">
        <v>44387</v>
      </c>
      <c r="D4402" t="s">
        <v>29</v>
      </c>
      <c r="E4402" t="s">
        <v>80</v>
      </c>
      <c r="F4402" t="s">
        <v>81</v>
      </c>
      <c r="G4402" t="s">
        <v>41</v>
      </c>
      <c r="H4402" t="s">
        <v>16</v>
      </c>
      <c r="I4402" s="3">
        <v>61</v>
      </c>
      <c r="J4402" s="2">
        <v>125</v>
      </c>
      <c r="K4402" s="3">
        <f t="shared" si="68"/>
        <v>7625</v>
      </c>
      <c r="L4402" s="3">
        <v>3660</v>
      </c>
    </row>
    <row r="4403" spans="1:12" x14ac:dyDescent="0.25">
      <c r="A4403" t="s">
        <v>36</v>
      </c>
      <c r="B4403">
        <v>1185732</v>
      </c>
      <c r="C4403" s="1">
        <v>44387</v>
      </c>
      <c r="D4403" t="s">
        <v>29</v>
      </c>
      <c r="E4403" t="s">
        <v>80</v>
      </c>
      <c r="F4403" t="s">
        <v>81</v>
      </c>
      <c r="G4403" t="s">
        <v>15</v>
      </c>
      <c r="H4403" t="s">
        <v>38</v>
      </c>
      <c r="I4403" s="3">
        <v>45</v>
      </c>
      <c r="J4403" s="2">
        <v>209</v>
      </c>
      <c r="K4403" s="3">
        <f t="shared" si="68"/>
        <v>9405</v>
      </c>
      <c r="L4403" s="3">
        <v>4514.3999999999996</v>
      </c>
    </row>
    <row r="4404" spans="1:12" x14ac:dyDescent="0.25">
      <c r="A4404" t="s">
        <v>11</v>
      </c>
      <c r="B4404">
        <v>1185732</v>
      </c>
      <c r="C4404" s="1">
        <v>44387</v>
      </c>
      <c r="D4404" t="s">
        <v>12</v>
      </c>
      <c r="E4404" t="s">
        <v>101</v>
      </c>
      <c r="F4404" t="s">
        <v>102</v>
      </c>
      <c r="G4404" t="s">
        <v>15</v>
      </c>
      <c r="H4404" t="s">
        <v>16</v>
      </c>
      <c r="I4404" s="3">
        <v>32</v>
      </c>
      <c r="J4404" s="2">
        <v>204</v>
      </c>
      <c r="K4404" s="3">
        <f t="shared" si="68"/>
        <v>6528</v>
      </c>
      <c r="L4404" s="3">
        <v>2937.6</v>
      </c>
    </row>
    <row r="4405" spans="1:12" x14ac:dyDescent="0.25">
      <c r="A4405" t="s">
        <v>36</v>
      </c>
      <c r="B4405">
        <v>1185732</v>
      </c>
      <c r="C4405" s="1">
        <v>44387</v>
      </c>
      <c r="D4405" t="s">
        <v>29</v>
      </c>
      <c r="E4405" t="s">
        <v>80</v>
      </c>
      <c r="F4405" t="s">
        <v>81</v>
      </c>
      <c r="G4405" t="s">
        <v>41</v>
      </c>
      <c r="H4405" t="s">
        <v>17</v>
      </c>
      <c r="I4405" s="3">
        <v>51</v>
      </c>
      <c r="J4405" s="2">
        <v>115</v>
      </c>
      <c r="K4405" s="3">
        <f t="shared" si="68"/>
        <v>5865</v>
      </c>
      <c r="L4405" s="3">
        <v>2580.6</v>
      </c>
    </row>
    <row r="4406" spans="1:12" x14ac:dyDescent="0.25">
      <c r="A4406" t="s">
        <v>36</v>
      </c>
      <c r="B4406">
        <v>1185732</v>
      </c>
      <c r="C4406" s="1">
        <v>44387</v>
      </c>
      <c r="D4406" t="s">
        <v>29</v>
      </c>
      <c r="E4406" t="s">
        <v>80</v>
      </c>
      <c r="F4406" t="s">
        <v>81</v>
      </c>
      <c r="G4406" t="s">
        <v>41</v>
      </c>
      <c r="H4406" t="s">
        <v>38</v>
      </c>
      <c r="I4406" s="3">
        <v>54</v>
      </c>
      <c r="J4406" s="2">
        <v>182</v>
      </c>
      <c r="K4406" s="3">
        <f t="shared" si="68"/>
        <v>9828</v>
      </c>
      <c r="L4406" s="3">
        <v>4226.0399999999991</v>
      </c>
    </row>
    <row r="4407" spans="1:12" x14ac:dyDescent="0.25">
      <c r="A4407" t="s">
        <v>27</v>
      </c>
      <c r="B4407">
        <v>1185732</v>
      </c>
      <c r="C4407" s="1">
        <v>44387</v>
      </c>
      <c r="D4407" t="s">
        <v>12</v>
      </c>
      <c r="E4407" t="s">
        <v>62</v>
      </c>
      <c r="F4407" t="s">
        <v>63</v>
      </c>
      <c r="G4407" t="s">
        <v>41</v>
      </c>
      <c r="H4407" t="s">
        <v>38</v>
      </c>
      <c r="I4407" s="3">
        <v>48</v>
      </c>
      <c r="J4407" s="2">
        <v>228</v>
      </c>
      <c r="K4407" s="3">
        <f t="shared" si="68"/>
        <v>10944</v>
      </c>
      <c r="L4407" s="3">
        <v>3939.84</v>
      </c>
    </row>
    <row r="4408" spans="1:12" x14ac:dyDescent="0.25">
      <c r="A4408" t="s">
        <v>11</v>
      </c>
      <c r="B4408">
        <v>1185732</v>
      </c>
      <c r="C4408" s="1">
        <v>44387</v>
      </c>
      <c r="D4408" t="s">
        <v>12</v>
      </c>
      <c r="E4408" t="s">
        <v>101</v>
      </c>
      <c r="F4408" t="s">
        <v>102</v>
      </c>
      <c r="G4408" t="s">
        <v>41</v>
      </c>
      <c r="H4408" t="s">
        <v>16</v>
      </c>
      <c r="I4408" s="3">
        <v>38</v>
      </c>
      <c r="J4408" s="2">
        <v>150</v>
      </c>
      <c r="K4408" s="3">
        <f t="shared" si="68"/>
        <v>5700</v>
      </c>
      <c r="L4408" s="3">
        <v>1995</v>
      </c>
    </row>
    <row r="4409" spans="1:12" x14ac:dyDescent="0.25">
      <c r="A4409" t="s">
        <v>19</v>
      </c>
      <c r="B4409">
        <v>1185732</v>
      </c>
      <c r="C4409" s="1">
        <v>44388</v>
      </c>
      <c r="D4409" t="s">
        <v>57</v>
      </c>
      <c r="E4409" t="s">
        <v>74</v>
      </c>
      <c r="F4409" t="s">
        <v>75</v>
      </c>
      <c r="G4409" t="s">
        <v>41</v>
      </c>
      <c r="H4409" t="s">
        <v>17</v>
      </c>
      <c r="I4409" s="3">
        <v>45.000000000000007</v>
      </c>
      <c r="J4409" s="2">
        <v>300</v>
      </c>
      <c r="K4409" s="3">
        <f t="shared" si="68"/>
        <v>13500.000000000002</v>
      </c>
      <c r="L4409" s="3">
        <v>9450.0000000000036</v>
      </c>
    </row>
    <row r="4410" spans="1:12" x14ac:dyDescent="0.25">
      <c r="A4410" t="s">
        <v>19</v>
      </c>
      <c r="B4410">
        <v>1185732</v>
      </c>
      <c r="C4410" s="1">
        <v>44388</v>
      </c>
      <c r="D4410" t="s">
        <v>57</v>
      </c>
      <c r="E4410" t="s">
        <v>74</v>
      </c>
      <c r="F4410" t="s">
        <v>75</v>
      </c>
      <c r="G4410" t="s">
        <v>41</v>
      </c>
      <c r="H4410" t="s">
        <v>35</v>
      </c>
      <c r="I4410" s="3">
        <v>40</v>
      </c>
      <c r="J4410" s="2">
        <v>225</v>
      </c>
      <c r="K4410" s="3">
        <f t="shared" si="68"/>
        <v>9000</v>
      </c>
      <c r="L4410" s="3">
        <v>6300</v>
      </c>
    </row>
    <row r="4411" spans="1:12" x14ac:dyDescent="0.25">
      <c r="A4411" t="s">
        <v>19</v>
      </c>
      <c r="B4411">
        <v>1185732</v>
      </c>
      <c r="C4411" s="1">
        <v>44388</v>
      </c>
      <c r="D4411" t="s">
        <v>57</v>
      </c>
      <c r="E4411" t="s">
        <v>74</v>
      </c>
      <c r="F4411" t="s">
        <v>75</v>
      </c>
      <c r="G4411" t="s">
        <v>41</v>
      </c>
      <c r="H4411" t="s">
        <v>37</v>
      </c>
      <c r="I4411" s="3">
        <v>40</v>
      </c>
      <c r="J4411" s="2">
        <v>175</v>
      </c>
      <c r="K4411" s="3">
        <f t="shared" si="68"/>
        <v>7000</v>
      </c>
      <c r="L4411" s="3">
        <v>4900</v>
      </c>
    </row>
    <row r="4412" spans="1:12" x14ac:dyDescent="0.25">
      <c r="A4412" t="s">
        <v>19</v>
      </c>
      <c r="B4412">
        <v>1185732</v>
      </c>
      <c r="C4412" s="1">
        <v>44388</v>
      </c>
      <c r="D4412" t="s">
        <v>57</v>
      </c>
      <c r="E4412" t="s">
        <v>74</v>
      </c>
      <c r="F4412" t="s">
        <v>75</v>
      </c>
      <c r="G4412" t="s">
        <v>41</v>
      </c>
      <c r="H4412" t="s">
        <v>38</v>
      </c>
      <c r="I4412" s="3">
        <v>50</v>
      </c>
      <c r="J4412" s="2">
        <v>550</v>
      </c>
      <c r="K4412" s="3">
        <f t="shared" si="68"/>
        <v>27500</v>
      </c>
      <c r="L4412" s="3">
        <v>17875</v>
      </c>
    </row>
    <row r="4413" spans="1:12" x14ac:dyDescent="0.25">
      <c r="A4413" t="s">
        <v>19</v>
      </c>
      <c r="B4413">
        <v>1185732</v>
      </c>
      <c r="C4413" s="1">
        <v>44388</v>
      </c>
      <c r="D4413" t="s">
        <v>57</v>
      </c>
      <c r="E4413" t="s">
        <v>74</v>
      </c>
      <c r="F4413" t="s">
        <v>75</v>
      </c>
      <c r="G4413" t="s">
        <v>41</v>
      </c>
      <c r="H4413" t="s">
        <v>22</v>
      </c>
      <c r="I4413" s="3">
        <v>50</v>
      </c>
      <c r="J4413" s="2">
        <v>200</v>
      </c>
      <c r="K4413" s="3">
        <f t="shared" si="68"/>
        <v>10000</v>
      </c>
      <c r="L4413" s="3">
        <v>6500</v>
      </c>
    </row>
    <row r="4414" spans="1:12" x14ac:dyDescent="0.25">
      <c r="A4414" t="s">
        <v>19</v>
      </c>
      <c r="B4414">
        <v>1185732</v>
      </c>
      <c r="C4414" s="1">
        <v>44388</v>
      </c>
      <c r="D4414" t="s">
        <v>57</v>
      </c>
      <c r="E4414" t="s">
        <v>118</v>
      </c>
      <c r="F4414" t="s">
        <v>119</v>
      </c>
      <c r="G4414" t="s">
        <v>15</v>
      </c>
      <c r="H4414" t="s">
        <v>37</v>
      </c>
      <c r="I4414" s="3">
        <v>20</v>
      </c>
      <c r="J4414" s="2">
        <v>75</v>
      </c>
      <c r="K4414" s="3">
        <f t="shared" si="68"/>
        <v>1500</v>
      </c>
      <c r="L4414" s="3">
        <v>900</v>
      </c>
    </row>
    <row r="4415" spans="1:12" x14ac:dyDescent="0.25">
      <c r="A4415" t="s">
        <v>19</v>
      </c>
      <c r="B4415">
        <v>1185732</v>
      </c>
      <c r="C4415" s="1">
        <v>44388</v>
      </c>
      <c r="D4415" t="s">
        <v>57</v>
      </c>
      <c r="E4415" t="s">
        <v>74</v>
      </c>
      <c r="F4415" t="s">
        <v>75</v>
      </c>
      <c r="G4415" t="s">
        <v>41</v>
      </c>
      <c r="H4415" t="s">
        <v>16</v>
      </c>
      <c r="I4415" s="3">
        <v>55.000000000000007</v>
      </c>
      <c r="J4415" s="2">
        <v>375</v>
      </c>
      <c r="K4415" s="3">
        <f t="shared" si="68"/>
        <v>20625.000000000004</v>
      </c>
      <c r="L4415" s="3">
        <v>12375.000000000002</v>
      </c>
    </row>
    <row r="4416" spans="1:12" x14ac:dyDescent="0.25">
      <c r="A4416" t="s">
        <v>19</v>
      </c>
      <c r="B4416">
        <v>1185732</v>
      </c>
      <c r="C4416" s="1">
        <v>44388</v>
      </c>
      <c r="D4416" t="s">
        <v>57</v>
      </c>
      <c r="E4416" t="s">
        <v>95</v>
      </c>
      <c r="F4416" t="s">
        <v>96</v>
      </c>
      <c r="G4416" t="s">
        <v>15</v>
      </c>
      <c r="H4416" t="s">
        <v>16</v>
      </c>
      <c r="I4416" s="3">
        <v>55.000000000000007</v>
      </c>
      <c r="J4416" s="2">
        <v>400</v>
      </c>
      <c r="K4416" s="3">
        <f t="shared" si="68"/>
        <v>22000.000000000004</v>
      </c>
      <c r="L4416" s="3">
        <v>11000.000000000002</v>
      </c>
    </row>
    <row r="4417" spans="1:12" x14ac:dyDescent="0.25">
      <c r="A4417" t="s">
        <v>19</v>
      </c>
      <c r="B4417">
        <v>1185732</v>
      </c>
      <c r="C4417" s="1">
        <v>44388</v>
      </c>
      <c r="D4417" t="s">
        <v>57</v>
      </c>
      <c r="E4417" t="s">
        <v>74</v>
      </c>
      <c r="F4417" t="s">
        <v>75</v>
      </c>
      <c r="G4417" t="s">
        <v>41</v>
      </c>
      <c r="H4417" t="s">
        <v>35</v>
      </c>
      <c r="I4417" s="3">
        <v>37</v>
      </c>
      <c r="J4417" s="2">
        <v>61</v>
      </c>
      <c r="K4417" s="3">
        <f t="shared" si="68"/>
        <v>2257</v>
      </c>
      <c r="L4417" s="3">
        <v>1309.06</v>
      </c>
    </row>
    <row r="4418" spans="1:12" x14ac:dyDescent="0.25">
      <c r="A4418" t="s">
        <v>19</v>
      </c>
      <c r="B4418">
        <v>1185732</v>
      </c>
      <c r="C4418" s="1">
        <v>44388</v>
      </c>
      <c r="D4418" t="s">
        <v>57</v>
      </c>
      <c r="E4418" t="s">
        <v>74</v>
      </c>
      <c r="F4418" t="s">
        <v>75</v>
      </c>
      <c r="G4418" t="s">
        <v>41</v>
      </c>
      <c r="H4418" t="s">
        <v>37</v>
      </c>
      <c r="I4418" s="3">
        <v>38</v>
      </c>
      <c r="J4418" s="2">
        <v>44</v>
      </c>
      <c r="K4418" s="3">
        <f t="shared" si="68"/>
        <v>1672</v>
      </c>
      <c r="L4418" s="3">
        <v>953.04</v>
      </c>
    </row>
    <row r="4419" spans="1:12" x14ac:dyDescent="0.25">
      <c r="A4419" t="s">
        <v>19</v>
      </c>
      <c r="B4419">
        <v>1185732</v>
      </c>
      <c r="C4419" s="1">
        <v>44388</v>
      </c>
      <c r="D4419" t="s">
        <v>57</v>
      </c>
      <c r="E4419" t="s">
        <v>74</v>
      </c>
      <c r="F4419" t="s">
        <v>75</v>
      </c>
      <c r="G4419" t="s">
        <v>41</v>
      </c>
      <c r="H4419" t="s">
        <v>17</v>
      </c>
      <c r="I4419" s="3">
        <v>44</v>
      </c>
      <c r="J4419" s="2">
        <v>81</v>
      </c>
      <c r="K4419" s="3">
        <f t="shared" ref="K4419:K4482" si="69">I4419*J4419</f>
        <v>3564</v>
      </c>
      <c r="L4419" s="3">
        <v>1960.2</v>
      </c>
    </row>
    <row r="4420" spans="1:12" x14ac:dyDescent="0.25">
      <c r="A4420" t="s">
        <v>19</v>
      </c>
      <c r="B4420">
        <v>1185732</v>
      </c>
      <c r="C4420" s="1">
        <v>44388</v>
      </c>
      <c r="D4420" t="s">
        <v>57</v>
      </c>
      <c r="E4420" t="s">
        <v>74</v>
      </c>
      <c r="F4420" t="s">
        <v>75</v>
      </c>
      <c r="G4420" t="s">
        <v>41</v>
      </c>
      <c r="H4420" t="s">
        <v>38</v>
      </c>
      <c r="I4420" s="3">
        <v>47</v>
      </c>
      <c r="J4420" s="2">
        <v>154</v>
      </c>
      <c r="K4420" s="3">
        <f t="shared" si="69"/>
        <v>7238</v>
      </c>
      <c r="L4420" s="3">
        <v>3908.5200000000004</v>
      </c>
    </row>
    <row r="4421" spans="1:12" x14ac:dyDescent="0.25">
      <c r="A4421" t="s">
        <v>19</v>
      </c>
      <c r="B4421">
        <v>1185732</v>
      </c>
      <c r="C4421" s="1">
        <v>44388</v>
      </c>
      <c r="D4421" t="s">
        <v>57</v>
      </c>
      <c r="E4421" t="s">
        <v>74</v>
      </c>
      <c r="F4421" t="s">
        <v>75</v>
      </c>
      <c r="G4421" t="s">
        <v>41</v>
      </c>
      <c r="H4421" t="s">
        <v>22</v>
      </c>
      <c r="I4421" s="3">
        <v>49</v>
      </c>
      <c r="J4421" s="2">
        <v>52</v>
      </c>
      <c r="K4421" s="3">
        <f t="shared" si="69"/>
        <v>2548</v>
      </c>
      <c r="L4421" s="3">
        <v>1375.92</v>
      </c>
    </row>
    <row r="4422" spans="1:12" x14ac:dyDescent="0.25">
      <c r="A4422" t="s">
        <v>19</v>
      </c>
      <c r="B4422">
        <v>1185732</v>
      </c>
      <c r="C4422" s="1">
        <v>44388</v>
      </c>
      <c r="D4422" t="s">
        <v>57</v>
      </c>
      <c r="E4422" t="s">
        <v>118</v>
      </c>
      <c r="F4422" t="s">
        <v>119</v>
      </c>
      <c r="G4422" t="s">
        <v>41</v>
      </c>
      <c r="H4422" t="s">
        <v>37</v>
      </c>
      <c r="I4422" s="3">
        <v>19</v>
      </c>
      <c r="J4422" s="2">
        <v>23</v>
      </c>
      <c r="K4422" s="3">
        <f t="shared" si="69"/>
        <v>437</v>
      </c>
      <c r="L4422" s="3">
        <v>209.76</v>
      </c>
    </row>
    <row r="4423" spans="1:12" x14ac:dyDescent="0.25">
      <c r="A4423" t="s">
        <v>19</v>
      </c>
      <c r="B4423">
        <v>1185732</v>
      </c>
      <c r="C4423" s="1">
        <v>44388</v>
      </c>
      <c r="D4423" t="s">
        <v>57</v>
      </c>
      <c r="E4423" t="s">
        <v>74</v>
      </c>
      <c r="F4423" t="s">
        <v>75</v>
      </c>
      <c r="G4423" t="s">
        <v>41</v>
      </c>
      <c r="H4423" t="s">
        <v>16</v>
      </c>
      <c r="I4423" s="3">
        <v>53</v>
      </c>
      <c r="J4423" s="2">
        <v>94</v>
      </c>
      <c r="K4423" s="3">
        <f t="shared" si="69"/>
        <v>4982</v>
      </c>
      <c r="L4423" s="3">
        <v>2341.54</v>
      </c>
    </row>
    <row r="4424" spans="1:12" x14ac:dyDescent="0.25">
      <c r="A4424" t="s">
        <v>19</v>
      </c>
      <c r="B4424">
        <v>1185732</v>
      </c>
      <c r="C4424" s="1">
        <v>44388</v>
      </c>
      <c r="D4424" t="s">
        <v>57</v>
      </c>
      <c r="E4424" t="s">
        <v>95</v>
      </c>
      <c r="F4424" t="s">
        <v>96</v>
      </c>
      <c r="G4424" t="s">
        <v>41</v>
      </c>
      <c r="H4424" t="s">
        <v>16</v>
      </c>
      <c r="I4424" s="3">
        <v>54</v>
      </c>
      <c r="J4424" s="2">
        <v>120</v>
      </c>
      <c r="K4424" s="3">
        <f t="shared" si="69"/>
        <v>6480</v>
      </c>
      <c r="L4424" s="3">
        <v>2527.2000000000003</v>
      </c>
    </row>
    <row r="4425" spans="1:12" x14ac:dyDescent="0.25">
      <c r="A4425" t="s">
        <v>26</v>
      </c>
      <c r="B4425">
        <v>1128299</v>
      </c>
      <c r="C4425" s="1">
        <v>44389</v>
      </c>
      <c r="D4425" t="s">
        <v>32</v>
      </c>
      <c r="E4425" t="s">
        <v>44</v>
      </c>
      <c r="F4425" t="s">
        <v>45</v>
      </c>
      <c r="G4425" t="s">
        <v>41</v>
      </c>
      <c r="H4425" t="s">
        <v>16</v>
      </c>
      <c r="I4425" s="3">
        <v>70</v>
      </c>
      <c r="J4425" s="2">
        <v>475</v>
      </c>
      <c r="K4425" s="3">
        <f t="shared" si="69"/>
        <v>33250</v>
      </c>
      <c r="L4425" s="3">
        <v>24937.5</v>
      </c>
    </row>
    <row r="4426" spans="1:12" x14ac:dyDescent="0.25">
      <c r="A4426" t="s">
        <v>26</v>
      </c>
      <c r="B4426">
        <v>1128299</v>
      </c>
      <c r="C4426" s="1">
        <v>44389</v>
      </c>
      <c r="D4426" t="s">
        <v>32</v>
      </c>
      <c r="E4426" t="s">
        <v>44</v>
      </c>
      <c r="F4426" t="s">
        <v>45</v>
      </c>
      <c r="G4426" t="s">
        <v>41</v>
      </c>
      <c r="H4426" t="s">
        <v>35</v>
      </c>
      <c r="I4426" s="3">
        <v>55.000000000000007</v>
      </c>
      <c r="J4426" s="2">
        <v>525</v>
      </c>
      <c r="K4426" s="3">
        <f t="shared" si="69"/>
        <v>28875.000000000004</v>
      </c>
      <c r="L4426" s="3">
        <v>18768.750000000007</v>
      </c>
    </row>
    <row r="4427" spans="1:12" x14ac:dyDescent="0.25">
      <c r="A4427" t="s">
        <v>19</v>
      </c>
      <c r="B4427">
        <v>1185732</v>
      </c>
      <c r="C4427" s="1">
        <v>44389</v>
      </c>
      <c r="D4427" t="s">
        <v>57</v>
      </c>
      <c r="E4427" t="s">
        <v>118</v>
      </c>
      <c r="F4427" t="s">
        <v>119</v>
      </c>
      <c r="G4427" t="s">
        <v>15</v>
      </c>
      <c r="H4427" t="s">
        <v>22</v>
      </c>
      <c r="I4427" s="3">
        <v>30</v>
      </c>
      <c r="J4427" s="2">
        <v>75</v>
      </c>
      <c r="K4427" s="3">
        <f t="shared" si="69"/>
        <v>2250</v>
      </c>
      <c r="L4427" s="3">
        <v>1462.5</v>
      </c>
    </row>
    <row r="4428" spans="1:12" x14ac:dyDescent="0.25">
      <c r="A4428" t="s">
        <v>26</v>
      </c>
      <c r="B4428">
        <v>1128299</v>
      </c>
      <c r="C4428" s="1">
        <v>44389</v>
      </c>
      <c r="D4428" t="s">
        <v>32</v>
      </c>
      <c r="E4428" t="s">
        <v>44</v>
      </c>
      <c r="F4428" t="s">
        <v>45</v>
      </c>
      <c r="G4428" t="s">
        <v>41</v>
      </c>
      <c r="H4428" t="s">
        <v>22</v>
      </c>
      <c r="I4428" s="3">
        <v>55.000000000000007</v>
      </c>
      <c r="J4428" s="2">
        <v>475</v>
      </c>
      <c r="K4428" s="3">
        <f t="shared" si="69"/>
        <v>26125.000000000004</v>
      </c>
      <c r="L4428" s="3">
        <v>16981.250000000004</v>
      </c>
    </row>
    <row r="4429" spans="1:12" x14ac:dyDescent="0.25">
      <c r="A4429" t="s">
        <v>27</v>
      </c>
      <c r="B4429">
        <v>1197831</v>
      </c>
      <c r="C4429" s="1">
        <v>44389</v>
      </c>
      <c r="D4429" t="s">
        <v>57</v>
      </c>
      <c r="E4429" t="s">
        <v>72</v>
      </c>
      <c r="F4429" t="s">
        <v>73</v>
      </c>
      <c r="G4429" t="s">
        <v>41</v>
      </c>
      <c r="H4429" t="s">
        <v>38</v>
      </c>
      <c r="I4429" s="3">
        <v>54.999999999999993</v>
      </c>
      <c r="J4429" s="2">
        <v>675</v>
      </c>
      <c r="K4429" s="3">
        <f t="shared" si="69"/>
        <v>37124.999999999993</v>
      </c>
      <c r="L4429" s="3">
        <v>24131.249999999996</v>
      </c>
    </row>
    <row r="4430" spans="1:12" x14ac:dyDescent="0.25">
      <c r="A4430" t="s">
        <v>27</v>
      </c>
      <c r="B4430">
        <v>1197831</v>
      </c>
      <c r="C4430" s="1">
        <v>44389</v>
      </c>
      <c r="D4430" t="s">
        <v>57</v>
      </c>
      <c r="E4430" t="s">
        <v>72</v>
      </c>
      <c r="F4430" t="s">
        <v>73</v>
      </c>
      <c r="G4430" t="s">
        <v>41</v>
      </c>
      <c r="H4430" t="s">
        <v>17</v>
      </c>
      <c r="I4430" s="3">
        <v>50</v>
      </c>
      <c r="J4430" s="2">
        <v>425</v>
      </c>
      <c r="K4430" s="3">
        <f t="shared" si="69"/>
        <v>21250</v>
      </c>
      <c r="L4430" s="3">
        <v>13812.5</v>
      </c>
    </row>
    <row r="4431" spans="1:12" x14ac:dyDescent="0.25">
      <c r="A4431" t="s">
        <v>27</v>
      </c>
      <c r="B4431">
        <v>1197831</v>
      </c>
      <c r="C4431" s="1">
        <v>44389</v>
      </c>
      <c r="D4431" t="s">
        <v>57</v>
      </c>
      <c r="E4431" t="s">
        <v>72</v>
      </c>
      <c r="F4431" t="s">
        <v>73</v>
      </c>
      <c r="G4431" t="s">
        <v>41</v>
      </c>
      <c r="H4431" t="s">
        <v>35</v>
      </c>
      <c r="I4431" s="3">
        <v>45</v>
      </c>
      <c r="J4431" s="2">
        <v>350</v>
      </c>
      <c r="K4431" s="3">
        <f t="shared" si="69"/>
        <v>15750</v>
      </c>
      <c r="L4431" s="3">
        <v>10237.5</v>
      </c>
    </row>
    <row r="4432" spans="1:12" x14ac:dyDescent="0.25">
      <c r="A4432" t="s">
        <v>27</v>
      </c>
      <c r="B4432">
        <v>1197831</v>
      </c>
      <c r="C4432" s="1">
        <v>44389</v>
      </c>
      <c r="D4432" t="s">
        <v>57</v>
      </c>
      <c r="E4432" t="s">
        <v>72</v>
      </c>
      <c r="F4432" t="s">
        <v>73</v>
      </c>
      <c r="G4432" t="s">
        <v>41</v>
      </c>
      <c r="H4432" t="s">
        <v>37</v>
      </c>
      <c r="I4432" s="3">
        <v>45</v>
      </c>
      <c r="J4432" s="2">
        <v>300</v>
      </c>
      <c r="K4432" s="3">
        <f t="shared" si="69"/>
        <v>13500</v>
      </c>
      <c r="L4432" s="3">
        <v>8775</v>
      </c>
    </row>
    <row r="4433" spans="1:12" x14ac:dyDescent="0.25">
      <c r="A4433" t="s">
        <v>27</v>
      </c>
      <c r="B4433">
        <v>1197831</v>
      </c>
      <c r="C4433" s="1">
        <v>44389</v>
      </c>
      <c r="D4433" t="s">
        <v>57</v>
      </c>
      <c r="E4433" t="s">
        <v>72</v>
      </c>
      <c r="F4433" t="s">
        <v>73</v>
      </c>
      <c r="G4433" t="s">
        <v>41</v>
      </c>
      <c r="H4433" t="s">
        <v>22</v>
      </c>
      <c r="I4433" s="3">
        <v>60</v>
      </c>
      <c r="J4433" s="2">
        <v>325</v>
      </c>
      <c r="K4433" s="3">
        <f t="shared" si="69"/>
        <v>19500</v>
      </c>
      <c r="L4433" s="3">
        <v>12675</v>
      </c>
    </row>
    <row r="4434" spans="1:12" x14ac:dyDescent="0.25">
      <c r="A4434" t="s">
        <v>27</v>
      </c>
      <c r="B4434">
        <v>1197831</v>
      </c>
      <c r="C4434" s="1">
        <v>44389</v>
      </c>
      <c r="D4434" t="s">
        <v>57</v>
      </c>
      <c r="E4434" t="s">
        <v>72</v>
      </c>
      <c r="F4434" t="s">
        <v>73</v>
      </c>
      <c r="G4434" t="s">
        <v>41</v>
      </c>
      <c r="H4434" t="s">
        <v>16</v>
      </c>
      <c r="I4434" s="3">
        <v>65</v>
      </c>
      <c r="J4434" s="2">
        <v>500</v>
      </c>
      <c r="K4434" s="3">
        <f t="shared" si="69"/>
        <v>32500</v>
      </c>
      <c r="L4434" s="3">
        <v>21125</v>
      </c>
    </row>
    <row r="4435" spans="1:12" x14ac:dyDescent="0.25">
      <c r="A4435" t="s">
        <v>19</v>
      </c>
      <c r="B4435">
        <v>1185732</v>
      </c>
      <c r="C4435" s="1">
        <v>44389</v>
      </c>
      <c r="D4435" t="s">
        <v>57</v>
      </c>
      <c r="E4435" t="s">
        <v>95</v>
      </c>
      <c r="F4435" t="s">
        <v>96</v>
      </c>
      <c r="G4435" t="s">
        <v>15</v>
      </c>
      <c r="H4435" t="s">
        <v>38</v>
      </c>
      <c r="I4435" s="3">
        <v>50</v>
      </c>
      <c r="J4435" s="2">
        <v>550</v>
      </c>
      <c r="K4435" s="3">
        <f t="shared" si="69"/>
        <v>27500</v>
      </c>
      <c r="L4435" s="3">
        <v>16500</v>
      </c>
    </row>
    <row r="4436" spans="1:12" x14ac:dyDescent="0.25">
      <c r="A4436" t="s">
        <v>26</v>
      </c>
      <c r="B4436">
        <v>1128299</v>
      </c>
      <c r="C4436" s="1">
        <v>44389</v>
      </c>
      <c r="D4436" t="s">
        <v>32</v>
      </c>
      <c r="E4436" t="s">
        <v>44</v>
      </c>
      <c r="F4436" t="s">
        <v>45</v>
      </c>
      <c r="G4436" t="s">
        <v>41</v>
      </c>
      <c r="H4436" t="s">
        <v>38</v>
      </c>
      <c r="I4436" s="3">
        <v>50</v>
      </c>
      <c r="J4436" s="2">
        <v>725</v>
      </c>
      <c r="K4436" s="3">
        <f t="shared" si="69"/>
        <v>36250</v>
      </c>
      <c r="L4436" s="3">
        <v>21750</v>
      </c>
    </row>
    <row r="4437" spans="1:12" x14ac:dyDescent="0.25">
      <c r="A4437" t="s">
        <v>26</v>
      </c>
      <c r="B4437">
        <v>1128299</v>
      </c>
      <c r="C4437" s="1">
        <v>44389</v>
      </c>
      <c r="D4437" t="s">
        <v>32</v>
      </c>
      <c r="E4437" t="s">
        <v>44</v>
      </c>
      <c r="F4437" t="s">
        <v>45</v>
      </c>
      <c r="G4437" t="s">
        <v>41</v>
      </c>
      <c r="H4437" t="s">
        <v>17</v>
      </c>
      <c r="I4437" s="3">
        <v>55.000000000000007</v>
      </c>
      <c r="J4437" s="2">
        <v>575</v>
      </c>
      <c r="K4437" s="3">
        <f t="shared" si="69"/>
        <v>31625.000000000004</v>
      </c>
      <c r="L4437" s="3">
        <v>18975.000000000004</v>
      </c>
    </row>
    <row r="4438" spans="1:12" x14ac:dyDescent="0.25">
      <c r="A4438" t="s">
        <v>26</v>
      </c>
      <c r="B4438">
        <v>1128299</v>
      </c>
      <c r="C4438" s="1">
        <v>44389</v>
      </c>
      <c r="D4438" t="s">
        <v>32</v>
      </c>
      <c r="E4438" t="s">
        <v>44</v>
      </c>
      <c r="F4438" t="s">
        <v>45</v>
      </c>
      <c r="G4438" t="s">
        <v>41</v>
      </c>
      <c r="H4438" t="s">
        <v>37</v>
      </c>
      <c r="I4438" s="3">
        <v>50</v>
      </c>
      <c r="J4438" s="2">
        <v>425</v>
      </c>
      <c r="K4438" s="3">
        <f t="shared" si="69"/>
        <v>21250</v>
      </c>
      <c r="L4438" s="3">
        <v>12750</v>
      </c>
    </row>
    <row r="4439" spans="1:12" x14ac:dyDescent="0.25">
      <c r="A4439" t="s">
        <v>26</v>
      </c>
      <c r="B4439">
        <v>1128299</v>
      </c>
      <c r="C4439" s="1">
        <v>44389</v>
      </c>
      <c r="D4439" t="s">
        <v>32</v>
      </c>
      <c r="E4439" t="s">
        <v>44</v>
      </c>
      <c r="F4439" t="s">
        <v>45</v>
      </c>
      <c r="G4439" t="s">
        <v>15</v>
      </c>
      <c r="H4439" t="s">
        <v>16</v>
      </c>
      <c r="I4439" s="3">
        <v>51</v>
      </c>
      <c r="J4439" s="2">
        <v>157</v>
      </c>
      <c r="K4439" s="3">
        <f t="shared" si="69"/>
        <v>8007</v>
      </c>
      <c r="L4439" s="3">
        <v>5684.97</v>
      </c>
    </row>
    <row r="4440" spans="1:12" x14ac:dyDescent="0.25">
      <c r="A4440" t="s">
        <v>26</v>
      </c>
      <c r="B4440">
        <v>1128299</v>
      </c>
      <c r="C4440" s="1">
        <v>44389</v>
      </c>
      <c r="D4440" t="s">
        <v>32</v>
      </c>
      <c r="E4440" t="s">
        <v>44</v>
      </c>
      <c r="F4440" t="s">
        <v>45</v>
      </c>
      <c r="G4440" t="s">
        <v>15</v>
      </c>
      <c r="H4440" t="s">
        <v>22</v>
      </c>
      <c r="I4440" s="3">
        <v>39</v>
      </c>
      <c r="J4440" s="2">
        <v>162</v>
      </c>
      <c r="K4440" s="3">
        <f t="shared" si="69"/>
        <v>6318</v>
      </c>
      <c r="L4440" s="3">
        <v>3917.16</v>
      </c>
    </row>
    <row r="4441" spans="1:12" x14ac:dyDescent="0.25">
      <c r="A4441" t="s">
        <v>26</v>
      </c>
      <c r="B4441">
        <v>1128299</v>
      </c>
      <c r="C4441" s="1">
        <v>44389</v>
      </c>
      <c r="D4441" t="s">
        <v>32</v>
      </c>
      <c r="E4441" t="s">
        <v>44</v>
      </c>
      <c r="F4441" t="s">
        <v>45</v>
      </c>
      <c r="G4441" t="s">
        <v>41</v>
      </c>
      <c r="H4441" t="s">
        <v>16</v>
      </c>
      <c r="I4441" s="3">
        <v>67</v>
      </c>
      <c r="J4441" s="2">
        <v>143</v>
      </c>
      <c r="K4441" s="3">
        <f t="shared" si="69"/>
        <v>9581</v>
      </c>
      <c r="L4441" s="3">
        <v>5940.2199999999993</v>
      </c>
    </row>
    <row r="4442" spans="1:12" x14ac:dyDescent="0.25">
      <c r="A4442" t="s">
        <v>26</v>
      </c>
      <c r="B4442">
        <v>1128299</v>
      </c>
      <c r="C4442" s="1">
        <v>44389</v>
      </c>
      <c r="D4442" t="s">
        <v>32</v>
      </c>
      <c r="E4442" t="s">
        <v>44</v>
      </c>
      <c r="F4442" t="s">
        <v>45</v>
      </c>
      <c r="G4442" t="s">
        <v>15</v>
      </c>
      <c r="H4442" t="s">
        <v>35</v>
      </c>
      <c r="I4442" s="3">
        <v>41</v>
      </c>
      <c r="J4442" s="2">
        <v>184</v>
      </c>
      <c r="K4442" s="3">
        <f t="shared" si="69"/>
        <v>7544</v>
      </c>
      <c r="L4442" s="3">
        <v>4450.96</v>
      </c>
    </row>
    <row r="4443" spans="1:12" x14ac:dyDescent="0.25">
      <c r="A4443" t="s">
        <v>26</v>
      </c>
      <c r="B4443">
        <v>1128299</v>
      </c>
      <c r="C4443" s="1">
        <v>44389</v>
      </c>
      <c r="D4443" t="s">
        <v>32</v>
      </c>
      <c r="E4443" t="s">
        <v>44</v>
      </c>
      <c r="F4443" t="s">
        <v>45</v>
      </c>
      <c r="G4443" t="s">
        <v>15</v>
      </c>
      <c r="H4443" t="s">
        <v>37</v>
      </c>
      <c r="I4443" s="3">
        <v>39</v>
      </c>
      <c r="J4443" s="2">
        <v>128</v>
      </c>
      <c r="K4443" s="3">
        <f t="shared" si="69"/>
        <v>4992</v>
      </c>
      <c r="L4443" s="3">
        <v>2745.6</v>
      </c>
    </row>
    <row r="4444" spans="1:12" x14ac:dyDescent="0.25">
      <c r="A4444" t="s">
        <v>27</v>
      </c>
      <c r="B4444">
        <v>1197831</v>
      </c>
      <c r="C4444" s="1">
        <v>44389</v>
      </c>
      <c r="D4444" t="s">
        <v>57</v>
      </c>
      <c r="E4444" t="s">
        <v>72</v>
      </c>
      <c r="F4444" t="s">
        <v>73</v>
      </c>
      <c r="G4444" t="s">
        <v>41</v>
      </c>
      <c r="H4444" t="s">
        <v>35</v>
      </c>
      <c r="I4444" s="3">
        <v>42</v>
      </c>
      <c r="J4444" s="2">
        <v>102</v>
      </c>
      <c r="K4444" s="3">
        <f t="shared" si="69"/>
        <v>4284</v>
      </c>
      <c r="L4444" s="3">
        <v>2313.36</v>
      </c>
    </row>
    <row r="4445" spans="1:12" x14ac:dyDescent="0.25">
      <c r="A4445" t="s">
        <v>27</v>
      </c>
      <c r="B4445">
        <v>1197831</v>
      </c>
      <c r="C4445" s="1">
        <v>44389</v>
      </c>
      <c r="D4445" t="s">
        <v>57</v>
      </c>
      <c r="E4445" t="s">
        <v>72</v>
      </c>
      <c r="F4445" t="s">
        <v>73</v>
      </c>
      <c r="G4445" t="s">
        <v>41</v>
      </c>
      <c r="H4445" t="s">
        <v>22</v>
      </c>
      <c r="I4445" s="3">
        <v>56</v>
      </c>
      <c r="J4445" s="2">
        <v>91</v>
      </c>
      <c r="K4445" s="3">
        <f t="shared" si="69"/>
        <v>5096</v>
      </c>
      <c r="L4445" s="3">
        <v>2751.84</v>
      </c>
    </row>
    <row r="4446" spans="1:12" x14ac:dyDescent="0.25">
      <c r="A4446" t="s">
        <v>26</v>
      </c>
      <c r="B4446">
        <v>1128299</v>
      </c>
      <c r="C4446" s="1">
        <v>44389</v>
      </c>
      <c r="D4446" t="s">
        <v>32</v>
      </c>
      <c r="E4446" t="s">
        <v>44</v>
      </c>
      <c r="F4446" t="s">
        <v>45</v>
      </c>
      <c r="G4446" t="s">
        <v>15</v>
      </c>
      <c r="H4446" t="s">
        <v>17</v>
      </c>
      <c r="I4446" s="3">
        <v>37</v>
      </c>
      <c r="J4446" s="2">
        <v>173</v>
      </c>
      <c r="K4446" s="3">
        <f t="shared" si="69"/>
        <v>6401</v>
      </c>
      <c r="L4446" s="3">
        <v>3456.54</v>
      </c>
    </row>
    <row r="4447" spans="1:12" x14ac:dyDescent="0.25">
      <c r="A4447" t="s">
        <v>26</v>
      </c>
      <c r="B4447">
        <v>1128299</v>
      </c>
      <c r="C4447" s="1">
        <v>44389</v>
      </c>
      <c r="D4447" t="s">
        <v>32</v>
      </c>
      <c r="E4447" t="s">
        <v>44</v>
      </c>
      <c r="F4447" t="s">
        <v>45</v>
      </c>
      <c r="G4447" t="s">
        <v>15</v>
      </c>
      <c r="H4447" t="s">
        <v>38</v>
      </c>
      <c r="I4447" s="3">
        <v>37</v>
      </c>
      <c r="J4447" s="2">
        <v>218</v>
      </c>
      <c r="K4447" s="3">
        <f t="shared" si="69"/>
        <v>8066</v>
      </c>
      <c r="L4447" s="3">
        <v>4355.6399999999994</v>
      </c>
    </row>
    <row r="4448" spans="1:12" x14ac:dyDescent="0.25">
      <c r="A4448" t="s">
        <v>19</v>
      </c>
      <c r="B4448">
        <v>1185732</v>
      </c>
      <c r="C4448" s="1">
        <v>44389</v>
      </c>
      <c r="D4448" t="s">
        <v>57</v>
      </c>
      <c r="E4448" t="s">
        <v>118</v>
      </c>
      <c r="F4448" t="s">
        <v>119</v>
      </c>
      <c r="G4448" t="s">
        <v>41</v>
      </c>
      <c r="H4448" t="s">
        <v>22</v>
      </c>
      <c r="I4448" s="3">
        <v>29</v>
      </c>
      <c r="J4448" s="2">
        <v>21</v>
      </c>
      <c r="K4448" s="3">
        <f t="shared" si="69"/>
        <v>609</v>
      </c>
      <c r="L4448" s="3">
        <v>316.68</v>
      </c>
    </row>
    <row r="4449" spans="1:12" x14ac:dyDescent="0.25">
      <c r="A4449" t="s">
        <v>26</v>
      </c>
      <c r="B4449">
        <v>1128299</v>
      </c>
      <c r="C4449" s="1">
        <v>44389</v>
      </c>
      <c r="D4449" t="s">
        <v>32</v>
      </c>
      <c r="E4449" t="s">
        <v>44</v>
      </c>
      <c r="F4449" t="s">
        <v>45</v>
      </c>
      <c r="G4449" t="s">
        <v>41</v>
      </c>
      <c r="H4449" t="s">
        <v>22</v>
      </c>
      <c r="I4449" s="3">
        <v>54</v>
      </c>
      <c r="J4449" s="2">
        <v>138</v>
      </c>
      <c r="K4449" s="3">
        <f t="shared" si="69"/>
        <v>7452</v>
      </c>
      <c r="L4449" s="3">
        <v>3875.04</v>
      </c>
    </row>
    <row r="4450" spans="1:12" x14ac:dyDescent="0.25">
      <c r="A4450" t="s">
        <v>27</v>
      </c>
      <c r="B4450">
        <v>1197831</v>
      </c>
      <c r="C4450" s="1">
        <v>44389</v>
      </c>
      <c r="D4450" t="s">
        <v>57</v>
      </c>
      <c r="E4450" t="s">
        <v>72</v>
      </c>
      <c r="F4450" t="s">
        <v>73</v>
      </c>
      <c r="G4450" t="s">
        <v>41</v>
      </c>
      <c r="H4450" t="s">
        <v>37</v>
      </c>
      <c r="I4450" s="3">
        <v>43</v>
      </c>
      <c r="J4450" s="2">
        <v>75</v>
      </c>
      <c r="K4450" s="3">
        <f t="shared" si="69"/>
        <v>3225</v>
      </c>
      <c r="L4450" s="3">
        <v>1644.75</v>
      </c>
    </row>
    <row r="4451" spans="1:12" x14ac:dyDescent="0.25">
      <c r="A4451" t="s">
        <v>27</v>
      </c>
      <c r="B4451">
        <v>1197831</v>
      </c>
      <c r="C4451" s="1">
        <v>44389</v>
      </c>
      <c r="D4451" t="s">
        <v>57</v>
      </c>
      <c r="E4451" t="s">
        <v>72</v>
      </c>
      <c r="F4451" t="s">
        <v>73</v>
      </c>
      <c r="G4451" t="s">
        <v>41</v>
      </c>
      <c r="H4451" t="s">
        <v>16</v>
      </c>
      <c r="I4451" s="3">
        <v>60</v>
      </c>
      <c r="J4451" s="2">
        <v>140</v>
      </c>
      <c r="K4451" s="3">
        <f t="shared" si="69"/>
        <v>8400</v>
      </c>
      <c r="L4451" s="3">
        <v>4284</v>
      </c>
    </row>
    <row r="4452" spans="1:12" x14ac:dyDescent="0.25">
      <c r="A4452" t="s">
        <v>26</v>
      </c>
      <c r="B4452">
        <v>1128299</v>
      </c>
      <c r="C4452" s="1">
        <v>44389</v>
      </c>
      <c r="D4452" t="s">
        <v>32</v>
      </c>
      <c r="E4452" t="s">
        <v>44</v>
      </c>
      <c r="F4452" t="s">
        <v>45</v>
      </c>
      <c r="G4452" t="s">
        <v>41</v>
      </c>
      <c r="H4452" t="s">
        <v>38</v>
      </c>
      <c r="I4452" s="3">
        <v>47</v>
      </c>
      <c r="J4452" s="2">
        <v>196</v>
      </c>
      <c r="K4452" s="3">
        <f t="shared" si="69"/>
        <v>9212</v>
      </c>
      <c r="L4452" s="3">
        <v>4606</v>
      </c>
    </row>
    <row r="4453" spans="1:12" x14ac:dyDescent="0.25">
      <c r="A4453" t="s">
        <v>26</v>
      </c>
      <c r="B4453">
        <v>1128299</v>
      </c>
      <c r="C4453" s="1">
        <v>44389</v>
      </c>
      <c r="D4453" t="s">
        <v>32</v>
      </c>
      <c r="E4453" t="s">
        <v>44</v>
      </c>
      <c r="F4453" t="s">
        <v>45</v>
      </c>
      <c r="G4453" t="s">
        <v>41</v>
      </c>
      <c r="H4453" t="s">
        <v>35</v>
      </c>
      <c r="I4453" s="3">
        <v>50</v>
      </c>
      <c r="J4453" s="2">
        <v>137</v>
      </c>
      <c r="K4453" s="3">
        <f t="shared" si="69"/>
        <v>6850</v>
      </c>
      <c r="L4453" s="3">
        <v>3425</v>
      </c>
    </row>
    <row r="4454" spans="1:12" x14ac:dyDescent="0.25">
      <c r="A4454" t="s">
        <v>27</v>
      </c>
      <c r="B4454">
        <v>1197831</v>
      </c>
      <c r="C4454" s="1">
        <v>44389</v>
      </c>
      <c r="D4454" t="s">
        <v>57</v>
      </c>
      <c r="E4454" t="s">
        <v>72</v>
      </c>
      <c r="F4454" t="s">
        <v>73</v>
      </c>
      <c r="G4454" t="s">
        <v>41</v>
      </c>
      <c r="H4454" t="s">
        <v>38</v>
      </c>
      <c r="I4454" s="3">
        <v>51</v>
      </c>
      <c r="J4454" s="2">
        <v>182</v>
      </c>
      <c r="K4454" s="3">
        <f t="shared" si="69"/>
        <v>9282</v>
      </c>
      <c r="L4454" s="3">
        <v>4641</v>
      </c>
    </row>
    <row r="4455" spans="1:12" x14ac:dyDescent="0.25">
      <c r="A4455" t="s">
        <v>27</v>
      </c>
      <c r="B4455">
        <v>1197831</v>
      </c>
      <c r="C4455" s="1">
        <v>44389</v>
      </c>
      <c r="D4455" t="s">
        <v>57</v>
      </c>
      <c r="E4455" t="s">
        <v>72</v>
      </c>
      <c r="F4455" t="s">
        <v>73</v>
      </c>
      <c r="G4455" t="s">
        <v>41</v>
      </c>
      <c r="H4455" t="s">
        <v>17</v>
      </c>
      <c r="I4455" s="3">
        <v>49</v>
      </c>
      <c r="J4455" s="2">
        <v>119</v>
      </c>
      <c r="K4455" s="3">
        <f t="shared" si="69"/>
        <v>5831</v>
      </c>
      <c r="L4455" s="3">
        <v>2915.5</v>
      </c>
    </row>
    <row r="4456" spans="1:12" x14ac:dyDescent="0.25">
      <c r="A4456" t="s">
        <v>19</v>
      </c>
      <c r="B4456">
        <v>1185732</v>
      </c>
      <c r="C4456" s="1">
        <v>44389</v>
      </c>
      <c r="D4456" t="s">
        <v>57</v>
      </c>
      <c r="E4456" t="s">
        <v>95</v>
      </c>
      <c r="F4456" t="s">
        <v>96</v>
      </c>
      <c r="G4456" t="s">
        <v>41</v>
      </c>
      <c r="H4456" t="s">
        <v>38</v>
      </c>
      <c r="I4456" s="3">
        <v>49</v>
      </c>
      <c r="J4456" s="2">
        <v>149</v>
      </c>
      <c r="K4456" s="3">
        <f t="shared" si="69"/>
        <v>7301</v>
      </c>
      <c r="L4456" s="3">
        <v>3577.49</v>
      </c>
    </row>
    <row r="4457" spans="1:12" x14ac:dyDescent="0.25">
      <c r="A4457" t="s">
        <v>26</v>
      </c>
      <c r="B4457">
        <v>1128299</v>
      </c>
      <c r="C4457" s="1">
        <v>44389</v>
      </c>
      <c r="D4457" t="s">
        <v>32</v>
      </c>
      <c r="E4457" t="s">
        <v>44</v>
      </c>
      <c r="F4457" t="s">
        <v>45</v>
      </c>
      <c r="G4457" t="s">
        <v>41</v>
      </c>
      <c r="H4457" t="s">
        <v>17</v>
      </c>
      <c r="I4457" s="3">
        <v>51</v>
      </c>
      <c r="J4457" s="2">
        <v>173</v>
      </c>
      <c r="K4457" s="3">
        <f t="shared" si="69"/>
        <v>8823</v>
      </c>
      <c r="L4457" s="3">
        <v>4323.2699999999995</v>
      </c>
    </row>
    <row r="4458" spans="1:12" x14ac:dyDescent="0.25">
      <c r="A4458" t="s">
        <v>26</v>
      </c>
      <c r="B4458">
        <v>1128299</v>
      </c>
      <c r="C4458" s="1">
        <v>44389</v>
      </c>
      <c r="D4458" t="s">
        <v>32</v>
      </c>
      <c r="E4458" t="s">
        <v>44</v>
      </c>
      <c r="F4458" t="s">
        <v>45</v>
      </c>
      <c r="G4458" t="s">
        <v>41</v>
      </c>
      <c r="H4458" t="s">
        <v>37</v>
      </c>
      <c r="I4458" s="3">
        <v>46</v>
      </c>
      <c r="J4458" s="2">
        <v>128</v>
      </c>
      <c r="K4458" s="3">
        <f t="shared" si="69"/>
        <v>5888</v>
      </c>
      <c r="L4458" s="3">
        <v>2885.12</v>
      </c>
    </row>
    <row r="4459" spans="1:12" x14ac:dyDescent="0.25">
      <c r="A4459" t="s">
        <v>26</v>
      </c>
      <c r="B4459">
        <v>1185732</v>
      </c>
      <c r="C4459" s="1">
        <v>44390</v>
      </c>
      <c r="D4459" t="s">
        <v>29</v>
      </c>
      <c r="E4459" t="s">
        <v>50</v>
      </c>
      <c r="F4459" t="s">
        <v>51</v>
      </c>
      <c r="G4459" t="s">
        <v>18</v>
      </c>
      <c r="H4459" t="s">
        <v>35</v>
      </c>
      <c r="I4459" s="3">
        <v>45</v>
      </c>
      <c r="J4459" s="2">
        <v>275</v>
      </c>
      <c r="K4459" s="3">
        <f t="shared" si="69"/>
        <v>12375</v>
      </c>
      <c r="L4459" s="3">
        <v>9281.25</v>
      </c>
    </row>
    <row r="4460" spans="1:12" x14ac:dyDescent="0.25">
      <c r="A4460" t="s">
        <v>26</v>
      </c>
      <c r="B4460">
        <v>1185732</v>
      </c>
      <c r="C4460" s="1">
        <v>44390</v>
      </c>
      <c r="D4460" t="s">
        <v>29</v>
      </c>
      <c r="E4460" t="s">
        <v>50</v>
      </c>
      <c r="F4460" t="s">
        <v>51</v>
      </c>
      <c r="G4460" t="s">
        <v>18</v>
      </c>
      <c r="H4460" t="s">
        <v>37</v>
      </c>
      <c r="I4460" s="3">
        <v>45</v>
      </c>
      <c r="J4460" s="2">
        <v>225</v>
      </c>
      <c r="K4460" s="3">
        <f t="shared" si="69"/>
        <v>10125</v>
      </c>
      <c r="L4460" s="3">
        <v>7593.75</v>
      </c>
    </row>
    <row r="4461" spans="1:12" x14ac:dyDescent="0.25">
      <c r="A4461" t="s">
        <v>26</v>
      </c>
      <c r="B4461">
        <v>1185732</v>
      </c>
      <c r="C4461" s="1">
        <v>44390</v>
      </c>
      <c r="D4461" t="s">
        <v>29</v>
      </c>
      <c r="E4461" t="s">
        <v>50</v>
      </c>
      <c r="F4461" t="s">
        <v>51</v>
      </c>
      <c r="G4461" t="s">
        <v>18</v>
      </c>
      <c r="H4461" t="s">
        <v>22</v>
      </c>
      <c r="I4461" s="3">
        <v>54.999999999999993</v>
      </c>
      <c r="J4461" s="2">
        <v>250</v>
      </c>
      <c r="K4461" s="3">
        <f t="shared" si="69"/>
        <v>13749.999999999998</v>
      </c>
      <c r="L4461" s="3">
        <v>10312.499999999996</v>
      </c>
    </row>
    <row r="4462" spans="1:12" x14ac:dyDescent="0.25">
      <c r="A4462" t="s">
        <v>19</v>
      </c>
      <c r="B4462">
        <v>1185732</v>
      </c>
      <c r="C4462" s="1">
        <v>44390</v>
      </c>
      <c r="D4462" t="s">
        <v>29</v>
      </c>
      <c r="E4462" t="s">
        <v>89</v>
      </c>
      <c r="F4462" t="s">
        <v>90</v>
      </c>
      <c r="G4462" t="s">
        <v>18</v>
      </c>
      <c r="H4462" t="s">
        <v>22</v>
      </c>
      <c r="I4462" s="3">
        <v>54.999999999999993</v>
      </c>
      <c r="J4462" s="2">
        <v>325</v>
      </c>
      <c r="K4462" s="3">
        <f t="shared" si="69"/>
        <v>17874.999999999996</v>
      </c>
      <c r="L4462" s="3">
        <v>12512.499999999996</v>
      </c>
    </row>
    <row r="4463" spans="1:12" x14ac:dyDescent="0.25">
      <c r="A4463" t="s">
        <v>26</v>
      </c>
      <c r="B4463">
        <v>1185732</v>
      </c>
      <c r="C4463" s="1">
        <v>44390</v>
      </c>
      <c r="D4463" t="s">
        <v>29</v>
      </c>
      <c r="E4463" t="s">
        <v>50</v>
      </c>
      <c r="F4463" t="s">
        <v>51</v>
      </c>
      <c r="G4463" t="s">
        <v>18</v>
      </c>
      <c r="H4463" t="s">
        <v>38</v>
      </c>
      <c r="I4463" s="3">
        <v>54.999999999999993</v>
      </c>
      <c r="J4463" s="2">
        <v>600</v>
      </c>
      <c r="K4463" s="3">
        <f t="shared" si="69"/>
        <v>32999.999999999993</v>
      </c>
      <c r="L4463" s="3">
        <v>23099.999999999993</v>
      </c>
    </row>
    <row r="4464" spans="1:12" x14ac:dyDescent="0.25">
      <c r="A4464" t="s">
        <v>26</v>
      </c>
      <c r="B4464">
        <v>1185732</v>
      </c>
      <c r="C4464" s="1">
        <v>44390</v>
      </c>
      <c r="D4464" t="s">
        <v>29</v>
      </c>
      <c r="E4464" t="s">
        <v>50</v>
      </c>
      <c r="F4464" t="s">
        <v>51</v>
      </c>
      <c r="G4464" t="s">
        <v>18</v>
      </c>
      <c r="H4464" t="s">
        <v>17</v>
      </c>
      <c r="I4464" s="3">
        <v>50</v>
      </c>
      <c r="J4464" s="2">
        <v>350</v>
      </c>
      <c r="K4464" s="3">
        <f t="shared" si="69"/>
        <v>17500</v>
      </c>
      <c r="L4464" s="3">
        <v>12250</v>
      </c>
    </row>
    <row r="4465" spans="1:12" x14ac:dyDescent="0.25">
      <c r="A4465" t="s">
        <v>26</v>
      </c>
      <c r="B4465">
        <v>1185732</v>
      </c>
      <c r="C4465" s="1">
        <v>44390</v>
      </c>
      <c r="D4465" t="s">
        <v>29</v>
      </c>
      <c r="E4465" t="s">
        <v>50</v>
      </c>
      <c r="F4465" t="s">
        <v>51</v>
      </c>
      <c r="G4465" t="s">
        <v>18</v>
      </c>
      <c r="H4465" t="s">
        <v>16</v>
      </c>
      <c r="I4465" s="3">
        <v>60</v>
      </c>
      <c r="J4465" s="2">
        <v>425</v>
      </c>
      <c r="K4465" s="3">
        <f t="shared" si="69"/>
        <v>25500</v>
      </c>
      <c r="L4465" s="3">
        <v>17850</v>
      </c>
    </row>
    <row r="4466" spans="1:12" x14ac:dyDescent="0.25">
      <c r="A4466" t="s">
        <v>19</v>
      </c>
      <c r="B4466">
        <v>1185732</v>
      </c>
      <c r="C4466" s="1">
        <v>44390</v>
      </c>
      <c r="D4466" t="s">
        <v>57</v>
      </c>
      <c r="E4466" t="s">
        <v>95</v>
      </c>
      <c r="F4466" t="s">
        <v>96</v>
      </c>
      <c r="G4466" t="s">
        <v>15</v>
      </c>
      <c r="H4466" t="s">
        <v>17</v>
      </c>
      <c r="I4466" s="3">
        <v>45.000000000000007</v>
      </c>
      <c r="J4466" s="2">
        <v>325</v>
      </c>
      <c r="K4466" s="3">
        <f t="shared" si="69"/>
        <v>14625.000000000002</v>
      </c>
      <c r="L4466" s="3">
        <v>9506.2500000000036</v>
      </c>
    </row>
    <row r="4467" spans="1:12" x14ac:dyDescent="0.25">
      <c r="A4467" t="s">
        <v>19</v>
      </c>
      <c r="B4467">
        <v>1185732</v>
      </c>
      <c r="C4467" s="1">
        <v>44390</v>
      </c>
      <c r="D4467" t="s">
        <v>29</v>
      </c>
      <c r="E4467" t="s">
        <v>89</v>
      </c>
      <c r="F4467" t="s">
        <v>90</v>
      </c>
      <c r="G4467" t="s">
        <v>18</v>
      </c>
      <c r="H4467" t="s">
        <v>38</v>
      </c>
      <c r="I4467" s="3">
        <v>54.999999999999993</v>
      </c>
      <c r="J4467" s="2">
        <v>675</v>
      </c>
      <c r="K4467" s="3">
        <f t="shared" si="69"/>
        <v>37124.999999999993</v>
      </c>
      <c r="L4467" s="3">
        <v>24131.249999999996</v>
      </c>
    </row>
    <row r="4468" spans="1:12" x14ac:dyDescent="0.25">
      <c r="A4468" t="s">
        <v>19</v>
      </c>
      <c r="B4468">
        <v>1185732</v>
      </c>
      <c r="C4468" s="1">
        <v>44390</v>
      </c>
      <c r="D4468" t="s">
        <v>29</v>
      </c>
      <c r="E4468" t="s">
        <v>89</v>
      </c>
      <c r="F4468" t="s">
        <v>90</v>
      </c>
      <c r="G4468" t="s">
        <v>18</v>
      </c>
      <c r="H4468" t="s">
        <v>17</v>
      </c>
      <c r="I4468" s="3">
        <v>50</v>
      </c>
      <c r="J4468" s="2">
        <v>425</v>
      </c>
      <c r="K4468" s="3">
        <f t="shared" si="69"/>
        <v>21250</v>
      </c>
      <c r="L4468" s="3">
        <v>13812.5</v>
      </c>
    </row>
    <row r="4469" spans="1:12" x14ac:dyDescent="0.25">
      <c r="A4469" t="s">
        <v>19</v>
      </c>
      <c r="B4469">
        <v>1185732</v>
      </c>
      <c r="C4469" s="1">
        <v>44390</v>
      </c>
      <c r="D4469" t="s">
        <v>29</v>
      </c>
      <c r="E4469" t="s">
        <v>89</v>
      </c>
      <c r="F4469" t="s">
        <v>90</v>
      </c>
      <c r="G4469" t="s">
        <v>18</v>
      </c>
      <c r="H4469" t="s">
        <v>35</v>
      </c>
      <c r="I4469" s="3">
        <v>45</v>
      </c>
      <c r="J4469" s="2">
        <v>350</v>
      </c>
      <c r="K4469" s="3">
        <f t="shared" si="69"/>
        <v>15750</v>
      </c>
      <c r="L4469" s="3">
        <v>9450</v>
      </c>
    </row>
    <row r="4470" spans="1:12" x14ac:dyDescent="0.25">
      <c r="A4470" t="s">
        <v>19</v>
      </c>
      <c r="B4470">
        <v>1185732</v>
      </c>
      <c r="C4470" s="1">
        <v>44390</v>
      </c>
      <c r="D4470" t="s">
        <v>29</v>
      </c>
      <c r="E4470" t="s">
        <v>89</v>
      </c>
      <c r="F4470" t="s">
        <v>90</v>
      </c>
      <c r="G4470" t="s">
        <v>18</v>
      </c>
      <c r="H4470" t="s">
        <v>37</v>
      </c>
      <c r="I4470" s="3">
        <v>45</v>
      </c>
      <c r="J4470" s="2">
        <v>300</v>
      </c>
      <c r="K4470" s="3">
        <f t="shared" si="69"/>
        <v>13500</v>
      </c>
      <c r="L4470" s="3">
        <v>8100</v>
      </c>
    </row>
    <row r="4471" spans="1:12" x14ac:dyDescent="0.25">
      <c r="A4471" t="s">
        <v>19</v>
      </c>
      <c r="B4471">
        <v>1185732</v>
      </c>
      <c r="C4471" s="1">
        <v>44390</v>
      </c>
      <c r="D4471" t="s">
        <v>29</v>
      </c>
      <c r="E4471" t="s">
        <v>89</v>
      </c>
      <c r="F4471" t="s">
        <v>90</v>
      </c>
      <c r="G4471" t="s">
        <v>18</v>
      </c>
      <c r="H4471" t="s">
        <v>16</v>
      </c>
      <c r="I4471" s="3">
        <v>60</v>
      </c>
      <c r="J4471" s="2">
        <v>500</v>
      </c>
      <c r="K4471" s="3">
        <f t="shared" si="69"/>
        <v>30000</v>
      </c>
      <c r="L4471" s="3">
        <v>18000</v>
      </c>
    </row>
    <row r="4472" spans="1:12" x14ac:dyDescent="0.25">
      <c r="A4472" t="s">
        <v>19</v>
      </c>
      <c r="B4472">
        <v>1185732</v>
      </c>
      <c r="C4472" s="1">
        <v>44390</v>
      </c>
      <c r="D4472" t="s">
        <v>57</v>
      </c>
      <c r="E4472" t="s">
        <v>118</v>
      </c>
      <c r="F4472" t="s">
        <v>119</v>
      </c>
      <c r="G4472" t="s">
        <v>15</v>
      </c>
      <c r="H4472" t="s">
        <v>16</v>
      </c>
      <c r="I4472" s="3">
        <v>35</v>
      </c>
      <c r="J4472" s="2">
        <v>150</v>
      </c>
      <c r="K4472" s="3">
        <f t="shared" si="69"/>
        <v>5250</v>
      </c>
      <c r="L4472" s="3">
        <v>2625</v>
      </c>
    </row>
    <row r="4473" spans="1:12" x14ac:dyDescent="0.25">
      <c r="A4473" t="s">
        <v>26</v>
      </c>
      <c r="B4473">
        <v>1185732</v>
      </c>
      <c r="C4473" s="1">
        <v>44390</v>
      </c>
      <c r="D4473" t="s">
        <v>29</v>
      </c>
      <c r="E4473" t="s">
        <v>50</v>
      </c>
      <c r="F4473" t="s">
        <v>51</v>
      </c>
      <c r="G4473" t="s">
        <v>15</v>
      </c>
      <c r="H4473" t="s">
        <v>35</v>
      </c>
      <c r="I4473" s="3">
        <v>32</v>
      </c>
      <c r="J4473" s="2">
        <v>88</v>
      </c>
      <c r="K4473" s="3">
        <f t="shared" si="69"/>
        <v>2816</v>
      </c>
      <c r="L4473" s="3">
        <v>1971.2</v>
      </c>
    </row>
    <row r="4474" spans="1:12" x14ac:dyDescent="0.25">
      <c r="A4474" t="s">
        <v>26</v>
      </c>
      <c r="B4474">
        <v>1185732</v>
      </c>
      <c r="C4474" s="1">
        <v>44390</v>
      </c>
      <c r="D4474" t="s">
        <v>29</v>
      </c>
      <c r="E4474" t="s">
        <v>50</v>
      </c>
      <c r="F4474" t="s">
        <v>51</v>
      </c>
      <c r="G4474" t="s">
        <v>15</v>
      </c>
      <c r="H4474" t="s">
        <v>22</v>
      </c>
      <c r="I4474" s="3">
        <v>41</v>
      </c>
      <c r="J4474" s="2">
        <v>80</v>
      </c>
      <c r="K4474" s="3">
        <f t="shared" si="69"/>
        <v>3280</v>
      </c>
      <c r="L4474" s="3">
        <v>2263.1999999999998</v>
      </c>
    </row>
    <row r="4475" spans="1:12" x14ac:dyDescent="0.25">
      <c r="A4475" t="s">
        <v>26</v>
      </c>
      <c r="B4475">
        <v>1185732</v>
      </c>
      <c r="C4475" s="1">
        <v>44390</v>
      </c>
      <c r="D4475" t="s">
        <v>29</v>
      </c>
      <c r="E4475" t="s">
        <v>50</v>
      </c>
      <c r="F4475" t="s">
        <v>51</v>
      </c>
      <c r="G4475" t="s">
        <v>15</v>
      </c>
      <c r="H4475" t="s">
        <v>37</v>
      </c>
      <c r="I4475" s="3">
        <v>34</v>
      </c>
      <c r="J4475" s="2">
        <v>77</v>
      </c>
      <c r="K4475" s="3">
        <f t="shared" si="69"/>
        <v>2618</v>
      </c>
      <c r="L4475" s="3">
        <v>1780.24</v>
      </c>
    </row>
    <row r="4476" spans="1:12" x14ac:dyDescent="0.25">
      <c r="A4476" t="s">
        <v>26</v>
      </c>
      <c r="B4476">
        <v>1185732</v>
      </c>
      <c r="C4476" s="1">
        <v>44390</v>
      </c>
      <c r="D4476" t="s">
        <v>29</v>
      </c>
      <c r="E4476" t="s">
        <v>50</v>
      </c>
      <c r="F4476" t="s">
        <v>51</v>
      </c>
      <c r="G4476" t="s">
        <v>15</v>
      </c>
      <c r="H4476" t="s">
        <v>16</v>
      </c>
      <c r="I4476" s="3">
        <v>41</v>
      </c>
      <c r="J4476" s="2">
        <v>132</v>
      </c>
      <c r="K4476" s="3">
        <f t="shared" si="69"/>
        <v>5412</v>
      </c>
      <c r="L4476" s="3">
        <v>3680.16</v>
      </c>
    </row>
    <row r="4477" spans="1:12" x14ac:dyDescent="0.25">
      <c r="A4477" t="s">
        <v>26</v>
      </c>
      <c r="B4477">
        <v>1185732</v>
      </c>
      <c r="C4477" s="1">
        <v>44390</v>
      </c>
      <c r="D4477" t="s">
        <v>29</v>
      </c>
      <c r="E4477" t="s">
        <v>50</v>
      </c>
      <c r="F4477" t="s">
        <v>51</v>
      </c>
      <c r="G4477" t="s">
        <v>15</v>
      </c>
      <c r="H4477" t="s">
        <v>38</v>
      </c>
      <c r="I4477" s="3">
        <v>37</v>
      </c>
      <c r="J4477" s="2">
        <v>180</v>
      </c>
      <c r="K4477" s="3">
        <f t="shared" si="69"/>
        <v>6660</v>
      </c>
      <c r="L4477" s="3">
        <v>4462.2000000000007</v>
      </c>
    </row>
    <row r="4478" spans="1:12" x14ac:dyDescent="0.25">
      <c r="A4478" t="s">
        <v>26</v>
      </c>
      <c r="B4478">
        <v>1185732</v>
      </c>
      <c r="C4478" s="1">
        <v>44390</v>
      </c>
      <c r="D4478" t="s">
        <v>29</v>
      </c>
      <c r="E4478" t="s">
        <v>50</v>
      </c>
      <c r="F4478" t="s">
        <v>51</v>
      </c>
      <c r="G4478" t="s">
        <v>41</v>
      </c>
      <c r="H4478" t="s">
        <v>37</v>
      </c>
      <c r="I4478" s="3">
        <v>44</v>
      </c>
      <c r="J4478" s="2">
        <v>56</v>
      </c>
      <c r="K4478" s="3">
        <f t="shared" si="69"/>
        <v>2464</v>
      </c>
      <c r="L4478" s="3">
        <v>1576.96</v>
      </c>
    </row>
    <row r="4479" spans="1:12" x14ac:dyDescent="0.25">
      <c r="A4479" t="s">
        <v>26</v>
      </c>
      <c r="B4479">
        <v>1185732</v>
      </c>
      <c r="C4479" s="1">
        <v>44390</v>
      </c>
      <c r="D4479" t="s">
        <v>29</v>
      </c>
      <c r="E4479" t="s">
        <v>50</v>
      </c>
      <c r="F4479" t="s">
        <v>51</v>
      </c>
      <c r="G4479" t="s">
        <v>41</v>
      </c>
      <c r="H4479" t="s">
        <v>35</v>
      </c>
      <c r="I4479" s="3">
        <v>41</v>
      </c>
      <c r="J4479" s="2">
        <v>77</v>
      </c>
      <c r="K4479" s="3">
        <f t="shared" si="69"/>
        <v>3157</v>
      </c>
      <c r="L4479" s="3">
        <v>1988.91</v>
      </c>
    </row>
    <row r="4480" spans="1:12" x14ac:dyDescent="0.25">
      <c r="A4480" t="s">
        <v>26</v>
      </c>
      <c r="B4480">
        <v>1185732</v>
      </c>
      <c r="C4480" s="1">
        <v>44390</v>
      </c>
      <c r="D4480" t="s">
        <v>29</v>
      </c>
      <c r="E4480" t="s">
        <v>50</v>
      </c>
      <c r="F4480" t="s">
        <v>51</v>
      </c>
      <c r="G4480" t="s">
        <v>15</v>
      </c>
      <c r="H4480" t="s">
        <v>17</v>
      </c>
      <c r="I4480" s="3">
        <v>36</v>
      </c>
      <c r="J4480" s="2">
        <v>105</v>
      </c>
      <c r="K4480" s="3">
        <f t="shared" si="69"/>
        <v>3780</v>
      </c>
      <c r="L4480" s="3">
        <v>2381.4</v>
      </c>
    </row>
    <row r="4481" spans="1:12" x14ac:dyDescent="0.25">
      <c r="A4481" t="s">
        <v>26</v>
      </c>
      <c r="B4481">
        <v>1185732</v>
      </c>
      <c r="C4481" s="1">
        <v>44390</v>
      </c>
      <c r="D4481" t="s">
        <v>29</v>
      </c>
      <c r="E4481" t="s">
        <v>50</v>
      </c>
      <c r="F4481" t="s">
        <v>51</v>
      </c>
      <c r="G4481" t="s">
        <v>41</v>
      </c>
      <c r="H4481" t="s">
        <v>22</v>
      </c>
      <c r="I4481" s="3">
        <v>53</v>
      </c>
      <c r="J4481" s="2">
        <v>68</v>
      </c>
      <c r="K4481" s="3">
        <f t="shared" si="69"/>
        <v>3604</v>
      </c>
      <c r="L4481" s="3">
        <v>2198.44</v>
      </c>
    </row>
    <row r="4482" spans="1:12" x14ac:dyDescent="0.25">
      <c r="A4482" t="s">
        <v>19</v>
      </c>
      <c r="B4482">
        <v>1185732</v>
      </c>
      <c r="C4482" s="1">
        <v>44390</v>
      </c>
      <c r="D4482" t="s">
        <v>29</v>
      </c>
      <c r="E4482" t="s">
        <v>89</v>
      </c>
      <c r="F4482" t="s">
        <v>90</v>
      </c>
      <c r="G4482" t="s">
        <v>41</v>
      </c>
      <c r="H4482" t="s">
        <v>22</v>
      </c>
      <c r="I4482" s="3">
        <v>51</v>
      </c>
      <c r="J4482" s="2">
        <v>94</v>
      </c>
      <c r="K4482" s="3">
        <f t="shared" si="69"/>
        <v>4794</v>
      </c>
      <c r="L4482" s="3">
        <v>2828.46</v>
      </c>
    </row>
    <row r="4483" spans="1:12" x14ac:dyDescent="0.25">
      <c r="A4483" t="s">
        <v>26</v>
      </c>
      <c r="B4483">
        <v>1185732</v>
      </c>
      <c r="C4483" s="1">
        <v>44390</v>
      </c>
      <c r="D4483" t="s">
        <v>29</v>
      </c>
      <c r="E4483" t="s">
        <v>50</v>
      </c>
      <c r="F4483" t="s">
        <v>51</v>
      </c>
      <c r="G4483" t="s">
        <v>41</v>
      </c>
      <c r="H4483" t="s">
        <v>38</v>
      </c>
      <c r="I4483" s="3">
        <v>52</v>
      </c>
      <c r="J4483" s="2">
        <v>150</v>
      </c>
      <c r="K4483" s="3">
        <f t="shared" ref="K4483:K4546" si="70">I4483*J4483</f>
        <v>7800</v>
      </c>
      <c r="L4483" s="3">
        <v>4524</v>
      </c>
    </row>
    <row r="4484" spans="1:12" x14ac:dyDescent="0.25">
      <c r="A4484" t="s">
        <v>26</v>
      </c>
      <c r="B4484">
        <v>1185732</v>
      </c>
      <c r="C4484" s="1">
        <v>44390</v>
      </c>
      <c r="D4484" t="s">
        <v>29</v>
      </c>
      <c r="E4484" t="s">
        <v>50</v>
      </c>
      <c r="F4484" t="s">
        <v>51</v>
      </c>
      <c r="G4484" t="s">
        <v>41</v>
      </c>
      <c r="H4484" t="s">
        <v>16</v>
      </c>
      <c r="I4484" s="3">
        <v>55</v>
      </c>
      <c r="J4484" s="2">
        <v>128</v>
      </c>
      <c r="K4484" s="3">
        <f t="shared" si="70"/>
        <v>7040</v>
      </c>
      <c r="L4484" s="3">
        <v>4083.2000000000003</v>
      </c>
    </row>
    <row r="4485" spans="1:12" x14ac:dyDescent="0.25">
      <c r="A4485" t="s">
        <v>26</v>
      </c>
      <c r="B4485">
        <v>1185732</v>
      </c>
      <c r="C4485" s="1">
        <v>44390</v>
      </c>
      <c r="D4485" t="s">
        <v>29</v>
      </c>
      <c r="E4485" t="s">
        <v>50</v>
      </c>
      <c r="F4485" t="s">
        <v>51</v>
      </c>
      <c r="G4485" t="s">
        <v>41</v>
      </c>
      <c r="H4485" t="s">
        <v>17</v>
      </c>
      <c r="I4485" s="3">
        <v>49</v>
      </c>
      <c r="J4485" s="2">
        <v>105</v>
      </c>
      <c r="K4485" s="3">
        <f t="shared" si="70"/>
        <v>5145</v>
      </c>
      <c r="L4485" s="3">
        <v>2932.65</v>
      </c>
    </row>
    <row r="4486" spans="1:12" x14ac:dyDescent="0.25">
      <c r="A4486" t="s">
        <v>19</v>
      </c>
      <c r="B4486">
        <v>1185732</v>
      </c>
      <c r="C4486" s="1">
        <v>44390</v>
      </c>
      <c r="D4486" t="s">
        <v>29</v>
      </c>
      <c r="E4486" t="s">
        <v>89</v>
      </c>
      <c r="F4486" t="s">
        <v>90</v>
      </c>
      <c r="G4486" t="s">
        <v>41</v>
      </c>
      <c r="H4486" t="s">
        <v>17</v>
      </c>
      <c r="I4486" s="3">
        <v>47</v>
      </c>
      <c r="J4486" s="2">
        <v>119</v>
      </c>
      <c r="K4486" s="3">
        <f t="shared" si="70"/>
        <v>5593</v>
      </c>
      <c r="L4486" s="3">
        <v>3076.15</v>
      </c>
    </row>
    <row r="4487" spans="1:12" x14ac:dyDescent="0.25">
      <c r="A4487" t="s">
        <v>19</v>
      </c>
      <c r="B4487">
        <v>1185732</v>
      </c>
      <c r="C4487" s="1">
        <v>44390</v>
      </c>
      <c r="D4487" t="s">
        <v>57</v>
      </c>
      <c r="E4487" t="s">
        <v>95</v>
      </c>
      <c r="F4487" t="s">
        <v>96</v>
      </c>
      <c r="G4487" t="s">
        <v>41</v>
      </c>
      <c r="H4487" t="s">
        <v>17</v>
      </c>
      <c r="I4487" s="3">
        <v>41</v>
      </c>
      <c r="J4487" s="2">
        <v>94</v>
      </c>
      <c r="K4487" s="3">
        <f t="shared" si="70"/>
        <v>3854</v>
      </c>
      <c r="L4487" s="3">
        <v>2081.16</v>
      </c>
    </row>
    <row r="4488" spans="1:12" x14ac:dyDescent="0.25">
      <c r="A4488" t="s">
        <v>19</v>
      </c>
      <c r="B4488">
        <v>1185732</v>
      </c>
      <c r="C4488" s="1">
        <v>44390</v>
      </c>
      <c r="D4488" t="s">
        <v>29</v>
      </c>
      <c r="E4488" t="s">
        <v>89</v>
      </c>
      <c r="F4488" t="s">
        <v>90</v>
      </c>
      <c r="G4488" t="s">
        <v>41</v>
      </c>
      <c r="H4488" t="s">
        <v>38</v>
      </c>
      <c r="I4488" s="3">
        <v>53</v>
      </c>
      <c r="J4488" s="2">
        <v>182</v>
      </c>
      <c r="K4488" s="3">
        <f t="shared" si="70"/>
        <v>9646</v>
      </c>
      <c r="L4488" s="3">
        <v>4823</v>
      </c>
    </row>
    <row r="4489" spans="1:12" x14ac:dyDescent="0.25">
      <c r="A4489" t="s">
        <v>19</v>
      </c>
      <c r="B4489">
        <v>1185732</v>
      </c>
      <c r="C4489" s="1">
        <v>44390</v>
      </c>
      <c r="D4489" t="s">
        <v>29</v>
      </c>
      <c r="E4489" t="s">
        <v>89</v>
      </c>
      <c r="F4489" t="s">
        <v>90</v>
      </c>
      <c r="G4489" t="s">
        <v>41</v>
      </c>
      <c r="H4489" t="s">
        <v>16</v>
      </c>
      <c r="I4489" s="3">
        <v>55</v>
      </c>
      <c r="J4489" s="2">
        <v>145</v>
      </c>
      <c r="K4489" s="3">
        <f t="shared" si="70"/>
        <v>7975</v>
      </c>
      <c r="L4489" s="3">
        <v>3987.5</v>
      </c>
    </row>
    <row r="4490" spans="1:12" x14ac:dyDescent="0.25">
      <c r="A4490" t="s">
        <v>19</v>
      </c>
      <c r="B4490">
        <v>1185732</v>
      </c>
      <c r="C4490" s="1">
        <v>44390</v>
      </c>
      <c r="D4490" t="s">
        <v>29</v>
      </c>
      <c r="E4490" t="s">
        <v>89</v>
      </c>
      <c r="F4490" t="s">
        <v>90</v>
      </c>
      <c r="G4490" t="s">
        <v>41</v>
      </c>
      <c r="H4490" t="s">
        <v>37</v>
      </c>
      <c r="I4490" s="3">
        <v>43</v>
      </c>
      <c r="J4490" s="2">
        <v>90</v>
      </c>
      <c r="K4490" s="3">
        <f t="shared" si="70"/>
        <v>3870</v>
      </c>
      <c r="L4490" s="3">
        <v>1818.9</v>
      </c>
    </row>
    <row r="4491" spans="1:12" x14ac:dyDescent="0.25">
      <c r="A4491" t="s">
        <v>19</v>
      </c>
      <c r="B4491">
        <v>1185732</v>
      </c>
      <c r="C4491" s="1">
        <v>44390</v>
      </c>
      <c r="D4491" t="s">
        <v>29</v>
      </c>
      <c r="E4491" t="s">
        <v>89</v>
      </c>
      <c r="F4491" t="s">
        <v>90</v>
      </c>
      <c r="G4491" t="s">
        <v>41</v>
      </c>
      <c r="H4491" t="s">
        <v>35</v>
      </c>
      <c r="I4491" s="3">
        <v>41</v>
      </c>
      <c r="J4491" s="2">
        <v>102</v>
      </c>
      <c r="K4491" s="3">
        <f t="shared" si="70"/>
        <v>4182</v>
      </c>
      <c r="L4491" s="3">
        <v>1923.7199999999998</v>
      </c>
    </row>
    <row r="4492" spans="1:12" x14ac:dyDescent="0.25">
      <c r="A4492" t="s">
        <v>19</v>
      </c>
      <c r="B4492">
        <v>1185732</v>
      </c>
      <c r="C4492" s="1">
        <v>44390</v>
      </c>
      <c r="D4492" t="s">
        <v>57</v>
      </c>
      <c r="E4492" t="s">
        <v>118</v>
      </c>
      <c r="F4492" t="s">
        <v>119</v>
      </c>
      <c r="G4492" t="s">
        <v>41</v>
      </c>
      <c r="H4492" t="s">
        <v>16</v>
      </c>
      <c r="I4492" s="3">
        <v>34</v>
      </c>
      <c r="J4492" s="2">
        <v>39</v>
      </c>
      <c r="K4492" s="3">
        <f t="shared" si="70"/>
        <v>1326</v>
      </c>
      <c r="L4492" s="3">
        <v>503.88</v>
      </c>
    </row>
    <row r="4493" spans="1:12" x14ac:dyDescent="0.25">
      <c r="A4493" t="s">
        <v>19</v>
      </c>
      <c r="B4493">
        <v>1185732</v>
      </c>
      <c r="C4493" s="1">
        <v>44391</v>
      </c>
      <c r="D4493" t="s">
        <v>57</v>
      </c>
      <c r="E4493" t="s">
        <v>95</v>
      </c>
      <c r="F4493" t="s">
        <v>96</v>
      </c>
      <c r="G4493" t="s">
        <v>15</v>
      </c>
      <c r="H4493" t="s">
        <v>35</v>
      </c>
      <c r="I4493" s="3">
        <v>40</v>
      </c>
      <c r="J4493" s="2">
        <v>250</v>
      </c>
      <c r="K4493" s="3">
        <f t="shared" si="70"/>
        <v>10000</v>
      </c>
      <c r="L4493" s="3">
        <v>6500</v>
      </c>
    </row>
    <row r="4494" spans="1:12" x14ac:dyDescent="0.25">
      <c r="A4494" t="s">
        <v>19</v>
      </c>
      <c r="B4494">
        <v>1185732</v>
      </c>
      <c r="C4494" s="1">
        <v>44391</v>
      </c>
      <c r="D4494" t="s">
        <v>57</v>
      </c>
      <c r="E4494" t="s">
        <v>118</v>
      </c>
      <c r="F4494" t="s">
        <v>119</v>
      </c>
      <c r="G4494" t="s">
        <v>15</v>
      </c>
      <c r="H4494" t="s">
        <v>38</v>
      </c>
      <c r="I4494" s="3">
        <v>40</v>
      </c>
      <c r="J4494" s="2">
        <v>325</v>
      </c>
      <c r="K4494" s="3">
        <f t="shared" si="70"/>
        <v>13000</v>
      </c>
      <c r="L4494" s="3">
        <v>7800</v>
      </c>
    </row>
    <row r="4495" spans="1:12" x14ac:dyDescent="0.25">
      <c r="A4495" t="s">
        <v>19</v>
      </c>
      <c r="B4495">
        <v>1185732</v>
      </c>
      <c r="C4495" s="1">
        <v>44391</v>
      </c>
      <c r="D4495" t="s">
        <v>57</v>
      </c>
      <c r="E4495" t="s">
        <v>95</v>
      </c>
      <c r="F4495" t="s">
        <v>96</v>
      </c>
      <c r="G4495" t="s">
        <v>41</v>
      </c>
      <c r="H4495" t="s">
        <v>35</v>
      </c>
      <c r="I4495" s="3">
        <v>38</v>
      </c>
      <c r="J4495" s="2">
        <v>75</v>
      </c>
      <c r="K4495" s="3">
        <f t="shared" si="70"/>
        <v>2850</v>
      </c>
      <c r="L4495" s="3">
        <v>1453.5</v>
      </c>
    </row>
    <row r="4496" spans="1:12" x14ac:dyDescent="0.25">
      <c r="A4496" t="s">
        <v>19</v>
      </c>
      <c r="B4496">
        <v>1185732</v>
      </c>
      <c r="C4496" s="1">
        <v>44391</v>
      </c>
      <c r="D4496" t="s">
        <v>57</v>
      </c>
      <c r="E4496" t="s">
        <v>118</v>
      </c>
      <c r="F4496" t="s">
        <v>119</v>
      </c>
      <c r="G4496" t="s">
        <v>41</v>
      </c>
      <c r="H4496" t="s">
        <v>38</v>
      </c>
      <c r="I4496" s="3">
        <v>36</v>
      </c>
      <c r="J4496" s="2">
        <v>94</v>
      </c>
      <c r="K4496" s="3">
        <f t="shared" si="70"/>
        <v>3384</v>
      </c>
      <c r="L4496" s="3">
        <v>1556.6399999999999</v>
      </c>
    </row>
    <row r="4497" spans="1:12" x14ac:dyDescent="0.25">
      <c r="A4497" t="s">
        <v>26</v>
      </c>
      <c r="B4497">
        <v>1185732</v>
      </c>
      <c r="C4497" s="1">
        <v>44392</v>
      </c>
      <c r="D4497" t="s">
        <v>57</v>
      </c>
      <c r="E4497" t="s">
        <v>70</v>
      </c>
      <c r="F4497" t="s">
        <v>71</v>
      </c>
      <c r="G4497" t="s">
        <v>18</v>
      </c>
      <c r="H4497" t="s">
        <v>35</v>
      </c>
      <c r="I4497" s="3">
        <v>50</v>
      </c>
      <c r="J4497" s="2">
        <v>575</v>
      </c>
      <c r="K4497" s="3">
        <f t="shared" si="70"/>
        <v>28750</v>
      </c>
      <c r="L4497" s="3">
        <v>20125</v>
      </c>
    </row>
    <row r="4498" spans="1:12" x14ac:dyDescent="0.25">
      <c r="A4498" t="s">
        <v>19</v>
      </c>
      <c r="B4498">
        <v>1185732</v>
      </c>
      <c r="C4498" s="1">
        <v>44392</v>
      </c>
      <c r="D4498" t="s">
        <v>57</v>
      </c>
      <c r="E4498" t="s">
        <v>118</v>
      </c>
      <c r="F4498" t="s">
        <v>119</v>
      </c>
      <c r="G4498" t="s">
        <v>15</v>
      </c>
      <c r="H4498" t="s">
        <v>17</v>
      </c>
      <c r="I4498" s="3">
        <v>30</v>
      </c>
      <c r="J4498" s="2">
        <v>150</v>
      </c>
      <c r="K4498" s="3">
        <f t="shared" si="70"/>
        <v>4500</v>
      </c>
      <c r="L4498" s="3">
        <v>2925</v>
      </c>
    </row>
    <row r="4499" spans="1:12" x14ac:dyDescent="0.25">
      <c r="A4499" t="s">
        <v>26</v>
      </c>
      <c r="B4499">
        <v>1185732</v>
      </c>
      <c r="C4499" s="1">
        <v>44392</v>
      </c>
      <c r="D4499" t="s">
        <v>57</v>
      </c>
      <c r="E4499" t="s">
        <v>70</v>
      </c>
      <c r="F4499" t="s">
        <v>71</v>
      </c>
      <c r="G4499" t="s">
        <v>18</v>
      </c>
      <c r="H4499" t="s">
        <v>37</v>
      </c>
      <c r="I4499" s="3">
        <v>50</v>
      </c>
      <c r="J4499" s="2">
        <v>525</v>
      </c>
      <c r="K4499" s="3">
        <f t="shared" si="70"/>
        <v>26250</v>
      </c>
      <c r="L4499" s="3">
        <v>17062.5</v>
      </c>
    </row>
    <row r="4500" spans="1:12" x14ac:dyDescent="0.25">
      <c r="A4500" t="s">
        <v>26</v>
      </c>
      <c r="B4500">
        <v>1185732</v>
      </c>
      <c r="C4500" s="1">
        <v>44392</v>
      </c>
      <c r="D4500" t="s">
        <v>57</v>
      </c>
      <c r="E4500" t="s">
        <v>70</v>
      </c>
      <c r="F4500" t="s">
        <v>71</v>
      </c>
      <c r="G4500" t="s">
        <v>18</v>
      </c>
      <c r="H4500" t="s">
        <v>17</v>
      </c>
      <c r="I4500" s="3">
        <v>55.000000000000007</v>
      </c>
      <c r="J4500" s="2">
        <v>650</v>
      </c>
      <c r="K4500" s="3">
        <f t="shared" si="70"/>
        <v>35750.000000000007</v>
      </c>
      <c r="L4500" s="3">
        <v>21450.000000000007</v>
      </c>
    </row>
    <row r="4501" spans="1:12" x14ac:dyDescent="0.25">
      <c r="A4501" t="s">
        <v>19</v>
      </c>
      <c r="B4501">
        <v>1185732</v>
      </c>
      <c r="C4501" s="1">
        <v>44392</v>
      </c>
      <c r="D4501" t="s">
        <v>57</v>
      </c>
      <c r="E4501" t="s">
        <v>95</v>
      </c>
      <c r="F4501" t="s">
        <v>96</v>
      </c>
      <c r="G4501" t="s">
        <v>15</v>
      </c>
      <c r="H4501" t="s">
        <v>37</v>
      </c>
      <c r="I4501" s="3">
        <v>40</v>
      </c>
      <c r="J4501" s="2">
        <v>225</v>
      </c>
      <c r="K4501" s="3">
        <f t="shared" si="70"/>
        <v>9000</v>
      </c>
      <c r="L4501" s="3">
        <v>5400</v>
      </c>
    </row>
    <row r="4502" spans="1:12" x14ac:dyDescent="0.25">
      <c r="A4502" t="s">
        <v>26</v>
      </c>
      <c r="B4502">
        <v>1185732</v>
      </c>
      <c r="C4502" s="1">
        <v>44392</v>
      </c>
      <c r="D4502" t="s">
        <v>57</v>
      </c>
      <c r="E4502" t="s">
        <v>70</v>
      </c>
      <c r="F4502" t="s">
        <v>71</v>
      </c>
      <c r="G4502" t="s">
        <v>18</v>
      </c>
      <c r="H4502" t="s">
        <v>22</v>
      </c>
      <c r="I4502" s="3">
        <v>60</v>
      </c>
      <c r="J4502" s="2">
        <v>550</v>
      </c>
      <c r="K4502" s="3">
        <f t="shared" si="70"/>
        <v>33000</v>
      </c>
      <c r="L4502" s="3">
        <v>19800</v>
      </c>
    </row>
    <row r="4503" spans="1:12" x14ac:dyDescent="0.25">
      <c r="A4503" t="s">
        <v>26</v>
      </c>
      <c r="B4503">
        <v>1185732</v>
      </c>
      <c r="C4503" s="1">
        <v>44392</v>
      </c>
      <c r="D4503" t="s">
        <v>57</v>
      </c>
      <c r="E4503" t="s">
        <v>70</v>
      </c>
      <c r="F4503" t="s">
        <v>71</v>
      </c>
      <c r="G4503" t="s">
        <v>18</v>
      </c>
      <c r="H4503" t="s">
        <v>38</v>
      </c>
      <c r="I4503" s="3">
        <v>60</v>
      </c>
      <c r="J4503" s="2">
        <v>900</v>
      </c>
      <c r="K4503" s="3">
        <f t="shared" si="70"/>
        <v>54000</v>
      </c>
      <c r="L4503" s="3">
        <v>27000</v>
      </c>
    </row>
    <row r="4504" spans="1:12" x14ac:dyDescent="0.25">
      <c r="A4504" t="s">
        <v>26</v>
      </c>
      <c r="B4504">
        <v>1185732</v>
      </c>
      <c r="C4504" s="1">
        <v>44392</v>
      </c>
      <c r="D4504" t="s">
        <v>57</v>
      </c>
      <c r="E4504" t="s">
        <v>70</v>
      </c>
      <c r="F4504" t="s">
        <v>71</v>
      </c>
      <c r="G4504" t="s">
        <v>18</v>
      </c>
      <c r="H4504" t="s">
        <v>16</v>
      </c>
      <c r="I4504" s="3">
        <v>65</v>
      </c>
      <c r="J4504" s="2">
        <v>725</v>
      </c>
      <c r="K4504" s="3">
        <f t="shared" si="70"/>
        <v>47125</v>
      </c>
      <c r="L4504" s="3">
        <v>21206.249999999996</v>
      </c>
    </row>
    <row r="4505" spans="1:12" x14ac:dyDescent="0.25">
      <c r="A4505" t="s">
        <v>26</v>
      </c>
      <c r="B4505">
        <v>1185732</v>
      </c>
      <c r="C4505" s="1">
        <v>44392</v>
      </c>
      <c r="D4505" t="s">
        <v>57</v>
      </c>
      <c r="E4505" t="s">
        <v>70</v>
      </c>
      <c r="F4505" t="s">
        <v>71</v>
      </c>
      <c r="G4505" t="s">
        <v>41</v>
      </c>
      <c r="H4505" t="s">
        <v>35</v>
      </c>
      <c r="I4505" s="3">
        <v>46</v>
      </c>
      <c r="J4505" s="2">
        <v>173</v>
      </c>
      <c r="K4505" s="3">
        <f t="shared" si="70"/>
        <v>7958</v>
      </c>
      <c r="L4505" s="3">
        <v>4376.9000000000005</v>
      </c>
    </row>
    <row r="4506" spans="1:12" x14ac:dyDescent="0.25">
      <c r="A4506" t="s">
        <v>26</v>
      </c>
      <c r="B4506">
        <v>1185732</v>
      </c>
      <c r="C4506" s="1">
        <v>44392</v>
      </c>
      <c r="D4506" t="s">
        <v>57</v>
      </c>
      <c r="E4506" t="s">
        <v>70</v>
      </c>
      <c r="F4506" t="s">
        <v>71</v>
      </c>
      <c r="G4506" t="s">
        <v>41</v>
      </c>
      <c r="H4506" t="s">
        <v>37</v>
      </c>
      <c r="I4506" s="3">
        <v>47</v>
      </c>
      <c r="J4506" s="2">
        <v>158</v>
      </c>
      <c r="K4506" s="3">
        <f t="shared" si="70"/>
        <v>7426</v>
      </c>
      <c r="L4506" s="3">
        <v>4084.3</v>
      </c>
    </row>
    <row r="4507" spans="1:12" x14ac:dyDescent="0.25">
      <c r="A4507" t="s">
        <v>19</v>
      </c>
      <c r="B4507">
        <v>1185732</v>
      </c>
      <c r="C4507" s="1">
        <v>44392</v>
      </c>
      <c r="D4507" t="s">
        <v>57</v>
      </c>
      <c r="E4507" t="s">
        <v>118</v>
      </c>
      <c r="F4507" t="s">
        <v>119</v>
      </c>
      <c r="G4507" t="s">
        <v>41</v>
      </c>
      <c r="H4507" t="s">
        <v>17</v>
      </c>
      <c r="I4507" s="3">
        <v>29</v>
      </c>
      <c r="J4507" s="2">
        <v>41</v>
      </c>
      <c r="K4507" s="3">
        <f t="shared" si="70"/>
        <v>1189</v>
      </c>
      <c r="L4507" s="3">
        <v>642.06000000000006</v>
      </c>
    </row>
    <row r="4508" spans="1:12" x14ac:dyDescent="0.25">
      <c r="A4508" t="s">
        <v>19</v>
      </c>
      <c r="B4508">
        <v>1185732</v>
      </c>
      <c r="C4508" s="1">
        <v>44392</v>
      </c>
      <c r="D4508" t="s">
        <v>57</v>
      </c>
      <c r="E4508" t="s">
        <v>95</v>
      </c>
      <c r="F4508" t="s">
        <v>96</v>
      </c>
      <c r="G4508" t="s">
        <v>41</v>
      </c>
      <c r="H4508" t="s">
        <v>37</v>
      </c>
      <c r="I4508" s="3">
        <v>37</v>
      </c>
      <c r="J4508" s="2">
        <v>63</v>
      </c>
      <c r="K4508" s="3">
        <f t="shared" si="70"/>
        <v>2331</v>
      </c>
      <c r="L4508" s="3">
        <v>1165.5</v>
      </c>
    </row>
    <row r="4509" spans="1:12" x14ac:dyDescent="0.25">
      <c r="A4509" t="s">
        <v>26</v>
      </c>
      <c r="B4509">
        <v>1185732</v>
      </c>
      <c r="C4509" s="1">
        <v>44392</v>
      </c>
      <c r="D4509" t="s">
        <v>57</v>
      </c>
      <c r="E4509" t="s">
        <v>70</v>
      </c>
      <c r="F4509" t="s">
        <v>71</v>
      </c>
      <c r="G4509" t="s">
        <v>41</v>
      </c>
      <c r="H4509" t="s">
        <v>17</v>
      </c>
      <c r="I4509" s="3">
        <v>53</v>
      </c>
      <c r="J4509" s="2">
        <v>189</v>
      </c>
      <c r="K4509" s="3">
        <f t="shared" si="70"/>
        <v>10017</v>
      </c>
      <c r="L4509" s="3">
        <v>4908.33</v>
      </c>
    </row>
    <row r="4510" spans="1:12" x14ac:dyDescent="0.25">
      <c r="A4510" t="s">
        <v>26</v>
      </c>
      <c r="B4510">
        <v>1185732</v>
      </c>
      <c r="C4510" s="1">
        <v>44392</v>
      </c>
      <c r="D4510" t="s">
        <v>57</v>
      </c>
      <c r="E4510" t="s">
        <v>70</v>
      </c>
      <c r="F4510" t="s">
        <v>71</v>
      </c>
      <c r="G4510" t="s">
        <v>41</v>
      </c>
      <c r="H4510" t="s">
        <v>22</v>
      </c>
      <c r="I4510" s="3">
        <v>54</v>
      </c>
      <c r="J4510" s="2">
        <v>143</v>
      </c>
      <c r="K4510" s="3">
        <f t="shared" si="70"/>
        <v>7722</v>
      </c>
      <c r="L4510" s="3">
        <v>3783.7799999999997</v>
      </c>
    </row>
    <row r="4511" spans="1:12" x14ac:dyDescent="0.25">
      <c r="A4511" t="s">
        <v>26</v>
      </c>
      <c r="B4511">
        <v>1185732</v>
      </c>
      <c r="C4511" s="1">
        <v>44392</v>
      </c>
      <c r="D4511" t="s">
        <v>57</v>
      </c>
      <c r="E4511" t="s">
        <v>70</v>
      </c>
      <c r="F4511" t="s">
        <v>71</v>
      </c>
      <c r="G4511" t="s">
        <v>41</v>
      </c>
      <c r="H4511" t="s">
        <v>38</v>
      </c>
      <c r="I4511" s="3">
        <v>57</v>
      </c>
      <c r="J4511" s="2">
        <v>225</v>
      </c>
      <c r="K4511" s="3">
        <f t="shared" si="70"/>
        <v>12825</v>
      </c>
      <c r="L4511" s="3">
        <v>5130</v>
      </c>
    </row>
    <row r="4512" spans="1:12" x14ac:dyDescent="0.25">
      <c r="A4512" t="s">
        <v>26</v>
      </c>
      <c r="B4512">
        <v>1185732</v>
      </c>
      <c r="C4512" s="1">
        <v>44392</v>
      </c>
      <c r="D4512" t="s">
        <v>57</v>
      </c>
      <c r="E4512" t="s">
        <v>70</v>
      </c>
      <c r="F4512" t="s">
        <v>71</v>
      </c>
      <c r="G4512" t="s">
        <v>41</v>
      </c>
      <c r="H4512" t="s">
        <v>16</v>
      </c>
      <c r="I4512" s="3">
        <v>62</v>
      </c>
      <c r="J4512" s="2">
        <v>210</v>
      </c>
      <c r="K4512" s="3">
        <f t="shared" si="70"/>
        <v>13020</v>
      </c>
      <c r="L4512" s="3">
        <v>4036.1999999999989</v>
      </c>
    </row>
    <row r="4513" spans="1:12" x14ac:dyDescent="0.25">
      <c r="A4513" t="s">
        <v>23</v>
      </c>
      <c r="B4513">
        <v>1128299</v>
      </c>
      <c r="C4513" s="1">
        <v>44393</v>
      </c>
      <c r="D4513" t="s">
        <v>32</v>
      </c>
      <c r="E4513" t="s">
        <v>33</v>
      </c>
      <c r="F4513" t="s">
        <v>34</v>
      </c>
      <c r="G4513" t="s">
        <v>18</v>
      </c>
      <c r="H4513" t="s">
        <v>22</v>
      </c>
      <c r="I4513" s="3">
        <v>95</v>
      </c>
      <c r="J4513" s="2">
        <v>650</v>
      </c>
      <c r="K4513" s="3">
        <f t="shared" si="70"/>
        <v>61750</v>
      </c>
      <c r="L4513" s="3">
        <v>49400</v>
      </c>
    </row>
    <row r="4514" spans="1:12" x14ac:dyDescent="0.25">
      <c r="A4514" t="s">
        <v>23</v>
      </c>
      <c r="B4514">
        <v>1128299</v>
      </c>
      <c r="C4514" s="1">
        <v>44393</v>
      </c>
      <c r="D4514" t="s">
        <v>32</v>
      </c>
      <c r="E4514" t="s">
        <v>33</v>
      </c>
      <c r="F4514" t="s">
        <v>34</v>
      </c>
      <c r="G4514" t="s">
        <v>18</v>
      </c>
      <c r="H4514" t="s">
        <v>17</v>
      </c>
      <c r="I4514" s="3">
        <v>95</v>
      </c>
      <c r="J4514" s="2">
        <v>750</v>
      </c>
      <c r="K4514" s="3">
        <f t="shared" si="70"/>
        <v>71250</v>
      </c>
      <c r="L4514" s="3">
        <v>53437.5</v>
      </c>
    </row>
    <row r="4515" spans="1:12" x14ac:dyDescent="0.25">
      <c r="A4515" t="s">
        <v>23</v>
      </c>
      <c r="B4515">
        <v>1128299</v>
      </c>
      <c r="C4515" s="1">
        <v>44393</v>
      </c>
      <c r="D4515" t="s">
        <v>32</v>
      </c>
      <c r="E4515" t="s">
        <v>33</v>
      </c>
      <c r="F4515" t="s">
        <v>34</v>
      </c>
      <c r="G4515" t="s">
        <v>18</v>
      </c>
      <c r="H4515" t="s">
        <v>38</v>
      </c>
      <c r="I4515" s="3">
        <v>90</v>
      </c>
      <c r="J4515" s="2">
        <v>900</v>
      </c>
      <c r="K4515" s="3">
        <f t="shared" si="70"/>
        <v>81000</v>
      </c>
      <c r="L4515" s="3">
        <v>56700</v>
      </c>
    </row>
    <row r="4516" spans="1:12" x14ac:dyDescent="0.25">
      <c r="A4516" t="s">
        <v>23</v>
      </c>
      <c r="B4516">
        <v>1128299</v>
      </c>
      <c r="C4516" s="1">
        <v>44393</v>
      </c>
      <c r="D4516" t="s">
        <v>32</v>
      </c>
      <c r="E4516" t="s">
        <v>33</v>
      </c>
      <c r="F4516" t="s">
        <v>34</v>
      </c>
      <c r="G4516" t="s">
        <v>18</v>
      </c>
      <c r="H4516" t="s">
        <v>35</v>
      </c>
      <c r="I4516" s="3">
        <v>95</v>
      </c>
      <c r="J4516" s="2">
        <v>700</v>
      </c>
      <c r="K4516" s="3">
        <f t="shared" si="70"/>
        <v>66500</v>
      </c>
      <c r="L4516" s="3">
        <v>46550</v>
      </c>
    </row>
    <row r="4517" spans="1:12" x14ac:dyDescent="0.25">
      <c r="A4517" t="s">
        <v>23</v>
      </c>
      <c r="B4517">
        <v>1128299</v>
      </c>
      <c r="C4517" s="1">
        <v>44393</v>
      </c>
      <c r="D4517" t="s">
        <v>32</v>
      </c>
      <c r="E4517" t="s">
        <v>33</v>
      </c>
      <c r="F4517" t="s">
        <v>34</v>
      </c>
      <c r="G4517" t="s">
        <v>18</v>
      </c>
      <c r="H4517" t="s">
        <v>37</v>
      </c>
      <c r="I4517" s="3">
        <v>90</v>
      </c>
      <c r="J4517" s="2">
        <v>600</v>
      </c>
      <c r="K4517" s="3">
        <f t="shared" si="70"/>
        <v>54000</v>
      </c>
      <c r="L4517" s="3">
        <v>37800</v>
      </c>
    </row>
    <row r="4518" spans="1:12" x14ac:dyDescent="0.25">
      <c r="A4518" t="s">
        <v>11</v>
      </c>
      <c r="B4518">
        <v>1128299</v>
      </c>
      <c r="C4518" s="1">
        <v>44393</v>
      </c>
      <c r="D4518" t="s">
        <v>52</v>
      </c>
      <c r="E4518" t="s">
        <v>64</v>
      </c>
      <c r="F4518" t="s">
        <v>65</v>
      </c>
      <c r="G4518" t="s">
        <v>41</v>
      </c>
      <c r="H4518" t="s">
        <v>16</v>
      </c>
      <c r="I4518" s="3">
        <v>110.00000000000001</v>
      </c>
      <c r="J4518" s="2">
        <v>650</v>
      </c>
      <c r="K4518" s="3">
        <f t="shared" si="70"/>
        <v>71500.000000000015</v>
      </c>
      <c r="L4518" s="3">
        <v>46475.000000000015</v>
      </c>
    </row>
    <row r="4519" spans="1:12" x14ac:dyDescent="0.25">
      <c r="A4519" t="s">
        <v>23</v>
      </c>
      <c r="B4519">
        <v>1185732</v>
      </c>
      <c r="C4519" s="1">
        <v>44393</v>
      </c>
      <c r="D4519" t="s">
        <v>52</v>
      </c>
      <c r="E4519" t="s">
        <v>112</v>
      </c>
      <c r="F4519" t="s">
        <v>113</v>
      </c>
      <c r="G4519" t="s">
        <v>41</v>
      </c>
      <c r="H4519" t="s">
        <v>17</v>
      </c>
      <c r="I4519" s="3">
        <v>55.000000000000007</v>
      </c>
      <c r="J4519" s="2">
        <v>600</v>
      </c>
      <c r="K4519" s="3">
        <f t="shared" si="70"/>
        <v>33000.000000000007</v>
      </c>
      <c r="L4519" s="3">
        <v>21450.000000000007</v>
      </c>
    </row>
    <row r="4520" spans="1:12" x14ac:dyDescent="0.25">
      <c r="A4520" t="s">
        <v>19</v>
      </c>
      <c r="B4520">
        <v>1185732</v>
      </c>
      <c r="C4520" s="1">
        <v>44393</v>
      </c>
      <c r="D4520" t="s">
        <v>57</v>
      </c>
      <c r="E4520" t="s">
        <v>95</v>
      </c>
      <c r="F4520" t="s">
        <v>96</v>
      </c>
      <c r="G4520" t="s">
        <v>15</v>
      </c>
      <c r="H4520" t="s">
        <v>22</v>
      </c>
      <c r="I4520" s="3">
        <v>50</v>
      </c>
      <c r="J4520" s="2">
        <v>200</v>
      </c>
      <c r="K4520" s="3">
        <f t="shared" si="70"/>
        <v>10000</v>
      </c>
      <c r="L4520" s="3">
        <v>6500</v>
      </c>
    </row>
    <row r="4521" spans="1:12" x14ac:dyDescent="0.25">
      <c r="A4521" t="s">
        <v>19</v>
      </c>
      <c r="B4521">
        <v>1185732</v>
      </c>
      <c r="C4521" s="1">
        <v>44393</v>
      </c>
      <c r="D4521" t="s">
        <v>57</v>
      </c>
      <c r="E4521" t="s">
        <v>118</v>
      </c>
      <c r="F4521" t="s">
        <v>119</v>
      </c>
      <c r="G4521" t="s">
        <v>15</v>
      </c>
      <c r="H4521" t="s">
        <v>35</v>
      </c>
      <c r="I4521" s="3">
        <v>30</v>
      </c>
      <c r="J4521" s="2">
        <v>50</v>
      </c>
      <c r="K4521" s="3">
        <f t="shared" si="70"/>
        <v>1500</v>
      </c>
      <c r="L4521" s="3">
        <v>975</v>
      </c>
    </row>
    <row r="4522" spans="1:12" x14ac:dyDescent="0.25">
      <c r="A4522" t="s">
        <v>23</v>
      </c>
      <c r="B4522">
        <v>1185732</v>
      </c>
      <c r="C4522" s="1">
        <v>44393</v>
      </c>
      <c r="D4522" t="s">
        <v>52</v>
      </c>
      <c r="E4522" t="s">
        <v>112</v>
      </c>
      <c r="F4522" t="s">
        <v>113</v>
      </c>
      <c r="G4522" t="s">
        <v>41</v>
      </c>
      <c r="H4522" t="s">
        <v>22</v>
      </c>
      <c r="I4522" s="3">
        <v>60</v>
      </c>
      <c r="J4522" s="2">
        <v>500</v>
      </c>
      <c r="K4522" s="3">
        <f t="shared" si="70"/>
        <v>30000</v>
      </c>
      <c r="L4522" s="3">
        <v>19500</v>
      </c>
    </row>
    <row r="4523" spans="1:12" x14ac:dyDescent="0.25">
      <c r="A4523" t="s">
        <v>11</v>
      </c>
      <c r="B4523">
        <v>1128299</v>
      </c>
      <c r="C4523" s="1">
        <v>44393</v>
      </c>
      <c r="D4523" t="s">
        <v>52</v>
      </c>
      <c r="E4523" t="s">
        <v>64</v>
      </c>
      <c r="F4523" t="s">
        <v>65</v>
      </c>
      <c r="G4523" t="s">
        <v>41</v>
      </c>
      <c r="H4523" t="s">
        <v>38</v>
      </c>
      <c r="I4523" s="3">
        <v>90</v>
      </c>
      <c r="J4523" s="2">
        <v>900</v>
      </c>
      <c r="K4523" s="3">
        <f t="shared" si="70"/>
        <v>81000</v>
      </c>
      <c r="L4523" s="3">
        <v>48600</v>
      </c>
    </row>
    <row r="4524" spans="1:12" x14ac:dyDescent="0.25">
      <c r="A4524" t="s">
        <v>11</v>
      </c>
      <c r="B4524">
        <v>1128299</v>
      </c>
      <c r="C4524" s="1">
        <v>44393</v>
      </c>
      <c r="D4524" t="s">
        <v>52</v>
      </c>
      <c r="E4524" t="s">
        <v>64</v>
      </c>
      <c r="F4524" t="s">
        <v>65</v>
      </c>
      <c r="G4524" t="s">
        <v>41</v>
      </c>
      <c r="H4524" t="s">
        <v>17</v>
      </c>
      <c r="I4524" s="3">
        <v>95</v>
      </c>
      <c r="J4524" s="2">
        <v>750</v>
      </c>
      <c r="K4524" s="3">
        <f t="shared" si="70"/>
        <v>71250</v>
      </c>
      <c r="L4524" s="3">
        <v>42750</v>
      </c>
    </row>
    <row r="4525" spans="1:12" x14ac:dyDescent="0.25">
      <c r="A4525" t="s">
        <v>11</v>
      </c>
      <c r="B4525">
        <v>1128299</v>
      </c>
      <c r="C4525" s="1">
        <v>44393</v>
      </c>
      <c r="D4525" t="s">
        <v>52</v>
      </c>
      <c r="E4525" t="s">
        <v>64</v>
      </c>
      <c r="F4525" t="s">
        <v>65</v>
      </c>
      <c r="G4525" t="s">
        <v>41</v>
      </c>
      <c r="H4525" t="s">
        <v>35</v>
      </c>
      <c r="I4525" s="3">
        <v>95</v>
      </c>
      <c r="J4525" s="2">
        <v>700</v>
      </c>
      <c r="K4525" s="3">
        <f t="shared" si="70"/>
        <v>66500</v>
      </c>
      <c r="L4525" s="3">
        <v>39900</v>
      </c>
    </row>
    <row r="4526" spans="1:12" x14ac:dyDescent="0.25">
      <c r="A4526" t="s">
        <v>11</v>
      </c>
      <c r="B4526">
        <v>1128299</v>
      </c>
      <c r="C4526" s="1">
        <v>44393</v>
      </c>
      <c r="D4526" t="s">
        <v>52</v>
      </c>
      <c r="E4526" t="s">
        <v>64</v>
      </c>
      <c r="F4526" t="s">
        <v>65</v>
      </c>
      <c r="G4526" t="s">
        <v>41</v>
      </c>
      <c r="H4526" t="s">
        <v>37</v>
      </c>
      <c r="I4526" s="3">
        <v>90</v>
      </c>
      <c r="J4526" s="2">
        <v>600</v>
      </c>
      <c r="K4526" s="3">
        <f t="shared" si="70"/>
        <v>54000</v>
      </c>
      <c r="L4526" s="3">
        <v>32400</v>
      </c>
    </row>
    <row r="4527" spans="1:12" x14ac:dyDescent="0.25">
      <c r="A4527" t="s">
        <v>19</v>
      </c>
      <c r="B4527">
        <v>1185732</v>
      </c>
      <c r="C4527" s="1">
        <v>44393</v>
      </c>
      <c r="D4527" t="s">
        <v>52</v>
      </c>
      <c r="E4527" t="s">
        <v>112</v>
      </c>
      <c r="F4527" t="s">
        <v>113</v>
      </c>
      <c r="G4527" t="s">
        <v>41</v>
      </c>
      <c r="H4527" t="s">
        <v>38</v>
      </c>
      <c r="I4527" s="3">
        <v>60</v>
      </c>
      <c r="J4527" s="2">
        <v>850</v>
      </c>
      <c r="K4527" s="3">
        <f t="shared" si="70"/>
        <v>51000</v>
      </c>
      <c r="L4527" s="3">
        <v>30600</v>
      </c>
    </row>
    <row r="4528" spans="1:12" x14ac:dyDescent="0.25">
      <c r="A4528" t="s">
        <v>23</v>
      </c>
      <c r="B4528">
        <v>1185732</v>
      </c>
      <c r="C4528" s="1">
        <v>44393</v>
      </c>
      <c r="D4528" t="s">
        <v>52</v>
      </c>
      <c r="E4528" t="s">
        <v>112</v>
      </c>
      <c r="F4528" t="s">
        <v>113</v>
      </c>
      <c r="G4528" t="s">
        <v>41</v>
      </c>
      <c r="H4528" t="s">
        <v>35</v>
      </c>
      <c r="I4528" s="3">
        <v>50</v>
      </c>
      <c r="J4528" s="2">
        <v>525</v>
      </c>
      <c r="K4528" s="3">
        <f t="shared" si="70"/>
        <v>26250</v>
      </c>
      <c r="L4528" s="3">
        <v>15750</v>
      </c>
    </row>
    <row r="4529" spans="1:12" x14ac:dyDescent="0.25">
      <c r="A4529" t="s">
        <v>23</v>
      </c>
      <c r="B4529">
        <v>1185732</v>
      </c>
      <c r="C4529" s="1">
        <v>44393</v>
      </c>
      <c r="D4529" t="s">
        <v>52</v>
      </c>
      <c r="E4529" t="s">
        <v>112</v>
      </c>
      <c r="F4529" t="s">
        <v>113</v>
      </c>
      <c r="G4529" t="s">
        <v>41</v>
      </c>
      <c r="H4529" t="s">
        <v>37</v>
      </c>
      <c r="I4529" s="3">
        <v>50</v>
      </c>
      <c r="J4529" s="2">
        <v>475</v>
      </c>
      <c r="K4529" s="3">
        <f t="shared" si="70"/>
        <v>23750</v>
      </c>
      <c r="L4529" s="3">
        <v>14250</v>
      </c>
    </row>
    <row r="4530" spans="1:12" x14ac:dyDescent="0.25">
      <c r="A4530" t="s">
        <v>11</v>
      </c>
      <c r="B4530">
        <v>1185732</v>
      </c>
      <c r="C4530" s="1">
        <v>44393</v>
      </c>
      <c r="D4530" t="s">
        <v>29</v>
      </c>
      <c r="E4530" t="s">
        <v>105</v>
      </c>
      <c r="F4530" t="s">
        <v>47</v>
      </c>
      <c r="G4530" t="s">
        <v>18</v>
      </c>
      <c r="H4530" t="s">
        <v>38</v>
      </c>
      <c r="I4530" s="3">
        <v>60.000000000000007</v>
      </c>
      <c r="J4530" s="2">
        <v>650</v>
      </c>
      <c r="K4530" s="3">
        <f t="shared" si="70"/>
        <v>39000.000000000007</v>
      </c>
      <c r="L4530" s="3">
        <v>23400.000000000004</v>
      </c>
    </row>
    <row r="4531" spans="1:12" x14ac:dyDescent="0.25">
      <c r="A4531" t="s">
        <v>11</v>
      </c>
      <c r="B4531">
        <v>1185732</v>
      </c>
      <c r="C4531" s="1">
        <v>44393</v>
      </c>
      <c r="D4531" t="s">
        <v>29</v>
      </c>
      <c r="E4531" t="s">
        <v>105</v>
      </c>
      <c r="F4531" t="s">
        <v>47</v>
      </c>
      <c r="G4531" t="s">
        <v>18</v>
      </c>
      <c r="H4531" t="s">
        <v>17</v>
      </c>
      <c r="I4531" s="3">
        <v>55.000000000000014</v>
      </c>
      <c r="J4531" s="2">
        <v>400</v>
      </c>
      <c r="K4531" s="3">
        <f t="shared" si="70"/>
        <v>22000.000000000007</v>
      </c>
      <c r="L4531" s="3">
        <v>13200.000000000004</v>
      </c>
    </row>
    <row r="4532" spans="1:12" x14ac:dyDescent="0.25">
      <c r="A4532" t="s">
        <v>11</v>
      </c>
      <c r="B4532">
        <v>1185732</v>
      </c>
      <c r="C4532" s="1">
        <v>44393</v>
      </c>
      <c r="D4532" t="s">
        <v>29</v>
      </c>
      <c r="E4532" t="s">
        <v>105</v>
      </c>
      <c r="F4532" t="s">
        <v>47</v>
      </c>
      <c r="G4532" t="s">
        <v>18</v>
      </c>
      <c r="H4532" t="s">
        <v>35</v>
      </c>
      <c r="I4532" s="3">
        <v>50</v>
      </c>
      <c r="J4532" s="2">
        <v>325</v>
      </c>
      <c r="K4532" s="3">
        <f t="shared" si="70"/>
        <v>16250</v>
      </c>
      <c r="L4532" s="3">
        <v>9750</v>
      </c>
    </row>
    <row r="4533" spans="1:12" x14ac:dyDescent="0.25">
      <c r="A4533" t="s">
        <v>11</v>
      </c>
      <c r="B4533">
        <v>1185732</v>
      </c>
      <c r="C4533" s="1">
        <v>44393</v>
      </c>
      <c r="D4533" t="s">
        <v>29</v>
      </c>
      <c r="E4533" t="s">
        <v>105</v>
      </c>
      <c r="F4533" t="s">
        <v>47</v>
      </c>
      <c r="G4533" t="s">
        <v>18</v>
      </c>
      <c r="H4533" t="s">
        <v>37</v>
      </c>
      <c r="I4533" s="3">
        <v>50</v>
      </c>
      <c r="J4533" s="2">
        <v>275</v>
      </c>
      <c r="K4533" s="3">
        <f t="shared" si="70"/>
        <v>13750</v>
      </c>
      <c r="L4533" s="3">
        <v>8250</v>
      </c>
    </row>
    <row r="4534" spans="1:12" x14ac:dyDescent="0.25">
      <c r="A4534" t="s">
        <v>11</v>
      </c>
      <c r="B4534">
        <v>1185732</v>
      </c>
      <c r="C4534" s="1">
        <v>44393</v>
      </c>
      <c r="D4534" t="s">
        <v>29</v>
      </c>
      <c r="E4534" t="s">
        <v>105</v>
      </c>
      <c r="F4534" t="s">
        <v>47</v>
      </c>
      <c r="G4534" t="s">
        <v>18</v>
      </c>
      <c r="H4534" t="s">
        <v>22</v>
      </c>
      <c r="I4534" s="3">
        <v>60.000000000000007</v>
      </c>
      <c r="J4534" s="2">
        <v>300</v>
      </c>
      <c r="K4534" s="3">
        <f t="shared" si="70"/>
        <v>18000.000000000004</v>
      </c>
      <c r="L4534" s="3">
        <v>10800.000000000002</v>
      </c>
    </row>
    <row r="4535" spans="1:12" x14ac:dyDescent="0.25">
      <c r="A4535" t="s">
        <v>11</v>
      </c>
      <c r="B4535">
        <v>1185732</v>
      </c>
      <c r="C4535" s="1">
        <v>44393</v>
      </c>
      <c r="D4535" t="s">
        <v>29</v>
      </c>
      <c r="E4535" t="s">
        <v>105</v>
      </c>
      <c r="F4535" t="s">
        <v>47</v>
      </c>
      <c r="G4535" t="s">
        <v>18</v>
      </c>
      <c r="H4535" t="s">
        <v>16</v>
      </c>
      <c r="I4535" s="3">
        <v>65.000000000000014</v>
      </c>
      <c r="J4535" s="2">
        <v>475</v>
      </c>
      <c r="K4535" s="3">
        <f t="shared" si="70"/>
        <v>30875.000000000007</v>
      </c>
      <c r="L4535" s="3">
        <v>18525.000000000004</v>
      </c>
    </row>
    <row r="4536" spans="1:12" x14ac:dyDescent="0.25">
      <c r="A4536" t="s">
        <v>23</v>
      </c>
      <c r="B4536">
        <v>1128299</v>
      </c>
      <c r="C4536" s="1">
        <v>44393</v>
      </c>
      <c r="D4536" t="s">
        <v>32</v>
      </c>
      <c r="E4536" t="s">
        <v>33</v>
      </c>
      <c r="F4536" t="s">
        <v>34</v>
      </c>
      <c r="G4536" t="s">
        <v>18</v>
      </c>
      <c r="H4536" t="s">
        <v>16</v>
      </c>
      <c r="I4536" s="3">
        <v>110.00000000000001</v>
      </c>
      <c r="J4536" s="2">
        <v>650</v>
      </c>
      <c r="K4536" s="3">
        <f t="shared" si="70"/>
        <v>71500.000000000015</v>
      </c>
      <c r="L4536" s="3">
        <v>39325.000000000007</v>
      </c>
    </row>
    <row r="4537" spans="1:12" x14ac:dyDescent="0.25">
      <c r="A4537" t="s">
        <v>11</v>
      </c>
      <c r="B4537">
        <v>1128299</v>
      </c>
      <c r="C4537" s="1">
        <v>44393</v>
      </c>
      <c r="D4537" t="s">
        <v>52</v>
      </c>
      <c r="E4537" t="s">
        <v>64</v>
      </c>
      <c r="F4537" t="s">
        <v>65</v>
      </c>
      <c r="G4537" t="s">
        <v>41</v>
      </c>
      <c r="H4537" t="s">
        <v>22</v>
      </c>
      <c r="I4537" s="3">
        <v>95</v>
      </c>
      <c r="J4537" s="2">
        <v>650</v>
      </c>
      <c r="K4537" s="3">
        <f t="shared" si="70"/>
        <v>61750</v>
      </c>
      <c r="L4537" s="3">
        <v>33962.5</v>
      </c>
    </row>
    <row r="4538" spans="1:12" x14ac:dyDescent="0.25">
      <c r="A4538" t="s">
        <v>23</v>
      </c>
      <c r="B4538">
        <v>1185732</v>
      </c>
      <c r="C4538" s="1">
        <v>44393</v>
      </c>
      <c r="D4538" t="s">
        <v>52</v>
      </c>
      <c r="E4538" t="s">
        <v>112</v>
      </c>
      <c r="F4538" t="s">
        <v>113</v>
      </c>
      <c r="G4538" t="s">
        <v>41</v>
      </c>
      <c r="H4538" t="s">
        <v>16</v>
      </c>
      <c r="I4538" s="3">
        <v>65</v>
      </c>
      <c r="J4538" s="2">
        <v>675</v>
      </c>
      <c r="K4538" s="3">
        <f t="shared" si="70"/>
        <v>43875</v>
      </c>
      <c r="L4538" s="3">
        <v>21937.5</v>
      </c>
    </row>
    <row r="4539" spans="1:12" x14ac:dyDescent="0.25">
      <c r="A4539" t="s">
        <v>23</v>
      </c>
      <c r="B4539">
        <v>1128299</v>
      </c>
      <c r="C4539" s="1">
        <v>44393</v>
      </c>
      <c r="D4539" t="s">
        <v>32</v>
      </c>
      <c r="E4539" t="s">
        <v>33</v>
      </c>
      <c r="F4539" t="s">
        <v>34</v>
      </c>
      <c r="G4539" t="s">
        <v>15</v>
      </c>
      <c r="H4539" t="s">
        <v>22</v>
      </c>
      <c r="I4539" s="3">
        <v>68</v>
      </c>
      <c r="J4539" s="2">
        <v>208</v>
      </c>
      <c r="K4539" s="3">
        <f t="shared" si="70"/>
        <v>14144</v>
      </c>
      <c r="L4539" s="3">
        <v>11032.32</v>
      </c>
    </row>
    <row r="4540" spans="1:12" x14ac:dyDescent="0.25">
      <c r="A4540" t="s">
        <v>23</v>
      </c>
      <c r="B4540">
        <v>1128299</v>
      </c>
      <c r="C4540" s="1">
        <v>44393</v>
      </c>
      <c r="D4540" t="s">
        <v>32</v>
      </c>
      <c r="E4540" t="s">
        <v>33</v>
      </c>
      <c r="F4540" t="s">
        <v>34</v>
      </c>
      <c r="G4540" t="s">
        <v>15</v>
      </c>
      <c r="H4540" t="s">
        <v>17</v>
      </c>
      <c r="I4540" s="3">
        <v>74</v>
      </c>
      <c r="J4540" s="2">
        <v>263</v>
      </c>
      <c r="K4540" s="3">
        <f t="shared" si="70"/>
        <v>19462</v>
      </c>
      <c r="L4540" s="3">
        <v>14012.64</v>
      </c>
    </row>
    <row r="4541" spans="1:12" x14ac:dyDescent="0.25">
      <c r="A4541" t="s">
        <v>23</v>
      </c>
      <c r="B4541">
        <v>1128299</v>
      </c>
      <c r="C4541" s="1">
        <v>44393</v>
      </c>
      <c r="D4541" t="s">
        <v>32</v>
      </c>
      <c r="E4541" t="s">
        <v>33</v>
      </c>
      <c r="F4541" t="s">
        <v>34</v>
      </c>
      <c r="G4541" t="s">
        <v>41</v>
      </c>
      <c r="H4541" t="s">
        <v>22</v>
      </c>
      <c r="I4541" s="3">
        <v>89</v>
      </c>
      <c r="J4541" s="2">
        <v>195</v>
      </c>
      <c r="K4541" s="3">
        <f t="shared" si="70"/>
        <v>17355</v>
      </c>
      <c r="L4541" s="3">
        <v>11801.4</v>
      </c>
    </row>
    <row r="4542" spans="1:12" x14ac:dyDescent="0.25">
      <c r="A4542" t="s">
        <v>23</v>
      </c>
      <c r="B4542">
        <v>1128299</v>
      </c>
      <c r="C4542" s="1">
        <v>44393</v>
      </c>
      <c r="D4542" t="s">
        <v>32</v>
      </c>
      <c r="E4542" t="s">
        <v>33</v>
      </c>
      <c r="F4542" t="s">
        <v>34</v>
      </c>
      <c r="G4542" t="s">
        <v>15</v>
      </c>
      <c r="H4542" t="s">
        <v>37</v>
      </c>
      <c r="I4542" s="3">
        <v>59</v>
      </c>
      <c r="J4542" s="2">
        <v>186</v>
      </c>
      <c r="K4542" s="3">
        <f t="shared" si="70"/>
        <v>10974</v>
      </c>
      <c r="L4542" s="3">
        <v>7352.58</v>
      </c>
    </row>
    <row r="4543" spans="1:12" x14ac:dyDescent="0.25">
      <c r="A4543" t="s">
        <v>23</v>
      </c>
      <c r="B4543">
        <v>1128299</v>
      </c>
      <c r="C4543" s="1">
        <v>44393</v>
      </c>
      <c r="D4543" t="s">
        <v>32</v>
      </c>
      <c r="E4543" t="s">
        <v>33</v>
      </c>
      <c r="F4543" t="s">
        <v>34</v>
      </c>
      <c r="G4543" t="s">
        <v>15</v>
      </c>
      <c r="H4543" t="s">
        <v>35</v>
      </c>
      <c r="I4543" s="3">
        <v>72</v>
      </c>
      <c r="J4543" s="2">
        <v>238</v>
      </c>
      <c r="K4543" s="3">
        <f t="shared" si="70"/>
        <v>17136</v>
      </c>
      <c r="L4543" s="3">
        <v>11309.76</v>
      </c>
    </row>
    <row r="4544" spans="1:12" x14ac:dyDescent="0.25">
      <c r="A4544" t="s">
        <v>23</v>
      </c>
      <c r="B4544">
        <v>1128299</v>
      </c>
      <c r="C4544" s="1">
        <v>44393</v>
      </c>
      <c r="D4544" t="s">
        <v>32</v>
      </c>
      <c r="E4544" t="s">
        <v>33</v>
      </c>
      <c r="F4544" t="s">
        <v>34</v>
      </c>
      <c r="G4544" t="s">
        <v>15</v>
      </c>
      <c r="H4544" t="s">
        <v>38</v>
      </c>
      <c r="I4544" s="3">
        <v>68</v>
      </c>
      <c r="J4544" s="2">
        <v>297</v>
      </c>
      <c r="K4544" s="3">
        <f t="shared" si="70"/>
        <v>20196</v>
      </c>
      <c r="L4544" s="3">
        <v>12723.48</v>
      </c>
    </row>
    <row r="4545" spans="1:12" x14ac:dyDescent="0.25">
      <c r="A4545" t="s">
        <v>23</v>
      </c>
      <c r="B4545">
        <v>1185732</v>
      </c>
      <c r="C4545" s="1">
        <v>44393</v>
      </c>
      <c r="D4545" t="s">
        <v>52</v>
      </c>
      <c r="E4545" t="s">
        <v>112</v>
      </c>
      <c r="F4545" t="s">
        <v>113</v>
      </c>
      <c r="G4545" t="s">
        <v>15</v>
      </c>
      <c r="H4545" t="s">
        <v>22</v>
      </c>
      <c r="I4545" s="3">
        <v>46</v>
      </c>
      <c r="J4545" s="2">
        <v>150</v>
      </c>
      <c r="K4545" s="3">
        <f t="shared" si="70"/>
        <v>6900</v>
      </c>
      <c r="L4545" s="3">
        <v>4347</v>
      </c>
    </row>
    <row r="4546" spans="1:12" x14ac:dyDescent="0.25">
      <c r="A4546" t="s">
        <v>23</v>
      </c>
      <c r="B4546">
        <v>1185732</v>
      </c>
      <c r="C4546" s="1">
        <v>44393</v>
      </c>
      <c r="D4546" t="s">
        <v>52</v>
      </c>
      <c r="E4546" t="s">
        <v>112</v>
      </c>
      <c r="F4546" t="s">
        <v>113</v>
      </c>
      <c r="G4546" t="s">
        <v>15</v>
      </c>
      <c r="H4546" t="s">
        <v>17</v>
      </c>
      <c r="I4546" s="3">
        <v>42</v>
      </c>
      <c r="J4546" s="2">
        <v>192</v>
      </c>
      <c r="K4546" s="3">
        <f t="shared" si="70"/>
        <v>8064</v>
      </c>
      <c r="L4546" s="3">
        <v>4999.68</v>
      </c>
    </row>
    <row r="4547" spans="1:12" x14ac:dyDescent="0.25">
      <c r="A4547" t="s">
        <v>23</v>
      </c>
      <c r="B4547">
        <v>1128299</v>
      </c>
      <c r="C4547" s="1">
        <v>44393</v>
      </c>
      <c r="D4547" t="s">
        <v>32</v>
      </c>
      <c r="E4547" t="s">
        <v>33</v>
      </c>
      <c r="F4547" t="s">
        <v>34</v>
      </c>
      <c r="G4547" t="s">
        <v>41</v>
      </c>
      <c r="H4547" t="s">
        <v>17</v>
      </c>
      <c r="I4547" s="3">
        <v>88</v>
      </c>
      <c r="J4547" s="2">
        <v>225</v>
      </c>
      <c r="K4547" s="3">
        <f t="shared" ref="K4547:K4610" si="71">I4547*J4547</f>
        <v>19800</v>
      </c>
      <c r="L4547" s="3">
        <v>11880</v>
      </c>
    </row>
    <row r="4548" spans="1:12" x14ac:dyDescent="0.25">
      <c r="A4548" t="s">
        <v>11</v>
      </c>
      <c r="B4548">
        <v>1128299</v>
      </c>
      <c r="C4548" s="1">
        <v>44393</v>
      </c>
      <c r="D4548" t="s">
        <v>52</v>
      </c>
      <c r="E4548" t="s">
        <v>64</v>
      </c>
      <c r="F4548" t="s">
        <v>65</v>
      </c>
      <c r="G4548" t="s">
        <v>15</v>
      </c>
      <c r="H4548" t="s">
        <v>16</v>
      </c>
      <c r="I4548" s="3">
        <v>81</v>
      </c>
      <c r="J4548" s="2">
        <v>208</v>
      </c>
      <c r="K4548" s="3">
        <f t="shared" si="71"/>
        <v>16848</v>
      </c>
      <c r="L4548" s="3">
        <v>9940.32</v>
      </c>
    </row>
    <row r="4549" spans="1:12" x14ac:dyDescent="0.25">
      <c r="A4549" t="s">
        <v>23</v>
      </c>
      <c r="B4549">
        <v>1185732</v>
      </c>
      <c r="C4549" s="1">
        <v>44393</v>
      </c>
      <c r="D4549" t="s">
        <v>52</v>
      </c>
      <c r="E4549" t="s">
        <v>112</v>
      </c>
      <c r="F4549" t="s">
        <v>113</v>
      </c>
      <c r="G4549" t="s">
        <v>15</v>
      </c>
      <c r="H4549" t="s">
        <v>35</v>
      </c>
      <c r="I4549" s="3">
        <v>37</v>
      </c>
      <c r="J4549" s="2">
        <v>168</v>
      </c>
      <c r="K4549" s="3">
        <f t="shared" si="71"/>
        <v>6216</v>
      </c>
      <c r="L4549" s="3">
        <v>3605.2799999999997</v>
      </c>
    </row>
    <row r="4550" spans="1:12" x14ac:dyDescent="0.25">
      <c r="A4550" t="s">
        <v>23</v>
      </c>
      <c r="B4550">
        <v>1128299</v>
      </c>
      <c r="C4550" s="1">
        <v>44393</v>
      </c>
      <c r="D4550" t="s">
        <v>32</v>
      </c>
      <c r="E4550" t="s">
        <v>33</v>
      </c>
      <c r="F4550" t="s">
        <v>34</v>
      </c>
      <c r="G4550" t="s">
        <v>41</v>
      </c>
      <c r="H4550" t="s">
        <v>37</v>
      </c>
      <c r="I4550" s="3">
        <v>82</v>
      </c>
      <c r="J4550" s="2">
        <v>180</v>
      </c>
      <c r="K4550" s="3">
        <f t="shared" si="71"/>
        <v>14760</v>
      </c>
      <c r="L4550" s="3">
        <v>8413.2000000000007</v>
      </c>
    </row>
    <row r="4551" spans="1:12" x14ac:dyDescent="0.25">
      <c r="A4551" t="s">
        <v>11</v>
      </c>
      <c r="B4551">
        <v>1128299</v>
      </c>
      <c r="C4551" s="1">
        <v>44393</v>
      </c>
      <c r="D4551" t="s">
        <v>52</v>
      </c>
      <c r="E4551" t="s">
        <v>64</v>
      </c>
      <c r="F4551" t="s">
        <v>65</v>
      </c>
      <c r="G4551" t="s">
        <v>15</v>
      </c>
      <c r="H4551" t="s">
        <v>38</v>
      </c>
      <c r="I4551" s="3">
        <v>62</v>
      </c>
      <c r="J4551" s="2">
        <v>306</v>
      </c>
      <c r="K4551" s="3">
        <f t="shared" si="71"/>
        <v>18972</v>
      </c>
      <c r="L4551" s="3">
        <v>10814.04</v>
      </c>
    </row>
    <row r="4552" spans="1:12" x14ac:dyDescent="0.25">
      <c r="A4552" t="s">
        <v>23</v>
      </c>
      <c r="B4552">
        <v>1185732</v>
      </c>
      <c r="C4552" s="1">
        <v>44393</v>
      </c>
      <c r="D4552" t="s">
        <v>52</v>
      </c>
      <c r="E4552" t="s">
        <v>112</v>
      </c>
      <c r="F4552" t="s">
        <v>113</v>
      </c>
      <c r="G4552" t="s">
        <v>15</v>
      </c>
      <c r="H4552" t="s">
        <v>37</v>
      </c>
      <c r="I4552" s="3">
        <v>33</v>
      </c>
      <c r="J4552" s="2">
        <v>143</v>
      </c>
      <c r="K4552" s="3">
        <f t="shared" si="71"/>
        <v>4719</v>
      </c>
      <c r="L4552" s="3">
        <v>2689.83</v>
      </c>
    </row>
    <row r="4553" spans="1:12" x14ac:dyDescent="0.25">
      <c r="A4553" t="s">
        <v>23</v>
      </c>
      <c r="B4553">
        <v>1128299</v>
      </c>
      <c r="C4553" s="1">
        <v>44393</v>
      </c>
      <c r="D4553" t="s">
        <v>32</v>
      </c>
      <c r="E4553" t="s">
        <v>33</v>
      </c>
      <c r="F4553" t="s">
        <v>34</v>
      </c>
      <c r="G4553" t="s">
        <v>41</v>
      </c>
      <c r="H4553" t="s">
        <v>38</v>
      </c>
      <c r="I4553" s="3">
        <v>83</v>
      </c>
      <c r="J4553" s="2">
        <v>261</v>
      </c>
      <c r="K4553" s="3">
        <f t="shared" si="71"/>
        <v>21663</v>
      </c>
      <c r="L4553" s="3">
        <v>12131.28</v>
      </c>
    </row>
    <row r="4554" spans="1:12" x14ac:dyDescent="0.25">
      <c r="A4554" t="s">
        <v>23</v>
      </c>
      <c r="B4554">
        <v>1128299</v>
      </c>
      <c r="C4554" s="1">
        <v>44393</v>
      </c>
      <c r="D4554" t="s">
        <v>32</v>
      </c>
      <c r="E4554" t="s">
        <v>33</v>
      </c>
      <c r="F4554" t="s">
        <v>34</v>
      </c>
      <c r="G4554" t="s">
        <v>41</v>
      </c>
      <c r="H4554" t="s">
        <v>35</v>
      </c>
      <c r="I4554" s="3">
        <v>86</v>
      </c>
      <c r="J4554" s="2">
        <v>189</v>
      </c>
      <c r="K4554" s="3">
        <f t="shared" si="71"/>
        <v>16254</v>
      </c>
      <c r="L4554" s="3">
        <v>9102.24</v>
      </c>
    </row>
    <row r="4555" spans="1:12" x14ac:dyDescent="0.25">
      <c r="A4555" t="s">
        <v>23</v>
      </c>
      <c r="B4555">
        <v>1185732</v>
      </c>
      <c r="C4555" s="1">
        <v>44393</v>
      </c>
      <c r="D4555" t="s">
        <v>52</v>
      </c>
      <c r="E4555" t="s">
        <v>112</v>
      </c>
      <c r="F4555" t="s">
        <v>113</v>
      </c>
      <c r="G4555" t="s">
        <v>41</v>
      </c>
      <c r="H4555" t="s">
        <v>17</v>
      </c>
      <c r="I4555" s="3">
        <v>53</v>
      </c>
      <c r="J4555" s="2">
        <v>156</v>
      </c>
      <c r="K4555" s="3">
        <f t="shared" si="71"/>
        <v>8268</v>
      </c>
      <c r="L4555" s="3">
        <v>4547.4000000000005</v>
      </c>
    </row>
    <row r="4556" spans="1:12" x14ac:dyDescent="0.25">
      <c r="A4556" t="s">
        <v>11</v>
      </c>
      <c r="B4556">
        <v>1128299</v>
      </c>
      <c r="C4556" s="1">
        <v>44393</v>
      </c>
      <c r="D4556" t="s">
        <v>52</v>
      </c>
      <c r="E4556" t="s">
        <v>64</v>
      </c>
      <c r="F4556" t="s">
        <v>65</v>
      </c>
      <c r="G4556" t="s">
        <v>15</v>
      </c>
      <c r="H4556" t="s">
        <v>37</v>
      </c>
      <c r="I4556" s="3">
        <v>62</v>
      </c>
      <c r="J4556" s="2">
        <v>198</v>
      </c>
      <c r="K4556" s="3">
        <f t="shared" si="71"/>
        <v>12276</v>
      </c>
      <c r="L4556" s="3">
        <v>6751.8</v>
      </c>
    </row>
    <row r="4557" spans="1:12" x14ac:dyDescent="0.25">
      <c r="A4557" t="s">
        <v>11</v>
      </c>
      <c r="B4557">
        <v>1128299</v>
      </c>
      <c r="C4557" s="1">
        <v>44393</v>
      </c>
      <c r="D4557" t="s">
        <v>52</v>
      </c>
      <c r="E4557" t="s">
        <v>64</v>
      </c>
      <c r="F4557" t="s">
        <v>65</v>
      </c>
      <c r="G4557" t="s">
        <v>15</v>
      </c>
      <c r="H4557" t="s">
        <v>17</v>
      </c>
      <c r="I4557" s="3">
        <v>67</v>
      </c>
      <c r="J4557" s="2">
        <v>248</v>
      </c>
      <c r="K4557" s="3">
        <f t="shared" si="71"/>
        <v>16616</v>
      </c>
      <c r="L4557" s="3">
        <v>8972.64</v>
      </c>
    </row>
    <row r="4558" spans="1:12" x14ac:dyDescent="0.25">
      <c r="A4558" t="s">
        <v>19</v>
      </c>
      <c r="B4558">
        <v>1185732</v>
      </c>
      <c r="C4558" s="1">
        <v>44393</v>
      </c>
      <c r="D4558" t="s">
        <v>52</v>
      </c>
      <c r="E4558" t="s">
        <v>112</v>
      </c>
      <c r="F4558" t="s">
        <v>113</v>
      </c>
      <c r="G4558" t="s">
        <v>15</v>
      </c>
      <c r="H4558" t="s">
        <v>38</v>
      </c>
      <c r="I4558" s="3">
        <v>47</v>
      </c>
      <c r="J4558" s="2">
        <v>289</v>
      </c>
      <c r="K4558" s="3">
        <f t="shared" si="71"/>
        <v>13583</v>
      </c>
      <c r="L4558" s="3">
        <v>7334.82</v>
      </c>
    </row>
    <row r="4559" spans="1:12" x14ac:dyDescent="0.25">
      <c r="A4559" t="s">
        <v>23</v>
      </c>
      <c r="B4559">
        <v>1128299</v>
      </c>
      <c r="C4559" s="1">
        <v>44393</v>
      </c>
      <c r="D4559" t="s">
        <v>32</v>
      </c>
      <c r="E4559" t="s">
        <v>33</v>
      </c>
      <c r="F4559" t="s">
        <v>34</v>
      </c>
      <c r="G4559" t="s">
        <v>15</v>
      </c>
      <c r="H4559" t="s">
        <v>16</v>
      </c>
      <c r="I4559" s="3">
        <v>75</v>
      </c>
      <c r="J4559" s="2">
        <v>195</v>
      </c>
      <c r="K4559" s="3">
        <f t="shared" si="71"/>
        <v>14625</v>
      </c>
      <c r="L4559" s="3">
        <v>7751.25</v>
      </c>
    </row>
    <row r="4560" spans="1:12" x14ac:dyDescent="0.25">
      <c r="A4560" t="s">
        <v>11</v>
      </c>
      <c r="B4560">
        <v>1128299</v>
      </c>
      <c r="C4560" s="1">
        <v>44393</v>
      </c>
      <c r="D4560" t="s">
        <v>52</v>
      </c>
      <c r="E4560" t="s">
        <v>64</v>
      </c>
      <c r="F4560" t="s">
        <v>65</v>
      </c>
      <c r="G4560" t="s">
        <v>15</v>
      </c>
      <c r="H4560" t="s">
        <v>35</v>
      </c>
      <c r="I4560" s="3">
        <v>69</v>
      </c>
      <c r="J4560" s="2">
        <v>210</v>
      </c>
      <c r="K4560" s="3">
        <f t="shared" si="71"/>
        <v>14490</v>
      </c>
      <c r="L4560" s="3">
        <v>7679.7000000000007</v>
      </c>
    </row>
    <row r="4561" spans="1:12" x14ac:dyDescent="0.25">
      <c r="A4561" t="s">
        <v>11</v>
      </c>
      <c r="B4561">
        <v>1128299</v>
      </c>
      <c r="C4561" s="1">
        <v>44393</v>
      </c>
      <c r="D4561" t="s">
        <v>52</v>
      </c>
      <c r="E4561" t="s">
        <v>64</v>
      </c>
      <c r="F4561" t="s">
        <v>65</v>
      </c>
      <c r="G4561" t="s">
        <v>41</v>
      </c>
      <c r="H4561" t="s">
        <v>16</v>
      </c>
      <c r="I4561" s="3">
        <v>103</v>
      </c>
      <c r="J4561" s="2">
        <v>163</v>
      </c>
      <c r="K4561" s="3">
        <f t="shared" si="71"/>
        <v>16789</v>
      </c>
      <c r="L4561" s="3">
        <v>8730.2800000000007</v>
      </c>
    </row>
    <row r="4562" spans="1:12" x14ac:dyDescent="0.25">
      <c r="A4562" t="s">
        <v>23</v>
      </c>
      <c r="B4562">
        <v>1185732</v>
      </c>
      <c r="C4562" s="1">
        <v>44393</v>
      </c>
      <c r="D4562" t="s">
        <v>52</v>
      </c>
      <c r="E4562" t="s">
        <v>112</v>
      </c>
      <c r="F4562" t="s">
        <v>113</v>
      </c>
      <c r="G4562" t="s">
        <v>41</v>
      </c>
      <c r="H4562" t="s">
        <v>22</v>
      </c>
      <c r="I4562" s="3">
        <v>59</v>
      </c>
      <c r="J4562" s="2">
        <v>150</v>
      </c>
      <c r="K4562" s="3">
        <f t="shared" si="71"/>
        <v>8850</v>
      </c>
      <c r="L4562" s="3">
        <v>4602</v>
      </c>
    </row>
    <row r="4563" spans="1:12" x14ac:dyDescent="0.25">
      <c r="A4563" t="s">
        <v>11</v>
      </c>
      <c r="B4563">
        <v>1128299</v>
      </c>
      <c r="C4563" s="1">
        <v>44393</v>
      </c>
      <c r="D4563" t="s">
        <v>52</v>
      </c>
      <c r="E4563" t="s">
        <v>64</v>
      </c>
      <c r="F4563" t="s">
        <v>65</v>
      </c>
      <c r="G4563" t="s">
        <v>15</v>
      </c>
      <c r="H4563" t="s">
        <v>22</v>
      </c>
      <c r="I4563" s="3">
        <v>73</v>
      </c>
      <c r="J4563" s="2">
        <v>221</v>
      </c>
      <c r="K4563" s="3">
        <f t="shared" si="71"/>
        <v>16133</v>
      </c>
      <c r="L4563" s="3">
        <v>8227.83</v>
      </c>
    </row>
    <row r="4564" spans="1:12" x14ac:dyDescent="0.25">
      <c r="A4564" t="s">
        <v>19</v>
      </c>
      <c r="B4564">
        <v>1185732</v>
      </c>
      <c r="C4564" s="1">
        <v>44393</v>
      </c>
      <c r="D4564" t="s">
        <v>57</v>
      </c>
      <c r="E4564" t="s">
        <v>95</v>
      </c>
      <c r="F4564" t="s">
        <v>96</v>
      </c>
      <c r="G4564" t="s">
        <v>41</v>
      </c>
      <c r="H4564" t="s">
        <v>22</v>
      </c>
      <c r="I4564" s="3">
        <v>49</v>
      </c>
      <c r="J4564" s="2">
        <v>50</v>
      </c>
      <c r="K4564" s="3">
        <f t="shared" si="71"/>
        <v>2450</v>
      </c>
      <c r="L4564" s="3">
        <v>1225</v>
      </c>
    </row>
    <row r="4565" spans="1:12" x14ac:dyDescent="0.25">
      <c r="A4565" t="s">
        <v>19</v>
      </c>
      <c r="B4565">
        <v>1185732</v>
      </c>
      <c r="C4565" s="1">
        <v>44393</v>
      </c>
      <c r="D4565" t="s">
        <v>57</v>
      </c>
      <c r="E4565" t="s">
        <v>118</v>
      </c>
      <c r="F4565" t="s">
        <v>119</v>
      </c>
      <c r="G4565" t="s">
        <v>41</v>
      </c>
      <c r="H4565" t="s">
        <v>35</v>
      </c>
      <c r="I4565" s="3">
        <v>29</v>
      </c>
      <c r="J4565" s="2">
        <v>14</v>
      </c>
      <c r="K4565" s="3">
        <f t="shared" si="71"/>
        <v>406</v>
      </c>
      <c r="L4565" s="3">
        <v>203</v>
      </c>
    </row>
    <row r="4566" spans="1:12" x14ac:dyDescent="0.25">
      <c r="A4566" t="s">
        <v>23</v>
      </c>
      <c r="B4566">
        <v>1185732</v>
      </c>
      <c r="C4566" s="1">
        <v>44393</v>
      </c>
      <c r="D4566" t="s">
        <v>52</v>
      </c>
      <c r="E4566" t="s">
        <v>112</v>
      </c>
      <c r="F4566" t="s">
        <v>113</v>
      </c>
      <c r="G4566" t="s">
        <v>41</v>
      </c>
      <c r="H4566" t="s">
        <v>35</v>
      </c>
      <c r="I4566" s="3">
        <v>48</v>
      </c>
      <c r="J4566" s="2">
        <v>142</v>
      </c>
      <c r="K4566" s="3">
        <f t="shared" si="71"/>
        <v>6816</v>
      </c>
      <c r="L4566" s="3">
        <v>3408</v>
      </c>
    </row>
    <row r="4567" spans="1:12" x14ac:dyDescent="0.25">
      <c r="A4567" t="s">
        <v>19</v>
      </c>
      <c r="B4567">
        <v>1185732</v>
      </c>
      <c r="C4567" s="1">
        <v>44393</v>
      </c>
      <c r="D4567" t="s">
        <v>52</v>
      </c>
      <c r="E4567" t="s">
        <v>112</v>
      </c>
      <c r="F4567" t="s">
        <v>113</v>
      </c>
      <c r="G4567" t="s">
        <v>41</v>
      </c>
      <c r="H4567" t="s">
        <v>38</v>
      </c>
      <c r="I4567" s="3">
        <v>58</v>
      </c>
      <c r="J4567" s="2">
        <v>221</v>
      </c>
      <c r="K4567" s="3">
        <f t="shared" si="71"/>
        <v>12818</v>
      </c>
      <c r="L4567" s="3">
        <v>6280.82</v>
      </c>
    </row>
    <row r="4568" spans="1:12" x14ac:dyDescent="0.25">
      <c r="A4568" t="s">
        <v>11</v>
      </c>
      <c r="B4568">
        <v>1185732</v>
      </c>
      <c r="C4568" s="1">
        <v>44393</v>
      </c>
      <c r="D4568" t="s">
        <v>29</v>
      </c>
      <c r="E4568" t="s">
        <v>105</v>
      </c>
      <c r="F4568" t="s">
        <v>47</v>
      </c>
      <c r="G4568" t="s">
        <v>41</v>
      </c>
      <c r="H4568" t="s">
        <v>37</v>
      </c>
      <c r="I4568" s="3">
        <v>48</v>
      </c>
      <c r="J4568" s="2">
        <v>77</v>
      </c>
      <c r="K4568" s="3">
        <f t="shared" si="71"/>
        <v>3696</v>
      </c>
      <c r="L4568" s="3">
        <v>1811.04</v>
      </c>
    </row>
    <row r="4569" spans="1:12" x14ac:dyDescent="0.25">
      <c r="A4569" t="s">
        <v>11</v>
      </c>
      <c r="B4569">
        <v>1185732</v>
      </c>
      <c r="C4569" s="1">
        <v>44393</v>
      </c>
      <c r="D4569" t="s">
        <v>29</v>
      </c>
      <c r="E4569" t="s">
        <v>105</v>
      </c>
      <c r="F4569" t="s">
        <v>47</v>
      </c>
      <c r="G4569" t="s">
        <v>41</v>
      </c>
      <c r="H4569" t="s">
        <v>38</v>
      </c>
      <c r="I4569" s="3">
        <v>55</v>
      </c>
      <c r="J4569" s="2">
        <v>182</v>
      </c>
      <c r="K4569" s="3">
        <f t="shared" si="71"/>
        <v>10010</v>
      </c>
      <c r="L4569" s="3">
        <v>4804.8</v>
      </c>
    </row>
    <row r="4570" spans="1:12" x14ac:dyDescent="0.25">
      <c r="A4570" t="s">
        <v>11</v>
      </c>
      <c r="B4570">
        <v>1128299</v>
      </c>
      <c r="C4570" s="1">
        <v>44393</v>
      </c>
      <c r="D4570" t="s">
        <v>52</v>
      </c>
      <c r="E4570" t="s">
        <v>64</v>
      </c>
      <c r="F4570" t="s">
        <v>65</v>
      </c>
      <c r="G4570" t="s">
        <v>41</v>
      </c>
      <c r="H4570" t="s">
        <v>38</v>
      </c>
      <c r="I4570" s="3">
        <v>86</v>
      </c>
      <c r="J4570" s="2">
        <v>270</v>
      </c>
      <c r="K4570" s="3">
        <f t="shared" si="71"/>
        <v>23220</v>
      </c>
      <c r="L4570" s="3">
        <v>10913.4</v>
      </c>
    </row>
    <row r="4571" spans="1:12" x14ac:dyDescent="0.25">
      <c r="A4571" t="s">
        <v>23</v>
      </c>
      <c r="B4571">
        <v>1185732</v>
      </c>
      <c r="C4571" s="1">
        <v>44393</v>
      </c>
      <c r="D4571" t="s">
        <v>52</v>
      </c>
      <c r="E4571" t="s">
        <v>112</v>
      </c>
      <c r="F4571" t="s">
        <v>113</v>
      </c>
      <c r="G4571" t="s">
        <v>41</v>
      </c>
      <c r="H4571" t="s">
        <v>37</v>
      </c>
      <c r="I4571" s="3">
        <v>48</v>
      </c>
      <c r="J4571" s="2">
        <v>124</v>
      </c>
      <c r="K4571" s="3">
        <f t="shared" si="71"/>
        <v>5952</v>
      </c>
      <c r="L4571" s="3">
        <v>2797.44</v>
      </c>
    </row>
    <row r="4572" spans="1:12" x14ac:dyDescent="0.25">
      <c r="A4572" t="s">
        <v>11</v>
      </c>
      <c r="B4572">
        <v>1185732</v>
      </c>
      <c r="C4572" s="1">
        <v>44393</v>
      </c>
      <c r="D4572" t="s">
        <v>29</v>
      </c>
      <c r="E4572" t="s">
        <v>105</v>
      </c>
      <c r="F4572" t="s">
        <v>47</v>
      </c>
      <c r="G4572" t="s">
        <v>41</v>
      </c>
      <c r="H4572" t="s">
        <v>17</v>
      </c>
      <c r="I4572" s="3">
        <v>50</v>
      </c>
      <c r="J4572" s="2">
        <v>116</v>
      </c>
      <c r="K4572" s="3">
        <f t="shared" si="71"/>
        <v>5800</v>
      </c>
      <c r="L4572" s="3">
        <v>2726</v>
      </c>
    </row>
    <row r="4573" spans="1:12" x14ac:dyDescent="0.25">
      <c r="A4573" t="s">
        <v>11</v>
      </c>
      <c r="B4573">
        <v>1185732</v>
      </c>
      <c r="C4573" s="1">
        <v>44393</v>
      </c>
      <c r="D4573" t="s">
        <v>29</v>
      </c>
      <c r="E4573" t="s">
        <v>105</v>
      </c>
      <c r="F4573" t="s">
        <v>47</v>
      </c>
      <c r="G4573" t="s">
        <v>41</v>
      </c>
      <c r="H4573" t="s">
        <v>35</v>
      </c>
      <c r="I4573" s="3">
        <v>49</v>
      </c>
      <c r="J4573" s="2">
        <v>98</v>
      </c>
      <c r="K4573" s="3">
        <f t="shared" si="71"/>
        <v>4802</v>
      </c>
      <c r="L4573" s="3">
        <v>2256.94</v>
      </c>
    </row>
    <row r="4574" spans="1:12" x14ac:dyDescent="0.25">
      <c r="A4574" t="s">
        <v>23</v>
      </c>
      <c r="B4574">
        <v>1185732</v>
      </c>
      <c r="C4574" s="1">
        <v>44393</v>
      </c>
      <c r="D4574" t="s">
        <v>52</v>
      </c>
      <c r="E4574" t="s">
        <v>112</v>
      </c>
      <c r="F4574" t="s">
        <v>113</v>
      </c>
      <c r="G4574" t="s">
        <v>15</v>
      </c>
      <c r="H4574" t="s">
        <v>16</v>
      </c>
      <c r="I4574" s="3">
        <v>49</v>
      </c>
      <c r="J4574" s="2">
        <v>209</v>
      </c>
      <c r="K4574" s="3">
        <f t="shared" si="71"/>
        <v>10241</v>
      </c>
      <c r="L4574" s="3">
        <v>4813.2699999999995</v>
      </c>
    </row>
    <row r="4575" spans="1:12" x14ac:dyDescent="0.25">
      <c r="A4575" t="s">
        <v>11</v>
      </c>
      <c r="B4575">
        <v>1128299</v>
      </c>
      <c r="C4575" s="1">
        <v>44393</v>
      </c>
      <c r="D4575" t="s">
        <v>52</v>
      </c>
      <c r="E4575" t="s">
        <v>64</v>
      </c>
      <c r="F4575" t="s">
        <v>65</v>
      </c>
      <c r="G4575" t="s">
        <v>41</v>
      </c>
      <c r="H4575" t="s">
        <v>35</v>
      </c>
      <c r="I4575" s="3">
        <v>90</v>
      </c>
      <c r="J4575" s="2">
        <v>196</v>
      </c>
      <c r="K4575" s="3">
        <f t="shared" si="71"/>
        <v>17640</v>
      </c>
      <c r="L4575" s="3">
        <v>8114.4</v>
      </c>
    </row>
    <row r="4576" spans="1:12" x14ac:dyDescent="0.25">
      <c r="A4576" t="s">
        <v>11</v>
      </c>
      <c r="B4576">
        <v>1128299</v>
      </c>
      <c r="C4576" s="1">
        <v>44393</v>
      </c>
      <c r="D4576" t="s">
        <v>52</v>
      </c>
      <c r="E4576" t="s">
        <v>64</v>
      </c>
      <c r="F4576" t="s">
        <v>65</v>
      </c>
      <c r="G4576" t="s">
        <v>41</v>
      </c>
      <c r="H4576" t="s">
        <v>37</v>
      </c>
      <c r="I4576" s="3">
        <v>86</v>
      </c>
      <c r="J4576" s="2">
        <v>168</v>
      </c>
      <c r="K4576" s="3">
        <f t="shared" si="71"/>
        <v>14448</v>
      </c>
      <c r="L4576" s="3">
        <v>6646.08</v>
      </c>
    </row>
    <row r="4577" spans="1:12" x14ac:dyDescent="0.25">
      <c r="A4577" t="s">
        <v>11</v>
      </c>
      <c r="B4577">
        <v>1185732</v>
      </c>
      <c r="C4577" s="1">
        <v>44393</v>
      </c>
      <c r="D4577" t="s">
        <v>29</v>
      </c>
      <c r="E4577" t="s">
        <v>105</v>
      </c>
      <c r="F4577" t="s">
        <v>47</v>
      </c>
      <c r="G4577" t="s">
        <v>41</v>
      </c>
      <c r="H4577" t="s">
        <v>22</v>
      </c>
      <c r="I4577" s="3">
        <v>54</v>
      </c>
      <c r="J4577" s="2">
        <v>87</v>
      </c>
      <c r="K4577" s="3">
        <f t="shared" si="71"/>
        <v>4698</v>
      </c>
      <c r="L4577" s="3">
        <v>2161.08</v>
      </c>
    </row>
    <row r="4578" spans="1:12" x14ac:dyDescent="0.25">
      <c r="A4578" t="s">
        <v>11</v>
      </c>
      <c r="B4578">
        <v>1185732</v>
      </c>
      <c r="C4578" s="1">
        <v>44393</v>
      </c>
      <c r="D4578" t="s">
        <v>29</v>
      </c>
      <c r="E4578" t="s">
        <v>105</v>
      </c>
      <c r="F4578" t="s">
        <v>47</v>
      </c>
      <c r="G4578" t="s">
        <v>41</v>
      </c>
      <c r="H4578" t="s">
        <v>16</v>
      </c>
      <c r="I4578" s="3">
        <v>63</v>
      </c>
      <c r="J4578" s="2">
        <v>133</v>
      </c>
      <c r="K4578" s="3">
        <f t="shared" si="71"/>
        <v>8379</v>
      </c>
      <c r="L4578" s="3">
        <v>3854.34</v>
      </c>
    </row>
    <row r="4579" spans="1:12" x14ac:dyDescent="0.25">
      <c r="A4579" t="s">
        <v>11</v>
      </c>
      <c r="B4579">
        <v>1128299</v>
      </c>
      <c r="C4579" s="1">
        <v>44393</v>
      </c>
      <c r="D4579" t="s">
        <v>52</v>
      </c>
      <c r="E4579" t="s">
        <v>64</v>
      </c>
      <c r="F4579" t="s">
        <v>65</v>
      </c>
      <c r="G4579" t="s">
        <v>41</v>
      </c>
      <c r="H4579" t="s">
        <v>17</v>
      </c>
      <c r="I4579" s="3">
        <v>92</v>
      </c>
      <c r="J4579" s="2">
        <v>203</v>
      </c>
      <c r="K4579" s="3">
        <f t="shared" si="71"/>
        <v>18676</v>
      </c>
      <c r="L4579" s="3">
        <v>8404.2000000000007</v>
      </c>
    </row>
    <row r="4580" spans="1:12" x14ac:dyDescent="0.25">
      <c r="A4580" t="s">
        <v>23</v>
      </c>
      <c r="B4580">
        <v>1128299</v>
      </c>
      <c r="C4580" s="1">
        <v>44393</v>
      </c>
      <c r="D4580" t="s">
        <v>32</v>
      </c>
      <c r="E4580" t="s">
        <v>33</v>
      </c>
      <c r="F4580" t="s">
        <v>34</v>
      </c>
      <c r="G4580" t="s">
        <v>41</v>
      </c>
      <c r="H4580" t="s">
        <v>16</v>
      </c>
      <c r="I4580" s="3">
        <v>101</v>
      </c>
      <c r="J4580" s="2">
        <v>163</v>
      </c>
      <c r="K4580" s="3">
        <f t="shared" si="71"/>
        <v>16463</v>
      </c>
      <c r="L4580" s="3">
        <v>7079.0899999999983</v>
      </c>
    </row>
    <row r="4581" spans="1:12" x14ac:dyDescent="0.25">
      <c r="A4581" t="s">
        <v>11</v>
      </c>
      <c r="B4581">
        <v>1128299</v>
      </c>
      <c r="C4581" s="1">
        <v>44393</v>
      </c>
      <c r="D4581" t="s">
        <v>52</v>
      </c>
      <c r="E4581" t="s">
        <v>64</v>
      </c>
      <c r="F4581" t="s">
        <v>65</v>
      </c>
      <c r="G4581" t="s">
        <v>41</v>
      </c>
      <c r="H4581" t="s">
        <v>22</v>
      </c>
      <c r="I4581" s="3">
        <v>86</v>
      </c>
      <c r="J4581" s="2">
        <v>189</v>
      </c>
      <c r="K4581" s="3">
        <f t="shared" si="71"/>
        <v>16254</v>
      </c>
      <c r="L4581" s="3">
        <v>6826.6799999999985</v>
      </c>
    </row>
    <row r="4582" spans="1:12" x14ac:dyDescent="0.25">
      <c r="A4582" t="s">
        <v>23</v>
      </c>
      <c r="B4582">
        <v>1185732</v>
      </c>
      <c r="C4582" s="1">
        <v>44393</v>
      </c>
      <c r="D4582" t="s">
        <v>52</v>
      </c>
      <c r="E4582" t="s">
        <v>112</v>
      </c>
      <c r="F4582" t="s">
        <v>113</v>
      </c>
      <c r="G4582" t="s">
        <v>41</v>
      </c>
      <c r="H4582" t="s">
        <v>16</v>
      </c>
      <c r="I4582" s="3">
        <v>61</v>
      </c>
      <c r="J4582" s="2">
        <v>176</v>
      </c>
      <c r="K4582" s="3">
        <f t="shared" si="71"/>
        <v>10736</v>
      </c>
      <c r="L4582" s="3">
        <v>4187.04</v>
      </c>
    </row>
    <row r="4583" spans="1:12" x14ac:dyDescent="0.25">
      <c r="A4583" t="s">
        <v>36</v>
      </c>
      <c r="B4583">
        <v>1185732</v>
      </c>
      <c r="C4583" s="1">
        <v>44394</v>
      </c>
      <c r="D4583" t="s">
        <v>29</v>
      </c>
      <c r="E4583" t="s">
        <v>68</v>
      </c>
      <c r="F4583" t="s">
        <v>69</v>
      </c>
      <c r="G4583" t="s">
        <v>15</v>
      </c>
      <c r="H4583" t="s">
        <v>35</v>
      </c>
      <c r="I4583" s="3">
        <v>55.000000000000007</v>
      </c>
      <c r="J4583" s="2">
        <v>375</v>
      </c>
      <c r="K4583" s="3">
        <f t="shared" si="71"/>
        <v>20625.000000000004</v>
      </c>
      <c r="L4583" s="3">
        <v>14437.500000000004</v>
      </c>
    </row>
    <row r="4584" spans="1:12" x14ac:dyDescent="0.25">
      <c r="A4584" t="s">
        <v>36</v>
      </c>
      <c r="B4584">
        <v>1185732</v>
      </c>
      <c r="C4584" s="1">
        <v>44394</v>
      </c>
      <c r="D4584" t="s">
        <v>29</v>
      </c>
      <c r="E4584" t="s">
        <v>68</v>
      </c>
      <c r="F4584" t="s">
        <v>69</v>
      </c>
      <c r="G4584" t="s">
        <v>15</v>
      </c>
      <c r="H4584" t="s">
        <v>37</v>
      </c>
      <c r="I4584" s="3">
        <v>55.000000000000007</v>
      </c>
      <c r="J4584" s="2">
        <v>325</v>
      </c>
      <c r="K4584" s="3">
        <f t="shared" si="71"/>
        <v>17875.000000000004</v>
      </c>
      <c r="L4584" s="3">
        <v>12512.500000000004</v>
      </c>
    </row>
    <row r="4585" spans="1:12" x14ac:dyDescent="0.25">
      <c r="A4585" t="s">
        <v>36</v>
      </c>
      <c r="B4585">
        <v>1185732</v>
      </c>
      <c r="C4585" s="1">
        <v>44394</v>
      </c>
      <c r="D4585" t="s">
        <v>29</v>
      </c>
      <c r="E4585" t="s">
        <v>68</v>
      </c>
      <c r="F4585" t="s">
        <v>69</v>
      </c>
      <c r="G4585" t="s">
        <v>15</v>
      </c>
      <c r="H4585" t="s">
        <v>22</v>
      </c>
      <c r="I4585" s="3">
        <v>65</v>
      </c>
      <c r="J4585" s="2">
        <v>350</v>
      </c>
      <c r="K4585" s="3">
        <f t="shared" si="71"/>
        <v>22750</v>
      </c>
      <c r="L4585" s="3">
        <v>15925</v>
      </c>
    </row>
    <row r="4586" spans="1:12" x14ac:dyDescent="0.25">
      <c r="A4586" t="s">
        <v>19</v>
      </c>
      <c r="B4586">
        <v>1185732</v>
      </c>
      <c r="C4586" s="1">
        <v>44394</v>
      </c>
      <c r="D4586" t="s">
        <v>57</v>
      </c>
      <c r="E4586" t="s">
        <v>106</v>
      </c>
      <c r="F4586" t="s">
        <v>107</v>
      </c>
      <c r="G4586" t="s">
        <v>18</v>
      </c>
      <c r="H4586" t="s">
        <v>17</v>
      </c>
      <c r="I4586" s="3">
        <v>35.000000000000007</v>
      </c>
      <c r="J4586" s="2">
        <v>500</v>
      </c>
      <c r="K4586" s="3">
        <f t="shared" si="71"/>
        <v>17500.000000000004</v>
      </c>
      <c r="L4586" s="3">
        <v>11375.000000000004</v>
      </c>
    </row>
    <row r="4587" spans="1:12" x14ac:dyDescent="0.25">
      <c r="A4587" t="s">
        <v>19</v>
      </c>
      <c r="B4587">
        <v>1185732</v>
      </c>
      <c r="C4587" s="1">
        <v>44394</v>
      </c>
      <c r="D4587" t="s">
        <v>57</v>
      </c>
      <c r="E4587" t="s">
        <v>106</v>
      </c>
      <c r="F4587" t="s">
        <v>107</v>
      </c>
      <c r="G4587" t="s">
        <v>18</v>
      </c>
      <c r="H4587" t="s">
        <v>35</v>
      </c>
      <c r="I4587" s="3">
        <v>30.000000000000004</v>
      </c>
      <c r="J4587" s="2">
        <v>425</v>
      </c>
      <c r="K4587" s="3">
        <f t="shared" si="71"/>
        <v>12750.000000000002</v>
      </c>
      <c r="L4587" s="3">
        <v>8287.5000000000018</v>
      </c>
    </row>
    <row r="4588" spans="1:12" x14ac:dyDescent="0.25">
      <c r="A4588" t="s">
        <v>19</v>
      </c>
      <c r="B4588">
        <v>1185732</v>
      </c>
      <c r="C4588" s="1">
        <v>44394</v>
      </c>
      <c r="D4588" t="s">
        <v>57</v>
      </c>
      <c r="E4588" t="s">
        <v>106</v>
      </c>
      <c r="F4588" t="s">
        <v>107</v>
      </c>
      <c r="G4588" t="s">
        <v>18</v>
      </c>
      <c r="H4588" t="s">
        <v>22</v>
      </c>
      <c r="I4588" s="3">
        <v>40</v>
      </c>
      <c r="J4588" s="2">
        <v>375</v>
      </c>
      <c r="K4588" s="3">
        <f t="shared" si="71"/>
        <v>15000</v>
      </c>
      <c r="L4588" s="3">
        <v>9750</v>
      </c>
    </row>
    <row r="4589" spans="1:12" x14ac:dyDescent="0.25">
      <c r="A4589" t="s">
        <v>36</v>
      </c>
      <c r="B4589">
        <v>1185732</v>
      </c>
      <c r="C4589" s="1">
        <v>44394</v>
      </c>
      <c r="D4589" t="s">
        <v>29</v>
      </c>
      <c r="E4589" t="s">
        <v>68</v>
      </c>
      <c r="F4589" t="s">
        <v>69</v>
      </c>
      <c r="G4589" t="s">
        <v>15</v>
      </c>
      <c r="H4589" t="s">
        <v>16</v>
      </c>
      <c r="I4589" s="3">
        <v>70</v>
      </c>
      <c r="J4589" s="2">
        <v>525</v>
      </c>
      <c r="K4589" s="3">
        <f t="shared" si="71"/>
        <v>36750</v>
      </c>
      <c r="L4589" s="3">
        <v>23887.5</v>
      </c>
    </row>
    <row r="4590" spans="1:12" x14ac:dyDescent="0.25">
      <c r="A4590" t="s">
        <v>19</v>
      </c>
      <c r="B4590">
        <v>1185732</v>
      </c>
      <c r="C4590" s="1">
        <v>44394</v>
      </c>
      <c r="D4590" t="s">
        <v>57</v>
      </c>
      <c r="E4590" t="s">
        <v>118</v>
      </c>
      <c r="F4590" t="s">
        <v>119</v>
      </c>
      <c r="G4590" t="s">
        <v>15</v>
      </c>
      <c r="H4590" t="s">
        <v>37</v>
      </c>
      <c r="I4590" s="3">
        <v>30</v>
      </c>
      <c r="J4590" s="2">
        <v>25</v>
      </c>
      <c r="K4590" s="3">
        <f t="shared" si="71"/>
        <v>750</v>
      </c>
      <c r="L4590" s="3">
        <v>450</v>
      </c>
    </row>
    <row r="4591" spans="1:12" x14ac:dyDescent="0.25">
      <c r="A4591" t="s">
        <v>19</v>
      </c>
      <c r="B4591">
        <v>1185732</v>
      </c>
      <c r="C4591" s="1">
        <v>44394</v>
      </c>
      <c r="D4591" t="s">
        <v>57</v>
      </c>
      <c r="E4591" t="s">
        <v>106</v>
      </c>
      <c r="F4591" t="s">
        <v>107</v>
      </c>
      <c r="G4591" t="s">
        <v>18</v>
      </c>
      <c r="H4591" t="s">
        <v>38</v>
      </c>
      <c r="I4591" s="3">
        <v>40</v>
      </c>
      <c r="J4591" s="2">
        <v>750</v>
      </c>
      <c r="K4591" s="3">
        <f t="shared" si="71"/>
        <v>30000</v>
      </c>
      <c r="L4591" s="3">
        <v>18000</v>
      </c>
    </row>
    <row r="4592" spans="1:12" x14ac:dyDescent="0.25">
      <c r="A4592" t="s">
        <v>36</v>
      </c>
      <c r="B4592">
        <v>1185732</v>
      </c>
      <c r="C4592" s="1">
        <v>44394</v>
      </c>
      <c r="D4592" t="s">
        <v>29</v>
      </c>
      <c r="E4592" t="s">
        <v>68</v>
      </c>
      <c r="F4592" t="s">
        <v>69</v>
      </c>
      <c r="G4592" t="s">
        <v>18</v>
      </c>
      <c r="H4592" t="s">
        <v>38</v>
      </c>
      <c r="I4592" s="3">
        <v>65</v>
      </c>
      <c r="J4592" s="2">
        <v>700</v>
      </c>
      <c r="K4592" s="3">
        <f t="shared" si="71"/>
        <v>45500</v>
      </c>
      <c r="L4592" s="3">
        <v>27300</v>
      </c>
    </row>
    <row r="4593" spans="1:12" x14ac:dyDescent="0.25">
      <c r="A4593" t="s">
        <v>36</v>
      </c>
      <c r="B4593">
        <v>1185732</v>
      </c>
      <c r="C4593" s="1">
        <v>44394</v>
      </c>
      <c r="D4593" t="s">
        <v>29</v>
      </c>
      <c r="E4593" t="s">
        <v>68</v>
      </c>
      <c r="F4593" t="s">
        <v>69</v>
      </c>
      <c r="G4593" t="s">
        <v>15</v>
      </c>
      <c r="H4593" t="s">
        <v>17</v>
      </c>
      <c r="I4593" s="3">
        <v>60.000000000000007</v>
      </c>
      <c r="J4593" s="2">
        <v>450</v>
      </c>
      <c r="K4593" s="3">
        <f t="shared" si="71"/>
        <v>27000.000000000004</v>
      </c>
      <c r="L4593" s="3">
        <v>16200.000000000004</v>
      </c>
    </row>
    <row r="4594" spans="1:12" x14ac:dyDescent="0.25">
      <c r="A4594" t="s">
        <v>19</v>
      </c>
      <c r="B4594">
        <v>1185732</v>
      </c>
      <c r="C4594" s="1">
        <v>44394</v>
      </c>
      <c r="D4594" t="s">
        <v>57</v>
      </c>
      <c r="E4594" t="s">
        <v>106</v>
      </c>
      <c r="F4594" t="s">
        <v>107</v>
      </c>
      <c r="G4594" t="s">
        <v>18</v>
      </c>
      <c r="H4594" t="s">
        <v>37</v>
      </c>
      <c r="I4594" s="3">
        <v>30.000000000000004</v>
      </c>
      <c r="J4594" s="2">
        <v>375</v>
      </c>
      <c r="K4594" s="3">
        <f t="shared" si="71"/>
        <v>11250.000000000002</v>
      </c>
      <c r="L4594" s="3">
        <v>6750</v>
      </c>
    </row>
    <row r="4595" spans="1:12" x14ac:dyDescent="0.25">
      <c r="A4595" t="s">
        <v>19</v>
      </c>
      <c r="B4595">
        <v>1185732</v>
      </c>
      <c r="C4595" s="1">
        <v>44394</v>
      </c>
      <c r="D4595" t="s">
        <v>57</v>
      </c>
      <c r="E4595" t="s">
        <v>95</v>
      </c>
      <c r="F4595" t="s">
        <v>96</v>
      </c>
      <c r="G4595" t="s">
        <v>15</v>
      </c>
      <c r="H4595" t="s">
        <v>16</v>
      </c>
      <c r="I4595" s="3">
        <v>55.000000000000007</v>
      </c>
      <c r="J4595" s="2">
        <v>375</v>
      </c>
      <c r="K4595" s="3">
        <f t="shared" si="71"/>
        <v>20625.000000000004</v>
      </c>
      <c r="L4595" s="3">
        <v>10312.500000000002</v>
      </c>
    </row>
    <row r="4596" spans="1:12" x14ac:dyDescent="0.25">
      <c r="A4596" t="s">
        <v>19</v>
      </c>
      <c r="B4596">
        <v>1185732</v>
      </c>
      <c r="C4596" s="1">
        <v>44394</v>
      </c>
      <c r="D4596" t="s">
        <v>57</v>
      </c>
      <c r="E4596" t="s">
        <v>106</v>
      </c>
      <c r="F4596" t="s">
        <v>107</v>
      </c>
      <c r="G4596" t="s">
        <v>18</v>
      </c>
      <c r="H4596" t="s">
        <v>16</v>
      </c>
      <c r="I4596" s="3">
        <v>45</v>
      </c>
      <c r="J4596" s="2">
        <v>550</v>
      </c>
      <c r="K4596" s="3">
        <f t="shared" si="71"/>
        <v>24750</v>
      </c>
      <c r="L4596" s="3">
        <v>12375</v>
      </c>
    </row>
    <row r="4597" spans="1:12" x14ac:dyDescent="0.25">
      <c r="A4597" t="s">
        <v>36</v>
      </c>
      <c r="B4597">
        <v>1185732</v>
      </c>
      <c r="C4597" s="1">
        <v>44394</v>
      </c>
      <c r="D4597" t="s">
        <v>29</v>
      </c>
      <c r="E4597" t="s">
        <v>68</v>
      </c>
      <c r="F4597" t="s">
        <v>69</v>
      </c>
      <c r="G4597" t="s">
        <v>15</v>
      </c>
      <c r="H4597" t="s">
        <v>37</v>
      </c>
      <c r="I4597" s="3">
        <v>39</v>
      </c>
      <c r="J4597" s="2">
        <v>107</v>
      </c>
      <c r="K4597" s="3">
        <f t="shared" si="71"/>
        <v>4173</v>
      </c>
      <c r="L4597" s="3">
        <v>2712.45</v>
      </c>
    </row>
    <row r="4598" spans="1:12" x14ac:dyDescent="0.25">
      <c r="A4598" t="s">
        <v>36</v>
      </c>
      <c r="B4598">
        <v>1185732</v>
      </c>
      <c r="C4598" s="1">
        <v>44394</v>
      </c>
      <c r="D4598" t="s">
        <v>29</v>
      </c>
      <c r="E4598" t="s">
        <v>68</v>
      </c>
      <c r="F4598" t="s">
        <v>69</v>
      </c>
      <c r="G4598" t="s">
        <v>15</v>
      </c>
      <c r="H4598" t="s">
        <v>35</v>
      </c>
      <c r="I4598" s="3">
        <v>37</v>
      </c>
      <c r="J4598" s="2">
        <v>128</v>
      </c>
      <c r="K4598" s="3">
        <f t="shared" si="71"/>
        <v>4736</v>
      </c>
      <c r="L4598" s="3">
        <v>3031.04</v>
      </c>
    </row>
    <row r="4599" spans="1:12" x14ac:dyDescent="0.25">
      <c r="A4599" t="s">
        <v>36</v>
      </c>
      <c r="B4599">
        <v>1185732</v>
      </c>
      <c r="C4599" s="1">
        <v>44394</v>
      </c>
      <c r="D4599" t="s">
        <v>29</v>
      </c>
      <c r="E4599" t="s">
        <v>68</v>
      </c>
      <c r="F4599" t="s">
        <v>69</v>
      </c>
      <c r="G4599" t="s">
        <v>15</v>
      </c>
      <c r="H4599" t="s">
        <v>22</v>
      </c>
      <c r="I4599" s="3">
        <v>47</v>
      </c>
      <c r="J4599" s="2">
        <v>119</v>
      </c>
      <c r="K4599" s="3">
        <f t="shared" si="71"/>
        <v>5593</v>
      </c>
      <c r="L4599" s="3">
        <v>3523.59</v>
      </c>
    </row>
    <row r="4600" spans="1:12" x14ac:dyDescent="0.25">
      <c r="A4600" t="s">
        <v>36</v>
      </c>
      <c r="B4600">
        <v>1185732</v>
      </c>
      <c r="C4600" s="1">
        <v>44394</v>
      </c>
      <c r="D4600" t="s">
        <v>29</v>
      </c>
      <c r="E4600" t="s">
        <v>68</v>
      </c>
      <c r="F4600" t="s">
        <v>69</v>
      </c>
      <c r="G4600" t="s">
        <v>15</v>
      </c>
      <c r="H4600" t="s">
        <v>16</v>
      </c>
      <c r="I4600" s="3">
        <v>47</v>
      </c>
      <c r="J4600" s="2">
        <v>163</v>
      </c>
      <c r="K4600" s="3">
        <f t="shared" si="71"/>
        <v>7661</v>
      </c>
      <c r="L4600" s="3">
        <v>4596.6000000000004</v>
      </c>
    </row>
    <row r="4601" spans="1:12" x14ac:dyDescent="0.25">
      <c r="A4601" t="s">
        <v>36</v>
      </c>
      <c r="B4601">
        <v>1185732</v>
      </c>
      <c r="C4601" s="1">
        <v>44394</v>
      </c>
      <c r="D4601" t="s">
        <v>29</v>
      </c>
      <c r="E4601" t="s">
        <v>68</v>
      </c>
      <c r="F4601" t="s">
        <v>69</v>
      </c>
      <c r="G4601" t="s">
        <v>41</v>
      </c>
      <c r="H4601" t="s">
        <v>35</v>
      </c>
      <c r="I4601" s="3">
        <v>54</v>
      </c>
      <c r="J4601" s="2">
        <v>109</v>
      </c>
      <c r="K4601" s="3">
        <f t="shared" si="71"/>
        <v>5886</v>
      </c>
      <c r="L4601" s="3">
        <v>3472.7400000000002</v>
      </c>
    </row>
    <row r="4602" spans="1:12" x14ac:dyDescent="0.25">
      <c r="A4602" t="s">
        <v>36</v>
      </c>
      <c r="B4602">
        <v>1185732</v>
      </c>
      <c r="C4602" s="1">
        <v>44394</v>
      </c>
      <c r="D4602" t="s">
        <v>29</v>
      </c>
      <c r="E4602" t="s">
        <v>68</v>
      </c>
      <c r="F4602" t="s">
        <v>69</v>
      </c>
      <c r="G4602" t="s">
        <v>41</v>
      </c>
      <c r="H4602" t="s">
        <v>22</v>
      </c>
      <c r="I4602" s="3">
        <v>60</v>
      </c>
      <c r="J4602" s="2">
        <v>102</v>
      </c>
      <c r="K4602" s="3">
        <f t="shared" si="71"/>
        <v>6120</v>
      </c>
      <c r="L4602" s="3">
        <v>3610.8</v>
      </c>
    </row>
    <row r="4603" spans="1:12" x14ac:dyDescent="0.25">
      <c r="A4603" t="s">
        <v>36</v>
      </c>
      <c r="B4603">
        <v>1185732</v>
      </c>
      <c r="C4603" s="1">
        <v>44394</v>
      </c>
      <c r="D4603" t="s">
        <v>29</v>
      </c>
      <c r="E4603" t="s">
        <v>68</v>
      </c>
      <c r="F4603" t="s">
        <v>69</v>
      </c>
      <c r="G4603" t="s">
        <v>15</v>
      </c>
      <c r="H4603" t="s">
        <v>38</v>
      </c>
      <c r="I4603" s="3">
        <v>49</v>
      </c>
      <c r="J4603" s="2">
        <v>224</v>
      </c>
      <c r="K4603" s="3">
        <f t="shared" si="71"/>
        <v>10976</v>
      </c>
      <c r="L4603" s="3">
        <v>6366.08</v>
      </c>
    </row>
    <row r="4604" spans="1:12" x14ac:dyDescent="0.25">
      <c r="A4604" t="s">
        <v>36</v>
      </c>
      <c r="B4604">
        <v>1185732</v>
      </c>
      <c r="C4604" s="1">
        <v>44394</v>
      </c>
      <c r="D4604" t="s">
        <v>29</v>
      </c>
      <c r="E4604" t="s">
        <v>68</v>
      </c>
      <c r="F4604" t="s">
        <v>69</v>
      </c>
      <c r="G4604" t="s">
        <v>41</v>
      </c>
      <c r="H4604" t="s">
        <v>37</v>
      </c>
      <c r="I4604" s="3">
        <v>53</v>
      </c>
      <c r="J4604" s="2">
        <v>85</v>
      </c>
      <c r="K4604" s="3">
        <f t="shared" si="71"/>
        <v>4505</v>
      </c>
      <c r="L4604" s="3">
        <v>2522.8000000000002</v>
      </c>
    </row>
    <row r="4605" spans="1:12" x14ac:dyDescent="0.25">
      <c r="A4605" t="s">
        <v>36</v>
      </c>
      <c r="B4605">
        <v>1185732</v>
      </c>
      <c r="C4605" s="1">
        <v>44394</v>
      </c>
      <c r="D4605" t="s">
        <v>29</v>
      </c>
      <c r="E4605" t="s">
        <v>68</v>
      </c>
      <c r="F4605" t="s">
        <v>69</v>
      </c>
      <c r="G4605" t="s">
        <v>15</v>
      </c>
      <c r="H4605" t="s">
        <v>17</v>
      </c>
      <c r="I4605" s="3">
        <v>47</v>
      </c>
      <c r="J4605" s="2">
        <v>149</v>
      </c>
      <c r="K4605" s="3">
        <f t="shared" si="71"/>
        <v>7003</v>
      </c>
      <c r="L4605" s="3">
        <v>3921.68</v>
      </c>
    </row>
    <row r="4606" spans="1:12" x14ac:dyDescent="0.25">
      <c r="A4606" t="s">
        <v>19</v>
      </c>
      <c r="B4606">
        <v>1185732</v>
      </c>
      <c r="C4606" s="1">
        <v>44394</v>
      </c>
      <c r="D4606" t="s">
        <v>57</v>
      </c>
      <c r="E4606" t="s">
        <v>106</v>
      </c>
      <c r="F4606" t="s">
        <v>107</v>
      </c>
      <c r="G4606" t="s">
        <v>41</v>
      </c>
      <c r="H4606" t="s">
        <v>35</v>
      </c>
      <c r="I4606" s="3">
        <v>29</v>
      </c>
      <c r="J4606" s="2">
        <v>128</v>
      </c>
      <c r="K4606" s="3">
        <f t="shared" si="71"/>
        <v>3712</v>
      </c>
      <c r="L4606" s="3">
        <v>2004.48</v>
      </c>
    </row>
    <row r="4607" spans="1:12" x14ac:dyDescent="0.25">
      <c r="A4607" t="s">
        <v>19</v>
      </c>
      <c r="B4607">
        <v>1185732</v>
      </c>
      <c r="C4607" s="1">
        <v>44394</v>
      </c>
      <c r="D4607" t="s">
        <v>57</v>
      </c>
      <c r="E4607" t="s">
        <v>106</v>
      </c>
      <c r="F4607" t="s">
        <v>107</v>
      </c>
      <c r="G4607" t="s">
        <v>41</v>
      </c>
      <c r="H4607" t="s">
        <v>17</v>
      </c>
      <c r="I4607" s="3">
        <v>33</v>
      </c>
      <c r="J4607" s="2">
        <v>130</v>
      </c>
      <c r="K4607" s="3">
        <f t="shared" si="71"/>
        <v>4290</v>
      </c>
      <c r="L4607" s="3">
        <v>2273.6999999999998</v>
      </c>
    </row>
    <row r="4608" spans="1:12" x14ac:dyDescent="0.25">
      <c r="A4608" t="s">
        <v>19</v>
      </c>
      <c r="B4608">
        <v>1185732</v>
      </c>
      <c r="C4608" s="1">
        <v>44394</v>
      </c>
      <c r="D4608" t="s">
        <v>57</v>
      </c>
      <c r="E4608" t="s">
        <v>106</v>
      </c>
      <c r="F4608" t="s">
        <v>107</v>
      </c>
      <c r="G4608" t="s">
        <v>41</v>
      </c>
      <c r="H4608" t="s">
        <v>22</v>
      </c>
      <c r="I4608" s="3">
        <v>37</v>
      </c>
      <c r="J4608" s="2">
        <v>94</v>
      </c>
      <c r="K4608" s="3">
        <f t="shared" si="71"/>
        <v>3478</v>
      </c>
      <c r="L4608" s="3">
        <v>1773.78</v>
      </c>
    </row>
    <row r="4609" spans="1:12" x14ac:dyDescent="0.25">
      <c r="A4609" t="s">
        <v>36</v>
      </c>
      <c r="B4609">
        <v>1185732</v>
      </c>
      <c r="C4609" s="1">
        <v>44394</v>
      </c>
      <c r="D4609" t="s">
        <v>29</v>
      </c>
      <c r="E4609" t="s">
        <v>68</v>
      </c>
      <c r="F4609" t="s">
        <v>69</v>
      </c>
      <c r="G4609" t="s">
        <v>41</v>
      </c>
      <c r="H4609" t="s">
        <v>16</v>
      </c>
      <c r="I4609" s="3">
        <v>64</v>
      </c>
      <c r="J4609" s="2">
        <v>137</v>
      </c>
      <c r="K4609" s="3">
        <f t="shared" si="71"/>
        <v>8768</v>
      </c>
      <c r="L4609" s="3">
        <v>4471.68</v>
      </c>
    </row>
    <row r="4610" spans="1:12" x14ac:dyDescent="0.25">
      <c r="A4610" t="s">
        <v>36</v>
      </c>
      <c r="B4610">
        <v>1185732</v>
      </c>
      <c r="C4610" s="1">
        <v>44394</v>
      </c>
      <c r="D4610" t="s">
        <v>29</v>
      </c>
      <c r="E4610" t="s">
        <v>68</v>
      </c>
      <c r="F4610" t="s">
        <v>69</v>
      </c>
      <c r="G4610" t="s">
        <v>41</v>
      </c>
      <c r="H4610" t="s">
        <v>17</v>
      </c>
      <c r="I4610" s="3">
        <v>55</v>
      </c>
      <c r="J4610" s="2">
        <v>131</v>
      </c>
      <c r="K4610" s="3">
        <f t="shared" si="71"/>
        <v>7205</v>
      </c>
      <c r="L4610" s="3">
        <v>3602.5</v>
      </c>
    </row>
    <row r="4611" spans="1:12" x14ac:dyDescent="0.25">
      <c r="A4611" t="s">
        <v>19</v>
      </c>
      <c r="B4611">
        <v>1185732</v>
      </c>
      <c r="C4611" s="1">
        <v>44394</v>
      </c>
      <c r="D4611" t="s">
        <v>57</v>
      </c>
      <c r="E4611" t="s">
        <v>118</v>
      </c>
      <c r="F4611" t="s">
        <v>119</v>
      </c>
      <c r="G4611" t="s">
        <v>41</v>
      </c>
      <c r="H4611" t="s">
        <v>37</v>
      </c>
      <c r="I4611" s="3">
        <v>29</v>
      </c>
      <c r="J4611" s="2">
        <v>7</v>
      </c>
      <c r="K4611" s="3">
        <f t="shared" ref="K4611:K4674" si="72">I4611*J4611</f>
        <v>203</v>
      </c>
      <c r="L4611" s="3">
        <v>95.41</v>
      </c>
    </row>
    <row r="4612" spans="1:12" x14ac:dyDescent="0.25">
      <c r="A4612" t="s">
        <v>19</v>
      </c>
      <c r="B4612">
        <v>1185732</v>
      </c>
      <c r="C4612" s="1">
        <v>44394</v>
      </c>
      <c r="D4612" t="s">
        <v>57</v>
      </c>
      <c r="E4612" t="s">
        <v>106</v>
      </c>
      <c r="F4612" t="s">
        <v>107</v>
      </c>
      <c r="G4612" t="s">
        <v>41</v>
      </c>
      <c r="H4612" t="s">
        <v>37</v>
      </c>
      <c r="I4612" s="3">
        <v>29</v>
      </c>
      <c r="J4612" s="2">
        <v>101</v>
      </c>
      <c r="K4612" s="3">
        <f t="shared" si="72"/>
        <v>2929</v>
      </c>
      <c r="L4612" s="3">
        <v>1376.6299999999999</v>
      </c>
    </row>
    <row r="4613" spans="1:12" x14ac:dyDescent="0.25">
      <c r="A4613" t="s">
        <v>36</v>
      </c>
      <c r="B4613">
        <v>1185732</v>
      </c>
      <c r="C4613" s="1">
        <v>44394</v>
      </c>
      <c r="D4613" t="s">
        <v>29</v>
      </c>
      <c r="E4613" t="s">
        <v>68</v>
      </c>
      <c r="F4613" t="s">
        <v>69</v>
      </c>
      <c r="G4613" t="s">
        <v>41</v>
      </c>
      <c r="H4613" t="s">
        <v>38</v>
      </c>
      <c r="I4613" s="3">
        <v>64</v>
      </c>
      <c r="J4613" s="2">
        <v>196</v>
      </c>
      <c r="K4613" s="3">
        <f t="shared" si="72"/>
        <v>12544</v>
      </c>
      <c r="L4613" s="3">
        <v>5895.6799999999994</v>
      </c>
    </row>
    <row r="4614" spans="1:12" x14ac:dyDescent="0.25">
      <c r="A4614" t="s">
        <v>19</v>
      </c>
      <c r="B4614">
        <v>1185732</v>
      </c>
      <c r="C4614" s="1">
        <v>44394</v>
      </c>
      <c r="D4614" t="s">
        <v>57</v>
      </c>
      <c r="E4614" t="s">
        <v>106</v>
      </c>
      <c r="F4614" t="s">
        <v>107</v>
      </c>
      <c r="G4614" t="s">
        <v>41</v>
      </c>
      <c r="H4614" t="s">
        <v>38</v>
      </c>
      <c r="I4614" s="3">
        <v>36</v>
      </c>
      <c r="J4614" s="2">
        <v>203</v>
      </c>
      <c r="K4614" s="3">
        <f t="shared" si="72"/>
        <v>7308</v>
      </c>
      <c r="L4614" s="3">
        <v>3288.5999999999995</v>
      </c>
    </row>
    <row r="4615" spans="1:12" x14ac:dyDescent="0.25">
      <c r="A4615" t="s">
        <v>19</v>
      </c>
      <c r="B4615">
        <v>1185732</v>
      </c>
      <c r="C4615" s="1">
        <v>44394</v>
      </c>
      <c r="D4615" t="s">
        <v>57</v>
      </c>
      <c r="E4615" t="s">
        <v>106</v>
      </c>
      <c r="F4615" t="s">
        <v>107</v>
      </c>
      <c r="G4615" t="s">
        <v>41</v>
      </c>
      <c r="H4615" t="s">
        <v>16</v>
      </c>
      <c r="I4615" s="3">
        <v>41</v>
      </c>
      <c r="J4615" s="2">
        <v>160</v>
      </c>
      <c r="K4615" s="3">
        <f t="shared" si="72"/>
        <v>6560</v>
      </c>
      <c r="L4615" s="3">
        <v>2558.4</v>
      </c>
    </row>
    <row r="4616" spans="1:12" x14ac:dyDescent="0.25">
      <c r="A4616" t="s">
        <v>19</v>
      </c>
      <c r="B4616">
        <v>1185732</v>
      </c>
      <c r="C4616" s="1">
        <v>44394</v>
      </c>
      <c r="D4616" t="s">
        <v>57</v>
      </c>
      <c r="E4616" t="s">
        <v>95</v>
      </c>
      <c r="F4616" t="s">
        <v>96</v>
      </c>
      <c r="G4616" t="s">
        <v>41</v>
      </c>
      <c r="H4616" t="s">
        <v>16</v>
      </c>
      <c r="I4616" s="3">
        <v>50</v>
      </c>
      <c r="J4616" s="2">
        <v>94</v>
      </c>
      <c r="K4616" s="3">
        <f t="shared" si="72"/>
        <v>4700</v>
      </c>
      <c r="L4616" s="3">
        <v>1645</v>
      </c>
    </row>
    <row r="4617" spans="1:12" x14ac:dyDescent="0.25">
      <c r="A4617" t="s">
        <v>19</v>
      </c>
      <c r="B4617">
        <v>1185732</v>
      </c>
      <c r="C4617" s="1">
        <v>44395</v>
      </c>
      <c r="D4617" t="s">
        <v>57</v>
      </c>
      <c r="E4617" t="s">
        <v>118</v>
      </c>
      <c r="F4617" t="s">
        <v>119</v>
      </c>
      <c r="G4617" t="s">
        <v>15</v>
      </c>
      <c r="H4617" t="s">
        <v>22</v>
      </c>
      <c r="I4617" s="3">
        <v>40</v>
      </c>
      <c r="J4617" s="2">
        <v>25</v>
      </c>
      <c r="K4617" s="3">
        <f t="shared" si="72"/>
        <v>1000</v>
      </c>
      <c r="L4617" s="3">
        <v>650</v>
      </c>
    </row>
    <row r="4618" spans="1:12" x14ac:dyDescent="0.25">
      <c r="A4618" t="s">
        <v>19</v>
      </c>
      <c r="B4618">
        <v>1185732</v>
      </c>
      <c r="C4618" s="1">
        <v>44395</v>
      </c>
      <c r="D4618" t="s">
        <v>57</v>
      </c>
      <c r="E4618" t="s">
        <v>95</v>
      </c>
      <c r="F4618" t="s">
        <v>96</v>
      </c>
      <c r="G4618" t="s">
        <v>15</v>
      </c>
      <c r="H4618" t="s">
        <v>38</v>
      </c>
      <c r="I4618" s="3">
        <v>50</v>
      </c>
      <c r="J4618" s="2">
        <v>500</v>
      </c>
      <c r="K4618" s="3">
        <f t="shared" si="72"/>
        <v>25000</v>
      </c>
      <c r="L4618" s="3">
        <v>15000</v>
      </c>
    </row>
    <row r="4619" spans="1:12" x14ac:dyDescent="0.25">
      <c r="A4619" t="s">
        <v>19</v>
      </c>
      <c r="B4619">
        <v>1185732</v>
      </c>
      <c r="C4619" s="1">
        <v>44395</v>
      </c>
      <c r="D4619" t="s">
        <v>57</v>
      </c>
      <c r="E4619" t="s">
        <v>118</v>
      </c>
      <c r="F4619" t="s">
        <v>119</v>
      </c>
      <c r="G4619" t="s">
        <v>41</v>
      </c>
      <c r="H4619" t="s">
        <v>22</v>
      </c>
      <c r="I4619" s="3">
        <v>37</v>
      </c>
      <c r="J4619" s="2">
        <v>7</v>
      </c>
      <c r="K4619" s="3">
        <f t="shared" si="72"/>
        <v>259</v>
      </c>
      <c r="L4619" s="3">
        <v>134.68</v>
      </c>
    </row>
    <row r="4620" spans="1:12" x14ac:dyDescent="0.25">
      <c r="A4620" t="s">
        <v>19</v>
      </c>
      <c r="B4620">
        <v>1185732</v>
      </c>
      <c r="C4620" s="1">
        <v>44395</v>
      </c>
      <c r="D4620" t="s">
        <v>57</v>
      </c>
      <c r="E4620" t="s">
        <v>95</v>
      </c>
      <c r="F4620" t="s">
        <v>96</v>
      </c>
      <c r="G4620" t="s">
        <v>41</v>
      </c>
      <c r="H4620" t="s">
        <v>38</v>
      </c>
      <c r="I4620" s="3">
        <v>47</v>
      </c>
      <c r="J4620" s="2">
        <v>135</v>
      </c>
      <c r="K4620" s="3">
        <f t="shared" si="72"/>
        <v>6345</v>
      </c>
      <c r="L4620" s="3">
        <v>3172.5</v>
      </c>
    </row>
    <row r="4621" spans="1:12" x14ac:dyDescent="0.25">
      <c r="A4621" t="s">
        <v>19</v>
      </c>
      <c r="B4621">
        <v>1185732</v>
      </c>
      <c r="C4621" s="1">
        <v>44396</v>
      </c>
      <c r="D4621" t="s">
        <v>57</v>
      </c>
      <c r="E4621" t="s">
        <v>95</v>
      </c>
      <c r="F4621" t="s">
        <v>96</v>
      </c>
      <c r="G4621" t="s">
        <v>15</v>
      </c>
      <c r="H4621" t="s">
        <v>17</v>
      </c>
      <c r="I4621" s="3">
        <v>45.000000000000007</v>
      </c>
      <c r="J4621" s="2">
        <v>300</v>
      </c>
      <c r="K4621" s="3">
        <f t="shared" si="72"/>
        <v>13500.000000000002</v>
      </c>
      <c r="L4621" s="3">
        <v>8775.0000000000036</v>
      </c>
    </row>
    <row r="4622" spans="1:12" x14ac:dyDescent="0.25">
      <c r="A4622" t="s">
        <v>23</v>
      </c>
      <c r="B4622">
        <v>1197831</v>
      </c>
      <c r="C4622" s="1">
        <v>44396</v>
      </c>
      <c r="D4622" t="s">
        <v>52</v>
      </c>
      <c r="E4622" t="s">
        <v>114</v>
      </c>
      <c r="F4622" t="s">
        <v>115</v>
      </c>
      <c r="G4622" t="s">
        <v>41</v>
      </c>
      <c r="H4622" t="s">
        <v>17</v>
      </c>
      <c r="I4622" s="3">
        <v>50</v>
      </c>
      <c r="J4622" s="2">
        <v>525</v>
      </c>
      <c r="K4622" s="3">
        <f t="shared" si="72"/>
        <v>26250</v>
      </c>
      <c r="L4622" s="3">
        <v>17062.5</v>
      </c>
    </row>
    <row r="4623" spans="1:12" x14ac:dyDescent="0.25">
      <c r="A4623" t="s">
        <v>23</v>
      </c>
      <c r="B4623">
        <v>1197831</v>
      </c>
      <c r="C4623" s="1">
        <v>44396</v>
      </c>
      <c r="D4623" t="s">
        <v>52</v>
      </c>
      <c r="E4623" t="s">
        <v>114</v>
      </c>
      <c r="F4623" t="s">
        <v>115</v>
      </c>
      <c r="G4623" t="s">
        <v>41</v>
      </c>
      <c r="H4623" t="s">
        <v>22</v>
      </c>
      <c r="I4623" s="3">
        <v>60</v>
      </c>
      <c r="J4623" s="2">
        <v>425</v>
      </c>
      <c r="K4623" s="3">
        <f t="shared" si="72"/>
        <v>25500</v>
      </c>
      <c r="L4623" s="3">
        <v>16575</v>
      </c>
    </row>
    <row r="4624" spans="1:12" x14ac:dyDescent="0.25">
      <c r="A4624" t="s">
        <v>11</v>
      </c>
      <c r="B4624">
        <v>1197831</v>
      </c>
      <c r="C4624" s="1">
        <v>44396</v>
      </c>
      <c r="D4624" t="s">
        <v>52</v>
      </c>
      <c r="E4624" t="s">
        <v>116</v>
      </c>
      <c r="F4624" t="s">
        <v>117</v>
      </c>
      <c r="G4624" t="s">
        <v>41</v>
      </c>
      <c r="H4624" t="s">
        <v>17</v>
      </c>
      <c r="I4624" s="3">
        <v>50</v>
      </c>
      <c r="J4624" s="2">
        <v>450</v>
      </c>
      <c r="K4624" s="3">
        <f t="shared" si="72"/>
        <v>22500</v>
      </c>
      <c r="L4624" s="3">
        <v>14625</v>
      </c>
    </row>
    <row r="4625" spans="1:12" x14ac:dyDescent="0.25">
      <c r="A4625" t="s">
        <v>11</v>
      </c>
      <c r="B4625">
        <v>1197831</v>
      </c>
      <c r="C4625" s="1">
        <v>44396</v>
      </c>
      <c r="D4625" t="s">
        <v>52</v>
      </c>
      <c r="E4625" t="s">
        <v>116</v>
      </c>
      <c r="F4625" t="s">
        <v>117</v>
      </c>
      <c r="G4625" t="s">
        <v>41</v>
      </c>
      <c r="H4625" t="s">
        <v>22</v>
      </c>
      <c r="I4625" s="3">
        <v>60</v>
      </c>
      <c r="J4625" s="2">
        <v>350</v>
      </c>
      <c r="K4625" s="3">
        <f t="shared" si="72"/>
        <v>21000</v>
      </c>
      <c r="L4625" s="3">
        <v>13650</v>
      </c>
    </row>
    <row r="4626" spans="1:12" x14ac:dyDescent="0.25">
      <c r="A4626" t="s">
        <v>23</v>
      </c>
      <c r="B4626">
        <v>1197831</v>
      </c>
      <c r="C4626" s="1">
        <v>44396</v>
      </c>
      <c r="D4626" t="s">
        <v>52</v>
      </c>
      <c r="E4626" t="s">
        <v>114</v>
      </c>
      <c r="F4626" t="s">
        <v>115</v>
      </c>
      <c r="G4626" t="s">
        <v>41</v>
      </c>
      <c r="H4626" t="s">
        <v>35</v>
      </c>
      <c r="I4626" s="3">
        <v>45</v>
      </c>
      <c r="J4626" s="2">
        <v>450</v>
      </c>
      <c r="K4626" s="3">
        <f t="shared" si="72"/>
        <v>20250</v>
      </c>
      <c r="L4626" s="3">
        <v>12150</v>
      </c>
    </row>
    <row r="4627" spans="1:12" x14ac:dyDescent="0.25">
      <c r="A4627" t="s">
        <v>23</v>
      </c>
      <c r="B4627">
        <v>1197831</v>
      </c>
      <c r="C4627" s="1">
        <v>44396</v>
      </c>
      <c r="D4627" t="s">
        <v>52</v>
      </c>
      <c r="E4627" t="s">
        <v>114</v>
      </c>
      <c r="F4627" t="s">
        <v>115</v>
      </c>
      <c r="G4627" t="s">
        <v>41</v>
      </c>
      <c r="H4627" t="s">
        <v>37</v>
      </c>
      <c r="I4627" s="3">
        <v>45</v>
      </c>
      <c r="J4627" s="2">
        <v>400</v>
      </c>
      <c r="K4627" s="3">
        <f t="shared" si="72"/>
        <v>18000</v>
      </c>
      <c r="L4627" s="3">
        <v>10800</v>
      </c>
    </row>
    <row r="4628" spans="1:12" x14ac:dyDescent="0.25">
      <c r="A4628" t="s">
        <v>23</v>
      </c>
      <c r="B4628">
        <v>1197831</v>
      </c>
      <c r="C4628" s="1">
        <v>44396</v>
      </c>
      <c r="D4628" t="s">
        <v>52</v>
      </c>
      <c r="E4628" t="s">
        <v>114</v>
      </c>
      <c r="F4628" t="s">
        <v>115</v>
      </c>
      <c r="G4628" t="s">
        <v>41</v>
      </c>
      <c r="H4628" t="s">
        <v>16</v>
      </c>
      <c r="I4628" s="3">
        <v>65</v>
      </c>
      <c r="J4628" s="2">
        <v>600</v>
      </c>
      <c r="K4628" s="3">
        <f t="shared" si="72"/>
        <v>39000</v>
      </c>
      <c r="L4628" s="3">
        <v>23400</v>
      </c>
    </row>
    <row r="4629" spans="1:12" x14ac:dyDescent="0.25">
      <c r="A4629" t="s">
        <v>11</v>
      </c>
      <c r="B4629">
        <v>1197831</v>
      </c>
      <c r="C4629" s="1">
        <v>44396</v>
      </c>
      <c r="D4629" t="s">
        <v>52</v>
      </c>
      <c r="E4629" t="s">
        <v>116</v>
      </c>
      <c r="F4629" t="s">
        <v>117</v>
      </c>
      <c r="G4629" t="s">
        <v>41</v>
      </c>
      <c r="H4629" t="s">
        <v>38</v>
      </c>
      <c r="I4629" s="3">
        <v>54.999999999999993</v>
      </c>
      <c r="J4629" s="2">
        <v>700</v>
      </c>
      <c r="K4629" s="3">
        <f t="shared" si="72"/>
        <v>38499.999999999993</v>
      </c>
      <c r="L4629" s="3">
        <v>23099.999999999996</v>
      </c>
    </row>
    <row r="4630" spans="1:12" x14ac:dyDescent="0.25">
      <c r="A4630" t="s">
        <v>11</v>
      </c>
      <c r="B4630">
        <v>1197831</v>
      </c>
      <c r="C4630" s="1">
        <v>44396</v>
      </c>
      <c r="D4630" t="s">
        <v>52</v>
      </c>
      <c r="E4630" t="s">
        <v>116</v>
      </c>
      <c r="F4630" t="s">
        <v>117</v>
      </c>
      <c r="G4630" t="s">
        <v>41</v>
      </c>
      <c r="H4630" t="s">
        <v>35</v>
      </c>
      <c r="I4630" s="3">
        <v>45</v>
      </c>
      <c r="J4630" s="2">
        <v>375</v>
      </c>
      <c r="K4630" s="3">
        <f t="shared" si="72"/>
        <v>16875</v>
      </c>
      <c r="L4630" s="3">
        <v>10125</v>
      </c>
    </row>
    <row r="4631" spans="1:12" x14ac:dyDescent="0.25">
      <c r="A4631" t="s">
        <v>11</v>
      </c>
      <c r="B4631">
        <v>1197831</v>
      </c>
      <c r="C4631" s="1">
        <v>44396</v>
      </c>
      <c r="D4631" t="s">
        <v>52</v>
      </c>
      <c r="E4631" t="s">
        <v>116</v>
      </c>
      <c r="F4631" t="s">
        <v>117</v>
      </c>
      <c r="G4631" t="s">
        <v>41</v>
      </c>
      <c r="H4631" t="s">
        <v>37</v>
      </c>
      <c r="I4631" s="3">
        <v>45</v>
      </c>
      <c r="J4631" s="2">
        <v>325</v>
      </c>
      <c r="K4631" s="3">
        <f t="shared" si="72"/>
        <v>14625</v>
      </c>
      <c r="L4631" s="3">
        <v>8775</v>
      </c>
    </row>
    <row r="4632" spans="1:12" x14ac:dyDescent="0.25">
      <c r="A4632" t="s">
        <v>11</v>
      </c>
      <c r="B4632">
        <v>1197831</v>
      </c>
      <c r="C4632" s="1">
        <v>44396</v>
      </c>
      <c r="D4632" t="s">
        <v>52</v>
      </c>
      <c r="E4632" t="s">
        <v>116</v>
      </c>
      <c r="F4632" t="s">
        <v>117</v>
      </c>
      <c r="G4632" t="s">
        <v>41</v>
      </c>
      <c r="H4632" t="s">
        <v>16</v>
      </c>
      <c r="I4632" s="3">
        <v>65</v>
      </c>
      <c r="J4632" s="2">
        <v>525</v>
      </c>
      <c r="K4632" s="3">
        <f t="shared" si="72"/>
        <v>34125</v>
      </c>
      <c r="L4632" s="3">
        <v>20475</v>
      </c>
    </row>
    <row r="4633" spans="1:12" x14ac:dyDescent="0.25">
      <c r="A4633" t="s">
        <v>23</v>
      </c>
      <c r="B4633">
        <v>1197831</v>
      </c>
      <c r="C4633" s="1">
        <v>44396</v>
      </c>
      <c r="D4633" t="s">
        <v>52</v>
      </c>
      <c r="E4633" t="s">
        <v>114</v>
      </c>
      <c r="F4633" t="s">
        <v>115</v>
      </c>
      <c r="G4633" t="s">
        <v>41</v>
      </c>
      <c r="H4633" t="s">
        <v>38</v>
      </c>
      <c r="I4633" s="3">
        <v>54.999999999999993</v>
      </c>
      <c r="J4633" s="2">
        <v>775</v>
      </c>
      <c r="K4633" s="3">
        <f t="shared" si="72"/>
        <v>42624.999999999993</v>
      </c>
      <c r="L4633" s="3">
        <v>25574.999999999993</v>
      </c>
    </row>
    <row r="4634" spans="1:12" x14ac:dyDescent="0.25">
      <c r="A4634" t="s">
        <v>19</v>
      </c>
      <c r="B4634">
        <v>1185732</v>
      </c>
      <c r="C4634" s="1">
        <v>44396</v>
      </c>
      <c r="D4634" t="s">
        <v>57</v>
      </c>
      <c r="E4634" t="s">
        <v>118</v>
      </c>
      <c r="F4634" t="s">
        <v>119</v>
      </c>
      <c r="G4634" t="s">
        <v>15</v>
      </c>
      <c r="H4634" t="s">
        <v>16</v>
      </c>
      <c r="I4634" s="3">
        <v>44.999999999999993</v>
      </c>
      <c r="J4634" s="2">
        <v>150</v>
      </c>
      <c r="K4634" s="3">
        <f t="shared" si="72"/>
        <v>6749.9999999999991</v>
      </c>
      <c r="L4634" s="3">
        <v>3374.9999999999991</v>
      </c>
    </row>
    <row r="4635" spans="1:12" x14ac:dyDescent="0.25">
      <c r="A4635" t="s">
        <v>23</v>
      </c>
      <c r="B4635">
        <v>1197831</v>
      </c>
      <c r="C4635" s="1">
        <v>44396</v>
      </c>
      <c r="D4635" t="s">
        <v>52</v>
      </c>
      <c r="E4635" t="s">
        <v>114</v>
      </c>
      <c r="F4635" t="s">
        <v>115</v>
      </c>
      <c r="G4635" t="s">
        <v>15</v>
      </c>
      <c r="H4635" t="s">
        <v>17</v>
      </c>
      <c r="I4635" s="3">
        <v>36</v>
      </c>
      <c r="J4635" s="2">
        <v>163</v>
      </c>
      <c r="K4635" s="3">
        <f t="shared" si="72"/>
        <v>5868</v>
      </c>
      <c r="L4635" s="3">
        <v>3696.84</v>
      </c>
    </row>
    <row r="4636" spans="1:12" x14ac:dyDescent="0.25">
      <c r="A4636" t="s">
        <v>11</v>
      </c>
      <c r="B4636">
        <v>1197831</v>
      </c>
      <c r="C4636" s="1">
        <v>44396</v>
      </c>
      <c r="D4636" t="s">
        <v>52</v>
      </c>
      <c r="E4636" t="s">
        <v>116</v>
      </c>
      <c r="F4636" t="s">
        <v>117</v>
      </c>
      <c r="G4636" t="s">
        <v>15</v>
      </c>
      <c r="H4636" t="s">
        <v>17</v>
      </c>
      <c r="I4636" s="3">
        <v>35</v>
      </c>
      <c r="J4636" s="2">
        <v>135</v>
      </c>
      <c r="K4636" s="3">
        <f t="shared" si="72"/>
        <v>4725</v>
      </c>
      <c r="L4636" s="3">
        <v>2929.5</v>
      </c>
    </row>
    <row r="4637" spans="1:12" x14ac:dyDescent="0.25">
      <c r="A4637" t="s">
        <v>23</v>
      </c>
      <c r="B4637">
        <v>1197831</v>
      </c>
      <c r="C4637" s="1">
        <v>44396</v>
      </c>
      <c r="D4637" t="s">
        <v>52</v>
      </c>
      <c r="E4637" t="s">
        <v>114</v>
      </c>
      <c r="F4637" t="s">
        <v>115</v>
      </c>
      <c r="G4637" t="s">
        <v>15</v>
      </c>
      <c r="H4637" t="s">
        <v>22</v>
      </c>
      <c r="I4637" s="3">
        <v>40</v>
      </c>
      <c r="J4637" s="2">
        <v>149</v>
      </c>
      <c r="K4637" s="3">
        <f t="shared" si="72"/>
        <v>5960</v>
      </c>
      <c r="L4637" s="3">
        <v>3576</v>
      </c>
    </row>
    <row r="4638" spans="1:12" x14ac:dyDescent="0.25">
      <c r="A4638" t="s">
        <v>11</v>
      </c>
      <c r="B4638">
        <v>1197831</v>
      </c>
      <c r="C4638" s="1">
        <v>44396</v>
      </c>
      <c r="D4638" t="s">
        <v>52</v>
      </c>
      <c r="E4638" t="s">
        <v>116</v>
      </c>
      <c r="F4638" t="s">
        <v>117</v>
      </c>
      <c r="G4638" t="s">
        <v>15</v>
      </c>
      <c r="H4638" t="s">
        <v>22</v>
      </c>
      <c r="I4638" s="3">
        <v>43</v>
      </c>
      <c r="J4638" s="2">
        <v>116</v>
      </c>
      <c r="K4638" s="3">
        <f t="shared" si="72"/>
        <v>4988</v>
      </c>
      <c r="L4638" s="3">
        <v>2942.92</v>
      </c>
    </row>
    <row r="4639" spans="1:12" x14ac:dyDescent="0.25">
      <c r="A4639" t="s">
        <v>23</v>
      </c>
      <c r="B4639">
        <v>1197831</v>
      </c>
      <c r="C4639" s="1">
        <v>44396</v>
      </c>
      <c r="D4639" t="s">
        <v>52</v>
      </c>
      <c r="E4639" t="s">
        <v>114</v>
      </c>
      <c r="F4639" t="s">
        <v>115</v>
      </c>
      <c r="G4639" t="s">
        <v>15</v>
      </c>
      <c r="H4639" t="s">
        <v>38</v>
      </c>
      <c r="I4639" s="3">
        <v>39</v>
      </c>
      <c r="J4639" s="2">
        <v>271</v>
      </c>
      <c r="K4639" s="3">
        <f t="shared" si="72"/>
        <v>10569</v>
      </c>
      <c r="L4639" s="3">
        <v>6130.0199999999995</v>
      </c>
    </row>
    <row r="4640" spans="1:12" x14ac:dyDescent="0.25">
      <c r="A4640" t="s">
        <v>11</v>
      </c>
      <c r="B4640">
        <v>1197831</v>
      </c>
      <c r="C4640" s="1">
        <v>44396</v>
      </c>
      <c r="D4640" t="s">
        <v>52</v>
      </c>
      <c r="E4640" t="s">
        <v>116</v>
      </c>
      <c r="F4640" t="s">
        <v>117</v>
      </c>
      <c r="G4640" t="s">
        <v>15</v>
      </c>
      <c r="H4640" t="s">
        <v>38</v>
      </c>
      <c r="I4640" s="3">
        <v>43</v>
      </c>
      <c r="J4640" s="2">
        <v>238</v>
      </c>
      <c r="K4640" s="3">
        <f t="shared" si="72"/>
        <v>10234</v>
      </c>
      <c r="L4640" s="3">
        <v>5935.7199999999993</v>
      </c>
    </row>
    <row r="4641" spans="1:12" x14ac:dyDescent="0.25">
      <c r="A4641" t="s">
        <v>23</v>
      </c>
      <c r="B4641">
        <v>1197831</v>
      </c>
      <c r="C4641" s="1">
        <v>44396</v>
      </c>
      <c r="D4641" t="s">
        <v>52</v>
      </c>
      <c r="E4641" t="s">
        <v>114</v>
      </c>
      <c r="F4641" t="s">
        <v>115</v>
      </c>
      <c r="G4641" t="s">
        <v>15</v>
      </c>
      <c r="H4641" t="s">
        <v>37</v>
      </c>
      <c r="I4641" s="3">
        <v>35</v>
      </c>
      <c r="J4641" s="2">
        <v>120</v>
      </c>
      <c r="K4641" s="3">
        <f t="shared" si="72"/>
        <v>4200</v>
      </c>
      <c r="L4641" s="3">
        <v>2394</v>
      </c>
    </row>
    <row r="4642" spans="1:12" x14ac:dyDescent="0.25">
      <c r="A4642" t="s">
        <v>11</v>
      </c>
      <c r="B4642">
        <v>1197831</v>
      </c>
      <c r="C4642" s="1">
        <v>44396</v>
      </c>
      <c r="D4642" t="s">
        <v>52</v>
      </c>
      <c r="E4642" t="s">
        <v>116</v>
      </c>
      <c r="F4642" t="s">
        <v>117</v>
      </c>
      <c r="G4642" t="s">
        <v>15</v>
      </c>
      <c r="H4642" t="s">
        <v>35</v>
      </c>
      <c r="I4642" s="3">
        <v>33</v>
      </c>
      <c r="J4642" s="2">
        <v>131</v>
      </c>
      <c r="K4642" s="3">
        <f t="shared" si="72"/>
        <v>4323</v>
      </c>
      <c r="L4642" s="3">
        <v>2464.1099999999997</v>
      </c>
    </row>
    <row r="4643" spans="1:12" x14ac:dyDescent="0.25">
      <c r="A4643" t="s">
        <v>23</v>
      </c>
      <c r="B4643">
        <v>1197831</v>
      </c>
      <c r="C4643" s="1">
        <v>44396</v>
      </c>
      <c r="D4643" t="s">
        <v>52</v>
      </c>
      <c r="E4643" t="s">
        <v>114</v>
      </c>
      <c r="F4643" t="s">
        <v>115</v>
      </c>
      <c r="G4643" t="s">
        <v>15</v>
      </c>
      <c r="H4643" t="s">
        <v>35</v>
      </c>
      <c r="I4643" s="3">
        <v>32</v>
      </c>
      <c r="J4643" s="2">
        <v>140</v>
      </c>
      <c r="K4643" s="3">
        <f t="shared" si="72"/>
        <v>4480</v>
      </c>
      <c r="L4643" s="3">
        <v>2508.8000000000002</v>
      </c>
    </row>
    <row r="4644" spans="1:12" x14ac:dyDescent="0.25">
      <c r="A4644" t="s">
        <v>23</v>
      </c>
      <c r="B4644">
        <v>1197831</v>
      </c>
      <c r="C4644" s="1">
        <v>44396</v>
      </c>
      <c r="D4644" t="s">
        <v>52</v>
      </c>
      <c r="E4644" t="s">
        <v>114</v>
      </c>
      <c r="F4644" t="s">
        <v>115</v>
      </c>
      <c r="G4644" t="s">
        <v>41</v>
      </c>
      <c r="H4644" t="s">
        <v>17</v>
      </c>
      <c r="I4644" s="3">
        <v>47</v>
      </c>
      <c r="J4644" s="2">
        <v>147</v>
      </c>
      <c r="K4644" s="3">
        <f t="shared" si="72"/>
        <v>6909</v>
      </c>
      <c r="L4644" s="3">
        <v>3799.9500000000003</v>
      </c>
    </row>
    <row r="4645" spans="1:12" x14ac:dyDescent="0.25">
      <c r="A4645" t="s">
        <v>11</v>
      </c>
      <c r="B4645">
        <v>1197831</v>
      </c>
      <c r="C4645" s="1">
        <v>44396</v>
      </c>
      <c r="D4645" t="s">
        <v>52</v>
      </c>
      <c r="E4645" t="s">
        <v>116</v>
      </c>
      <c r="F4645" t="s">
        <v>117</v>
      </c>
      <c r="G4645" t="s">
        <v>41</v>
      </c>
      <c r="H4645" t="s">
        <v>22</v>
      </c>
      <c r="I4645" s="3">
        <v>59</v>
      </c>
      <c r="J4645" s="2">
        <v>98</v>
      </c>
      <c r="K4645" s="3">
        <f t="shared" si="72"/>
        <v>5782</v>
      </c>
      <c r="L4645" s="3">
        <v>3122.28</v>
      </c>
    </row>
    <row r="4646" spans="1:12" x14ac:dyDescent="0.25">
      <c r="A4646" t="s">
        <v>23</v>
      </c>
      <c r="B4646">
        <v>1197831</v>
      </c>
      <c r="C4646" s="1">
        <v>44396</v>
      </c>
      <c r="D4646" t="s">
        <v>52</v>
      </c>
      <c r="E4646" t="s">
        <v>114</v>
      </c>
      <c r="F4646" t="s">
        <v>115</v>
      </c>
      <c r="G4646" t="s">
        <v>15</v>
      </c>
      <c r="H4646" t="s">
        <v>16</v>
      </c>
      <c r="I4646" s="3">
        <v>50</v>
      </c>
      <c r="J4646" s="2">
        <v>198</v>
      </c>
      <c r="K4646" s="3">
        <f t="shared" si="72"/>
        <v>9900</v>
      </c>
      <c r="L4646" s="3">
        <v>5346</v>
      </c>
    </row>
    <row r="4647" spans="1:12" x14ac:dyDescent="0.25">
      <c r="A4647" t="s">
        <v>11</v>
      </c>
      <c r="B4647">
        <v>1197831</v>
      </c>
      <c r="C4647" s="1">
        <v>44396</v>
      </c>
      <c r="D4647" t="s">
        <v>52</v>
      </c>
      <c r="E4647" t="s">
        <v>116</v>
      </c>
      <c r="F4647" t="s">
        <v>117</v>
      </c>
      <c r="G4647" t="s">
        <v>15</v>
      </c>
      <c r="H4647" t="s">
        <v>37</v>
      </c>
      <c r="I4647" s="3">
        <v>36</v>
      </c>
      <c r="J4647" s="2">
        <v>107</v>
      </c>
      <c r="K4647" s="3">
        <f t="shared" si="72"/>
        <v>3852</v>
      </c>
      <c r="L4647" s="3">
        <v>2080.08</v>
      </c>
    </row>
    <row r="4648" spans="1:12" x14ac:dyDescent="0.25">
      <c r="A4648" t="s">
        <v>11</v>
      </c>
      <c r="B4648">
        <v>1197831</v>
      </c>
      <c r="C4648" s="1">
        <v>44396</v>
      </c>
      <c r="D4648" t="s">
        <v>52</v>
      </c>
      <c r="E4648" t="s">
        <v>116</v>
      </c>
      <c r="F4648" t="s">
        <v>117</v>
      </c>
      <c r="G4648" t="s">
        <v>15</v>
      </c>
      <c r="H4648" t="s">
        <v>16</v>
      </c>
      <c r="I4648" s="3">
        <v>45</v>
      </c>
      <c r="J4648" s="2">
        <v>163</v>
      </c>
      <c r="K4648" s="3">
        <f t="shared" si="72"/>
        <v>7335</v>
      </c>
      <c r="L4648" s="3">
        <v>3887.5499999999997</v>
      </c>
    </row>
    <row r="4649" spans="1:12" x14ac:dyDescent="0.25">
      <c r="A4649" t="s">
        <v>23</v>
      </c>
      <c r="B4649">
        <v>1197831</v>
      </c>
      <c r="C4649" s="1">
        <v>44396</v>
      </c>
      <c r="D4649" t="s">
        <v>52</v>
      </c>
      <c r="E4649" t="s">
        <v>114</v>
      </c>
      <c r="F4649" t="s">
        <v>115</v>
      </c>
      <c r="G4649" t="s">
        <v>41</v>
      </c>
      <c r="H4649" t="s">
        <v>22</v>
      </c>
      <c r="I4649" s="3">
        <v>55</v>
      </c>
      <c r="J4649" s="2">
        <v>119</v>
      </c>
      <c r="K4649" s="3">
        <f t="shared" si="72"/>
        <v>6545</v>
      </c>
      <c r="L4649" s="3">
        <v>3337.9500000000003</v>
      </c>
    </row>
    <row r="4650" spans="1:12" x14ac:dyDescent="0.25">
      <c r="A4650" t="s">
        <v>19</v>
      </c>
      <c r="B4650">
        <v>1185732</v>
      </c>
      <c r="C4650" s="1">
        <v>44396</v>
      </c>
      <c r="D4650" t="s">
        <v>57</v>
      </c>
      <c r="E4650" t="s">
        <v>95</v>
      </c>
      <c r="F4650" t="s">
        <v>96</v>
      </c>
      <c r="G4650" t="s">
        <v>41</v>
      </c>
      <c r="H4650" t="s">
        <v>17</v>
      </c>
      <c r="I4650" s="3">
        <v>41</v>
      </c>
      <c r="J4650" s="2">
        <v>84</v>
      </c>
      <c r="K4650" s="3">
        <f t="shared" si="72"/>
        <v>3444</v>
      </c>
      <c r="L4650" s="3">
        <v>1756.44</v>
      </c>
    </row>
    <row r="4651" spans="1:12" x14ac:dyDescent="0.25">
      <c r="A4651" t="s">
        <v>23</v>
      </c>
      <c r="B4651">
        <v>1197831</v>
      </c>
      <c r="C4651" s="1">
        <v>44396</v>
      </c>
      <c r="D4651" t="s">
        <v>52</v>
      </c>
      <c r="E4651" t="s">
        <v>114</v>
      </c>
      <c r="F4651" t="s">
        <v>115</v>
      </c>
      <c r="G4651" t="s">
        <v>41</v>
      </c>
      <c r="H4651" t="s">
        <v>38</v>
      </c>
      <c r="I4651" s="3">
        <v>50</v>
      </c>
      <c r="J4651" s="2">
        <v>233</v>
      </c>
      <c r="K4651" s="3">
        <f t="shared" si="72"/>
        <v>11650</v>
      </c>
      <c r="L4651" s="3">
        <v>5825</v>
      </c>
    </row>
    <row r="4652" spans="1:12" x14ac:dyDescent="0.25">
      <c r="A4652" t="s">
        <v>11</v>
      </c>
      <c r="B4652">
        <v>1197831</v>
      </c>
      <c r="C4652" s="1">
        <v>44396</v>
      </c>
      <c r="D4652" t="s">
        <v>52</v>
      </c>
      <c r="E4652" t="s">
        <v>116</v>
      </c>
      <c r="F4652" t="s">
        <v>117</v>
      </c>
      <c r="G4652" t="s">
        <v>41</v>
      </c>
      <c r="H4652" t="s">
        <v>17</v>
      </c>
      <c r="I4652" s="3">
        <v>45</v>
      </c>
      <c r="J4652" s="2">
        <v>117</v>
      </c>
      <c r="K4652" s="3">
        <f t="shared" si="72"/>
        <v>5265</v>
      </c>
      <c r="L4652" s="3">
        <v>2632.5</v>
      </c>
    </row>
    <row r="4653" spans="1:12" x14ac:dyDescent="0.25">
      <c r="A4653" t="s">
        <v>23</v>
      </c>
      <c r="B4653">
        <v>1197831</v>
      </c>
      <c r="C4653" s="1">
        <v>44396</v>
      </c>
      <c r="D4653" t="s">
        <v>52</v>
      </c>
      <c r="E4653" t="s">
        <v>114</v>
      </c>
      <c r="F4653" t="s">
        <v>115</v>
      </c>
      <c r="G4653" t="s">
        <v>41</v>
      </c>
      <c r="H4653" t="s">
        <v>35</v>
      </c>
      <c r="I4653" s="3">
        <v>43</v>
      </c>
      <c r="J4653" s="2">
        <v>126</v>
      </c>
      <c r="K4653" s="3">
        <f t="shared" si="72"/>
        <v>5418</v>
      </c>
      <c r="L4653" s="3">
        <v>2654.82</v>
      </c>
    </row>
    <row r="4654" spans="1:12" x14ac:dyDescent="0.25">
      <c r="A4654" t="s">
        <v>11</v>
      </c>
      <c r="B4654">
        <v>1197831</v>
      </c>
      <c r="C4654" s="1">
        <v>44396</v>
      </c>
      <c r="D4654" t="s">
        <v>52</v>
      </c>
      <c r="E4654" t="s">
        <v>116</v>
      </c>
      <c r="F4654" t="s">
        <v>117</v>
      </c>
      <c r="G4654" t="s">
        <v>41</v>
      </c>
      <c r="H4654" t="s">
        <v>38</v>
      </c>
      <c r="I4654" s="3">
        <v>50</v>
      </c>
      <c r="J4654" s="2">
        <v>182</v>
      </c>
      <c r="K4654" s="3">
        <f t="shared" si="72"/>
        <v>9100</v>
      </c>
      <c r="L4654" s="3">
        <v>4368</v>
      </c>
    </row>
    <row r="4655" spans="1:12" x14ac:dyDescent="0.25">
      <c r="A4655" t="s">
        <v>11</v>
      </c>
      <c r="B4655">
        <v>1197831</v>
      </c>
      <c r="C4655" s="1">
        <v>44396</v>
      </c>
      <c r="D4655" t="s">
        <v>52</v>
      </c>
      <c r="E4655" t="s">
        <v>116</v>
      </c>
      <c r="F4655" t="s">
        <v>117</v>
      </c>
      <c r="G4655" t="s">
        <v>41</v>
      </c>
      <c r="H4655" t="s">
        <v>37</v>
      </c>
      <c r="I4655" s="3">
        <v>41</v>
      </c>
      <c r="J4655" s="2">
        <v>85</v>
      </c>
      <c r="K4655" s="3">
        <f t="shared" si="72"/>
        <v>3485</v>
      </c>
      <c r="L4655" s="3">
        <v>1637.9499999999998</v>
      </c>
    </row>
    <row r="4656" spans="1:12" x14ac:dyDescent="0.25">
      <c r="A4656" t="s">
        <v>23</v>
      </c>
      <c r="B4656">
        <v>1197831</v>
      </c>
      <c r="C4656" s="1">
        <v>44396</v>
      </c>
      <c r="D4656" t="s">
        <v>52</v>
      </c>
      <c r="E4656" t="s">
        <v>114</v>
      </c>
      <c r="F4656" t="s">
        <v>115</v>
      </c>
      <c r="G4656" t="s">
        <v>41</v>
      </c>
      <c r="H4656" t="s">
        <v>37</v>
      </c>
      <c r="I4656" s="3">
        <v>41</v>
      </c>
      <c r="J4656" s="2">
        <v>116</v>
      </c>
      <c r="K4656" s="3">
        <f t="shared" si="72"/>
        <v>4756</v>
      </c>
      <c r="L4656" s="3">
        <v>2187.7599999999998</v>
      </c>
    </row>
    <row r="4657" spans="1:12" x14ac:dyDescent="0.25">
      <c r="A4657" t="s">
        <v>23</v>
      </c>
      <c r="B4657">
        <v>1197831</v>
      </c>
      <c r="C4657" s="1">
        <v>44396</v>
      </c>
      <c r="D4657" t="s">
        <v>52</v>
      </c>
      <c r="E4657" t="s">
        <v>114</v>
      </c>
      <c r="F4657" t="s">
        <v>115</v>
      </c>
      <c r="G4657" t="s">
        <v>41</v>
      </c>
      <c r="H4657" t="s">
        <v>16</v>
      </c>
      <c r="I4657" s="3">
        <v>63</v>
      </c>
      <c r="J4657" s="2">
        <v>150</v>
      </c>
      <c r="K4657" s="3">
        <f t="shared" si="72"/>
        <v>9450</v>
      </c>
      <c r="L4657" s="3">
        <v>4347</v>
      </c>
    </row>
    <row r="4658" spans="1:12" x14ac:dyDescent="0.25">
      <c r="A4658" t="s">
        <v>11</v>
      </c>
      <c r="B4658">
        <v>1197831</v>
      </c>
      <c r="C4658" s="1">
        <v>44396</v>
      </c>
      <c r="D4658" t="s">
        <v>52</v>
      </c>
      <c r="E4658" t="s">
        <v>116</v>
      </c>
      <c r="F4658" t="s">
        <v>117</v>
      </c>
      <c r="G4658" t="s">
        <v>41</v>
      </c>
      <c r="H4658" t="s">
        <v>35</v>
      </c>
      <c r="I4658" s="3">
        <v>44</v>
      </c>
      <c r="J4658" s="2">
        <v>94</v>
      </c>
      <c r="K4658" s="3">
        <f t="shared" si="72"/>
        <v>4136</v>
      </c>
      <c r="L4658" s="3">
        <v>1902.56</v>
      </c>
    </row>
    <row r="4659" spans="1:12" x14ac:dyDescent="0.25">
      <c r="A4659" t="s">
        <v>11</v>
      </c>
      <c r="B4659">
        <v>1197831</v>
      </c>
      <c r="C4659" s="1">
        <v>44396</v>
      </c>
      <c r="D4659" t="s">
        <v>52</v>
      </c>
      <c r="E4659" t="s">
        <v>116</v>
      </c>
      <c r="F4659" t="s">
        <v>117</v>
      </c>
      <c r="G4659" t="s">
        <v>41</v>
      </c>
      <c r="H4659" t="s">
        <v>16</v>
      </c>
      <c r="I4659" s="3">
        <v>61</v>
      </c>
      <c r="J4659" s="2">
        <v>142</v>
      </c>
      <c r="K4659" s="3">
        <f t="shared" si="72"/>
        <v>8662</v>
      </c>
      <c r="L4659" s="3">
        <v>3984.5199999999995</v>
      </c>
    </row>
    <row r="4660" spans="1:12" x14ac:dyDescent="0.25">
      <c r="A4660" t="s">
        <v>19</v>
      </c>
      <c r="B4660">
        <v>1185732</v>
      </c>
      <c r="C4660" s="1">
        <v>44396</v>
      </c>
      <c r="D4660" t="s">
        <v>57</v>
      </c>
      <c r="E4660" t="s">
        <v>118</v>
      </c>
      <c r="F4660" t="s">
        <v>119</v>
      </c>
      <c r="G4660" t="s">
        <v>41</v>
      </c>
      <c r="H4660" t="s">
        <v>16</v>
      </c>
      <c r="I4660" s="3">
        <v>44</v>
      </c>
      <c r="J4660" s="2">
        <v>38</v>
      </c>
      <c r="K4660" s="3">
        <f t="shared" si="72"/>
        <v>1672</v>
      </c>
      <c r="L4660" s="3">
        <v>618.6400000000001</v>
      </c>
    </row>
    <row r="4661" spans="1:12" x14ac:dyDescent="0.25">
      <c r="A4661" t="s">
        <v>36</v>
      </c>
      <c r="B4661">
        <v>1185732</v>
      </c>
      <c r="C4661" s="1">
        <v>44397</v>
      </c>
      <c r="D4661" t="s">
        <v>12</v>
      </c>
      <c r="E4661" t="s">
        <v>24</v>
      </c>
      <c r="F4661" t="s">
        <v>25</v>
      </c>
      <c r="G4661" t="s">
        <v>15</v>
      </c>
      <c r="H4661" t="s">
        <v>35</v>
      </c>
      <c r="I4661" s="3">
        <v>55.000000000000007</v>
      </c>
      <c r="J4661" s="2">
        <v>350</v>
      </c>
      <c r="K4661" s="3">
        <f t="shared" si="72"/>
        <v>19250.000000000004</v>
      </c>
      <c r="L4661" s="3">
        <v>14437.500000000004</v>
      </c>
    </row>
    <row r="4662" spans="1:12" x14ac:dyDescent="0.25">
      <c r="A4662" t="s">
        <v>36</v>
      </c>
      <c r="B4662">
        <v>1185732</v>
      </c>
      <c r="C4662" s="1">
        <v>44397</v>
      </c>
      <c r="D4662" t="s">
        <v>12</v>
      </c>
      <c r="E4662" t="s">
        <v>24</v>
      </c>
      <c r="F4662" t="s">
        <v>25</v>
      </c>
      <c r="G4662" t="s">
        <v>15</v>
      </c>
      <c r="H4662" t="s">
        <v>37</v>
      </c>
      <c r="I4662" s="3">
        <v>55.000000000000007</v>
      </c>
      <c r="J4662" s="2">
        <v>300</v>
      </c>
      <c r="K4662" s="3">
        <f t="shared" si="72"/>
        <v>16500.000000000004</v>
      </c>
      <c r="L4662" s="3">
        <v>12375.000000000004</v>
      </c>
    </row>
    <row r="4663" spans="1:12" x14ac:dyDescent="0.25">
      <c r="A4663" t="s">
        <v>36</v>
      </c>
      <c r="B4663">
        <v>1185732</v>
      </c>
      <c r="C4663" s="1">
        <v>44397</v>
      </c>
      <c r="D4663" t="s">
        <v>12</v>
      </c>
      <c r="E4663" t="s">
        <v>24</v>
      </c>
      <c r="F4663" t="s">
        <v>25</v>
      </c>
      <c r="G4663" t="s">
        <v>15</v>
      </c>
      <c r="H4663" t="s">
        <v>22</v>
      </c>
      <c r="I4663" s="3">
        <v>65</v>
      </c>
      <c r="J4663" s="2">
        <v>325</v>
      </c>
      <c r="K4663" s="3">
        <f t="shared" si="72"/>
        <v>21125</v>
      </c>
      <c r="L4663" s="3">
        <v>15843.75</v>
      </c>
    </row>
    <row r="4664" spans="1:12" x14ac:dyDescent="0.25">
      <c r="A4664" t="s">
        <v>36</v>
      </c>
      <c r="B4664">
        <v>1185732</v>
      </c>
      <c r="C4664" s="1">
        <v>44397</v>
      </c>
      <c r="D4664" t="s">
        <v>12</v>
      </c>
      <c r="E4664" t="s">
        <v>24</v>
      </c>
      <c r="F4664" t="s">
        <v>25</v>
      </c>
      <c r="G4664" t="s">
        <v>15</v>
      </c>
      <c r="H4664" t="s">
        <v>16</v>
      </c>
      <c r="I4664" s="3">
        <v>70</v>
      </c>
      <c r="J4664" s="2">
        <v>500</v>
      </c>
      <c r="K4664" s="3">
        <f t="shared" si="72"/>
        <v>35000</v>
      </c>
      <c r="L4664" s="3">
        <v>24500</v>
      </c>
    </row>
    <row r="4665" spans="1:12" x14ac:dyDescent="0.25">
      <c r="A4665" t="s">
        <v>26</v>
      </c>
      <c r="B4665">
        <v>1185732</v>
      </c>
      <c r="C4665" s="1">
        <v>44397</v>
      </c>
      <c r="D4665" t="s">
        <v>29</v>
      </c>
      <c r="E4665" t="s">
        <v>87</v>
      </c>
      <c r="F4665" t="s">
        <v>88</v>
      </c>
      <c r="G4665" t="s">
        <v>18</v>
      </c>
      <c r="H4665" t="s">
        <v>22</v>
      </c>
      <c r="I4665" s="3">
        <v>49.999999999999993</v>
      </c>
      <c r="J4665" s="2">
        <v>175</v>
      </c>
      <c r="K4665" s="3">
        <f t="shared" si="72"/>
        <v>8749.9999999999982</v>
      </c>
      <c r="L4665" s="3">
        <v>6124.9999999999982</v>
      </c>
    </row>
    <row r="4666" spans="1:12" x14ac:dyDescent="0.25">
      <c r="A4666" t="s">
        <v>26</v>
      </c>
      <c r="B4666">
        <v>1185732</v>
      </c>
      <c r="C4666" s="1">
        <v>44397</v>
      </c>
      <c r="D4666" t="s">
        <v>29</v>
      </c>
      <c r="E4666" t="s">
        <v>87</v>
      </c>
      <c r="F4666" t="s">
        <v>88</v>
      </c>
      <c r="G4666" t="s">
        <v>18</v>
      </c>
      <c r="H4666" t="s">
        <v>16</v>
      </c>
      <c r="I4666" s="3">
        <v>54.999999999999993</v>
      </c>
      <c r="J4666" s="2">
        <v>350</v>
      </c>
      <c r="K4666" s="3">
        <f t="shared" si="72"/>
        <v>19249.999999999996</v>
      </c>
      <c r="L4666" s="3">
        <v>13474.999999999996</v>
      </c>
    </row>
    <row r="4667" spans="1:12" x14ac:dyDescent="0.25">
      <c r="A4667" t="s">
        <v>19</v>
      </c>
      <c r="B4667">
        <v>1185732</v>
      </c>
      <c r="C4667" s="1">
        <v>44397</v>
      </c>
      <c r="D4667" t="s">
        <v>57</v>
      </c>
      <c r="E4667" t="s">
        <v>95</v>
      </c>
      <c r="F4667" t="s">
        <v>96</v>
      </c>
      <c r="G4667" t="s">
        <v>15</v>
      </c>
      <c r="H4667" t="s">
        <v>35</v>
      </c>
      <c r="I4667" s="3">
        <v>40</v>
      </c>
      <c r="J4667" s="2">
        <v>200</v>
      </c>
      <c r="K4667" s="3">
        <f t="shared" si="72"/>
        <v>8000</v>
      </c>
      <c r="L4667" s="3">
        <v>5200</v>
      </c>
    </row>
    <row r="4668" spans="1:12" x14ac:dyDescent="0.25">
      <c r="A4668" t="s">
        <v>36</v>
      </c>
      <c r="B4668">
        <v>1185732</v>
      </c>
      <c r="C4668" s="1">
        <v>44397</v>
      </c>
      <c r="D4668" t="s">
        <v>12</v>
      </c>
      <c r="E4668" t="s">
        <v>24</v>
      </c>
      <c r="F4668" t="s">
        <v>25</v>
      </c>
      <c r="G4668" t="s">
        <v>15</v>
      </c>
      <c r="H4668" t="s">
        <v>38</v>
      </c>
      <c r="I4668" s="3">
        <v>65</v>
      </c>
      <c r="J4668" s="2">
        <v>675</v>
      </c>
      <c r="K4668" s="3">
        <f t="shared" si="72"/>
        <v>43875</v>
      </c>
      <c r="L4668" s="3">
        <v>28518.75</v>
      </c>
    </row>
    <row r="4669" spans="1:12" x14ac:dyDescent="0.25">
      <c r="A4669" t="s">
        <v>26</v>
      </c>
      <c r="B4669">
        <v>1185732</v>
      </c>
      <c r="C4669" s="1">
        <v>44397</v>
      </c>
      <c r="D4669" t="s">
        <v>29</v>
      </c>
      <c r="E4669" t="s">
        <v>87</v>
      </c>
      <c r="F4669" t="s">
        <v>88</v>
      </c>
      <c r="G4669" t="s">
        <v>18</v>
      </c>
      <c r="H4669" t="s">
        <v>17</v>
      </c>
      <c r="I4669" s="3">
        <v>45</v>
      </c>
      <c r="J4669" s="2">
        <v>275</v>
      </c>
      <c r="K4669" s="3">
        <f t="shared" si="72"/>
        <v>12375</v>
      </c>
      <c r="L4669" s="3">
        <v>8043.75</v>
      </c>
    </row>
    <row r="4670" spans="1:12" x14ac:dyDescent="0.25">
      <c r="A4670" t="s">
        <v>26</v>
      </c>
      <c r="B4670">
        <v>1185732</v>
      </c>
      <c r="C4670" s="1">
        <v>44397</v>
      </c>
      <c r="D4670" t="s">
        <v>29</v>
      </c>
      <c r="E4670" t="s">
        <v>87</v>
      </c>
      <c r="F4670" t="s">
        <v>88</v>
      </c>
      <c r="G4670" t="s">
        <v>18</v>
      </c>
      <c r="H4670" t="s">
        <v>35</v>
      </c>
      <c r="I4670" s="3">
        <v>40</v>
      </c>
      <c r="J4670" s="2">
        <v>200</v>
      </c>
      <c r="K4670" s="3">
        <f t="shared" si="72"/>
        <v>8000</v>
      </c>
      <c r="L4670" s="3">
        <v>5200</v>
      </c>
    </row>
    <row r="4671" spans="1:12" x14ac:dyDescent="0.25">
      <c r="A4671" t="s">
        <v>26</v>
      </c>
      <c r="B4671">
        <v>1185732</v>
      </c>
      <c r="C4671" s="1">
        <v>44397</v>
      </c>
      <c r="D4671" t="s">
        <v>29</v>
      </c>
      <c r="E4671" t="s">
        <v>87</v>
      </c>
      <c r="F4671" t="s">
        <v>88</v>
      </c>
      <c r="G4671" t="s">
        <v>18</v>
      </c>
      <c r="H4671" t="s">
        <v>37</v>
      </c>
      <c r="I4671" s="3">
        <v>40</v>
      </c>
      <c r="J4671" s="2">
        <v>150</v>
      </c>
      <c r="K4671" s="3">
        <f t="shared" si="72"/>
        <v>6000</v>
      </c>
      <c r="L4671" s="3">
        <v>3900</v>
      </c>
    </row>
    <row r="4672" spans="1:12" x14ac:dyDescent="0.25">
      <c r="A4672" t="s">
        <v>36</v>
      </c>
      <c r="B4672">
        <v>1185732</v>
      </c>
      <c r="C4672" s="1">
        <v>44397</v>
      </c>
      <c r="D4672" t="s">
        <v>12</v>
      </c>
      <c r="E4672" t="s">
        <v>24</v>
      </c>
      <c r="F4672" t="s">
        <v>25</v>
      </c>
      <c r="G4672" t="s">
        <v>15</v>
      </c>
      <c r="H4672" t="s">
        <v>17</v>
      </c>
      <c r="I4672" s="3">
        <v>60.000000000000007</v>
      </c>
      <c r="J4672" s="2">
        <v>425</v>
      </c>
      <c r="K4672" s="3">
        <f t="shared" si="72"/>
        <v>25500.000000000004</v>
      </c>
      <c r="L4672" s="3">
        <v>16575</v>
      </c>
    </row>
    <row r="4673" spans="1:12" x14ac:dyDescent="0.25">
      <c r="A4673" t="s">
        <v>19</v>
      </c>
      <c r="B4673">
        <v>1185732</v>
      </c>
      <c r="C4673" s="1">
        <v>44397</v>
      </c>
      <c r="D4673" t="s">
        <v>57</v>
      </c>
      <c r="E4673" t="s">
        <v>118</v>
      </c>
      <c r="F4673" t="s">
        <v>119</v>
      </c>
      <c r="G4673" t="s">
        <v>15</v>
      </c>
      <c r="H4673" t="s">
        <v>38</v>
      </c>
      <c r="I4673" s="3">
        <v>40</v>
      </c>
      <c r="J4673" s="2">
        <v>300</v>
      </c>
      <c r="K4673" s="3">
        <f t="shared" si="72"/>
        <v>12000</v>
      </c>
      <c r="L4673" s="3">
        <v>7200</v>
      </c>
    </row>
    <row r="4674" spans="1:12" x14ac:dyDescent="0.25">
      <c r="A4674" t="s">
        <v>19</v>
      </c>
      <c r="B4674">
        <v>1185732</v>
      </c>
      <c r="C4674" s="1">
        <v>44397</v>
      </c>
      <c r="D4674" t="s">
        <v>29</v>
      </c>
      <c r="E4674" t="s">
        <v>87</v>
      </c>
      <c r="F4674" t="s">
        <v>88</v>
      </c>
      <c r="G4674" t="s">
        <v>18</v>
      </c>
      <c r="H4674" t="s">
        <v>38</v>
      </c>
      <c r="I4674" s="3">
        <v>49.999999999999993</v>
      </c>
      <c r="J4674" s="2">
        <v>525</v>
      </c>
      <c r="K4674" s="3">
        <f t="shared" si="72"/>
        <v>26249.999999999996</v>
      </c>
      <c r="L4674" s="3">
        <v>15749.999999999995</v>
      </c>
    </row>
    <row r="4675" spans="1:12" x14ac:dyDescent="0.25">
      <c r="A4675" t="s">
        <v>36</v>
      </c>
      <c r="B4675">
        <v>1185732</v>
      </c>
      <c r="C4675" s="1">
        <v>44397</v>
      </c>
      <c r="D4675" t="s">
        <v>12</v>
      </c>
      <c r="E4675" t="s">
        <v>24</v>
      </c>
      <c r="F4675" t="s">
        <v>25</v>
      </c>
      <c r="G4675" t="s">
        <v>41</v>
      </c>
      <c r="H4675" t="s">
        <v>35</v>
      </c>
      <c r="I4675" s="3">
        <v>53</v>
      </c>
      <c r="J4675" s="2">
        <v>102</v>
      </c>
      <c r="K4675" s="3">
        <f t="shared" ref="K4675:K4738" si="73">I4675*J4675</f>
        <v>5406</v>
      </c>
      <c r="L4675" s="3">
        <v>3459.84</v>
      </c>
    </row>
    <row r="4676" spans="1:12" x14ac:dyDescent="0.25">
      <c r="A4676" t="s">
        <v>36</v>
      </c>
      <c r="B4676">
        <v>1185732</v>
      </c>
      <c r="C4676" s="1">
        <v>44397</v>
      </c>
      <c r="D4676" t="s">
        <v>12</v>
      </c>
      <c r="E4676" t="s">
        <v>24</v>
      </c>
      <c r="F4676" t="s">
        <v>25</v>
      </c>
      <c r="G4676" t="s">
        <v>41</v>
      </c>
      <c r="H4676" t="s">
        <v>37</v>
      </c>
      <c r="I4676" s="3">
        <v>51</v>
      </c>
      <c r="J4676" s="2">
        <v>75</v>
      </c>
      <c r="K4676" s="3">
        <f t="shared" si="73"/>
        <v>3825</v>
      </c>
      <c r="L4676" s="3">
        <v>2371.5</v>
      </c>
    </row>
    <row r="4677" spans="1:12" x14ac:dyDescent="0.25">
      <c r="A4677" t="s">
        <v>36</v>
      </c>
      <c r="B4677">
        <v>1185732</v>
      </c>
      <c r="C4677" s="1">
        <v>44397</v>
      </c>
      <c r="D4677" t="s">
        <v>12</v>
      </c>
      <c r="E4677" t="s">
        <v>24</v>
      </c>
      <c r="F4677" t="s">
        <v>25</v>
      </c>
      <c r="G4677" t="s">
        <v>41</v>
      </c>
      <c r="H4677" t="s">
        <v>22</v>
      </c>
      <c r="I4677" s="3">
        <v>61</v>
      </c>
      <c r="J4677" s="2">
        <v>91</v>
      </c>
      <c r="K4677" s="3">
        <f t="shared" si="73"/>
        <v>5551</v>
      </c>
      <c r="L4677" s="3">
        <v>3386.11</v>
      </c>
    </row>
    <row r="4678" spans="1:12" x14ac:dyDescent="0.25">
      <c r="A4678" t="s">
        <v>26</v>
      </c>
      <c r="B4678">
        <v>1185732</v>
      </c>
      <c r="C4678" s="1">
        <v>44397</v>
      </c>
      <c r="D4678" t="s">
        <v>29</v>
      </c>
      <c r="E4678" t="s">
        <v>87</v>
      </c>
      <c r="F4678" t="s">
        <v>88</v>
      </c>
      <c r="G4678" t="s">
        <v>41</v>
      </c>
      <c r="H4678" t="s">
        <v>16</v>
      </c>
      <c r="I4678" s="3">
        <v>54</v>
      </c>
      <c r="J4678" s="2">
        <v>102</v>
      </c>
      <c r="K4678" s="3">
        <f t="shared" si="73"/>
        <v>5508</v>
      </c>
      <c r="L4678" s="3">
        <v>3194.64</v>
      </c>
    </row>
    <row r="4679" spans="1:12" x14ac:dyDescent="0.25">
      <c r="A4679" t="s">
        <v>26</v>
      </c>
      <c r="B4679">
        <v>1185732</v>
      </c>
      <c r="C4679" s="1">
        <v>44397</v>
      </c>
      <c r="D4679" t="s">
        <v>29</v>
      </c>
      <c r="E4679" t="s">
        <v>87</v>
      </c>
      <c r="F4679" t="s">
        <v>88</v>
      </c>
      <c r="G4679" t="s">
        <v>41</v>
      </c>
      <c r="H4679" t="s">
        <v>22</v>
      </c>
      <c r="I4679" s="3">
        <v>46</v>
      </c>
      <c r="J4679" s="2">
        <v>51</v>
      </c>
      <c r="K4679" s="3">
        <f t="shared" si="73"/>
        <v>2346</v>
      </c>
      <c r="L4679" s="3">
        <v>1290.3000000000002</v>
      </c>
    </row>
    <row r="4680" spans="1:12" x14ac:dyDescent="0.25">
      <c r="A4680" t="s">
        <v>36</v>
      </c>
      <c r="B4680">
        <v>1185732</v>
      </c>
      <c r="C4680" s="1">
        <v>44397</v>
      </c>
      <c r="D4680" t="s">
        <v>12</v>
      </c>
      <c r="E4680" t="s">
        <v>24</v>
      </c>
      <c r="F4680" t="s">
        <v>25</v>
      </c>
      <c r="G4680" t="s">
        <v>41</v>
      </c>
      <c r="H4680" t="s">
        <v>16</v>
      </c>
      <c r="I4680" s="3">
        <v>67</v>
      </c>
      <c r="J4680" s="2">
        <v>130</v>
      </c>
      <c r="K4680" s="3">
        <f t="shared" si="73"/>
        <v>8710</v>
      </c>
      <c r="L4680" s="3">
        <v>4790.5</v>
      </c>
    </row>
    <row r="4681" spans="1:12" x14ac:dyDescent="0.25">
      <c r="A4681" t="s">
        <v>36</v>
      </c>
      <c r="B4681">
        <v>1185732</v>
      </c>
      <c r="C4681" s="1">
        <v>44397</v>
      </c>
      <c r="D4681" t="s">
        <v>12</v>
      </c>
      <c r="E4681" t="s">
        <v>24</v>
      </c>
      <c r="F4681" t="s">
        <v>25</v>
      </c>
      <c r="G4681" t="s">
        <v>41</v>
      </c>
      <c r="H4681" t="s">
        <v>38</v>
      </c>
      <c r="I4681" s="3">
        <v>63</v>
      </c>
      <c r="J4681" s="2">
        <v>182</v>
      </c>
      <c r="K4681" s="3">
        <f t="shared" si="73"/>
        <v>11466</v>
      </c>
      <c r="L4681" s="3">
        <v>6191.6399999999994</v>
      </c>
    </row>
    <row r="4682" spans="1:12" x14ac:dyDescent="0.25">
      <c r="A4682" t="s">
        <v>19</v>
      </c>
      <c r="B4682">
        <v>1185732</v>
      </c>
      <c r="C4682" s="1">
        <v>44397</v>
      </c>
      <c r="D4682" t="s">
        <v>57</v>
      </c>
      <c r="E4682" t="s">
        <v>95</v>
      </c>
      <c r="F4682" t="s">
        <v>96</v>
      </c>
      <c r="G4682" t="s">
        <v>41</v>
      </c>
      <c r="H4682" t="s">
        <v>35</v>
      </c>
      <c r="I4682" s="3">
        <v>36</v>
      </c>
      <c r="J4682" s="2">
        <v>60</v>
      </c>
      <c r="K4682" s="3">
        <f t="shared" si="73"/>
        <v>2160</v>
      </c>
      <c r="L4682" s="3">
        <v>1144.8000000000002</v>
      </c>
    </row>
    <row r="4683" spans="1:12" x14ac:dyDescent="0.25">
      <c r="A4683" t="s">
        <v>26</v>
      </c>
      <c r="B4683">
        <v>1185732</v>
      </c>
      <c r="C4683" s="1">
        <v>44397</v>
      </c>
      <c r="D4683" t="s">
        <v>29</v>
      </c>
      <c r="E4683" t="s">
        <v>87</v>
      </c>
      <c r="F4683" t="s">
        <v>88</v>
      </c>
      <c r="G4683" t="s">
        <v>41</v>
      </c>
      <c r="H4683" t="s">
        <v>37</v>
      </c>
      <c r="I4683" s="3">
        <v>36</v>
      </c>
      <c r="J4683" s="2">
        <v>45</v>
      </c>
      <c r="K4683" s="3">
        <f t="shared" si="73"/>
        <v>1620</v>
      </c>
      <c r="L4683" s="3">
        <v>858.6</v>
      </c>
    </row>
    <row r="4684" spans="1:12" x14ac:dyDescent="0.25">
      <c r="A4684" t="s">
        <v>36</v>
      </c>
      <c r="B4684">
        <v>1185732</v>
      </c>
      <c r="C4684" s="1">
        <v>44397</v>
      </c>
      <c r="D4684" t="s">
        <v>12</v>
      </c>
      <c r="E4684" t="s">
        <v>24</v>
      </c>
      <c r="F4684" t="s">
        <v>25</v>
      </c>
      <c r="G4684" t="s">
        <v>41</v>
      </c>
      <c r="H4684" t="s">
        <v>17</v>
      </c>
      <c r="I4684" s="3">
        <v>59</v>
      </c>
      <c r="J4684" s="2">
        <v>111</v>
      </c>
      <c r="K4684" s="3">
        <f t="shared" si="73"/>
        <v>6549</v>
      </c>
      <c r="L4684" s="3">
        <v>3470.97</v>
      </c>
    </row>
    <row r="4685" spans="1:12" x14ac:dyDescent="0.25">
      <c r="A4685" t="s">
        <v>26</v>
      </c>
      <c r="B4685">
        <v>1185732</v>
      </c>
      <c r="C4685" s="1">
        <v>44397</v>
      </c>
      <c r="D4685" t="s">
        <v>29</v>
      </c>
      <c r="E4685" t="s">
        <v>87</v>
      </c>
      <c r="F4685" t="s">
        <v>88</v>
      </c>
      <c r="G4685" t="s">
        <v>41</v>
      </c>
      <c r="H4685" t="s">
        <v>17</v>
      </c>
      <c r="I4685" s="3">
        <v>42</v>
      </c>
      <c r="J4685" s="2">
        <v>72</v>
      </c>
      <c r="K4685" s="3">
        <f t="shared" si="73"/>
        <v>3024</v>
      </c>
      <c r="L4685" s="3">
        <v>1572.48</v>
      </c>
    </row>
    <row r="4686" spans="1:12" x14ac:dyDescent="0.25">
      <c r="A4686" t="s">
        <v>26</v>
      </c>
      <c r="B4686">
        <v>1185732</v>
      </c>
      <c r="C4686" s="1">
        <v>44397</v>
      </c>
      <c r="D4686" t="s">
        <v>29</v>
      </c>
      <c r="E4686" t="s">
        <v>87</v>
      </c>
      <c r="F4686" t="s">
        <v>88</v>
      </c>
      <c r="G4686" t="s">
        <v>41</v>
      </c>
      <c r="H4686" t="s">
        <v>35</v>
      </c>
      <c r="I4686" s="3">
        <v>37</v>
      </c>
      <c r="J4686" s="2">
        <v>60</v>
      </c>
      <c r="K4686" s="3">
        <f t="shared" si="73"/>
        <v>2220</v>
      </c>
      <c r="L4686" s="3">
        <v>1132.2</v>
      </c>
    </row>
    <row r="4687" spans="1:12" x14ac:dyDescent="0.25">
      <c r="A4687" t="s">
        <v>19</v>
      </c>
      <c r="B4687">
        <v>1185732</v>
      </c>
      <c r="C4687" s="1">
        <v>44397</v>
      </c>
      <c r="D4687" t="s">
        <v>29</v>
      </c>
      <c r="E4687" t="s">
        <v>87</v>
      </c>
      <c r="F4687" t="s">
        <v>88</v>
      </c>
      <c r="G4687" t="s">
        <v>41</v>
      </c>
      <c r="H4687" t="s">
        <v>38</v>
      </c>
      <c r="I4687" s="3">
        <v>49</v>
      </c>
      <c r="J4687" s="2">
        <v>131</v>
      </c>
      <c r="K4687" s="3">
        <f t="shared" si="73"/>
        <v>6419</v>
      </c>
      <c r="L4687" s="3">
        <v>3081.12</v>
      </c>
    </row>
    <row r="4688" spans="1:12" x14ac:dyDescent="0.25">
      <c r="A4688" t="s">
        <v>19</v>
      </c>
      <c r="B4688">
        <v>1185732</v>
      </c>
      <c r="C4688" s="1">
        <v>44397</v>
      </c>
      <c r="D4688" t="s">
        <v>57</v>
      </c>
      <c r="E4688" t="s">
        <v>118</v>
      </c>
      <c r="F4688" t="s">
        <v>119</v>
      </c>
      <c r="G4688" t="s">
        <v>41</v>
      </c>
      <c r="H4688" t="s">
        <v>38</v>
      </c>
      <c r="I4688" s="3">
        <v>37</v>
      </c>
      <c r="J4688" s="2">
        <v>84</v>
      </c>
      <c r="K4688" s="3">
        <f t="shared" si="73"/>
        <v>3108</v>
      </c>
      <c r="L4688" s="3">
        <v>1429.6799999999998</v>
      </c>
    </row>
    <row r="4689" spans="1:12" x14ac:dyDescent="0.25">
      <c r="A4689" t="s">
        <v>19</v>
      </c>
      <c r="B4689">
        <v>1185732</v>
      </c>
      <c r="C4689" s="1">
        <v>44398</v>
      </c>
      <c r="D4689" t="s">
        <v>57</v>
      </c>
      <c r="E4689" t="s">
        <v>118</v>
      </c>
      <c r="F4689" t="s">
        <v>119</v>
      </c>
      <c r="G4689" t="s">
        <v>15</v>
      </c>
      <c r="H4689" t="s">
        <v>17</v>
      </c>
      <c r="I4689" s="3">
        <v>30.000000000000004</v>
      </c>
      <c r="J4689" s="2">
        <v>150</v>
      </c>
      <c r="K4689" s="3">
        <f t="shared" si="73"/>
        <v>4500.0000000000009</v>
      </c>
      <c r="L4689" s="3">
        <v>2925.0000000000009</v>
      </c>
    </row>
    <row r="4690" spans="1:12" x14ac:dyDescent="0.25">
      <c r="A4690" t="s">
        <v>36</v>
      </c>
      <c r="B4690">
        <v>1185732</v>
      </c>
      <c r="C4690" s="1">
        <v>44398</v>
      </c>
      <c r="D4690" t="s">
        <v>32</v>
      </c>
      <c r="E4690" t="s">
        <v>120</v>
      </c>
      <c r="F4690" t="s">
        <v>121</v>
      </c>
      <c r="G4690" t="s">
        <v>41</v>
      </c>
      <c r="H4690" t="s">
        <v>17</v>
      </c>
      <c r="I4690" s="3">
        <v>45.000000000000007</v>
      </c>
      <c r="J4690" s="2">
        <v>350</v>
      </c>
      <c r="K4690" s="3">
        <f t="shared" si="73"/>
        <v>15750.000000000002</v>
      </c>
      <c r="L4690" s="3">
        <v>10237.500000000004</v>
      </c>
    </row>
    <row r="4691" spans="1:12" x14ac:dyDescent="0.25">
      <c r="A4691" t="s">
        <v>36</v>
      </c>
      <c r="B4691">
        <v>1185732</v>
      </c>
      <c r="C4691" s="1">
        <v>44398</v>
      </c>
      <c r="D4691" t="s">
        <v>32</v>
      </c>
      <c r="E4691" t="s">
        <v>120</v>
      </c>
      <c r="F4691" t="s">
        <v>121</v>
      </c>
      <c r="G4691" t="s">
        <v>41</v>
      </c>
      <c r="H4691" t="s">
        <v>22</v>
      </c>
      <c r="I4691" s="3">
        <v>50</v>
      </c>
      <c r="J4691" s="2">
        <v>250</v>
      </c>
      <c r="K4691" s="3">
        <f t="shared" si="73"/>
        <v>12500</v>
      </c>
      <c r="L4691" s="3">
        <v>8125</v>
      </c>
    </row>
    <row r="4692" spans="1:12" x14ac:dyDescent="0.25">
      <c r="A4692" t="s">
        <v>19</v>
      </c>
      <c r="B4692">
        <v>1185732</v>
      </c>
      <c r="C4692" s="1">
        <v>44398</v>
      </c>
      <c r="D4692" t="s">
        <v>57</v>
      </c>
      <c r="E4692" t="s">
        <v>95</v>
      </c>
      <c r="F4692" t="s">
        <v>96</v>
      </c>
      <c r="G4692" t="s">
        <v>15</v>
      </c>
      <c r="H4692" t="s">
        <v>37</v>
      </c>
      <c r="I4692" s="3">
        <v>40</v>
      </c>
      <c r="J4692" s="2">
        <v>175</v>
      </c>
      <c r="K4692" s="3">
        <f t="shared" si="73"/>
        <v>7000</v>
      </c>
      <c r="L4692" s="3">
        <v>4200</v>
      </c>
    </row>
    <row r="4693" spans="1:12" x14ac:dyDescent="0.25">
      <c r="A4693" t="s">
        <v>36</v>
      </c>
      <c r="B4693">
        <v>1185732</v>
      </c>
      <c r="C4693" s="1">
        <v>44398</v>
      </c>
      <c r="D4693" t="s">
        <v>32</v>
      </c>
      <c r="E4693" t="s">
        <v>120</v>
      </c>
      <c r="F4693" t="s">
        <v>121</v>
      </c>
      <c r="G4693" t="s">
        <v>41</v>
      </c>
      <c r="H4693" t="s">
        <v>38</v>
      </c>
      <c r="I4693" s="3">
        <v>50</v>
      </c>
      <c r="J4693" s="2">
        <v>600</v>
      </c>
      <c r="K4693" s="3">
        <f t="shared" si="73"/>
        <v>30000</v>
      </c>
      <c r="L4693" s="3">
        <v>18000</v>
      </c>
    </row>
    <row r="4694" spans="1:12" x14ac:dyDescent="0.25">
      <c r="A4694" t="s">
        <v>36</v>
      </c>
      <c r="B4694">
        <v>1185732</v>
      </c>
      <c r="C4694" s="1">
        <v>44398</v>
      </c>
      <c r="D4694" t="s">
        <v>32</v>
      </c>
      <c r="E4694" t="s">
        <v>120</v>
      </c>
      <c r="F4694" t="s">
        <v>121</v>
      </c>
      <c r="G4694" t="s">
        <v>41</v>
      </c>
      <c r="H4694" t="s">
        <v>35</v>
      </c>
      <c r="I4694" s="3">
        <v>40</v>
      </c>
      <c r="J4694" s="2">
        <v>275</v>
      </c>
      <c r="K4694" s="3">
        <f t="shared" si="73"/>
        <v>11000</v>
      </c>
      <c r="L4694" s="3">
        <v>6600</v>
      </c>
    </row>
    <row r="4695" spans="1:12" x14ac:dyDescent="0.25">
      <c r="A4695" t="s">
        <v>36</v>
      </c>
      <c r="B4695">
        <v>1185732</v>
      </c>
      <c r="C4695" s="1">
        <v>44398</v>
      </c>
      <c r="D4695" t="s">
        <v>32</v>
      </c>
      <c r="E4695" t="s">
        <v>120</v>
      </c>
      <c r="F4695" t="s">
        <v>121</v>
      </c>
      <c r="G4695" t="s">
        <v>41</v>
      </c>
      <c r="H4695" t="s">
        <v>37</v>
      </c>
      <c r="I4695" s="3">
        <v>40</v>
      </c>
      <c r="J4695" s="2">
        <v>225</v>
      </c>
      <c r="K4695" s="3">
        <f t="shared" si="73"/>
        <v>9000</v>
      </c>
      <c r="L4695" s="3">
        <v>5400</v>
      </c>
    </row>
    <row r="4696" spans="1:12" x14ac:dyDescent="0.25">
      <c r="A4696" t="s">
        <v>36</v>
      </c>
      <c r="B4696">
        <v>1185732</v>
      </c>
      <c r="C4696" s="1">
        <v>44398</v>
      </c>
      <c r="D4696" t="s">
        <v>32</v>
      </c>
      <c r="E4696" t="s">
        <v>120</v>
      </c>
      <c r="F4696" t="s">
        <v>121</v>
      </c>
      <c r="G4696" t="s">
        <v>41</v>
      </c>
      <c r="H4696" t="s">
        <v>16</v>
      </c>
      <c r="I4696" s="3">
        <v>55.000000000000007</v>
      </c>
      <c r="J4696" s="2">
        <v>425</v>
      </c>
      <c r="K4696" s="3">
        <f t="shared" si="73"/>
        <v>23375.000000000004</v>
      </c>
      <c r="L4696" s="3">
        <v>14025</v>
      </c>
    </row>
    <row r="4697" spans="1:12" x14ac:dyDescent="0.25">
      <c r="A4697" t="s">
        <v>36</v>
      </c>
      <c r="B4697">
        <v>1185732</v>
      </c>
      <c r="C4697" s="1">
        <v>44398</v>
      </c>
      <c r="D4697" t="s">
        <v>32</v>
      </c>
      <c r="E4697" t="s">
        <v>120</v>
      </c>
      <c r="F4697" t="s">
        <v>121</v>
      </c>
      <c r="G4697" t="s">
        <v>41</v>
      </c>
      <c r="H4697" t="s">
        <v>22</v>
      </c>
      <c r="I4697" s="3">
        <v>46</v>
      </c>
      <c r="J4697" s="2">
        <v>75</v>
      </c>
      <c r="K4697" s="3">
        <f t="shared" si="73"/>
        <v>3450</v>
      </c>
      <c r="L4697" s="3">
        <v>1863.0000000000002</v>
      </c>
    </row>
    <row r="4698" spans="1:12" x14ac:dyDescent="0.25">
      <c r="A4698" t="s">
        <v>19</v>
      </c>
      <c r="B4698">
        <v>1185732</v>
      </c>
      <c r="C4698" s="1">
        <v>44398</v>
      </c>
      <c r="D4698" t="s">
        <v>57</v>
      </c>
      <c r="E4698" t="s">
        <v>118</v>
      </c>
      <c r="F4698" t="s">
        <v>119</v>
      </c>
      <c r="G4698" t="s">
        <v>41</v>
      </c>
      <c r="H4698" t="s">
        <v>17</v>
      </c>
      <c r="I4698" s="3">
        <v>29</v>
      </c>
      <c r="J4698" s="2">
        <v>41</v>
      </c>
      <c r="K4698" s="3">
        <f t="shared" si="73"/>
        <v>1189</v>
      </c>
      <c r="L4698" s="3">
        <v>642.06000000000006</v>
      </c>
    </row>
    <row r="4699" spans="1:12" x14ac:dyDescent="0.25">
      <c r="A4699" t="s">
        <v>36</v>
      </c>
      <c r="B4699">
        <v>1185732</v>
      </c>
      <c r="C4699" s="1">
        <v>44398</v>
      </c>
      <c r="D4699" t="s">
        <v>32</v>
      </c>
      <c r="E4699" t="s">
        <v>120</v>
      </c>
      <c r="F4699" t="s">
        <v>121</v>
      </c>
      <c r="G4699" t="s">
        <v>41</v>
      </c>
      <c r="H4699" t="s">
        <v>17</v>
      </c>
      <c r="I4699" s="3">
        <v>44</v>
      </c>
      <c r="J4699" s="2">
        <v>95</v>
      </c>
      <c r="K4699" s="3">
        <f t="shared" si="73"/>
        <v>4180</v>
      </c>
      <c r="L4699" s="3">
        <v>2131.8000000000002</v>
      </c>
    </row>
    <row r="4700" spans="1:12" x14ac:dyDescent="0.25">
      <c r="A4700" t="s">
        <v>36</v>
      </c>
      <c r="B4700">
        <v>1185732</v>
      </c>
      <c r="C4700" s="1">
        <v>44398</v>
      </c>
      <c r="D4700" t="s">
        <v>32</v>
      </c>
      <c r="E4700" t="s">
        <v>120</v>
      </c>
      <c r="F4700" t="s">
        <v>121</v>
      </c>
      <c r="G4700" t="s">
        <v>41</v>
      </c>
      <c r="H4700" t="s">
        <v>35</v>
      </c>
      <c r="I4700" s="3">
        <v>38</v>
      </c>
      <c r="J4700" s="2">
        <v>69</v>
      </c>
      <c r="K4700" s="3">
        <f t="shared" si="73"/>
        <v>2622</v>
      </c>
      <c r="L4700" s="3">
        <v>1258.56</v>
      </c>
    </row>
    <row r="4701" spans="1:12" x14ac:dyDescent="0.25">
      <c r="A4701" t="s">
        <v>19</v>
      </c>
      <c r="B4701">
        <v>1185732</v>
      </c>
      <c r="C4701" s="1">
        <v>44398</v>
      </c>
      <c r="D4701" t="s">
        <v>57</v>
      </c>
      <c r="E4701" t="s">
        <v>95</v>
      </c>
      <c r="F4701" t="s">
        <v>96</v>
      </c>
      <c r="G4701" t="s">
        <v>41</v>
      </c>
      <c r="H4701" t="s">
        <v>37</v>
      </c>
      <c r="I4701" s="3">
        <v>36</v>
      </c>
      <c r="J4701" s="2">
        <v>44</v>
      </c>
      <c r="K4701" s="3">
        <f t="shared" si="73"/>
        <v>1584</v>
      </c>
      <c r="L4701" s="3">
        <v>744.4799999999999</v>
      </c>
    </row>
    <row r="4702" spans="1:12" x14ac:dyDescent="0.25">
      <c r="A4702" t="s">
        <v>36</v>
      </c>
      <c r="B4702">
        <v>1185732</v>
      </c>
      <c r="C4702" s="1">
        <v>44398</v>
      </c>
      <c r="D4702" t="s">
        <v>32</v>
      </c>
      <c r="E4702" t="s">
        <v>120</v>
      </c>
      <c r="F4702" t="s">
        <v>121</v>
      </c>
      <c r="G4702" t="s">
        <v>41</v>
      </c>
      <c r="H4702" t="s">
        <v>37</v>
      </c>
      <c r="I4702" s="3">
        <v>37</v>
      </c>
      <c r="J4702" s="2">
        <v>63</v>
      </c>
      <c r="K4702" s="3">
        <f t="shared" si="73"/>
        <v>2331</v>
      </c>
      <c r="L4702" s="3">
        <v>1072.26</v>
      </c>
    </row>
    <row r="4703" spans="1:12" x14ac:dyDescent="0.25">
      <c r="A4703" t="s">
        <v>36</v>
      </c>
      <c r="B4703">
        <v>1185732</v>
      </c>
      <c r="C4703" s="1">
        <v>44398</v>
      </c>
      <c r="D4703" t="s">
        <v>32</v>
      </c>
      <c r="E4703" t="s">
        <v>120</v>
      </c>
      <c r="F4703" t="s">
        <v>121</v>
      </c>
      <c r="G4703" t="s">
        <v>41</v>
      </c>
      <c r="H4703" t="s">
        <v>16</v>
      </c>
      <c r="I4703" s="3">
        <v>50</v>
      </c>
      <c r="J4703" s="2">
        <v>115</v>
      </c>
      <c r="K4703" s="3">
        <f t="shared" si="73"/>
        <v>5750</v>
      </c>
      <c r="L4703" s="3">
        <v>2645</v>
      </c>
    </row>
    <row r="4704" spans="1:12" x14ac:dyDescent="0.25">
      <c r="A4704" t="s">
        <v>36</v>
      </c>
      <c r="B4704">
        <v>1185732</v>
      </c>
      <c r="C4704" s="1">
        <v>44398</v>
      </c>
      <c r="D4704" t="s">
        <v>32</v>
      </c>
      <c r="E4704" t="s">
        <v>120</v>
      </c>
      <c r="F4704" t="s">
        <v>121</v>
      </c>
      <c r="G4704" t="s">
        <v>41</v>
      </c>
      <c r="H4704" t="s">
        <v>38</v>
      </c>
      <c r="I4704" s="3">
        <v>47</v>
      </c>
      <c r="J4704" s="2">
        <v>168</v>
      </c>
      <c r="K4704" s="3">
        <f t="shared" si="73"/>
        <v>7896</v>
      </c>
      <c r="L4704" s="3">
        <v>3553.2</v>
      </c>
    </row>
    <row r="4705" spans="1:12" x14ac:dyDescent="0.25">
      <c r="A4705" t="s">
        <v>19</v>
      </c>
      <c r="B4705">
        <v>1128299</v>
      </c>
      <c r="C4705" s="1">
        <v>44399</v>
      </c>
      <c r="D4705" t="s">
        <v>12</v>
      </c>
      <c r="E4705" t="s">
        <v>39</v>
      </c>
      <c r="F4705" t="s">
        <v>40</v>
      </c>
      <c r="G4705" t="s">
        <v>41</v>
      </c>
      <c r="H4705" t="s">
        <v>16</v>
      </c>
      <c r="I4705" s="3">
        <v>70</v>
      </c>
      <c r="J4705" s="2">
        <v>425</v>
      </c>
      <c r="K4705" s="3">
        <f t="shared" si="73"/>
        <v>29750</v>
      </c>
      <c r="L4705" s="3">
        <v>22312.5</v>
      </c>
    </row>
    <row r="4706" spans="1:12" x14ac:dyDescent="0.25">
      <c r="A4706" t="s">
        <v>19</v>
      </c>
      <c r="B4706">
        <v>1128299</v>
      </c>
      <c r="C4706" s="1">
        <v>44399</v>
      </c>
      <c r="D4706" t="s">
        <v>12</v>
      </c>
      <c r="E4706" t="s">
        <v>39</v>
      </c>
      <c r="F4706" t="s">
        <v>40</v>
      </c>
      <c r="G4706" t="s">
        <v>41</v>
      </c>
      <c r="H4706" t="s">
        <v>22</v>
      </c>
      <c r="I4706" s="3">
        <v>55.000000000000007</v>
      </c>
      <c r="J4706" s="2">
        <v>425</v>
      </c>
      <c r="K4706" s="3">
        <f t="shared" si="73"/>
        <v>23375.000000000004</v>
      </c>
      <c r="L4706" s="3">
        <v>16362.500000000004</v>
      </c>
    </row>
    <row r="4707" spans="1:12" x14ac:dyDescent="0.25">
      <c r="A4707" t="s">
        <v>19</v>
      </c>
      <c r="B4707">
        <v>1185732</v>
      </c>
      <c r="C4707" s="1">
        <v>44399</v>
      </c>
      <c r="D4707" t="s">
        <v>57</v>
      </c>
      <c r="E4707" t="s">
        <v>95</v>
      </c>
      <c r="F4707" t="s">
        <v>96</v>
      </c>
      <c r="G4707" t="s">
        <v>15</v>
      </c>
      <c r="H4707" t="s">
        <v>22</v>
      </c>
      <c r="I4707" s="3">
        <v>50</v>
      </c>
      <c r="J4707" s="2">
        <v>175</v>
      </c>
      <c r="K4707" s="3">
        <f t="shared" si="73"/>
        <v>8750</v>
      </c>
      <c r="L4707" s="3">
        <v>5687.5</v>
      </c>
    </row>
    <row r="4708" spans="1:12" x14ac:dyDescent="0.25">
      <c r="A4708" t="s">
        <v>19</v>
      </c>
      <c r="B4708">
        <v>1185732</v>
      </c>
      <c r="C4708" s="1">
        <v>44399</v>
      </c>
      <c r="D4708" t="s">
        <v>57</v>
      </c>
      <c r="E4708" t="s">
        <v>118</v>
      </c>
      <c r="F4708" t="s">
        <v>119</v>
      </c>
      <c r="G4708" t="s">
        <v>15</v>
      </c>
      <c r="H4708" t="s">
        <v>35</v>
      </c>
      <c r="I4708" s="3">
        <v>30.000000000000004</v>
      </c>
      <c r="J4708" s="2">
        <v>95</v>
      </c>
      <c r="K4708" s="3">
        <f t="shared" si="73"/>
        <v>2850.0000000000005</v>
      </c>
      <c r="L4708" s="3">
        <v>1852.5000000000005</v>
      </c>
    </row>
    <row r="4709" spans="1:12" x14ac:dyDescent="0.25">
      <c r="A4709" t="s">
        <v>19</v>
      </c>
      <c r="B4709">
        <v>1128299</v>
      </c>
      <c r="C4709" s="1">
        <v>44399</v>
      </c>
      <c r="D4709" t="s">
        <v>12</v>
      </c>
      <c r="E4709" t="s">
        <v>39</v>
      </c>
      <c r="F4709" t="s">
        <v>40</v>
      </c>
      <c r="G4709" t="s">
        <v>41</v>
      </c>
      <c r="H4709" t="s">
        <v>38</v>
      </c>
      <c r="I4709" s="3">
        <v>50</v>
      </c>
      <c r="J4709" s="2">
        <v>675</v>
      </c>
      <c r="K4709" s="3">
        <f t="shared" si="73"/>
        <v>33750</v>
      </c>
      <c r="L4709" s="3">
        <v>21937.5</v>
      </c>
    </row>
    <row r="4710" spans="1:12" x14ac:dyDescent="0.25">
      <c r="A4710" t="s">
        <v>19</v>
      </c>
      <c r="B4710">
        <v>1128299</v>
      </c>
      <c r="C4710" s="1">
        <v>44399</v>
      </c>
      <c r="D4710" t="s">
        <v>12</v>
      </c>
      <c r="E4710" t="s">
        <v>39</v>
      </c>
      <c r="F4710" t="s">
        <v>40</v>
      </c>
      <c r="G4710" t="s">
        <v>41</v>
      </c>
      <c r="H4710" t="s">
        <v>35</v>
      </c>
      <c r="I4710" s="3">
        <v>55.000000000000007</v>
      </c>
      <c r="J4710" s="2">
        <v>475</v>
      </c>
      <c r="K4710" s="3">
        <f t="shared" si="73"/>
        <v>26125.000000000004</v>
      </c>
      <c r="L4710" s="3">
        <v>16981.250000000004</v>
      </c>
    </row>
    <row r="4711" spans="1:12" x14ac:dyDescent="0.25">
      <c r="A4711" t="s">
        <v>19</v>
      </c>
      <c r="B4711">
        <v>1128299</v>
      </c>
      <c r="C4711" s="1">
        <v>44399</v>
      </c>
      <c r="D4711" t="s">
        <v>12</v>
      </c>
      <c r="E4711" t="s">
        <v>39</v>
      </c>
      <c r="F4711" t="s">
        <v>40</v>
      </c>
      <c r="G4711" t="s">
        <v>41</v>
      </c>
      <c r="H4711" t="s">
        <v>37</v>
      </c>
      <c r="I4711" s="3">
        <v>50</v>
      </c>
      <c r="J4711" s="2">
        <v>375</v>
      </c>
      <c r="K4711" s="3">
        <f t="shared" si="73"/>
        <v>18750</v>
      </c>
      <c r="L4711" s="3">
        <v>12187.5</v>
      </c>
    </row>
    <row r="4712" spans="1:12" x14ac:dyDescent="0.25">
      <c r="A4712" t="s">
        <v>19</v>
      </c>
      <c r="B4712">
        <v>1128299</v>
      </c>
      <c r="C4712" s="1">
        <v>44399</v>
      </c>
      <c r="D4712" t="s">
        <v>12</v>
      </c>
      <c r="E4712" t="s">
        <v>39</v>
      </c>
      <c r="F4712" t="s">
        <v>40</v>
      </c>
      <c r="G4712" t="s">
        <v>41</v>
      </c>
      <c r="H4712" t="s">
        <v>17</v>
      </c>
      <c r="I4712" s="3">
        <v>55.000000000000007</v>
      </c>
      <c r="J4712" s="2">
        <v>525</v>
      </c>
      <c r="K4712" s="3">
        <f t="shared" si="73"/>
        <v>28875.000000000004</v>
      </c>
      <c r="L4712" s="3">
        <v>17325.000000000004</v>
      </c>
    </row>
    <row r="4713" spans="1:12" x14ac:dyDescent="0.25">
      <c r="A4713" t="s">
        <v>19</v>
      </c>
      <c r="B4713">
        <v>1128299</v>
      </c>
      <c r="C4713" s="1">
        <v>44399</v>
      </c>
      <c r="D4713" t="s">
        <v>12</v>
      </c>
      <c r="E4713" t="s">
        <v>39</v>
      </c>
      <c r="F4713" t="s">
        <v>40</v>
      </c>
      <c r="G4713" t="s">
        <v>15</v>
      </c>
      <c r="H4713" t="s">
        <v>16</v>
      </c>
      <c r="I4713" s="3">
        <v>46</v>
      </c>
      <c r="J4713" s="2">
        <v>145</v>
      </c>
      <c r="K4713" s="3">
        <f t="shared" si="73"/>
        <v>6670</v>
      </c>
      <c r="L4713" s="3">
        <v>4669</v>
      </c>
    </row>
    <row r="4714" spans="1:12" x14ac:dyDescent="0.25">
      <c r="A4714" t="s">
        <v>19</v>
      </c>
      <c r="B4714">
        <v>1128299</v>
      </c>
      <c r="C4714" s="1">
        <v>44399</v>
      </c>
      <c r="D4714" t="s">
        <v>12</v>
      </c>
      <c r="E4714" t="s">
        <v>39</v>
      </c>
      <c r="F4714" t="s">
        <v>40</v>
      </c>
      <c r="G4714" t="s">
        <v>15</v>
      </c>
      <c r="H4714" t="s">
        <v>38</v>
      </c>
      <c r="I4714" s="3">
        <v>40</v>
      </c>
      <c r="J4714" s="2">
        <v>216</v>
      </c>
      <c r="K4714" s="3">
        <f t="shared" si="73"/>
        <v>8640</v>
      </c>
      <c r="L4714" s="3">
        <v>5443.2</v>
      </c>
    </row>
    <row r="4715" spans="1:12" x14ac:dyDescent="0.25">
      <c r="A4715" t="s">
        <v>19</v>
      </c>
      <c r="B4715">
        <v>1128299</v>
      </c>
      <c r="C4715" s="1">
        <v>44399</v>
      </c>
      <c r="D4715" t="s">
        <v>12</v>
      </c>
      <c r="E4715" t="s">
        <v>39</v>
      </c>
      <c r="F4715" t="s">
        <v>40</v>
      </c>
      <c r="G4715" t="s">
        <v>15</v>
      </c>
      <c r="H4715" t="s">
        <v>22</v>
      </c>
      <c r="I4715" s="3">
        <v>40</v>
      </c>
      <c r="J4715" s="2">
        <v>145</v>
      </c>
      <c r="K4715" s="3">
        <f t="shared" si="73"/>
        <v>5800</v>
      </c>
      <c r="L4715" s="3">
        <v>3654</v>
      </c>
    </row>
    <row r="4716" spans="1:12" x14ac:dyDescent="0.25">
      <c r="A4716" t="s">
        <v>19</v>
      </c>
      <c r="B4716">
        <v>1128299</v>
      </c>
      <c r="C4716" s="1">
        <v>44399</v>
      </c>
      <c r="D4716" t="s">
        <v>12</v>
      </c>
      <c r="E4716" t="s">
        <v>39</v>
      </c>
      <c r="F4716" t="s">
        <v>40</v>
      </c>
      <c r="G4716" t="s">
        <v>41</v>
      </c>
      <c r="H4716" t="s">
        <v>16</v>
      </c>
      <c r="I4716" s="3">
        <v>67</v>
      </c>
      <c r="J4716" s="2">
        <v>123</v>
      </c>
      <c r="K4716" s="3">
        <f t="shared" si="73"/>
        <v>8241</v>
      </c>
      <c r="L4716" s="3">
        <v>5109.42</v>
      </c>
    </row>
    <row r="4717" spans="1:12" x14ac:dyDescent="0.25">
      <c r="A4717" t="s">
        <v>19</v>
      </c>
      <c r="B4717">
        <v>1128299</v>
      </c>
      <c r="C4717" s="1">
        <v>44399</v>
      </c>
      <c r="D4717" t="s">
        <v>12</v>
      </c>
      <c r="E4717" t="s">
        <v>39</v>
      </c>
      <c r="F4717" t="s">
        <v>40</v>
      </c>
      <c r="G4717" t="s">
        <v>15</v>
      </c>
      <c r="H4717" t="s">
        <v>37</v>
      </c>
      <c r="I4717" s="3">
        <v>36</v>
      </c>
      <c r="J4717" s="2">
        <v>113</v>
      </c>
      <c r="K4717" s="3">
        <f t="shared" si="73"/>
        <v>4068</v>
      </c>
      <c r="L4717" s="3">
        <v>2522.16</v>
      </c>
    </row>
    <row r="4718" spans="1:12" x14ac:dyDescent="0.25">
      <c r="A4718" t="s">
        <v>19</v>
      </c>
      <c r="B4718">
        <v>1128299</v>
      </c>
      <c r="C4718" s="1">
        <v>44399</v>
      </c>
      <c r="D4718" t="s">
        <v>12</v>
      </c>
      <c r="E4718" t="s">
        <v>39</v>
      </c>
      <c r="F4718" t="s">
        <v>40</v>
      </c>
      <c r="G4718" t="s">
        <v>15</v>
      </c>
      <c r="H4718" t="s">
        <v>35</v>
      </c>
      <c r="I4718" s="3">
        <v>39</v>
      </c>
      <c r="J4718" s="2">
        <v>157</v>
      </c>
      <c r="K4718" s="3">
        <f t="shared" si="73"/>
        <v>6123</v>
      </c>
      <c r="L4718" s="3">
        <v>3735.03</v>
      </c>
    </row>
    <row r="4719" spans="1:12" x14ac:dyDescent="0.25">
      <c r="A4719" t="s">
        <v>19</v>
      </c>
      <c r="B4719">
        <v>1128299</v>
      </c>
      <c r="C4719" s="1">
        <v>44399</v>
      </c>
      <c r="D4719" t="s">
        <v>12</v>
      </c>
      <c r="E4719" t="s">
        <v>39</v>
      </c>
      <c r="F4719" t="s">
        <v>40</v>
      </c>
      <c r="G4719" t="s">
        <v>41</v>
      </c>
      <c r="H4719" t="s">
        <v>22</v>
      </c>
      <c r="I4719" s="3">
        <v>52</v>
      </c>
      <c r="J4719" s="2">
        <v>128</v>
      </c>
      <c r="K4719" s="3">
        <f t="shared" si="73"/>
        <v>6656</v>
      </c>
      <c r="L4719" s="3">
        <v>3793.92</v>
      </c>
    </row>
    <row r="4720" spans="1:12" x14ac:dyDescent="0.25">
      <c r="A4720" t="s">
        <v>19</v>
      </c>
      <c r="B4720">
        <v>1128299</v>
      </c>
      <c r="C4720" s="1">
        <v>44399</v>
      </c>
      <c r="D4720" t="s">
        <v>12</v>
      </c>
      <c r="E4720" t="s">
        <v>39</v>
      </c>
      <c r="F4720" t="s">
        <v>40</v>
      </c>
      <c r="G4720" t="s">
        <v>41</v>
      </c>
      <c r="H4720" t="s">
        <v>37</v>
      </c>
      <c r="I4720" s="3">
        <v>48</v>
      </c>
      <c r="J4720" s="2">
        <v>101</v>
      </c>
      <c r="K4720" s="3">
        <f t="shared" si="73"/>
        <v>4848</v>
      </c>
      <c r="L4720" s="3">
        <v>2666.4</v>
      </c>
    </row>
    <row r="4721" spans="1:12" x14ac:dyDescent="0.25">
      <c r="A4721" t="s">
        <v>19</v>
      </c>
      <c r="B4721">
        <v>1185732</v>
      </c>
      <c r="C4721" s="1">
        <v>44399</v>
      </c>
      <c r="D4721" t="s">
        <v>57</v>
      </c>
      <c r="E4721" t="s">
        <v>95</v>
      </c>
      <c r="F4721" t="s">
        <v>96</v>
      </c>
      <c r="G4721" t="s">
        <v>41</v>
      </c>
      <c r="H4721" t="s">
        <v>22</v>
      </c>
      <c r="I4721" s="3">
        <v>49</v>
      </c>
      <c r="J4721" s="2">
        <v>49</v>
      </c>
      <c r="K4721" s="3">
        <f t="shared" si="73"/>
        <v>2401</v>
      </c>
      <c r="L4721" s="3">
        <v>1296.5400000000002</v>
      </c>
    </row>
    <row r="4722" spans="1:12" x14ac:dyDescent="0.25">
      <c r="A4722" t="s">
        <v>19</v>
      </c>
      <c r="B4722">
        <v>1128299</v>
      </c>
      <c r="C4722" s="1">
        <v>44399</v>
      </c>
      <c r="D4722" t="s">
        <v>12</v>
      </c>
      <c r="E4722" t="s">
        <v>39</v>
      </c>
      <c r="F4722" t="s">
        <v>40</v>
      </c>
      <c r="G4722" t="s">
        <v>15</v>
      </c>
      <c r="H4722" t="s">
        <v>17</v>
      </c>
      <c r="I4722" s="3">
        <v>40</v>
      </c>
      <c r="J4722" s="2">
        <v>163</v>
      </c>
      <c r="K4722" s="3">
        <f t="shared" si="73"/>
        <v>6520</v>
      </c>
      <c r="L4722" s="3">
        <v>3520.7999999999997</v>
      </c>
    </row>
    <row r="4723" spans="1:12" x14ac:dyDescent="0.25">
      <c r="A4723" t="s">
        <v>19</v>
      </c>
      <c r="B4723">
        <v>1185732</v>
      </c>
      <c r="C4723" s="1">
        <v>44399</v>
      </c>
      <c r="D4723" t="s">
        <v>57</v>
      </c>
      <c r="E4723" t="s">
        <v>118</v>
      </c>
      <c r="F4723" t="s">
        <v>119</v>
      </c>
      <c r="G4723" t="s">
        <v>41</v>
      </c>
      <c r="H4723" t="s">
        <v>35</v>
      </c>
      <c r="I4723" s="3">
        <v>29</v>
      </c>
      <c r="J4723" s="2">
        <v>25</v>
      </c>
      <c r="K4723" s="3">
        <f t="shared" si="73"/>
        <v>725</v>
      </c>
      <c r="L4723" s="3">
        <v>384.25</v>
      </c>
    </row>
    <row r="4724" spans="1:12" x14ac:dyDescent="0.25">
      <c r="A4724" t="s">
        <v>19</v>
      </c>
      <c r="B4724">
        <v>1128299</v>
      </c>
      <c r="C4724" s="1">
        <v>44399</v>
      </c>
      <c r="D4724" t="s">
        <v>12</v>
      </c>
      <c r="E4724" t="s">
        <v>39</v>
      </c>
      <c r="F4724" t="s">
        <v>40</v>
      </c>
      <c r="G4724" t="s">
        <v>41</v>
      </c>
      <c r="H4724" t="s">
        <v>35</v>
      </c>
      <c r="I4724" s="3">
        <v>51</v>
      </c>
      <c r="J4724" s="2">
        <v>133</v>
      </c>
      <c r="K4724" s="3">
        <f t="shared" si="73"/>
        <v>6783</v>
      </c>
      <c r="L4724" s="3">
        <v>3594.9900000000002</v>
      </c>
    </row>
    <row r="4725" spans="1:12" x14ac:dyDescent="0.25">
      <c r="A4725" t="s">
        <v>19</v>
      </c>
      <c r="B4725">
        <v>1128299</v>
      </c>
      <c r="C4725" s="1">
        <v>44399</v>
      </c>
      <c r="D4725" t="s">
        <v>12</v>
      </c>
      <c r="E4725" t="s">
        <v>39</v>
      </c>
      <c r="F4725" t="s">
        <v>40</v>
      </c>
      <c r="G4725" t="s">
        <v>41</v>
      </c>
      <c r="H4725" t="s">
        <v>38</v>
      </c>
      <c r="I4725" s="3">
        <v>49</v>
      </c>
      <c r="J4725" s="2">
        <v>196</v>
      </c>
      <c r="K4725" s="3">
        <f t="shared" si="73"/>
        <v>9604</v>
      </c>
      <c r="L4725" s="3">
        <v>4898.04</v>
      </c>
    </row>
    <row r="4726" spans="1:12" x14ac:dyDescent="0.25">
      <c r="A4726" t="s">
        <v>19</v>
      </c>
      <c r="B4726">
        <v>1128299</v>
      </c>
      <c r="C4726" s="1">
        <v>44399</v>
      </c>
      <c r="D4726" t="s">
        <v>12</v>
      </c>
      <c r="E4726" t="s">
        <v>39</v>
      </c>
      <c r="F4726" t="s">
        <v>40</v>
      </c>
      <c r="G4726" t="s">
        <v>41</v>
      </c>
      <c r="H4726" t="s">
        <v>17</v>
      </c>
      <c r="I4726" s="3">
        <v>50</v>
      </c>
      <c r="J4726" s="2">
        <v>142</v>
      </c>
      <c r="K4726" s="3">
        <f t="shared" si="73"/>
        <v>7100</v>
      </c>
      <c r="L4726" s="3">
        <v>3479</v>
      </c>
    </row>
    <row r="4727" spans="1:12" x14ac:dyDescent="0.25">
      <c r="A4727" t="s">
        <v>19</v>
      </c>
      <c r="B4727">
        <v>1128299</v>
      </c>
      <c r="C4727" s="1">
        <v>44400</v>
      </c>
      <c r="D4727" t="s">
        <v>32</v>
      </c>
      <c r="E4727" t="s">
        <v>82</v>
      </c>
      <c r="F4727" t="s">
        <v>83</v>
      </c>
      <c r="G4727" t="s">
        <v>18</v>
      </c>
      <c r="H4727" t="s">
        <v>16</v>
      </c>
      <c r="I4727" s="3">
        <v>105</v>
      </c>
      <c r="J4727" s="2">
        <v>600</v>
      </c>
      <c r="K4727" s="3">
        <f t="shared" si="73"/>
        <v>63000</v>
      </c>
      <c r="L4727" s="3">
        <v>44100</v>
      </c>
    </row>
    <row r="4728" spans="1:12" x14ac:dyDescent="0.25">
      <c r="A4728" t="s">
        <v>11</v>
      </c>
      <c r="B4728">
        <v>1128299</v>
      </c>
      <c r="C4728" s="1">
        <v>44400</v>
      </c>
      <c r="D4728" t="s">
        <v>12</v>
      </c>
      <c r="E4728" t="s">
        <v>84</v>
      </c>
      <c r="F4728" t="s">
        <v>31</v>
      </c>
      <c r="G4728" t="s">
        <v>18</v>
      </c>
      <c r="H4728" t="s">
        <v>16</v>
      </c>
      <c r="I4728" s="3">
        <v>105</v>
      </c>
      <c r="J4728" s="2">
        <v>600</v>
      </c>
      <c r="K4728" s="3">
        <f t="shared" si="73"/>
        <v>63000</v>
      </c>
      <c r="L4728" s="3">
        <v>44100</v>
      </c>
    </row>
    <row r="4729" spans="1:12" x14ac:dyDescent="0.25">
      <c r="A4729" t="s">
        <v>19</v>
      </c>
      <c r="B4729">
        <v>1128299</v>
      </c>
      <c r="C4729" s="1">
        <v>44400</v>
      </c>
      <c r="D4729" t="s">
        <v>32</v>
      </c>
      <c r="E4729" t="s">
        <v>82</v>
      </c>
      <c r="F4729" t="s">
        <v>83</v>
      </c>
      <c r="G4729" t="s">
        <v>18</v>
      </c>
      <c r="H4729" t="s">
        <v>38</v>
      </c>
      <c r="I4729" s="3">
        <v>85</v>
      </c>
      <c r="J4729" s="2">
        <v>850</v>
      </c>
      <c r="K4729" s="3">
        <f t="shared" si="73"/>
        <v>72250</v>
      </c>
      <c r="L4729" s="3">
        <v>46962.5</v>
      </c>
    </row>
    <row r="4730" spans="1:12" x14ac:dyDescent="0.25">
      <c r="A4730" t="s">
        <v>19</v>
      </c>
      <c r="B4730">
        <v>1128299</v>
      </c>
      <c r="C4730" s="1">
        <v>44400</v>
      </c>
      <c r="D4730" t="s">
        <v>32</v>
      </c>
      <c r="E4730" t="s">
        <v>82</v>
      </c>
      <c r="F4730" t="s">
        <v>83</v>
      </c>
      <c r="G4730" t="s">
        <v>18</v>
      </c>
      <c r="H4730" t="s">
        <v>17</v>
      </c>
      <c r="I4730" s="3">
        <v>90</v>
      </c>
      <c r="J4730" s="2">
        <v>700</v>
      </c>
      <c r="K4730" s="3">
        <f t="shared" si="73"/>
        <v>63000</v>
      </c>
      <c r="L4730" s="3">
        <v>40950</v>
      </c>
    </row>
    <row r="4731" spans="1:12" x14ac:dyDescent="0.25">
      <c r="A4731" t="s">
        <v>19</v>
      </c>
      <c r="B4731">
        <v>1128299</v>
      </c>
      <c r="C4731" s="1">
        <v>44400</v>
      </c>
      <c r="D4731" t="s">
        <v>32</v>
      </c>
      <c r="E4731" t="s">
        <v>82</v>
      </c>
      <c r="F4731" t="s">
        <v>83</v>
      </c>
      <c r="G4731" t="s">
        <v>18</v>
      </c>
      <c r="H4731" t="s">
        <v>35</v>
      </c>
      <c r="I4731" s="3">
        <v>90</v>
      </c>
      <c r="J4731" s="2">
        <v>650</v>
      </c>
      <c r="K4731" s="3">
        <f t="shared" si="73"/>
        <v>58500</v>
      </c>
      <c r="L4731" s="3">
        <v>38025</v>
      </c>
    </row>
    <row r="4732" spans="1:12" x14ac:dyDescent="0.25">
      <c r="A4732" t="s">
        <v>19</v>
      </c>
      <c r="B4732">
        <v>1128299</v>
      </c>
      <c r="C4732" s="1">
        <v>44400</v>
      </c>
      <c r="D4732" t="s">
        <v>32</v>
      </c>
      <c r="E4732" t="s">
        <v>82</v>
      </c>
      <c r="F4732" t="s">
        <v>83</v>
      </c>
      <c r="G4732" t="s">
        <v>18</v>
      </c>
      <c r="H4732" t="s">
        <v>37</v>
      </c>
      <c r="I4732" s="3">
        <v>85</v>
      </c>
      <c r="J4732" s="2">
        <v>550</v>
      </c>
      <c r="K4732" s="3">
        <f t="shared" si="73"/>
        <v>46750</v>
      </c>
      <c r="L4732" s="3">
        <v>30387.5</v>
      </c>
    </row>
    <row r="4733" spans="1:12" x14ac:dyDescent="0.25">
      <c r="A4733" t="s">
        <v>11</v>
      </c>
      <c r="B4733">
        <v>1128299</v>
      </c>
      <c r="C4733" s="1">
        <v>44400</v>
      </c>
      <c r="D4733" t="s">
        <v>12</v>
      </c>
      <c r="E4733" t="s">
        <v>84</v>
      </c>
      <c r="F4733" t="s">
        <v>31</v>
      </c>
      <c r="G4733" t="s">
        <v>18</v>
      </c>
      <c r="H4733" t="s">
        <v>38</v>
      </c>
      <c r="I4733" s="3">
        <v>85</v>
      </c>
      <c r="J4733" s="2">
        <v>850</v>
      </c>
      <c r="K4733" s="3">
        <f t="shared" si="73"/>
        <v>72250</v>
      </c>
      <c r="L4733" s="3">
        <v>46962.5</v>
      </c>
    </row>
    <row r="4734" spans="1:12" x14ac:dyDescent="0.25">
      <c r="A4734" t="s">
        <v>11</v>
      </c>
      <c r="B4734">
        <v>1128299</v>
      </c>
      <c r="C4734" s="1">
        <v>44400</v>
      </c>
      <c r="D4734" t="s">
        <v>12</v>
      </c>
      <c r="E4734" t="s">
        <v>84</v>
      </c>
      <c r="F4734" t="s">
        <v>31</v>
      </c>
      <c r="G4734" t="s">
        <v>18</v>
      </c>
      <c r="H4734" t="s">
        <v>17</v>
      </c>
      <c r="I4734" s="3">
        <v>90</v>
      </c>
      <c r="J4734" s="2">
        <v>700</v>
      </c>
      <c r="K4734" s="3">
        <f t="shared" si="73"/>
        <v>63000</v>
      </c>
      <c r="L4734" s="3">
        <v>40950</v>
      </c>
    </row>
    <row r="4735" spans="1:12" x14ac:dyDescent="0.25">
      <c r="A4735" t="s">
        <v>11</v>
      </c>
      <c r="B4735">
        <v>1128299</v>
      </c>
      <c r="C4735" s="1">
        <v>44400</v>
      </c>
      <c r="D4735" t="s">
        <v>12</v>
      </c>
      <c r="E4735" t="s">
        <v>84</v>
      </c>
      <c r="F4735" t="s">
        <v>31</v>
      </c>
      <c r="G4735" t="s">
        <v>18</v>
      </c>
      <c r="H4735" t="s">
        <v>35</v>
      </c>
      <c r="I4735" s="3">
        <v>90</v>
      </c>
      <c r="J4735" s="2">
        <v>650</v>
      </c>
      <c r="K4735" s="3">
        <f t="shared" si="73"/>
        <v>58500</v>
      </c>
      <c r="L4735" s="3">
        <v>38025</v>
      </c>
    </row>
    <row r="4736" spans="1:12" x14ac:dyDescent="0.25">
      <c r="A4736" t="s">
        <v>11</v>
      </c>
      <c r="B4736">
        <v>1128299</v>
      </c>
      <c r="C4736" s="1">
        <v>44400</v>
      </c>
      <c r="D4736" t="s">
        <v>12</v>
      </c>
      <c r="E4736" t="s">
        <v>84</v>
      </c>
      <c r="F4736" t="s">
        <v>31</v>
      </c>
      <c r="G4736" t="s">
        <v>18</v>
      </c>
      <c r="H4736" t="s">
        <v>37</v>
      </c>
      <c r="I4736" s="3">
        <v>85</v>
      </c>
      <c r="J4736" s="2">
        <v>550</v>
      </c>
      <c r="K4736" s="3">
        <f t="shared" si="73"/>
        <v>46750</v>
      </c>
      <c r="L4736" s="3">
        <v>30387.5</v>
      </c>
    </row>
    <row r="4737" spans="1:12" x14ac:dyDescent="0.25">
      <c r="A4737" t="s">
        <v>19</v>
      </c>
      <c r="B4737">
        <v>1185732</v>
      </c>
      <c r="C4737" s="1">
        <v>44400</v>
      </c>
      <c r="D4737" t="s">
        <v>57</v>
      </c>
      <c r="E4737" t="s">
        <v>118</v>
      </c>
      <c r="F4737" t="s">
        <v>119</v>
      </c>
      <c r="G4737" t="s">
        <v>15</v>
      </c>
      <c r="H4737" t="s">
        <v>37</v>
      </c>
      <c r="I4737" s="3">
        <v>30.000000000000004</v>
      </c>
      <c r="J4737" s="2">
        <v>125</v>
      </c>
      <c r="K4737" s="3">
        <f t="shared" si="73"/>
        <v>3750.0000000000005</v>
      </c>
      <c r="L4737" s="3">
        <v>2250.0000000000005</v>
      </c>
    </row>
    <row r="4738" spans="1:12" x14ac:dyDescent="0.25">
      <c r="A4738" t="s">
        <v>19</v>
      </c>
      <c r="B4738">
        <v>1128299</v>
      </c>
      <c r="C4738" s="1">
        <v>44400</v>
      </c>
      <c r="D4738" t="s">
        <v>32</v>
      </c>
      <c r="E4738" t="s">
        <v>82</v>
      </c>
      <c r="F4738" t="s">
        <v>83</v>
      </c>
      <c r="G4738" t="s">
        <v>18</v>
      </c>
      <c r="H4738" t="s">
        <v>22</v>
      </c>
      <c r="I4738" s="3">
        <v>90</v>
      </c>
      <c r="J4738" s="2">
        <v>600</v>
      </c>
      <c r="K4738" s="3">
        <f t="shared" si="73"/>
        <v>54000</v>
      </c>
      <c r="L4738" s="3">
        <v>32400</v>
      </c>
    </row>
    <row r="4739" spans="1:12" x14ac:dyDescent="0.25">
      <c r="A4739" t="s">
        <v>11</v>
      </c>
      <c r="B4739">
        <v>1128299</v>
      </c>
      <c r="C4739" s="1">
        <v>44400</v>
      </c>
      <c r="D4739" t="s">
        <v>12</v>
      </c>
      <c r="E4739" t="s">
        <v>84</v>
      </c>
      <c r="F4739" t="s">
        <v>31</v>
      </c>
      <c r="G4739" t="s">
        <v>18</v>
      </c>
      <c r="H4739" t="s">
        <v>22</v>
      </c>
      <c r="I4739" s="3">
        <v>90</v>
      </c>
      <c r="J4739" s="2">
        <v>600</v>
      </c>
      <c r="K4739" s="3">
        <f t="shared" ref="K4739:K4802" si="74">I4739*J4739</f>
        <v>54000</v>
      </c>
      <c r="L4739" s="3">
        <v>32400</v>
      </c>
    </row>
    <row r="4740" spans="1:12" x14ac:dyDescent="0.25">
      <c r="A4740" t="s">
        <v>19</v>
      </c>
      <c r="B4740">
        <v>1185732</v>
      </c>
      <c r="C4740" s="1">
        <v>44400</v>
      </c>
      <c r="D4740" t="s">
        <v>57</v>
      </c>
      <c r="E4740" t="s">
        <v>95</v>
      </c>
      <c r="F4740" t="s">
        <v>96</v>
      </c>
      <c r="G4740" t="s">
        <v>15</v>
      </c>
      <c r="H4740" t="s">
        <v>16</v>
      </c>
      <c r="I4740" s="3">
        <v>55.000000000000007</v>
      </c>
      <c r="J4740" s="2">
        <v>250</v>
      </c>
      <c r="K4740" s="3">
        <f t="shared" si="74"/>
        <v>13750.000000000002</v>
      </c>
      <c r="L4740" s="3">
        <v>6875.0000000000018</v>
      </c>
    </row>
    <row r="4741" spans="1:12" x14ac:dyDescent="0.25">
      <c r="A4741" t="s">
        <v>19</v>
      </c>
      <c r="B4741">
        <v>1128299</v>
      </c>
      <c r="C4741" s="1">
        <v>44400</v>
      </c>
      <c r="D4741" t="s">
        <v>32</v>
      </c>
      <c r="E4741" t="s">
        <v>82</v>
      </c>
      <c r="F4741" t="s">
        <v>83</v>
      </c>
      <c r="G4741" t="s">
        <v>15</v>
      </c>
      <c r="H4741" t="s">
        <v>16</v>
      </c>
      <c r="I4741" s="3">
        <v>82</v>
      </c>
      <c r="J4741" s="2">
        <v>186</v>
      </c>
      <c r="K4741" s="3">
        <f t="shared" si="74"/>
        <v>15252</v>
      </c>
      <c r="L4741" s="3">
        <v>10218.84</v>
      </c>
    </row>
    <row r="4742" spans="1:12" x14ac:dyDescent="0.25">
      <c r="A4742" t="s">
        <v>11</v>
      </c>
      <c r="B4742">
        <v>1128299</v>
      </c>
      <c r="C4742" s="1">
        <v>44400</v>
      </c>
      <c r="D4742" t="s">
        <v>12</v>
      </c>
      <c r="E4742" t="s">
        <v>84</v>
      </c>
      <c r="F4742" t="s">
        <v>31</v>
      </c>
      <c r="G4742" t="s">
        <v>15</v>
      </c>
      <c r="H4742" t="s">
        <v>16</v>
      </c>
      <c r="I4742" s="3">
        <v>78</v>
      </c>
      <c r="J4742" s="2">
        <v>204</v>
      </c>
      <c r="K4742" s="3">
        <f t="shared" si="74"/>
        <v>15912</v>
      </c>
      <c r="L4742" s="3">
        <v>10342.799999999999</v>
      </c>
    </row>
    <row r="4743" spans="1:12" x14ac:dyDescent="0.25">
      <c r="A4743" t="s">
        <v>19</v>
      </c>
      <c r="B4743">
        <v>1128299</v>
      </c>
      <c r="C4743" s="1">
        <v>44400</v>
      </c>
      <c r="D4743" t="s">
        <v>32</v>
      </c>
      <c r="E4743" t="s">
        <v>82</v>
      </c>
      <c r="F4743" t="s">
        <v>83</v>
      </c>
      <c r="G4743" t="s">
        <v>15</v>
      </c>
      <c r="H4743" t="s">
        <v>38</v>
      </c>
      <c r="I4743" s="3">
        <v>60</v>
      </c>
      <c r="J4743" s="2">
        <v>272</v>
      </c>
      <c r="K4743" s="3">
        <f t="shared" si="74"/>
        <v>16320</v>
      </c>
      <c r="L4743" s="3">
        <v>10281.6</v>
      </c>
    </row>
    <row r="4744" spans="1:12" x14ac:dyDescent="0.25">
      <c r="A4744" t="s">
        <v>19</v>
      </c>
      <c r="B4744">
        <v>1128299</v>
      </c>
      <c r="C4744" s="1">
        <v>44400</v>
      </c>
      <c r="D4744" t="s">
        <v>32</v>
      </c>
      <c r="E4744" t="s">
        <v>82</v>
      </c>
      <c r="F4744" t="s">
        <v>83</v>
      </c>
      <c r="G4744" t="s">
        <v>15</v>
      </c>
      <c r="H4744" t="s">
        <v>17</v>
      </c>
      <c r="I4744" s="3">
        <v>60</v>
      </c>
      <c r="J4744" s="2">
        <v>224</v>
      </c>
      <c r="K4744" s="3">
        <f t="shared" si="74"/>
        <v>13440</v>
      </c>
      <c r="L4744" s="3">
        <v>8332.7999999999993</v>
      </c>
    </row>
    <row r="4745" spans="1:12" x14ac:dyDescent="0.25">
      <c r="A4745" t="s">
        <v>19</v>
      </c>
      <c r="B4745">
        <v>1128299</v>
      </c>
      <c r="C4745" s="1">
        <v>44400</v>
      </c>
      <c r="D4745" t="s">
        <v>32</v>
      </c>
      <c r="E4745" t="s">
        <v>82</v>
      </c>
      <c r="F4745" t="s">
        <v>83</v>
      </c>
      <c r="G4745" t="s">
        <v>15</v>
      </c>
      <c r="H4745" t="s">
        <v>35</v>
      </c>
      <c r="I4745" s="3">
        <v>62</v>
      </c>
      <c r="J4745" s="2">
        <v>208</v>
      </c>
      <c r="K4745" s="3">
        <f t="shared" si="74"/>
        <v>12896</v>
      </c>
      <c r="L4745" s="3">
        <v>7995.5199999999995</v>
      </c>
    </row>
    <row r="4746" spans="1:12" x14ac:dyDescent="0.25">
      <c r="A4746" t="s">
        <v>19</v>
      </c>
      <c r="B4746">
        <v>1128299</v>
      </c>
      <c r="C4746" s="1">
        <v>44400</v>
      </c>
      <c r="D4746" t="s">
        <v>32</v>
      </c>
      <c r="E4746" t="s">
        <v>82</v>
      </c>
      <c r="F4746" t="s">
        <v>83</v>
      </c>
      <c r="G4746" t="s">
        <v>41</v>
      </c>
      <c r="H4746" t="s">
        <v>16</v>
      </c>
      <c r="I4746" s="3">
        <v>96</v>
      </c>
      <c r="J4746" s="2">
        <v>180</v>
      </c>
      <c r="K4746" s="3">
        <f t="shared" si="74"/>
        <v>17280</v>
      </c>
      <c r="L4746" s="3">
        <v>10368</v>
      </c>
    </row>
    <row r="4747" spans="1:12" x14ac:dyDescent="0.25">
      <c r="A4747" t="s">
        <v>11</v>
      </c>
      <c r="B4747">
        <v>1128299</v>
      </c>
      <c r="C4747" s="1">
        <v>44400</v>
      </c>
      <c r="D4747" t="s">
        <v>12</v>
      </c>
      <c r="E4747" t="s">
        <v>84</v>
      </c>
      <c r="F4747" t="s">
        <v>31</v>
      </c>
      <c r="G4747" t="s">
        <v>15</v>
      </c>
      <c r="H4747" t="s">
        <v>17</v>
      </c>
      <c r="I4747" s="3">
        <v>66</v>
      </c>
      <c r="J4747" s="2">
        <v>217</v>
      </c>
      <c r="K4747" s="3">
        <f t="shared" si="74"/>
        <v>14322</v>
      </c>
      <c r="L4747" s="3">
        <v>8449.98</v>
      </c>
    </row>
    <row r="4748" spans="1:12" x14ac:dyDescent="0.25">
      <c r="A4748" t="s">
        <v>11</v>
      </c>
      <c r="B4748">
        <v>1128299</v>
      </c>
      <c r="C4748" s="1">
        <v>44400</v>
      </c>
      <c r="D4748" t="s">
        <v>12</v>
      </c>
      <c r="E4748" t="s">
        <v>84</v>
      </c>
      <c r="F4748" t="s">
        <v>31</v>
      </c>
      <c r="G4748" t="s">
        <v>15</v>
      </c>
      <c r="H4748" t="s">
        <v>37</v>
      </c>
      <c r="I4748" s="3">
        <v>61</v>
      </c>
      <c r="J4748" s="2">
        <v>171</v>
      </c>
      <c r="K4748" s="3">
        <f t="shared" si="74"/>
        <v>10431</v>
      </c>
      <c r="L4748" s="3">
        <v>6154.29</v>
      </c>
    </row>
    <row r="4749" spans="1:12" x14ac:dyDescent="0.25">
      <c r="A4749" t="s">
        <v>19</v>
      </c>
      <c r="B4749">
        <v>1128299</v>
      </c>
      <c r="C4749" s="1">
        <v>44400</v>
      </c>
      <c r="D4749" t="s">
        <v>32</v>
      </c>
      <c r="E4749" t="s">
        <v>82</v>
      </c>
      <c r="F4749" t="s">
        <v>83</v>
      </c>
      <c r="G4749" t="s">
        <v>15</v>
      </c>
      <c r="H4749" t="s">
        <v>37</v>
      </c>
      <c r="I4749" s="3">
        <v>65</v>
      </c>
      <c r="J4749" s="2">
        <v>187</v>
      </c>
      <c r="K4749" s="3">
        <f t="shared" si="74"/>
        <v>12155</v>
      </c>
      <c r="L4749" s="3">
        <v>7049.9000000000005</v>
      </c>
    </row>
    <row r="4750" spans="1:12" x14ac:dyDescent="0.25">
      <c r="A4750" t="s">
        <v>11</v>
      </c>
      <c r="B4750">
        <v>1128299</v>
      </c>
      <c r="C4750" s="1">
        <v>44400</v>
      </c>
      <c r="D4750" t="s">
        <v>12</v>
      </c>
      <c r="E4750" t="s">
        <v>84</v>
      </c>
      <c r="F4750" t="s">
        <v>31</v>
      </c>
      <c r="G4750" t="s">
        <v>15</v>
      </c>
      <c r="H4750" t="s">
        <v>38</v>
      </c>
      <c r="I4750" s="3">
        <v>60</v>
      </c>
      <c r="J4750" s="2">
        <v>298</v>
      </c>
      <c r="K4750" s="3">
        <f t="shared" si="74"/>
        <v>17880</v>
      </c>
      <c r="L4750" s="3">
        <v>10370.400000000001</v>
      </c>
    </row>
    <row r="4751" spans="1:12" x14ac:dyDescent="0.25">
      <c r="A4751" t="s">
        <v>11</v>
      </c>
      <c r="B4751">
        <v>1128299</v>
      </c>
      <c r="C4751" s="1">
        <v>44400</v>
      </c>
      <c r="D4751" t="s">
        <v>12</v>
      </c>
      <c r="E4751" t="s">
        <v>84</v>
      </c>
      <c r="F4751" t="s">
        <v>31</v>
      </c>
      <c r="G4751" t="s">
        <v>15</v>
      </c>
      <c r="H4751" t="s">
        <v>35</v>
      </c>
      <c r="I4751" s="3">
        <v>66</v>
      </c>
      <c r="J4751" s="2">
        <v>221</v>
      </c>
      <c r="K4751" s="3">
        <f t="shared" si="74"/>
        <v>14586</v>
      </c>
      <c r="L4751" s="3">
        <v>8459.880000000001</v>
      </c>
    </row>
    <row r="4752" spans="1:12" x14ac:dyDescent="0.25">
      <c r="A4752" t="s">
        <v>11</v>
      </c>
      <c r="B4752">
        <v>1128299</v>
      </c>
      <c r="C4752" s="1">
        <v>44400</v>
      </c>
      <c r="D4752" t="s">
        <v>12</v>
      </c>
      <c r="E4752" t="s">
        <v>84</v>
      </c>
      <c r="F4752" t="s">
        <v>31</v>
      </c>
      <c r="G4752" t="s">
        <v>41</v>
      </c>
      <c r="H4752" t="s">
        <v>16</v>
      </c>
      <c r="I4752" s="3">
        <v>97</v>
      </c>
      <c r="J4752" s="2">
        <v>150</v>
      </c>
      <c r="K4752" s="3">
        <f t="shared" si="74"/>
        <v>14550</v>
      </c>
      <c r="L4752" s="3">
        <v>8439</v>
      </c>
    </row>
    <row r="4753" spans="1:12" x14ac:dyDescent="0.25">
      <c r="A4753" t="s">
        <v>19</v>
      </c>
      <c r="B4753">
        <v>1128299</v>
      </c>
      <c r="C4753" s="1">
        <v>44400</v>
      </c>
      <c r="D4753" t="s">
        <v>32</v>
      </c>
      <c r="E4753" t="s">
        <v>82</v>
      </c>
      <c r="F4753" t="s">
        <v>83</v>
      </c>
      <c r="G4753" t="s">
        <v>15</v>
      </c>
      <c r="H4753" t="s">
        <v>22</v>
      </c>
      <c r="I4753" s="3">
        <v>72</v>
      </c>
      <c r="J4753" s="2">
        <v>210</v>
      </c>
      <c r="K4753" s="3">
        <f t="shared" si="74"/>
        <v>15120</v>
      </c>
      <c r="L4753" s="3">
        <v>8618.4</v>
      </c>
    </row>
    <row r="4754" spans="1:12" x14ac:dyDescent="0.25">
      <c r="A4754" t="s">
        <v>19</v>
      </c>
      <c r="B4754">
        <v>1128299</v>
      </c>
      <c r="C4754" s="1">
        <v>44400</v>
      </c>
      <c r="D4754" t="s">
        <v>32</v>
      </c>
      <c r="E4754" t="s">
        <v>82</v>
      </c>
      <c r="F4754" t="s">
        <v>83</v>
      </c>
      <c r="G4754" t="s">
        <v>41</v>
      </c>
      <c r="H4754" t="s">
        <v>35</v>
      </c>
      <c r="I4754" s="3">
        <v>86</v>
      </c>
      <c r="J4754" s="2">
        <v>182</v>
      </c>
      <c r="K4754" s="3">
        <f t="shared" si="74"/>
        <v>15652</v>
      </c>
      <c r="L4754" s="3">
        <v>8608.6</v>
      </c>
    </row>
    <row r="4755" spans="1:12" x14ac:dyDescent="0.25">
      <c r="A4755" t="s">
        <v>19</v>
      </c>
      <c r="B4755">
        <v>1128299</v>
      </c>
      <c r="C4755" s="1">
        <v>44400</v>
      </c>
      <c r="D4755" t="s">
        <v>32</v>
      </c>
      <c r="E4755" t="s">
        <v>82</v>
      </c>
      <c r="F4755" t="s">
        <v>83</v>
      </c>
      <c r="G4755" t="s">
        <v>41</v>
      </c>
      <c r="H4755" t="s">
        <v>37</v>
      </c>
      <c r="I4755" s="3">
        <v>82</v>
      </c>
      <c r="J4755" s="2">
        <v>149</v>
      </c>
      <c r="K4755" s="3">
        <f t="shared" si="74"/>
        <v>12218</v>
      </c>
      <c r="L4755" s="3">
        <v>6597.72</v>
      </c>
    </row>
    <row r="4756" spans="1:12" x14ac:dyDescent="0.25">
      <c r="A4756" t="s">
        <v>11</v>
      </c>
      <c r="B4756">
        <v>1128299</v>
      </c>
      <c r="C4756" s="1">
        <v>44400</v>
      </c>
      <c r="D4756" t="s">
        <v>12</v>
      </c>
      <c r="E4756" t="s">
        <v>84</v>
      </c>
      <c r="F4756" t="s">
        <v>31</v>
      </c>
      <c r="G4756" t="s">
        <v>15</v>
      </c>
      <c r="H4756" t="s">
        <v>22</v>
      </c>
      <c r="I4756" s="3">
        <v>68</v>
      </c>
      <c r="J4756" s="2">
        <v>198</v>
      </c>
      <c r="K4756" s="3">
        <f t="shared" si="74"/>
        <v>13464</v>
      </c>
      <c r="L4756" s="3">
        <v>7270.5599999999995</v>
      </c>
    </row>
    <row r="4757" spans="1:12" x14ac:dyDescent="0.25">
      <c r="A4757" t="s">
        <v>11</v>
      </c>
      <c r="B4757">
        <v>1128299</v>
      </c>
      <c r="C4757" s="1">
        <v>44400</v>
      </c>
      <c r="D4757" t="s">
        <v>12</v>
      </c>
      <c r="E4757" t="s">
        <v>84</v>
      </c>
      <c r="F4757" t="s">
        <v>31</v>
      </c>
      <c r="G4757" t="s">
        <v>41</v>
      </c>
      <c r="H4757" t="s">
        <v>17</v>
      </c>
      <c r="I4757" s="3">
        <v>85</v>
      </c>
      <c r="J4757" s="2">
        <v>196</v>
      </c>
      <c r="K4757" s="3">
        <f t="shared" si="74"/>
        <v>16660</v>
      </c>
      <c r="L4757" s="3">
        <v>8829.7999999999993</v>
      </c>
    </row>
    <row r="4758" spans="1:12" x14ac:dyDescent="0.25">
      <c r="A4758" t="s">
        <v>11</v>
      </c>
      <c r="B4758">
        <v>1128299</v>
      </c>
      <c r="C4758" s="1">
        <v>44400</v>
      </c>
      <c r="D4758" t="s">
        <v>12</v>
      </c>
      <c r="E4758" t="s">
        <v>84</v>
      </c>
      <c r="F4758" t="s">
        <v>31</v>
      </c>
      <c r="G4758" t="s">
        <v>41</v>
      </c>
      <c r="H4758" t="s">
        <v>35</v>
      </c>
      <c r="I4758" s="3">
        <v>86</v>
      </c>
      <c r="J4758" s="2">
        <v>163</v>
      </c>
      <c r="K4758" s="3">
        <f t="shared" si="74"/>
        <v>14018</v>
      </c>
      <c r="L4758" s="3">
        <v>7429.54</v>
      </c>
    </row>
    <row r="4759" spans="1:12" x14ac:dyDescent="0.25">
      <c r="A4759" t="s">
        <v>11</v>
      </c>
      <c r="B4759">
        <v>1128299</v>
      </c>
      <c r="C4759" s="1">
        <v>44400</v>
      </c>
      <c r="D4759" t="s">
        <v>12</v>
      </c>
      <c r="E4759" t="s">
        <v>84</v>
      </c>
      <c r="F4759" t="s">
        <v>31</v>
      </c>
      <c r="G4759" t="s">
        <v>41</v>
      </c>
      <c r="H4759" t="s">
        <v>37</v>
      </c>
      <c r="I4759" s="3">
        <v>82</v>
      </c>
      <c r="J4759" s="2">
        <v>165</v>
      </c>
      <c r="K4759" s="3">
        <f t="shared" si="74"/>
        <v>13530</v>
      </c>
      <c r="L4759" s="3">
        <v>7035.6</v>
      </c>
    </row>
    <row r="4760" spans="1:12" x14ac:dyDescent="0.25">
      <c r="A4760" t="s">
        <v>11</v>
      </c>
      <c r="B4760">
        <v>1128299</v>
      </c>
      <c r="C4760" s="1">
        <v>44400</v>
      </c>
      <c r="D4760" t="s">
        <v>12</v>
      </c>
      <c r="E4760" t="s">
        <v>84</v>
      </c>
      <c r="F4760" t="s">
        <v>31</v>
      </c>
      <c r="G4760" t="s">
        <v>41</v>
      </c>
      <c r="H4760" t="s">
        <v>38</v>
      </c>
      <c r="I4760" s="3">
        <v>79</v>
      </c>
      <c r="J4760" s="2">
        <v>255</v>
      </c>
      <c r="K4760" s="3">
        <f t="shared" si="74"/>
        <v>20145</v>
      </c>
      <c r="L4760" s="3">
        <v>10475.4</v>
      </c>
    </row>
    <row r="4761" spans="1:12" x14ac:dyDescent="0.25">
      <c r="A4761" t="s">
        <v>19</v>
      </c>
      <c r="B4761">
        <v>1128299</v>
      </c>
      <c r="C4761" s="1">
        <v>44400</v>
      </c>
      <c r="D4761" t="s">
        <v>32</v>
      </c>
      <c r="E4761" t="s">
        <v>82</v>
      </c>
      <c r="F4761" t="s">
        <v>83</v>
      </c>
      <c r="G4761" t="s">
        <v>41</v>
      </c>
      <c r="H4761" t="s">
        <v>38</v>
      </c>
      <c r="I4761" s="3">
        <v>79</v>
      </c>
      <c r="J4761" s="2">
        <v>255</v>
      </c>
      <c r="K4761" s="3">
        <f t="shared" si="74"/>
        <v>20145</v>
      </c>
      <c r="L4761" s="3">
        <v>10072.5</v>
      </c>
    </row>
    <row r="4762" spans="1:12" x14ac:dyDescent="0.25">
      <c r="A4762" t="s">
        <v>19</v>
      </c>
      <c r="B4762">
        <v>1128299</v>
      </c>
      <c r="C4762" s="1">
        <v>44400</v>
      </c>
      <c r="D4762" t="s">
        <v>32</v>
      </c>
      <c r="E4762" t="s">
        <v>82</v>
      </c>
      <c r="F4762" t="s">
        <v>83</v>
      </c>
      <c r="G4762" t="s">
        <v>41</v>
      </c>
      <c r="H4762" t="s">
        <v>17</v>
      </c>
      <c r="I4762" s="3">
        <v>81</v>
      </c>
      <c r="J4762" s="2">
        <v>203</v>
      </c>
      <c r="K4762" s="3">
        <f t="shared" si="74"/>
        <v>16443</v>
      </c>
      <c r="L4762" s="3">
        <v>8221.5</v>
      </c>
    </row>
    <row r="4763" spans="1:12" x14ac:dyDescent="0.25">
      <c r="A4763" t="s">
        <v>11</v>
      </c>
      <c r="B4763">
        <v>1128299</v>
      </c>
      <c r="C4763" s="1">
        <v>44400</v>
      </c>
      <c r="D4763" t="s">
        <v>12</v>
      </c>
      <c r="E4763" t="s">
        <v>84</v>
      </c>
      <c r="F4763" t="s">
        <v>31</v>
      </c>
      <c r="G4763" t="s">
        <v>41</v>
      </c>
      <c r="H4763" t="s">
        <v>22</v>
      </c>
      <c r="I4763" s="3">
        <v>84</v>
      </c>
      <c r="J4763" s="2">
        <v>156</v>
      </c>
      <c r="K4763" s="3">
        <f t="shared" si="74"/>
        <v>13104</v>
      </c>
      <c r="L4763" s="3">
        <v>6552</v>
      </c>
    </row>
    <row r="4764" spans="1:12" x14ac:dyDescent="0.25">
      <c r="A4764" t="s">
        <v>19</v>
      </c>
      <c r="B4764">
        <v>1185732</v>
      </c>
      <c r="C4764" s="1">
        <v>44400</v>
      </c>
      <c r="D4764" t="s">
        <v>57</v>
      </c>
      <c r="E4764" t="s">
        <v>118</v>
      </c>
      <c r="F4764" t="s">
        <v>119</v>
      </c>
      <c r="G4764" t="s">
        <v>41</v>
      </c>
      <c r="H4764" t="s">
        <v>37</v>
      </c>
      <c r="I4764" s="3">
        <v>27</v>
      </c>
      <c r="J4764" s="2">
        <v>36</v>
      </c>
      <c r="K4764" s="3">
        <f t="shared" si="74"/>
        <v>972</v>
      </c>
      <c r="L4764" s="3">
        <v>437.4</v>
      </c>
    </row>
    <row r="4765" spans="1:12" x14ac:dyDescent="0.25">
      <c r="A4765" t="s">
        <v>19</v>
      </c>
      <c r="B4765">
        <v>1128299</v>
      </c>
      <c r="C4765" s="1">
        <v>44400</v>
      </c>
      <c r="D4765" t="s">
        <v>32</v>
      </c>
      <c r="E4765" t="s">
        <v>82</v>
      </c>
      <c r="F4765" t="s">
        <v>83</v>
      </c>
      <c r="G4765" t="s">
        <v>41</v>
      </c>
      <c r="H4765" t="s">
        <v>22</v>
      </c>
      <c r="I4765" s="3">
        <v>85</v>
      </c>
      <c r="J4765" s="2">
        <v>162</v>
      </c>
      <c r="K4765" s="3">
        <f t="shared" si="74"/>
        <v>13770</v>
      </c>
      <c r="L4765" s="3">
        <v>6196.4999999999991</v>
      </c>
    </row>
    <row r="4766" spans="1:12" x14ac:dyDescent="0.25">
      <c r="A4766" t="s">
        <v>19</v>
      </c>
      <c r="B4766">
        <v>1185732</v>
      </c>
      <c r="C4766" s="1">
        <v>44400</v>
      </c>
      <c r="D4766" t="s">
        <v>57</v>
      </c>
      <c r="E4766" t="s">
        <v>95</v>
      </c>
      <c r="F4766" t="s">
        <v>96</v>
      </c>
      <c r="G4766" t="s">
        <v>41</v>
      </c>
      <c r="H4766" t="s">
        <v>16</v>
      </c>
      <c r="I4766" s="3">
        <v>53</v>
      </c>
      <c r="J4766" s="2">
        <v>73</v>
      </c>
      <c r="K4766" s="3">
        <f t="shared" si="74"/>
        <v>3869</v>
      </c>
      <c r="L4766" s="3">
        <v>1392.8400000000001</v>
      </c>
    </row>
    <row r="4767" spans="1:12" x14ac:dyDescent="0.25">
      <c r="A4767" t="s">
        <v>19</v>
      </c>
      <c r="B4767">
        <v>1185732</v>
      </c>
      <c r="C4767" s="1">
        <v>44401</v>
      </c>
      <c r="D4767" t="s">
        <v>57</v>
      </c>
      <c r="E4767" t="s">
        <v>118</v>
      </c>
      <c r="F4767" t="s">
        <v>119</v>
      </c>
      <c r="G4767" t="s">
        <v>15</v>
      </c>
      <c r="H4767" t="s">
        <v>22</v>
      </c>
      <c r="I4767" s="3">
        <v>49.999999999999993</v>
      </c>
      <c r="J4767" s="2">
        <v>100</v>
      </c>
      <c r="K4767" s="3">
        <f t="shared" si="74"/>
        <v>4999.9999999999991</v>
      </c>
      <c r="L4767" s="3">
        <v>3249.9999999999995</v>
      </c>
    </row>
    <row r="4768" spans="1:12" x14ac:dyDescent="0.25">
      <c r="A4768" t="s">
        <v>19</v>
      </c>
      <c r="B4768">
        <v>1185732</v>
      </c>
      <c r="C4768" s="1">
        <v>44401</v>
      </c>
      <c r="D4768" t="s">
        <v>57</v>
      </c>
      <c r="E4768" t="s">
        <v>95</v>
      </c>
      <c r="F4768" t="s">
        <v>96</v>
      </c>
      <c r="G4768" t="s">
        <v>15</v>
      </c>
      <c r="H4768" t="s">
        <v>38</v>
      </c>
      <c r="I4768" s="3">
        <v>60</v>
      </c>
      <c r="J4768" s="2">
        <v>425</v>
      </c>
      <c r="K4768" s="3">
        <f t="shared" si="74"/>
        <v>25500</v>
      </c>
      <c r="L4768" s="3">
        <v>15300</v>
      </c>
    </row>
    <row r="4769" spans="1:12" x14ac:dyDescent="0.25">
      <c r="A4769" t="s">
        <v>19</v>
      </c>
      <c r="B4769">
        <v>1185732</v>
      </c>
      <c r="C4769" s="1">
        <v>44401</v>
      </c>
      <c r="D4769" t="s">
        <v>57</v>
      </c>
      <c r="E4769" t="s">
        <v>118</v>
      </c>
      <c r="F4769" t="s">
        <v>119</v>
      </c>
      <c r="G4769" t="s">
        <v>41</v>
      </c>
      <c r="H4769" t="s">
        <v>22</v>
      </c>
      <c r="I4769" s="3">
        <v>48</v>
      </c>
      <c r="J4769" s="2">
        <v>27</v>
      </c>
      <c r="K4769" s="3">
        <f t="shared" si="74"/>
        <v>1296</v>
      </c>
      <c r="L4769" s="3">
        <v>712.80000000000007</v>
      </c>
    </row>
    <row r="4770" spans="1:12" x14ac:dyDescent="0.25">
      <c r="A4770" t="s">
        <v>19</v>
      </c>
      <c r="B4770">
        <v>1185732</v>
      </c>
      <c r="C4770" s="1">
        <v>44401</v>
      </c>
      <c r="D4770" t="s">
        <v>57</v>
      </c>
      <c r="E4770" t="s">
        <v>95</v>
      </c>
      <c r="F4770" t="s">
        <v>96</v>
      </c>
      <c r="G4770" t="s">
        <v>41</v>
      </c>
      <c r="H4770" t="s">
        <v>38</v>
      </c>
      <c r="I4770" s="3">
        <v>56</v>
      </c>
      <c r="J4770" s="2">
        <v>115</v>
      </c>
      <c r="K4770" s="3">
        <f t="shared" si="74"/>
        <v>6440</v>
      </c>
      <c r="L4770" s="3">
        <v>2897.9999999999995</v>
      </c>
    </row>
    <row r="4771" spans="1:12" x14ac:dyDescent="0.25">
      <c r="A4771" t="s">
        <v>27</v>
      </c>
      <c r="B4771">
        <v>1128299</v>
      </c>
      <c r="C4771" s="1">
        <v>44402</v>
      </c>
      <c r="D4771" t="s">
        <v>12</v>
      </c>
      <c r="E4771" t="s">
        <v>42</v>
      </c>
      <c r="F4771" t="s">
        <v>43</v>
      </c>
      <c r="G4771" t="s">
        <v>41</v>
      </c>
      <c r="H4771" t="s">
        <v>16</v>
      </c>
      <c r="I4771" s="3">
        <v>75.000000000000014</v>
      </c>
      <c r="J4771" s="2">
        <v>500</v>
      </c>
      <c r="K4771" s="3">
        <f t="shared" si="74"/>
        <v>37500.000000000007</v>
      </c>
      <c r="L4771" s="3">
        <v>28125.000000000007</v>
      </c>
    </row>
    <row r="4772" spans="1:12" x14ac:dyDescent="0.25">
      <c r="A4772" t="s">
        <v>27</v>
      </c>
      <c r="B4772">
        <v>1128299</v>
      </c>
      <c r="C4772" s="1">
        <v>44402</v>
      </c>
      <c r="D4772" t="s">
        <v>12</v>
      </c>
      <c r="E4772" t="s">
        <v>42</v>
      </c>
      <c r="F4772" t="s">
        <v>43</v>
      </c>
      <c r="G4772" t="s">
        <v>41</v>
      </c>
      <c r="H4772" t="s">
        <v>22</v>
      </c>
      <c r="I4772" s="3">
        <v>60.000000000000007</v>
      </c>
      <c r="J4772" s="2">
        <v>500</v>
      </c>
      <c r="K4772" s="3">
        <f t="shared" si="74"/>
        <v>30000.000000000004</v>
      </c>
      <c r="L4772" s="3">
        <v>21000.000000000007</v>
      </c>
    </row>
    <row r="4773" spans="1:12" x14ac:dyDescent="0.25">
      <c r="A4773" t="s">
        <v>27</v>
      </c>
      <c r="B4773">
        <v>1128299</v>
      </c>
      <c r="C4773" s="1">
        <v>44402</v>
      </c>
      <c r="D4773" t="s">
        <v>12</v>
      </c>
      <c r="E4773" t="s">
        <v>42</v>
      </c>
      <c r="F4773" t="s">
        <v>43</v>
      </c>
      <c r="G4773" t="s">
        <v>41</v>
      </c>
      <c r="H4773" t="s">
        <v>35</v>
      </c>
      <c r="I4773" s="3">
        <v>60.000000000000007</v>
      </c>
      <c r="J4773" s="2">
        <v>550</v>
      </c>
      <c r="K4773" s="3">
        <f t="shared" si="74"/>
        <v>33000.000000000007</v>
      </c>
      <c r="L4773" s="3">
        <v>21450.000000000007</v>
      </c>
    </row>
    <row r="4774" spans="1:12" x14ac:dyDescent="0.25">
      <c r="A4774" t="s">
        <v>19</v>
      </c>
      <c r="B4774">
        <v>1185732</v>
      </c>
      <c r="C4774" s="1">
        <v>44402</v>
      </c>
      <c r="D4774" t="s">
        <v>57</v>
      </c>
      <c r="E4774" t="s">
        <v>95</v>
      </c>
      <c r="F4774" t="s">
        <v>96</v>
      </c>
      <c r="G4774" t="s">
        <v>15</v>
      </c>
      <c r="H4774" t="s">
        <v>17</v>
      </c>
      <c r="I4774" s="3">
        <v>50</v>
      </c>
      <c r="J4774" s="2">
        <v>250</v>
      </c>
      <c r="K4774" s="3">
        <f t="shared" si="74"/>
        <v>12500</v>
      </c>
      <c r="L4774" s="3">
        <v>8125</v>
      </c>
    </row>
    <row r="4775" spans="1:12" x14ac:dyDescent="0.25">
      <c r="A4775" t="s">
        <v>27</v>
      </c>
      <c r="B4775">
        <v>1128299</v>
      </c>
      <c r="C4775" s="1">
        <v>44402</v>
      </c>
      <c r="D4775" t="s">
        <v>12</v>
      </c>
      <c r="E4775" t="s">
        <v>42</v>
      </c>
      <c r="F4775" t="s">
        <v>43</v>
      </c>
      <c r="G4775" t="s">
        <v>41</v>
      </c>
      <c r="H4775" t="s">
        <v>38</v>
      </c>
      <c r="I4775" s="3">
        <v>55.000000000000007</v>
      </c>
      <c r="J4775" s="2">
        <v>750</v>
      </c>
      <c r="K4775" s="3">
        <f t="shared" si="74"/>
        <v>41250.000000000007</v>
      </c>
      <c r="L4775" s="3">
        <v>26812.500000000007</v>
      </c>
    </row>
    <row r="4776" spans="1:12" x14ac:dyDescent="0.25">
      <c r="A4776" t="s">
        <v>27</v>
      </c>
      <c r="B4776">
        <v>1128299</v>
      </c>
      <c r="C4776" s="1">
        <v>44402</v>
      </c>
      <c r="D4776" t="s">
        <v>12</v>
      </c>
      <c r="E4776" t="s">
        <v>42</v>
      </c>
      <c r="F4776" t="s">
        <v>43</v>
      </c>
      <c r="G4776" t="s">
        <v>41</v>
      </c>
      <c r="H4776" t="s">
        <v>37</v>
      </c>
      <c r="I4776" s="3">
        <v>55.000000000000007</v>
      </c>
      <c r="J4776" s="2">
        <v>450</v>
      </c>
      <c r="K4776" s="3">
        <f t="shared" si="74"/>
        <v>24750.000000000004</v>
      </c>
      <c r="L4776" s="3">
        <v>16087.500000000004</v>
      </c>
    </row>
    <row r="4777" spans="1:12" x14ac:dyDescent="0.25">
      <c r="A4777" t="s">
        <v>27</v>
      </c>
      <c r="B4777">
        <v>1128299</v>
      </c>
      <c r="C4777" s="1">
        <v>44402</v>
      </c>
      <c r="D4777" t="s">
        <v>12</v>
      </c>
      <c r="E4777" t="s">
        <v>42</v>
      </c>
      <c r="F4777" t="s">
        <v>43</v>
      </c>
      <c r="G4777" t="s">
        <v>41</v>
      </c>
      <c r="H4777" t="s">
        <v>17</v>
      </c>
      <c r="I4777" s="3">
        <v>60.000000000000007</v>
      </c>
      <c r="J4777" s="2">
        <v>600</v>
      </c>
      <c r="K4777" s="3">
        <f t="shared" si="74"/>
        <v>36000.000000000007</v>
      </c>
      <c r="L4777" s="3">
        <v>21600.000000000004</v>
      </c>
    </row>
    <row r="4778" spans="1:12" x14ac:dyDescent="0.25">
      <c r="A4778" t="s">
        <v>19</v>
      </c>
      <c r="B4778">
        <v>1185732</v>
      </c>
      <c r="C4778" s="1">
        <v>44402</v>
      </c>
      <c r="D4778" t="s">
        <v>57</v>
      </c>
      <c r="E4778" t="s">
        <v>118</v>
      </c>
      <c r="F4778" t="s">
        <v>119</v>
      </c>
      <c r="G4778" t="s">
        <v>15</v>
      </c>
      <c r="H4778" t="s">
        <v>16</v>
      </c>
      <c r="I4778" s="3">
        <v>54.999999999999986</v>
      </c>
      <c r="J4778" s="2">
        <v>200</v>
      </c>
      <c r="K4778" s="3">
        <f t="shared" si="74"/>
        <v>10999.999999999996</v>
      </c>
      <c r="L4778" s="3">
        <v>5499.9999999999982</v>
      </c>
    </row>
    <row r="4779" spans="1:12" x14ac:dyDescent="0.25">
      <c r="A4779" t="s">
        <v>27</v>
      </c>
      <c r="B4779">
        <v>1128299</v>
      </c>
      <c r="C4779" s="1">
        <v>44402</v>
      </c>
      <c r="D4779" t="s">
        <v>12</v>
      </c>
      <c r="E4779" t="s">
        <v>42</v>
      </c>
      <c r="F4779" t="s">
        <v>43</v>
      </c>
      <c r="G4779" t="s">
        <v>15</v>
      </c>
      <c r="H4779" t="s">
        <v>22</v>
      </c>
      <c r="I4779" s="3">
        <v>40</v>
      </c>
      <c r="J4779" s="2">
        <v>160</v>
      </c>
      <c r="K4779" s="3">
        <f t="shared" si="74"/>
        <v>6400</v>
      </c>
      <c r="L4779" s="3">
        <v>4352</v>
      </c>
    </row>
    <row r="4780" spans="1:12" x14ac:dyDescent="0.25">
      <c r="A4780" t="s">
        <v>27</v>
      </c>
      <c r="B4780">
        <v>1128299</v>
      </c>
      <c r="C4780" s="1">
        <v>44402</v>
      </c>
      <c r="D4780" t="s">
        <v>12</v>
      </c>
      <c r="E4780" t="s">
        <v>42</v>
      </c>
      <c r="F4780" t="s">
        <v>43</v>
      </c>
      <c r="G4780" t="s">
        <v>15</v>
      </c>
      <c r="H4780" t="s">
        <v>16</v>
      </c>
      <c r="I4780" s="3">
        <v>49</v>
      </c>
      <c r="J4780" s="2">
        <v>160</v>
      </c>
      <c r="K4780" s="3">
        <f t="shared" si="74"/>
        <v>7840</v>
      </c>
      <c r="L4780" s="3">
        <v>5331.2</v>
      </c>
    </row>
    <row r="4781" spans="1:12" x14ac:dyDescent="0.25">
      <c r="A4781" t="s">
        <v>27</v>
      </c>
      <c r="B4781">
        <v>1128299</v>
      </c>
      <c r="C4781" s="1">
        <v>44402</v>
      </c>
      <c r="D4781" t="s">
        <v>12</v>
      </c>
      <c r="E4781" t="s">
        <v>42</v>
      </c>
      <c r="F4781" t="s">
        <v>43</v>
      </c>
      <c r="G4781" t="s">
        <v>15</v>
      </c>
      <c r="H4781" t="s">
        <v>35</v>
      </c>
      <c r="I4781" s="3">
        <v>39</v>
      </c>
      <c r="J4781" s="2">
        <v>171</v>
      </c>
      <c r="K4781" s="3">
        <f t="shared" si="74"/>
        <v>6669</v>
      </c>
      <c r="L4781" s="3">
        <v>4201.47</v>
      </c>
    </row>
    <row r="4782" spans="1:12" x14ac:dyDescent="0.25">
      <c r="A4782" t="s">
        <v>27</v>
      </c>
      <c r="B4782">
        <v>1128299</v>
      </c>
      <c r="C4782" s="1">
        <v>44402</v>
      </c>
      <c r="D4782" t="s">
        <v>12</v>
      </c>
      <c r="E4782" t="s">
        <v>42</v>
      </c>
      <c r="F4782" t="s">
        <v>43</v>
      </c>
      <c r="G4782" t="s">
        <v>41</v>
      </c>
      <c r="H4782" t="s">
        <v>16</v>
      </c>
      <c r="I4782" s="3">
        <v>69</v>
      </c>
      <c r="J4782" s="2">
        <v>140</v>
      </c>
      <c r="K4782" s="3">
        <f t="shared" si="74"/>
        <v>9660</v>
      </c>
      <c r="L4782" s="3">
        <v>5989.2</v>
      </c>
    </row>
    <row r="4783" spans="1:12" x14ac:dyDescent="0.25">
      <c r="A4783" t="s">
        <v>27</v>
      </c>
      <c r="B4783">
        <v>1128299</v>
      </c>
      <c r="C4783" s="1">
        <v>44402</v>
      </c>
      <c r="D4783" t="s">
        <v>12</v>
      </c>
      <c r="E4783" t="s">
        <v>42</v>
      </c>
      <c r="F4783" t="s">
        <v>43</v>
      </c>
      <c r="G4783" t="s">
        <v>15</v>
      </c>
      <c r="H4783" t="s">
        <v>38</v>
      </c>
      <c r="I4783" s="3">
        <v>41</v>
      </c>
      <c r="J4783" s="2">
        <v>248</v>
      </c>
      <c r="K4783" s="3">
        <f t="shared" si="74"/>
        <v>10168</v>
      </c>
      <c r="L4783" s="3">
        <v>6202.4800000000005</v>
      </c>
    </row>
    <row r="4784" spans="1:12" x14ac:dyDescent="0.25">
      <c r="A4784" t="s">
        <v>27</v>
      </c>
      <c r="B4784">
        <v>1128299</v>
      </c>
      <c r="C4784" s="1">
        <v>44402</v>
      </c>
      <c r="D4784" t="s">
        <v>12</v>
      </c>
      <c r="E4784" t="s">
        <v>42</v>
      </c>
      <c r="F4784" t="s">
        <v>43</v>
      </c>
      <c r="G4784" t="s">
        <v>15</v>
      </c>
      <c r="H4784" t="s">
        <v>37</v>
      </c>
      <c r="I4784" s="3">
        <v>39</v>
      </c>
      <c r="J4784" s="2">
        <v>149</v>
      </c>
      <c r="K4784" s="3">
        <f t="shared" si="74"/>
        <v>5811</v>
      </c>
      <c r="L4784" s="3">
        <v>3370.38</v>
      </c>
    </row>
    <row r="4785" spans="1:12" x14ac:dyDescent="0.25">
      <c r="A4785" t="s">
        <v>27</v>
      </c>
      <c r="B4785">
        <v>1128299</v>
      </c>
      <c r="C4785" s="1">
        <v>44402</v>
      </c>
      <c r="D4785" t="s">
        <v>12</v>
      </c>
      <c r="E4785" t="s">
        <v>42</v>
      </c>
      <c r="F4785" t="s">
        <v>43</v>
      </c>
      <c r="G4785" t="s">
        <v>41</v>
      </c>
      <c r="H4785" t="s">
        <v>22</v>
      </c>
      <c r="I4785" s="3">
        <v>57</v>
      </c>
      <c r="J4785" s="2">
        <v>145</v>
      </c>
      <c r="K4785" s="3">
        <f t="shared" si="74"/>
        <v>8265</v>
      </c>
      <c r="L4785" s="3">
        <v>4711.05</v>
      </c>
    </row>
    <row r="4786" spans="1:12" x14ac:dyDescent="0.25">
      <c r="A4786" t="s">
        <v>27</v>
      </c>
      <c r="B4786">
        <v>1128299</v>
      </c>
      <c r="C4786" s="1">
        <v>44402</v>
      </c>
      <c r="D4786" t="s">
        <v>12</v>
      </c>
      <c r="E4786" t="s">
        <v>42</v>
      </c>
      <c r="F4786" t="s">
        <v>43</v>
      </c>
      <c r="G4786" t="s">
        <v>15</v>
      </c>
      <c r="H4786" t="s">
        <v>17</v>
      </c>
      <c r="I4786" s="3">
        <v>45</v>
      </c>
      <c r="J4786" s="2">
        <v>210</v>
      </c>
      <c r="K4786" s="3">
        <f t="shared" si="74"/>
        <v>9450</v>
      </c>
      <c r="L4786" s="3">
        <v>5386.5</v>
      </c>
    </row>
    <row r="4787" spans="1:12" x14ac:dyDescent="0.25">
      <c r="A4787" t="s">
        <v>27</v>
      </c>
      <c r="B4787">
        <v>1128299</v>
      </c>
      <c r="C4787" s="1">
        <v>44402</v>
      </c>
      <c r="D4787" t="s">
        <v>12</v>
      </c>
      <c r="E4787" t="s">
        <v>42</v>
      </c>
      <c r="F4787" t="s">
        <v>43</v>
      </c>
      <c r="G4787" t="s">
        <v>41</v>
      </c>
      <c r="H4787" t="s">
        <v>37</v>
      </c>
      <c r="I4787" s="3">
        <v>54</v>
      </c>
      <c r="J4787" s="2">
        <v>135</v>
      </c>
      <c r="K4787" s="3">
        <f t="shared" si="74"/>
        <v>7290</v>
      </c>
      <c r="L4787" s="3">
        <v>4009.5000000000005</v>
      </c>
    </row>
    <row r="4788" spans="1:12" x14ac:dyDescent="0.25">
      <c r="A4788" t="s">
        <v>27</v>
      </c>
      <c r="B4788">
        <v>1128299</v>
      </c>
      <c r="C4788" s="1">
        <v>44402</v>
      </c>
      <c r="D4788" t="s">
        <v>12</v>
      </c>
      <c r="E4788" t="s">
        <v>42</v>
      </c>
      <c r="F4788" t="s">
        <v>43</v>
      </c>
      <c r="G4788" t="s">
        <v>41</v>
      </c>
      <c r="H4788" t="s">
        <v>38</v>
      </c>
      <c r="I4788" s="3">
        <v>54</v>
      </c>
      <c r="J4788" s="2">
        <v>203</v>
      </c>
      <c r="K4788" s="3">
        <f t="shared" si="74"/>
        <v>10962</v>
      </c>
      <c r="L4788" s="3">
        <v>5809.8600000000006</v>
      </c>
    </row>
    <row r="4789" spans="1:12" x14ac:dyDescent="0.25">
      <c r="A4789" t="s">
        <v>27</v>
      </c>
      <c r="B4789">
        <v>1128299</v>
      </c>
      <c r="C4789" s="1">
        <v>44402</v>
      </c>
      <c r="D4789" t="s">
        <v>12</v>
      </c>
      <c r="E4789" t="s">
        <v>42</v>
      </c>
      <c r="F4789" t="s">
        <v>43</v>
      </c>
      <c r="G4789" t="s">
        <v>41</v>
      </c>
      <c r="H4789" t="s">
        <v>35</v>
      </c>
      <c r="I4789" s="3">
        <v>58</v>
      </c>
      <c r="J4789" s="2">
        <v>160</v>
      </c>
      <c r="K4789" s="3">
        <f t="shared" si="74"/>
        <v>9280</v>
      </c>
      <c r="L4789" s="3">
        <v>4825.6000000000004</v>
      </c>
    </row>
    <row r="4790" spans="1:12" x14ac:dyDescent="0.25">
      <c r="A4790" t="s">
        <v>19</v>
      </c>
      <c r="B4790">
        <v>1185732</v>
      </c>
      <c r="C4790" s="1">
        <v>44402</v>
      </c>
      <c r="D4790" t="s">
        <v>57</v>
      </c>
      <c r="E4790" t="s">
        <v>95</v>
      </c>
      <c r="F4790" t="s">
        <v>96</v>
      </c>
      <c r="G4790" t="s">
        <v>41</v>
      </c>
      <c r="H4790" t="s">
        <v>17</v>
      </c>
      <c r="I4790" s="3">
        <v>49</v>
      </c>
      <c r="J4790" s="2">
        <v>75</v>
      </c>
      <c r="K4790" s="3">
        <f t="shared" si="74"/>
        <v>3675</v>
      </c>
      <c r="L4790" s="3">
        <v>1874.25</v>
      </c>
    </row>
    <row r="4791" spans="1:12" x14ac:dyDescent="0.25">
      <c r="A4791" t="s">
        <v>27</v>
      </c>
      <c r="B4791">
        <v>1128299</v>
      </c>
      <c r="C4791" s="1">
        <v>44402</v>
      </c>
      <c r="D4791" t="s">
        <v>12</v>
      </c>
      <c r="E4791" t="s">
        <v>42</v>
      </c>
      <c r="F4791" t="s">
        <v>43</v>
      </c>
      <c r="G4791" t="s">
        <v>41</v>
      </c>
      <c r="H4791" t="s">
        <v>17</v>
      </c>
      <c r="I4791" s="3">
        <v>56</v>
      </c>
      <c r="J4791" s="2">
        <v>180</v>
      </c>
      <c r="K4791" s="3">
        <f t="shared" si="74"/>
        <v>10080</v>
      </c>
      <c r="L4791" s="3">
        <v>4636.7999999999993</v>
      </c>
    </row>
    <row r="4792" spans="1:12" x14ac:dyDescent="0.25">
      <c r="A4792" t="s">
        <v>19</v>
      </c>
      <c r="B4792">
        <v>1185732</v>
      </c>
      <c r="C4792" s="1">
        <v>44402</v>
      </c>
      <c r="D4792" t="s">
        <v>57</v>
      </c>
      <c r="E4792" t="s">
        <v>118</v>
      </c>
      <c r="F4792" t="s">
        <v>119</v>
      </c>
      <c r="G4792" t="s">
        <v>41</v>
      </c>
      <c r="H4792" t="s">
        <v>16</v>
      </c>
      <c r="I4792" s="3">
        <v>53</v>
      </c>
      <c r="J4792" s="2">
        <v>58</v>
      </c>
      <c r="K4792" s="3">
        <f t="shared" si="74"/>
        <v>3074</v>
      </c>
      <c r="L4792" s="3">
        <v>1168.1200000000001</v>
      </c>
    </row>
    <row r="4793" spans="1:12" x14ac:dyDescent="0.25">
      <c r="A4793" t="s">
        <v>19</v>
      </c>
      <c r="B4793">
        <v>1185732</v>
      </c>
      <c r="C4793" s="1">
        <v>44403</v>
      </c>
      <c r="D4793" t="s">
        <v>57</v>
      </c>
      <c r="E4793" t="s">
        <v>95</v>
      </c>
      <c r="F4793" t="s">
        <v>96</v>
      </c>
      <c r="G4793" t="s">
        <v>15</v>
      </c>
      <c r="H4793" t="s">
        <v>35</v>
      </c>
      <c r="I4793" s="3">
        <v>50</v>
      </c>
      <c r="J4793" s="2">
        <v>150</v>
      </c>
      <c r="K4793" s="3">
        <f t="shared" si="74"/>
        <v>7500</v>
      </c>
      <c r="L4793" s="3">
        <v>4875</v>
      </c>
    </row>
    <row r="4794" spans="1:12" x14ac:dyDescent="0.25">
      <c r="A4794" t="s">
        <v>19</v>
      </c>
      <c r="B4794">
        <v>1185732</v>
      </c>
      <c r="C4794" s="1">
        <v>44403</v>
      </c>
      <c r="D4794" t="s">
        <v>57</v>
      </c>
      <c r="E4794" t="s">
        <v>118</v>
      </c>
      <c r="F4794" t="s">
        <v>119</v>
      </c>
      <c r="G4794" t="s">
        <v>15</v>
      </c>
      <c r="H4794" t="s">
        <v>38</v>
      </c>
      <c r="I4794" s="3">
        <v>49.999999999999993</v>
      </c>
      <c r="J4794" s="2">
        <v>450</v>
      </c>
      <c r="K4794" s="3">
        <f t="shared" si="74"/>
        <v>22499.999999999996</v>
      </c>
      <c r="L4794" s="3">
        <v>13499.999999999996</v>
      </c>
    </row>
    <row r="4795" spans="1:12" x14ac:dyDescent="0.25">
      <c r="A4795" t="s">
        <v>19</v>
      </c>
      <c r="B4795">
        <v>1185732</v>
      </c>
      <c r="C4795" s="1">
        <v>44403</v>
      </c>
      <c r="D4795" t="s">
        <v>57</v>
      </c>
      <c r="E4795" t="s">
        <v>95</v>
      </c>
      <c r="F4795" t="s">
        <v>96</v>
      </c>
      <c r="G4795" t="s">
        <v>41</v>
      </c>
      <c r="H4795" t="s">
        <v>35</v>
      </c>
      <c r="I4795" s="3">
        <v>48</v>
      </c>
      <c r="J4795" s="2">
        <v>39</v>
      </c>
      <c r="K4795" s="3">
        <f t="shared" si="74"/>
        <v>1872</v>
      </c>
      <c r="L4795" s="3">
        <v>1029.6000000000001</v>
      </c>
    </row>
    <row r="4796" spans="1:12" x14ac:dyDescent="0.25">
      <c r="A4796" t="s">
        <v>19</v>
      </c>
      <c r="B4796">
        <v>1185732</v>
      </c>
      <c r="C4796" s="1">
        <v>44403</v>
      </c>
      <c r="D4796" t="s">
        <v>57</v>
      </c>
      <c r="E4796" t="s">
        <v>118</v>
      </c>
      <c r="F4796" t="s">
        <v>119</v>
      </c>
      <c r="G4796" t="s">
        <v>41</v>
      </c>
      <c r="H4796" t="s">
        <v>38</v>
      </c>
      <c r="I4796" s="3">
        <v>49</v>
      </c>
      <c r="J4796" s="2">
        <v>117</v>
      </c>
      <c r="K4796" s="3">
        <f t="shared" si="74"/>
        <v>5733</v>
      </c>
      <c r="L4796" s="3">
        <v>2866.5</v>
      </c>
    </row>
    <row r="4797" spans="1:12" x14ac:dyDescent="0.25">
      <c r="A4797" t="s">
        <v>19</v>
      </c>
      <c r="B4797">
        <v>1185732</v>
      </c>
      <c r="C4797" s="1">
        <v>44404</v>
      </c>
      <c r="D4797" t="s">
        <v>57</v>
      </c>
      <c r="E4797" t="s">
        <v>118</v>
      </c>
      <c r="F4797" t="s">
        <v>119</v>
      </c>
      <c r="G4797" t="s">
        <v>15</v>
      </c>
      <c r="H4797" t="s">
        <v>17</v>
      </c>
      <c r="I4797" s="3">
        <v>40</v>
      </c>
      <c r="J4797" s="2">
        <v>250</v>
      </c>
      <c r="K4797" s="3">
        <f t="shared" si="74"/>
        <v>10000</v>
      </c>
      <c r="L4797" s="3">
        <v>6500</v>
      </c>
    </row>
    <row r="4798" spans="1:12" x14ac:dyDescent="0.25">
      <c r="A4798" t="s">
        <v>19</v>
      </c>
      <c r="B4798">
        <v>1185732</v>
      </c>
      <c r="C4798" s="1">
        <v>44404</v>
      </c>
      <c r="D4798" t="s">
        <v>57</v>
      </c>
      <c r="E4798" t="s">
        <v>95</v>
      </c>
      <c r="F4798" t="s">
        <v>96</v>
      </c>
      <c r="G4798" t="s">
        <v>15</v>
      </c>
      <c r="H4798" t="s">
        <v>37</v>
      </c>
      <c r="I4798" s="3">
        <v>50</v>
      </c>
      <c r="J4798" s="2">
        <v>125</v>
      </c>
      <c r="K4798" s="3">
        <f t="shared" si="74"/>
        <v>6250</v>
      </c>
      <c r="L4798" s="3">
        <v>3750</v>
      </c>
    </row>
    <row r="4799" spans="1:12" x14ac:dyDescent="0.25">
      <c r="A4799" t="s">
        <v>19</v>
      </c>
      <c r="B4799">
        <v>1185732</v>
      </c>
      <c r="C4799" s="1">
        <v>44404</v>
      </c>
      <c r="D4799" t="s">
        <v>57</v>
      </c>
      <c r="E4799" t="s">
        <v>118</v>
      </c>
      <c r="F4799" t="s">
        <v>119</v>
      </c>
      <c r="G4799" t="s">
        <v>41</v>
      </c>
      <c r="H4799" t="s">
        <v>17</v>
      </c>
      <c r="I4799" s="3">
        <v>36</v>
      </c>
      <c r="J4799" s="2">
        <v>63</v>
      </c>
      <c r="K4799" s="3">
        <f t="shared" si="74"/>
        <v>2268</v>
      </c>
      <c r="L4799" s="3">
        <v>1134</v>
      </c>
    </row>
    <row r="4800" spans="1:12" x14ac:dyDescent="0.25">
      <c r="A4800" t="s">
        <v>19</v>
      </c>
      <c r="B4800">
        <v>1185732</v>
      </c>
      <c r="C4800" s="1">
        <v>44404</v>
      </c>
      <c r="D4800" t="s">
        <v>57</v>
      </c>
      <c r="E4800" t="s">
        <v>95</v>
      </c>
      <c r="F4800" t="s">
        <v>96</v>
      </c>
      <c r="G4800" t="s">
        <v>41</v>
      </c>
      <c r="H4800" t="s">
        <v>37</v>
      </c>
      <c r="I4800" s="3">
        <v>47</v>
      </c>
      <c r="J4800" s="2">
        <v>33</v>
      </c>
      <c r="K4800" s="3">
        <f t="shared" si="74"/>
        <v>1551</v>
      </c>
      <c r="L4800" s="3">
        <v>759.99</v>
      </c>
    </row>
    <row r="4801" spans="1:12" x14ac:dyDescent="0.25">
      <c r="A4801" t="s">
        <v>19</v>
      </c>
      <c r="B4801">
        <v>1185732</v>
      </c>
      <c r="C4801" s="1">
        <v>44405</v>
      </c>
      <c r="D4801" t="s">
        <v>57</v>
      </c>
      <c r="E4801" t="s">
        <v>95</v>
      </c>
      <c r="F4801" t="s">
        <v>96</v>
      </c>
      <c r="G4801" t="s">
        <v>15</v>
      </c>
      <c r="H4801" t="s">
        <v>22</v>
      </c>
      <c r="I4801" s="3">
        <v>60</v>
      </c>
      <c r="J4801" s="2">
        <v>125</v>
      </c>
      <c r="K4801" s="3">
        <f t="shared" si="74"/>
        <v>7500</v>
      </c>
      <c r="L4801" s="3">
        <v>4875</v>
      </c>
    </row>
    <row r="4802" spans="1:12" x14ac:dyDescent="0.25">
      <c r="A4802" t="s">
        <v>19</v>
      </c>
      <c r="B4802">
        <v>1185732</v>
      </c>
      <c r="C4802" s="1">
        <v>44405</v>
      </c>
      <c r="D4802" t="s">
        <v>57</v>
      </c>
      <c r="E4802" t="s">
        <v>118</v>
      </c>
      <c r="F4802" t="s">
        <v>119</v>
      </c>
      <c r="G4802" t="s">
        <v>15</v>
      </c>
      <c r="H4802" t="s">
        <v>35</v>
      </c>
      <c r="I4802" s="3">
        <v>40</v>
      </c>
      <c r="J4802" s="2">
        <v>200</v>
      </c>
      <c r="K4802" s="3">
        <f t="shared" si="74"/>
        <v>8000</v>
      </c>
      <c r="L4802" s="3">
        <v>5200</v>
      </c>
    </row>
    <row r="4803" spans="1:12" x14ac:dyDescent="0.25">
      <c r="A4803" t="s">
        <v>19</v>
      </c>
      <c r="B4803">
        <v>1185732</v>
      </c>
      <c r="C4803" s="1">
        <v>44405</v>
      </c>
      <c r="D4803" t="s">
        <v>57</v>
      </c>
      <c r="E4803" t="s">
        <v>95</v>
      </c>
      <c r="F4803" t="s">
        <v>96</v>
      </c>
      <c r="G4803" t="s">
        <v>41</v>
      </c>
      <c r="H4803" t="s">
        <v>22</v>
      </c>
      <c r="I4803" s="3">
        <v>56</v>
      </c>
      <c r="J4803" s="2">
        <v>33</v>
      </c>
      <c r="K4803" s="3">
        <f t="shared" ref="K4803:K4866" si="75">I4803*J4803</f>
        <v>1848</v>
      </c>
      <c r="L4803" s="3">
        <v>979.44</v>
      </c>
    </row>
    <row r="4804" spans="1:12" x14ac:dyDescent="0.25">
      <c r="A4804" t="s">
        <v>19</v>
      </c>
      <c r="B4804">
        <v>1185732</v>
      </c>
      <c r="C4804" s="1">
        <v>44405</v>
      </c>
      <c r="D4804" t="s">
        <v>57</v>
      </c>
      <c r="E4804" t="s">
        <v>118</v>
      </c>
      <c r="F4804" t="s">
        <v>119</v>
      </c>
      <c r="G4804" t="s">
        <v>41</v>
      </c>
      <c r="H4804" t="s">
        <v>35</v>
      </c>
      <c r="I4804" s="3">
        <v>39</v>
      </c>
      <c r="J4804" s="2">
        <v>60</v>
      </c>
      <c r="K4804" s="3">
        <f t="shared" si="75"/>
        <v>2340</v>
      </c>
      <c r="L4804" s="3">
        <v>1193.4000000000001</v>
      </c>
    </row>
    <row r="4805" spans="1:12" x14ac:dyDescent="0.25">
      <c r="A4805" t="s">
        <v>19</v>
      </c>
      <c r="B4805">
        <v>1185732</v>
      </c>
      <c r="C4805" s="1">
        <v>44406</v>
      </c>
      <c r="D4805" t="s">
        <v>57</v>
      </c>
      <c r="E4805" t="s">
        <v>118</v>
      </c>
      <c r="F4805" t="s">
        <v>119</v>
      </c>
      <c r="G4805" t="s">
        <v>15</v>
      </c>
      <c r="H4805" t="s">
        <v>37</v>
      </c>
      <c r="I4805" s="3">
        <v>40</v>
      </c>
      <c r="J4805" s="2">
        <v>150</v>
      </c>
      <c r="K4805" s="3">
        <f t="shared" si="75"/>
        <v>6000</v>
      </c>
      <c r="L4805" s="3">
        <v>3600</v>
      </c>
    </row>
    <row r="4806" spans="1:12" x14ac:dyDescent="0.25">
      <c r="A4806" t="s">
        <v>19</v>
      </c>
      <c r="B4806">
        <v>1185732</v>
      </c>
      <c r="C4806" s="1">
        <v>44406</v>
      </c>
      <c r="D4806" t="s">
        <v>57</v>
      </c>
      <c r="E4806" t="s">
        <v>95</v>
      </c>
      <c r="F4806" t="s">
        <v>96</v>
      </c>
      <c r="G4806" t="s">
        <v>15</v>
      </c>
      <c r="H4806" t="s">
        <v>16</v>
      </c>
      <c r="I4806" s="3">
        <v>64.999999999999986</v>
      </c>
      <c r="J4806" s="2">
        <v>250</v>
      </c>
      <c r="K4806" s="3">
        <f t="shared" si="75"/>
        <v>16249.999999999996</v>
      </c>
      <c r="L4806" s="3">
        <v>8124.9999999999982</v>
      </c>
    </row>
    <row r="4807" spans="1:12" x14ac:dyDescent="0.25">
      <c r="A4807" t="s">
        <v>19</v>
      </c>
      <c r="B4807">
        <v>1185732</v>
      </c>
      <c r="C4807" s="1">
        <v>44406</v>
      </c>
      <c r="D4807" t="s">
        <v>57</v>
      </c>
      <c r="E4807" t="s">
        <v>118</v>
      </c>
      <c r="F4807" t="s">
        <v>119</v>
      </c>
      <c r="G4807" t="s">
        <v>41</v>
      </c>
      <c r="H4807" t="s">
        <v>37</v>
      </c>
      <c r="I4807" s="3">
        <v>38</v>
      </c>
      <c r="J4807" s="2">
        <v>38</v>
      </c>
      <c r="K4807" s="3">
        <f t="shared" si="75"/>
        <v>1444</v>
      </c>
      <c r="L4807" s="3">
        <v>649.79999999999995</v>
      </c>
    </row>
    <row r="4808" spans="1:12" x14ac:dyDescent="0.25">
      <c r="A4808" t="s">
        <v>19</v>
      </c>
      <c r="B4808">
        <v>1185732</v>
      </c>
      <c r="C4808" s="1">
        <v>44406</v>
      </c>
      <c r="D4808" t="s">
        <v>57</v>
      </c>
      <c r="E4808" t="s">
        <v>95</v>
      </c>
      <c r="F4808" t="s">
        <v>96</v>
      </c>
      <c r="G4808" t="s">
        <v>41</v>
      </c>
      <c r="H4808" t="s">
        <v>16</v>
      </c>
      <c r="I4808" s="3">
        <v>60</v>
      </c>
      <c r="J4808" s="2">
        <v>65</v>
      </c>
      <c r="K4808" s="3">
        <f t="shared" si="75"/>
        <v>3900</v>
      </c>
      <c r="L4808" s="3">
        <v>1560</v>
      </c>
    </row>
    <row r="4809" spans="1:12" x14ac:dyDescent="0.25">
      <c r="A4809" t="s">
        <v>19</v>
      </c>
      <c r="B4809">
        <v>1185732</v>
      </c>
      <c r="C4809" s="1">
        <v>44407</v>
      </c>
      <c r="D4809" t="s">
        <v>57</v>
      </c>
      <c r="E4809" t="s">
        <v>118</v>
      </c>
      <c r="F4809" t="s">
        <v>119</v>
      </c>
      <c r="G4809" t="s">
        <v>15</v>
      </c>
      <c r="H4809" t="s">
        <v>22</v>
      </c>
      <c r="I4809" s="3">
        <v>49.999999999999993</v>
      </c>
      <c r="J4809" s="2">
        <v>150</v>
      </c>
      <c r="K4809" s="3">
        <f t="shared" si="75"/>
        <v>7499.9999999999991</v>
      </c>
      <c r="L4809" s="3">
        <v>4874.9999999999991</v>
      </c>
    </row>
    <row r="4810" spans="1:12" x14ac:dyDescent="0.25">
      <c r="A4810" t="s">
        <v>19</v>
      </c>
      <c r="B4810">
        <v>1185732</v>
      </c>
      <c r="C4810" s="1">
        <v>44407</v>
      </c>
      <c r="D4810" t="s">
        <v>57</v>
      </c>
      <c r="E4810" t="s">
        <v>95</v>
      </c>
      <c r="F4810" t="s">
        <v>96</v>
      </c>
      <c r="G4810" t="s">
        <v>15</v>
      </c>
      <c r="H4810" t="s">
        <v>38</v>
      </c>
      <c r="I4810" s="3">
        <v>60</v>
      </c>
      <c r="J4810" s="2">
        <v>400</v>
      </c>
      <c r="K4810" s="3">
        <f t="shared" si="75"/>
        <v>24000</v>
      </c>
      <c r="L4810" s="3">
        <v>14400</v>
      </c>
    </row>
    <row r="4811" spans="1:12" x14ac:dyDescent="0.25">
      <c r="A4811" t="s">
        <v>19</v>
      </c>
      <c r="B4811">
        <v>1185732</v>
      </c>
      <c r="C4811" s="1">
        <v>44407</v>
      </c>
      <c r="D4811" t="s">
        <v>57</v>
      </c>
      <c r="E4811" t="s">
        <v>118</v>
      </c>
      <c r="F4811" t="s">
        <v>119</v>
      </c>
      <c r="G4811" t="s">
        <v>41</v>
      </c>
      <c r="H4811" t="s">
        <v>22</v>
      </c>
      <c r="I4811" s="3">
        <v>45</v>
      </c>
      <c r="J4811" s="2">
        <v>39</v>
      </c>
      <c r="K4811" s="3">
        <f t="shared" si="75"/>
        <v>1755</v>
      </c>
      <c r="L4811" s="3">
        <v>912.6</v>
      </c>
    </row>
    <row r="4812" spans="1:12" x14ac:dyDescent="0.25">
      <c r="A4812" t="s">
        <v>19</v>
      </c>
      <c r="B4812">
        <v>1185732</v>
      </c>
      <c r="C4812" s="1">
        <v>44407</v>
      </c>
      <c r="D4812" t="s">
        <v>57</v>
      </c>
      <c r="E4812" t="s">
        <v>95</v>
      </c>
      <c r="F4812" t="s">
        <v>96</v>
      </c>
      <c r="G4812" t="s">
        <v>41</v>
      </c>
      <c r="H4812" t="s">
        <v>38</v>
      </c>
      <c r="I4812" s="3">
        <v>55</v>
      </c>
      <c r="J4812" s="2">
        <v>112</v>
      </c>
      <c r="K4812" s="3">
        <f t="shared" si="75"/>
        <v>6160</v>
      </c>
      <c r="L4812" s="3">
        <v>2833.6</v>
      </c>
    </row>
    <row r="4813" spans="1:12" x14ac:dyDescent="0.25">
      <c r="A4813" t="s">
        <v>19</v>
      </c>
      <c r="B4813">
        <v>1185732</v>
      </c>
      <c r="C4813" s="1">
        <v>44408</v>
      </c>
      <c r="D4813" t="s">
        <v>57</v>
      </c>
      <c r="E4813" t="s">
        <v>95</v>
      </c>
      <c r="F4813" t="s">
        <v>96</v>
      </c>
      <c r="G4813" t="s">
        <v>15</v>
      </c>
      <c r="H4813" t="s">
        <v>17</v>
      </c>
      <c r="I4813" s="3">
        <v>50</v>
      </c>
      <c r="J4813" s="2">
        <v>250</v>
      </c>
      <c r="K4813" s="3">
        <f t="shared" si="75"/>
        <v>12500</v>
      </c>
      <c r="L4813" s="3">
        <v>8125</v>
      </c>
    </row>
    <row r="4814" spans="1:12" x14ac:dyDescent="0.25">
      <c r="A4814" t="s">
        <v>19</v>
      </c>
      <c r="B4814">
        <v>1185732</v>
      </c>
      <c r="C4814" s="1">
        <v>44408</v>
      </c>
      <c r="D4814" t="s">
        <v>57</v>
      </c>
      <c r="E4814" t="s">
        <v>118</v>
      </c>
      <c r="F4814" t="s">
        <v>119</v>
      </c>
      <c r="G4814" t="s">
        <v>15</v>
      </c>
      <c r="H4814" t="s">
        <v>16</v>
      </c>
      <c r="I4814" s="3">
        <v>54.999999999999986</v>
      </c>
      <c r="J4814" s="2">
        <v>250</v>
      </c>
      <c r="K4814" s="3">
        <f t="shared" si="75"/>
        <v>13749.999999999996</v>
      </c>
      <c r="L4814" s="3">
        <v>6874.9999999999982</v>
      </c>
    </row>
    <row r="4815" spans="1:12" x14ac:dyDescent="0.25">
      <c r="A4815" t="s">
        <v>19</v>
      </c>
      <c r="B4815">
        <v>1185732</v>
      </c>
      <c r="C4815" s="1">
        <v>44408</v>
      </c>
      <c r="D4815" t="s">
        <v>57</v>
      </c>
      <c r="E4815" t="s">
        <v>95</v>
      </c>
      <c r="F4815" t="s">
        <v>96</v>
      </c>
      <c r="G4815" t="s">
        <v>41</v>
      </c>
      <c r="H4815" t="s">
        <v>17</v>
      </c>
      <c r="I4815" s="3">
        <v>46</v>
      </c>
      <c r="J4815" s="2">
        <v>65</v>
      </c>
      <c r="K4815" s="3">
        <f t="shared" si="75"/>
        <v>2990</v>
      </c>
      <c r="L4815" s="3">
        <v>1584.7</v>
      </c>
    </row>
    <row r="4816" spans="1:12" x14ac:dyDescent="0.25">
      <c r="A4816" t="s">
        <v>19</v>
      </c>
      <c r="B4816">
        <v>1185732</v>
      </c>
      <c r="C4816" s="1">
        <v>44408</v>
      </c>
      <c r="D4816" t="s">
        <v>57</v>
      </c>
      <c r="E4816" t="s">
        <v>118</v>
      </c>
      <c r="F4816" t="s">
        <v>119</v>
      </c>
      <c r="G4816" t="s">
        <v>41</v>
      </c>
      <c r="H4816" t="s">
        <v>16</v>
      </c>
      <c r="I4816" s="3">
        <v>54</v>
      </c>
      <c r="J4816" s="2">
        <v>65</v>
      </c>
      <c r="K4816" s="3">
        <f t="shared" si="75"/>
        <v>3510</v>
      </c>
      <c r="L4816" s="3">
        <v>1333.8000000000002</v>
      </c>
    </row>
    <row r="4817" spans="1:12" x14ac:dyDescent="0.25">
      <c r="A4817" t="s">
        <v>19</v>
      </c>
      <c r="B4817">
        <v>1185732</v>
      </c>
      <c r="C4817" s="1">
        <v>44409</v>
      </c>
      <c r="D4817" t="s">
        <v>57</v>
      </c>
      <c r="E4817" t="s">
        <v>95</v>
      </c>
      <c r="F4817" t="s">
        <v>96</v>
      </c>
      <c r="G4817" t="s">
        <v>15</v>
      </c>
      <c r="H4817" t="s">
        <v>35</v>
      </c>
      <c r="I4817" s="3">
        <v>50</v>
      </c>
      <c r="J4817" s="2">
        <v>195</v>
      </c>
      <c r="K4817" s="3">
        <f t="shared" si="75"/>
        <v>9750</v>
      </c>
      <c r="L4817" s="3">
        <v>6337.5</v>
      </c>
    </row>
    <row r="4818" spans="1:12" x14ac:dyDescent="0.25">
      <c r="A4818" t="s">
        <v>26</v>
      </c>
      <c r="B4818">
        <v>1197831</v>
      </c>
      <c r="C4818" s="1">
        <v>44409</v>
      </c>
      <c r="D4818" t="s">
        <v>57</v>
      </c>
      <c r="E4818" t="s">
        <v>118</v>
      </c>
      <c r="F4818" t="s">
        <v>119</v>
      </c>
      <c r="G4818" t="s">
        <v>15</v>
      </c>
      <c r="H4818" t="s">
        <v>38</v>
      </c>
      <c r="I4818" s="3">
        <v>20</v>
      </c>
      <c r="J4818" s="2">
        <v>675</v>
      </c>
      <c r="K4818" s="3">
        <f t="shared" si="75"/>
        <v>13500</v>
      </c>
      <c r="L4818" s="3">
        <v>8100</v>
      </c>
    </row>
    <row r="4819" spans="1:12" x14ac:dyDescent="0.25">
      <c r="A4819" t="s">
        <v>19</v>
      </c>
      <c r="B4819">
        <v>1185732</v>
      </c>
      <c r="C4819" s="1">
        <v>44409</v>
      </c>
      <c r="D4819" t="s">
        <v>57</v>
      </c>
      <c r="E4819" t="s">
        <v>95</v>
      </c>
      <c r="F4819" t="s">
        <v>96</v>
      </c>
      <c r="G4819" t="s">
        <v>41</v>
      </c>
      <c r="H4819" t="s">
        <v>35</v>
      </c>
      <c r="I4819" s="3">
        <v>48</v>
      </c>
      <c r="J4819" s="2">
        <v>49</v>
      </c>
      <c r="K4819" s="3">
        <f t="shared" si="75"/>
        <v>2352</v>
      </c>
      <c r="L4819" s="3">
        <v>1246.5600000000002</v>
      </c>
    </row>
    <row r="4820" spans="1:12" x14ac:dyDescent="0.25">
      <c r="A4820" t="s">
        <v>26</v>
      </c>
      <c r="B4820">
        <v>1197831</v>
      </c>
      <c r="C4820" s="1">
        <v>44409</v>
      </c>
      <c r="D4820" t="s">
        <v>57</v>
      </c>
      <c r="E4820" t="s">
        <v>118</v>
      </c>
      <c r="F4820" t="s">
        <v>119</v>
      </c>
      <c r="G4820" t="s">
        <v>41</v>
      </c>
      <c r="H4820" t="s">
        <v>38</v>
      </c>
      <c r="I4820" s="3">
        <v>19</v>
      </c>
      <c r="J4820" s="2">
        <v>203</v>
      </c>
      <c r="K4820" s="3">
        <f t="shared" si="75"/>
        <v>3857</v>
      </c>
      <c r="L4820" s="3">
        <v>1812.79</v>
      </c>
    </row>
    <row r="4821" spans="1:12" x14ac:dyDescent="0.25">
      <c r="A4821" t="s">
        <v>19</v>
      </c>
      <c r="B4821">
        <v>1185732</v>
      </c>
      <c r="C4821" s="1">
        <v>44410</v>
      </c>
      <c r="D4821" t="s">
        <v>57</v>
      </c>
      <c r="E4821" t="s">
        <v>95</v>
      </c>
      <c r="F4821" t="s">
        <v>96</v>
      </c>
      <c r="G4821" t="s">
        <v>15</v>
      </c>
      <c r="H4821" t="s">
        <v>37</v>
      </c>
      <c r="I4821" s="3">
        <v>50</v>
      </c>
      <c r="J4821" s="2">
        <v>175</v>
      </c>
      <c r="K4821" s="3">
        <f t="shared" si="75"/>
        <v>8750</v>
      </c>
      <c r="L4821" s="3">
        <v>5250</v>
      </c>
    </row>
    <row r="4822" spans="1:12" x14ac:dyDescent="0.25">
      <c r="A4822" t="s">
        <v>26</v>
      </c>
      <c r="B4822">
        <v>1197831</v>
      </c>
      <c r="C4822" s="1">
        <v>44410</v>
      </c>
      <c r="D4822" t="s">
        <v>57</v>
      </c>
      <c r="E4822" t="s">
        <v>118</v>
      </c>
      <c r="F4822" t="s">
        <v>119</v>
      </c>
      <c r="G4822" t="s">
        <v>15</v>
      </c>
      <c r="H4822" t="s">
        <v>17</v>
      </c>
      <c r="I4822" s="3">
        <v>30</v>
      </c>
      <c r="J4822" s="2">
        <v>675</v>
      </c>
      <c r="K4822" s="3">
        <f t="shared" si="75"/>
        <v>20250</v>
      </c>
      <c r="L4822" s="3">
        <v>12150</v>
      </c>
    </row>
    <row r="4823" spans="1:12" x14ac:dyDescent="0.25">
      <c r="A4823" t="s">
        <v>19</v>
      </c>
      <c r="B4823">
        <v>1185732</v>
      </c>
      <c r="C4823" s="1">
        <v>44410</v>
      </c>
      <c r="D4823" t="s">
        <v>57</v>
      </c>
      <c r="E4823" t="s">
        <v>95</v>
      </c>
      <c r="F4823" t="s">
        <v>96</v>
      </c>
      <c r="G4823" t="s">
        <v>41</v>
      </c>
      <c r="H4823" t="s">
        <v>37</v>
      </c>
      <c r="I4823" s="3">
        <v>46</v>
      </c>
      <c r="J4823" s="2">
        <v>53</v>
      </c>
      <c r="K4823" s="3">
        <f t="shared" si="75"/>
        <v>2438</v>
      </c>
      <c r="L4823" s="3">
        <v>1145.8599999999999</v>
      </c>
    </row>
    <row r="4824" spans="1:12" x14ac:dyDescent="0.25">
      <c r="A4824" t="s">
        <v>26</v>
      </c>
      <c r="B4824">
        <v>1197831</v>
      </c>
      <c r="C4824" s="1">
        <v>44410</v>
      </c>
      <c r="D4824" t="s">
        <v>57</v>
      </c>
      <c r="E4824" t="s">
        <v>118</v>
      </c>
      <c r="F4824" t="s">
        <v>119</v>
      </c>
      <c r="G4824" t="s">
        <v>41</v>
      </c>
      <c r="H4824" t="s">
        <v>17</v>
      </c>
      <c r="I4824" s="3">
        <v>29</v>
      </c>
      <c r="J4824" s="2">
        <v>196</v>
      </c>
      <c r="K4824" s="3">
        <f t="shared" si="75"/>
        <v>5684</v>
      </c>
      <c r="L4824" s="3">
        <v>2614.64</v>
      </c>
    </row>
    <row r="4825" spans="1:12" x14ac:dyDescent="0.25">
      <c r="A4825" t="s">
        <v>11</v>
      </c>
      <c r="B4825">
        <v>1185732</v>
      </c>
      <c r="C4825" s="1">
        <v>44411</v>
      </c>
      <c r="D4825" t="s">
        <v>57</v>
      </c>
      <c r="E4825" t="s">
        <v>85</v>
      </c>
      <c r="F4825" t="s">
        <v>86</v>
      </c>
      <c r="G4825" t="s">
        <v>18</v>
      </c>
      <c r="H4825" t="s">
        <v>38</v>
      </c>
      <c r="I4825" s="3">
        <v>50</v>
      </c>
      <c r="J4825" s="2">
        <v>525</v>
      </c>
      <c r="K4825" s="3">
        <f t="shared" si="75"/>
        <v>26250</v>
      </c>
      <c r="L4825" s="3">
        <v>18375</v>
      </c>
    </row>
    <row r="4826" spans="1:12" x14ac:dyDescent="0.25">
      <c r="A4826" t="s">
        <v>11</v>
      </c>
      <c r="B4826">
        <v>1185732</v>
      </c>
      <c r="C4826" s="1">
        <v>44411</v>
      </c>
      <c r="D4826" t="s">
        <v>57</v>
      </c>
      <c r="E4826" t="s">
        <v>85</v>
      </c>
      <c r="F4826" t="s">
        <v>86</v>
      </c>
      <c r="G4826" t="s">
        <v>18</v>
      </c>
      <c r="H4826" t="s">
        <v>35</v>
      </c>
      <c r="I4826" s="3">
        <v>40</v>
      </c>
      <c r="J4826" s="2">
        <v>225</v>
      </c>
      <c r="K4826" s="3">
        <f t="shared" si="75"/>
        <v>9000</v>
      </c>
      <c r="L4826" s="3">
        <v>6300</v>
      </c>
    </row>
    <row r="4827" spans="1:12" x14ac:dyDescent="0.25">
      <c r="A4827" t="s">
        <v>11</v>
      </c>
      <c r="B4827">
        <v>1185732</v>
      </c>
      <c r="C4827" s="1">
        <v>44411</v>
      </c>
      <c r="D4827" t="s">
        <v>57</v>
      </c>
      <c r="E4827" t="s">
        <v>85</v>
      </c>
      <c r="F4827" t="s">
        <v>86</v>
      </c>
      <c r="G4827" t="s">
        <v>18</v>
      </c>
      <c r="H4827" t="s">
        <v>37</v>
      </c>
      <c r="I4827" s="3">
        <v>40</v>
      </c>
      <c r="J4827" s="2">
        <v>200</v>
      </c>
      <c r="K4827" s="3">
        <f t="shared" si="75"/>
        <v>8000</v>
      </c>
      <c r="L4827" s="3">
        <v>5600</v>
      </c>
    </row>
    <row r="4828" spans="1:12" x14ac:dyDescent="0.25">
      <c r="A4828" t="s">
        <v>11</v>
      </c>
      <c r="B4828">
        <v>1185732</v>
      </c>
      <c r="C4828" s="1">
        <v>44411</v>
      </c>
      <c r="D4828" t="s">
        <v>57</v>
      </c>
      <c r="E4828" t="s">
        <v>85</v>
      </c>
      <c r="F4828" t="s">
        <v>86</v>
      </c>
      <c r="G4828" t="s">
        <v>18</v>
      </c>
      <c r="H4828" t="s">
        <v>17</v>
      </c>
      <c r="I4828" s="3">
        <v>45.000000000000007</v>
      </c>
      <c r="J4828" s="2">
        <v>300</v>
      </c>
      <c r="K4828" s="3">
        <f t="shared" si="75"/>
        <v>13500.000000000002</v>
      </c>
      <c r="L4828" s="3">
        <v>8775.0000000000036</v>
      </c>
    </row>
    <row r="4829" spans="1:12" x14ac:dyDescent="0.25">
      <c r="A4829" t="s">
        <v>26</v>
      </c>
      <c r="B4829">
        <v>1185732</v>
      </c>
      <c r="C4829" s="1">
        <v>44411</v>
      </c>
      <c r="D4829" t="s">
        <v>32</v>
      </c>
      <c r="E4829" t="s">
        <v>108</v>
      </c>
      <c r="F4829" t="s">
        <v>109</v>
      </c>
      <c r="G4829" t="s">
        <v>41</v>
      </c>
      <c r="H4829" t="s">
        <v>22</v>
      </c>
      <c r="I4829" s="3">
        <v>55.000000000000007</v>
      </c>
      <c r="J4829" s="2">
        <v>650</v>
      </c>
      <c r="K4829" s="3">
        <f t="shared" si="75"/>
        <v>35750.000000000007</v>
      </c>
      <c r="L4829" s="3">
        <v>23237.500000000007</v>
      </c>
    </row>
    <row r="4830" spans="1:12" x14ac:dyDescent="0.25">
      <c r="A4830" t="s">
        <v>19</v>
      </c>
      <c r="B4830">
        <v>1185732</v>
      </c>
      <c r="C4830" s="1">
        <v>44411</v>
      </c>
      <c r="D4830" t="s">
        <v>57</v>
      </c>
      <c r="E4830" t="s">
        <v>95</v>
      </c>
      <c r="F4830" t="s">
        <v>96</v>
      </c>
      <c r="G4830" t="s">
        <v>15</v>
      </c>
      <c r="H4830" t="s">
        <v>22</v>
      </c>
      <c r="I4830" s="3">
        <v>60</v>
      </c>
      <c r="J4830" s="2">
        <v>150</v>
      </c>
      <c r="K4830" s="3">
        <f t="shared" si="75"/>
        <v>9000</v>
      </c>
      <c r="L4830" s="3">
        <v>5850</v>
      </c>
    </row>
    <row r="4831" spans="1:12" x14ac:dyDescent="0.25">
      <c r="A4831" t="s">
        <v>26</v>
      </c>
      <c r="B4831">
        <v>1185732</v>
      </c>
      <c r="C4831" s="1">
        <v>44411</v>
      </c>
      <c r="D4831" t="s">
        <v>32</v>
      </c>
      <c r="E4831" t="s">
        <v>108</v>
      </c>
      <c r="F4831" t="s">
        <v>109</v>
      </c>
      <c r="G4831" t="s">
        <v>41</v>
      </c>
      <c r="H4831" t="s">
        <v>17</v>
      </c>
      <c r="I4831" s="3">
        <v>60.000000000000007</v>
      </c>
      <c r="J4831" s="2">
        <v>800</v>
      </c>
      <c r="K4831" s="3">
        <f t="shared" si="75"/>
        <v>48000.000000000007</v>
      </c>
      <c r="L4831" s="3">
        <v>31200.000000000007</v>
      </c>
    </row>
    <row r="4832" spans="1:12" x14ac:dyDescent="0.25">
      <c r="A4832" t="s">
        <v>26</v>
      </c>
      <c r="B4832">
        <v>1197831</v>
      </c>
      <c r="C4832" s="1">
        <v>44411</v>
      </c>
      <c r="D4832" t="s">
        <v>57</v>
      </c>
      <c r="E4832" t="s">
        <v>118</v>
      </c>
      <c r="F4832" t="s">
        <v>119</v>
      </c>
      <c r="G4832" t="s">
        <v>15</v>
      </c>
      <c r="H4832" t="s">
        <v>35</v>
      </c>
      <c r="I4832" s="3">
        <v>30</v>
      </c>
      <c r="J4832" s="2">
        <v>475</v>
      </c>
      <c r="K4832" s="3">
        <f t="shared" si="75"/>
        <v>14250</v>
      </c>
      <c r="L4832" s="3">
        <v>8550</v>
      </c>
    </row>
    <row r="4833" spans="1:12" x14ac:dyDescent="0.25">
      <c r="A4833" t="s">
        <v>26</v>
      </c>
      <c r="B4833">
        <v>1185732</v>
      </c>
      <c r="C4833" s="1">
        <v>44411</v>
      </c>
      <c r="D4833" t="s">
        <v>32</v>
      </c>
      <c r="E4833" t="s">
        <v>108</v>
      </c>
      <c r="F4833" t="s">
        <v>109</v>
      </c>
      <c r="G4833" t="s">
        <v>41</v>
      </c>
      <c r="H4833" t="s">
        <v>38</v>
      </c>
      <c r="I4833" s="3">
        <v>65</v>
      </c>
      <c r="J4833" s="2">
        <v>1025</v>
      </c>
      <c r="K4833" s="3">
        <f t="shared" si="75"/>
        <v>66625</v>
      </c>
      <c r="L4833" s="3">
        <v>39975</v>
      </c>
    </row>
    <row r="4834" spans="1:12" x14ac:dyDescent="0.25">
      <c r="A4834" t="s">
        <v>26</v>
      </c>
      <c r="B4834">
        <v>1185732</v>
      </c>
      <c r="C4834" s="1">
        <v>44411</v>
      </c>
      <c r="D4834" t="s">
        <v>32</v>
      </c>
      <c r="E4834" t="s">
        <v>108</v>
      </c>
      <c r="F4834" t="s">
        <v>109</v>
      </c>
      <c r="G4834" t="s">
        <v>41</v>
      </c>
      <c r="H4834" t="s">
        <v>35</v>
      </c>
      <c r="I4834" s="3">
        <v>55.000000000000007</v>
      </c>
      <c r="J4834" s="2">
        <v>725</v>
      </c>
      <c r="K4834" s="3">
        <f t="shared" si="75"/>
        <v>39875.000000000007</v>
      </c>
      <c r="L4834" s="3">
        <v>23925.000000000004</v>
      </c>
    </row>
    <row r="4835" spans="1:12" x14ac:dyDescent="0.25">
      <c r="A4835" t="s">
        <v>26</v>
      </c>
      <c r="B4835">
        <v>1185732</v>
      </c>
      <c r="C4835" s="1">
        <v>44411</v>
      </c>
      <c r="D4835" t="s">
        <v>32</v>
      </c>
      <c r="E4835" t="s">
        <v>108</v>
      </c>
      <c r="F4835" t="s">
        <v>109</v>
      </c>
      <c r="G4835" t="s">
        <v>41</v>
      </c>
      <c r="H4835" t="s">
        <v>37</v>
      </c>
      <c r="I4835" s="3">
        <v>45</v>
      </c>
      <c r="J4835" s="2">
        <v>675</v>
      </c>
      <c r="K4835" s="3">
        <f t="shared" si="75"/>
        <v>30375</v>
      </c>
      <c r="L4835" s="3">
        <v>18225</v>
      </c>
    </row>
    <row r="4836" spans="1:12" x14ac:dyDescent="0.25">
      <c r="A4836" t="s">
        <v>11</v>
      </c>
      <c r="B4836">
        <v>1185732</v>
      </c>
      <c r="C4836" s="1">
        <v>44411</v>
      </c>
      <c r="D4836" t="s">
        <v>57</v>
      </c>
      <c r="E4836" t="s">
        <v>85</v>
      </c>
      <c r="F4836" t="s">
        <v>86</v>
      </c>
      <c r="G4836" t="s">
        <v>18</v>
      </c>
      <c r="H4836" t="s">
        <v>16</v>
      </c>
      <c r="I4836" s="3">
        <v>55.000000000000007</v>
      </c>
      <c r="J4836" s="2">
        <v>350</v>
      </c>
      <c r="K4836" s="3">
        <f t="shared" si="75"/>
        <v>19250.000000000004</v>
      </c>
      <c r="L4836" s="3">
        <v>11550.000000000002</v>
      </c>
    </row>
    <row r="4837" spans="1:12" x14ac:dyDescent="0.25">
      <c r="A4837" t="s">
        <v>26</v>
      </c>
      <c r="B4837">
        <v>1185732</v>
      </c>
      <c r="C4837" s="1">
        <v>44411</v>
      </c>
      <c r="D4837" t="s">
        <v>32</v>
      </c>
      <c r="E4837" t="s">
        <v>108</v>
      </c>
      <c r="F4837" t="s">
        <v>109</v>
      </c>
      <c r="G4837" t="s">
        <v>41</v>
      </c>
      <c r="H4837" t="s">
        <v>16</v>
      </c>
      <c r="I4837" s="3">
        <v>60.000000000000007</v>
      </c>
      <c r="J4837" s="2">
        <v>825</v>
      </c>
      <c r="K4837" s="3">
        <f t="shared" si="75"/>
        <v>49500.000000000007</v>
      </c>
      <c r="L4837" s="3">
        <v>24750.000000000004</v>
      </c>
    </row>
    <row r="4838" spans="1:12" x14ac:dyDescent="0.25">
      <c r="A4838" t="s">
        <v>11</v>
      </c>
      <c r="B4838">
        <v>1185732</v>
      </c>
      <c r="C4838" s="1">
        <v>44411</v>
      </c>
      <c r="D4838" t="s">
        <v>57</v>
      </c>
      <c r="E4838" t="s">
        <v>85</v>
      </c>
      <c r="F4838" t="s">
        <v>86</v>
      </c>
      <c r="G4838" t="s">
        <v>18</v>
      </c>
      <c r="H4838" t="s">
        <v>22</v>
      </c>
      <c r="I4838" s="3">
        <v>50</v>
      </c>
      <c r="J4838" s="2">
        <v>175</v>
      </c>
      <c r="K4838" s="3">
        <f t="shared" si="75"/>
        <v>8750</v>
      </c>
      <c r="L4838" s="3">
        <v>4375</v>
      </c>
    </row>
    <row r="4839" spans="1:12" x14ac:dyDescent="0.25">
      <c r="A4839" t="s">
        <v>11</v>
      </c>
      <c r="B4839">
        <v>1185732</v>
      </c>
      <c r="C4839" s="1">
        <v>44411</v>
      </c>
      <c r="D4839" t="s">
        <v>57</v>
      </c>
      <c r="E4839" t="s">
        <v>85</v>
      </c>
      <c r="F4839" t="s">
        <v>86</v>
      </c>
      <c r="G4839" t="s">
        <v>41</v>
      </c>
      <c r="H4839" t="s">
        <v>35</v>
      </c>
      <c r="I4839" s="3">
        <v>39</v>
      </c>
      <c r="J4839" s="2">
        <v>56</v>
      </c>
      <c r="K4839" s="3">
        <f t="shared" si="75"/>
        <v>2184</v>
      </c>
      <c r="L4839" s="3">
        <v>1310.4000000000001</v>
      </c>
    </row>
    <row r="4840" spans="1:12" x14ac:dyDescent="0.25">
      <c r="A4840" t="s">
        <v>11</v>
      </c>
      <c r="B4840">
        <v>1185732</v>
      </c>
      <c r="C4840" s="1">
        <v>44411</v>
      </c>
      <c r="D4840" t="s">
        <v>57</v>
      </c>
      <c r="E4840" t="s">
        <v>85</v>
      </c>
      <c r="F4840" t="s">
        <v>86</v>
      </c>
      <c r="G4840" t="s">
        <v>41</v>
      </c>
      <c r="H4840" t="s">
        <v>38</v>
      </c>
      <c r="I4840" s="3">
        <v>46</v>
      </c>
      <c r="J4840" s="2">
        <v>158</v>
      </c>
      <c r="K4840" s="3">
        <f t="shared" si="75"/>
        <v>7268</v>
      </c>
      <c r="L4840" s="3">
        <v>4215.4400000000005</v>
      </c>
    </row>
    <row r="4841" spans="1:12" x14ac:dyDescent="0.25">
      <c r="A4841" t="s">
        <v>26</v>
      </c>
      <c r="B4841">
        <v>1185732</v>
      </c>
      <c r="C4841" s="1">
        <v>44411</v>
      </c>
      <c r="D4841" t="s">
        <v>32</v>
      </c>
      <c r="E4841" t="s">
        <v>108</v>
      </c>
      <c r="F4841" t="s">
        <v>109</v>
      </c>
      <c r="G4841" t="s">
        <v>41</v>
      </c>
      <c r="H4841" t="s">
        <v>17</v>
      </c>
      <c r="I4841" s="3">
        <v>58</v>
      </c>
      <c r="J4841" s="2">
        <v>200</v>
      </c>
      <c r="K4841" s="3">
        <f t="shared" si="75"/>
        <v>11600</v>
      </c>
      <c r="L4841" s="3">
        <v>6380.0000000000009</v>
      </c>
    </row>
    <row r="4842" spans="1:12" x14ac:dyDescent="0.25">
      <c r="A4842" t="s">
        <v>11</v>
      </c>
      <c r="B4842">
        <v>1185732</v>
      </c>
      <c r="C4842" s="1">
        <v>44411</v>
      </c>
      <c r="D4842" t="s">
        <v>57</v>
      </c>
      <c r="E4842" t="s">
        <v>85</v>
      </c>
      <c r="F4842" t="s">
        <v>86</v>
      </c>
      <c r="G4842" t="s">
        <v>41</v>
      </c>
      <c r="H4842" t="s">
        <v>37</v>
      </c>
      <c r="I4842" s="3">
        <v>39</v>
      </c>
      <c r="J4842" s="2">
        <v>50</v>
      </c>
      <c r="K4842" s="3">
        <f t="shared" si="75"/>
        <v>1950</v>
      </c>
      <c r="L4842" s="3">
        <v>1072.5</v>
      </c>
    </row>
    <row r="4843" spans="1:12" x14ac:dyDescent="0.25">
      <c r="A4843" t="s">
        <v>11</v>
      </c>
      <c r="B4843">
        <v>1185732</v>
      </c>
      <c r="C4843" s="1">
        <v>44411</v>
      </c>
      <c r="D4843" t="s">
        <v>57</v>
      </c>
      <c r="E4843" t="s">
        <v>85</v>
      </c>
      <c r="F4843" t="s">
        <v>86</v>
      </c>
      <c r="G4843" t="s">
        <v>41</v>
      </c>
      <c r="H4843" t="s">
        <v>17</v>
      </c>
      <c r="I4843" s="3">
        <v>43</v>
      </c>
      <c r="J4843" s="2">
        <v>84</v>
      </c>
      <c r="K4843" s="3">
        <f t="shared" si="75"/>
        <v>3612</v>
      </c>
      <c r="L4843" s="3">
        <v>1914.3600000000001</v>
      </c>
    </row>
    <row r="4844" spans="1:12" x14ac:dyDescent="0.25">
      <c r="A4844" t="s">
        <v>26</v>
      </c>
      <c r="B4844">
        <v>1185732</v>
      </c>
      <c r="C4844" s="1">
        <v>44411</v>
      </c>
      <c r="D4844" t="s">
        <v>32</v>
      </c>
      <c r="E4844" t="s">
        <v>108</v>
      </c>
      <c r="F4844" t="s">
        <v>109</v>
      </c>
      <c r="G4844" t="s">
        <v>41</v>
      </c>
      <c r="H4844" t="s">
        <v>22</v>
      </c>
      <c r="I4844" s="3">
        <v>53</v>
      </c>
      <c r="J4844" s="2">
        <v>176</v>
      </c>
      <c r="K4844" s="3">
        <f t="shared" si="75"/>
        <v>9328</v>
      </c>
      <c r="L4844" s="3">
        <v>4850.5600000000004</v>
      </c>
    </row>
    <row r="4845" spans="1:12" x14ac:dyDescent="0.25">
      <c r="A4845" t="s">
        <v>19</v>
      </c>
      <c r="B4845">
        <v>1185732</v>
      </c>
      <c r="C4845" s="1">
        <v>44411</v>
      </c>
      <c r="D4845" t="s">
        <v>57</v>
      </c>
      <c r="E4845" t="s">
        <v>95</v>
      </c>
      <c r="F4845" t="s">
        <v>96</v>
      </c>
      <c r="G4845" t="s">
        <v>41</v>
      </c>
      <c r="H4845" t="s">
        <v>22</v>
      </c>
      <c r="I4845" s="3">
        <v>56</v>
      </c>
      <c r="J4845" s="2">
        <v>41</v>
      </c>
      <c r="K4845" s="3">
        <f t="shared" si="75"/>
        <v>2296</v>
      </c>
      <c r="L4845" s="3">
        <v>1148</v>
      </c>
    </row>
    <row r="4846" spans="1:12" x14ac:dyDescent="0.25">
      <c r="A4846" t="s">
        <v>11</v>
      </c>
      <c r="B4846">
        <v>1185732</v>
      </c>
      <c r="C4846" s="1">
        <v>44411</v>
      </c>
      <c r="D4846" t="s">
        <v>57</v>
      </c>
      <c r="E4846" t="s">
        <v>85</v>
      </c>
      <c r="F4846" t="s">
        <v>86</v>
      </c>
      <c r="G4846" t="s">
        <v>41</v>
      </c>
      <c r="H4846" t="s">
        <v>16</v>
      </c>
      <c r="I4846" s="3">
        <v>52</v>
      </c>
      <c r="J4846" s="2">
        <v>102</v>
      </c>
      <c r="K4846" s="3">
        <f t="shared" si="75"/>
        <v>5304</v>
      </c>
      <c r="L4846" s="3">
        <v>2598.96</v>
      </c>
    </row>
    <row r="4847" spans="1:12" x14ac:dyDescent="0.25">
      <c r="A4847" t="s">
        <v>26</v>
      </c>
      <c r="B4847">
        <v>1185732</v>
      </c>
      <c r="C4847" s="1">
        <v>44411</v>
      </c>
      <c r="D4847" t="s">
        <v>32</v>
      </c>
      <c r="E4847" t="s">
        <v>108</v>
      </c>
      <c r="F4847" t="s">
        <v>109</v>
      </c>
      <c r="G4847" t="s">
        <v>41</v>
      </c>
      <c r="H4847" t="s">
        <v>38</v>
      </c>
      <c r="I4847" s="3">
        <v>61</v>
      </c>
      <c r="J4847" s="2">
        <v>308</v>
      </c>
      <c r="K4847" s="3">
        <f t="shared" si="75"/>
        <v>18788</v>
      </c>
      <c r="L4847" s="3">
        <v>8830.3599999999988</v>
      </c>
    </row>
    <row r="4848" spans="1:12" x14ac:dyDescent="0.25">
      <c r="A4848" t="s">
        <v>26</v>
      </c>
      <c r="B4848">
        <v>1185732</v>
      </c>
      <c r="C4848" s="1">
        <v>44411</v>
      </c>
      <c r="D4848" t="s">
        <v>32</v>
      </c>
      <c r="E4848" t="s">
        <v>108</v>
      </c>
      <c r="F4848" t="s">
        <v>109</v>
      </c>
      <c r="G4848" t="s">
        <v>41</v>
      </c>
      <c r="H4848" t="s">
        <v>35</v>
      </c>
      <c r="I4848" s="3">
        <v>54</v>
      </c>
      <c r="J4848" s="2">
        <v>210</v>
      </c>
      <c r="K4848" s="3">
        <f t="shared" si="75"/>
        <v>11340</v>
      </c>
      <c r="L4848" s="3">
        <v>5329.7999999999993</v>
      </c>
    </row>
    <row r="4849" spans="1:12" x14ac:dyDescent="0.25">
      <c r="A4849" t="s">
        <v>26</v>
      </c>
      <c r="B4849">
        <v>1185732</v>
      </c>
      <c r="C4849" s="1">
        <v>44411</v>
      </c>
      <c r="D4849" t="s">
        <v>32</v>
      </c>
      <c r="E4849" t="s">
        <v>108</v>
      </c>
      <c r="F4849" t="s">
        <v>109</v>
      </c>
      <c r="G4849" t="s">
        <v>41</v>
      </c>
      <c r="H4849" t="s">
        <v>37</v>
      </c>
      <c r="I4849" s="3">
        <v>44</v>
      </c>
      <c r="J4849" s="2">
        <v>182</v>
      </c>
      <c r="K4849" s="3">
        <f t="shared" si="75"/>
        <v>8008</v>
      </c>
      <c r="L4849" s="3">
        <v>3763.76</v>
      </c>
    </row>
    <row r="4850" spans="1:12" x14ac:dyDescent="0.25">
      <c r="A4850" t="s">
        <v>26</v>
      </c>
      <c r="B4850">
        <v>1197831</v>
      </c>
      <c r="C4850" s="1">
        <v>44411</v>
      </c>
      <c r="D4850" t="s">
        <v>57</v>
      </c>
      <c r="E4850" t="s">
        <v>118</v>
      </c>
      <c r="F4850" t="s">
        <v>119</v>
      </c>
      <c r="G4850" t="s">
        <v>41</v>
      </c>
      <c r="H4850" t="s">
        <v>35</v>
      </c>
      <c r="I4850" s="3">
        <v>28</v>
      </c>
      <c r="J4850" s="2">
        <v>138</v>
      </c>
      <c r="K4850" s="3">
        <f t="shared" si="75"/>
        <v>3864</v>
      </c>
      <c r="L4850" s="3">
        <v>1738.8000000000002</v>
      </c>
    </row>
    <row r="4851" spans="1:12" x14ac:dyDescent="0.25">
      <c r="A4851" t="s">
        <v>26</v>
      </c>
      <c r="B4851">
        <v>1185732</v>
      </c>
      <c r="C4851" s="1">
        <v>44411</v>
      </c>
      <c r="D4851" t="s">
        <v>32</v>
      </c>
      <c r="E4851" t="s">
        <v>108</v>
      </c>
      <c r="F4851" t="s">
        <v>109</v>
      </c>
      <c r="G4851" t="s">
        <v>41</v>
      </c>
      <c r="H4851" t="s">
        <v>16</v>
      </c>
      <c r="I4851" s="3">
        <v>54</v>
      </c>
      <c r="J4851" s="2">
        <v>231</v>
      </c>
      <c r="K4851" s="3">
        <f t="shared" si="75"/>
        <v>12474</v>
      </c>
      <c r="L4851" s="3">
        <v>4490.6399999999994</v>
      </c>
    </row>
    <row r="4852" spans="1:12" x14ac:dyDescent="0.25">
      <c r="A4852" t="s">
        <v>11</v>
      </c>
      <c r="B4852">
        <v>1185732</v>
      </c>
      <c r="C4852" s="1">
        <v>44411</v>
      </c>
      <c r="D4852" t="s">
        <v>57</v>
      </c>
      <c r="E4852" t="s">
        <v>85</v>
      </c>
      <c r="F4852" t="s">
        <v>86</v>
      </c>
      <c r="G4852" t="s">
        <v>41</v>
      </c>
      <c r="H4852" t="s">
        <v>22</v>
      </c>
      <c r="I4852" s="3">
        <v>48</v>
      </c>
      <c r="J4852" s="2">
        <v>46</v>
      </c>
      <c r="K4852" s="3">
        <f t="shared" si="75"/>
        <v>2208</v>
      </c>
      <c r="L4852" s="3">
        <v>772.8</v>
      </c>
    </row>
    <row r="4853" spans="1:12" x14ac:dyDescent="0.25">
      <c r="A4853" t="s">
        <v>26</v>
      </c>
      <c r="B4853">
        <v>1185732</v>
      </c>
      <c r="C4853" s="1">
        <v>44412</v>
      </c>
      <c r="D4853" t="s">
        <v>29</v>
      </c>
      <c r="E4853" t="s">
        <v>93</v>
      </c>
      <c r="F4853" t="s">
        <v>94</v>
      </c>
      <c r="G4853" t="s">
        <v>18</v>
      </c>
      <c r="H4853" t="s">
        <v>22</v>
      </c>
      <c r="I4853" s="3">
        <v>54.999999999999993</v>
      </c>
      <c r="J4853" s="2">
        <v>200</v>
      </c>
      <c r="K4853" s="3">
        <f t="shared" si="75"/>
        <v>10999.999999999998</v>
      </c>
      <c r="L4853" s="3">
        <v>7700</v>
      </c>
    </row>
    <row r="4854" spans="1:12" x14ac:dyDescent="0.25">
      <c r="A4854" t="s">
        <v>26</v>
      </c>
      <c r="B4854">
        <v>1185732</v>
      </c>
      <c r="C4854" s="1">
        <v>44412</v>
      </c>
      <c r="D4854" t="s">
        <v>29</v>
      </c>
      <c r="E4854" t="s">
        <v>93</v>
      </c>
      <c r="F4854" t="s">
        <v>94</v>
      </c>
      <c r="G4854" t="s">
        <v>18</v>
      </c>
      <c r="H4854" t="s">
        <v>35</v>
      </c>
      <c r="I4854" s="3">
        <v>45</v>
      </c>
      <c r="J4854" s="2">
        <v>325</v>
      </c>
      <c r="K4854" s="3">
        <f t="shared" si="75"/>
        <v>14625</v>
      </c>
      <c r="L4854" s="3">
        <v>10237.5</v>
      </c>
    </row>
    <row r="4855" spans="1:12" x14ac:dyDescent="0.25">
      <c r="A4855" t="s">
        <v>26</v>
      </c>
      <c r="B4855">
        <v>1185732</v>
      </c>
      <c r="C4855" s="1">
        <v>44412</v>
      </c>
      <c r="D4855" t="s">
        <v>29</v>
      </c>
      <c r="E4855" t="s">
        <v>93</v>
      </c>
      <c r="F4855" t="s">
        <v>94</v>
      </c>
      <c r="G4855" t="s">
        <v>18</v>
      </c>
      <c r="H4855" t="s">
        <v>37</v>
      </c>
      <c r="I4855" s="3">
        <v>45</v>
      </c>
      <c r="J4855" s="2">
        <v>225</v>
      </c>
      <c r="K4855" s="3">
        <f t="shared" si="75"/>
        <v>10125</v>
      </c>
      <c r="L4855" s="3">
        <v>7087.5</v>
      </c>
    </row>
    <row r="4856" spans="1:12" x14ac:dyDescent="0.25">
      <c r="A4856" t="s">
        <v>26</v>
      </c>
      <c r="B4856">
        <v>1185732</v>
      </c>
      <c r="C4856" s="1">
        <v>44412</v>
      </c>
      <c r="D4856" t="s">
        <v>29</v>
      </c>
      <c r="E4856" t="s">
        <v>93</v>
      </c>
      <c r="F4856" t="s">
        <v>94</v>
      </c>
      <c r="G4856" t="s">
        <v>18</v>
      </c>
      <c r="H4856" t="s">
        <v>16</v>
      </c>
      <c r="I4856" s="3">
        <v>60</v>
      </c>
      <c r="J4856" s="2">
        <v>375</v>
      </c>
      <c r="K4856" s="3">
        <f t="shared" si="75"/>
        <v>22500</v>
      </c>
      <c r="L4856" s="3">
        <v>14625</v>
      </c>
    </row>
    <row r="4857" spans="1:12" x14ac:dyDescent="0.25">
      <c r="A4857" t="s">
        <v>26</v>
      </c>
      <c r="B4857">
        <v>1185732</v>
      </c>
      <c r="C4857" s="1">
        <v>44412</v>
      </c>
      <c r="D4857" t="s">
        <v>29</v>
      </c>
      <c r="E4857" t="s">
        <v>93</v>
      </c>
      <c r="F4857" t="s">
        <v>94</v>
      </c>
      <c r="G4857" t="s">
        <v>18</v>
      </c>
      <c r="H4857" t="s">
        <v>38</v>
      </c>
      <c r="I4857" s="3">
        <v>54.999999999999993</v>
      </c>
      <c r="J4857" s="2">
        <v>625</v>
      </c>
      <c r="K4857" s="3">
        <f t="shared" si="75"/>
        <v>34374.999999999993</v>
      </c>
      <c r="L4857" s="3">
        <v>20624.999999999996</v>
      </c>
    </row>
    <row r="4858" spans="1:12" x14ac:dyDescent="0.25">
      <c r="A4858" t="s">
        <v>26</v>
      </c>
      <c r="B4858">
        <v>1185732</v>
      </c>
      <c r="C4858" s="1">
        <v>44412</v>
      </c>
      <c r="D4858" t="s">
        <v>29</v>
      </c>
      <c r="E4858" t="s">
        <v>93</v>
      </c>
      <c r="F4858" t="s">
        <v>94</v>
      </c>
      <c r="G4858" t="s">
        <v>18</v>
      </c>
      <c r="H4858" t="s">
        <v>17</v>
      </c>
      <c r="I4858" s="3">
        <v>50</v>
      </c>
      <c r="J4858" s="2">
        <v>400</v>
      </c>
      <c r="K4858" s="3">
        <f t="shared" si="75"/>
        <v>20000</v>
      </c>
      <c r="L4858" s="3">
        <v>12000</v>
      </c>
    </row>
    <row r="4859" spans="1:12" x14ac:dyDescent="0.25">
      <c r="A4859" t="s">
        <v>19</v>
      </c>
      <c r="B4859">
        <v>1185732</v>
      </c>
      <c r="C4859" s="1">
        <v>44412</v>
      </c>
      <c r="D4859" t="s">
        <v>57</v>
      </c>
      <c r="E4859" t="s">
        <v>95</v>
      </c>
      <c r="F4859" t="s">
        <v>96</v>
      </c>
      <c r="G4859" t="s">
        <v>15</v>
      </c>
      <c r="H4859" t="s">
        <v>16</v>
      </c>
      <c r="I4859" s="3">
        <v>64.999999999999986</v>
      </c>
      <c r="J4859" s="2">
        <v>250</v>
      </c>
      <c r="K4859" s="3">
        <f t="shared" si="75"/>
        <v>16249.999999999996</v>
      </c>
      <c r="L4859" s="3">
        <v>8124.9999999999982</v>
      </c>
    </row>
    <row r="4860" spans="1:12" x14ac:dyDescent="0.25">
      <c r="A4860" t="s">
        <v>26</v>
      </c>
      <c r="B4860">
        <v>1197831</v>
      </c>
      <c r="C4860" s="1">
        <v>44412</v>
      </c>
      <c r="D4860" t="s">
        <v>57</v>
      </c>
      <c r="E4860" t="s">
        <v>118</v>
      </c>
      <c r="F4860" t="s">
        <v>119</v>
      </c>
      <c r="G4860" t="s">
        <v>15</v>
      </c>
      <c r="H4860" t="s">
        <v>37</v>
      </c>
      <c r="I4860" s="3">
        <v>35</v>
      </c>
      <c r="J4860" s="2">
        <v>475</v>
      </c>
      <c r="K4860" s="3">
        <f t="shared" si="75"/>
        <v>16625</v>
      </c>
      <c r="L4860" s="3">
        <v>8312.5</v>
      </c>
    </row>
    <row r="4861" spans="1:12" x14ac:dyDescent="0.25">
      <c r="A4861" t="s">
        <v>26</v>
      </c>
      <c r="B4861">
        <v>1185732</v>
      </c>
      <c r="C4861" s="1">
        <v>44412</v>
      </c>
      <c r="D4861" t="s">
        <v>29</v>
      </c>
      <c r="E4861" t="s">
        <v>93</v>
      </c>
      <c r="F4861" t="s">
        <v>94</v>
      </c>
      <c r="G4861" t="s">
        <v>15</v>
      </c>
      <c r="H4861" t="s">
        <v>22</v>
      </c>
      <c r="I4861" s="3">
        <v>43</v>
      </c>
      <c r="J4861" s="2">
        <v>62</v>
      </c>
      <c r="K4861" s="3">
        <f t="shared" si="75"/>
        <v>2666</v>
      </c>
      <c r="L4861" s="3">
        <v>1786.2200000000003</v>
      </c>
    </row>
    <row r="4862" spans="1:12" x14ac:dyDescent="0.25">
      <c r="A4862" t="s">
        <v>26</v>
      </c>
      <c r="B4862">
        <v>1185732</v>
      </c>
      <c r="C4862" s="1">
        <v>44412</v>
      </c>
      <c r="D4862" t="s">
        <v>29</v>
      </c>
      <c r="E4862" t="s">
        <v>93</v>
      </c>
      <c r="F4862" t="s">
        <v>94</v>
      </c>
      <c r="G4862" t="s">
        <v>15</v>
      </c>
      <c r="H4862" t="s">
        <v>37</v>
      </c>
      <c r="I4862" s="3">
        <v>32</v>
      </c>
      <c r="J4862" s="2">
        <v>72</v>
      </c>
      <c r="K4862" s="3">
        <f t="shared" si="75"/>
        <v>2304</v>
      </c>
      <c r="L4862" s="3">
        <v>1543.68</v>
      </c>
    </row>
    <row r="4863" spans="1:12" x14ac:dyDescent="0.25">
      <c r="A4863" t="s">
        <v>26</v>
      </c>
      <c r="B4863">
        <v>1185732</v>
      </c>
      <c r="C4863" s="1">
        <v>44412</v>
      </c>
      <c r="D4863" t="s">
        <v>29</v>
      </c>
      <c r="E4863" t="s">
        <v>93</v>
      </c>
      <c r="F4863" t="s">
        <v>94</v>
      </c>
      <c r="G4863" t="s">
        <v>15</v>
      </c>
      <c r="H4863" t="s">
        <v>35</v>
      </c>
      <c r="I4863" s="3">
        <v>36</v>
      </c>
      <c r="J4863" s="2">
        <v>107</v>
      </c>
      <c r="K4863" s="3">
        <f t="shared" si="75"/>
        <v>3852</v>
      </c>
      <c r="L4863" s="3">
        <v>2503.8000000000002</v>
      </c>
    </row>
    <row r="4864" spans="1:12" x14ac:dyDescent="0.25">
      <c r="A4864" t="s">
        <v>26</v>
      </c>
      <c r="B4864">
        <v>1185732</v>
      </c>
      <c r="C4864" s="1">
        <v>44412</v>
      </c>
      <c r="D4864" t="s">
        <v>29</v>
      </c>
      <c r="E4864" t="s">
        <v>93</v>
      </c>
      <c r="F4864" t="s">
        <v>94</v>
      </c>
      <c r="G4864" t="s">
        <v>15</v>
      </c>
      <c r="H4864" t="s">
        <v>16</v>
      </c>
      <c r="I4864" s="3">
        <v>44</v>
      </c>
      <c r="J4864" s="2">
        <v>124</v>
      </c>
      <c r="K4864" s="3">
        <f t="shared" si="75"/>
        <v>5456</v>
      </c>
      <c r="L4864" s="3">
        <v>3382.72</v>
      </c>
    </row>
    <row r="4865" spans="1:12" x14ac:dyDescent="0.25">
      <c r="A4865" t="s">
        <v>26</v>
      </c>
      <c r="B4865">
        <v>1185732</v>
      </c>
      <c r="C4865" s="1">
        <v>44412</v>
      </c>
      <c r="D4865" t="s">
        <v>29</v>
      </c>
      <c r="E4865" t="s">
        <v>93</v>
      </c>
      <c r="F4865" t="s">
        <v>94</v>
      </c>
      <c r="G4865" t="s">
        <v>41</v>
      </c>
      <c r="H4865" t="s">
        <v>37</v>
      </c>
      <c r="I4865" s="3">
        <v>41</v>
      </c>
      <c r="J4865" s="2">
        <v>68</v>
      </c>
      <c r="K4865" s="3">
        <f t="shared" si="75"/>
        <v>2788</v>
      </c>
      <c r="L4865" s="3">
        <v>1644.92</v>
      </c>
    </row>
    <row r="4866" spans="1:12" x14ac:dyDescent="0.25">
      <c r="A4866" t="s">
        <v>26</v>
      </c>
      <c r="B4866">
        <v>1185732</v>
      </c>
      <c r="C4866" s="1">
        <v>44412</v>
      </c>
      <c r="D4866" t="s">
        <v>29</v>
      </c>
      <c r="E4866" t="s">
        <v>93</v>
      </c>
      <c r="F4866" t="s">
        <v>94</v>
      </c>
      <c r="G4866" t="s">
        <v>41</v>
      </c>
      <c r="H4866" t="s">
        <v>35</v>
      </c>
      <c r="I4866" s="3">
        <v>41</v>
      </c>
      <c r="J4866" s="2">
        <v>85</v>
      </c>
      <c r="K4866" s="3">
        <f t="shared" si="75"/>
        <v>3485</v>
      </c>
      <c r="L4866" s="3">
        <v>2021.3</v>
      </c>
    </row>
    <row r="4867" spans="1:12" x14ac:dyDescent="0.25">
      <c r="A4867" t="s">
        <v>26</v>
      </c>
      <c r="B4867">
        <v>1185732</v>
      </c>
      <c r="C4867" s="1">
        <v>44412</v>
      </c>
      <c r="D4867" t="s">
        <v>29</v>
      </c>
      <c r="E4867" t="s">
        <v>93</v>
      </c>
      <c r="F4867" t="s">
        <v>94</v>
      </c>
      <c r="G4867" t="s">
        <v>15</v>
      </c>
      <c r="H4867" t="s">
        <v>38</v>
      </c>
      <c r="I4867" s="3">
        <v>40</v>
      </c>
      <c r="J4867" s="2">
        <v>194</v>
      </c>
      <c r="K4867" s="3">
        <f t="shared" ref="K4867:K4930" si="76">I4867*J4867</f>
        <v>7760</v>
      </c>
      <c r="L4867" s="3">
        <v>4500.7999999999993</v>
      </c>
    </row>
    <row r="4868" spans="1:12" x14ac:dyDescent="0.25">
      <c r="A4868" t="s">
        <v>26</v>
      </c>
      <c r="B4868">
        <v>1185732</v>
      </c>
      <c r="C4868" s="1">
        <v>44412</v>
      </c>
      <c r="D4868" t="s">
        <v>29</v>
      </c>
      <c r="E4868" t="s">
        <v>93</v>
      </c>
      <c r="F4868" t="s">
        <v>94</v>
      </c>
      <c r="G4868" t="s">
        <v>15</v>
      </c>
      <c r="H4868" t="s">
        <v>17</v>
      </c>
      <c r="I4868" s="3">
        <v>34</v>
      </c>
      <c r="J4868" s="2">
        <v>128</v>
      </c>
      <c r="K4868" s="3">
        <f t="shared" si="76"/>
        <v>4352</v>
      </c>
      <c r="L4868" s="3">
        <v>2480.64</v>
      </c>
    </row>
    <row r="4869" spans="1:12" x14ac:dyDescent="0.25">
      <c r="A4869" t="s">
        <v>26</v>
      </c>
      <c r="B4869">
        <v>1185732</v>
      </c>
      <c r="C4869" s="1">
        <v>44412</v>
      </c>
      <c r="D4869" t="s">
        <v>29</v>
      </c>
      <c r="E4869" t="s">
        <v>93</v>
      </c>
      <c r="F4869" t="s">
        <v>94</v>
      </c>
      <c r="G4869" t="s">
        <v>41</v>
      </c>
      <c r="H4869" t="s">
        <v>22</v>
      </c>
      <c r="I4869" s="3">
        <v>51</v>
      </c>
      <c r="J4869" s="2">
        <v>52</v>
      </c>
      <c r="K4869" s="3">
        <f t="shared" si="76"/>
        <v>2652</v>
      </c>
      <c r="L4869" s="3">
        <v>1485.12</v>
      </c>
    </row>
    <row r="4870" spans="1:12" x14ac:dyDescent="0.25">
      <c r="A4870" t="s">
        <v>26</v>
      </c>
      <c r="B4870">
        <v>1185732</v>
      </c>
      <c r="C4870" s="1">
        <v>44412</v>
      </c>
      <c r="D4870" t="s">
        <v>29</v>
      </c>
      <c r="E4870" t="s">
        <v>93</v>
      </c>
      <c r="F4870" t="s">
        <v>94</v>
      </c>
      <c r="G4870" t="s">
        <v>41</v>
      </c>
      <c r="H4870" t="s">
        <v>16</v>
      </c>
      <c r="I4870" s="3">
        <v>55</v>
      </c>
      <c r="J4870" s="2">
        <v>105</v>
      </c>
      <c r="K4870" s="3">
        <f t="shared" si="76"/>
        <v>5775</v>
      </c>
      <c r="L4870" s="3">
        <v>2887.5</v>
      </c>
    </row>
    <row r="4871" spans="1:12" x14ac:dyDescent="0.25">
      <c r="A4871" t="s">
        <v>26</v>
      </c>
      <c r="B4871">
        <v>1185732</v>
      </c>
      <c r="C4871" s="1">
        <v>44412</v>
      </c>
      <c r="D4871" t="s">
        <v>29</v>
      </c>
      <c r="E4871" t="s">
        <v>93</v>
      </c>
      <c r="F4871" t="s">
        <v>94</v>
      </c>
      <c r="G4871" t="s">
        <v>41</v>
      </c>
      <c r="H4871" t="s">
        <v>38</v>
      </c>
      <c r="I4871" s="3">
        <v>51</v>
      </c>
      <c r="J4871" s="2">
        <v>163</v>
      </c>
      <c r="K4871" s="3">
        <f t="shared" si="76"/>
        <v>8313</v>
      </c>
      <c r="L4871" s="3">
        <v>3740.8499999999995</v>
      </c>
    </row>
    <row r="4872" spans="1:12" x14ac:dyDescent="0.25">
      <c r="A4872" t="s">
        <v>26</v>
      </c>
      <c r="B4872">
        <v>1185732</v>
      </c>
      <c r="C4872" s="1">
        <v>44412</v>
      </c>
      <c r="D4872" t="s">
        <v>29</v>
      </c>
      <c r="E4872" t="s">
        <v>93</v>
      </c>
      <c r="F4872" t="s">
        <v>94</v>
      </c>
      <c r="G4872" t="s">
        <v>41</v>
      </c>
      <c r="H4872" t="s">
        <v>17</v>
      </c>
      <c r="I4872" s="3">
        <v>48</v>
      </c>
      <c r="J4872" s="2">
        <v>108</v>
      </c>
      <c r="K4872" s="3">
        <f t="shared" si="76"/>
        <v>5184</v>
      </c>
      <c r="L4872" s="3">
        <v>2332.7999999999997</v>
      </c>
    </row>
    <row r="4873" spans="1:12" x14ac:dyDescent="0.25">
      <c r="A4873" t="s">
        <v>19</v>
      </c>
      <c r="B4873">
        <v>1185732</v>
      </c>
      <c r="C4873" s="1">
        <v>44412</v>
      </c>
      <c r="D4873" t="s">
        <v>57</v>
      </c>
      <c r="E4873" t="s">
        <v>95</v>
      </c>
      <c r="F4873" t="s">
        <v>96</v>
      </c>
      <c r="G4873" t="s">
        <v>41</v>
      </c>
      <c r="H4873" t="s">
        <v>16</v>
      </c>
      <c r="I4873" s="3">
        <v>61</v>
      </c>
      <c r="J4873" s="2">
        <v>65</v>
      </c>
      <c r="K4873" s="3">
        <f t="shared" si="76"/>
        <v>3965</v>
      </c>
      <c r="L4873" s="3">
        <v>1586</v>
      </c>
    </row>
    <row r="4874" spans="1:12" x14ac:dyDescent="0.25">
      <c r="A4874" t="s">
        <v>26</v>
      </c>
      <c r="B4874">
        <v>1197831</v>
      </c>
      <c r="C4874" s="1">
        <v>44412</v>
      </c>
      <c r="D4874" t="s">
        <v>57</v>
      </c>
      <c r="E4874" t="s">
        <v>118</v>
      </c>
      <c r="F4874" t="s">
        <v>119</v>
      </c>
      <c r="G4874" t="s">
        <v>41</v>
      </c>
      <c r="H4874" t="s">
        <v>37</v>
      </c>
      <c r="I4874" s="3">
        <v>33</v>
      </c>
      <c r="J4874" s="2">
        <v>138</v>
      </c>
      <c r="K4874" s="3">
        <f t="shared" si="76"/>
        <v>4554</v>
      </c>
      <c r="L4874" s="3">
        <v>1639.44</v>
      </c>
    </row>
    <row r="4875" spans="1:12" x14ac:dyDescent="0.25">
      <c r="A4875" t="s">
        <v>26</v>
      </c>
      <c r="B4875">
        <v>1197831</v>
      </c>
      <c r="C4875" s="1">
        <v>44413</v>
      </c>
      <c r="D4875" t="s">
        <v>52</v>
      </c>
      <c r="E4875" t="s">
        <v>99</v>
      </c>
      <c r="F4875" t="s">
        <v>100</v>
      </c>
      <c r="G4875" t="s">
        <v>15</v>
      </c>
      <c r="H4875" t="s">
        <v>22</v>
      </c>
      <c r="I4875" s="3">
        <v>40</v>
      </c>
      <c r="J4875" s="2">
        <v>325</v>
      </c>
      <c r="K4875" s="3">
        <f t="shared" si="76"/>
        <v>13000</v>
      </c>
      <c r="L4875" s="3">
        <v>8450</v>
      </c>
    </row>
    <row r="4876" spans="1:12" x14ac:dyDescent="0.25">
      <c r="A4876" t="s">
        <v>19</v>
      </c>
      <c r="B4876">
        <v>1185732</v>
      </c>
      <c r="C4876" s="1">
        <v>44413</v>
      </c>
      <c r="D4876" t="s">
        <v>57</v>
      </c>
      <c r="E4876" t="s">
        <v>95</v>
      </c>
      <c r="F4876" t="s">
        <v>96</v>
      </c>
      <c r="G4876" t="s">
        <v>15</v>
      </c>
      <c r="H4876" t="s">
        <v>38</v>
      </c>
      <c r="I4876" s="3">
        <v>60</v>
      </c>
      <c r="J4876" s="2">
        <v>500</v>
      </c>
      <c r="K4876" s="3">
        <f t="shared" si="76"/>
        <v>30000</v>
      </c>
      <c r="L4876" s="3">
        <v>18000</v>
      </c>
    </row>
    <row r="4877" spans="1:12" x14ac:dyDescent="0.25">
      <c r="A4877" t="s">
        <v>26</v>
      </c>
      <c r="B4877">
        <v>1197831</v>
      </c>
      <c r="C4877" s="1">
        <v>44413</v>
      </c>
      <c r="D4877" t="s">
        <v>52</v>
      </c>
      <c r="E4877" t="s">
        <v>99</v>
      </c>
      <c r="F4877" t="s">
        <v>100</v>
      </c>
      <c r="G4877" t="s">
        <v>15</v>
      </c>
      <c r="H4877" t="s">
        <v>22</v>
      </c>
      <c r="I4877" s="3">
        <v>31</v>
      </c>
      <c r="J4877" s="2">
        <v>114</v>
      </c>
      <c r="K4877" s="3">
        <f t="shared" si="76"/>
        <v>3534</v>
      </c>
      <c r="L4877" s="3">
        <v>2085.0600000000004</v>
      </c>
    </row>
    <row r="4878" spans="1:12" x14ac:dyDescent="0.25">
      <c r="A4878" t="s">
        <v>26</v>
      </c>
      <c r="B4878">
        <v>1197831</v>
      </c>
      <c r="C4878" s="1">
        <v>44413</v>
      </c>
      <c r="D4878" t="s">
        <v>52</v>
      </c>
      <c r="E4878" t="s">
        <v>99</v>
      </c>
      <c r="F4878" t="s">
        <v>100</v>
      </c>
      <c r="G4878" t="s">
        <v>41</v>
      </c>
      <c r="H4878" t="s">
        <v>22</v>
      </c>
      <c r="I4878" s="3">
        <v>37</v>
      </c>
      <c r="J4878" s="2">
        <v>88</v>
      </c>
      <c r="K4878" s="3">
        <f t="shared" si="76"/>
        <v>3256</v>
      </c>
      <c r="L4878" s="3">
        <v>1693.1200000000001</v>
      </c>
    </row>
    <row r="4879" spans="1:12" x14ac:dyDescent="0.25">
      <c r="A4879" t="s">
        <v>19</v>
      </c>
      <c r="B4879">
        <v>1185732</v>
      </c>
      <c r="C4879" s="1">
        <v>44413</v>
      </c>
      <c r="D4879" t="s">
        <v>57</v>
      </c>
      <c r="E4879" t="s">
        <v>95</v>
      </c>
      <c r="F4879" t="s">
        <v>96</v>
      </c>
      <c r="G4879" t="s">
        <v>41</v>
      </c>
      <c r="H4879" t="s">
        <v>38</v>
      </c>
      <c r="I4879" s="3">
        <v>57</v>
      </c>
      <c r="J4879" s="2">
        <v>150</v>
      </c>
      <c r="K4879" s="3">
        <f t="shared" si="76"/>
        <v>8550</v>
      </c>
      <c r="L4879" s="3">
        <v>3847.5</v>
      </c>
    </row>
    <row r="4880" spans="1:12" x14ac:dyDescent="0.25">
      <c r="A4880" t="s">
        <v>19</v>
      </c>
      <c r="B4880">
        <v>1185732</v>
      </c>
      <c r="C4880" s="1">
        <v>44414</v>
      </c>
      <c r="D4880" t="s">
        <v>32</v>
      </c>
      <c r="E4880" t="s">
        <v>46</v>
      </c>
      <c r="F4880" t="s">
        <v>47</v>
      </c>
      <c r="G4880" t="s">
        <v>41</v>
      </c>
      <c r="H4880" t="s">
        <v>35</v>
      </c>
      <c r="I4880" s="3">
        <v>55.000000000000007</v>
      </c>
      <c r="J4880" s="2">
        <v>825</v>
      </c>
      <c r="K4880" s="3">
        <f t="shared" si="76"/>
        <v>45375.000000000007</v>
      </c>
      <c r="L4880" s="3">
        <v>34031.250000000007</v>
      </c>
    </row>
    <row r="4881" spans="1:12" x14ac:dyDescent="0.25">
      <c r="A4881" t="s">
        <v>19</v>
      </c>
      <c r="B4881">
        <v>1185732</v>
      </c>
      <c r="C4881" s="1">
        <v>44414</v>
      </c>
      <c r="D4881" t="s">
        <v>32</v>
      </c>
      <c r="E4881" t="s">
        <v>46</v>
      </c>
      <c r="F4881" t="s">
        <v>47</v>
      </c>
      <c r="G4881" t="s">
        <v>41</v>
      </c>
      <c r="H4881" t="s">
        <v>37</v>
      </c>
      <c r="I4881" s="3">
        <v>45</v>
      </c>
      <c r="J4881" s="2">
        <v>775</v>
      </c>
      <c r="K4881" s="3">
        <f t="shared" si="76"/>
        <v>34875</v>
      </c>
      <c r="L4881" s="3">
        <v>24412.5</v>
      </c>
    </row>
    <row r="4882" spans="1:12" x14ac:dyDescent="0.25">
      <c r="A4882" t="s">
        <v>19</v>
      </c>
      <c r="B4882">
        <v>1185732</v>
      </c>
      <c r="C4882" s="1">
        <v>44414</v>
      </c>
      <c r="D4882" t="s">
        <v>57</v>
      </c>
      <c r="E4882" t="s">
        <v>78</v>
      </c>
      <c r="F4882" t="s">
        <v>79</v>
      </c>
      <c r="G4882" t="s">
        <v>18</v>
      </c>
      <c r="H4882" t="s">
        <v>38</v>
      </c>
      <c r="I4882" s="3">
        <v>50</v>
      </c>
      <c r="J4882" s="2">
        <v>525</v>
      </c>
      <c r="K4882" s="3">
        <f t="shared" si="76"/>
        <v>26250</v>
      </c>
      <c r="L4882" s="3">
        <v>18375</v>
      </c>
    </row>
    <row r="4883" spans="1:12" x14ac:dyDescent="0.25">
      <c r="A4883" t="s">
        <v>19</v>
      </c>
      <c r="B4883">
        <v>1185732</v>
      </c>
      <c r="C4883" s="1">
        <v>44414</v>
      </c>
      <c r="D4883" t="s">
        <v>57</v>
      </c>
      <c r="E4883" t="s">
        <v>78</v>
      </c>
      <c r="F4883" t="s">
        <v>79</v>
      </c>
      <c r="G4883" t="s">
        <v>18</v>
      </c>
      <c r="H4883" t="s">
        <v>35</v>
      </c>
      <c r="I4883" s="3">
        <v>40</v>
      </c>
      <c r="J4883" s="2">
        <v>225</v>
      </c>
      <c r="K4883" s="3">
        <f t="shared" si="76"/>
        <v>9000</v>
      </c>
      <c r="L4883" s="3">
        <v>6300</v>
      </c>
    </row>
    <row r="4884" spans="1:12" x14ac:dyDescent="0.25">
      <c r="A4884" t="s">
        <v>19</v>
      </c>
      <c r="B4884">
        <v>1185732</v>
      </c>
      <c r="C4884" s="1">
        <v>44414</v>
      </c>
      <c r="D4884" t="s">
        <v>57</v>
      </c>
      <c r="E4884" t="s">
        <v>78</v>
      </c>
      <c r="F4884" t="s">
        <v>79</v>
      </c>
      <c r="G4884" t="s">
        <v>18</v>
      </c>
      <c r="H4884" t="s">
        <v>37</v>
      </c>
      <c r="I4884" s="3">
        <v>40</v>
      </c>
      <c r="J4884" s="2">
        <v>200</v>
      </c>
      <c r="K4884" s="3">
        <f t="shared" si="76"/>
        <v>8000</v>
      </c>
      <c r="L4884" s="3">
        <v>5600</v>
      </c>
    </row>
    <row r="4885" spans="1:12" x14ac:dyDescent="0.25">
      <c r="A4885" t="s">
        <v>19</v>
      </c>
      <c r="B4885">
        <v>1185732</v>
      </c>
      <c r="C4885" s="1">
        <v>44414</v>
      </c>
      <c r="D4885" t="s">
        <v>32</v>
      </c>
      <c r="E4885" t="s">
        <v>46</v>
      </c>
      <c r="F4885" t="s">
        <v>47</v>
      </c>
      <c r="G4885" t="s">
        <v>41</v>
      </c>
      <c r="H4885" t="s">
        <v>17</v>
      </c>
      <c r="I4885" s="3">
        <v>60.000000000000007</v>
      </c>
      <c r="J4885" s="2">
        <v>900</v>
      </c>
      <c r="K4885" s="3">
        <f t="shared" si="76"/>
        <v>54000.000000000007</v>
      </c>
      <c r="L4885" s="3">
        <v>35100.000000000015</v>
      </c>
    </row>
    <row r="4886" spans="1:12" x14ac:dyDescent="0.25">
      <c r="A4886" t="s">
        <v>19</v>
      </c>
      <c r="B4886">
        <v>1185732</v>
      </c>
      <c r="C4886" s="1">
        <v>44414</v>
      </c>
      <c r="D4886" t="s">
        <v>57</v>
      </c>
      <c r="E4886" t="s">
        <v>78</v>
      </c>
      <c r="F4886" t="s">
        <v>79</v>
      </c>
      <c r="G4886" t="s">
        <v>18</v>
      </c>
      <c r="H4886" t="s">
        <v>17</v>
      </c>
      <c r="I4886" s="3">
        <v>45.000000000000007</v>
      </c>
      <c r="J4886" s="2">
        <v>300</v>
      </c>
      <c r="K4886" s="3">
        <f t="shared" si="76"/>
        <v>13500.000000000002</v>
      </c>
      <c r="L4886" s="3">
        <v>8775.0000000000036</v>
      </c>
    </row>
    <row r="4887" spans="1:12" x14ac:dyDescent="0.25">
      <c r="A4887" t="s">
        <v>19</v>
      </c>
      <c r="B4887">
        <v>1185732</v>
      </c>
      <c r="C4887" s="1">
        <v>44414</v>
      </c>
      <c r="D4887" t="s">
        <v>57</v>
      </c>
      <c r="E4887" t="s">
        <v>95</v>
      </c>
      <c r="F4887" t="s">
        <v>96</v>
      </c>
      <c r="G4887" t="s">
        <v>15</v>
      </c>
      <c r="H4887" t="s">
        <v>17</v>
      </c>
      <c r="I4887" s="3">
        <v>50</v>
      </c>
      <c r="J4887" s="2">
        <v>300</v>
      </c>
      <c r="K4887" s="3">
        <f t="shared" si="76"/>
        <v>15000</v>
      </c>
      <c r="L4887" s="3">
        <v>9750</v>
      </c>
    </row>
    <row r="4888" spans="1:12" x14ac:dyDescent="0.25">
      <c r="A4888" t="s">
        <v>19</v>
      </c>
      <c r="B4888">
        <v>1185732</v>
      </c>
      <c r="C4888" s="1">
        <v>44414</v>
      </c>
      <c r="D4888" t="s">
        <v>32</v>
      </c>
      <c r="E4888" t="s">
        <v>46</v>
      </c>
      <c r="F4888" t="s">
        <v>47</v>
      </c>
      <c r="G4888" t="s">
        <v>41</v>
      </c>
      <c r="H4888" t="s">
        <v>22</v>
      </c>
      <c r="I4888" s="3">
        <v>55.000000000000007</v>
      </c>
      <c r="J4888" s="2">
        <v>750</v>
      </c>
      <c r="K4888" s="3">
        <f t="shared" si="76"/>
        <v>41250.000000000007</v>
      </c>
      <c r="L4888" s="3">
        <v>26812.500000000007</v>
      </c>
    </row>
    <row r="4889" spans="1:12" x14ac:dyDescent="0.25">
      <c r="A4889" t="s">
        <v>19</v>
      </c>
      <c r="B4889">
        <v>1185732</v>
      </c>
      <c r="C4889" s="1">
        <v>44414</v>
      </c>
      <c r="D4889" t="s">
        <v>57</v>
      </c>
      <c r="E4889" t="s">
        <v>78</v>
      </c>
      <c r="F4889" t="s">
        <v>79</v>
      </c>
      <c r="G4889" t="s">
        <v>18</v>
      </c>
      <c r="H4889" t="s">
        <v>16</v>
      </c>
      <c r="I4889" s="3">
        <v>55.000000000000007</v>
      </c>
      <c r="J4889" s="2">
        <v>350</v>
      </c>
      <c r="K4889" s="3">
        <f t="shared" si="76"/>
        <v>19250.000000000004</v>
      </c>
      <c r="L4889" s="3">
        <v>11550.000000000002</v>
      </c>
    </row>
    <row r="4890" spans="1:12" x14ac:dyDescent="0.25">
      <c r="A4890" t="s">
        <v>19</v>
      </c>
      <c r="B4890">
        <v>1185732</v>
      </c>
      <c r="C4890" s="1">
        <v>44414</v>
      </c>
      <c r="D4890" t="s">
        <v>32</v>
      </c>
      <c r="E4890" t="s">
        <v>46</v>
      </c>
      <c r="F4890" t="s">
        <v>47</v>
      </c>
      <c r="G4890" t="s">
        <v>41</v>
      </c>
      <c r="H4890" t="s">
        <v>38</v>
      </c>
      <c r="I4890" s="3">
        <v>65</v>
      </c>
      <c r="J4890" s="2">
        <v>1125</v>
      </c>
      <c r="K4890" s="3">
        <f t="shared" si="76"/>
        <v>73125</v>
      </c>
      <c r="L4890" s="3">
        <v>40218.75</v>
      </c>
    </row>
    <row r="4891" spans="1:12" x14ac:dyDescent="0.25">
      <c r="A4891" t="s">
        <v>19</v>
      </c>
      <c r="B4891">
        <v>1185732</v>
      </c>
      <c r="C4891" s="1">
        <v>44414</v>
      </c>
      <c r="D4891" t="s">
        <v>32</v>
      </c>
      <c r="E4891" t="s">
        <v>46</v>
      </c>
      <c r="F4891" t="s">
        <v>47</v>
      </c>
      <c r="G4891" t="s">
        <v>41</v>
      </c>
      <c r="H4891" t="s">
        <v>16</v>
      </c>
      <c r="I4891" s="3">
        <v>60.000000000000007</v>
      </c>
      <c r="J4891" s="2">
        <v>925</v>
      </c>
      <c r="K4891" s="3">
        <f t="shared" si="76"/>
        <v>55500.000000000007</v>
      </c>
      <c r="L4891" s="3">
        <v>27750.000000000007</v>
      </c>
    </row>
    <row r="4892" spans="1:12" x14ac:dyDescent="0.25">
      <c r="A4892" t="s">
        <v>19</v>
      </c>
      <c r="B4892">
        <v>1185732</v>
      </c>
      <c r="C4892" s="1">
        <v>44414</v>
      </c>
      <c r="D4892" t="s">
        <v>57</v>
      </c>
      <c r="E4892" t="s">
        <v>78</v>
      </c>
      <c r="F4892" t="s">
        <v>79</v>
      </c>
      <c r="G4892" t="s">
        <v>18</v>
      </c>
      <c r="H4892" t="s">
        <v>22</v>
      </c>
      <c r="I4892" s="3">
        <v>50</v>
      </c>
      <c r="J4892" s="2">
        <v>175</v>
      </c>
      <c r="K4892" s="3">
        <f t="shared" si="76"/>
        <v>8750</v>
      </c>
      <c r="L4892" s="3">
        <v>4375</v>
      </c>
    </row>
    <row r="4893" spans="1:12" x14ac:dyDescent="0.25">
      <c r="A4893" t="s">
        <v>26</v>
      </c>
      <c r="B4893">
        <v>1197831</v>
      </c>
      <c r="C4893" s="1">
        <v>44414</v>
      </c>
      <c r="D4893" t="s">
        <v>52</v>
      </c>
      <c r="E4893" t="s">
        <v>99</v>
      </c>
      <c r="F4893" t="s">
        <v>100</v>
      </c>
      <c r="G4893" t="s">
        <v>15</v>
      </c>
      <c r="H4893" t="s">
        <v>16</v>
      </c>
      <c r="I4893" s="3">
        <v>35</v>
      </c>
      <c r="J4893" s="2">
        <v>475</v>
      </c>
      <c r="K4893" s="3">
        <f t="shared" si="76"/>
        <v>16625</v>
      </c>
      <c r="L4893" s="3">
        <v>7481.2499999999982</v>
      </c>
    </row>
    <row r="4894" spans="1:12" x14ac:dyDescent="0.25">
      <c r="A4894" t="s">
        <v>19</v>
      </c>
      <c r="B4894">
        <v>1185732</v>
      </c>
      <c r="C4894" s="1">
        <v>44414</v>
      </c>
      <c r="D4894" t="s">
        <v>32</v>
      </c>
      <c r="E4894" t="s">
        <v>46</v>
      </c>
      <c r="F4894" t="s">
        <v>47</v>
      </c>
      <c r="G4894" t="s">
        <v>41</v>
      </c>
      <c r="H4894" t="s">
        <v>35</v>
      </c>
      <c r="I4894" s="3">
        <v>50</v>
      </c>
      <c r="J4894" s="2">
        <v>231</v>
      </c>
      <c r="K4894" s="3">
        <f t="shared" si="76"/>
        <v>11550</v>
      </c>
      <c r="L4894" s="3">
        <v>6930</v>
      </c>
    </row>
    <row r="4895" spans="1:12" x14ac:dyDescent="0.25">
      <c r="A4895" t="s">
        <v>19</v>
      </c>
      <c r="B4895">
        <v>1185732</v>
      </c>
      <c r="C4895" s="1">
        <v>44414</v>
      </c>
      <c r="D4895" t="s">
        <v>57</v>
      </c>
      <c r="E4895" t="s">
        <v>78</v>
      </c>
      <c r="F4895" t="s">
        <v>79</v>
      </c>
      <c r="G4895" t="s">
        <v>41</v>
      </c>
      <c r="H4895" t="s">
        <v>37</v>
      </c>
      <c r="I4895" s="3">
        <v>37</v>
      </c>
      <c r="J4895" s="2">
        <v>54</v>
      </c>
      <c r="K4895" s="3">
        <f t="shared" si="76"/>
        <v>1998</v>
      </c>
      <c r="L4895" s="3">
        <v>1178.8200000000002</v>
      </c>
    </row>
    <row r="4896" spans="1:12" x14ac:dyDescent="0.25">
      <c r="A4896" t="s">
        <v>19</v>
      </c>
      <c r="B4896">
        <v>1185732</v>
      </c>
      <c r="C4896" s="1">
        <v>44414</v>
      </c>
      <c r="D4896" t="s">
        <v>32</v>
      </c>
      <c r="E4896" t="s">
        <v>46</v>
      </c>
      <c r="F4896" t="s">
        <v>47</v>
      </c>
      <c r="G4896" t="s">
        <v>41</v>
      </c>
      <c r="H4896" t="s">
        <v>37</v>
      </c>
      <c r="I4896" s="3">
        <v>44</v>
      </c>
      <c r="J4896" s="2">
        <v>233</v>
      </c>
      <c r="K4896" s="3">
        <f t="shared" si="76"/>
        <v>10252</v>
      </c>
      <c r="L4896" s="3">
        <v>6048.68</v>
      </c>
    </row>
    <row r="4897" spans="1:12" x14ac:dyDescent="0.25">
      <c r="A4897" t="s">
        <v>19</v>
      </c>
      <c r="B4897">
        <v>1185732</v>
      </c>
      <c r="C4897" s="1">
        <v>44414</v>
      </c>
      <c r="D4897" t="s">
        <v>57</v>
      </c>
      <c r="E4897" t="s">
        <v>78</v>
      </c>
      <c r="F4897" t="s">
        <v>79</v>
      </c>
      <c r="G4897" t="s">
        <v>41</v>
      </c>
      <c r="H4897" t="s">
        <v>38</v>
      </c>
      <c r="I4897" s="3">
        <v>49</v>
      </c>
      <c r="J4897" s="2">
        <v>131</v>
      </c>
      <c r="K4897" s="3">
        <f t="shared" si="76"/>
        <v>6419</v>
      </c>
      <c r="L4897" s="3">
        <v>3723.02</v>
      </c>
    </row>
    <row r="4898" spans="1:12" x14ac:dyDescent="0.25">
      <c r="A4898" t="s">
        <v>19</v>
      </c>
      <c r="B4898">
        <v>1185732</v>
      </c>
      <c r="C4898" s="1">
        <v>44414</v>
      </c>
      <c r="D4898" t="s">
        <v>57</v>
      </c>
      <c r="E4898" t="s">
        <v>78</v>
      </c>
      <c r="F4898" t="s">
        <v>79</v>
      </c>
      <c r="G4898" t="s">
        <v>41</v>
      </c>
      <c r="H4898" t="s">
        <v>35</v>
      </c>
      <c r="I4898" s="3">
        <v>39</v>
      </c>
      <c r="J4898" s="2">
        <v>61</v>
      </c>
      <c r="K4898" s="3">
        <f t="shared" si="76"/>
        <v>2379</v>
      </c>
      <c r="L4898" s="3">
        <v>1356.03</v>
      </c>
    </row>
    <row r="4899" spans="1:12" x14ac:dyDescent="0.25">
      <c r="A4899" t="s">
        <v>19</v>
      </c>
      <c r="B4899">
        <v>1185732</v>
      </c>
      <c r="C4899" s="1">
        <v>44414</v>
      </c>
      <c r="D4899" t="s">
        <v>57</v>
      </c>
      <c r="E4899" t="s">
        <v>78</v>
      </c>
      <c r="F4899" t="s">
        <v>79</v>
      </c>
      <c r="G4899" t="s">
        <v>41</v>
      </c>
      <c r="H4899" t="s">
        <v>17</v>
      </c>
      <c r="I4899" s="3">
        <v>42</v>
      </c>
      <c r="J4899" s="2">
        <v>78</v>
      </c>
      <c r="K4899" s="3">
        <f t="shared" si="76"/>
        <v>3276</v>
      </c>
      <c r="L4899" s="3">
        <v>1769.0400000000002</v>
      </c>
    </row>
    <row r="4900" spans="1:12" x14ac:dyDescent="0.25">
      <c r="A4900" t="s">
        <v>19</v>
      </c>
      <c r="B4900">
        <v>1185732</v>
      </c>
      <c r="C4900" s="1">
        <v>44414</v>
      </c>
      <c r="D4900" t="s">
        <v>32</v>
      </c>
      <c r="E4900" t="s">
        <v>46</v>
      </c>
      <c r="F4900" t="s">
        <v>47</v>
      </c>
      <c r="G4900" t="s">
        <v>41</v>
      </c>
      <c r="H4900" t="s">
        <v>22</v>
      </c>
      <c r="I4900" s="3">
        <v>51</v>
      </c>
      <c r="J4900" s="2">
        <v>225</v>
      </c>
      <c r="K4900" s="3">
        <f t="shared" si="76"/>
        <v>11475</v>
      </c>
      <c r="L4900" s="3">
        <v>6196.5</v>
      </c>
    </row>
    <row r="4901" spans="1:12" x14ac:dyDescent="0.25">
      <c r="A4901" t="s">
        <v>19</v>
      </c>
      <c r="B4901">
        <v>1185732</v>
      </c>
      <c r="C4901" s="1">
        <v>44414</v>
      </c>
      <c r="D4901" t="s">
        <v>57</v>
      </c>
      <c r="E4901" t="s">
        <v>95</v>
      </c>
      <c r="F4901" t="s">
        <v>96</v>
      </c>
      <c r="G4901" t="s">
        <v>41</v>
      </c>
      <c r="H4901" t="s">
        <v>17</v>
      </c>
      <c r="I4901" s="3">
        <v>46</v>
      </c>
      <c r="J4901" s="2">
        <v>75</v>
      </c>
      <c r="K4901" s="3">
        <f t="shared" si="76"/>
        <v>3450</v>
      </c>
      <c r="L4901" s="3">
        <v>1794</v>
      </c>
    </row>
    <row r="4902" spans="1:12" x14ac:dyDescent="0.25">
      <c r="A4902" t="s">
        <v>19</v>
      </c>
      <c r="B4902">
        <v>1185732</v>
      </c>
      <c r="C4902" s="1">
        <v>44414</v>
      </c>
      <c r="D4902" t="s">
        <v>32</v>
      </c>
      <c r="E4902" t="s">
        <v>46</v>
      </c>
      <c r="F4902" t="s">
        <v>47</v>
      </c>
      <c r="G4902" t="s">
        <v>41</v>
      </c>
      <c r="H4902" t="s">
        <v>17</v>
      </c>
      <c r="I4902" s="3">
        <v>54</v>
      </c>
      <c r="J4902" s="2">
        <v>243</v>
      </c>
      <c r="K4902" s="3">
        <f t="shared" si="76"/>
        <v>13122</v>
      </c>
      <c r="L4902" s="3">
        <v>6692.22</v>
      </c>
    </row>
    <row r="4903" spans="1:12" x14ac:dyDescent="0.25">
      <c r="A4903" t="s">
        <v>19</v>
      </c>
      <c r="B4903">
        <v>1185732</v>
      </c>
      <c r="C4903" s="1">
        <v>44414</v>
      </c>
      <c r="D4903" t="s">
        <v>57</v>
      </c>
      <c r="E4903" t="s">
        <v>78</v>
      </c>
      <c r="F4903" t="s">
        <v>79</v>
      </c>
      <c r="G4903" t="s">
        <v>41</v>
      </c>
      <c r="H4903" t="s">
        <v>16</v>
      </c>
      <c r="I4903" s="3">
        <v>53</v>
      </c>
      <c r="J4903" s="2">
        <v>98</v>
      </c>
      <c r="K4903" s="3">
        <f t="shared" si="76"/>
        <v>5194</v>
      </c>
      <c r="L4903" s="3">
        <v>2337.2999999999997</v>
      </c>
    </row>
    <row r="4904" spans="1:12" x14ac:dyDescent="0.25">
      <c r="A4904" t="s">
        <v>19</v>
      </c>
      <c r="B4904">
        <v>1185732</v>
      </c>
      <c r="C4904" s="1">
        <v>44414</v>
      </c>
      <c r="D4904" t="s">
        <v>32</v>
      </c>
      <c r="E4904" t="s">
        <v>46</v>
      </c>
      <c r="F4904" t="s">
        <v>47</v>
      </c>
      <c r="G4904" t="s">
        <v>41</v>
      </c>
      <c r="H4904" t="s">
        <v>38</v>
      </c>
      <c r="I4904" s="3">
        <v>62</v>
      </c>
      <c r="J4904" s="2">
        <v>326</v>
      </c>
      <c r="K4904" s="3">
        <f t="shared" si="76"/>
        <v>20212</v>
      </c>
      <c r="L4904" s="3">
        <v>8691.159999999998</v>
      </c>
    </row>
    <row r="4905" spans="1:12" x14ac:dyDescent="0.25">
      <c r="A4905" t="s">
        <v>26</v>
      </c>
      <c r="B4905">
        <v>1197831</v>
      </c>
      <c r="C4905" s="1">
        <v>44414</v>
      </c>
      <c r="D4905" t="s">
        <v>52</v>
      </c>
      <c r="E4905" t="s">
        <v>99</v>
      </c>
      <c r="F4905" t="s">
        <v>100</v>
      </c>
      <c r="G4905" t="s">
        <v>15</v>
      </c>
      <c r="H4905" t="s">
        <v>16</v>
      </c>
      <c r="I4905" s="3">
        <v>24</v>
      </c>
      <c r="J4905" s="2">
        <v>152</v>
      </c>
      <c r="K4905" s="3">
        <f t="shared" si="76"/>
        <v>3648</v>
      </c>
      <c r="L4905" s="3">
        <v>1495.6799999999998</v>
      </c>
    </row>
    <row r="4906" spans="1:12" x14ac:dyDescent="0.25">
      <c r="A4906" t="s">
        <v>19</v>
      </c>
      <c r="B4906">
        <v>1185732</v>
      </c>
      <c r="C4906" s="1">
        <v>44414</v>
      </c>
      <c r="D4906" t="s">
        <v>57</v>
      </c>
      <c r="E4906" t="s">
        <v>78</v>
      </c>
      <c r="F4906" t="s">
        <v>79</v>
      </c>
      <c r="G4906" t="s">
        <v>41</v>
      </c>
      <c r="H4906" t="s">
        <v>22</v>
      </c>
      <c r="I4906" s="3">
        <v>48</v>
      </c>
      <c r="J4906" s="2">
        <v>51</v>
      </c>
      <c r="K4906" s="3">
        <f t="shared" si="76"/>
        <v>2448</v>
      </c>
      <c r="L4906" s="3">
        <v>979.2</v>
      </c>
    </row>
    <row r="4907" spans="1:12" x14ac:dyDescent="0.25">
      <c r="A4907" t="s">
        <v>19</v>
      </c>
      <c r="B4907">
        <v>1185732</v>
      </c>
      <c r="C4907" s="1">
        <v>44414</v>
      </c>
      <c r="D4907" t="s">
        <v>32</v>
      </c>
      <c r="E4907" t="s">
        <v>46</v>
      </c>
      <c r="F4907" t="s">
        <v>47</v>
      </c>
      <c r="G4907" t="s">
        <v>41</v>
      </c>
      <c r="H4907" t="s">
        <v>16</v>
      </c>
      <c r="I4907" s="3">
        <v>58</v>
      </c>
      <c r="J4907" s="2">
        <v>278</v>
      </c>
      <c r="K4907" s="3">
        <f t="shared" si="76"/>
        <v>16124</v>
      </c>
      <c r="L4907" s="3">
        <v>6288.3600000000006</v>
      </c>
    </row>
    <row r="4908" spans="1:12" x14ac:dyDescent="0.25">
      <c r="A4908" t="s">
        <v>26</v>
      </c>
      <c r="B4908">
        <v>1197831</v>
      </c>
      <c r="C4908" s="1">
        <v>44414</v>
      </c>
      <c r="D4908" t="s">
        <v>52</v>
      </c>
      <c r="E4908" t="s">
        <v>99</v>
      </c>
      <c r="F4908" t="s">
        <v>100</v>
      </c>
      <c r="G4908" t="s">
        <v>41</v>
      </c>
      <c r="H4908" t="s">
        <v>16</v>
      </c>
      <c r="I4908" s="3">
        <v>32</v>
      </c>
      <c r="J4908" s="2">
        <v>138</v>
      </c>
      <c r="K4908" s="3">
        <f t="shared" si="76"/>
        <v>4416</v>
      </c>
      <c r="L4908" s="3">
        <v>1324.7999999999997</v>
      </c>
    </row>
    <row r="4909" spans="1:12" x14ac:dyDescent="0.25">
      <c r="A4909" t="s">
        <v>19</v>
      </c>
      <c r="B4909">
        <v>1185732</v>
      </c>
      <c r="C4909" s="1">
        <v>44415</v>
      </c>
      <c r="D4909" t="s">
        <v>29</v>
      </c>
      <c r="E4909" t="s">
        <v>48</v>
      </c>
      <c r="F4909" t="s">
        <v>49</v>
      </c>
      <c r="G4909" t="s">
        <v>18</v>
      </c>
      <c r="H4909" t="s">
        <v>22</v>
      </c>
      <c r="I4909" s="3">
        <v>49.999999999999993</v>
      </c>
      <c r="J4909" s="2">
        <v>125</v>
      </c>
      <c r="K4909" s="3">
        <f t="shared" si="76"/>
        <v>6249.9999999999991</v>
      </c>
      <c r="L4909" s="3">
        <v>4375</v>
      </c>
    </row>
    <row r="4910" spans="1:12" x14ac:dyDescent="0.25">
      <c r="A4910" t="s">
        <v>27</v>
      </c>
      <c r="B4910">
        <v>1185732</v>
      </c>
      <c r="C4910" s="1">
        <v>44415</v>
      </c>
      <c r="D4910" t="s">
        <v>29</v>
      </c>
      <c r="E4910" t="s">
        <v>91</v>
      </c>
      <c r="F4910" t="s">
        <v>92</v>
      </c>
      <c r="G4910" t="s">
        <v>18</v>
      </c>
      <c r="H4910" t="s">
        <v>22</v>
      </c>
      <c r="I4910" s="3">
        <v>49.999999999999993</v>
      </c>
      <c r="J4910" s="2">
        <v>175</v>
      </c>
      <c r="K4910" s="3">
        <f t="shared" si="76"/>
        <v>8749.9999999999982</v>
      </c>
      <c r="L4910" s="3">
        <v>6124.9999999999982</v>
      </c>
    </row>
    <row r="4911" spans="1:12" x14ac:dyDescent="0.25">
      <c r="A4911" t="s">
        <v>19</v>
      </c>
      <c r="B4911">
        <v>1185732</v>
      </c>
      <c r="C4911" s="1">
        <v>44415</v>
      </c>
      <c r="D4911" t="s">
        <v>57</v>
      </c>
      <c r="E4911" t="s">
        <v>95</v>
      </c>
      <c r="F4911" t="s">
        <v>96</v>
      </c>
      <c r="G4911" t="s">
        <v>15</v>
      </c>
      <c r="H4911" t="s">
        <v>35</v>
      </c>
      <c r="I4911" s="3">
        <v>50</v>
      </c>
      <c r="J4911" s="2">
        <v>250</v>
      </c>
      <c r="K4911" s="3">
        <f t="shared" si="76"/>
        <v>12500</v>
      </c>
      <c r="L4911" s="3">
        <v>8125</v>
      </c>
    </row>
    <row r="4912" spans="1:12" x14ac:dyDescent="0.25">
      <c r="A4912" t="s">
        <v>27</v>
      </c>
      <c r="B4912">
        <v>1185732</v>
      </c>
      <c r="C4912" s="1">
        <v>44415</v>
      </c>
      <c r="D4912" t="s">
        <v>29</v>
      </c>
      <c r="E4912" t="s">
        <v>91</v>
      </c>
      <c r="F4912" t="s">
        <v>92</v>
      </c>
      <c r="G4912" t="s">
        <v>18</v>
      </c>
      <c r="H4912" t="s">
        <v>38</v>
      </c>
      <c r="I4912" s="3">
        <v>49.999999999999993</v>
      </c>
      <c r="J4912" s="2">
        <v>600</v>
      </c>
      <c r="K4912" s="3">
        <f t="shared" si="76"/>
        <v>29999.999999999996</v>
      </c>
      <c r="L4912" s="3">
        <v>19499.999999999996</v>
      </c>
    </row>
    <row r="4913" spans="1:12" x14ac:dyDescent="0.25">
      <c r="A4913" t="s">
        <v>27</v>
      </c>
      <c r="B4913">
        <v>1185732</v>
      </c>
      <c r="C4913" s="1">
        <v>44415</v>
      </c>
      <c r="D4913" t="s">
        <v>29</v>
      </c>
      <c r="E4913" t="s">
        <v>91</v>
      </c>
      <c r="F4913" t="s">
        <v>92</v>
      </c>
      <c r="G4913" t="s">
        <v>18</v>
      </c>
      <c r="H4913" t="s">
        <v>17</v>
      </c>
      <c r="I4913" s="3">
        <v>45</v>
      </c>
      <c r="J4913" s="2">
        <v>375</v>
      </c>
      <c r="K4913" s="3">
        <f t="shared" si="76"/>
        <v>16875</v>
      </c>
      <c r="L4913" s="3">
        <v>10968.75</v>
      </c>
    </row>
    <row r="4914" spans="1:12" x14ac:dyDescent="0.25">
      <c r="A4914" t="s">
        <v>19</v>
      </c>
      <c r="B4914">
        <v>1185732</v>
      </c>
      <c r="C4914" s="1">
        <v>44415</v>
      </c>
      <c r="D4914" t="s">
        <v>29</v>
      </c>
      <c r="E4914" t="s">
        <v>48</v>
      </c>
      <c r="F4914" t="s">
        <v>49</v>
      </c>
      <c r="G4914" t="s">
        <v>18</v>
      </c>
      <c r="H4914" t="s">
        <v>38</v>
      </c>
      <c r="I4914" s="3">
        <v>49.999999999999993</v>
      </c>
      <c r="J4914" s="2">
        <v>550</v>
      </c>
      <c r="K4914" s="3">
        <f t="shared" si="76"/>
        <v>27499.999999999996</v>
      </c>
      <c r="L4914" s="3">
        <v>17874.999999999996</v>
      </c>
    </row>
    <row r="4915" spans="1:12" x14ac:dyDescent="0.25">
      <c r="A4915" t="s">
        <v>19</v>
      </c>
      <c r="B4915">
        <v>1185732</v>
      </c>
      <c r="C4915" s="1">
        <v>44415</v>
      </c>
      <c r="D4915" t="s">
        <v>29</v>
      </c>
      <c r="E4915" t="s">
        <v>48</v>
      </c>
      <c r="F4915" t="s">
        <v>49</v>
      </c>
      <c r="G4915" t="s">
        <v>18</v>
      </c>
      <c r="H4915" t="s">
        <v>17</v>
      </c>
      <c r="I4915" s="3">
        <v>45</v>
      </c>
      <c r="J4915" s="2">
        <v>325</v>
      </c>
      <c r="K4915" s="3">
        <f t="shared" si="76"/>
        <v>14625</v>
      </c>
      <c r="L4915" s="3">
        <v>9506.25</v>
      </c>
    </row>
    <row r="4916" spans="1:12" x14ac:dyDescent="0.25">
      <c r="A4916" t="s">
        <v>26</v>
      </c>
      <c r="B4916">
        <v>1197831</v>
      </c>
      <c r="C4916" s="1">
        <v>44415</v>
      </c>
      <c r="D4916" t="s">
        <v>52</v>
      </c>
      <c r="E4916" t="s">
        <v>99</v>
      </c>
      <c r="F4916" t="s">
        <v>100</v>
      </c>
      <c r="G4916" t="s">
        <v>15</v>
      </c>
      <c r="H4916" t="s">
        <v>38</v>
      </c>
      <c r="I4916" s="3">
        <v>25</v>
      </c>
      <c r="J4916" s="2">
        <v>625</v>
      </c>
      <c r="K4916" s="3">
        <f t="shared" si="76"/>
        <v>15625</v>
      </c>
      <c r="L4916" s="3">
        <v>9375</v>
      </c>
    </row>
    <row r="4917" spans="1:12" x14ac:dyDescent="0.25">
      <c r="A4917" t="s">
        <v>27</v>
      </c>
      <c r="B4917">
        <v>1185732</v>
      </c>
      <c r="C4917" s="1">
        <v>44415</v>
      </c>
      <c r="D4917" t="s">
        <v>29</v>
      </c>
      <c r="E4917" t="s">
        <v>91</v>
      </c>
      <c r="F4917" t="s">
        <v>92</v>
      </c>
      <c r="G4917" t="s">
        <v>18</v>
      </c>
      <c r="H4917" t="s">
        <v>35</v>
      </c>
      <c r="I4917" s="3">
        <v>40</v>
      </c>
      <c r="J4917" s="2">
        <v>300</v>
      </c>
      <c r="K4917" s="3">
        <f t="shared" si="76"/>
        <v>12000</v>
      </c>
      <c r="L4917" s="3">
        <v>7200</v>
      </c>
    </row>
    <row r="4918" spans="1:12" x14ac:dyDescent="0.25">
      <c r="A4918" t="s">
        <v>27</v>
      </c>
      <c r="B4918">
        <v>1185732</v>
      </c>
      <c r="C4918" s="1">
        <v>44415</v>
      </c>
      <c r="D4918" t="s">
        <v>29</v>
      </c>
      <c r="E4918" t="s">
        <v>91</v>
      </c>
      <c r="F4918" t="s">
        <v>92</v>
      </c>
      <c r="G4918" t="s">
        <v>18</v>
      </c>
      <c r="H4918" t="s">
        <v>37</v>
      </c>
      <c r="I4918" s="3">
        <v>40</v>
      </c>
      <c r="J4918" s="2">
        <v>200</v>
      </c>
      <c r="K4918" s="3">
        <f t="shared" si="76"/>
        <v>8000</v>
      </c>
      <c r="L4918" s="3">
        <v>4800</v>
      </c>
    </row>
    <row r="4919" spans="1:12" x14ac:dyDescent="0.25">
      <c r="A4919" t="s">
        <v>27</v>
      </c>
      <c r="B4919">
        <v>1185732</v>
      </c>
      <c r="C4919" s="1">
        <v>44415</v>
      </c>
      <c r="D4919" t="s">
        <v>29</v>
      </c>
      <c r="E4919" t="s">
        <v>91</v>
      </c>
      <c r="F4919" t="s">
        <v>92</v>
      </c>
      <c r="G4919" t="s">
        <v>18</v>
      </c>
      <c r="H4919" t="s">
        <v>16</v>
      </c>
      <c r="I4919" s="3">
        <v>54.999999999999993</v>
      </c>
      <c r="J4919" s="2">
        <v>350</v>
      </c>
      <c r="K4919" s="3">
        <f t="shared" si="76"/>
        <v>19249.999999999996</v>
      </c>
      <c r="L4919" s="3">
        <v>11549.999999999998</v>
      </c>
    </row>
    <row r="4920" spans="1:12" x14ac:dyDescent="0.25">
      <c r="A4920" t="s">
        <v>19</v>
      </c>
      <c r="B4920">
        <v>1185732</v>
      </c>
      <c r="C4920" s="1">
        <v>44415</v>
      </c>
      <c r="D4920" t="s">
        <v>29</v>
      </c>
      <c r="E4920" t="s">
        <v>48</v>
      </c>
      <c r="F4920" t="s">
        <v>49</v>
      </c>
      <c r="G4920" t="s">
        <v>18</v>
      </c>
      <c r="H4920" t="s">
        <v>35</v>
      </c>
      <c r="I4920" s="3">
        <v>40</v>
      </c>
      <c r="J4920" s="2">
        <v>250</v>
      </c>
      <c r="K4920" s="3">
        <f t="shared" si="76"/>
        <v>10000</v>
      </c>
      <c r="L4920" s="3">
        <v>6000</v>
      </c>
    </row>
    <row r="4921" spans="1:12" x14ac:dyDescent="0.25">
      <c r="A4921" t="s">
        <v>19</v>
      </c>
      <c r="B4921">
        <v>1185732</v>
      </c>
      <c r="C4921" s="1">
        <v>44415</v>
      </c>
      <c r="D4921" t="s">
        <v>29</v>
      </c>
      <c r="E4921" t="s">
        <v>48</v>
      </c>
      <c r="F4921" t="s">
        <v>49</v>
      </c>
      <c r="G4921" t="s">
        <v>18</v>
      </c>
      <c r="H4921" t="s">
        <v>37</v>
      </c>
      <c r="I4921" s="3">
        <v>40</v>
      </c>
      <c r="J4921" s="2">
        <v>150</v>
      </c>
      <c r="K4921" s="3">
        <f t="shared" si="76"/>
        <v>6000</v>
      </c>
      <c r="L4921" s="3">
        <v>3600</v>
      </c>
    </row>
    <row r="4922" spans="1:12" x14ac:dyDescent="0.25">
      <c r="A4922" t="s">
        <v>19</v>
      </c>
      <c r="B4922">
        <v>1185732</v>
      </c>
      <c r="C4922" s="1">
        <v>44415</v>
      </c>
      <c r="D4922" t="s">
        <v>29</v>
      </c>
      <c r="E4922" t="s">
        <v>48</v>
      </c>
      <c r="F4922" t="s">
        <v>49</v>
      </c>
      <c r="G4922" t="s">
        <v>18</v>
      </c>
      <c r="H4922" t="s">
        <v>16</v>
      </c>
      <c r="I4922" s="3">
        <v>54.999999999999993</v>
      </c>
      <c r="J4922" s="2">
        <v>300</v>
      </c>
      <c r="K4922" s="3">
        <f t="shared" si="76"/>
        <v>16499.999999999996</v>
      </c>
      <c r="L4922" s="3">
        <v>9899.9999999999982</v>
      </c>
    </row>
    <row r="4923" spans="1:12" x14ac:dyDescent="0.25">
      <c r="A4923" t="s">
        <v>19</v>
      </c>
      <c r="B4923">
        <v>1185732</v>
      </c>
      <c r="C4923" s="1">
        <v>44415</v>
      </c>
      <c r="D4923" t="s">
        <v>29</v>
      </c>
      <c r="E4923" t="s">
        <v>48</v>
      </c>
      <c r="F4923" t="s">
        <v>49</v>
      </c>
      <c r="G4923" t="s">
        <v>15</v>
      </c>
      <c r="H4923" t="s">
        <v>22</v>
      </c>
      <c r="I4923" s="3">
        <v>37</v>
      </c>
      <c r="J4923" s="2">
        <v>40</v>
      </c>
      <c r="K4923" s="3">
        <f t="shared" si="76"/>
        <v>1480</v>
      </c>
      <c r="L4923" s="3">
        <v>947.2</v>
      </c>
    </row>
    <row r="4924" spans="1:12" x14ac:dyDescent="0.25">
      <c r="A4924" t="s">
        <v>19</v>
      </c>
      <c r="B4924">
        <v>1185732</v>
      </c>
      <c r="C4924" s="1">
        <v>44415</v>
      </c>
      <c r="D4924" t="s">
        <v>29</v>
      </c>
      <c r="E4924" t="s">
        <v>48</v>
      </c>
      <c r="F4924" t="s">
        <v>49</v>
      </c>
      <c r="G4924" t="s">
        <v>15</v>
      </c>
      <c r="H4924" t="s">
        <v>17</v>
      </c>
      <c r="I4924" s="3">
        <v>31</v>
      </c>
      <c r="J4924" s="2">
        <v>111</v>
      </c>
      <c r="K4924" s="3">
        <f t="shared" si="76"/>
        <v>3441</v>
      </c>
      <c r="L4924" s="3">
        <v>2133.42</v>
      </c>
    </row>
    <row r="4925" spans="1:12" x14ac:dyDescent="0.25">
      <c r="A4925" t="s">
        <v>19</v>
      </c>
      <c r="B4925">
        <v>1185732</v>
      </c>
      <c r="C4925" s="1">
        <v>44415</v>
      </c>
      <c r="D4925" t="s">
        <v>29</v>
      </c>
      <c r="E4925" t="s">
        <v>48</v>
      </c>
      <c r="F4925" t="s">
        <v>49</v>
      </c>
      <c r="G4925" t="s">
        <v>41</v>
      </c>
      <c r="H4925" t="s">
        <v>22</v>
      </c>
      <c r="I4925" s="3">
        <v>45</v>
      </c>
      <c r="J4925" s="2">
        <v>31</v>
      </c>
      <c r="K4925" s="3">
        <f t="shared" si="76"/>
        <v>1395</v>
      </c>
      <c r="L4925" s="3">
        <v>837</v>
      </c>
    </row>
    <row r="4926" spans="1:12" x14ac:dyDescent="0.25">
      <c r="A4926" t="s">
        <v>19</v>
      </c>
      <c r="B4926">
        <v>1185732</v>
      </c>
      <c r="C4926" s="1">
        <v>44415</v>
      </c>
      <c r="D4926" t="s">
        <v>29</v>
      </c>
      <c r="E4926" t="s">
        <v>48</v>
      </c>
      <c r="F4926" t="s">
        <v>49</v>
      </c>
      <c r="G4926" t="s">
        <v>15</v>
      </c>
      <c r="H4926" t="s">
        <v>38</v>
      </c>
      <c r="I4926" s="3">
        <v>38</v>
      </c>
      <c r="J4926" s="2">
        <v>182</v>
      </c>
      <c r="K4926" s="3">
        <f t="shared" si="76"/>
        <v>6916</v>
      </c>
      <c r="L4926" s="3">
        <v>4080.44</v>
      </c>
    </row>
    <row r="4927" spans="1:12" x14ac:dyDescent="0.25">
      <c r="A4927" t="s">
        <v>27</v>
      </c>
      <c r="B4927">
        <v>1185732</v>
      </c>
      <c r="C4927" s="1">
        <v>44415</v>
      </c>
      <c r="D4927" t="s">
        <v>29</v>
      </c>
      <c r="E4927" t="s">
        <v>91</v>
      </c>
      <c r="F4927" t="s">
        <v>92</v>
      </c>
      <c r="G4927" t="s">
        <v>41</v>
      </c>
      <c r="H4927" t="s">
        <v>22</v>
      </c>
      <c r="I4927" s="3">
        <v>46</v>
      </c>
      <c r="J4927" s="2">
        <v>46</v>
      </c>
      <c r="K4927" s="3">
        <f t="shared" si="76"/>
        <v>2116</v>
      </c>
      <c r="L4927" s="3">
        <v>1206.1199999999999</v>
      </c>
    </row>
    <row r="4928" spans="1:12" x14ac:dyDescent="0.25">
      <c r="A4928" t="s">
        <v>19</v>
      </c>
      <c r="B4928">
        <v>1185732</v>
      </c>
      <c r="C4928" s="1">
        <v>44415</v>
      </c>
      <c r="D4928" t="s">
        <v>29</v>
      </c>
      <c r="E4928" t="s">
        <v>48</v>
      </c>
      <c r="F4928" t="s">
        <v>49</v>
      </c>
      <c r="G4928" t="s">
        <v>15</v>
      </c>
      <c r="H4928" t="s">
        <v>37</v>
      </c>
      <c r="I4928" s="3">
        <v>29</v>
      </c>
      <c r="J4928" s="2">
        <v>47</v>
      </c>
      <c r="K4928" s="3">
        <f t="shared" si="76"/>
        <v>1363</v>
      </c>
      <c r="L4928" s="3">
        <v>776.91</v>
      </c>
    </row>
    <row r="4929" spans="1:12" x14ac:dyDescent="0.25">
      <c r="A4929" t="s">
        <v>19</v>
      </c>
      <c r="B4929">
        <v>1185732</v>
      </c>
      <c r="C4929" s="1">
        <v>44415</v>
      </c>
      <c r="D4929" t="s">
        <v>29</v>
      </c>
      <c r="E4929" t="s">
        <v>48</v>
      </c>
      <c r="F4929" t="s">
        <v>49</v>
      </c>
      <c r="G4929" t="s">
        <v>15</v>
      </c>
      <c r="H4929" t="s">
        <v>35</v>
      </c>
      <c r="I4929" s="3">
        <v>30</v>
      </c>
      <c r="J4929" s="2">
        <v>85</v>
      </c>
      <c r="K4929" s="3">
        <f t="shared" si="76"/>
        <v>2550</v>
      </c>
      <c r="L4929" s="3">
        <v>1453.4999999999998</v>
      </c>
    </row>
    <row r="4930" spans="1:12" x14ac:dyDescent="0.25">
      <c r="A4930" t="s">
        <v>27</v>
      </c>
      <c r="B4930">
        <v>1185732</v>
      </c>
      <c r="C4930" s="1">
        <v>44415</v>
      </c>
      <c r="D4930" t="s">
        <v>29</v>
      </c>
      <c r="E4930" t="s">
        <v>91</v>
      </c>
      <c r="F4930" t="s">
        <v>92</v>
      </c>
      <c r="G4930" t="s">
        <v>41</v>
      </c>
      <c r="H4930" t="s">
        <v>17</v>
      </c>
      <c r="I4930" s="3">
        <v>42</v>
      </c>
      <c r="J4930" s="2">
        <v>101</v>
      </c>
      <c r="K4930" s="3">
        <f t="shared" si="76"/>
        <v>4242</v>
      </c>
      <c r="L4930" s="3">
        <v>2248.2600000000002</v>
      </c>
    </row>
    <row r="4931" spans="1:12" x14ac:dyDescent="0.25">
      <c r="A4931" t="s">
        <v>19</v>
      </c>
      <c r="B4931">
        <v>1185732</v>
      </c>
      <c r="C4931" s="1">
        <v>44415</v>
      </c>
      <c r="D4931" t="s">
        <v>29</v>
      </c>
      <c r="E4931" t="s">
        <v>48</v>
      </c>
      <c r="F4931" t="s">
        <v>49</v>
      </c>
      <c r="G4931" t="s">
        <v>41</v>
      </c>
      <c r="H4931" t="s">
        <v>17</v>
      </c>
      <c r="I4931" s="3">
        <v>42</v>
      </c>
      <c r="J4931" s="2">
        <v>91</v>
      </c>
      <c r="K4931" s="3">
        <f t="shared" ref="K4931:K4994" si="77">I4931*J4931</f>
        <v>3822</v>
      </c>
      <c r="L4931" s="3">
        <v>2025.66</v>
      </c>
    </row>
    <row r="4932" spans="1:12" x14ac:dyDescent="0.25">
      <c r="A4932" t="s">
        <v>26</v>
      </c>
      <c r="B4932">
        <v>1197831</v>
      </c>
      <c r="C4932" s="1">
        <v>44415</v>
      </c>
      <c r="D4932" t="s">
        <v>52</v>
      </c>
      <c r="E4932" t="s">
        <v>99</v>
      </c>
      <c r="F4932" t="s">
        <v>100</v>
      </c>
      <c r="G4932" t="s">
        <v>15</v>
      </c>
      <c r="H4932" t="s">
        <v>38</v>
      </c>
      <c r="I4932" s="3">
        <v>16</v>
      </c>
      <c r="J4932" s="2">
        <v>206</v>
      </c>
      <c r="K4932" s="3">
        <f t="shared" si="77"/>
        <v>3296</v>
      </c>
      <c r="L4932" s="3">
        <v>1746.88</v>
      </c>
    </row>
    <row r="4933" spans="1:12" x14ac:dyDescent="0.25">
      <c r="A4933" t="s">
        <v>19</v>
      </c>
      <c r="B4933">
        <v>1185732</v>
      </c>
      <c r="C4933" s="1">
        <v>44415</v>
      </c>
      <c r="D4933" t="s">
        <v>29</v>
      </c>
      <c r="E4933" t="s">
        <v>48</v>
      </c>
      <c r="F4933" t="s">
        <v>49</v>
      </c>
      <c r="G4933" t="s">
        <v>15</v>
      </c>
      <c r="H4933" t="s">
        <v>16</v>
      </c>
      <c r="I4933" s="3">
        <v>38</v>
      </c>
      <c r="J4933" s="2">
        <v>96</v>
      </c>
      <c r="K4933" s="3">
        <f t="shared" si="77"/>
        <v>3648</v>
      </c>
      <c r="L4933" s="3">
        <v>1933.4399999999998</v>
      </c>
    </row>
    <row r="4934" spans="1:12" x14ac:dyDescent="0.25">
      <c r="A4934" t="s">
        <v>27</v>
      </c>
      <c r="B4934">
        <v>1185732</v>
      </c>
      <c r="C4934" s="1">
        <v>44415</v>
      </c>
      <c r="D4934" t="s">
        <v>29</v>
      </c>
      <c r="E4934" t="s">
        <v>91</v>
      </c>
      <c r="F4934" t="s">
        <v>92</v>
      </c>
      <c r="G4934" t="s">
        <v>41</v>
      </c>
      <c r="H4934" t="s">
        <v>38</v>
      </c>
      <c r="I4934" s="3">
        <v>47</v>
      </c>
      <c r="J4934" s="2">
        <v>180</v>
      </c>
      <c r="K4934" s="3">
        <f t="shared" si="77"/>
        <v>8460</v>
      </c>
      <c r="L4934" s="3">
        <v>4399.2000000000007</v>
      </c>
    </row>
    <row r="4935" spans="1:12" x14ac:dyDescent="0.25">
      <c r="A4935" t="s">
        <v>19</v>
      </c>
      <c r="B4935">
        <v>1185732</v>
      </c>
      <c r="C4935" s="1">
        <v>44415</v>
      </c>
      <c r="D4935" t="s">
        <v>29</v>
      </c>
      <c r="E4935" t="s">
        <v>48</v>
      </c>
      <c r="F4935" t="s">
        <v>49</v>
      </c>
      <c r="G4935" t="s">
        <v>41</v>
      </c>
      <c r="H4935" t="s">
        <v>38</v>
      </c>
      <c r="I4935" s="3">
        <v>46</v>
      </c>
      <c r="J4935" s="2">
        <v>143</v>
      </c>
      <c r="K4935" s="3">
        <f t="shared" si="77"/>
        <v>6578</v>
      </c>
      <c r="L4935" s="3">
        <v>3420.56</v>
      </c>
    </row>
    <row r="4936" spans="1:12" x14ac:dyDescent="0.25">
      <c r="A4936" t="s">
        <v>19</v>
      </c>
      <c r="B4936">
        <v>1185732</v>
      </c>
      <c r="C4936" s="1">
        <v>44415</v>
      </c>
      <c r="D4936" t="s">
        <v>57</v>
      </c>
      <c r="E4936" t="s">
        <v>95</v>
      </c>
      <c r="F4936" t="s">
        <v>96</v>
      </c>
      <c r="G4936" t="s">
        <v>41</v>
      </c>
      <c r="H4936" t="s">
        <v>35</v>
      </c>
      <c r="I4936" s="3">
        <v>46</v>
      </c>
      <c r="J4936" s="2">
        <v>75</v>
      </c>
      <c r="K4936" s="3">
        <f t="shared" si="77"/>
        <v>3450</v>
      </c>
      <c r="L4936" s="3">
        <v>1759.5</v>
      </c>
    </row>
    <row r="4937" spans="1:12" x14ac:dyDescent="0.25">
      <c r="A4937" t="s">
        <v>27</v>
      </c>
      <c r="B4937">
        <v>1185732</v>
      </c>
      <c r="C4937" s="1">
        <v>44415</v>
      </c>
      <c r="D4937" t="s">
        <v>29</v>
      </c>
      <c r="E4937" t="s">
        <v>91</v>
      </c>
      <c r="F4937" t="s">
        <v>92</v>
      </c>
      <c r="G4937" t="s">
        <v>41</v>
      </c>
      <c r="H4937" t="s">
        <v>37</v>
      </c>
      <c r="I4937" s="3">
        <v>36</v>
      </c>
      <c r="J4937" s="2">
        <v>52</v>
      </c>
      <c r="K4937" s="3">
        <f t="shared" si="77"/>
        <v>1872</v>
      </c>
      <c r="L4937" s="3">
        <v>917.28</v>
      </c>
    </row>
    <row r="4938" spans="1:12" x14ac:dyDescent="0.25">
      <c r="A4938" t="s">
        <v>27</v>
      </c>
      <c r="B4938">
        <v>1185732</v>
      </c>
      <c r="C4938" s="1">
        <v>44415</v>
      </c>
      <c r="D4938" t="s">
        <v>29</v>
      </c>
      <c r="E4938" t="s">
        <v>91</v>
      </c>
      <c r="F4938" t="s">
        <v>92</v>
      </c>
      <c r="G4938" t="s">
        <v>41</v>
      </c>
      <c r="H4938" t="s">
        <v>16</v>
      </c>
      <c r="I4938" s="3">
        <v>52</v>
      </c>
      <c r="J4938" s="2">
        <v>105</v>
      </c>
      <c r="K4938" s="3">
        <f t="shared" si="77"/>
        <v>5460</v>
      </c>
      <c r="L4938" s="3">
        <v>2566.1999999999998</v>
      </c>
    </row>
    <row r="4939" spans="1:12" x14ac:dyDescent="0.25">
      <c r="A4939" t="s">
        <v>19</v>
      </c>
      <c r="B4939">
        <v>1185732</v>
      </c>
      <c r="C4939" s="1">
        <v>44415</v>
      </c>
      <c r="D4939" t="s">
        <v>29</v>
      </c>
      <c r="E4939" t="s">
        <v>48</v>
      </c>
      <c r="F4939" t="s">
        <v>49</v>
      </c>
      <c r="G4939" t="s">
        <v>41</v>
      </c>
      <c r="H4939" t="s">
        <v>37</v>
      </c>
      <c r="I4939" s="3">
        <v>37</v>
      </c>
      <c r="J4939" s="2">
        <v>39</v>
      </c>
      <c r="K4939" s="3">
        <f t="shared" si="77"/>
        <v>1443</v>
      </c>
      <c r="L4939" s="3">
        <v>678.20999999999992</v>
      </c>
    </row>
    <row r="4940" spans="1:12" x14ac:dyDescent="0.25">
      <c r="A4940" t="s">
        <v>26</v>
      </c>
      <c r="B4940">
        <v>1197831</v>
      </c>
      <c r="C4940" s="1">
        <v>44415</v>
      </c>
      <c r="D4940" t="s">
        <v>52</v>
      </c>
      <c r="E4940" t="s">
        <v>99</v>
      </c>
      <c r="F4940" t="s">
        <v>100</v>
      </c>
      <c r="G4940" t="s">
        <v>41</v>
      </c>
      <c r="H4940" t="s">
        <v>38</v>
      </c>
      <c r="I4940" s="3">
        <v>24</v>
      </c>
      <c r="J4940" s="2">
        <v>156</v>
      </c>
      <c r="K4940" s="3">
        <f t="shared" si="77"/>
        <v>3744</v>
      </c>
      <c r="L4940" s="3">
        <v>1722.2399999999998</v>
      </c>
    </row>
    <row r="4941" spans="1:12" x14ac:dyDescent="0.25">
      <c r="A4941" t="s">
        <v>27</v>
      </c>
      <c r="B4941">
        <v>1185732</v>
      </c>
      <c r="C4941" s="1">
        <v>44415</v>
      </c>
      <c r="D4941" t="s">
        <v>29</v>
      </c>
      <c r="E4941" t="s">
        <v>91</v>
      </c>
      <c r="F4941" t="s">
        <v>92</v>
      </c>
      <c r="G4941" t="s">
        <v>41</v>
      </c>
      <c r="H4941" t="s">
        <v>35</v>
      </c>
      <c r="I4941" s="3">
        <v>37</v>
      </c>
      <c r="J4941" s="2">
        <v>75</v>
      </c>
      <c r="K4941" s="3">
        <f t="shared" si="77"/>
        <v>2775</v>
      </c>
      <c r="L4941" s="3">
        <v>1276.5</v>
      </c>
    </row>
    <row r="4942" spans="1:12" x14ac:dyDescent="0.25">
      <c r="A4942" t="s">
        <v>19</v>
      </c>
      <c r="B4942">
        <v>1185732</v>
      </c>
      <c r="C4942" s="1">
        <v>44415</v>
      </c>
      <c r="D4942" t="s">
        <v>29</v>
      </c>
      <c r="E4942" t="s">
        <v>48</v>
      </c>
      <c r="F4942" t="s">
        <v>49</v>
      </c>
      <c r="G4942" t="s">
        <v>41</v>
      </c>
      <c r="H4942" t="s">
        <v>16</v>
      </c>
      <c r="I4942" s="3">
        <v>52</v>
      </c>
      <c r="J4942" s="2">
        <v>87</v>
      </c>
      <c r="K4942" s="3">
        <f t="shared" si="77"/>
        <v>4524</v>
      </c>
      <c r="L4942" s="3">
        <v>2081.04</v>
      </c>
    </row>
    <row r="4943" spans="1:12" x14ac:dyDescent="0.25">
      <c r="A4943" t="s">
        <v>19</v>
      </c>
      <c r="B4943">
        <v>1185732</v>
      </c>
      <c r="C4943" s="1">
        <v>44415</v>
      </c>
      <c r="D4943" t="s">
        <v>29</v>
      </c>
      <c r="E4943" t="s">
        <v>48</v>
      </c>
      <c r="F4943" t="s">
        <v>49</v>
      </c>
      <c r="G4943" t="s">
        <v>41</v>
      </c>
      <c r="H4943" t="s">
        <v>35</v>
      </c>
      <c r="I4943" s="3">
        <v>38</v>
      </c>
      <c r="J4943" s="2">
        <v>75</v>
      </c>
      <c r="K4943" s="3">
        <f t="shared" si="77"/>
        <v>2850</v>
      </c>
      <c r="L4943" s="3">
        <v>1282.4999999999998</v>
      </c>
    </row>
    <row r="4944" spans="1:12" x14ac:dyDescent="0.25">
      <c r="A4944" t="s">
        <v>26</v>
      </c>
      <c r="B4944">
        <v>1197831</v>
      </c>
      <c r="C4944" s="1">
        <v>44416</v>
      </c>
      <c r="D4944" t="s">
        <v>12</v>
      </c>
      <c r="E4944" t="s">
        <v>66</v>
      </c>
      <c r="F4944" t="s">
        <v>67</v>
      </c>
      <c r="G4944" t="s">
        <v>41</v>
      </c>
      <c r="H4944" t="s">
        <v>22</v>
      </c>
      <c r="I4944" s="3">
        <v>55.000000000000007</v>
      </c>
      <c r="J4944" s="2">
        <v>475</v>
      </c>
      <c r="K4944" s="3">
        <f t="shared" si="77"/>
        <v>26125.000000000004</v>
      </c>
      <c r="L4944" s="3">
        <v>16981.250000000004</v>
      </c>
    </row>
    <row r="4945" spans="1:12" x14ac:dyDescent="0.25">
      <c r="A4945" t="s">
        <v>19</v>
      </c>
      <c r="B4945">
        <v>1197831</v>
      </c>
      <c r="C4945" s="1">
        <v>44416</v>
      </c>
      <c r="D4945" t="s">
        <v>12</v>
      </c>
      <c r="E4945" t="s">
        <v>66</v>
      </c>
      <c r="F4945" t="s">
        <v>67</v>
      </c>
      <c r="G4945" t="s">
        <v>41</v>
      </c>
      <c r="H4945" t="s">
        <v>17</v>
      </c>
      <c r="I4945" s="3">
        <v>55.000000000000007</v>
      </c>
      <c r="J4945" s="2">
        <v>750</v>
      </c>
      <c r="K4945" s="3">
        <f t="shared" si="77"/>
        <v>41250.000000000007</v>
      </c>
      <c r="L4945" s="3">
        <v>24750.000000000007</v>
      </c>
    </row>
    <row r="4946" spans="1:12" x14ac:dyDescent="0.25">
      <c r="A4946" t="s">
        <v>19</v>
      </c>
      <c r="B4946">
        <v>1185732</v>
      </c>
      <c r="C4946" s="1">
        <v>44416</v>
      </c>
      <c r="D4946" t="s">
        <v>57</v>
      </c>
      <c r="E4946" t="s">
        <v>95</v>
      </c>
      <c r="F4946" t="s">
        <v>96</v>
      </c>
      <c r="G4946" t="s">
        <v>15</v>
      </c>
      <c r="H4946" t="s">
        <v>37</v>
      </c>
      <c r="I4946" s="3">
        <v>50</v>
      </c>
      <c r="J4946" s="2">
        <v>200</v>
      </c>
      <c r="K4946" s="3">
        <f t="shared" si="77"/>
        <v>10000</v>
      </c>
      <c r="L4946" s="3">
        <v>6000</v>
      </c>
    </row>
    <row r="4947" spans="1:12" x14ac:dyDescent="0.25">
      <c r="A4947" t="s">
        <v>26</v>
      </c>
      <c r="B4947">
        <v>1197831</v>
      </c>
      <c r="C4947" s="1">
        <v>44416</v>
      </c>
      <c r="D4947" t="s">
        <v>52</v>
      </c>
      <c r="E4947" t="s">
        <v>99</v>
      </c>
      <c r="F4947" t="s">
        <v>100</v>
      </c>
      <c r="G4947" t="s">
        <v>15</v>
      </c>
      <c r="H4947" t="s">
        <v>17</v>
      </c>
      <c r="I4947" s="3">
        <v>35</v>
      </c>
      <c r="J4947" s="2">
        <v>600</v>
      </c>
      <c r="K4947" s="3">
        <f t="shared" si="77"/>
        <v>21000</v>
      </c>
      <c r="L4947" s="3">
        <v>12600</v>
      </c>
    </row>
    <row r="4948" spans="1:12" x14ac:dyDescent="0.25">
      <c r="A4948" t="s">
        <v>19</v>
      </c>
      <c r="B4948">
        <v>1197831</v>
      </c>
      <c r="C4948" s="1">
        <v>44416</v>
      </c>
      <c r="D4948" t="s">
        <v>12</v>
      </c>
      <c r="E4948" t="s">
        <v>66</v>
      </c>
      <c r="F4948" t="s">
        <v>67</v>
      </c>
      <c r="G4948" t="s">
        <v>41</v>
      </c>
      <c r="H4948" t="s">
        <v>38</v>
      </c>
      <c r="I4948" s="3">
        <v>50</v>
      </c>
      <c r="J4948" s="2">
        <v>750</v>
      </c>
      <c r="K4948" s="3">
        <f t="shared" si="77"/>
        <v>37500</v>
      </c>
      <c r="L4948" s="3">
        <v>22500</v>
      </c>
    </row>
    <row r="4949" spans="1:12" x14ac:dyDescent="0.25">
      <c r="A4949" t="s">
        <v>19</v>
      </c>
      <c r="B4949">
        <v>1197831</v>
      </c>
      <c r="C4949" s="1">
        <v>44416</v>
      </c>
      <c r="D4949" t="s">
        <v>12</v>
      </c>
      <c r="E4949" t="s">
        <v>66</v>
      </c>
      <c r="F4949" t="s">
        <v>67</v>
      </c>
      <c r="G4949" t="s">
        <v>41</v>
      </c>
      <c r="H4949" t="s">
        <v>35</v>
      </c>
      <c r="I4949" s="3">
        <v>50</v>
      </c>
      <c r="J4949" s="2">
        <v>925</v>
      </c>
      <c r="K4949" s="3">
        <f t="shared" si="77"/>
        <v>46250</v>
      </c>
      <c r="L4949" s="3">
        <v>27750</v>
      </c>
    </row>
    <row r="4950" spans="1:12" x14ac:dyDescent="0.25">
      <c r="A4950" t="s">
        <v>19</v>
      </c>
      <c r="B4950">
        <v>1197831</v>
      </c>
      <c r="C4950" s="1">
        <v>44416</v>
      </c>
      <c r="D4950" t="s">
        <v>12</v>
      </c>
      <c r="E4950" t="s">
        <v>66</v>
      </c>
      <c r="F4950" t="s">
        <v>67</v>
      </c>
      <c r="G4950" t="s">
        <v>41</v>
      </c>
      <c r="H4950" t="s">
        <v>37</v>
      </c>
      <c r="I4950" s="3">
        <v>50</v>
      </c>
      <c r="J4950" s="2">
        <v>475</v>
      </c>
      <c r="K4950" s="3">
        <f t="shared" si="77"/>
        <v>23750</v>
      </c>
      <c r="L4950" s="3">
        <v>11875</v>
      </c>
    </row>
    <row r="4951" spans="1:12" x14ac:dyDescent="0.25">
      <c r="A4951" t="s">
        <v>26</v>
      </c>
      <c r="B4951">
        <v>1197831</v>
      </c>
      <c r="C4951" s="1">
        <v>44416</v>
      </c>
      <c r="D4951" t="s">
        <v>12</v>
      </c>
      <c r="E4951" t="s">
        <v>66</v>
      </c>
      <c r="F4951" t="s">
        <v>67</v>
      </c>
      <c r="G4951" t="s">
        <v>41</v>
      </c>
      <c r="H4951" t="s">
        <v>16</v>
      </c>
      <c r="I4951" s="3">
        <v>60</v>
      </c>
      <c r="J4951" s="2">
        <v>725</v>
      </c>
      <c r="K4951" s="3">
        <f t="shared" si="77"/>
        <v>43500</v>
      </c>
      <c r="L4951" s="3">
        <v>19574.999999999996</v>
      </c>
    </row>
    <row r="4952" spans="1:12" x14ac:dyDescent="0.25">
      <c r="A4952" t="s">
        <v>26</v>
      </c>
      <c r="B4952">
        <v>1197831</v>
      </c>
      <c r="C4952" s="1">
        <v>44416</v>
      </c>
      <c r="D4952" t="s">
        <v>52</v>
      </c>
      <c r="E4952" t="s">
        <v>99</v>
      </c>
      <c r="F4952" t="s">
        <v>100</v>
      </c>
      <c r="G4952" t="s">
        <v>15</v>
      </c>
      <c r="H4952" t="s">
        <v>17</v>
      </c>
      <c r="I4952" s="3">
        <v>26</v>
      </c>
      <c r="J4952" s="2">
        <v>192</v>
      </c>
      <c r="K4952" s="3">
        <f t="shared" si="77"/>
        <v>4992</v>
      </c>
      <c r="L4952" s="3">
        <v>2895.36</v>
      </c>
    </row>
    <row r="4953" spans="1:12" x14ac:dyDescent="0.25">
      <c r="A4953" t="s">
        <v>26</v>
      </c>
      <c r="B4953">
        <v>1197831</v>
      </c>
      <c r="C4953" s="1">
        <v>44416</v>
      </c>
      <c r="D4953" t="s">
        <v>12</v>
      </c>
      <c r="E4953" t="s">
        <v>66</v>
      </c>
      <c r="F4953" t="s">
        <v>67</v>
      </c>
      <c r="G4953" t="s">
        <v>15</v>
      </c>
      <c r="H4953" t="s">
        <v>22</v>
      </c>
      <c r="I4953" s="3">
        <v>39</v>
      </c>
      <c r="J4953" s="2">
        <v>166</v>
      </c>
      <c r="K4953" s="3">
        <f t="shared" si="77"/>
        <v>6474</v>
      </c>
      <c r="L4953" s="3">
        <v>3754.92</v>
      </c>
    </row>
    <row r="4954" spans="1:12" x14ac:dyDescent="0.25">
      <c r="A4954" t="s">
        <v>19</v>
      </c>
      <c r="B4954">
        <v>1197831</v>
      </c>
      <c r="C4954" s="1">
        <v>44416</v>
      </c>
      <c r="D4954" t="s">
        <v>12</v>
      </c>
      <c r="E4954" t="s">
        <v>66</v>
      </c>
      <c r="F4954" t="s">
        <v>67</v>
      </c>
      <c r="G4954" t="s">
        <v>15</v>
      </c>
      <c r="H4954" t="s">
        <v>38</v>
      </c>
      <c r="I4954" s="3">
        <v>38</v>
      </c>
      <c r="J4954" s="2">
        <v>233</v>
      </c>
      <c r="K4954" s="3">
        <f t="shared" si="77"/>
        <v>8854</v>
      </c>
      <c r="L4954" s="3">
        <v>5135.32</v>
      </c>
    </row>
    <row r="4955" spans="1:12" x14ac:dyDescent="0.25">
      <c r="A4955" t="s">
        <v>19</v>
      </c>
      <c r="B4955">
        <v>1197831</v>
      </c>
      <c r="C4955" s="1">
        <v>44416</v>
      </c>
      <c r="D4955" t="s">
        <v>12</v>
      </c>
      <c r="E4955" t="s">
        <v>66</v>
      </c>
      <c r="F4955" t="s">
        <v>67</v>
      </c>
      <c r="G4955" t="s">
        <v>15</v>
      </c>
      <c r="H4955" t="s">
        <v>17</v>
      </c>
      <c r="I4955" s="3">
        <v>37</v>
      </c>
      <c r="J4955" s="2">
        <v>255</v>
      </c>
      <c r="K4955" s="3">
        <f t="shared" si="77"/>
        <v>9435</v>
      </c>
      <c r="L4955" s="3">
        <v>5377.9500000000007</v>
      </c>
    </row>
    <row r="4956" spans="1:12" x14ac:dyDescent="0.25">
      <c r="A4956" t="s">
        <v>19</v>
      </c>
      <c r="B4956">
        <v>1197831</v>
      </c>
      <c r="C4956" s="1">
        <v>44416</v>
      </c>
      <c r="D4956" t="s">
        <v>12</v>
      </c>
      <c r="E4956" t="s">
        <v>66</v>
      </c>
      <c r="F4956" t="s">
        <v>67</v>
      </c>
      <c r="G4956" t="s">
        <v>15</v>
      </c>
      <c r="H4956" t="s">
        <v>35</v>
      </c>
      <c r="I4956" s="3">
        <v>39</v>
      </c>
      <c r="J4956" s="2">
        <v>305</v>
      </c>
      <c r="K4956" s="3">
        <f t="shared" si="77"/>
        <v>11895</v>
      </c>
      <c r="L4956" s="3">
        <v>6780.1500000000005</v>
      </c>
    </row>
    <row r="4957" spans="1:12" x14ac:dyDescent="0.25">
      <c r="A4957" t="s">
        <v>26</v>
      </c>
      <c r="B4957">
        <v>1197831</v>
      </c>
      <c r="C4957" s="1">
        <v>44416</v>
      </c>
      <c r="D4957" t="s">
        <v>12</v>
      </c>
      <c r="E4957" t="s">
        <v>66</v>
      </c>
      <c r="F4957" t="s">
        <v>67</v>
      </c>
      <c r="G4957" t="s">
        <v>41</v>
      </c>
      <c r="H4957" t="s">
        <v>22</v>
      </c>
      <c r="I4957" s="3">
        <v>52</v>
      </c>
      <c r="J4957" s="2">
        <v>133</v>
      </c>
      <c r="K4957" s="3">
        <f t="shared" si="77"/>
        <v>6916</v>
      </c>
      <c r="L4957" s="3">
        <v>3734.6400000000003</v>
      </c>
    </row>
    <row r="4958" spans="1:12" x14ac:dyDescent="0.25">
      <c r="A4958" t="s">
        <v>19</v>
      </c>
      <c r="B4958">
        <v>1185732</v>
      </c>
      <c r="C4958" s="1">
        <v>44416</v>
      </c>
      <c r="D4958" t="s">
        <v>57</v>
      </c>
      <c r="E4958" t="s">
        <v>95</v>
      </c>
      <c r="F4958" t="s">
        <v>96</v>
      </c>
      <c r="G4958" t="s">
        <v>41</v>
      </c>
      <c r="H4958" t="s">
        <v>37</v>
      </c>
      <c r="I4958" s="3">
        <v>49</v>
      </c>
      <c r="J4958" s="2">
        <v>54</v>
      </c>
      <c r="K4958" s="3">
        <f t="shared" si="77"/>
        <v>2646</v>
      </c>
      <c r="L4958" s="3">
        <v>1243.6199999999999</v>
      </c>
    </row>
    <row r="4959" spans="1:12" x14ac:dyDescent="0.25">
      <c r="A4959" t="s">
        <v>19</v>
      </c>
      <c r="B4959">
        <v>1197831</v>
      </c>
      <c r="C4959" s="1">
        <v>44416</v>
      </c>
      <c r="D4959" t="s">
        <v>12</v>
      </c>
      <c r="E4959" t="s">
        <v>66</v>
      </c>
      <c r="F4959" t="s">
        <v>67</v>
      </c>
      <c r="G4959" t="s">
        <v>41</v>
      </c>
      <c r="H4959" t="s">
        <v>17</v>
      </c>
      <c r="I4959" s="3">
        <v>53</v>
      </c>
      <c r="J4959" s="2">
        <v>195</v>
      </c>
      <c r="K4959" s="3">
        <f t="shared" si="77"/>
        <v>10335</v>
      </c>
      <c r="L4959" s="3">
        <v>4857.45</v>
      </c>
    </row>
    <row r="4960" spans="1:12" x14ac:dyDescent="0.25">
      <c r="A4960" t="s">
        <v>19</v>
      </c>
      <c r="B4960">
        <v>1197831</v>
      </c>
      <c r="C4960" s="1">
        <v>44416</v>
      </c>
      <c r="D4960" t="s">
        <v>12</v>
      </c>
      <c r="E4960" t="s">
        <v>66</v>
      </c>
      <c r="F4960" t="s">
        <v>67</v>
      </c>
      <c r="G4960" t="s">
        <v>41</v>
      </c>
      <c r="H4960" t="s">
        <v>35</v>
      </c>
      <c r="I4960" s="3">
        <v>46</v>
      </c>
      <c r="J4960" s="2">
        <v>250</v>
      </c>
      <c r="K4960" s="3">
        <f t="shared" si="77"/>
        <v>11500</v>
      </c>
      <c r="L4960" s="3">
        <v>5405</v>
      </c>
    </row>
    <row r="4961" spans="1:12" x14ac:dyDescent="0.25">
      <c r="A4961" t="s">
        <v>26</v>
      </c>
      <c r="B4961">
        <v>1197831</v>
      </c>
      <c r="C4961" s="1">
        <v>44416</v>
      </c>
      <c r="D4961" t="s">
        <v>52</v>
      </c>
      <c r="E4961" t="s">
        <v>99</v>
      </c>
      <c r="F4961" t="s">
        <v>100</v>
      </c>
      <c r="G4961" t="s">
        <v>41</v>
      </c>
      <c r="H4961" t="s">
        <v>17</v>
      </c>
      <c r="I4961" s="3">
        <v>33</v>
      </c>
      <c r="J4961" s="2">
        <v>174</v>
      </c>
      <c r="K4961" s="3">
        <f t="shared" si="77"/>
        <v>5742</v>
      </c>
      <c r="L4961" s="3">
        <v>2641.3199999999997</v>
      </c>
    </row>
    <row r="4962" spans="1:12" x14ac:dyDescent="0.25">
      <c r="A4962" t="s">
        <v>19</v>
      </c>
      <c r="B4962">
        <v>1197831</v>
      </c>
      <c r="C4962" s="1">
        <v>44416</v>
      </c>
      <c r="D4962" t="s">
        <v>12</v>
      </c>
      <c r="E4962" t="s">
        <v>66</v>
      </c>
      <c r="F4962" t="s">
        <v>67</v>
      </c>
      <c r="G4962" t="s">
        <v>41</v>
      </c>
      <c r="H4962" t="s">
        <v>38</v>
      </c>
      <c r="I4962" s="3">
        <v>46</v>
      </c>
      <c r="J4962" s="2">
        <v>210</v>
      </c>
      <c r="K4962" s="3">
        <f t="shared" si="77"/>
        <v>9660</v>
      </c>
      <c r="L4962" s="3">
        <v>4347.0000000000009</v>
      </c>
    </row>
    <row r="4963" spans="1:12" x14ac:dyDescent="0.25">
      <c r="A4963" t="s">
        <v>19</v>
      </c>
      <c r="B4963">
        <v>1197831</v>
      </c>
      <c r="C4963" s="1">
        <v>44416</v>
      </c>
      <c r="D4963" t="s">
        <v>12</v>
      </c>
      <c r="E4963" t="s">
        <v>66</v>
      </c>
      <c r="F4963" t="s">
        <v>67</v>
      </c>
      <c r="G4963" t="s">
        <v>15</v>
      </c>
      <c r="H4963" t="s">
        <v>37</v>
      </c>
      <c r="I4963" s="3">
        <v>33</v>
      </c>
      <c r="J4963" s="2">
        <v>162</v>
      </c>
      <c r="K4963" s="3">
        <f t="shared" si="77"/>
        <v>5346</v>
      </c>
      <c r="L4963" s="3">
        <v>2405.6999999999998</v>
      </c>
    </row>
    <row r="4964" spans="1:12" x14ac:dyDescent="0.25">
      <c r="A4964" t="s">
        <v>26</v>
      </c>
      <c r="B4964">
        <v>1197831</v>
      </c>
      <c r="C4964" s="1">
        <v>44416</v>
      </c>
      <c r="D4964" t="s">
        <v>12</v>
      </c>
      <c r="E4964" t="s">
        <v>66</v>
      </c>
      <c r="F4964" t="s">
        <v>67</v>
      </c>
      <c r="G4964" t="s">
        <v>15</v>
      </c>
      <c r="H4964" t="s">
        <v>16</v>
      </c>
      <c r="I4964" s="3">
        <v>44</v>
      </c>
      <c r="J4964" s="2">
        <v>239</v>
      </c>
      <c r="K4964" s="3">
        <f t="shared" si="77"/>
        <v>10516</v>
      </c>
      <c r="L4964" s="3">
        <v>4101.2399999999989</v>
      </c>
    </row>
    <row r="4965" spans="1:12" x14ac:dyDescent="0.25">
      <c r="A4965" t="s">
        <v>19</v>
      </c>
      <c r="B4965">
        <v>1197831</v>
      </c>
      <c r="C4965" s="1">
        <v>44416</v>
      </c>
      <c r="D4965" t="s">
        <v>12</v>
      </c>
      <c r="E4965" t="s">
        <v>66</v>
      </c>
      <c r="F4965" t="s">
        <v>67</v>
      </c>
      <c r="G4965" t="s">
        <v>41</v>
      </c>
      <c r="H4965" t="s">
        <v>37</v>
      </c>
      <c r="I4965" s="3">
        <v>48</v>
      </c>
      <c r="J4965" s="2">
        <v>124</v>
      </c>
      <c r="K4965" s="3">
        <f t="shared" si="77"/>
        <v>5952</v>
      </c>
      <c r="L4965" s="3">
        <v>2083.1999999999998</v>
      </c>
    </row>
    <row r="4966" spans="1:12" x14ac:dyDescent="0.25">
      <c r="A4966" t="s">
        <v>26</v>
      </c>
      <c r="B4966">
        <v>1197831</v>
      </c>
      <c r="C4966" s="1">
        <v>44416</v>
      </c>
      <c r="D4966" t="s">
        <v>12</v>
      </c>
      <c r="E4966" t="s">
        <v>66</v>
      </c>
      <c r="F4966" t="s">
        <v>67</v>
      </c>
      <c r="G4966" t="s">
        <v>41</v>
      </c>
      <c r="H4966" t="s">
        <v>16</v>
      </c>
      <c r="I4966" s="3">
        <v>54</v>
      </c>
      <c r="J4966" s="2">
        <v>196</v>
      </c>
      <c r="K4966" s="3">
        <f t="shared" si="77"/>
        <v>10584</v>
      </c>
      <c r="L4966" s="3">
        <v>3386.8799999999992</v>
      </c>
    </row>
    <row r="4967" spans="1:12" x14ac:dyDescent="0.25">
      <c r="A4967" t="s">
        <v>11</v>
      </c>
      <c r="B4967">
        <v>1185732</v>
      </c>
      <c r="C4967" s="1">
        <v>44417</v>
      </c>
      <c r="D4967" t="s">
        <v>29</v>
      </c>
      <c r="E4967" t="s">
        <v>60</v>
      </c>
      <c r="F4967" t="s">
        <v>61</v>
      </c>
      <c r="G4967" t="s">
        <v>18</v>
      </c>
      <c r="H4967" t="s">
        <v>35</v>
      </c>
      <c r="I4967" s="3">
        <v>55.000000000000007</v>
      </c>
      <c r="J4967" s="2">
        <v>625</v>
      </c>
      <c r="K4967" s="3">
        <f t="shared" si="77"/>
        <v>34375.000000000007</v>
      </c>
      <c r="L4967" s="3">
        <v>25781.250000000007</v>
      </c>
    </row>
    <row r="4968" spans="1:12" x14ac:dyDescent="0.25">
      <c r="A4968" t="s">
        <v>26</v>
      </c>
      <c r="B4968">
        <v>1185732</v>
      </c>
      <c r="C4968" s="1">
        <v>44417</v>
      </c>
      <c r="D4968" t="s">
        <v>57</v>
      </c>
      <c r="E4968" t="s">
        <v>76</v>
      </c>
      <c r="F4968" t="s">
        <v>77</v>
      </c>
      <c r="G4968" t="s">
        <v>18</v>
      </c>
      <c r="H4968" t="s">
        <v>17</v>
      </c>
      <c r="I4968" s="3">
        <v>45.000000000000007</v>
      </c>
      <c r="J4968" s="2">
        <v>300</v>
      </c>
      <c r="K4968" s="3">
        <f t="shared" si="77"/>
        <v>13500.000000000002</v>
      </c>
      <c r="L4968" s="3">
        <v>9450.0000000000036</v>
      </c>
    </row>
    <row r="4969" spans="1:12" x14ac:dyDescent="0.25">
      <c r="A4969" t="s">
        <v>11</v>
      </c>
      <c r="B4969">
        <v>1185732</v>
      </c>
      <c r="C4969" s="1">
        <v>44417</v>
      </c>
      <c r="D4969" t="s">
        <v>29</v>
      </c>
      <c r="E4969" t="s">
        <v>60</v>
      </c>
      <c r="F4969" t="s">
        <v>61</v>
      </c>
      <c r="G4969" t="s">
        <v>18</v>
      </c>
      <c r="H4969" t="s">
        <v>37</v>
      </c>
      <c r="I4969" s="3">
        <v>45</v>
      </c>
      <c r="J4969" s="2">
        <v>575</v>
      </c>
      <c r="K4969" s="3">
        <f t="shared" si="77"/>
        <v>25875</v>
      </c>
      <c r="L4969" s="3">
        <v>18112.5</v>
      </c>
    </row>
    <row r="4970" spans="1:12" x14ac:dyDescent="0.25">
      <c r="A4970" t="s">
        <v>26</v>
      </c>
      <c r="B4970">
        <v>1185732</v>
      </c>
      <c r="C4970" s="1">
        <v>44417</v>
      </c>
      <c r="D4970" t="s">
        <v>57</v>
      </c>
      <c r="E4970" t="s">
        <v>76</v>
      </c>
      <c r="F4970" t="s">
        <v>77</v>
      </c>
      <c r="G4970" t="s">
        <v>18</v>
      </c>
      <c r="H4970" t="s">
        <v>35</v>
      </c>
      <c r="I4970" s="3">
        <v>40</v>
      </c>
      <c r="J4970" s="2">
        <v>225</v>
      </c>
      <c r="K4970" s="3">
        <f t="shared" si="77"/>
        <v>9000</v>
      </c>
      <c r="L4970" s="3">
        <v>6300</v>
      </c>
    </row>
    <row r="4971" spans="1:12" x14ac:dyDescent="0.25">
      <c r="A4971" t="s">
        <v>26</v>
      </c>
      <c r="B4971">
        <v>1185732</v>
      </c>
      <c r="C4971" s="1">
        <v>44417</v>
      </c>
      <c r="D4971" t="s">
        <v>57</v>
      </c>
      <c r="E4971" t="s">
        <v>76</v>
      </c>
      <c r="F4971" t="s">
        <v>77</v>
      </c>
      <c r="G4971" t="s">
        <v>18</v>
      </c>
      <c r="H4971" t="s">
        <v>37</v>
      </c>
      <c r="I4971" s="3">
        <v>40</v>
      </c>
      <c r="J4971" s="2">
        <v>200</v>
      </c>
      <c r="K4971" s="3">
        <f t="shared" si="77"/>
        <v>8000</v>
      </c>
      <c r="L4971" s="3">
        <v>5600</v>
      </c>
    </row>
    <row r="4972" spans="1:12" x14ac:dyDescent="0.25">
      <c r="A4972" t="s">
        <v>11</v>
      </c>
      <c r="B4972">
        <v>1185732</v>
      </c>
      <c r="C4972" s="1">
        <v>44417</v>
      </c>
      <c r="D4972" t="s">
        <v>29</v>
      </c>
      <c r="E4972" t="s">
        <v>60</v>
      </c>
      <c r="F4972" t="s">
        <v>61</v>
      </c>
      <c r="G4972" t="s">
        <v>18</v>
      </c>
      <c r="H4972" t="s">
        <v>22</v>
      </c>
      <c r="I4972" s="3">
        <v>55.000000000000007</v>
      </c>
      <c r="J4972" s="2">
        <v>550</v>
      </c>
      <c r="K4972" s="3">
        <f t="shared" si="77"/>
        <v>30250.000000000004</v>
      </c>
      <c r="L4972" s="3">
        <v>19662.500000000007</v>
      </c>
    </row>
    <row r="4973" spans="1:12" x14ac:dyDescent="0.25">
      <c r="A4973" t="s">
        <v>19</v>
      </c>
      <c r="B4973">
        <v>1185732</v>
      </c>
      <c r="C4973" s="1">
        <v>44417</v>
      </c>
      <c r="D4973" t="s">
        <v>57</v>
      </c>
      <c r="E4973" t="s">
        <v>95</v>
      </c>
      <c r="F4973" t="s">
        <v>96</v>
      </c>
      <c r="G4973" t="s">
        <v>15</v>
      </c>
      <c r="H4973" t="s">
        <v>22</v>
      </c>
      <c r="I4973" s="3">
        <v>60</v>
      </c>
      <c r="J4973" s="2">
        <v>200</v>
      </c>
      <c r="K4973" s="3">
        <f t="shared" si="77"/>
        <v>12000</v>
      </c>
      <c r="L4973" s="3">
        <v>7800</v>
      </c>
    </row>
    <row r="4974" spans="1:12" x14ac:dyDescent="0.25">
      <c r="A4974" t="s">
        <v>11</v>
      </c>
      <c r="B4974">
        <v>1185732</v>
      </c>
      <c r="C4974" s="1">
        <v>44417</v>
      </c>
      <c r="D4974" t="s">
        <v>29</v>
      </c>
      <c r="E4974" t="s">
        <v>60</v>
      </c>
      <c r="F4974" t="s">
        <v>61</v>
      </c>
      <c r="G4974" t="s">
        <v>18</v>
      </c>
      <c r="H4974" t="s">
        <v>17</v>
      </c>
      <c r="I4974" s="3">
        <v>60.000000000000007</v>
      </c>
      <c r="J4974" s="2">
        <v>700</v>
      </c>
      <c r="K4974" s="3">
        <f t="shared" si="77"/>
        <v>42000.000000000007</v>
      </c>
      <c r="L4974" s="3">
        <v>27300.000000000007</v>
      </c>
    </row>
    <row r="4975" spans="1:12" x14ac:dyDescent="0.25">
      <c r="A4975" t="s">
        <v>26</v>
      </c>
      <c r="B4975">
        <v>1185732</v>
      </c>
      <c r="C4975" s="1">
        <v>44417</v>
      </c>
      <c r="D4975" t="s">
        <v>57</v>
      </c>
      <c r="E4975" t="s">
        <v>76</v>
      </c>
      <c r="F4975" t="s">
        <v>77</v>
      </c>
      <c r="G4975" t="s">
        <v>18</v>
      </c>
      <c r="H4975" t="s">
        <v>38</v>
      </c>
      <c r="I4975" s="3">
        <v>50</v>
      </c>
      <c r="J4975" s="2">
        <v>525</v>
      </c>
      <c r="K4975" s="3">
        <f t="shared" si="77"/>
        <v>26250</v>
      </c>
      <c r="L4975" s="3">
        <v>17062.5</v>
      </c>
    </row>
    <row r="4976" spans="1:12" x14ac:dyDescent="0.25">
      <c r="A4976" t="s">
        <v>26</v>
      </c>
      <c r="B4976">
        <v>1185732</v>
      </c>
      <c r="C4976" s="1">
        <v>44417</v>
      </c>
      <c r="D4976" t="s">
        <v>57</v>
      </c>
      <c r="E4976" t="s">
        <v>76</v>
      </c>
      <c r="F4976" t="s">
        <v>77</v>
      </c>
      <c r="G4976" t="s">
        <v>18</v>
      </c>
      <c r="H4976" t="s">
        <v>22</v>
      </c>
      <c r="I4976" s="3">
        <v>50</v>
      </c>
      <c r="J4976" s="2">
        <v>175</v>
      </c>
      <c r="K4976" s="3">
        <f t="shared" si="77"/>
        <v>8750</v>
      </c>
      <c r="L4976" s="3">
        <v>5687.5</v>
      </c>
    </row>
    <row r="4977" spans="1:12" x14ac:dyDescent="0.25">
      <c r="A4977" t="s">
        <v>26</v>
      </c>
      <c r="B4977">
        <v>1197831</v>
      </c>
      <c r="C4977" s="1">
        <v>44417</v>
      </c>
      <c r="D4977" t="s">
        <v>52</v>
      </c>
      <c r="E4977" t="s">
        <v>99</v>
      </c>
      <c r="F4977" t="s">
        <v>100</v>
      </c>
      <c r="G4977" t="s">
        <v>15</v>
      </c>
      <c r="H4977" t="s">
        <v>35</v>
      </c>
      <c r="I4977" s="3">
        <v>35</v>
      </c>
      <c r="J4977" s="2">
        <v>425</v>
      </c>
      <c r="K4977" s="3">
        <f t="shared" si="77"/>
        <v>14875</v>
      </c>
      <c r="L4977" s="3">
        <v>8925</v>
      </c>
    </row>
    <row r="4978" spans="1:12" x14ac:dyDescent="0.25">
      <c r="A4978" t="s">
        <v>26</v>
      </c>
      <c r="B4978">
        <v>1185732</v>
      </c>
      <c r="C4978" s="1">
        <v>44417</v>
      </c>
      <c r="D4978" t="s">
        <v>57</v>
      </c>
      <c r="E4978" t="s">
        <v>76</v>
      </c>
      <c r="F4978" t="s">
        <v>77</v>
      </c>
      <c r="G4978" t="s">
        <v>18</v>
      </c>
      <c r="H4978" t="s">
        <v>16</v>
      </c>
      <c r="I4978" s="3">
        <v>55.000000000000007</v>
      </c>
      <c r="J4978" s="2">
        <v>350</v>
      </c>
      <c r="K4978" s="3">
        <f t="shared" si="77"/>
        <v>19250.000000000004</v>
      </c>
      <c r="L4978" s="3">
        <v>11550.000000000002</v>
      </c>
    </row>
    <row r="4979" spans="1:12" x14ac:dyDescent="0.25">
      <c r="A4979" t="s">
        <v>11</v>
      </c>
      <c r="B4979">
        <v>1185732</v>
      </c>
      <c r="C4979" s="1">
        <v>44417</v>
      </c>
      <c r="D4979" t="s">
        <v>29</v>
      </c>
      <c r="E4979" t="s">
        <v>60</v>
      </c>
      <c r="F4979" t="s">
        <v>61</v>
      </c>
      <c r="G4979" t="s">
        <v>18</v>
      </c>
      <c r="H4979" t="s">
        <v>38</v>
      </c>
      <c r="I4979" s="3">
        <v>65</v>
      </c>
      <c r="J4979" s="2">
        <v>925</v>
      </c>
      <c r="K4979" s="3">
        <f t="shared" si="77"/>
        <v>60125</v>
      </c>
      <c r="L4979" s="3">
        <v>33068.75</v>
      </c>
    </row>
    <row r="4980" spans="1:12" x14ac:dyDescent="0.25">
      <c r="A4980" t="s">
        <v>11</v>
      </c>
      <c r="B4980">
        <v>1185732</v>
      </c>
      <c r="C4980" s="1">
        <v>44417</v>
      </c>
      <c r="D4980" t="s">
        <v>29</v>
      </c>
      <c r="E4980" t="s">
        <v>60</v>
      </c>
      <c r="F4980" t="s">
        <v>61</v>
      </c>
      <c r="G4980" t="s">
        <v>18</v>
      </c>
      <c r="H4980" t="s">
        <v>16</v>
      </c>
      <c r="I4980" s="3">
        <v>60.000000000000007</v>
      </c>
      <c r="J4980" s="2">
        <v>725</v>
      </c>
      <c r="K4980" s="3">
        <f t="shared" si="77"/>
        <v>43500.000000000007</v>
      </c>
      <c r="L4980" s="3">
        <v>21750.000000000004</v>
      </c>
    </row>
    <row r="4981" spans="1:12" x14ac:dyDescent="0.25">
      <c r="A4981" t="s">
        <v>11</v>
      </c>
      <c r="B4981">
        <v>1185732</v>
      </c>
      <c r="C4981" s="1">
        <v>44417</v>
      </c>
      <c r="D4981" t="s">
        <v>29</v>
      </c>
      <c r="E4981" t="s">
        <v>60</v>
      </c>
      <c r="F4981" t="s">
        <v>61</v>
      </c>
      <c r="G4981" t="s">
        <v>41</v>
      </c>
      <c r="H4981" t="s">
        <v>35</v>
      </c>
      <c r="I4981" s="3">
        <v>51</v>
      </c>
      <c r="J4981" s="2">
        <v>188</v>
      </c>
      <c r="K4981" s="3">
        <f t="shared" si="77"/>
        <v>9588</v>
      </c>
      <c r="L4981" s="3">
        <v>6136.32</v>
      </c>
    </row>
    <row r="4982" spans="1:12" x14ac:dyDescent="0.25">
      <c r="A4982" t="s">
        <v>11</v>
      </c>
      <c r="B4982">
        <v>1185732</v>
      </c>
      <c r="C4982" s="1">
        <v>44417</v>
      </c>
      <c r="D4982" t="s">
        <v>29</v>
      </c>
      <c r="E4982" t="s">
        <v>60</v>
      </c>
      <c r="F4982" t="s">
        <v>61</v>
      </c>
      <c r="G4982" t="s">
        <v>41</v>
      </c>
      <c r="H4982" t="s">
        <v>37</v>
      </c>
      <c r="I4982" s="3">
        <v>41</v>
      </c>
      <c r="J4982" s="2">
        <v>150</v>
      </c>
      <c r="K4982" s="3">
        <f t="shared" si="77"/>
        <v>6150</v>
      </c>
      <c r="L4982" s="3">
        <v>3690</v>
      </c>
    </row>
    <row r="4983" spans="1:12" x14ac:dyDescent="0.25">
      <c r="A4983" t="s">
        <v>26</v>
      </c>
      <c r="B4983">
        <v>1185732</v>
      </c>
      <c r="C4983" s="1">
        <v>44417</v>
      </c>
      <c r="D4983" t="s">
        <v>57</v>
      </c>
      <c r="E4983" t="s">
        <v>76</v>
      </c>
      <c r="F4983" t="s">
        <v>77</v>
      </c>
      <c r="G4983" t="s">
        <v>41</v>
      </c>
      <c r="H4983" t="s">
        <v>17</v>
      </c>
      <c r="I4983" s="3">
        <v>42</v>
      </c>
      <c r="J4983" s="2">
        <v>90</v>
      </c>
      <c r="K4983" s="3">
        <f t="shared" si="77"/>
        <v>3780</v>
      </c>
      <c r="L4983" s="3">
        <v>2268</v>
      </c>
    </row>
    <row r="4984" spans="1:12" x14ac:dyDescent="0.25">
      <c r="A4984" t="s">
        <v>26</v>
      </c>
      <c r="B4984">
        <v>1185732</v>
      </c>
      <c r="C4984" s="1">
        <v>44417</v>
      </c>
      <c r="D4984" t="s">
        <v>57</v>
      </c>
      <c r="E4984" t="s">
        <v>76</v>
      </c>
      <c r="F4984" t="s">
        <v>77</v>
      </c>
      <c r="G4984" t="s">
        <v>41</v>
      </c>
      <c r="H4984" t="s">
        <v>37</v>
      </c>
      <c r="I4984" s="3">
        <v>38</v>
      </c>
      <c r="J4984" s="2">
        <v>52</v>
      </c>
      <c r="K4984" s="3">
        <f t="shared" si="77"/>
        <v>1976</v>
      </c>
      <c r="L4984" s="3">
        <v>1165.8400000000001</v>
      </c>
    </row>
    <row r="4985" spans="1:12" x14ac:dyDescent="0.25">
      <c r="A4985" t="s">
        <v>26</v>
      </c>
      <c r="B4985">
        <v>1185732</v>
      </c>
      <c r="C4985" s="1">
        <v>44417</v>
      </c>
      <c r="D4985" t="s">
        <v>57</v>
      </c>
      <c r="E4985" t="s">
        <v>76</v>
      </c>
      <c r="F4985" t="s">
        <v>77</v>
      </c>
      <c r="G4985" t="s">
        <v>41</v>
      </c>
      <c r="H4985" t="s">
        <v>35</v>
      </c>
      <c r="I4985" s="3">
        <v>37</v>
      </c>
      <c r="J4985" s="2">
        <v>63</v>
      </c>
      <c r="K4985" s="3">
        <f t="shared" si="77"/>
        <v>2331</v>
      </c>
      <c r="L4985" s="3">
        <v>1375.29</v>
      </c>
    </row>
    <row r="4986" spans="1:12" x14ac:dyDescent="0.25">
      <c r="A4986" t="s">
        <v>26</v>
      </c>
      <c r="B4986">
        <v>1197831</v>
      </c>
      <c r="C4986" s="1">
        <v>44417</v>
      </c>
      <c r="D4986" t="s">
        <v>52</v>
      </c>
      <c r="E4986" t="s">
        <v>99</v>
      </c>
      <c r="F4986" t="s">
        <v>100</v>
      </c>
      <c r="G4986" t="s">
        <v>15</v>
      </c>
      <c r="H4986" t="s">
        <v>35</v>
      </c>
      <c r="I4986" s="3">
        <v>26</v>
      </c>
      <c r="J4986" s="2">
        <v>136</v>
      </c>
      <c r="K4986" s="3">
        <f t="shared" si="77"/>
        <v>3536</v>
      </c>
      <c r="L4986" s="3">
        <v>1980.16</v>
      </c>
    </row>
    <row r="4987" spans="1:12" x14ac:dyDescent="0.25">
      <c r="A4987" t="s">
        <v>11</v>
      </c>
      <c r="B4987">
        <v>1185732</v>
      </c>
      <c r="C4987" s="1">
        <v>44417</v>
      </c>
      <c r="D4987" t="s">
        <v>29</v>
      </c>
      <c r="E4987" t="s">
        <v>60</v>
      </c>
      <c r="F4987" t="s">
        <v>61</v>
      </c>
      <c r="G4987" t="s">
        <v>41</v>
      </c>
      <c r="H4987" t="s">
        <v>17</v>
      </c>
      <c r="I4987" s="3">
        <v>55</v>
      </c>
      <c r="J4987" s="2">
        <v>210</v>
      </c>
      <c r="K4987" s="3">
        <f t="shared" si="77"/>
        <v>11550</v>
      </c>
      <c r="L4987" s="3">
        <v>6352.5000000000009</v>
      </c>
    </row>
    <row r="4988" spans="1:12" x14ac:dyDescent="0.25">
      <c r="A4988" t="s">
        <v>19</v>
      </c>
      <c r="B4988">
        <v>1185732</v>
      </c>
      <c r="C4988" s="1">
        <v>44417</v>
      </c>
      <c r="D4988" t="s">
        <v>57</v>
      </c>
      <c r="E4988" t="s">
        <v>95</v>
      </c>
      <c r="F4988" t="s">
        <v>96</v>
      </c>
      <c r="G4988" t="s">
        <v>41</v>
      </c>
      <c r="H4988" t="s">
        <v>22</v>
      </c>
      <c r="I4988" s="3">
        <v>59</v>
      </c>
      <c r="J4988" s="2">
        <v>58</v>
      </c>
      <c r="K4988" s="3">
        <f t="shared" si="77"/>
        <v>3422</v>
      </c>
      <c r="L4988" s="3">
        <v>1882.1000000000001</v>
      </c>
    </row>
    <row r="4989" spans="1:12" x14ac:dyDescent="0.25">
      <c r="A4989" t="s">
        <v>26</v>
      </c>
      <c r="B4989">
        <v>1185732</v>
      </c>
      <c r="C4989" s="1">
        <v>44417</v>
      </c>
      <c r="D4989" t="s">
        <v>57</v>
      </c>
      <c r="E4989" t="s">
        <v>76</v>
      </c>
      <c r="F4989" t="s">
        <v>77</v>
      </c>
      <c r="G4989" t="s">
        <v>41</v>
      </c>
      <c r="H4989" t="s">
        <v>22</v>
      </c>
      <c r="I4989" s="3">
        <v>46</v>
      </c>
      <c r="J4989" s="2">
        <v>44</v>
      </c>
      <c r="K4989" s="3">
        <f t="shared" si="77"/>
        <v>2024</v>
      </c>
      <c r="L4989" s="3">
        <v>1092.96</v>
      </c>
    </row>
    <row r="4990" spans="1:12" x14ac:dyDescent="0.25">
      <c r="A4990" t="s">
        <v>11</v>
      </c>
      <c r="B4990">
        <v>1185732</v>
      </c>
      <c r="C4990" s="1">
        <v>44417</v>
      </c>
      <c r="D4990" t="s">
        <v>29</v>
      </c>
      <c r="E4990" t="s">
        <v>60</v>
      </c>
      <c r="F4990" t="s">
        <v>61</v>
      </c>
      <c r="G4990" t="s">
        <v>41</v>
      </c>
      <c r="H4990" t="s">
        <v>22</v>
      </c>
      <c r="I4990" s="3">
        <v>52</v>
      </c>
      <c r="J4990" s="2">
        <v>149</v>
      </c>
      <c r="K4990" s="3">
        <f t="shared" si="77"/>
        <v>7748</v>
      </c>
      <c r="L4990" s="3">
        <v>4028.96</v>
      </c>
    </row>
    <row r="4991" spans="1:12" x14ac:dyDescent="0.25">
      <c r="A4991" t="s">
        <v>26</v>
      </c>
      <c r="B4991">
        <v>1185732</v>
      </c>
      <c r="C4991" s="1">
        <v>44417</v>
      </c>
      <c r="D4991" t="s">
        <v>57</v>
      </c>
      <c r="E4991" t="s">
        <v>76</v>
      </c>
      <c r="F4991" t="s">
        <v>77</v>
      </c>
      <c r="G4991" t="s">
        <v>41</v>
      </c>
      <c r="H4991" t="s">
        <v>38</v>
      </c>
      <c r="I4991" s="3">
        <v>46</v>
      </c>
      <c r="J4991" s="2">
        <v>147</v>
      </c>
      <c r="K4991" s="3">
        <f t="shared" si="77"/>
        <v>6762</v>
      </c>
      <c r="L4991" s="3">
        <v>3448.62</v>
      </c>
    </row>
    <row r="4992" spans="1:12" x14ac:dyDescent="0.25">
      <c r="A4992" t="s">
        <v>26</v>
      </c>
      <c r="B4992">
        <v>1197831</v>
      </c>
      <c r="C4992" s="1">
        <v>44417</v>
      </c>
      <c r="D4992" t="s">
        <v>52</v>
      </c>
      <c r="E4992" t="s">
        <v>99</v>
      </c>
      <c r="F4992" t="s">
        <v>100</v>
      </c>
      <c r="G4992" t="s">
        <v>41</v>
      </c>
      <c r="H4992" t="s">
        <v>35</v>
      </c>
      <c r="I4992" s="3">
        <v>32</v>
      </c>
      <c r="J4992" s="2">
        <v>128</v>
      </c>
      <c r="K4992" s="3">
        <f t="shared" si="77"/>
        <v>4096</v>
      </c>
      <c r="L4992" s="3">
        <v>1966.08</v>
      </c>
    </row>
    <row r="4993" spans="1:12" x14ac:dyDescent="0.25">
      <c r="A4993" t="s">
        <v>26</v>
      </c>
      <c r="B4993">
        <v>1185732</v>
      </c>
      <c r="C4993" s="1">
        <v>44417</v>
      </c>
      <c r="D4993" t="s">
        <v>57</v>
      </c>
      <c r="E4993" t="s">
        <v>76</v>
      </c>
      <c r="F4993" t="s">
        <v>77</v>
      </c>
      <c r="G4993" t="s">
        <v>41</v>
      </c>
      <c r="H4993" t="s">
        <v>16</v>
      </c>
      <c r="I4993" s="3">
        <v>54</v>
      </c>
      <c r="J4993" s="2">
        <v>95</v>
      </c>
      <c r="K4993" s="3">
        <f t="shared" si="77"/>
        <v>5130</v>
      </c>
      <c r="L4993" s="3">
        <v>2411.1</v>
      </c>
    </row>
    <row r="4994" spans="1:12" x14ac:dyDescent="0.25">
      <c r="A4994" t="s">
        <v>11</v>
      </c>
      <c r="B4994">
        <v>1185732</v>
      </c>
      <c r="C4994" s="1">
        <v>44417</v>
      </c>
      <c r="D4994" t="s">
        <v>29</v>
      </c>
      <c r="E4994" t="s">
        <v>60</v>
      </c>
      <c r="F4994" t="s">
        <v>61</v>
      </c>
      <c r="G4994" t="s">
        <v>41</v>
      </c>
      <c r="H4994" t="s">
        <v>38</v>
      </c>
      <c r="I4994" s="3">
        <v>62</v>
      </c>
      <c r="J4994" s="2">
        <v>250</v>
      </c>
      <c r="K4994" s="3">
        <f t="shared" si="77"/>
        <v>15500</v>
      </c>
      <c r="L4994" s="3">
        <v>6820</v>
      </c>
    </row>
    <row r="4995" spans="1:12" x14ac:dyDescent="0.25">
      <c r="A4995" t="s">
        <v>11</v>
      </c>
      <c r="B4995">
        <v>1185732</v>
      </c>
      <c r="C4995" s="1">
        <v>44417</v>
      </c>
      <c r="D4995" t="s">
        <v>29</v>
      </c>
      <c r="E4995" t="s">
        <v>60</v>
      </c>
      <c r="F4995" t="s">
        <v>61</v>
      </c>
      <c r="G4995" t="s">
        <v>41</v>
      </c>
      <c r="H4995" t="s">
        <v>16</v>
      </c>
      <c r="I4995" s="3">
        <v>55</v>
      </c>
      <c r="J4995" s="2">
        <v>218</v>
      </c>
      <c r="K4995" s="3">
        <f t="shared" ref="K4995:K5058" si="78">I4995*J4995</f>
        <v>11990</v>
      </c>
      <c r="L4995" s="3">
        <v>4796</v>
      </c>
    </row>
    <row r="4996" spans="1:12" x14ac:dyDescent="0.25">
      <c r="A4996" t="s">
        <v>23</v>
      </c>
      <c r="B4996">
        <v>1128299</v>
      </c>
      <c r="C4996" s="1">
        <v>44418</v>
      </c>
      <c r="D4996" t="s">
        <v>12</v>
      </c>
      <c r="E4996" t="s">
        <v>20</v>
      </c>
      <c r="F4996" t="s">
        <v>21</v>
      </c>
      <c r="G4996" t="s">
        <v>15</v>
      </c>
      <c r="H4996" t="s">
        <v>22</v>
      </c>
      <c r="I4996" s="3">
        <v>70</v>
      </c>
      <c r="J4996" s="2">
        <v>525</v>
      </c>
      <c r="K4996" s="3">
        <f t="shared" si="78"/>
        <v>36750</v>
      </c>
      <c r="L4996" s="3">
        <v>31237.5</v>
      </c>
    </row>
    <row r="4997" spans="1:12" x14ac:dyDescent="0.25">
      <c r="A4997" t="s">
        <v>19</v>
      </c>
      <c r="B4997">
        <v>1128299</v>
      </c>
      <c r="C4997" s="1">
        <v>44418</v>
      </c>
      <c r="D4997" t="s">
        <v>12</v>
      </c>
      <c r="E4997" t="s">
        <v>20</v>
      </c>
      <c r="F4997" t="s">
        <v>21</v>
      </c>
      <c r="G4997" t="s">
        <v>15</v>
      </c>
      <c r="H4997" t="s">
        <v>17</v>
      </c>
      <c r="I4997" s="3">
        <v>75.000000000000014</v>
      </c>
      <c r="J4997" s="2">
        <v>725</v>
      </c>
      <c r="K4997" s="3">
        <f t="shared" si="78"/>
        <v>54375.000000000007</v>
      </c>
      <c r="L4997" s="3">
        <v>43500.000000000015</v>
      </c>
    </row>
    <row r="4998" spans="1:12" x14ac:dyDescent="0.25">
      <c r="A4998" t="s">
        <v>19</v>
      </c>
      <c r="B4998">
        <v>1128299</v>
      </c>
      <c r="C4998" s="1">
        <v>44418</v>
      </c>
      <c r="D4998" t="s">
        <v>12</v>
      </c>
      <c r="E4998" t="s">
        <v>20</v>
      </c>
      <c r="F4998" t="s">
        <v>21</v>
      </c>
      <c r="G4998" t="s">
        <v>15</v>
      </c>
      <c r="H4998" t="s">
        <v>38</v>
      </c>
      <c r="I4998" s="3">
        <v>85.000000000000014</v>
      </c>
      <c r="J4998" s="2">
        <v>750</v>
      </c>
      <c r="K4998" s="3">
        <f t="shared" si="78"/>
        <v>63750.000000000007</v>
      </c>
      <c r="L4998" s="3">
        <v>47812.500000000015</v>
      </c>
    </row>
    <row r="4999" spans="1:12" x14ac:dyDescent="0.25">
      <c r="A4999" t="s">
        <v>19</v>
      </c>
      <c r="B4999">
        <v>1128299</v>
      </c>
      <c r="C4999" s="1">
        <v>44418</v>
      </c>
      <c r="D4999" t="s">
        <v>12</v>
      </c>
      <c r="E4999" t="s">
        <v>20</v>
      </c>
      <c r="F4999" t="s">
        <v>21</v>
      </c>
      <c r="G4999" t="s">
        <v>15</v>
      </c>
      <c r="H4999" t="s">
        <v>35</v>
      </c>
      <c r="I4999" s="3">
        <v>70</v>
      </c>
      <c r="J4999" s="2">
        <v>600</v>
      </c>
      <c r="K4999" s="3">
        <f t="shared" si="78"/>
        <v>42000</v>
      </c>
      <c r="L4999" s="3">
        <v>31500</v>
      </c>
    </row>
    <row r="5000" spans="1:12" x14ac:dyDescent="0.25">
      <c r="A5000" t="s">
        <v>19</v>
      </c>
      <c r="B5000">
        <v>1128299</v>
      </c>
      <c r="C5000" s="1">
        <v>44418</v>
      </c>
      <c r="D5000" t="s">
        <v>12</v>
      </c>
      <c r="E5000" t="s">
        <v>20</v>
      </c>
      <c r="F5000" t="s">
        <v>21</v>
      </c>
      <c r="G5000" t="s">
        <v>15</v>
      </c>
      <c r="H5000" t="s">
        <v>37</v>
      </c>
      <c r="I5000" s="3">
        <v>70</v>
      </c>
      <c r="J5000" s="2">
        <v>525</v>
      </c>
      <c r="K5000" s="3">
        <f t="shared" si="78"/>
        <v>36750</v>
      </c>
      <c r="L5000" s="3">
        <v>27562.5</v>
      </c>
    </row>
    <row r="5001" spans="1:12" x14ac:dyDescent="0.25">
      <c r="A5001" t="s">
        <v>11</v>
      </c>
      <c r="B5001">
        <v>1185732</v>
      </c>
      <c r="C5001" s="1">
        <v>44418</v>
      </c>
      <c r="D5001" t="s">
        <v>57</v>
      </c>
      <c r="E5001" t="s">
        <v>103</v>
      </c>
      <c r="F5001" t="s">
        <v>104</v>
      </c>
      <c r="G5001" t="s">
        <v>18</v>
      </c>
      <c r="H5001" t="s">
        <v>22</v>
      </c>
      <c r="I5001" s="3">
        <v>50</v>
      </c>
      <c r="J5001" s="2">
        <v>175</v>
      </c>
      <c r="K5001" s="3">
        <f t="shared" si="78"/>
        <v>8750</v>
      </c>
      <c r="L5001" s="3">
        <v>6125</v>
      </c>
    </row>
    <row r="5002" spans="1:12" x14ac:dyDescent="0.25">
      <c r="A5002" t="s">
        <v>36</v>
      </c>
      <c r="B5002">
        <v>1185732</v>
      </c>
      <c r="C5002" s="1">
        <v>44418</v>
      </c>
      <c r="D5002" t="s">
        <v>57</v>
      </c>
      <c r="E5002" t="s">
        <v>110</v>
      </c>
      <c r="F5002" t="s">
        <v>111</v>
      </c>
      <c r="G5002" t="s">
        <v>41</v>
      </c>
      <c r="H5002" t="s">
        <v>22</v>
      </c>
      <c r="I5002" s="3">
        <v>55.000000000000007</v>
      </c>
      <c r="J5002" s="2">
        <v>500</v>
      </c>
      <c r="K5002" s="3">
        <f t="shared" si="78"/>
        <v>27500.000000000004</v>
      </c>
      <c r="L5002" s="3">
        <v>17875.000000000007</v>
      </c>
    </row>
    <row r="5003" spans="1:12" x14ac:dyDescent="0.25">
      <c r="A5003" t="s">
        <v>36</v>
      </c>
      <c r="B5003">
        <v>1185732</v>
      </c>
      <c r="C5003" s="1">
        <v>44418</v>
      </c>
      <c r="D5003" t="s">
        <v>57</v>
      </c>
      <c r="E5003" t="s">
        <v>110</v>
      </c>
      <c r="F5003" t="s">
        <v>111</v>
      </c>
      <c r="G5003" t="s">
        <v>41</v>
      </c>
      <c r="H5003" t="s">
        <v>17</v>
      </c>
      <c r="I5003" s="3">
        <v>60.000000000000007</v>
      </c>
      <c r="J5003" s="2">
        <v>650</v>
      </c>
      <c r="K5003" s="3">
        <f t="shared" si="78"/>
        <v>39000.000000000007</v>
      </c>
      <c r="L5003" s="3">
        <v>25350.000000000007</v>
      </c>
    </row>
    <row r="5004" spans="1:12" x14ac:dyDescent="0.25">
      <c r="A5004" t="s">
        <v>11</v>
      </c>
      <c r="B5004">
        <v>1185732</v>
      </c>
      <c r="C5004" s="1">
        <v>44418</v>
      </c>
      <c r="D5004" t="s">
        <v>57</v>
      </c>
      <c r="E5004" t="s">
        <v>103</v>
      </c>
      <c r="F5004" t="s">
        <v>104</v>
      </c>
      <c r="G5004" t="s">
        <v>18</v>
      </c>
      <c r="H5004" t="s">
        <v>35</v>
      </c>
      <c r="I5004" s="3">
        <v>40</v>
      </c>
      <c r="J5004" s="2">
        <v>225</v>
      </c>
      <c r="K5004" s="3">
        <f t="shared" si="78"/>
        <v>9000</v>
      </c>
      <c r="L5004" s="3">
        <v>5850</v>
      </c>
    </row>
    <row r="5005" spans="1:12" x14ac:dyDescent="0.25">
      <c r="A5005" t="s">
        <v>11</v>
      </c>
      <c r="B5005">
        <v>1185732</v>
      </c>
      <c r="C5005" s="1">
        <v>44418</v>
      </c>
      <c r="D5005" t="s">
        <v>57</v>
      </c>
      <c r="E5005" t="s">
        <v>103</v>
      </c>
      <c r="F5005" t="s">
        <v>104</v>
      </c>
      <c r="G5005" t="s">
        <v>18</v>
      </c>
      <c r="H5005" t="s">
        <v>37</v>
      </c>
      <c r="I5005" s="3">
        <v>40</v>
      </c>
      <c r="J5005" s="2">
        <v>200</v>
      </c>
      <c r="K5005" s="3">
        <f t="shared" si="78"/>
        <v>8000</v>
      </c>
      <c r="L5005" s="3">
        <v>5200</v>
      </c>
    </row>
    <row r="5006" spans="1:12" x14ac:dyDescent="0.25">
      <c r="A5006" t="s">
        <v>23</v>
      </c>
      <c r="B5006">
        <v>1128299</v>
      </c>
      <c r="C5006" s="1">
        <v>44418</v>
      </c>
      <c r="D5006" t="s">
        <v>12</v>
      </c>
      <c r="E5006" t="s">
        <v>20</v>
      </c>
      <c r="F5006" t="s">
        <v>21</v>
      </c>
      <c r="G5006" t="s">
        <v>15</v>
      </c>
      <c r="H5006" t="s">
        <v>16</v>
      </c>
      <c r="I5006" s="3">
        <v>75</v>
      </c>
      <c r="J5006" s="2">
        <v>350</v>
      </c>
      <c r="K5006" s="3">
        <f t="shared" si="78"/>
        <v>26250</v>
      </c>
      <c r="L5006" s="3">
        <v>15750</v>
      </c>
    </row>
    <row r="5007" spans="1:12" x14ac:dyDescent="0.25">
      <c r="A5007" t="s">
        <v>36</v>
      </c>
      <c r="B5007">
        <v>1185732</v>
      </c>
      <c r="C5007" s="1">
        <v>44418</v>
      </c>
      <c r="D5007" t="s">
        <v>57</v>
      </c>
      <c r="E5007" t="s">
        <v>110</v>
      </c>
      <c r="F5007" t="s">
        <v>111</v>
      </c>
      <c r="G5007" t="s">
        <v>41</v>
      </c>
      <c r="H5007" t="s">
        <v>38</v>
      </c>
      <c r="I5007" s="3">
        <v>65</v>
      </c>
      <c r="J5007" s="2">
        <v>875</v>
      </c>
      <c r="K5007" s="3">
        <f t="shared" si="78"/>
        <v>56875</v>
      </c>
      <c r="L5007" s="3">
        <v>34125</v>
      </c>
    </row>
    <row r="5008" spans="1:12" x14ac:dyDescent="0.25">
      <c r="A5008" t="s">
        <v>36</v>
      </c>
      <c r="B5008">
        <v>1185732</v>
      </c>
      <c r="C5008" s="1">
        <v>44418</v>
      </c>
      <c r="D5008" t="s">
        <v>57</v>
      </c>
      <c r="E5008" t="s">
        <v>110</v>
      </c>
      <c r="F5008" t="s">
        <v>111</v>
      </c>
      <c r="G5008" t="s">
        <v>41</v>
      </c>
      <c r="H5008" t="s">
        <v>35</v>
      </c>
      <c r="I5008" s="3">
        <v>55.000000000000007</v>
      </c>
      <c r="J5008" s="2">
        <v>575</v>
      </c>
      <c r="K5008" s="3">
        <f t="shared" si="78"/>
        <v>31625.000000000004</v>
      </c>
      <c r="L5008" s="3">
        <v>18975.000000000004</v>
      </c>
    </row>
    <row r="5009" spans="1:12" x14ac:dyDescent="0.25">
      <c r="A5009" t="s">
        <v>36</v>
      </c>
      <c r="B5009">
        <v>1185732</v>
      </c>
      <c r="C5009" s="1">
        <v>44418</v>
      </c>
      <c r="D5009" t="s">
        <v>57</v>
      </c>
      <c r="E5009" t="s">
        <v>110</v>
      </c>
      <c r="F5009" t="s">
        <v>111</v>
      </c>
      <c r="G5009" t="s">
        <v>41</v>
      </c>
      <c r="H5009" t="s">
        <v>37</v>
      </c>
      <c r="I5009" s="3">
        <v>45</v>
      </c>
      <c r="J5009" s="2">
        <v>525</v>
      </c>
      <c r="K5009" s="3">
        <f t="shared" si="78"/>
        <v>23625</v>
      </c>
      <c r="L5009" s="3">
        <v>14175</v>
      </c>
    </row>
    <row r="5010" spans="1:12" x14ac:dyDescent="0.25">
      <c r="A5010" t="s">
        <v>11</v>
      </c>
      <c r="B5010">
        <v>1185732</v>
      </c>
      <c r="C5010" s="1">
        <v>44418</v>
      </c>
      <c r="D5010" t="s">
        <v>57</v>
      </c>
      <c r="E5010" t="s">
        <v>103</v>
      </c>
      <c r="F5010" t="s">
        <v>104</v>
      </c>
      <c r="G5010" t="s">
        <v>18</v>
      </c>
      <c r="H5010" t="s">
        <v>38</v>
      </c>
      <c r="I5010" s="3">
        <v>50</v>
      </c>
      <c r="J5010" s="2">
        <v>525</v>
      </c>
      <c r="K5010" s="3">
        <f t="shared" si="78"/>
        <v>26250</v>
      </c>
      <c r="L5010" s="3">
        <v>15750</v>
      </c>
    </row>
    <row r="5011" spans="1:12" x14ac:dyDescent="0.25">
      <c r="A5011" t="s">
        <v>11</v>
      </c>
      <c r="B5011">
        <v>1185732</v>
      </c>
      <c r="C5011" s="1">
        <v>44418</v>
      </c>
      <c r="D5011" t="s">
        <v>57</v>
      </c>
      <c r="E5011" t="s">
        <v>103</v>
      </c>
      <c r="F5011" t="s">
        <v>104</v>
      </c>
      <c r="G5011" t="s">
        <v>18</v>
      </c>
      <c r="H5011" t="s">
        <v>17</v>
      </c>
      <c r="I5011" s="3">
        <v>45.000000000000007</v>
      </c>
      <c r="J5011" s="2">
        <v>300</v>
      </c>
      <c r="K5011" s="3">
        <f t="shared" si="78"/>
        <v>13500.000000000002</v>
      </c>
      <c r="L5011" s="3">
        <v>8100.0000000000018</v>
      </c>
    </row>
    <row r="5012" spans="1:12" x14ac:dyDescent="0.25">
      <c r="A5012" t="s">
        <v>11</v>
      </c>
      <c r="B5012">
        <v>1185732</v>
      </c>
      <c r="C5012" s="1">
        <v>44418</v>
      </c>
      <c r="D5012" t="s">
        <v>57</v>
      </c>
      <c r="E5012" t="s">
        <v>103</v>
      </c>
      <c r="F5012" t="s">
        <v>104</v>
      </c>
      <c r="G5012" t="s">
        <v>18</v>
      </c>
      <c r="H5012" t="s">
        <v>16</v>
      </c>
      <c r="I5012" s="3">
        <v>55.000000000000007</v>
      </c>
      <c r="J5012" s="2">
        <v>350</v>
      </c>
      <c r="K5012" s="3">
        <f t="shared" si="78"/>
        <v>19250.000000000004</v>
      </c>
      <c r="L5012" s="3">
        <v>11550.000000000002</v>
      </c>
    </row>
    <row r="5013" spans="1:12" x14ac:dyDescent="0.25">
      <c r="A5013" t="s">
        <v>19</v>
      </c>
      <c r="B5013">
        <v>1185732</v>
      </c>
      <c r="C5013" s="1">
        <v>44418</v>
      </c>
      <c r="D5013" t="s">
        <v>57</v>
      </c>
      <c r="E5013" t="s">
        <v>95</v>
      </c>
      <c r="F5013" t="s">
        <v>96</v>
      </c>
      <c r="G5013" t="s">
        <v>15</v>
      </c>
      <c r="H5013" t="s">
        <v>16</v>
      </c>
      <c r="I5013" s="3">
        <v>64.999999999999986</v>
      </c>
      <c r="J5013" s="2">
        <v>300</v>
      </c>
      <c r="K5013" s="3">
        <f t="shared" si="78"/>
        <v>19499.999999999996</v>
      </c>
      <c r="L5013" s="3">
        <v>9749.9999999999982</v>
      </c>
    </row>
    <row r="5014" spans="1:12" x14ac:dyDescent="0.25">
      <c r="A5014" t="s">
        <v>26</v>
      </c>
      <c r="B5014">
        <v>1197831</v>
      </c>
      <c r="C5014" s="1">
        <v>44418</v>
      </c>
      <c r="D5014" t="s">
        <v>52</v>
      </c>
      <c r="E5014" t="s">
        <v>99</v>
      </c>
      <c r="F5014" t="s">
        <v>100</v>
      </c>
      <c r="G5014" t="s">
        <v>15</v>
      </c>
      <c r="H5014" t="s">
        <v>37</v>
      </c>
      <c r="I5014" s="3">
        <v>35</v>
      </c>
      <c r="J5014" s="2">
        <v>375</v>
      </c>
      <c r="K5014" s="3">
        <f t="shared" si="78"/>
        <v>13125</v>
      </c>
      <c r="L5014" s="3">
        <v>6562.5</v>
      </c>
    </row>
    <row r="5015" spans="1:12" x14ac:dyDescent="0.25">
      <c r="A5015" t="s">
        <v>36</v>
      </c>
      <c r="B5015">
        <v>1185732</v>
      </c>
      <c r="C5015" s="1">
        <v>44418</v>
      </c>
      <c r="D5015" t="s">
        <v>57</v>
      </c>
      <c r="E5015" t="s">
        <v>110</v>
      </c>
      <c r="F5015" t="s">
        <v>111</v>
      </c>
      <c r="G5015" t="s">
        <v>41</v>
      </c>
      <c r="H5015" t="s">
        <v>16</v>
      </c>
      <c r="I5015" s="3">
        <v>60.000000000000007</v>
      </c>
      <c r="J5015" s="2">
        <v>675</v>
      </c>
      <c r="K5015" s="3">
        <f t="shared" si="78"/>
        <v>40500.000000000007</v>
      </c>
      <c r="L5015" s="3">
        <v>20250.000000000004</v>
      </c>
    </row>
    <row r="5016" spans="1:12" x14ac:dyDescent="0.25">
      <c r="A5016" t="s">
        <v>23</v>
      </c>
      <c r="B5016">
        <v>1128299</v>
      </c>
      <c r="C5016" s="1">
        <v>44418</v>
      </c>
      <c r="D5016" t="s">
        <v>12</v>
      </c>
      <c r="E5016" t="s">
        <v>20</v>
      </c>
      <c r="F5016" t="s">
        <v>21</v>
      </c>
      <c r="G5016" t="s">
        <v>41</v>
      </c>
      <c r="H5016" t="s">
        <v>22</v>
      </c>
      <c r="I5016" s="3">
        <v>69</v>
      </c>
      <c r="J5016" s="2">
        <v>147</v>
      </c>
      <c r="K5016" s="3">
        <f t="shared" si="78"/>
        <v>10143</v>
      </c>
      <c r="L5016" s="3">
        <v>7404.3899999999994</v>
      </c>
    </row>
    <row r="5017" spans="1:12" x14ac:dyDescent="0.25">
      <c r="A5017" t="s">
        <v>19</v>
      </c>
      <c r="B5017">
        <v>1128299</v>
      </c>
      <c r="C5017" s="1">
        <v>44418</v>
      </c>
      <c r="D5017" t="s">
        <v>12</v>
      </c>
      <c r="E5017" t="s">
        <v>20</v>
      </c>
      <c r="F5017" t="s">
        <v>21</v>
      </c>
      <c r="G5017" t="s">
        <v>41</v>
      </c>
      <c r="H5017" t="s">
        <v>17</v>
      </c>
      <c r="I5017" s="3">
        <v>71</v>
      </c>
      <c r="J5017" s="2">
        <v>218</v>
      </c>
      <c r="K5017" s="3">
        <f t="shared" si="78"/>
        <v>15478</v>
      </c>
      <c r="L5017" s="3">
        <v>10215.48</v>
      </c>
    </row>
    <row r="5018" spans="1:12" x14ac:dyDescent="0.25">
      <c r="A5018" t="s">
        <v>19</v>
      </c>
      <c r="B5018">
        <v>1128299</v>
      </c>
      <c r="C5018" s="1">
        <v>44418</v>
      </c>
      <c r="D5018" t="s">
        <v>12</v>
      </c>
      <c r="E5018" t="s">
        <v>20</v>
      </c>
      <c r="F5018" t="s">
        <v>21</v>
      </c>
      <c r="G5018" t="s">
        <v>41</v>
      </c>
      <c r="H5018" t="s">
        <v>38</v>
      </c>
      <c r="I5018" s="3">
        <v>79</v>
      </c>
      <c r="J5018" s="2">
        <v>210</v>
      </c>
      <c r="K5018" s="3">
        <f t="shared" si="78"/>
        <v>16590</v>
      </c>
      <c r="L5018" s="3">
        <v>10451.700000000001</v>
      </c>
    </row>
    <row r="5019" spans="1:12" x14ac:dyDescent="0.25">
      <c r="A5019" t="s">
        <v>19</v>
      </c>
      <c r="B5019">
        <v>1128299</v>
      </c>
      <c r="C5019" s="1">
        <v>44418</v>
      </c>
      <c r="D5019" t="s">
        <v>12</v>
      </c>
      <c r="E5019" t="s">
        <v>20</v>
      </c>
      <c r="F5019" t="s">
        <v>21</v>
      </c>
      <c r="G5019" t="s">
        <v>41</v>
      </c>
      <c r="H5019" t="s">
        <v>37</v>
      </c>
      <c r="I5019" s="3">
        <v>67</v>
      </c>
      <c r="J5019" s="2">
        <v>142</v>
      </c>
      <c r="K5019" s="3">
        <f t="shared" si="78"/>
        <v>9514</v>
      </c>
      <c r="L5019" s="3">
        <v>5898.68</v>
      </c>
    </row>
    <row r="5020" spans="1:12" x14ac:dyDescent="0.25">
      <c r="A5020" t="s">
        <v>19</v>
      </c>
      <c r="B5020">
        <v>1128299</v>
      </c>
      <c r="C5020" s="1">
        <v>44418</v>
      </c>
      <c r="D5020" t="s">
        <v>12</v>
      </c>
      <c r="E5020" t="s">
        <v>20</v>
      </c>
      <c r="F5020" t="s">
        <v>21</v>
      </c>
      <c r="G5020" t="s">
        <v>41</v>
      </c>
      <c r="H5020" t="s">
        <v>35</v>
      </c>
      <c r="I5020" s="3">
        <v>64</v>
      </c>
      <c r="J5020" s="2">
        <v>162</v>
      </c>
      <c r="K5020" s="3">
        <f t="shared" si="78"/>
        <v>10368</v>
      </c>
      <c r="L5020" s="3">
        <v>6324.48</v>
      </c>
    </row>
    <row r="5021" spans="1:12" x14ac:dyDescent="0.25">
      <c r="A5021" t="s">
        <v>11</v>
      </c>
      <c r="B5021">
        <v>1185732</v>
      </c>
      <c r="C5021" s="1">
        <v>44418</v>
      </c>
      <c r="D5021" t="s">
        <v>57</v>
      </c>
      <c r="E5021" t="s">
        <v>103</v>
      </c>
      <c r="F5021" t="s">
        <v>104</v>
      </c>
      <c r="G5021" t="s">
        <v>41</v>
      </c>
      <c r="H5021" t="s">
        <v>22</v>
      </c>
      <c r="I5021" s="3">
        <v>47</v>
      </c>
      <c r="J5021" s="2">
        <v>53</v>
      </c>
      <c r="K5021" s="3">
        <f t="shared" si="78"/>
        <v>2491</v>
      </c>
      <c r="L5021" s="3">
        <v>1370.0500000000002</v>
      </c>
    </row>
    <row r="5022" spans="1:12" x14ac:dyDescent="0.25">
      <c r="A5022" t="s">
        <v>36</v>
      </c>
      <c r="B5022">
        <v>1185732</v>
      </c>
      <c r="C5022" s="1">
        <v>44418</v>
      </c>
      <c r="D5022" t="s">
        <v>57</v>
      </c>
      <c r="E5022" t="s">
        <v>110</v>
      </c>
      <c r="F5022" t="s">
        <v>111</v>
      </c>
      <c r="G5022" t="s">
        <v>41</v>
      </c>
      <c r="H5022" t="s">
        <v>17</v>
      </c>
      <c r="I5022" s="3">
        <v>58</v>
      </c>
      <c r="J5022" s="2">
        <v>195</v>
      </c>
      <c r="K5022" s="3">
        <f t="shared" si="78"/>
        <v>11310</v>
      </c>
      <c r="L5022" s="3">
        <v>6107.4000000000005</v>
      </c>
    </row>
    <row r="5023" spans="1:12" x14ac:dyDescent="0.25">
      <c r="A5023" t="s">
        <v>11</v>
      </c>
      <c r="B5023">
        <v>1185732</v>
      </c>
      <c r="C5023" s="1">
        <v>44418</v>
      </c>
      <c r="D5023" t="s">
        <v>57</v>
      </c>
      <c r="E5023" t="s">
        <v>103</v>
      </c>
      <c r="F5023" t="s">
        <v>104</v>
      </c>
      <c r="G5023" t="s">
        <v>41</v>
      </c>
      <c r="H5023" t="s">
        <v>35</v>
      </c>
      <c r="I5023" s="3">
        <v>37</v>
      </c>
      <c r="J5023" s="2">
        <v>56</v>
      </c>
      <c r="K5023" s="3">
        <f t="shared" si="78"/>
        <v>2072</v>
      </c>
      <c r="L5023" s="3">
        <v>1098.1600000000001</v>
      </c>
    </row>
    <row r="5024" spans="1:12" x14ac:dyDescent="0.25">
      <c r="A5024" t="s">
        <v>11</v>
      </c>
      <c r="B5024">
        <v>1185732</v>
      </c>
      <c r="C5024" s="1">
        <v>44418</v>
      </c>
      <c r="D5024" t="s">
        <v>57</v>
      </c>
      <c r="E5024" t="s">
        <v>103</v>
      </c>
      <c r="F5024" t="s">
        <v>104</v>
      </c>
      <c r="G5024" t="s">
        <v>41</v>
      </c>
      <c r="H5024" t="s">
        <v>37</v>
      </c>
      <c r="I5024" s="3">
        <v>38</v>
      </c>
      <c r="J5024" s="2">
        <v>60</v>
      </c>
      <c r="K5024" s="3">
        <f t="shared" si="78"/>
        <v>2280</v>
      </c>
      <c r="L5024" s="3">
        <v>1208.4000000000001</v>
      </c>
    </row>
    <row r="5025" spans="1:12" x14ac:dyDescent="0.25">
      <c r="A5025" t="s">
        <v>36</v>
      </c>
      <c r="B5025">
        <v>1185732</v>
      </c>
      <c r="C5025" s="1">
        <v>44418</v>
      </c>
      <c r="D5025" t="s">
        <v>57</v>
      </c>
      <c r="E5025" t="s">
        <v>110</v>
      </c>
      <c r="F5025" t="s">
        <v>111</v>
      </c>
      <c r="G5025" t="s">
        <v>41</v>
      </c>
      <c r="H5025" t="s">
        <v>22</v>
      </c>
      <c r="I5025" s="3">
        <v>50</v>
      </c>
      <c r="J5025" s="2">
        <v>135</v>
      </c>
      <c r="K5025" s="3">
        <f t="shared" si="78"/>
        <v>6750</v>
      </c>
      <c r="L5025" s="3">
        <v>3442.5</v>
      </c>
    </row>
    <row r="5026" spans="1:12" x14ac:dyDescent="0.25">
      <c r="A5026" t="s">
        <v>36</v>
      </c>
      <c r="B5026">
        <v>1185732</v>
      </c>
      <c r="C5026" s="1">
        <v>44418</v>
      </c>
      <c r="D5026" t="s">
        <v>57</v>
      </c>
      <c r="E5026" t="s">
        <v>110</v>
      </c>
      <c r="F5026" t="s">
        <v>111</v>
      </c>
      <c r="G5026" t="s">
        <v>41</v>
      </c>
      <c r="H5026" t="s">
        <v>38</v>
      </c>
      <c r="I5026" s="3">
        <v>61</v>
      </c>
      <c r="J5026" s="2">
        <v>228</v>
      </c>
      <c r="K5026" s="3">
        <f t="shared" si="78"/>
        <v>13908</v>
      </c>
      <c r="L5026" s="3">
        <v>6954</v>
      </c>
    </row>
    <row r="5027" spans="1:12" x14ac:dyDescent="0.25">
      <c r="A5027" t="s">
        <v>36</v>
      </c>
      <c r="B5027">
        <v>1185732</v>
      </c>
      <c r="C5027" s="1">
        <v>44418</v>
      </c>
      <c r="D5027" t="s">
        <v>57</v>
      </c>
      <c r="E5027" t="s">
        <v>110</v>
      </c>
      <c r="F5027" t="s">
        <v>111</v>
      </c>
      <c r="G5027" t="s">
        <v>41</v>
      </c>
      <c r="H5027" t="s">
        <v>35</v>
      </c>
      <c r="I5027" s="3">
        <v>53</v>
      </c>
      <c r="J5027" s="2">
        <v>150</v>
      </c>
      <c r="K5027" s="3">
        <f t="shared" si="78"/>
        <v>7950</v>
      </c>
      <c r="L5027" s="3">
        <v>3895.5</v>
      </c>
    </row>
    <row r="5028" spans="1:12" x14ac:dyDescent="0.25">
      <c r="A5028" t="s">
        <v>36</v>
      </c>
      <c r="B5028">
        <v>1185732</v>
      </c>
      <c r="C5028" s="1">
        <v>44418</v>
      </c>
      <c r="D5028" t="s">
        <v>57</v>
      </c>
      <c r="E5028" t="s">
        <v>110</v>
      </c>
      <c r="F5028" t="s">
        <v>111</v>
      </c>
      <c r="G5028" t="s">
        <v>41</v>
      </c>
      <c r="H5028" t="s">
        <v>37</v>
      </c>
      <c r="I5028" s="3">
        <v>41</v>
      </c>
      <c r="J5028" s="2">
        <v>158</v>
      </c>
      <c r="K5028" s="3">
        <f t="shared" si="78"/>
        <v>6478</v>
      </c>
      <c r="L5028" s="3">
        <v>3174.22</v>
      </c>
    </row>
    <row r="5029" spans="1:12" x14ac:dyDescent="0.25">
      <c r="A5029" t="s">
        <v>23</v>
      </c>
      <c r="B5029">
        <v>1128299</v>
      </c>
      <c r="C5029" s="1">
        <v>44418</v>
      </c>
      <c r="D5029" t="s">
        <v>12</v>
      </c>
      <c r="E5029" t="s">
        <v>20</v>
      </c>
      <c r="F5029" t="s">
        <v>21</v>
      </c>
      <c r="G5029" t="s">
        <v>41</v>
      </c>
      <c r="H5029" t="s">
        <v>16</v>
      </c>
      <c r="I5029" s="3">
        <v>72</v>
      </c>
      <c r="J5029" s="2">
        <v>88</v>
      </c>
      <c r="K5029" s="3">
        <f t="shared" si="78"/>
        <v>6336</v>
      </c>
      <c r="L5029" s="3">
        <v>2977.9199999999996</v>
      </c>
    </row>
    <row r="5030" spans="1:12" x14ac:dyDescent="0.25">
      <c r="A5030" t="s">
        <v>11</v>
      </c>
      <c r="B5030">
        <v>1185732</v>
      </c>
      <c r="C5030" s="1">
        <v>44418</v>
      </c>
      <c r="D5030" t="s">
        <v>57</v>
      </c>
      <c r="E5030" t="s">
        <v>103</v>
      </c>
      <c r="F5030" t="s">
        <v>104</v>
      </c>
      <c r="G5030" t="s">
        <v>41</v>
      </c>
      <c r="H5030" t="s">
        <v>16</v>
      </c>
      <c r="I5030" s="3">
        <v>54</v>
      </c>
      <c r="J5030" s="2">
        <v>91</v>
      </c>
      <c r="K5030" s="3">
        <f t="shared" si="78"/>
        <v>4914</v>
      </c>
      <c r="L5030" s="3">
        <v>2309.58</v>
      </c>
    </row>
    <row r="5031" spans="1:12" x14ac:dyDescent="0.25">
      <c r="A5031" t="s">
        <v>11</v>
      </c>
      <c r="B5031">
        <v>1185732</v>
      </c>
      <c r="C5031" s="1">
        <v>44418</v>
      </c>
      <c r="D5031" t="s">
        <v>57</v>
      </c>
      <c r="E5031" t="s">
        <v>103</v>
      </c>
      <c r="F5031" t="s">
        <v>104</v>
      </c>
      <c r="G5031" t="s">
        <v>41</v>
      </c>
      <c r="H5031" t="s">
        <v>17</v>
      </c>
      <c r="I5031" s="3">
        <v>41</v>
      </c>
      <c r="J5031" s="2">
        <v>87</v>
      </c>
      <c r="K5031" s="3">
        <f t="shared" si="78"/>
        <v>3567</v>
      </c>
      <c r="L5031" s="3">
        <v>1640.82</v>
      </c>
    </row>
    <row r="5032" spans="1:12" x14ac:dyDescent="0.25">
      <c r="A5032" t="s">
        <v>26</v>
      </c>
      <c r="B5032">
        <v>1197831</v>
      </c>
      <c r="C5032" s="1">
        <v>44418</v>
      </c>
      <c r="D5032" t="s">
        <v>52</v>
      </c>
      <c r="E5032" t="s">
        <v>99</v>
      </c>
      <c r="F5032" t="s">
        <v>100</v>
      </c>
      <c r="G5032" t="s">
        <v>15</v>
      </c>
      <c r="H5032" t="s">
        <v>37</v>
      </c>
      <c r="I5032" s="3">
        <v>24</v>
      </c>
      <c r="J5032" s="2">
        <v>113</v>
      </c>
      <c r="K5032" s="3">
        <f t="shared" si="78"/>
        <v>2712</v>
      </c>
      <c r="L5032" s="3">
        <v>1247.52</v>
      </c>
    </row>
    <row r="5033" spans="1:12" x14ac:dyDescent="0.25">
      <c r="A5033" t="s">
        <v>11</v>
      </c>
      <c r="B5033">
        <v>1185732</v>
      </c>
      <c r="C5033" s="1">
        <v>44418</v>
      </c>
      <c r="D5033" t="s">
        <v>57</v>
      </c>
      <c r="E5033" t="s">
        <v>103</v>
      </c>
      <c r="F5033" t="s">
        <v>104</v>
      </c>
      <c r="G5033" t="s">
        <v>41</v>
      </c>
      <c r="H5033" t="s">
        <v>38</v>
      </c>
      <c r="I5033" s="3">
        <v>47</v>
      </c>
      <c r="J5033" s="2">
        <v>152</v>
      </c>
      <c r="K5033" s="3">
        <f t="shared" si="78"/>
        <v>7144</v>
      </c>
      <c r="L5033" s="3">
        <v>3214.7999999999997</v>
      </c>
    </row>
    <row r="5034" spans="1:12" x14ac:dyDescent="0.25">
      <c r="A5034" t="s">
        <v>36</v>
      </c>
      <c r="B5034">
        <v>1185732</v>
      </c>
      <c r="C5034" s="1">
        <v>44418</v>
      </c>
      <c r="D5034" t="s">
        <v>57</v>
      </c>
      <c r="E5034" t="s">
        <v>110</v>
      </c>
      <c r="F5034" t="s">
        <v>111</v>
      </c>
      <c r="G5034" t="s">
        <v>41</v>
      </c>
      <c r="H5034" t="s">
        <v>16</v>
      </c>
      <c r="I5034" s="3">
        <v>54</v>
      </c>
      <c r="J5034" s="2">
        <v>169</v>
      </c>
      <c r="K5034" s="3">
        <f t="shared" si="78"/>
        <v>9126</v>
      </c>
      <c r="L5034" s="3">
        <v>3559.1400000000003</v>
      </c>
    </row>
    <row r="5035" spans="1:12" x14ac:dyDescent="0.25">
      <c r="A5035" t="s">
        <v>26</v>
      </c>
      <c r="B5035">
        <v>1197831</v>
      </c>
      <c r="C5035" s="1">
        <v>44418</v>
      </c>
      <c r="D5035" t="s">
        <v>52</v>
      </c>
      <c r="E5035" t="s">
        <v>99</v>
      </c>
      <c r="F5035" t="s">
        <v>100</v>
      </c>
      <c r="G5035" t="s">
        <v>41</v>
      </c>
      <c r="H5035" t="s">
        <v>37</v>
      </c>
      <c r="I5035" s="3">
        <v>32</v>
      </c>
      <c r="J5035" s="2">
        <v>98</v>
      </c>
      <c r="K5035" s="3">
        <f t="shared" si="78"/>
        <v>3136</v>
      </c>
      <c r="L5035" s="3">
        <v>1191.68</v>
      </c>
    </row>
    <row r="5036" spans="1:12" x14ac:dyDescent="0.25">
      <c r="A5036" t="s">
        <v>19</v>
      </c>
      <c r="B5036">
        <v>1185732</v>
      </c>
      <c r="C5036" s="1">
        <v>44418</v>
      </c>
      <c r="D5036" t="s">
        <v>57</v>
      </c>
      <c r="E5036" t="s">
        <v>95</v>
      </c>
      <c r="F5036" t="s">
        <v>96</v>
      </c>
      <c r="G5036" t="s">
        <v>41</v>
      </c>
      <c r="H5036" t="s">
        <v>16</v>
      </c>
      <c r="I5036" s="3">
        <v>64</v>
      </c>
      <c r="J5036" s="2">
        <v>81</v>
      </c>
      <c r="K5036" s="3">
        <f t="shared" si="78"/>
        <v>5184</v>
      </c>
      <c r="L5036" s="3">
        <v>1918.08</v>
      </c>
    </row>
    <row r="5037" spans="1:12" x14ac:dyDescent="0.25">
      <c r="A5037" t="s">
        <v>27</v>
      </c>
      <c r="B5037">
        <v>1185732</v>
      </c>
      <c r="C5037" s="1">
        <v>44419</v>
      </c>
      <c r="D5037" t="s">
        <v>12</v>
      </c>
      <c r="E5037" t="s">
        <v>62</v>
      </c>
      <c r="F5037" t="s">
        <v>63</v>
      </c>
      <c r="G5037" t="s">
        <v>18</v>
      </c>
      <c r="H5037" t="s">
        <v>16</v>
      </c>
      <c r="I5037" s="3">
        <v>55.000000000000007</v>
      </c>
      <c r="J5037" s="2">
        <v>675</v>
      </c>
      <c r="K5037" s="3">
        <f t="shared" si="78"/>
        <v>37125.000000000007</v>
      </c>
      <c r="L5037" s="3">
        <v>27843.750000000007</v>
      </c>
    </row>
    <row r="5038" spans="1:12" x14ac:dyDescent="0.25">
      <c r="A5038" t="s">
        <v>27</v>
      </c>
      <c r="B5038">
        <v>1185732</v>
      </c>
      <c r="C5038" s="1">
        <v>44419</v>
      </c>
      <c r="D5038" t="s">
        <v>12</v>
      </c>
      <c r="E5038" t="s">
        <v>62</v>
      </c>
      <c r="F5038" t="s">
        <v>63</v>
      </c>
      <c r="G5038" t="s">
        <v>18</v>
      </c>
      <c r="H5038" t="s">
        <v>17</v>
      </c>
      <c r="I5038" s="3">
        <v>45.000000000000007</v>
      </c>
      <c r="J5038" s="2">
        <v>625</v>
      </c>
      <c r="K5038" s="3">
        <f t="shared" si="78"/>
        <v>28125.000000000004</v>
      </c>
      <c r="L5038" s="3">
        <v>19687.500000000007</v>
      </c>
    </row>
    <row r="5039" spans="1:12" x14ac:dyDescent="0.25">
      <c r="A5039" t="s">
        <v>26</v>
      </c>
      <c r="B5039">
        <v>1197831</v>
      </c>
      <c r="C5039" s="1">
        <v>44419</v>
      </c>
      <c r="D5039" t="s">
        <v>57</v>
      </c>
      <c r="E5039" t="s">
        <v>95</v>
      </c>
      <c r="F5039" t="s">
        <v>96</v>
      </c>
      <c r="G5039" t="s">
        <v>15</v>
      </c>
      <c r="H5039" t="s">
        <v>38</v>
      </c>
      <c r="I5039" s="3">
        <v>20</v>
      </c>
      <c r="J5039" s="2">
        <v>725</v>
      </c>
      <c r="K5039" s="3">
        <f t="shared" si="78"/>
        <v>14500</v>
      </c>
      <c r="L5039" s="3">
        <v>10150</v>
      </c>
    </row>
    <row r="5040" spans="1:12" x14ac:dyDescent="0.25">
      <c r="A5040" t="s">
        <v>27</v>
      </c>
      <c r="B5040">
        <v>1185732</v>
      </c>
      <c r="C5040" s="1">
        <v>44419</v>
      </c>
      <c r="D5040" t="s">
        <v>12</v>
      </c>
      <c r="E5040" t="s">
        <v>62</v>
      </c>
      <c r="F5040" t="s">
        <v>63</v>
      </c>
      <c r="G5040" t="s">
        <v>18</v>
      </c>
      <c r="H5040" t="s">
        <v>22</v>
      </c>
      <c r="I5040" s="3">
        <v>50</v>
      </c>
      <c r="J5040" s="2">
        <v>500</v>
      </c>
      <c r="K5040" s="3">
        <f t="shared" si="78"/>
        <v>25000</v>
      </c>
      <c r="L5040" s="3">
        <v>17500</v>
      </c>
    </row>
    <row r="5041" spans="1:12" x14ac:dyDescent="0.25">
      <c r="A5041" t="s">
        <v>11</v>
      </c>
      <c r="B5041">
        <v>1185732</v>
      </c>
      <c r="C5041" s="1">
        <v>44419</v>
      </c>
      <c r="D5041" t="s">
        <v>12</v>
      </c>
      <c r="E5041" t="s">
        <v>101</v>
      </c>
      <c r="F5041" t="s">
        <v>102</v>
      </c>
      <c r="G5041" t="s">
        <v>18</v>
      </c>
      <c r="H5041" t="s">
        <v>35</v>
      </c>
      <c r="I5041" s="3">
        <v>30.000000000000004</v>
      </c>
      <c r="J5041" s="2">
        <v>450</v>
      </c>
      <c r="K5041" s="3">
        <f t="shared" si="78"/>
        <v>13500.000000000002</v>
      </c>
      <c r="L5041" s="3">
        <v>8775.0000000000036</v>
      </c>
    </row>
    <row r="5042" spans="1:12" x14ac:dyDescent="0.25">
      <c r="A5042" t="s">
        <v>11</v>
      </c>
      <c r="B5042">
        <v>1185732</v>
      </c>
      <c r="C5042" s="1">
        <v>44419</v>
      </c>
      <c r="D5042" t="s">
        <v>12</v>
      </c>
      <c r="E5042" t="s">
        <v>101</v>
      </c>
      <c r="F5042" t="s">
        <v>102</v>
      </c>
      <c r="G5042" t="s">
        <v>18</v>
      </c>
      <c r="H5042" t="s">
        <v>17</v>
      </c>
      <c r="I5042" s="3">
        <v>35.000000000000007</v>
      </c>
      <c r="J5042" s="2">
        <v>525</v>
      </c>
      <c r="K5042" s="3">
        <f t="shared" si="78"/>
        <v>18375.000000000004</v>
      </c>
      <c r="L5042" s="3">
        <v>11943.750000000004</v>
      </c>
    </row>
    <row r="5043" spans="1:12" x14ac:dyDescent="0.25">
      <c r="A5043" t="s">
        <v>26</v>
      </c>
      <c r="B5043">
        <v>1197831</v>
      </c>
      <c r="C5043" s="1">
        <v>44419</v>
      </c>
      <c r="D5043" t="s">
        <v>52</v>
      </c>
      <c r="E5043" t="s">
        <v>99</v>
      </c>
      <c r="F5043" t="s">
        <v>100</v>
      </c>
      <c r="G5043" t="s">
        <v>15</v>
      </c>
      <c r="H5043" t="s">
        <v>22</v>
      </c>
      <c r="I5043" s="3">
        <v>40</v>
      </c>
      <c r="J5043" s="2">
        <v>250</v>
      </c>
      <c r="K5043" s="3">
        <f t="shared" si="78"/>
        <v>10000</v>
      </c>
      <c r="L5043" s="3">
        <v>6500</v>
      </c>
    </row>
    <row r="5044" spans="1:12" x14ac:dyDescent="0.25">
      <c r="A5044" t="s">
        <v>27</v>
      </c>
      <c r="B5044">
        <v>1185732</v>
      </c>
      <c r="C5044" s="1">
        <v>44419</v>
      </c>
      <c r="D5044" t="s">
        <v>12</v>
      </c>
      <c r="E5044" t="s">
        <v>62</v>
      </c>
      <c r="F5044" t="s">
        <v>63</v>
      </c>
      <c r="G5044" t="s">
        <v>18</v>
      </c>
      <c r="H5044" t="s">
        <v>35</v>
      </c>
      <c r="I5044" s="3">
        <v>40</v>
      </c>
      <c r="J5044" s="2">
        <v>550</v>
      </c>
      <c r="K5044" s="3">
        <f t="shared" si="78"/>
        <v>22000</v>
      </c>
      <c r="L5044" s="3">
        <v>14300</v>
      </c>
    </row>
    <row r="5045" spans="1:12" x14ac:dyDescent="0.25">
      <c r="A5045" t="s">
        <v>27</v>
      </c>
      <c r="B5045">
        <v>1185732</v>
      </c>
      <c r="C5045" s="1">
        <v>44419</v>
      </c>
      <c r="D5045" t="s">
        <v>12</v>
      </c>
      <c r="E5045" t="s">
        <v>62</v>
      </c>
      <c r="F5045" t="s">
        <v>63</v>
      </c>
      <c r="G5045" t="s">
        <v>18</v>
      </c>
      <c r="H5045" t="s">
        <v>37</v>
      </c>
      <c r="I5045" s="3">
        <v>40</v>
      </c>
      <c r="J5045" s="2">
        <v>525</v>
      </c>
      <c r="K5045" s="3">
        <f t="shared" si="78"/>
        <v>21000</v>
      </c>
      <c r="L5045" s="3">
        <v>13650</v>
      </c>
    </row>
    <row r="5046" spans="1:12" x14ac:dyDescent="0.25">
      <c r="A5046" t="s">
        <v>11</v>
      </c>
      <c r="B5046">
        <v>1185732</v>
      </c>
      <c r="C5046" s="1">
        <v>44419</v>
      </c>
      <c r="D5046" t="s">
        <v>12</v>
      </c>
      <c r="E5046" t="s">
        <v>101</v>
      </c>
      <c r="F5046" t="s">
        <v>102</v>
      </c>
      <c r="G5046" t="s">
        <v>18</v>
      </c>
      <c r="H5046" t="s">
        <v>22</v>
      </c>
      <c r="I5046" s="3">
        <v>30.000000000000004</v>
      </c>
      <c r="J5046" s="2">
        <v>350</v>
      </c>
      <c r="K5046" s="3">
        <f t="shared" si="78"/>
        <v>10500.000000000002</v>
      </c>
      <c r="L5046" s="3">
        <v>6825.0000000000018</v>
      </c>
    </row>
    <row r="5047" spans="1:12" x14ac:dyDescent="0.25">
      <c r="A5047" t="s">
        <v>36</v>
      </c>
      <c r="B5047">
        <v>1185732</v>
      </c>
      <c r="C5047" s="1">
        <v>44419</v>
      </c>
      <c r="D5047" t="s">
        <v>29</v>
      </c>
      <c r="E5047" t="s">
        <v>80</v>
      </c>
      <c r="F5047" t="s">
        <v>81</v>
      </c>
      <c r="G5047" t="s">
        <v>18</v>
      </c>
      <c r="H5047" t="s">
        <v>35</v>
      </c>
      <c r="I5047" s="3">
        <v>50</v>
      </c>
      <c r="J5047" s="2">
        <v>350</v>
      </c>
      <c r="K5047" s="3">
        <f t="shared" si="78"/>
        <v>17500</v>
      </c>
      <c r="L5047" s="3">
        <v>11375</v>
      </c>
    </row>
    <row r="5048" spans="1:12" x14ac:dyDescent="0.25">
      <c r="A5048" t="s">
        <v>36</v>
      </c>
      <c r="B5048">
        <v>1185732</v>
      </c>
      <c r="C5048" s="1">
        <v>44419</v>
      </c>
      <c r="D5048" t="s">
        <v>29</v>
      </c>
      <c r="E5048" t="s">
        <v>80</v>
      </c>
      <c r="F5048" t="s">
        <v>81</v>
      </c>
      <c r="G5048" t="s">
        <v>18</v>
      </c>
      <c r="H5048" t="s">
        <v>37</v>
      </c>
      <c r="I5048" s="3">
        <v>50</v>
      </c>
      <c r="J5048" s="2">
        <v>250</v>
      </c>
      <c r="K5048" s="3">
        <f t="shared" si="78"/>
        <v>12500</v>
      </c>
      <c r="L5048" s="3">
        <v>8125</v>
      </c>
    </row>
    <row r="5049" spans="1:12" x14ac:dyDescent="0.25">
      <c r="A5049" t="s">
        <v>36</v>
      </c>
      <c r="B5049">
        <v>1185732</v>
      </c>
      <c r="C5049" s="1">
        <v>44419</v>
      </c>
      <c r="D5049" t="s">
        <v>29</v>
      </c>
      <c r="E5049" t="s">
        <v>80</v>
      </c>
      <c r="F5049" t="s">
        <v>81</v>
      </c>
      <c r="G5049" t="s">
        <v>18</v>
      </c>
      <c r="H5049" t="s">
        <v>22</v>
      </c>
      <c r="I5049" s="3">
        <v>60</v>
      </c>
      <c r="J5049" s="2">
        <v>225</v>
      </c>
      <c r="K5049" s="3">
        <f t="shared" si="78"/>
        <v>13500</v>
      </c>
      <c r="L5049" s="3">
        <v>8775</v>
      </c>
    </row>
    <row r="5050" spans="1:12" x14ac:dyDescent="0.25">
      <c r="A5050" t="s">
        <v>11</v>
      </c>
      <c r="B5050">
        <v>1185732</v>
      </c>
      <c r="C5050" s="1">
        <v>44419</v>
      </c>
      <c r="D5050" t="s">
        <v>12</v>
      </c>
      <c r="E5050" t="s">
        <v>101</v>
      </c>
      <c r="F5050" t="s">
        <v>102</v>
      </c>
      <c r="G5050" t="s">
        <v>18</v>
      </c>
      <c r="H5050" t="s">
        <v>38</v>
      </c>
      <c r="I5050" s="3">
        <v>35</v>
      </c>
      <c r="J5050" s="2">
        <v>750</v>
      </c>
      <c r="K5050" s="3">
        <f t="shared" si="78"/>
        <v>26250</v>
      </c>
      <c r="L5050" s="3">
        <v>15750</v>
      </c>
    </row>
    <row r="5051" spans="1:12" x14ac:dyDescent="0.25">
      <c r="A5051" t="s">
        <v>11</v>
      </c>
      <c r="B5051">
        <v>1185732</v>
      </c>
      <c r="C5051" s="1">
        <v>44419</v>
      </c>
      <c r="D5051" t="s">
        <v>12</v>
      </c>
      <c r="E5051" t="s">
        <v>101</v>
      </c>
      <c r="F5051" t="s">
        <v>102</v>
      </c>
      <c r="G5051" t="s">
        <v>18</v>
      </c>
      <c r="H5051" t="s">
        <v>37</v>
      </c>
      <c r="I5051" s="3">
        <v>20.000000000000007</v>
      </c>
      <c r="J5051" s="2">
        <v>375</v>
      </c>
      <c r="K5051" s="3">
        <f t="shared" si="78"/>
        <v>7500.0000000000027</v>
      </c>
      <c r="L5051" s="3">
        <v>4500.0000000000018</v>
      </c>
    </row>
    <row r="5052" spans="1:12" x14ac:dyDescent="0.25">
      <c r="A5052" t="s">
        <v>36</v>
      </c>
      <c r="B5052">
        <v>1185732</v>
      </c>
      <c r="C5052" s="1">
        <v>44419</v>
      </c>
      <c r="D5052" t="s">
        <v>29</v>
      </c>
      <c r="E5052" t="s">
        <v>80</v>
      </c>
      <c r="F5052" t="s">
        <v>81</v>
      </c>
      <c r="G5052" t="s">
        <v>18</v>
      </c>
      <c r="H5052" t="s">
        <v>16</v>
      </c>
      <c r="I5052" s="3">
        <v>65</v>
      </c>
      <c r="J5052" s="2">
        <v>400</v>
      </c>
      <c r="K5052" s="3">
        <f t="shared" si="78"/>
        <v>26000</v>
      </c>
      <c r="L5052" s="3">
        <v>15600</v>
      </c>
    </row>
    <row r="5053" spans="1:12" x14ac:dyDescent="0.25">
      <c r="A5053" t="s">
        <v>36</v>
      </c>
      <c r="B5053">
        <v>1185732</v>
      </c>
      <c r="C5053" s="1">
        <v>44419</v>
      </c>
      <c r="D5053" t="s">
        <v>29</v>
      </c>
      <c r="E5053" t="s">
        <v>80</v>
      </c>
      <c r="F5053" t="s">
        <v>81</v>
      </c>
      <c r="G5053" t="s">
        <v>18</v>
      </c>
      <c r="H5053" t="s">
        <v>38</v>
      </c>
      <c r="I5053" s="3">
        <v>60</v>
      </c>
      <c r="J5053" s="2">
        <v>650</v>
      </c>
      <c r="K5053" s="3">
        <f t="shared" si="78"/>
        <v>39000</v>
      </c>
      <c r="L5053" s="3">
        <v>21450</v>
      </c>
    </row>
    <row r="5054" spans="1:12" x14ac:dyDescent="0.25">
      <c r="A5054" t="s">
        <v>36</v>
      </c>
      <c r="B5054">
        <v>1185732</v>
      </c>
      <c r="C5054" s="1">
        <v>44419</v>
      </c>
      <c r="D5054" t="s">
        <v>29</v>
      </c>
      <c r="E5054" t="s">
        <v>80</v>
      </c>
      <c r="F5054" t="s">
        <v>81</v>
      </c>
      <c r="G5054" t="s">
        <v>18</v>
      </c>
      <c r="H5054" t="s">
        <v>17</v>
      </c>
      <c r="I5054" s="3">
        <v>55.000000000000007</v>
      </c>
      <c r="J5054" s="2">
        <v>425</v>
      </c>
      <c r="K5054" s="3">
        <f t="shared" si="78"/>
        <v>23375.000000000004</v>
      </c>
      <c r="L5054" s="3">
        <v>12856.250000000002</v>
      </c>
    </row>
    <row r="5055" spans="1:12" x14ac:dyDescent="0.25">
      <c r="A5055" t="s">
        <v>27</v>
      </c>
      <c r="B5055">
        <v>1185732</v>
      </c>
      <c r="C5055" s="1">
        <v>44419</v>
      </c>
      <c r="D5055" t="s">
        <v>12</v>
      </c>
      <c r="E5055" t="s">
        <v>62</v>
      </c>
      <c r="F5055" t="s">
        <v>63</v>
      </c>
      <c r="G5055" t="s">
        <v>18</v>
      </c>
      <c r="H5055" t="s">
        <v>38</v>
      </c>
      <c r="I5055" s="3">
        <v>50</v>
      </c>
      <c r="J5055" s="2">
        <v>850</v>
      </c>
      <c r="K5055" s="3">
        <f t="shared" si="78"/>
        <v>42500</v>
      </c>
      <c r="L5055" s="3">
        <v>21250</v>
      </c>
    </row>
    <row r="5056" spans="1:12" x14ac:dyDescent="0.25">
      <c r="A5056" t="s">
        <v>11</v>
      </c>
      <c r="B5056">
        <v>1185732</v>
      </c>
      <c r="C5056" s="1">
        <v>44419</v>
      </c>
      <c r="D5056" t="s">
        <v>12</v>
      </c>
      <c r="E5056" t="s">
        <v>101</v>
      </c>
      <c r="F5056" t="s">
        <v>102</v>
      </c>
      <c r="G5056" t="s">
        <v>18</v>
      </c>
      <c r="H5056" t="s">
        <v>16</v>
      </c>
      <c r="I5056" s="3">
        <v>35</v>
      </c>
      <c r="J5056" s="2">
        <v>525</v>
      </c>
      <c r="K5056" s="3">
        <f t="shared" si="78"/>
        <v>18375</v>
      </c>
      <c r="L5056" s="3">
        <v>9187.5</v>
      </c>
    </row>
    <row r="5057" spans="1:12" x14ac:dyDescent="0.25">
      <c r="A5057" t="s">
        <v>26</v>
      </c>
      <c r="B5057">
        <v>1197831</v>
      </c>
      <c r="C5057" s="1">
        <v>44419</v>
      </c>
      <c r="D5057" t="s">
        <v>52</v>
      </c>
      <c r="E5057" t="s">
        <v>99</v>
      </c>
      <c r="F5057" t="s">
        <v>100</v>
      </c>
      <c r="G5057" t="s">
        <v>15</v>
      </c>
      <c r="H5057" t="s">
        <v>22</v>
      </c>
      <c r="I5057" s="3">
        <v>29</v>
      </c>
      <c r="J5057" s="2">
        <v>85</v>
      </c>
      <c r="K5057" s="3">
        <f t="shared" si="78"/>
        <v>2465</v>
      </c>
      <c r="L5057" s="3">
        <v>1503.65</v>
      </c>
    </row>
    <row r="5058" spans="1:12" x14ac:dyDescent="0.25">
      <c r="A5058" t="s">
        <v>36</v>
      </c>
      <c r="B5058">
        <v>1185732</v>
      </c>
      <c r="C5058" s="1">
        <v>44419</v>
      </c>
      <c r="D5058" t="s">
        <v>29</v>
      </c>
      <c r="E5058" t="s">
        <v>80</v>
      </c>
      <c r="F5058" t="s">
        <v>81</v>
      </c>
      <c r="G5058" t="s">
        <v>15</v>
      </c>
      <c r="H5058" t="s">
        <v>35</v>
      </c>
      <c r="I5058" s="3">
        <v>34</v>
      </c>
      <c r="J5058" s="2">
        <v>116</v>
      </c>
      <c r="K5058" s="3">
        <f t="shared" si="78"/>
        <v>3944</v>
      </c>
      <c r="L5058" s="3">
        <v>2405.84</v>
      </c>
    </row>
    <row r="5059" spans="1:12" x14ac:dyDescent="0.25">
      <c r="A5059" t="s">
        <v>36</v>
      </c>
      <c r="B5059">
        <v>1185732</v>
      </c>
      <c r="C5059" s="1">
        <v>44419</v>
      </c>
      <c r="D5059" t="s">
        <v>29</v>
      </c>
      <c r="E5059" t="s">
        <v>80</v>
      </c>
      <c r="F5059" t="s">
        <v>81</v>
      </c>
      <c r="G5059" t="s">
        <v>15</v>
      </c>
      <c r="H5059" t="s">
        <v>22</v>
      </c>
      <c r="I5059" s="3">
        <v>43</v>
      </c>
      <c r="J5059" s="2">
        <v>72</v>
      </c>
      <c r="K5059" s="3">
        <f t="shared" ref="K5059:K5122" si="79">I5059*J5059</f>
        <v>3096</v>
      </c>
      <c r="L5059" s="3">
        <v>1888.5600000000002</v>
      </c>
    </row>
    <row r="5060" spans="1:12" x14ac:dyDescent="0.25">
      <c r="A5060" t="s">
        <v>11</v>
      </c>
      <c r="B5060">
        <v>1185732</v>
      </c>
      <c r="C5060" s="1">
        <v>44419</v>
      </c>
      <c r="D5060" t="s">
        <v>12</v>
      </c>
      <c r="E5060" t="s">
        <v>101</v>
      </c>
      <c r="F5060" t="s">
        <v>102</v>
      </c>
      <c r="G5060" t="s">
        <v>15</v>
      </c>
      <c r="H5060" t="s">
        <v>22</v>
      </c>
      <c r="I5060" s="3">
        <v>23</v>
      </c>
      <c r="J5060" s="2">
        <v>109</v>
      </c>
      <c r="K5060" s="3">
        <f t="shared" si="79"/>
        <v>2507</v>
      </c>
      <c r="L5060" s="3">
        <v>1529.27</v>
      </c>
    </row>
    <row r="5061" spans="1:12" x14ac:dyDescent="0.25">
      <c r="A5061" t="s">
        <v>26</v>
      </c>
      <c r="B5061">
        <v>1197831</v>
      </c>
      <c r="C5061" s="1">
        <v>44419</v>
      </c>
      <c r="D5061" t="s">
        <v>57</v>
      </c>
      <c r="E5061" t="s">
        <v>95</v>
      </c>
      <c r="F5061" t="s">
        <v>96</v>
      </c>
      <c r="G5061" t="s">
        <v>41</v>
      </c>
      <c r="H5061" t="s">
        <v>38</v>
      </c>
      <c r="I5061" s="3">
        <v>20</v>
      </c>
      <c r="J5061" s="2">
        <v>189</v>
      </c>
      <c r="K5061" s="3">
        <f t="shared" si="79"/>
        <v>3780</v>
      </c>
      <c r="L5061" s="3">
        <v>2268</v>
      </c>
    </row>
    <row r="5062" spans="1:12" x14ac:dyDescent="0.25">
      <c r="A5062" t="s">
        <v>27</v>
      </c>
      <c r="B5062">
        <v>1185732</v>
      </c>
      <c r="C5062" s="1">
        <v>44419</v>
      </c>
      <c r="D5062" t="s">
        <v>12</v>
      </c>
      <c r="E5062" t="s">
        <v>62</v>
      </c>
      <c r="F5062" t="s">
        <v>63</v>
      </c>
      <c r="G5062" t="s">
        <v>41</v>
      </c>
      <c r="H5062" t="s">
        <v>16</v>
      </c>
      <c r="I5062" s="3">
        <v>52</v>
      </c>
      <c r="J5062" s="2">
        <v>196</v>
      </c>
      <c r="K5062" s="3">
        <f t="shared" si="79"/>
        <v>10192</v>
      </c>
      <c r="L5062" s="3">
        <v>6115.2</v>
      </c>
    </row>
    <row r="5063" spans="1:12" x14ac:dyDescent="0.25">
      <c r="A5063" t="s">
        <v>11</v>
      </c>
      <c r="B5063">
        <v>1185732</v>
      </c>
      <c r="C5063" s="1">
        <v>44419</v>
      </c>
      <c r="D5063" t="s">
        <v>12</v>
      </c>
      <c r="E5063" t="s">
        <v>101</v>
      </c>
      <c r="F5063" t="s">
        <v>102</v>
      </c>
      <c r="G5063" t="s">
        <v>15</v>
      </c>
      <c r="H5063" t="s">
        <v>35</v>
      </c>
      <c r="I5063" s="3">
        <v>23</v>
      </c>
      <c r="J5063" s="2">
        <v>158</v>
      </c>
      <c r="K5063" s="3">
        <f t="shared" si="79"/>
        <v>3634</v>
      </c>
      <c r="L5063" s="3">
        <v>2144.0600000000004</v>
      </c>
    </row>
    <row r="5064" spans="1:12" x14ac:dyDescent="0.25">
      <c r="A5064" t="s">
        <v>27</v>
      </c>
      <c r="B5064">
        <v>1185732</v>
      </c>
      <c r="C5064" s="1">
        <v>44419</v>
      </c>
      <c r="D5064" t="s">
        <v>12</v>
      </c>
      <c r="E5064" t="s">
        <v>62</v>
      </c>
      <c r="F5064" t="s">
        <v>63</v>
      </c>
      <c r="G5064" t="s">
        <v>41</v>
      </c>
      <c r="H5064" t="s">
        <v>22</v>
      </c>
      <c r="I5064" s="3">
        <v>47</v>
      </c>
      <c r="J5064" s="2">
        <v>140</v>
      </c>
      <c r="K5064" s="3">
        <f t="shared" si="79"/>
        <v>6580</v>
      </c>
      <c r="L5064" s="3">
        <v>3882.2000000000003</v>
      </c>
    </row>
    <row r="5065" spans="1:12" x14ac:dyDescent="0.25">
      <c r="A5065" t="s">
        <v>27</v>
      </c>
      <c r="B5065">
        <v>1185732</v>
      </c>
      <c r="C5065" s="1">
        <v>44419</v>
      </c>
      <c r="D5065" t="s">
        <v>12</v>
      </c>
      <c r="E5065" t="s">
        <v>62</v>
      </c>
      <c r="F5065" t="s">
        <v>63</v>
      </c>
      <c r="G5065" t="s">
        <v>41</v>
      </c>
      <c r="H5065" t="s">
        <v>17</v>
      </c>
      <c r="I5065" s="3">
        <v>43</v>
      </c>
      <c r="J5065" s="2">
        <v>163</v>
      </c>
      <c r="K5065" s="3">
        <f t="shared" si="79"/>
        <v>7009</v>
      </c>
      <c r="L5065" s="3">
        <v>4135.3099999999995</v>
      </c>
    </row>
    <row r="5066" spans="1:12" x14ac:dyDescent="0.25">
      <c r="A5066" t="s">
        <v>11</v>
      </c>
      <c r="B5066">
        <v>1185732</v>
      </c>
      <c r="C5066" s="1">
        <v>44419</v>
      </c>
      <c r="D5066" t="s">
        <v>12</v>
      </c>
      <c r="E5066" t="s">
        <v>101</v>
      </c>
      <c r="F5066" t="s">
        <v>102</v>
      </c>
      <c r="G5066" t="s">
        <v>15</v>
      </c>
      <c r="H5066" t="s">
        <v>17</v>
      </c>
      <c r="I5066" s="3">
        <v>28</v>
      </c>
      <c r="J5066" s="2">
        <v>179</v>
      </c>
      <c r="K5066" s="3">
        <f t="shared" si="79"/>
        <v>5012</v>
      </c>
      <c r="L5066" s="3">
        <v>2906.96</v>
      </c>
    </row>
    <row r="5067" spans="1:12" x14ac:dyDescent="0.25">
      <c r="A5067" t="s">
        <v>36</v>
      </c>
      <c r="B5067">
        <v>1185732</v>
      </c>
      <c r="C5067" s="1">
        <v>44419</v>
      </c>
      <c r="D5067" t="s">
        <v>29</v>
      </c>
      <c r="E5067" t="s">
        <v>80</v>
      </c>
      <c r="F5067" t="s">
        <v>81</v>
      </c>
      <c r="G5067" t="s">
        <v>15</v>
      </c>
      <c r="H5067" t="s">
        <v>37</v>
      </c>
      <c r="I5067" s="3">
        <v>40</v>
      </c>
      <c r="J5067" s="2">
        <v>85</v>
      </c>
      <c r="K5067" s="3">
        <f t="shared" si="79"/>
        <v>3400</v>
      </c>
      <c r="L5067" s="3">
        <v>1972</v>
      </c>
    </row>
    <row r="5068" spans="1:12" x14ac:dyDescent="0.25">
      <c r="A5068" t="s">
        <v>36</v>
      </c>
      <c r="B5068">
        <v>1185732</v>
      </c>
      <c r="C5068" s="1">
        <v>44419</v>
      </c>
      <c r="D5068" t="s">
        <v>29</v>
      </c>
      <c r="E5068" t="s">
        <v>80</v>
      </c>
      <c r="F5068" t="s">
        <v>81</v>
      </c>
      <c r="G5068" t="s">
        <v>15</v>
      </c>
      <c r="H5068" t="s">
        <v>16</v>
      </c>
      <c r="I5068" s="3">
        <v>44</v>
      </c>
      <c r="J5068" s="2">
        <v>136</v>
      </c>
      <c r="K5068" s="3">
        <f t="shared" si="79"/>
        <v>5984</v>
      </c>
      <c r="L5068" s="3">
        <v>3410.8800000000006</v>
      </c>
    </row>
    <row r="5069" spans="1:12" x14ac:dyDescent="0.25">
      <c r="A5069" t="s">
        <v>27</v>
      </c>
      <c r="B5069">
        <v>1185732</v>
      </c>
      <c r="C5069" s="1">
        <v>44419</v>
      </c>
      <c r="D5069" t="s">
        <v>12</v>
      </c>
      <c r="E5069" t="s">
        <v>62</v>
      </c>
      <c r="F5069" t="s">
        <v>63</v>
      </c>
      <c r="G5069" t="s">
        <v>41</v>
      </c>
      <c r="H5069" t="s">
        <v>35</v>
      </c>
      <c r="I5069" s="3">
        <v>38</v>
      </c>
      <c r="J5069" s="2">
        <v>143</v>
      </c>
      <c r="K5069" s="3">
        <f t="shared" si="79"/>
        <v>5434</v>
      </c>
      <c r="L5069" s="3">
        <v>2988.7000000000003</v>
      </c>
    </row>
    <row r="5070" spans="1:12" x14ac:dyDescent="0.25">
      <c r="A5070" t="s">
        <v>36</v>
      </c>
      <c r="B5070">
        <v>1185732</v>
      </c>
      <c r="C5070" s="1">
        <v>44419</v>
      </c>
      <c r="D5070" t="s">
        <v>29</v>
      </c>
      <c r="E5070" t="s">
        <v>80</v>
      </c>
      <c r="F5070" t="s">
        <v>81</v>
      </c>
      <c r="G5070" t="s">
        <v>41</v>
      </c>
      <c r="H5070" t="s">
        <v>35</v>
      </c>
      <c r="I5070" s="3">
        <v>48</v>
      </c>
      <c r="J5070" s="2">
        <v>105</v>
      </c>
      <c r="K5070" s="3">
        <f t="shared" si="79"/>
        <v>5040</v>
      </c>
      <c r="L5070" s="3">
        <v>2721.6000000000004</v>
      </c>
    </row>
    <row r="5071" spans="1:12" x14ac:dyDescent="0.25">
      <c r="A5071" t="s">
        <v>11</v>
      </c>
      <c r="B5071">
        <v>1185732</v>
      </c>
      <c r="C5071" s="1">
        <v>44419</v>
      </c>
      <c r="D5071" t="s">
        <v>12</v>
      </c>
      <c r="E5071" t="s">
        <v>101</v>
      </c>
      <c r="F5071" t="s">
        <v>102</v>
      </c>
      <c r="G5071" t="s">
        <v>41</v>
      </c>
      <c r="H5071" t="s">
        <v>22</v>
      </c>
      <c r="I5071" s="3">
        <v>29</v>
      </c>
      <c r="J5071" s="2">
        <v>105</v>
      </c>
      <c r="K5071" s="3">
        <f t="shared" si="79"/>
        <v>3045</v>
      </c>
      <c r="L5071" s="3">
        <v>1644.3000000000002</v>
      </c>
    </row>
    <row r="5072" spans="1:12" x14ac:dyDescent="0.25">
      <c r="A5072" t="s">
        <v>11</v>
      </c>
      <c r="B5072">
        <v>1185732</v>
      </c>
      <c r="C5072" s="1">
        <v>44419</v>
      </c>
      <c r="D5072" t="s">
        <v>12</v>
      </c>
      <c r="E5072" t="s">
        <v>101</v>
      </c>
      <c r="F5072" t="s">
        <v>102</v>
      </c>
      <c r="G5072" t="s">
        <v>41</v>
      </c>
      <c r="H5072" t="s">
        <v>17</v>
      </c>
      <c r="I5072" s="3">
        <v>34</v>
      </c>
      <c r="J5072" s="2">
        <v>131</v>
      </c>
      <c r="K5072" s="3">
        <f t="shared" si="79"/>
        <v>4454</v>
      </c>
      <c r="L5072" s="3">
        <v>2360.6200000000003</v>
      </c>
    </row>
    <row r="5073" spans="1:12" x14ac:dyDescent="0.25">
      <c r="A5073" t="s">
        <v>36</v>
      </c>
      <c r="B5073">
        <v>1185732</v>
      </c>
      <c r="C5073" s="1">
        <v>44419</v>
      </c>
      <c r="D5073" t="s">
        <v>29</v>
      </c>
      <c r="E5073" t="s">
        <v>80</v>
      </c>
      <c r="F5073" t="s">
        <v>81</v>
      </c>
      <c r="G5073" t="s">
        <v>41</v>
      </c>
      <c r="H5073" t="s">
        <v>37</v>
      </c>
      <c r="I5073" s="3">
        <v>49</v>
      </c>
      <c r="J5073" s="2">
        <v>68</v>
      </c>
      <c r="K5073" s="3">
        <f t="shared" si="79"/>
        <v>3332</v>
      </c>
      <c r="L5073" s="3">
        <v>1765.96</v>
      </c>
    </row>
    <row r="5074" spans="1:12" x14ac:dyDescent="0.25">
      <c r="A5074" t="s">
        <v>11</v>
      </c>
      <c r="B5074">
        <v>1185732</v>
      </c>
      <c r="C5074" s="1">
        <v>44419</v>
      </c>
      <c r="D5074" t="s">
        <v>12</v>
      </c>
      <c r="E5074" t="s">
        <v>101</v>
      </c>
      <c r="F5074" t="s">
        <v>102</v>
      </c>
      <c r="G5074" t="s">
        <v>15</v>
      </c>
      <c r="H5074" t="s">
        <v>38</v>
      </c>
      <c r="I5074" s="3">
        <v>27</v>
      </c>
      <c r="J5074" s="2">
        <v>248</v>
      </c>
      <c r="K5074" s="3">
        <f t="shared" si="79"/>
        <v>6696</v>
      </c>
      <c r="L5074" s="3">
        <v>3548.8799999999997</v>
      </c>
    </row>
    <row r="5075" spans="1:12" x14ac:dyDescent="0.25">
      <c r="A5075" t="s">
        <v>11</v>
      </c>
      <c r="B5075">
        <v>1185732</v>
      </c>
      <c r="C5075" s="1">
        <v>44419</v>
      </c>
      <c r="D5075" t="s">
        <v>12</v>
      </c>
      <c r="E5075" t="s">
        <v>101</v>
      </c>
      <c r="F5075" t="s">
        <v>102</v>
      </c>
      <c r="G5075" t="s">
        <v>15</v>
      </c>
      <c r="H5075" t="s">
        <v>37</v>
      </c>
      <c r="I5075" s="3">
        <v>14</v>
      </c>
      <c r="J5075" s="2">
        <v>124</v>
      </c>
      <c r="K5075" s="3">
        <f t="shared" si="79"/>
        <v>1736</v>
      </c>
      <c r="L5075" s="3">
        <v>920.07999999999993</v>
      </c>
    </row>
    <row r="5076" spans="1:12" x14ac:dyDescent="0.25">
      <c r="A5076" t="s">
        <v>26</v>
      </c>
      <c r="B5076">
        <v>1197831</v>
      </c>
      <c r="C5076" s="1">
        <v>44419</v>
      </c>
      <c r="D5076" t="s">
        <v>52</v>
      </c>
      <c r="E5076" t="s">
        <v>99</v>
      </c>
      <c r="F5076" t="s">
        <v>100</v>
      </c>
      <c r="G5076" t="s">
        <v>41</v>
      </c>
      <c r="H5076" t="s">
        <v>22</v>
      </c>
      <c r="I5076" s="3">
        <v>38</v>
      </c>
      <c r="J5076" s="2">
        <v>68</v>
      </c>
      <c r="K5076" s="3">
        <f t="shared" si="79"/>
        <v>2584</v>
      </c>
      <c r="L5076" s="3">
        <v>1343.68</v>
      </c>
    </row>
    <row r="5077" spans="1:12" x14ac:dyDescent="0.25">
      <c r="A5077" t="s">
        <v>27</v>
      </c>
      <c r="B5077">
        <v>1185732</v>
      </c>
      <c r="C5077" s="1">
        <v>44419</v>
      </c>
      <c r="D5077" t="s">
        <v>12</v>
      </c>
      <c r="E5077" t="s">
        <v>62</v>
      </c>
      <c r="F5077" t="s">
        <v>63</v>
      </c>
      <c r="G5077" t="s">
        <v>41</v>
      </c>
      <c r="H5077" t="s">
        <v>37</v>
      </c>
      <c r="I5077" s="3">
        <v>38</v>
      </c>
      <c r="J5077" s="2">
        <v>147</v>
      </c>
      <c r="K5077" s="3">
        <f t="shared" si="79"/>
        <v>5586</v>
      </c>
      <c r="L5077" s="3">
        <v>2848.86</v>
      </c>
    </row>
    <row r="5078" spans="1:12" x14ac:dyDescent="0.25">
      <c r="A5078" t="s">
        <v>11</v>
      </c>
      <c r="B5078">
        <v>1185732</v>
      </c>
      <c r="C5078" s="1">
        <v>44419</v>
      </c>
      <c r="D5078" t="s">
        <v>12</v>
      </c>
      <c r="E5078" t="s">
        <v>101</v>
      </c>
      <c r="F5078" t="s">
        <v>102</v>
      </c>
      <c r="G5078" t="s">
        <v>41</v>
      </c>
      <c r="H5078" t="s">
        <v>35</v>
      </c>
      <c r="I5078" s="3">
        <v>29</v>
      </c>
      <c r="J5078" s="2">
        <v>113</v>
      </c>
      <c r="K5078" s="3">
        <f t="shared" si="79"/>
        <v>3277</v>
      </c>
      <c r="L5078" s="3">
        <v>1671.27</v>
      </c>
    </row>
    <row r="5079" spans="1:12" x14ac:dyDescent="0.25">
      <c r="A5079" t="s">
        <v>36</v>
      </c>
      <c r="B5079">
        <v>1185732</v>
      </c>
      <c r="C5079" s="1">
        <v>44419</v>
      </c>
      <c r="D5079" t="s">
        <v>29</v>
      </c>
      <c r="E5079" t="s">
        <v>80</v>
      </c>
      <c r="F5079" t="s">
        <v>81</v>
      </c>
      <c r="G5079" t="s">
        <v>41</v>
      </c>
      <c r="H5079" t="s">
        <v>22</v>
      </c>
      <c r="I5079" s="3">
        <v>57</v>
      </c>
      <c r="J5079" s="2">
        <v>65</v>
      </c>
      <c r="K5079" s="3">
        <f t="shared" si="79"/>
        <v>3705</v>
      </c>
      <c r="L5079" s="3">
        <v>1889.55</v>
      </c>
    </row>
    <row r="5080" spans="1:12" x14ac:dyDescent="0.25">
      <c r="A5080" t="s">
        <v>11</v>
      </c>
      <c r="B5080">
        <v>1185732</v>
      </c>
      <c r="C5080" s="1">
        <v>44419</v>
      </c>
      <c r="D5080" t="s">
        <v>12</v>
      </c>
      <c r="E5080" t="s">
        <v>101</v>
      </c>
      <c r="F5080" t="s">
        <v>102</v>
      </c>
      <c r="G5080" t="s">
        <v>41</v>
      </c>
      <c r="H5080" t="s">
        <v>38</v>
      </c>
      <c r="I5080" s="3">
        <v>33</v>
      </c>
      <c r="J5080" s="2">
        <v>203</v>
      </c>
      <c r="K5080" s="3">
        <f t="shared" si="79"/>
        <v>6699</v>
      </c>
      <c r="L5080" s="3">
        <v>3349.5</v>
      </c>
    </row>
    <row r="5081" spans="1:12" x14ac:dyDescent="0.25">
      <c r="A5081" t="s">
        <v>36</v>
      </c>
      <c r="B5081">
        <v>1185732</v>
      </c>
      <c r="C5081" s="1">
        <v>44419</v>
      </c>
      <c r="D5081" t="s">
        <v>29</v>
      </c>
      <c r="E5081" t="s">
        <v>80</v>
      </c>
      <c r="F5081" t="s">
        <v>81</v>
      </c>
      <c r="G5081" t="s">
        <v>41</v>
      </c>
      <c r="H5081" t="s">
        <v>16</v>
      </c>
      <c r="I5081" s="3">
        <v>61</v>
      </c>
      <c r="J5081" s="2">
        <v>104</v>
      </c>
      <c r="K5081" s="3">
        <f t="shared" si="79"/>
        <v>6344</v>
      </c>
      <c r="L5081" s="3">
        <v>3108.56</v>
      </c>
    </row>
    <row r="5082" spans="1:12" x14ac:dyDescent="0.25">
      <c r="A5082" t="s">
        <v>36</v>
      </c>
      <c r="B5082">
        <v>1185732</v>
      </c>
      <c r="C5082" s="1">
        <v>44419</v>
      </c>
      <c r="D5082" t="s">
        <v>29</v>
      </c>
      <c r="E5082" t="s">
        <v>80</v>
      </c>
      <c r="F5082" t="s">
        <v>81</v>
      </c>
      <c r="G5082" t="s">
        <v>15</v>
      </c>
      <c r="H5082" t="s">
        <v>38</v>
      </c>
      <c r="I5082" s="3">
        <v>42</v>
      </c>
      <c r="J5082" s="2">
        <v>215</v>
      </c>
      <c r="K5082" s="3">
        <f t="shared" si="79"/>
        <v>9030</v>
      </c>
      <c r="L5082" s="3">
        <v>4424.7</v>
      </c>
    </row>
    <row r="5083" spans="1:12" x14ac:dyDescent="0.25">
      <c r="A5083" t="s">
        <v>36</v>
      </c>
      <c r="B5083">
        <v>1185732</v>
      </c>
      <c r="C5083" s="1">
        <v>44419</v>
      </c>
      <c r="D5083" t="s">
        <v>29</v>
      </c>
      <c r="E5083" t="s">
        <v>80</v>
      </c>
      <c r="F5083" t="s">
        <v>81</v>
      </c>
      <c r="G5083" t="s">
        <v>15</v>
      </c>
      <c r="H5083" t="s">
        <v>17</v>
      </c>
      <c r="I5083" s="3">
        <v>43</v>
      </c>
      <c r="J5083" s="2">
        <v>149</v>
      </c>
      <c r="K5083" s="3">
        <f t="shared" si="79"/>
        <v>6407</v>
      </c>
      <c r="L5083" s="3">
        <v>3075.3599999999997</v>
      </c>
    </row>
    <row r="5084" spans="1:12" x14ac:dyDescent="0.25">
      <c r="A5084" t="s">
        <v>11</v>
      </c>
      <c r="B5084">
        <v>1185732</v>
      </c>
      <c r="C5084" s="1">
        <v>44419</v>
      </c>
      <c r="D5084" t="s">
        <v>12</v>
      </c>
      <c r="E5084" t="s">
        <v>101</v>
      </c>
      <c r="F5084" t="s">
        <v>102</v>
      </c>
      <c r="G5084" t="s">
        <v>41</v>
      </c>
      <c r="H5084" t="s">
        <v>37</v>
      </c>
      <c r="I5084" s="3">
        <v>19</v>
      </c>
      <c r="J5084" s="2">
        <v>101</v>
      </c>
      <c r="K5084" s="3">
        <f t="shared" si="79"/>
        <v>1919</v>
      </c>
      <c r="L5084" s="3">
        <v>901.93</v>
      </c>
    </row>
    <row r="5085" spans="1:12" x14ac:dyDescent="0.25">
      <c r="A5085" t="s">
        <v>11</v>
      </c>
      <c r="B5085">
        <v>1185732</v>
      </c>
      <c r="C5085" s="1">
        <v>44419</v>
      </c>
      <c r="D5085" t="s">
        <v>12</v>
      </c>
      <c r="E5085" t="s">
        <v>101</v>
      </c>
      <c r="F5085" t="s">
        <v>102</v>
      </c>
      <c r="G5085" t="s">
        <v>15</v>
      </c>
      <c r="H5085" t="s">
        <v>16</v>
      </c>
      <c r="I5085" s="3">
        <v>27</v>
      </c>
      <c r="J5085" s="2">
        <v>184</v>
      </c>
      <c r="K5085" s="3">
        <f t="shared" si="79"/>
        <v>4968</v>
      </c>
      <c r="L5085" s="3">
        <v>2136.2399999999998</v>
      </c>
    </row>
    <row r="5086" spans="1:12" x14ac:dyDescent="0.25">
      <c r="A5086" t="s">
        <v>36</v>
      </c>
      <c r="B5086">
        <v>1185732</v>
      </c>
      <c r="C5086" s="1">
        <v>44419</v>
      </c>
      <c r="D5086" t="s">
        <v>29</v>
      </c>
      <c r="E5086" t="s">
        <v>80</v>
      </c>
      <c r="F5086" t="s">
        <v>81</v>
      </c>
      <c r="G5086" t="s">
        <v>41</v>
      </c>
      <c r="H5086" t="s">
        <v>17</v>
      </c>
      <c r="I5086" s="3">
        <v>53</v>
      </c>
      <c r="J5086" s="2">
        <v>106</v>
      </c>
      <c r="K5086" s="3">
        <f t="shared" si="79"/>
        <v>5618</v>
      </c>
      <c r="L5086" s="3">
        <v>2303.3799999999997</v>
      </c>
    </row>
    <row r="5087" spans="1:12" x14ac:dyDescent="0.25">
      <c r="A5087" t="s">
        <v>11</v>
      </c>
      <c r="B5087">
        <v>1185732</v>
      </c>
      <c r="C5087" s="1">
        <v>44419</v>
      </c>
      <c r="D5087" t="s">
        <v>12</v>
      </c>
      <c r="E5087" t="s">
        <v>101</v>
      </c>
      <c r="F5087" t="s">
        <v>102</v>
      </c>
      <c r="G5087" t="s">
        <v>41</v>
      </c>
      <c r="H5087" t="s">
        <v>16</v>
      </c>
      <c r="I5087" s="3">
        <v>32</v>
      </c>
      <c r="J5087" s="2">
        <v>152</v>
      </c>
      <c r="K5087" s="3">
        <f t="shared" si="79"/>
        <v>4864</v>
      </c>
      <c r="L5087" s="3">
        <v>1945.6</v>
      </c>
    </row>
    <row r="5088" spans="1:12" x14ac:dyDescent="0.25">
      <c r="A5088" t="s">
        <v>36</v>
      </c>
      <c r="B5088">
        <v>1185732</v>
      </c>
      <c r="C5088" s="1">
        <v>44419</v>
      </c>
      <c r="D5088" t="s">
        <v>29</v>
      </c>
      <c r="E5088" t="s">
        <v>80</v>
      </c>
      <c r="F5088" t="s">
        <v>81</v>
      </c>
      <c r="G5088" t="s">
        <v>41</v>
      </c>
      <c r="H5088" t="s">
        <v>38</v>
      </c>
      <c r="I5088" s="3">
        <v>58</v>
      </c>
      <c r="J5088" s="2">
        <v>176</v>
      </c>
      <c r="K5088" s="3">
        <f t="shared" si="79"/>
        <v>10208</v>
      </c>
      <c r="L5088" s="3">
        <v>4083.2</v>
      </c>
    </row>
    <row r="5089" spans="1:12" x14ac:dyDescent="0.25">
      <c r="A5089" t="s">
        <v>27</v>
      </c>
      <c r="B5089">
        <v>1185732</v>
      </c>
      <c r="C5089" s="1">
        <v>44419</v>
      </c>
      <c r="D5089" t="s">
        <v>12</v>
      </c>
      <c r="E5089" t="s">
        <v>62</v>
      </c>
      <c r="F5089" t="s">
        <v>63</v>
      </c>
      <c r="G5089" t="s">
        <v>41</v>
      </c>
      <c r="H5089" t="s">
        <v>38</v>
      </c>
      <c r="I5089" s="3">
        <v>47</v>
      </c>
      <c r="J5089" s="2">
        <v>255</v>
      </c>
      <c r="K5089" s="3">
        <f t="shared" si="79"/>
        <v>11985</v>
      </c>
      <c r="L5089" s="3">
        <v>4314.5999999999995</v>
      </c>
    </row>
    <row r="5090" spans="1:12" x14ac:dyDescent="0.25">
      <c r="A5090" t="s">
        <v>19</v>
      </c>
      <c r="B5090">
        <v>1185732</v>
      </c>
      <c r="C5090" s="1">
        <v>44420</v>
      </c>
      <c r="D5090" t="s">
        <v>57</v>
      </c>
      <c r="E5090" t="s">
        <v>74</v>
      </c>
      <c r="F5090" t="s">
        <v>75</v>
      </c>
      <c r="G5090" t="s">
        <v>41</v>
      </c>
      <c r="H5090" t="s">
        <v>17</v>
      </c>
      <c r="I5090" s="3">
        <v>45.000000000000007</v>
      </c>
      <c r="J5090" s="2">
        <v>300</v>
      </c>
      <c r="K5090" s="3">
        <f t="shared" si="79"/>
        <v>13500.000000000002</v>
      </c>
      <c r="L5090" s="3">
        <v>9450.0000000000036</v>
      </c>
    </row>
    <row r="5091" spans="1:12" x14ac:dyDescent="0.25">
      <c r="A5091" t="s">
        <v>26</v>
      </c>
      <c r="B5091">
        <v>1197831</v>
      </c>
      <c r="C5091" s="1">
        <v>44420</v>
      </c>
      <c r="D5091" t="s">
        <v>57</v>
      </c>
      <c r="E5091" t="s">
        <v>95</v>
      </c>
      <c r="F5091" t="s">
        <v>96</v>
      </c>
      <c r="G5091" t="s">
        <v>15</v>
      </c>
      <c r="H5091" t="s">
        <v>17</v>
      </c>
      <c r="I5091" s="3">
        <v>30</v>
      </c>
      <c r="J5091" s="2">
        <v>725</v>
      </c>
      <c r="K5091" s="3">
        <f t="shared" si="79"/>
        <v>21750</v>
      </c>
      <c r="L5091" s="3">
        <v>15225</v>
      </c>
    </row>
    <row r="5092" spans="1:12" x14ac:dyDescent="0.25">
      <c r="A5092" t="s">
        <v>19</v>
      </c>
      <c r="B5092">
        <v>1185732</v>
      </c>
      <c r="C5092" s="1">
        <v>44420</v>
      </c>
      <c r="D5092" t="s">
        <v>57</v>
      </c>
      <c r="E5092" t="s">
        <v>74</v>
      </c>
      <c r="F5092" t="s">
        <v>75</v>
      </c>
      <c r="G5092" t="s">
        <v>41</v>
      </c>
      <c r="H5092" t="s">
        <v>35</v>
      </c>
      <c r="I5092" s="3">
        <v>40</v>
      </c>
      <c r="J5092" s="2">
        <v>225</v>
      </c>
      <c r="K5092" s="3">
        <f t="shared" si="79"/>
        <v>9000</v>
      </c>
      <c r="L5092" s="3">
        <v>6300</v>
      </c>
    </row>
    <row r="5093" spans="1:12" x14ac:dyDescent="0.25">
      <c r="A5093" t="s">
        <v>19</v>
      </c>
      <c r="B5093">
        <v>1185732</v>
      </c>
      <c r="C5093" s="1">
        <v>44420</v>
      </c>
      <c r="D5093" t="s">
        <v>57</v>
      </c>
      <c r="E5093" t="s">
        <v>74</v>
      </c>
      <c r="F5093" t="s">
        <v>75</v>
      </c>
      <c r="G5093" t="s">
        <v>41</v>
      </c>
      <c r="H5093" t="s">
        <v>37</v>
      </c>
      <c r="I5093" s="3">
        <v>40</v>
      </c>
      <c r="J5093" s="2">
        <v>200</v>
      </c>
      <c r="K5093" s="3">
        <f t="shared" si="79"/>
        <v>8000</v>
      </c>
      <c r="L5093" s="3">
        <v>5600</v>
      </c>
    </row>
    <row r="5094" spans="1:12" x14ac:dyDescent="0.25">
      <c r="A5094" t="s">
        <v>19</v>
      </c>
      <c r="B5094">
        <v>1185732</v>
      </c>
      <c r="C5094" s="1">
        <v>44420</v>
      </c>
      <c r="D5094" t="s">
        <v>57</v>
      </c>
      <c r="E5094" t="s">
        <v>74</v>
      </c>
      <c r="F5094" t="s">
        <v>75</v>
      </c>
      <c r="G5094" t="s">
        <v>41</v>
      </c>
      <c r="H5094" t="s">
        <v>38</v>
      </c>
      <c r="I5094" s="3">
        <v>50</v>
      </c>
      <c r="J5094" s="2">
        <v>525</v>
      </c>
      <c r="K5094" s="3">
        <f t="shared" si="79"/>
        <v>26250</v>
      </c>
      <c r="L5094" s="3">
        <v>17062.5</v>
      </c>
    </row>
    <row r="5095" spans="1:12" x14ac:dyDescent="0.25">
      <c r="A5095" t="s">
        <v>19</v>
      </c>
      <c r="B5095">
        <v>1185732</v>
      </c>
      <c r="C5095" s="1">
        <v>44420</v>
      </c>
      <c r="D5095" t="s">
        <v>57</v>
      </c>
      <c r="E5095" t="s">
        <v>74</v>
      </c>
      <c r="F5095" t="s">
        <v>75</v>
      </c>
      <c r="G5095" t="s">
        <v>41</v>
      </c>
      <c r="H5095" t="s">
        <v>22</v>
      </c>
      <c r="I5095" s="3">
        <v>50</v>
      </c>
      <c r="J5095" s="2">
        <v>175</v>
      </c>
      <c r="K5095" s="3">
        <f t="shared" si="79"/>
        <v>8750</v>
      </c>
      <c r="L5095" s="3">
        <v>5687.5</v>
      </c>
    </row>
    <row r="5096" spans="1:12" x14ac:dyDescent="0.25">
      <c r="A5096" t="s">
        <v>19</v>
      </c>
      <c r="B5096">
        <v>1185732</v>
      </c>
      <c r="C5096" s="1">
        <v>44420</v>
      </c>
      <c r="D5096" t="s">
        <v>57</v>
      </c>
      <c r="E5096" t="s">
        <v>74</v>
      </c>
      <c r="F5096" t="s">
        <v>75</v>
      </c>
      <c r="G5096" t="s">
        <v>41</v>
      </c>
      <c r="H5096" t="s">
        <v>16</v>
      </c>
      <c r="I5096" s="3">
        <v>55.000000000000007</v>
      </c>
      <c r="J5096" s="2">
        <v>350</v>
      </c>
      <c r="K5096" s="3">
        <f t="shared" si="79"/>
        <v>19250.000000000004</v>
      </c>
      <c r="L5096" s="3">
        <v>11550.000000000002</v>
      </c>
    </row>
    <row r="5097" spans="1:12" x14ac:dyDescent="0.25">
      <c r="A5097" t="s">
        <v>26</v>
      </c>
      <c r="B5097">
        <v>1197831</v>
      </c>
      <c r="C5097" s="1">
        <v>44420</v>
      </c>
      <c r="D5097" t="s">
        <v>52</v>
      </c>
      <c r="E5097" t="s">
        <v>99</v>
      </c>
      <c r="F5097" t="s">
        <v>100</v>
      </c>
      <c r="G5097" t="s">
        <v>15</v>
      </c>
      <c r="H5097" t="s">
        <v>16</v>
      </c>
      <c r="I5097" s="3">
        <v>35</v>
      </c>
      <c r="J5097" s="2">
        <v>450</v>
      </c>
      <c r="K5097" s="3">
        <f t="shared" si="79"/>
        <v>15750</v>
      </c>
      <c r="L5097" s="3">
        <v>7087.5</v>
      </c>
    </row>
    <row r="5098" spans="1:12" x14ac:dyDescent="0.25">
      <c r="A5098" t="s">
        <v>26</v>
      </c>
      <c r="B5098">
        <v>1197831</v>
      </c>
      <c r="C5098" s="1">
        <v>44420</v>
      </c>
      <c r="D5098" t="s">
        <v>57</v>
      </c>
      <c r="E5098" t="s">
        <v>95</v>
      </c>
      <c r="F5098" t="s">
        <v>96</v>
      </c>
      <c r="G5098" t="s">
        <v>41</v>
      </c>
      <c r="H5098" t="s">
        <v>17</v>
      </c>
      <c r="I5098" s="3">
        <v>28</v>
      </c>
      <c r="J5098" s="2">
        <v>196</v>
      </c>
      <c r="K5098" s="3">
        <f t="shared" si="79"/>
        <v>5488</v>
      </c>
      <c r="L5098" s="3">
        <v>3292.7999999999997</v>
      </c>
    </row>
    <row r="5099" spans="1:12" x14ac:dyDescent="0.25">
      <c r="A5099" t="s">
        <v>19</v>
      </c>
      <c r="B5099">
        <v>1185732</v>
      </c>
      <c r="C5099" s="1">
        <v>44420</v>
      </c>
      <c r="D5099" t="s">
        <v>57</v>
      </c>
      <c r="E5099" t="s">
        <v>74</v>
      </c>
      <c r="F5099" t="s">
        <v>75</v>
      </c>
      <c r="G5099" t="s">
        <v>41</v>
      </c>
      <c r="H5099" t="s">
        <v>35</v>
      </c>
      <c r="I5099" s="3">
        <v>36</v>
      </c>
      <c r="J5099" s="2">
        <v>65</v>
      </c>
      <c r="K5099" s="3">
        <f t="shared" si="79"/>
        <v>2340</v>
      </c>
      <c r="L5099" s="3">
        <v>1404</v>
      </c>
    </row>
    <row r="5100" spans="1:12" x14ac:dyDescent="0.25">
      <c r="A5100" t="s">
        <v>19</v>
      </c>
      <c r="B5100">
        <v>1185732</v>
      </c>
      <c r="C5100" s="1">
        <v>44420</v>
      </c>
      <c r="D5100" t="s">
        <v>57</v>
      </c>
      <c r="E5100" t="s">
        <v>74</v>
      </c>
      <c r="F5100" t="s">
        <v>75</v>
      </c>
      <c r="G5100" t="s">
        <v>41</v>
      </c>
      <c r="H5100" t="s">
        <v>37</v>
      </c>
      <c r="I5100" s="3">
        <v>38</v>
      </c>
      <c r="J5100" s="2">
        <v>58</v>
      </c>
      <c r="K5100" s="3">
        <f t="shared" si="79"/>
        <v>2204</v>
      </c>
      <c r="L5100" s="3">
        <v>1256.28</v>
      </c>
    </row>
    <row r="5101" spans="1:12" x14ac:dyDescent="0.25">
      <c r="A5101" t="s">
        <v>19</v>
      </c>
      <c r="B5101">
        <v>1185732</v>
      </c>
      <c r="C5101" s="1">
        <v>44420</v>
      </c>
      <c r="D5101" t="s">
        <v>57</v>
      </c>
      <c r="E5101" t="s">
        <v>74</v>
      </c>
      <c r="F5101" t="s">
        <v>75</v>
      </c>
      <c r="G5101" t="s">
        <v>41</v>
      </c>
      <c r="H5101" t="s">
        <v>17</v>
      </c>
      <c r="I5101" s="3">
        <v>42</v>
      </c>
      <c r="J5101" s="2">
        <v>78</v>
      </c>
      <c r="K5101" s="3">
        <f t="shared" si="79"/>
        <v>3276</v>
      </c>
      <c r="L5101" s="3">
        <v>1801.8000000000002</v>
      </c>
    </row>
    <row r="5102" spans="1:12" x14ac:dyDescent="0.25">
      <c r="A5102" t="s">
        <v>19</v>
      </c>
      <c r="B5102">
        <v>1185732</v>
      </c>
      <c r="C5102" s="1">
        <v>44420</v>
      </c>
      <c r="D5102" t="s">
        <v>57</v>
      </c>
      <c r="E5102" t="s">
        <v>74</v>
      </c>
      <c r="F5102" t="s">
        <v>75</v>
      </c>
      <c r="G5102" t="s">
        <v>41</v>
      </c>
      <c r="H5102" t="s">
        <v>22</v>
      </c>
      <c r="I5102" s="3">
        <v>47</v>
      </c>
      <c r="J5102" s="2">
        <v>46</v>
      </c>
      <c r="K5102" s="3">
        <f t="shared" si="79"/>
        <v>2162</v>
      </c>
      <c r="L5102" s="3">
        <v>1167.48</v>
      </c>
    </row>
    <row r="5103" spans="1:12" x14ac:dyDescent="0.25">
      <c r="A5103" t="s">
        <v>19</v>
      </c>
      <c r="B5103">
        <v>1185732</v>
      </c>
      <c r="C5103" s="1">
        <v>44420</v>
      </c>
      <c r="D5103" t="s">
        <v>57</v>
      </c>
      <c r="E5103" t="s">
        <v>74</v>
      </c>
      <c r="F5103" t="s">
        <v>75</v>
      </c>
      <c r="G5103" t="s">
        <v>41</v>
      </c>
      <c r="H5103" t="s">
        <v>38</v>
      </c>
      <c r="I5103" s="3">
        <v>49</v>
      </c>
      <c r="J5103" s="2">
        <v>131</v>
      </c>
      <c r="K5103" s="3">
        <f t="shared" si="79"/>
        <v>6419</v>
      </c>
      <c r="L5103" s="3">
        <v>3337.88</v>
      </c>
    </row>
    <row r="5104" spans="1:12" x14ac:dyDescent="0.25">
      <c r="A5104" t="s">
        <v>19</v>
      </c>
      <c r="B5104">
        <v>1185732</v>
      </c>
      <c r="C5104" s="1">
        <v>44420</v>
      </c>
      <c r="D5104" t="s">
        <v>57</v>
      </c>
      <c r="E5104" t="s">
        <v>74</v>
      </c>
      <c r="F5104" t="s">
        <v>75</v>
      </c>
      <c r="G5104" t="s">
        <v>41</v>
      </c>
      <c r="H5104" t="s">
        <v>16</v>
      </c>
      <c r="I5104" s="3">
        <v>53</v>
      </c>
      <c r="J5104" s="2">
        <v>88</v>
      </c>
      <c r="K5104" s="3">
        <f t="shared" si="79"/>
        <v>4664</v>
      </c>
      <c r="L5104" s="3">
        <v>2332</v>
      </c>
    </row>
    <row r="5105" spans="1:12" x14ac:dyDescent="0.25">
      <c r="A5105" t="s">
        <v>26</v>
      </c>
      <c r="B5105">
        <v>1197831</v>
      </c>
      <c r="C5105" s="1">
        <v>44420</v>
      </c>
      <c r="D5105" t="s">
        <v>52</v>
      </c>
      <c r="E5105" t="s">
        <v>99</v>
      </c>
      <c r="F5105" t="s">
        <v>100</v>
      </c>
      <c r="G5105" t="s">
        <v>15</v>
      </c>
      <c r="H5105" t="s">
        <v>16</v>
      </c>
      <c r="I5105" s="3">
        <v>27</v>
      </c>
      <c r="J5105" s="2">
        <v>144</v>
      </c>
      <c r="K5105" s="3">
        <f t="shared" si="79"/>
        <v>3888</v>
      </c>
      <c r="L5105" s="3">
        <v>1671.8399999999997</v>
      </c>
    </row>
    <row r="5106" spans="1:12" x14ac:dyDescent="0.25">
      <c r="A5106" t="s">
        <v>26</v>
      </c>
      <c r="B5106">
        <v>1197831</v>
      </c>
      <c r="C5106" s="1">
        <v>44420</v>
      </c>
      <c r="D5106" t="s">
        <v>52</v>
      </c>
      <c r="E5106" t="s">
        <v>99</v>
      </c>
      <c r="F5106" t="s">
        <v>100</v>
      </c>
      <c r="G5106" t="s">
        <v>41</v>
      </c>
      <c r="H5106" t="s">
        <v>16</v>
      </c>
      <c r="I5106" s="3">
        <v>33</v>
      </c>
      <c r="J5106" s="2">
        <v>126</v>
      </c>
      <c r="K5106" s="3">
        <f t="shared" si="79"/>
        <v>4158</v>
      </c>
      <c r="L5106" s="3">
        <v>1372.1399999999999</v>
      </c>
    </row>
    <row r="5107" spans="1:12" x14ac:dyDescent="0.25">
      <c r="A5107" t="s">
        <v>26</v>
      </c>
      <c r="B5107">
        <v>1128299</v>
      </c>
      <c r="C5107" s="1">
        <v>44421</v>
      </c>
      <c r="D5107" t="s">
        <v>32</v>
      </c>
      <c r="E5107" t="s">
        <v>44</v>
      </c>
      <c r="F5107" t="s">
        <v>45</v>
      </c>
      <c r="G5107" t="s">
        <v>41</v>
      </c>
      <c r="H5107" t="s">
        <v>16</v>
      </c>
      <c r="I5107" s="3">
        <v>70</v>
      </c>
      <c r="J5107" s="2">
        <v>425</v>
      </c>
      <c r="K5107" s="3">
        <f t="shared" si="79"/>
        <v>29750</v>
      </c>
      <c r="L5107" s="3">
        <v>22312.5</v>
      </c>
    </row>
    <row r="5108" spans="1:12" x14ac:dyDescent="0.25">
      <c r="A5108" t="s">
        <v>26</v>
      </c>
      <c r="B5108">
        <v>1197831</v>
      </c>
      <c r="C5108" s="1">
        <v>44421</v>
      </c>
      <c r="D5108" t="s">
        <v>57</v>
      </c>
      <c r="E5108" t="s">
        <v>95</v>
      </c>
      <c r="F5108" t="s">
        <v>96</v>
      </c>
      <c r="G5108" t="s">
        <v>15</v>
      </c>
      <c r="H5108" t="s">
        <v>35</v>
      </c>
      <c r="I5108" s="3">
        <v>30</v>
      </c>
      <c r="J5108" s="2">
        <v>525</v>
      </c>
      <c r="K5108" s="3">
        <f t="shared" si="79"/>
        <v>15750</v>
      </c>
      <c r="L5108" s="3">
        <v>11025</v>
      </c>
    </row>
    <row r="5109" spans="1:12" x14ac:dyDescent="0.25">
      <c r="A5109" t="s">
        <v>26</v>
      </c>
      <c r="B5109">
        <v>1128299</v>
      </c>
      <c r="C5109" s="1">
        <v>44421</v>
      </c>
      <c r="D5109" t="s">
        <v>32</v>
      </c>
      <c r="E5109" t="s">
        <v>44</v>
      </c>
      <c r="F5109" t="s">
        <v>45</v>
      </c>
      <c r="G5109" t="s">
        <v>41</v>
      </c>
      <c r="H5109" t="s">
        <v>35</v>
      </c>
      <c r="I5109" s="3">
        <v>55.000000000000007</v>
      </c>
      <c r="J5109" s="2">
        <v>500</v>
      </c>
      <c r="K5109" s="3">
        <f t="shared" si="79"/>
        <v>27500.000000000004</v>
      </c>
      <c r="L5109" s="3">
        <v>17875.000000000007</v>
      </c>
    </row>
    <row r="5110" spans="1:12" x14ac:dyDescent="0.25">
      <c r="A5110" t="s">
        <v>26</v>
      </c>
      <c r="B5110">
        <v>1128299</v>
      </c>
      <c r="C5110" s="1">
        <v>44421</v>
      </c>
      <c r="D5110" t="s">
        <v>32</v>
      </c>
      <c r="E5110" t="s">
        <v>44</v>
      </c>
      <c r="F5110" t="s">
        <v>45</v>
      </c>
      <c r="G5110" t="s">
        <v>41</v>
      </c>
      <c r="H5110" t="s">
        <v>22</v>
      </c>
      <c r="I5110" s="3">
        <v>65</v>
      </c>
      <c r="J5110" s="2">
        <v>450</v>
      </c>
      <c r="K5110" s="3">
        <f t="shared" si="79"/>
        <v>29250</v>
      </c>
      <c r="L5110" s="3">
        <v>19012.5</v>
      </c>
    </row>
    <row r="5111" spans="1:12" x14ac:dyDescent="0.25">
      <c r="A5111" t="s">
        <v>27</v>
      </c>
      <c r="B5111">
        <v>1197831</v>
      </c>
      <c r="C5111" s="1">
        <v>44421</v>
      </c>
      <c r="D5111" t="s">
        <v>57</v>
      </c>
      <c r="E5111" t="s">
        <v>72</v>
      </c>
      <c r="F5111" t="s">
        <v>73</v>
      </c>
      <c r="G5111" t="s">
        <v>41</v>
      </c>
      <c r="H5111" t="s">
        <v>38</v>
      </c>
      <c r="I5111" s="3">
        <v>60</v>
      </c>
      <c r="J5111" s="2">
        <v>650</v>
      </c>
      <c r="K5111" s="3">
        <f t="shared" si="79"/>
        <v>39000</v>
      </c>
      <c r="L5111" s="3">
        <v>25350</v>
      </c>
    </row>
    <row r="5112" spans="1:12" x14ac:dyDescent="0.25">
      <c r="A5112" t="s">
        <v>27</v>
      </c>
      <c r="B5112">
        <v>1197831</v>
      </c>
      <c r="C5112" s="1">
        <v>44421</v>
      </c>
      <c r="D5112" t="s">
        <v>57</v>
      </c>
      <c r="E5112" t="s">
        <v>72</v>
      </c>
      <c r="F5112" t="s">
        <v>73</v>
      </c>
      <c r="G5112" t="s">
        <v>41</v>
      </c>
      <c r="H5112" t="s">
        <v>17</v>
      </c>
      <c r="I5112" s="3">
        <v>55.000000000000007</v>
      </c>
      <c r="J5112" s="2">
        <v>425</v>
      </c>
      <c r="K5112" s="3">
        <f t="shared" si="79"/>
        <v>23375.000000000004</v>
      </c>
      <c r="L5112" s="3">
        <v>15193.750000000004</v>
      </c>
    </row>
    <row r="5113" spans="1:12" x14ac:dyDescent="0.25">
      <c r="A5113" t="s">
        <v>27</v>
      </c>
      <c r="B5113">
        <v>1197831</v>
      </c>
      <c r="C5113" s="1">
        <v>44421</v>
      </c>
      <c r="D5113" t="s">
        <v>57</v>
      </c>
      <c r="E5113" t="s">
        <v>72</v>
      </c>
      <c r="F5113" t="s">
        <v>73</v>
      </c>
      <c r="G5113" t="s">
        <v>41</v>
      </c>
      <c r="H5113" t="s">
        <v>35</v>
      </c>
      <c r="I5113" s="3">
        <v>50</v>
      </c>
      <c r="J5113" s="2">
        <v>350</v>
      </c>
      <c r="K5113" s="3">
        <f t="shared" si="79"/>
        <v>17500</v>
      </c>
      <c r="L5113" s="3">
        <v>11375</v>
      </c>
    </row>
    <row r="5114" spans="1:12" x14ac:dyDescent="0.25">
      <c r="A5114" t="s">
        <v>27</v>
      </c>
      <c r="B5114">
        <v>1197831</v>
      </c>
      <c r="C5114" s="1">
        <v>44421</v>
      </c>
      <c r="D5114" t="s">
        <v>57</v>
      </c>
      <c r="E5114" t="s">
        <v>72</v>
      </c>
      <c r="F5114" t="s">
        <v>73</v>
      </c>
      <c r="G5114" t="s">
        <v>41</v>
      </c>
      <c r="H5114" t="s">
        <v>37</v>
      </c>
      <c r="I5114" s="3">
        <v>40</v>
      </c>
      <c r="J5114" s="2">
        <v>300</v>
      </c>
      <c r="K5114" s="3">
        <f t="shared" si="79"/>
        <v>12000</v>
      </c>
      <c r="L5114" s="3">
        <v>7800</v>
      </c>
    </row>
    <row r="5115" spans="1:12" x14ac:dyDescent="0.25">
      <c r="A5115" t="s">
        <v>27</v>
      </c>
      <c r="B5115">
        <v>1197831</v>
      </c>
      <c r="C5115" s="1">
        <v>44421</v>
      </c>
      <c r="D5115" t="s">
        <v>57</v>
      </c>
      <c r="E5115" t="s">
        <v>72</v>
      </c>
      <c r="F5115" t="s">
        <v>73</v>
      </c>
      <c r="G5115" t="s">
        <v>41</v>
      </c>
      <c r="H5115" t="s">
        <v>22</v>
      </c>
      <c r="I5115" s="3">
        <v>50</v>
      </c>
      <c r="J5115" s="2">
        <v>275</v>
      </c>
      <c r="K5115" s="3">
        <f t="shared" si="79"/>
        <v>13750</v>
      </c>
      <c r="L5115" s="3">
        <v>8937.5</v>
      </c>
    </row>
    <row r="5116" spans="1:12" x14ac:dyDescent="0.25">
      <c r="A5116" t="s">
        <v>27</v>
      </c>
      <c r="B5116">
        <v>1197831</v>
      </c>
      <c r="C5116" s="1">
        <v>44421</v>
      </c>
      <c r="D5116" t="s">
        <v>57</v>
      </c>
      <c r="E5116" t="s">
        <v>72</v>
      </c>
      <c r="F5116" t="s">
        <v>73</v>
      </c>
      <c r="G5116" t="s">
        <v>41</v>
      </c>
      <c r="H5116" t="s">
        <v>16</v>
      </c>
      <c r="I5116" s="3">
        <v>55.000000000000007</v>
      </c>
      <c r="J5116" s="2">
        <v>450</v>
      </c>
      <c r="K5116" s="3">
        <f t="shared" si="79"/>
        <v>24750.000000000004</v>
      </c>
      <c r="L5116" s="3">
        <v>16087.500000000004</v>
      </c>
    </row>
    <row r="5117" spans="1:12" x14ac:dyDescent="0.25">
      <c r="A5117" t="s">
        <v>26</v>
      </c>
      <c r="B5117">
        <v>1128299</v>
      </c>
      <c r="C5117" s="1">
        <v>44421</v>
      </c>
      <c r="D5117" t="s">
        <v>32</v>
      </c>
      <c r="E5117" t="s">
        <v>44</v>
      </c>
      <c r="F5117" t="s">
        <v>45</v>
      </c>
      <c r="G5117" t="s">
        <v>41</v>
      </c>
      <c r="H5117" t="s">
        <v>38</v>
      </c>
      <c r="I5117" s="3">
        <v>55.000000000000007</v>
      </c>
      <c r="J5117" s="2">
        <v>675</v>
      </c>
      <c r="K5117" s="3">
        <f t="shared" si="79"/>
        <v>37125.000000000007</v>
      </c>
      <c r="L5117" s="3">
        <v>22275.000000000004</v>
      </c>
    </row>
    <row r="5118" spans="1:12" x14ac:dyDescent="0.25">
      <c r="A5118" t="s">
        <v>26</v>
      </c>
      <c r="B5118">
        <v>1128299</v>
      </c>
      <c r="C5118" s="1">
        <v>44421</v>
      </c>
      <c r="D5118" t="s">
        <v>32</v>
      </c>
      <c r="E5118" t="s">
        <v>44</v>
      </c>
      <c r="F5118" t="s">
        <v>45</v>
      </c>
      <c r="G5118" t="s">
        <v>41</v>
      </c>
      <c r="H5118" t="s">
        <v>17</v>
      </c>
      <c r="I5118" s="3">
        <v>60.000000000000007</v>
      </c>
      <c r="J5118" s="2">
        <v>625</v>
      </c>
      <c r="K5118" s="3">
        <f t="shared" si="79"/>
        <v>37500.000000000007</v>
      </c>
      <c r="L5118" s="3">
        <v>22500.000000000004</v>
      </c>
    </row>
    <row r="5119" spans="1:12" x14ac:dyDescent="0.25">
      <c r="A5119" t="s">
        <v>26</v>
      </c>
      <c r="B5119">
        <v>1128299</v>
      </c>
      <c r="C5119" s="1">
        <v>44421</v>
      </c>
      <c r="D5119" t="s">
        <v>32</v>
      </c>
      <c r="E5119" t="s">
        <v>44</v>
      </c>
      <c r="F5119" t="s">
        <v>45</v>
      </c>
      <c r="G5119" t="s">
        <v>41</v>
      </c>
      <c r="H5119" t="s">
        <v>37</v>
      </c>
      <c r="I5119" s="3">
        <v>55.000000000000007</v>
      </c>
      <c r="J5119" s="2">
        <v>450</v>
      </c>
      <c r="K5119" s="3">
        <f t="shared" si="79"/>
        <v>24750.000000000004</v>
      </c>
      <c r="L5119" s="3">
        <v>14850</v>
      </c>
    </row>
    <row r="5120" spans="1:12" x14ac:dyDescent="0.25">
      <c r="A5120" t="s">
        <v>26</v>
      </c>
      <c r="B5120">
        <v>1197831</v>
      </c>
      <c r="C5120" s="1">
        <v>44421</v>
      </c>
      <c r="D5120" t="s">
        <v>52</v>
      </c>
      <c r="E5120" t="s">
        <v>99</v>
      </c>
      <c r="F5120" t="s">
        <v>100</v>
      </c>
      <c r="G5120" t="s">
        <v>15</v>
      </c>
      <c r="H5120" t="s">
        <v>38</v>
      </c>
      <c r="I5120" s="3">
        <v>30</v>
      </c>
      <c r="J5120" s="2">
        <v>625</v>
      </c>
      <c r="K5120" s="3">
        <f t="shared" si="79"/>
        <v>18750</v>
      </c>
      <c r="L5120" s="3">
        <v>10312.500000000002</v>
      </c>
    </row>
    <row r="5121" spans="1:12" x14ac:dyDescent="0.25">
      <c r="A5121" t="s">
        <v>26</v>
      </c>
      <c r="B5121">
        <v>1128299</v>
      </c>
      <c r="C5121" s="1">
        <v>44421</v>
      </c>
      <c r="D5121" t="s">
        <v>32</v>
      </c>
      <c r="E5121" t="s">
        <v>44</v>
      </c>
      <c r="F5121" t="s">
        <v>45</v>
      </c>
      <c r="G5121" t="s">
        <v>15</v>
      </c>
      <c r="H5121" t="s">
        <v>16</v>
      </c>
      <c r="I5121" s="3">
        <v>50</v>
      </c>
      <c r="J5121" s="2">
        <v>128</v>
      </c>
      <c r="K5121" s="3">
        <f t="shared" si="79"/>
        <v>6400</v>
      </c>
      <c r="L5121" s="3">
        <v>4544</v>
      </c>
    </row>
    <row r="5122" spans="1:12" x14ac:dyDescent="0.25">
      <c r="A5122" t="s">
        <v>26</v>
      </c>
      <c r="B5122">
        <v>1128299</v>
      </c>
      <c r="C5122" s="1">
        <v>44421</v>
      </c>
      <c r="D5122" t="s">
        <v>32</v>
      </c>
      <c r="E5122" t="s">
        <v>44</v>
      </c>
      <c r="F5122" t="s">
        <v>45</v>
      </c>
      <c r="G5122" t="s">
        <v>41</v>
      </c>
      <c r="H5122" t="s">
        <v>16</v>
      </c>
      <c r="I5122" s="3">
        <v>68</v>
      </c>
      <c r="J5122" s="2">
        <v>119</v>
      </c>
      <c r="K5122" s="3">
        <f t="shared" si="79"/>
        <v>8092</v>
      </c>
      <c r="L5122" s="3">
        <v>5259.8</v>
      </c>
    </row>
    <row r="5123" spans="1:12" x14ac:dyDescent="0.25">
      <c r="A5123" t="s">
        <v>26</v>
      </c>
      <c r="B5123">
        <v>1128299</v>
      </c>
      <c r="C5123" s="1">
        <v>44421</v>
      </c>
      <c r="D5123" t="s">
        <v>32</v>
      </c>
      <c r="E5123" t="s">
        <v>44</v>
      </c>
      <c r="F5123" t="s">
        <v>45</v>
      </c>
      <c r="G5123" t="s">
        <v>15</v>
      </c>
      <c r="H5123" t="s">
        <v>22</v>
      </c>
      <c r="I5123" s="3">
        <v>51</v>
      </c>
      <c r="J5123" s="2">
        <v>140</v>
      </c>
      <c r="K5123" s="3">
        <f t="shared" ref="K5123:K5186" si="80">I5123*J5123</f>
        <v>7140</v>
      </c>
      <c r="L5123" s="3">
        <v>4355.3999999999996</v>
      </c>
    </row>
    <row r="5124" spans="1:12" x14ac:dyDescent="0.25">
      <c r="A5124" t="s">
        <v>26</v>
      </c>
      <c r="B5124">
        <v>1197831</v>
      </c>
      <c r="C5124" s="1">
        <v>44421</v>
      </c>
      <c r="D5124" t="s">
        <v>57</v>
      </c>
      <c r="E5124" t="s">
        <v>95</v>
      </c>
      <c r="F5124" t="s">
        <v>96</v>
      </c>
      <c r="G5124" t="s">
        <v>41</v>
      </c>
      <c r="H5124" t="s">
        <v>35</v>
      </c>
      <c r="I5124" s="3">
        <v>27</v>
      </c>
      <c r="J5124" s="2">
        <v>158</v>
      </c>
      <c r="K5124" s="3">
        <f t="shared" si="80"/>
        <v>4266</v>
      </c>
      <c r="L5124" s="3">
        <v>2516.94</v>
      </c>
    </row>
    <row r="5125" spans="1:12" x14ac:dyDescent="0.25">
      <c r="A5125" t="s">
        <v>26</v>
      </c>
      <c r="B5125">
        <v>1128299</v>
      </c>
      <c r="C5125" s="1">
        <v>44421</v>
      </c>
      <c r="D5125" t="s">
        <v>32</v>
      </c>
      <c r="E5125" t="s">
        <v>44</v>
      </c>
      <c r="F5125" t="s">
        <v>45</v>
      </c>
      <c r="G5125" t="s">
        <v>15</v>
      </c>
      <c r="H5125" t="s">
        <v>17</v>
      </c>
      <c r="I5125" s="3">
        <v>44</v>
      </c>
      <c r="J5125" s="2">
        <v>200</v>
      </c>
      <c r="K5125" s="3">
        <f t="shared" si="80"/>
        <v>8800</v>
      </c>
      <c r="L5125" s="3">
        <v>5104</v>
      </c>
    </row>
    <row r="5126" spans="1:12" x14ac:dyDescent="0.25">
      <c r="A5126" t="s">
        <v>26</v>
      </c>
      <c r="B5126">
        <v>1128299</v>
      </c>
      <c r="C5126" s="1">
        <v>44421</v>
      </c>
      <c r="D5126" t="s">
        <v>32</v>
      </c>
      <c r="E5126" t="s">
        <v>44</v>
      </c>
      <c r="F5126" t="s">
        <v>45</v>
      </c>
      <c r="G5126" t="s">
        <v>15</v>
      </c>
      <c r="H5126" t="s">
        <v>35</v>
      </c>
      <c r="I5126" s="3">
        <v>42</v>
      </c>
      <c r="J5126" s="2">
        <v>150</v>
      </c>
      <c r="K5126" s="3">
        <f t="shared" si="80"/>
        <v>6300</v>
      </c>
      <c r="L5126" s="3">
        <v>3654</v>
      </c>
    </row>
    <row r="5127" spans="1:12" x14ac:dyDescent="0.25">
      <c r="A5127" t="s">
        <v>27</v>
      </c>
      <c r="B5127">
        <v>1197831</v>
      </c>
      <c r="C5127" s="1">
        <v>44421</v>
      </c>
      <c r="D5127" t="s">
        <v>57</v>
      </c>
      <c r="E5127" t="s">
        <v>72</v>
      </c>
      <c r="F5127" t="s">
        <v>73</v>
      </c>
      <c r="G5127" t="s">
        <v>41</v>
      </c>
      <c r="H5127" t="s">
        <v>17</v>
      </c>
      <c r="I5127" s="3">
        <v>51</v>
      </c>
      <c r="J5127" s="2">
        <v>111</v>
      </c>
      <c r="K5127" s="3">
        <f t="shared" si="80"/>
        <v>5661</v>
      </c>
      <c r="L5127" s="3">
        <v>3113.55</v>
      </c>
    </row>
    <row r="5128" spans="1:12" x14ac:dyDescent="0.25">
      <c r="A5128" t="s">
        <v>26</v>
      </c>
      <c r="B5128">
        <v>1128299</v>
      </c>
      <c r="C5128" s="1">
        <v>44421</v>
      </c>
      <c r="D5128" t="s">
        <v>32</v>
      </c>
      <c r="E5128" t="s">
        <v>44</v>
      </c>
      <c r="F5128" t="s">
        <v>45</v>
      </c>
      <c r="G5128" t="s">
        <v>15</v>
      </c>
      <c r="H5128" t="s">
        <v>37</v>
      </c>
      <c r="I5128" s="3">
        <v>42</v>
      </c>
      <c r="J5128" s="2">
        <v>149</v>
      </c>
      <c r="K5128" s="3">
        <f t="shared" si="80"/>
        <v>6258</v>
      </c>
      <c r="L5128" s="3">
        <v>3441.9</v>
      </c>
    </row>
    <row r="5129" spans="1:12" x14ac:dyDescent="0.25">
      <c r="A5129" t="s">
        <v>26</v>
      </c>
      <c r="B5129">
        <v>1128299</v>
      </c>
      <c r="C5129" s="1">
        <v>44421</v>
      </c>
      <c r="D5129" t="s">
        <v>32</v>
      </c>
      <c r="E5129" t="s">
        <v>44</v>
      </c>
      <c r="F5129" t="s">
        <v>45</v>
      </c>
      <c r="G5129" t="s">
        <v>41</v>
      </c>
      <c r="H5129" t="s">
        <v>35</v>
      </c>
      <c r="I5129" s="3">
        <v>54</v>
      </c>
      <c r="J5129" s="2">
        <v>150</v>
      </c>
      <c r="K5129" s="3">
        <f t="shared" si="80"/>
        <v>8100</v>
      </c>
      <c r="L5129" s="3">
        <v>4374</v>
      </c>
    </row>
    <row r="5130" spans="1:12" x14ac:dyDescent="0.25">
      <c r="A5130" t="s">
        <v>26</v>
      </c>
      <c r="B5130">
        <v>1128299</v>
      </c>
      <c r="C5130" s="1">
        <v>44421</v>
      </c>
      <c r="D5130" t="s">
        <v>32</v>
      </c>
      <c r="E5130" t="s">
        <v>44</v>
      </c>
      <c r="F5130" t="s">
        <v>45</v>
      </c>
      <c r="G5130" t="s">
        <v>15</v>
      </c>
      <c r="H5130" t="s">
        <v>38</v>
      </c>
      <c r="I5130" s="3">
        <v>39</v>
      </c>
      <c r="J5130" s="2">
        <v>209</v>
      </c>
      <c r="K5130" s="3">
        <f t="shared" si="80"/>
        <v>8151</v>
      </c>
      <c r="L5130" s="3">
        <v>4401.54</v>
      </c>
    </row>
    <row r="5131" spans="1:12" x14ac:dyDescent="0.25">
      <c r="A5131" t="s">
        <v>26</v>
      </c>
      <c r="B5131">
        <v>1128299</v>
      </c>
      <c r="C5131" s="1">
        <v>44421</v>
      </c>
      <c r="D5131" t="s">
        <v>32</v>
      </c>
      <c r="E5131" t="s">
        <v>44</v>
      </c>
      <c r="F5131" t="s">
        <v>45</v>
      </c>
      <c r="G5131" t="s">
        <v>41</v>
      </c>
      <c r="H5131" t="s">
        <v>22</v>
      </c>
      <c r="I5131" s="3">
        <v>60</v>
      </c>
      <c r="J5131" s="2">
        <v>126</v>
      </c>
      <c r="K5131" s="3">
        <f t="shared" si="80"/>
        <v>7560</v>
      </c>
      <c r="L5131" s="3">
        <v>3931.2000000000003</v>
      </c>
    </row>
    <row r="5132" spans="1:12" x14ac:dyDescent="0.25">
      <c r="A5132" t="s">
        <v>26</v>
      </c>
      <c r="B5132">
        <v>1197831</v>
      </c>
      <c r="C5132" s="1">
        <v>44421</v>
      </c>
      <c r="D5132" t="s">
        <v>52</v>
      </c>
      <c r="E5132" t="s">
        <v>99</v>
      </c>
      <c r="F5132" t="s">
        <v>100</v>
      </c>
      <c r="G5132" t="s">
        <v>15</v>
      </c>
      <c r="H5132" t="s">
        <v>38</v>
      </c>
      <c r="I5132" s="3">
        <v>23</v>
      </c>
      <c r="J5132" s="2">
        <v>194</v>
      </c>
      <c r="K5132" s="3">
        <f t="shared" si="80"/>
        <v>4462</v>
      </c>
      <c r="L5132" s="3">
        <v>2275.6200000000003</v>
      </c>
    </row>
    <row r="5133" spans="1:12" x14ac:dyDescent="0.25">
      <c r="A5133" t="s">
        <v>27</v>
      </c>
      <c r="B5133">
        <v>1197831</v>
      </c>
      <c r="C5133" s="1">
        <v>44421</v>
      </c>
      <c r="D5133" t="s">
        <v>57</v>
      </c>
      <c r="E5133" t="s">
        <v>72</v>
      </c>
      <c r="F5133" t="s">
        <v>73</v>
      </c>
      <c r="G5133" t="s">
        <v>41</v>
      </c>
      <c r="H5133" t="s">
        <v>37</v>
      </c>
      <c r="I5133" s="3">
        <v>37</v>
      </c>
      <c r="J5133" s="2">
        <v>90</v>
      </c>
      <c r="K5133" s="3">
        <f t="shared" si="80"/>
        <v>3330</v>
      </c>
      <c r="L5133" s="3">
        <v>1698.3</v>
      </c>
    </row>
    <row r="5134" spans="1:12" x14ac:dyDescent="0.25">
      <c r="A5134" t="s">
        <v>27</v>
      </c>
      <c r="B5134">
        <v>1197831</v>
      </c>
      <c r="C5134" s="1">
        <v>44421</v>
      </c>
      <c r="D5134" t="s">
        <v>57</v>
      </c>
      <c r="E5134" t="s">
        <v>72</v>
      </c>
      <c r="F5134" t="s">
        <v>73</v>
      </c>
      <c r="G5134" t="s">
        <v>41</v>
      </c>
      <c r="H5134" t="s">
        <v>38</v>
      </c>
      <c r="I5134" s="3">
        <v>56</v>
      </c>
      <c r="J5134" s="2">
        <v>189</v>
      </c>
      <c r="K5134" s="3">
        <f t="shared" si="80"/>
        <v>10584</v>
      </c>
      <c r="L5134" s="3">
        <v>5292</v>
      </c>
    </row>
    <row r="5135" spans="1:12" x14ac:dyDescent="0.25">
      <c r="A5135" t="s">
        <v>27</v>
      </c>
      <c r="B5135">
        <v>1197831</v>
      </c>
      <c r="C5135" s="1">
        <v>44421</v>
      </c>
      <c r="D5135" t="s">
        <v>57</v>
      </c>
      <c r="E5135" t="s">
        <v>72</v>
      </c>
      <c r="F5135" t="s">
        <v>73</v>
      </c>
      <c r="G5135" t="s">
        <v>41</v>
      </c>
      <c r="H5135" t="s">
        <v>35</v>
      </c>
      <c r="I5135" s="3">
        <v>47</v>
      </c>
      <c r="J5135" s="2">
        <v>102</v>
      </c>
      <c r="K5135" s="3">
        <f t="shared" si="80"/>
        <v>4794</v>
      </c>
      <c r="L5135" s="3">
        <v>2397</v>
      </c>
    </row>
    <row r="5136" spans="1:12" x14ac:dyDescent="0.25">
      <c r="A5136" t="s">
        <v>27</v>
      </c>
      <c r="B5136">
        <v>1197831</v>
      </c>
      <c r="C5136" s="1">
        <v>44421</v>
      </c>
      <c r="D5136" t="s">
        <v>57</v>
      </c>
      <c r="E5136" t="s">
        <v>72</v>
      </c>
      <c r="F5136" t="s">
        <v>73</v>
      </c>
      <c r="G5136" t="s">
        <v>41</v>
      </c>
      <c r="H5136" t="s">
        <v>22</v>
      </c>
      <c r="I5136" s="3">
        <v>47</v>
      </c>
      <c r="J5136" s="2">
        <v>69</v>
      </c>
      <c r="K5136" s="3">
        <f t="shared" si="80"/>
        <v>3243</v>
      </c>
      <c r="L5136" s="3">
        <v>1621.5</v>
      </c>
    </row>
    <row r="5137" spans="1:12" x14ac:dyDescent="0.25">
      <c r="A5137" t="s">
        <v>27</v>
      </c>
      <c r="B5137">
        <v>1197831</v>
      </c>
      <c r="C5137" s="1">
        <v>44421</v>
      </c>
      <c r="D5137" t="s">
        <v>57</v>
      </c>
      <c r="E5137" t="s">
        <v>72</v>
      </c>
      <c r="F5137" t="s">
        <v>73</v>
      </c>
      <c r="G5137" t="s">
        <v>41</v>
      </c>
      <c r="H5137" t="s">
        <v>16</v>
      </c>
      <c r="I5137" s="3">
        <v>52</v>
      </c>
      <c r="J5137" s="2">
        <v>113</v>
      </c>
      <c r="K5137" s="3">
        <f t="shared" si="80"/>
        <v>5876</v>
      </c>
      <c r="L5137" s="3">
        <v>2938</v>
      </c>
    </row>
    <row r="5138" spans="1:12" x14ac:dyDescent="0.25">
      <c r="A5138" t="s">
        <v>26</v>
      </c>
      <c r="B5138">
        <v>1128299</v>
      </c>
      <c r="C5138" s="1">
        <v>44421</v>
      </c>
      <c r="D5138" t="s">
        <v>32</v>
      </c>
      <c r="E5138" t="s">
        <v>44</v>
      </c>
      <c r="F5138" t="s">
        <v>45</v>
      </c>
      <c r="G5138" t="s">
        <v>41</v>
      </c>
      <c r="H5138" t="s">
        <v>38</v>
      </c>
      <c r="I5138" s="3">
        <v>53</v>
      </c>
      <c r="J5138" s="2">
        <v>182</v>
      </c>
      <c r="K5138" s="3">
        <f t="shared" si="80"/>
        <v>9646</v>
      </c>
      <c r="L5138" s="3">
        <v>4726.54</v>
      </c>
    </row>
    <row r="5139" spans="1:12" x14ac:dyDescent="0.25">
      <c r="A5139" t="s">
        <v>26</v>
      </c>
      <c r="B5139">
        <v>1128299</v>
      </c>
      <c r="C5139" s="1">
        <v>44421</v>
      </c>
      <c r="D5139" t="s">
        <v>32</v>
      </c>
      <c r="E5139" t="s">
        <v>44</v>
      </c>
      <c r="F5139" t="s">
        <v>45</v>
      </c>
      <c r="G5139" t="s">
        <v>41</v>
      </c>
      <c r="H5139" t="s">
        <v>17</v>
      </c>
      <c r="I5139" s="3">
        <v>58</v>
      </c>
      <c r="J5139" s="2">
        <v>175</v>
      </c>
      <c r="K5139" s="3">
        <f t="shared" si="80"/>
        <v>10150</v>
      </c>
      <c r="L5139" s="3">
        <v>4872</v>
      </c>
    </row>
    <row r="5140" spans="1:12" x14ac:dyDescent="0.25">
      <c r="A5140" t="s">
        <v>26</v>
      </c>
      <c r="B5140">
        <v>1128299</v>
      </c>
      <c r="C5140" s="1">
        <v>44421</v>
      </c>
      <c r="D5140" t="s">
        <v>32</v>
      </c>
      <c r="E5140" t="s">
        <v>44</v>
      </c>
      <c r="F5140" t="s">
        <v>45</v>
      </c>
      <c r="G5140" t="s">
        <v>41</v>
      </c>
      <c r="H5140" t="s">
        <v>37</v>
      </c>
      <c r="I5140" s="3">
        <v>53</v>
      </c>
      <c r="J5140" s="2">
        <v>113</v>
      </c>
      <c r="K5140" s="3">
        <f t="shared" si="80"/>
        <v>5989</v>
      </c>
      <c r="L5140" s="3">
        <v>2874.72</v>
      </c>
    </row>
    <row r="5141" spans="1:12" x14ac:dyDescent="0.25">
      <c r="A5141" t="s">
        <v>26</v>
      </c>
      <c r="B5141">
        <v>1197831</v>
      </c>
      <c r="C5141" s="1">
        <v>44421</v>
      </c>
      <c r="D5141" t="s">
        <v>52</v>
      </c>
      <c r="E5141" t="s">
        <v>99</v>
      </c>
      <c r="F5141" t="s">
        <v>100</v>
      </c>
      <c r="G5141" t="s">
        <v>41</v>
      </c>
      <c r="H5141" t="s">
        <v>38</v>
      </c>
      <c r="I5141" s="3">
        <v>28</v>
      </c>
      <c r="J5141" s="2">
        <v>163</v>
      </c>
      <c r="K5141" s="3">
        <f t="shared" si="80"/>
        <v>4564</v>
      </c>
      <c r="L5141" s="3">
        <v>2053.8000000000002</v>
      </c>
    </row>
    <row r="5142" spans="1:12" x14ac:dyDescent="0.25">
      <c r="A5142" t="s">
        <v>26</v>
      </c>
      <c r="B5142">
        <v>1185732</v>
      </c>
      <c r="C5142" s="1">
        <v>44422</v>
      </c>
      <c r="D5142" t="s">
        <v>29</v>
      </c>
      <c r="E5142" t="s">
        <v>50</v>
      </c>
      <c r="F5142" t="s">
        <v>51</v>
      </c>
      <c r="G5142" t="s">
        <v>18</v>
      </c>
      <c r="H5142" t="s">
        <v>35</v>
      </c>
      <c r="I5142" s="3">
        <v>45</v>
      </c>
      <c r="J5142" s="2">
        <v>275</v>
      </c>
      <c r="K5142" s="3">
        <f t="shared" si="80"/>
        <v>12375</v>
      </c>
      <c r="L5142" s="3">
        <v>9281.25</v>
      </c>
    </row>
    <row r="5143" spans="1:12" x14ac:dyDescent="0.25">
      <c r="A5143" t="s">
        <v>26</v>
      </c>
      <c r="B5143">
        <v>1185732</v>
      </c>
      <c r="C5143" s="1">
        <v>44422</v>
      </c>
      <c r="D5143" t="s">
        <v>29</v>
      </c>
      <c r="E5143" t="s">
        <v>50</v>
      </c>
      <c r="F5143" t="s">
        <v>51</v>
      </c>
      <c r="G5143" t="s">
        <v>18</v>
      </c>
      <c r="H5143" t="s">
        <v>37</v>
      </c>
      <c r="I5143" s="3">
        <v>45</v>
      </c>
      <c r="J5143" s="2">
        <v>175</v>
      </c>
      <c r="K5143" s="3">
        <f t="shared" si="80"/>
        <v>7875</v>
      </c>
      <c r="L5143" s="3">
        <v>5906.25</v>
      </c>
    </row>
    <row r="5144" spans="1:12" x14ac:dyDescent="0.25">
      <c r="A5144" t="s">
        <v>26</v>
      </c>
      <c r="B5144">
        <v>1185732</v>
      </c>
      <c r="C5144" s="1">
        <v>44422</v>
      </c>
      <c r="D5144" t="s">
        <v>29</v>
      </c>
      <c r="E5144" t="s">
        <v>50</v>
      </c>
      <c r="F5144" t="s">
        <v>51</v>
      </c>
      <c r="G5144" t="s">
        <v>18</v>
      </c>
      <c r="H5144" t="s">
        <v>22</v>
      </c>
      <c r="I5144" s="3">
        <v>54.999999999999993</v>
      </c>
      <c r="J5144" s="2">
        <v>150</v>
      </c>
      <c r="K5144" s="3">
        <f t="shared" si="80"/>
        <v>8249.9999999999982</v>
      </c>
      <c r="L5144" s="3">
        <v>6187.4999999999982</v>
      </c>
    </row>
    <row r="5145" spans="1:12" x14ac:dyDescent="0.25">
      <c r="A5145" t="s">
        <v>19</v>
      </c>
      <c r="B5145">
        <v>1185732</v>
      </c>
      <c r="C5145" s="1">
        <v>44422</v>
      </c>
      <c r="D5145" t="s">
        <v>29</v>
      </c>
      <c r="E5145" t="s">
        <v>89</v>
      </c>
      <c r="F5145" t="s">
        <v>90</v>
      </c>
      <c r="G5145" t="s">
        <v>18</v>
      </c>
      <c r="H5145" t="s">
        <v>22</v>
      </c>
      <c r="I5145" s="3">
        <v>54.999999999999993</v>
      </c>
      <c r="J5145" s="2">
        <v>225</v>
      </c>
      <c r="K5145" s="3">
        <f t="shared" si="80"/>
        <v>12374.999999999998</v>
      </c>
      <c r="L5145" s="3">
        <v>8662.5</v>
      </c>
    </row>
    <row r="5146" spans="1:12" x14ac:dyDescent="0.25">
      <c r="A5146" t="s">
        <v>26</v>
      </c>
      <c r="B5146">
        <v>1185732</v>
      </c>
      <c r="C5146" s="1">
        <v>44422</v>
      </c>
      <c r="D5146" t="s">
        <v>29</v>
      </c>
      <c r="E5146" t="s">
        <v>50</v>
      </c>
      <c r="F5146" t="s">
        <v>51</v>
      </c>
      <c r="G5146" t="s">
        <v>18</v>
      </c>
      <c r="H5146" t="s">
        <v>17</v>
      </c>
      <c r="I5146" s="3">
        <v>50</v>
      </c>
      <c r="J5146" s="2">
        <v>350</v>
      </c>
      <c r="K5146" s="3">
        <f t="shared" si="80"/>
        <v>17500</v>
      </c>
      <c r="L5146" s="3">
        <v>12250</v>
      </c>
    </row>
    <row r="5147" spans="1:12" x14ac:dyDescent="0.25">
      <c r="A5147" t="s">
        <v>26</v>
      </c>
      <c r="B5147">
        <v>1185732</v>
      </c>
      <c r="C5147" s="1">
        <v>44422</v>
      </c>
      <c r="D5147" t="s">
        <v>29</v>
      </c>
      <c r="E5147" t="s">
        <v>50</v>
      </c>
      <c r="F5147" t="s">
        <v>51</v>
      </c>
      <c r="G5147" t="s">
        <v>18</v>
      </c>
      <c r="H5147" t="s">
        <v>16</v>
      </c>
      <c r="I5147" s="3">
        <v>60</v>
      </c>
      <c r="J5147" s="2">
        <v>325</v>
      </c>
      <c r="K5147" s="3">
        <f t="shared" si="80"/>
        <v>19500</v>
      </c>
      <c r="L5147" s="3">
        <v>13650</v>
      </c>
    </row>
    <row r="5148" spans="1:12" x14ac:dyDescent="0.25">
      <c r="A5148" t="s">
        <v>26</v>
      </c>
      <c r="B5148">
        <v>1185732</v>
      </c>
      <c r="C5148" s="1">
        <v>44422</v>
      </c>
      <c r="D5148" t="s">
        <v>29</v>
      </c>
      <c r="E5148" t="s">
        <v>50</v>
      </c>
      <c r="F5148" t="s">
        <v>51</v>
      </c>
      <c r="G5148" t="s">
        <v>18</v>
      </c>
      <c r="H5148" t="s">
        <v>38</v>
      </c>
      <c r="I5148" s="3">
        <v>54.999999999999993</v>
      </c>
      <c r="J5148" s="2">
        <v>575</v>
      </c>
      <c r="K5148" s="3">
        <f t="shared" si="80"/>
        <v>31624.999999999996</v>
      </c>
      <c r="L5148" s="3">
        <v>22137.499999999993</v>
      </c>
    </row>
    <row r="5149" spans="1:12" x14ac:dyDescent="0.25">
      <c r="A5149" t="s">
        <v>19</v>
      </c>
      <c r="B5149">
        <v>1185732</v>
      </c>
      <c r="C5149" s="1">
        <v>44422</v>
      </c>
      <c r="D5149" t="s">
        <v>29</v>
      </c>
      <c r="E5149" t="s">
        <v>89</v>
      </c>
      <c r="F5149" t="s">
        <v>90</v>
      </c>
      <c r="G5149" t="s">
        <v>18</v>
      </c>
      <c r="H5149" t="s">
        <v>38</v>
      </c>
      <c r="I5149" s="3">
        <v>54.999999999999993</v>
      </c>
      <c r="J5149" s="2">
        <v>650</v>
      </c>
      <c r="K5149" s="3">
        <f t="shared" si="80"/>
        <v>35749.999999999993</v>
      </c>
      <c r="L5149" s="3">
        <v>23237.499999999996</v>
      </c>
    </row>
    <row r="5150" spans="1:12" x14ac:dyDescent="0.25">
      <c r="A5150" t="s">
        <v>19</v>
      </c>
      <c r="B5150">
        <v>1185732</v>
      </c>
      <c r="C5150" s="1">
        <v>44422</v>
      </c>
      <c r="D5150" t="s">
        <v>29</v>
      </c>
      <c r="E5150" t="s">
        <v>89</v>
      </c>
      <c r="F5150" t="s">
        <v>90</v>
      </c>
      <c r="G5150" t="s">
        <v>18</v>
      </c>
      <c r="H5150" t="s">
        <v>17</v>
      </c>
      <c r="I5150" s="3">
        <v>50</v>
      </c>
      <c r="J5150" s="2">
        <v>425</v>
      </c>
      <c r="K5150" s="3">
        <f t="shared" si="80"/>
        <v>21250</v>
      </c>
      <c r="L5150" s="3">
        <v>13812.5</v>
      </c>
    </row>
    <row r="5151" spans="1:12" x14ac:dyDescent="0.25">
      <c r="A5151" t="s">
        <v>26</v>
      </c>
      <c r="B5151">
        <v>1197831</v>
      </c>
      <c r="C5151" s="1">
        <v>44422</v>
      </c>
      <c r="D5151" t="s">
        <v>57</v>
      </c>
      <c r="E5151" t="s">
        <v>95</v>
      </c>
      <c r="F5151" t="s">
        <v>96</v>
      </c>
      <c r="G5151" t="s">
        <v>15</v>
      </c>
      <c r="H5151" t="s">
        <v>37</v>
      </c>
      <c r="I5151" s="3">
        <v>35</v>
      </c>
      <c r="J5151" s="2">
        <v>525</v>
      </c>
      <c r="K5151" s="3">
        <f t="shared" si="80"/>
        <v>18375</v>
      </c>
      <c r="L5151" s="3">
        <v>11025</v>
      </c>
    </row>
    <row r="5152" spans="1:12" x14ac:dyDescent="0.25">
      <c r="A5152" t="s">
        <v>19</v>
      </c>
      <c r="B5152">
        <v>1185732</v>
      </c>
      <c r="C5152" s="1">
        <v>44422</v>
      </c>
      <c r="D5152" t="s">
        <v>29</v>
      </c>
      <c r="E5152" t="s">
        <v>89</v>
      </c>
      <c r="F5152" t="s">
        <v>90</v>
      </c>
      <c r="G5152" t="s">
        <v>18</v>
      </c>
      <c r="H5152" t="s">
        <v>35</v>
      </c>
      <c r="I5152" s="3">
        <v>45</v>
      </c>
      <c r="J5152" s="2">
        <v>350</v>
      </c>
      <c r="K5152" s="3">
        <f t="shared" si="80"/>
        <v>15750</v>
      </c>
      <c r="L5152" s="3">
        <v>9450</v>
      </c>
    </row>
    <row r="5153" spans="1:12" x14ac:dyDescent="0.25">
      <c r="A5153" t="s">
        <v>19</v>
      </c>
      <c r="B5153">
        <v>1185732</v>
      </c>
      <c r="C5153" s="1">
        <v>44422</v>
      </c>
      <c r="D5153" t="s">
        <v>29</v>
      </c>
      <c r="E5153" t="s">
        <v>89</v>
      </c>
      <c r="F5153" t="s">
        <v>90</v>
      </c>
      <c r="G5153" t="s">
        <v>18</v>
      </c>
      <c r="H5153" t="s">
        <v>37</v>
      </c>
      <c r="I5153" s="3">
        <v>45</v>
      </c>
      <c r="J5153" s="2">
        <v>250</v>
      </c>
      <c r="K5153" s="3">
        <f t="shared" si="80"/>
        <v>11250</v>
      </c>
      <c r="L5153" s="3">
        <v>6750</v>
      </c>
    </row>
    <row r="5154" spans="1:12" x14ac:dyDescent="0.25">
      <c r="A5154" t="s">
        <v>19</v>
      </c>
      <c r="B5154">
        <v>1185732</v>
      </c>
      <c r="C5154" s="1">
        <v>44422</v>
      </c>
      <c r="D5154" t="s">
        <v>29</v>
      </c>
      <c r="E5154" t="s">
        <v>89</v>
      </c>
      <c r="F5154" t="s">
        <v>90</v>
      </c>
      <c r="G5154" t="s">
        <v>18</v>
      </c>
      <c r="H5154" t="s">
        <v>16</v>
      </c>
      <c r="I5154" s="3">
        <v>60</v>
      </c>
      <c r="J5154" s="2">
        <v>400</v>
      </c>
      <c r="K5154" s="3">
        <f t="shared" si="80"/>
        <v>24000</v>
      </c>
      <c r="L5154" s="3">
        <v>14400</v>
      </c>
    </row>
    <row r="5155" spans="1:12" x14ac:dyDescent="0.25">
      <c r="A5155" t="s">
        <v>26</v>
      </c>
      <c r="B5155">
        <v>1197831</v>
      </c>
      <c r="C5155" s="1">
        <v>44422</v>
      </c>
      <c r="D5155" t="s">
        <v>52</v>
      </c>
      <c r="E5155" t="s">
        <v>99</v>
      </c>
      <c r="F5155" t="s">
        <v>100</v>
      </c>
      <c r="G5155" t="s">
        <v>15</v>
      </c>
      <c r="H5155" t="s">
        <v>17</v>
      </c>
      <c r="I5155" s="3">
        <v>40</v>
      </c>
      <c r="J5155" s="2">
        <v>625</v>
      </c>
      <c r="K5155" s="3">
        <f t="shared" si="80"/>
        <v>25000</v>
      </c>
      <c r="L5155" s="3">
        <v>13750</v>
      </c>
    </row>
    <row r="5156" spans="1:12" x14ac:dyDescent="0.25">
      <c r="A5156" t="s">
        <v>26</v>
      </c>
      <c r="B5156">
        <v>1185732</v>
      </c>
      <c r="C5156" s="1">
        <v>44422</v>
      </c>
      <c r="D5156" t="s">
        <v>29</v>
      </c>
      <c r="E5156" t="s">
        <v>50</v>
      </c>
      <c r="F5156" t="s">
        <v>51</v>
      </c>
      <c r="G5156" t="s">
        <v>15</v>
      </c>
      <c r="H5156" t="s">
        <v>22</v>
      </c>
      <c r="I5156" s="3">
        <v>40</v>
      </c>
      <c r="J5156" s="2">
        <v>51</v>
      </c>
      <c r="K5156" s="3">
        <f t="shared" si="80"/>
        <v>2040</v>
      </c>
      <c r="L5156" s="3">
        <v>1489.1999999999998</v>
      </c>
    </row>
    <row r="5157" spans="1:12" x14ac:dyDescent="0.25">
      <c r="A5157" t="s">
        <v>26</v>
      </c>
      <c r="B5157">
        <v>1185732</v>
      </c>
      <c r="C5157" s="1">
        <v>44422</v>
      </c>
      <c r="D5157" t="s">
        <v>29</v>
      </c>
      <c r="E5157" t="s">
        <v>50</v>
      </c>
      <c r="F5157" t="s">
        <v>51</v>
      </c>
      <c r="G5157" t="s">
        <v>15</v>
      </c>
      <c r="H5157" t="s">
        <v>37</v>
      </c>
      <c r="I5157" s="3">
        <v>31</v>
      </c>
      <c r="J5157" s="2">
        <v>58</v>
      </c>
      <c r="K5157" s="3">
        <f t="shared" si="80"/>
        <v>1798</v>
      </c>
      <c r="L5157" s="3">
        <v>1294.56</v>
      </c>
    </row>
    <row r="5158" spans="1:12" x14ac:dyDescent="0.25">
      <c r="A5158" t="s">
        <v>26</v>
      </c>
      <c r="B5158">
        <v>1185732</v>
      </c>
      <c r="C5158" s="1">
        <v>44422</v>
      </c>
      <c r="D5158" t="s">
        <v>29</v>
      </c>
      <c r="E5158" t="s">
        <v>50</v>
      </c>
      <c r="F5158" t="s">
        <v>51</v>
      </c>
      <c r="G5158" t="s">
        <v>15</v>
      </c>
      <c r="H5158" t="s">
        <v>35</v>
      </c>
      <c r="I5158" s="3">
        <v>29</v>
      </c>
      <c r="J5158" s="2">
        <v>85</v>
      </c>
      <c r="K5158" s="3">
        <f t="shared" si="80"/>
        <v>2465</v>
      </c>
      <c r="L5158" s="3">
        <v>1700.85</v>
      </c>
    </row>
    <row r="5159" spans="1:12" x14ac:dyDescent="0.25">
      <c r="A5159" t="s">
        <v>26</v>
      </c>
      <c r="B5159">
        <v>1185732</v>
      </c>
      <c r="C5159" s="1">
        <v>44422</v>
      </c>
      <c r="D5159" t="s">
        <v>29</v>
      </c>
      <c r="E5159" t="s">
        <v>50</v>
      </c>
      <c r="F5159" t="s">
        <v>51</v>
      </c>
      <c r="G5159" t="s">
        <v>15</v>
      </c>
      <c r="H5159" t="s">
        <v>17</v>
      </c>
      <c r="I5159" s="3">
        <v>33</v>
      </c>
      <c r="J5159" s="2">
        <v>112</v>
      </c>
      <c r="K5159" s="3">
        <f t="shared" si="80"/>
        <v>3696</v>
      </c>
      <c r="L5159" s="3">
        <v>2513.2799999999997</v>
      </c>
    </row>
    <row r="5160" spans="1:12" x14ac:dyDescent="0.25">
      <c r="A5160" t="s">
        <v>26</v>
      </c>
      <c r="B5160">
        <v>1185732</v>
      </c>
      <c r="C5160" s="1">
        <v>44422</v>
      </c>
      <c r="D5160" t="s">
        <v>29</v>
      </c>
      <c r="E5160" t="s">
        <v>50</v>
      </c>
      <c r="F5160" t="s">
        <v>51</v>
      </c>
      <c r="G5160" t="s">
        <v>15</v>
      </c>
      <c r="H5160" t="s">
        <v>38</v>
      </c>
      <c r="I5160" s="3">
        <v>40</v>
      </c>
      <c r="J5160" s="2">
        <v>196</v>
      </c>
      <c r="K5160" s="3">
        <f t="shared" si="80"/>
        <v>7840</v>
      </c>
      <c r="L5160" s="3">
        <v>5252.8</v>
      </c>
    </row>
    <row r="5161" spans="1:12" x14ac:dyDescent="0.25">
      <c r="A5161" t="s">
        <v>26</v>
      </c>
      <c r="B5161">
        <v>1185732</v>
      </c>
      <c r="C5161" s="1">
        <v>44422</v>
      </c>
      <c r="D5161" t="s">
        <v>29</v>
      </c>
      <c r="E5161" t="s">
        <v>50</v>
      </c>
      <c r="F5161" t="s">
        <v>51</v>
      </c>
      <c r="G5161" t="s">
        <v>41</v>
      </c>
      <c r="H5161" t="s">
        <v>35</v>
      </c>
      <c r="I5161" s="3">
        <v>42</v>
      </c>
      <c r="J5161" s="2">
        <v>69</v>
      </c>
      <c r="K5161" s="3">
        <f t="shared" si="80"/>
        <v>2898</v>
      </c>
      <c r="L5161" s="3">
        <v>1883.7</v>
      </c>
    </row>
    <row r="5162" spans="1:12" x14ac:dyDescent="0.25">
      <c r="A5162" t="s">
        <v>26</v>
      </c>
      <c r="B5162">
        <v>1185732</v>
      </c>
      <c r="C5162" s="1">
        <v>44422</v>
      </c>
      <c r="D5162" t="s">
        <v>29</v>
      </c>
      <c r="E5162" t="s">
        <v>50</v>
      </c>
      <c r="F5162" t="s">
        <v>51</v>
      </c>
      <c r="G5162" t="s">
        <v>15</v>
      </c>
      <c r="H5162" t="s">
        <v>16</v>
      </c>
      <c r="I5162" s="3">
        <v>46</v>
      </c>
      <c r="J5162" s="2">
        <v>98</v>
      </c>
      <c r="K5162" s="3">
        <f t="shared" si="80"/>
        <v>4508</v>
      </c>
      <c r="L5162" s="3">
        <v>2930.2</v>
      </c>
    </row>
    <row r="5163" spans="1:12" x14ac:dyDescent="0.25">
      <c r="A5163" t="s">
        <v>26</v>
      </c>
      <c r="B5163">
        <v>1185732</v>
      </c>
      <c r="C5163" s="1">
        <v>44422</v>
      </c>
      <c r="D5163" t="s">
        <v>29</v>
      </c>
      <c r="E5163" t="s">
        <v>50</v>
      </c>
      <c r="F5163" t="s">
        <v>51</v>
      </c>
      <c r="G5163" t="s">
        <v>41</v>
      </c>
      <c r="H5163" t="s">
        <v>37</v>
      </c>
      <c r="I5163" s="3">
        <v>42</v>
      </c>
      <c r="J5163" s="2">
        <v>51</v>
      </c>
      <c r="K5163" s="3">
        <f t="shared" si="80"/>
        <v>2142</v>
      </c>
      <c r="L5163" s="3">
        <v>1370.88</v>
      </c>
    </row>
    <row r="5164" spans="1:12" x14ac:dyDescent="0.25">
      <c r="A5164" t="s">
        <v>26</v>
      </c>
      <c r="B5164">
        <v>1185732</v>
      </c>
      <c r="C5164" s="1">
        <v>44422</v>
      </c>
      <c r="D5164" t="s">
        <v>29</v>
      </c>
      <c r="E5164" t="s">
        <v>50</v>
      </c>
      <c r="F5164" t="s">
        <v>51</v>
      </c>
      <c r="G5164" t="s">
        <v>41</v>
      </c>
      <c r="H5164" t="s">
        <v>22</v>
      </c>
      <c r="I5164" s="3">
        <v>50</v>
      </c>
      <c r="J5164" s="2">
        <v>44</v>
      </c>
      <c r="K5164" s="3">
        <f t="shared" si="80"/>
        <v>2200</v>
      </c>
      <c r="L5164" s="3">
        <v>1386</v>
      </c>
    </row>
    <row r="5165" spans="1:12" x14ac:dyDescent="0.25">
      <c r="A5165" t="s">
        <v>26</v>
      </c>
      <c r="B5165">
        <v>1185732</v>
      </c>
      <c r="C5165" s="1">
        <v>44422</v>
      </c>
      <c r="D5165" t="s">
        <v>29</v>
      </c>
      <c r="E5165" t="s">
        <v>50</v>
      </c>
      <c r="F5165" t="s">
        <v>51</v>
      </c>
      <c r="G5165" t="s">
        <v>41</v>
      </c>
      <c r="H5165" t="s">
        <v>17</v>
      </c>
      <c r="I5165" s="3">
        <v>47</v>
      </c>
      <c r="J5165" s="2">
        <v>88</v>
      </c>
      <c r="K5165" s="3">
        <f t="shared" si="80"/>
        <v>4136</v>
      </c>
      <c r="L5165" s="3">
        <v>2440.2399999999998</v>
      </c>
    </row>
    <row r="5166" spans="1:12" x14ac:dyDescent="0.25">
      <c r="A5166" t="s">
        <v>26</v>
      </c>
      <c r="B5166">
        <v>1185732</v>
      </c>
      <c r="C5166" s="1">
        <v>44422</v>
      </c>
      <c r="D5166" t="s">
        <v>29</v>
      </c>
      <c r="E5166" t="s">
        <v>50</v>
      </c>
      <c r="F5166" t="s">
        <v>51</v>
      </c>
      <c r="G5166" t="s">
        <v>41</v>
      </c>
      <c r="H5166" t="s">
        <v>38</v>
      </c>
      <c r="I5166" s="3">
        <v>50</v>
      </c>
      <c r="J5166" s="2">
        <v>161</v>
      </c>
      <c r="K5166" s="3">
        <f t="shared" si="80"/>
        <v>8050</v>
      </c>
      <c r="L5166" s="3">
        <v>4508</v>
      </c>
    </row>
    <row r="5167" spans="1:12" x14ac:dyDescent="0.25">
      <c r="A5167" t="s">
        <v>19</v>
      </c>
      <c r="B5167">
        <v>1185732</v>
      </c>
      <c r="C5167" s="1">
        <v>44422</v>
      </c>
      <c r="D5167" t="s">
        <v>29</v>
      </c>
      <c r="E5167" t="s">
        <v>89</v>
      </c>
      <c r="F5167" t="s">
        <v>90</v>
      </c>
      <c r="G5167" t="s">
        <v>41</v>
      </c>
      <c r="H5167" t="s">
        <v>22</v>
      </c>
      <c r="I5167" s="3">
        <v>50</v>
      </c>
      <c r="J5167" s="2">
        <v>63</v>
      </c>
      <c r="K5167" s="3">
        <f t="shared" si="80"/>
        <v>3150</v>
      </c>
      <c r="L5167" s="3">
        <v>1732.5000000000002</v>
      </c>
    </row>
    <row r="5168" spans="1:12" x14ac:dyDescent="0.25">
      <c r="A5168" t="s">
        <v>26</v>
      </c>
      <c r="B5168">
        <v>1185732</v>
      </c>
      <c r="C5168" s="1">
        <v>44422</v>
      </c>
      <c r="D5168" t="s">
        <v>29</v>
      </c>
      <c r="E5168" t="s">
        <v>50</v>
      </c>
      <c r="F5168" t="s">
        <v>51</v>
      </c>
      <c r="G5168" t="s">
        <v>41</v>
      </c>
      <c r="H5168" t="s">
        <v>16</v>
      </c>
      <c r="I5168" s="3">
        <v>58</v>
      </c>
      <c r="J5168" s="2">
        <v>91</v>
      </c>
      <c r="K5168" s="3">
        <f t="shared" si="80"/>
        <v>5278</v>
      </c>
      <c r="L5168" s="3">
        <v>2902.9</v>
      </c>
    </row>
    <row r="5169" spans="1:12" x14ac:dyDescent="0.25">
      <c r="A5169" t="s">
        <v>19</v>
      </c>
      <c r="B5169">
        <v>1185732</v>
      </c>
      <c r="C5169" s="1">
        <v>44422</v>
      </c>
      <c r="D5169" t="s">
        <v>29</v>
      </c>
      <c r="E5169" t="s">
        <v>89</v>
      </c>
      <c r="F5169" t="s">
        <v>90</v>
      </c>
      <c r="G5169" t="s">
        <v>41</v>
      </c>
      <c r="H5169" t="s">
        <v>17</v>
      </c>
      <c r="I5169" s="3">
        <v>47</v>
      </c>
      <c r="J5169" s="2">
        <v>128</v>
      </c>
      <c r="K5169" s="3">
        <f t="shared" si="80"/>
        <v>6016</v>
      </c>
      <c r="L5169" s="3">
        <v>3248.6400000000003</v>
      </c>
    </row>
    <row r="5170" spans="1:12" x14ac:dyDescent="0.25">
      <c r="A5170" t="s">
        <v>26</v>
      </c>
      <c r="B5170">
        <v>1197831</v>
      </c>
      <c r="C5170" s="1">
        <v>44422</v>
      </c>
      <c r="D5170" t="s">
        <v>52</v>
      </c>
      <c r="E5170" t="s">
        <v>99</v>
      </c>
      <c r="F5170" t="s">
        <v>100</v>
      </c>
      <c r="G5170" t="s">
        <v>15</v>
      </c>
      <c r="H5170" t="s">
        <v>17</v>
      </c>
      <c r="I5170" s="3">
        <v>32</v>
      </c>
      <c r="J5170" s="2">
        <v>194</v>
      </c>
      <c r="K5170" s="3">
        <f t="shared" si="80"/>
        <v>6208</v>
      </c>
      <c r="L5170" s="3">
        <v>3290.2400000000002</v>
      </c>
    </row>
    <row r="5171" spans="1:12" x14ac:dyDescent="0.25">
      <c r="A5171" t="s">
        <v>19</v>
      </c>
      <c r="B5171">
        <v>1185732</v>
      </c>
      <c r="C5171" s="1">
        <v>44422</v>
      </c>
      <c r="D5171" t="s">
        <v>29</v>
      </c>
      <c r="E5171" t="s">
        <v>89</v>
      </c>
      <c r="F5171" t="s">
        <v>90</v>
      </c>
      <c r="G5171" t="s">
        <v>41</v>
      </c>
      <c r="H5171" t="s">
        <v>38</v>
      </c>
      <c r="I5171" s="3">
        <v>50</v>
      </c>
      <c r="J5171" s="2">
        <v>163</v>
      </c>
      <c r="K5171" s="3">
        <f t="shared" si="80"/>
        <v>8150</v>
      </c>
      <c r="L5171" s="3">
        <v>4156.5</v>
      </c>
    </row>
    <row r="5172" spans="1:12" x14ac:dyDescent="0.25">
      <c r="A5172" t="s">
        <v>19</v>
      </c>
      <c r="B5172">
        <v>1185732</v>
      </c>
      <c r="C5172" s="1">
        <v>44422</v>
      </c>
      <c r="D5172" t="s">
        <v>29</v>
      </c>
      <c r="E5172" t="s">
        <v>89</v>
      </c>
      <c r="F5172" t="s">
        <v>90</v>
      </c>
      <c r="G5172" t="s">
        <v>41</v>
      </c>
      <c r="H5172" t="s">
        <v>35</v>
      </c>
      <c r="I5172" s="3">
        <v>42</v>
      </c>
      <c r="J5172" s="2">
        <v>105</v>
      </c>
      <c r="K5172" s="3">
        <f t="shared" si="80"/>
        <v>4410</v>
      </c>
      <c r="L5172" s="3">
        <v>2205</v>
      </c>
    </row>
    <row r="5173" spans="1:12" x14ac:dyDescent="0.25">
      <c r="A5173" t="s">
        <v>19</v>
      </c>
      <c r="B5173">
        <v>1185732</v>
      </c>
      <c r="C5173" s="1">
        <v>44422</v>
      </c>
      <c r="D5173" t="s">
        <v>29</v>
      </c>
      <c r="E5173" t="s">
        <v>89</v>
      </c>
      <c r="F5173" t="s">
        <v>90</v>
      </c>
      <c r="G5173" t="s">
        <v>41</v>
      </c>
      <c r="H5173" t="s">
        <v>37</v>
      </c>
      <c r="I5173" s="3">
        <v>41</v>
      </c>
      <c r="J5173" s="2">
        <v>63</v>
      </c>
      <c r="K5173" s="3">
        <f t="shared" si="80"/>
        <v>2583</v>
      </c>
      <c r="L5173" s="3">
        <v>1291.5</v>
      </c>
    </row>
    <row r="5174" spans="1:12" x14ac:dyDescent="0.25">
      <c r="A5174" t="s">
        <v>26</v>
      </c>
      <c r="B5174">
        <v>1197831</v>
      </c>
      <c r="C5174" s="1">
        <v>44422</v>
      </c>
      <c r="D5174" t="s">
        <v>57</v>
      </c>
      <c r="E5174" t="s">
        <v>95</v>
      </c>
      <c r="F5174" t="s">
        <v>96</v>
      </c>
      <c r="G5174" t="s">
        <v>41</v>
      </c>
      <c r="H5174" t="s">
        <v>37</v>
      </c>
      <c r="I5174" s="3">
        <v>34</v>
      </c>
      <c r="J5174" s="2">
        <v>152</v>
      </c>
      <c r="K5174" s="3">
        <f t="shared" si="80"/>
        <v>5168</v>
      </c>
      <c r="L5174" s="3">
        <v>2532.3200000000002</v>
      </c>
    </row>
    <row r="5175" spans="1:12" x14ac:dyDescent="0.25">
      <c r="A5175" t="s">
        <v>19</v>
      </c>
      <c r="B5175">
        <v>1185732</v>
      </c>
      <c r="C5175" s="1">
        <v>44422</v>
      </c>
      <c r="D5175" t="s">
        <v>29</v>
      </c>
      <c r="E5175" t="s">
        <v>89</v>
      </c>
      <c r="F5175" t="s">
        <v>90</v>
      </c>
      <c r="G5175" t="s">
        <v>41</v>
      </c>
      <c r="H5175" t="s">
        <v>16</v>
      </c>
      <c r="I5175" s="3">
        <v>59</v>
      </c>
      <c r="J5175" s="2">
        <v>120</v>
      </c>
      <c r="K5175" s="3">
        <f t="shared" si="80"/>
        <v>7080</v>
      </c>
      <c r="L5175" s="3">
        <v>3398.4</v>
      </c>
    </row>
    <row r="5176" spans="1:12" x14ac:dyDescent="0.25">
      <c r="A5176" t="s">
        <v>26</v>
      </c>
      <c r="B5176">
        <v>1197831</v>
      </c>
      <c r="C5176" s="1">
        <v>44422</v>
      </c>
      <c r="D5176" t="s">
        <v>52</v>
      </c>
      <c r="E5176" t="s">
        <v>99</v>
      </c>
      <c r="F5176" t="s">
        <v>100</v>
      </c>
      <c r="G5176" t="s">
        <v>41</v>
      </c>
      <c r="H5176" t="s">
        <v>17</v>
      </c>
      <c r="I5176" s="3">
        <v>36</v>
      </c>
      <c r="J5176" s="2">
        <v>188</v>
      </c>
      <c r="K5176" s="3">
        <f t="shared" si="80"/>
        <v>6768</v>
      </c>
      <c r="L5176" s="3">
        <v>3045.6000000000004</v>
      </c>
    </row>
    <row r="5177" spans="1:12" x14ac:dyDescent="0.25">
      <c r="A5177" t="s">
        <v>26</v>
      </c>
      <c r="B5177">
        <v>1197831</v>
      </c>
      <c r="C5177" s="1">
        <v>44423</v>
      </c>
      <c r="D5177" t="s">
        <v>52</v>
      </c>
      <c r="E5177" t="s">
        <v>53</v>
      </c>
      <c r="F5177" t="s">
        <v>54</v>
      </c>
      <c r="G5177" t="s">
        <v>15</v>
      </c>
      <c r="H5177" t="s">
        <v>22</v>
      </c>
      <c r="I5177" s="3">
        <v>40</v>
      </c>
      <c r="J5177" s="2">
        <v>375</v>
      </c>
      <c r="K5177" s="3">
        <f t="shared" si="80"/>
        <v>15000</v>
      </c>
      <c r="L5177" s="3">
        <v>11250</v>
      </c>
    </row>
    <row r="5178" spans="1:12" x14ac:dyDescent="0.25">
      <c r="A5178" t="s">
        <v>26</v>
      </c>
      <c r="B5178">
        <v>1197831</v>
      </c>
      <c r="C5178" s="1">
        <v>44423</v>
      </c>
      <c r="D5178" t="s">
        <v>52</v>
      </c>
      <c r="E5178" t="s">
        <v>99</v>
      </c>
      <c r="F5178" t="s">
        <v>100</v>
      </c>
      <c r="G5178" t="s">
        <v>15</v>
      </c>
      <c r="H5178" t="s">
        <v>35</v>
      </c>
      <c r="I5178" s="3">
        <v>30</v>
      </c>
      <c r="J5178" s="2">
        <v>450</v>
      </c>
      <c r="K5178" s="3">
        <f t="shared" si="80"/>
        <v>13500</v>
      </c>
      <c r="L5178" s="3">
        <v>7425</v>
      </c>
    </row>
    <row r="5179" spans="1:12" x14ac:dyDescent="0.25">
      <c r="A5179" t="s">
        <v>26</v>
      </c>
      <c r="B5179">
        <v>1197831</v>
      </c>
      <c r="C5179" s="1">
        <v>44423</v>
      </c>
      <c r="D5179" t="s">
        <v>52</v>
      </c>
      <c r="E5179" t="s">
        <v>53</v>
      </c>
      <c r="F5179" t="s">
        <v>54</v>
      </c>
      <c r="G5179" t="s">
        <v>15</v>
      </c>
      <c r="H5179" t="s">
        <v>22</v>
      </c>
      <c r="I5179" s="3">
        <v>26</v>
      </c>
      <c r="J5179" s="2">
        <v>113</v>
      </c>
      <c r="K5179" s="3">
        <f t="shared" si="80"/>
        <v>2938</v>
      </c>
      <c r="L5179" s="3">
        <v>2144.7399999999998</v>
      </c>
    </row>
    <row r="5180" spans="1:12" x14ac:dyDescent="0.25">
      <c r="A5180" t="s">
        <v>26</v>
      </c>
      <c r="B5180">
        <v>1197831</v>
      </c>
      <c r="C5180" s="1">
        <v>44423</v>
      </c>
      <c r="D5180" t="s">
        <v>52</v>
      </c>
      <c r="E5180" t="s">
        <v>53</v>
      </c>
      <c r="F5180" t="s">
        <v>54</v>
      </c>
      <c r="G5180" t="s">
        <v>41</v>
      </c>
      <c r="H5180" t="s">
        <v>22</v>
      </c>
      <c r="I5180" s="3">
        <v>37</v>
      </c>
      <c r="J5180" s="2">
        <v>94</v>
      </c>
      <c r="K5180" s="3">
        <f t="shared" si="80"/>
        <v>3478</v>
      </c>
      <c r="L5180" s="3">
        <v>2260.6999999999998</v>
      </c>
    </row>
    <row r="5181" spans="1:12" x14ac:dyDescent="0.25">
      <c r="A5181" t="s">
        <v>26</v>
      </c>
      <c r="B5181">
        <v>1197831</v>
      </c>
      <c r="C5181" s="1">
        <v>44423</v>
      </c>
      <c r="D5181" t="s">
        <v>52</v>
      </c>
      <c r="E5181" t="s">
        <v>99</v>
      </c>
      <c r="F5181" t="s">
        <v>100</v>
      </c>
      <c r="G5181" t="s">
        <v>15</v>
      </c>
      <c r="H5181" t="s">
        <v>35</v>
      </c>
      <c r="I5181" s="3">
        <v>20</v>
      </c>
      <c r="J5181" s="2">
        <v>144</v>
      </c>
      <c r="K5181" s="3">
        <f t="shared" si="80"/>
        <v>2880</v>
      </c>
      <c r="L5181" s="3">
        <v>1411.2</v>
      </c>
    </row>
    <row r="5182" spans="1:12" x14ac:dyDescent="0.25">
      <c r="A5182" t="s">
        <v>26</v>
      </c>
      <c r="B5182">
        <v>1197831</v>
      </c>
      <c r="C5182" s="1">
        <v>44423</v>
      </c>
      <c r="D5182" t="s">
        <v>52</v>
      </c>
      <c r="E5182" t="s">
        <v>99</v>
      </c>
      <c r="F5182" t="s">
        <v>100</v>
      </c>
      <c r="G5182" t="s">
        <v>41</v>
      </c>
      <c r="H5182" t="s">
        <v>35</v>
      </c>
      <c r="I5182" s="3">
        <v>27</v>
      </c>
      <c r="J5182" s="2">
        <v>117</v>
      </c>
      <c r="K5182" s="3">
        <f t="shared" si="80"/>
        <v>3159</v>
      </c>
      <c r="L5182" s="3">
        <v>1326.7800000000002</v>
      </c>
    </row>
    <row r="5183" spans="1:12" x14ac:dyDescent="0.25">
      <c r="A5183" t="s">
        <v>26</v>
      </c>
      <c r="B5183">
        <v>1185732</v>
      </c>
      <c r="C5183" s="1">
        <v>44424</v>
      </c>
      <c r="D5183" t="s">
        <v>57</v>
      </c>
      <c r="E5183" t="s">
        <v>70</v>
      </c>
      <c r="F5183" t="s">
        <v>71</v>
      </c>
      <c r="G5183" t="s">
        <v>18</v>
      </c>
      <c r="H5183" t="s">
        <v>35</v>
      </c>
      <c r="I5183" s="3">
        <v>45.000000000000007</v>
      </c>
      <c r="J5183" s="2">
        <v>575</v>
      </c>
      <c r="K5183" s="3">
        <f t="shared" si="80"/>
        <v>25875.000000000004</v>
      </c>
      <c r="L5183" s="3">
        <v>18112.500000000004</v>
      </c>
    </row>
    <row r="5184" spans="1:12" x14ac:dyDescent="0.25">
      <c r="A5184" t="s">
        <v>26</v>
      </c>
      <c r="B5184">
        <v>1185732</v>
      </c>
      <c r="C5184" s="1">
        <v>44424</v>
      </c>
      <c r="D5184" t="s">
        <v>57</v>
      </c>
      <c r="E5184" t="s">
        <v>70</v>
      </c>
      <c r="F5184" t="s">
        <v>71</v>
      </c>
      <c r="G5184" t="s">
        <v>18</v>
      </c>
      <c r="H5184" t="s">
        <v>37</v>
      </c>
      <c r="I5184" s="3">
        <v>35</v>
      </c>
      <c r="J5184" s="2">
        <v>525</v>
      </c>
      <c r="K5184" s="3">
        <f t="shared" si="80"/>
        <v>18375</v>
      </c>
      <c r="L5184" s="3">
        <v>11943.75</v>
      </c>
    </row>
    <row r="5185" spans="1:12" x14ac:dyDescent="0.25">
      <c r="A5185" t="s">
        <v>26</v>
      </c>
      <c r="B5185">
        <v>1185732</v>
      </c>
      <c r="C5185" s="1">
        <v>44424</v>
      </c>
      <c r="D5185" t="s">
        <v>57</v>
      </c>
      <c r="E5185" t="s">
        <v>70</v>
      </c>
      <c r="F5185" t="s">
        <v>71</v>
      </c>
      <c r="G5185" t="s">
        <v>18</v>
      </c>
      <c r="H5185" t="s">
        <v>17</v>
      </c>
      <c r="I5185" s="3">
        <v>55.000000000000007</v>
      </c>
      <c r="J5185" s="2">
        <v>650</v>
      </c>
      <c r="K5185" s="3">
        <f t="shared" si="80"/>
        <v>35750.000000000007</v>
      </c>
      <c r="L5185" s="3">
        <v>21450.000000000007</v>
      </c>
    </row>
    <row r="5186" spans="1:12" x14ac:dyDescent="0.25">
      <c r="A5186" t="s">
        <v>26</v>
      </c>
      <c r="B5186">
        <v>1185732</v>
      </c>
      <c r="C5186" s="1">
        <v>44424</v>
      </c>
      <c r="D5186" t="s">
        <v>57</v>
      </c>
      <c r="E5186" t="s">
        <v>70</v>
      </c>
      <c r="F5186" t="s">
        <v>71</v>
      </c>
      <c r="G5186" t="s">
        <v>18</v>
      </c>
      <c r="H5186" t="s">
        <v>22</v>
      </c>
      <c r="I5186" s="3">
        <v>45.000000000000007</v>
      </c>
      <c r="J5186" s="2">
        <v>500</v>
      </c>
      <c r="K5186" s="3">
        <f t="shared" si="80"/>
        <v>22500.000000000004</v>
      </c>
      <c r="L5186" s="3">
        <v>13500.000000000004</v>
      </c>
    </row>
    <row r="5187" spans="1:12" x14ac:dyDescent="0.25">
      <c r="A5187" t="s">
        <v>26</v>
      </c>
      <c r="B5187">
        <v>1197831</v>
      </c>
      <c r="C5187" s="1">
        <v>44424</v>
      </c>
      <c r="D5187" t="s">
        <v>52</v>
      </c>
      <c r="E5187" t="s">
        <v>53</v>
      </c>
      <c r="F5187" t="s">
        <v>54</v>
      </c>
      <c r="G5187" t="s">
        <v>15</v>
      </c>
      <c r="H5187" t="s">
        <v>16</v>
      </c>
      <c r="I5187" s="3">
        <v>35</v>
      </c>
      <c r="J5187" s="2">
        <v>525</v>
      </c>
      <c r="K5187" s="3">
        <f t="shared" ref="K5187:K5250" si="81">I5187*J5187</f>
        <v>18375</v>
      </c>
      <c r="L5187" s="3">
        <v>10106.25</v>
      </c>
    </row>
    <row r="5188" spans="1:12" x14ac:dyDescent="0.25">
      <c r="A5188" t="s">
        <v>26</v>
      </c>
      <c r="B5188">
        <v>1185732</v>
      </c>
      <c r="C5188" s="1">
        <v>44424</v>
      </c>
      <c r="D5188" t="s">
        <v>57</v>
      </c>
      <c r="E5188" t="s">
        <v>70</v>
      </c>
      <c r="F5188" t="s">
        <v>71</v>
      </c>
      <c r="G5188" t="s">
        <v>18</v>
      </c>
      <c r="H5188" t="s">
        <v>38</v>
      </c>
      <c r="I5188" s="3">
        <v>60</v>
      </c>
      <c r="J5188" s="2">
        <v>875</v>
      </c>
      <c r="K5188" s="3">
        <f t="shared" si="81"/>
        <v>52500</v>
      </c>
      <c r="L5188" s="3">
        <v>26250</v>
      </c>
    </row>
    <row r="5189" spans="1:12" x14ac:dyDescent="0.25">
      <c r="A5189" t="s">
        <v>26</v>
      </c>
      <c r="B5189">
        <v>1197831</v>
      </c>
      <c r="C5189" s="1">
        <v>44424</v>
      </c>
      <c r="D5189" t="s">
        <v>52</v>
      </c>
      <c r="E5189" t="s">
        <v>99</v>
      </c>
      <c r="F5189" t="s">
        <v>100</v>
      </c>
      <c r="G5189" t="s">
        <v>15</v>
      </c>
      <c r="H5189" t="s">
        <v>37</v>
      </c>
      <c r="I5189" s="3">
        <v>35</v>
      </c>
      <c r="J5189" s="2">
        <v>350</v>
      </c>
      <c r="K5189" s="3">
        <f t="shared" si="81"/>
        <v>12250</v>
      </c>
      <c r="L5189" s="3">
        <v>5512.5</v>
      </c>
    </row>
    <row r="5190" spans="1:12" x14ac:dyDescent="0.25">
      <c r="A5190" t="s">
        <v>26</v>
      </c>
      <c r="B5190">
        <v>1185732</v>
      </c>
      <c r="C5190" s="1">
        <v>44424</v>
      </c>
      <c r="D5190" t="s">
        <v>57</v>
      </c>
      <c r="E5190" t="s">
        <v>70</v>
      </c>
      <c r="F5190" t="s">
        <v>71</v>
      </c>
      <c r="G5190" t="s">
        <v>18</v>
      </c>
      <c r="H5190" t="s">
        <v>16</v>
      </c>
      <c r="I5190" s="3">
        <v>50.000000000000014</v>
      </c>
      <c r="J5190" s="2">
        <v>675</v>
      </c>
      <c r="K5190" s="3">
        <f t="shared" si="81"/>
        <v>33750.000000000007</v>
      </c>
      <c r="L5190" s="3">
        <v>15187.500000000004</v>
      </c>
    </row>
    <row r="5191" spans="1:12" x14ac:dyDescent="0.25">
      <c r="A5191" t="s">
        <v>26</v>
      </c>
      <c r="B5191">
        <v>1185732</v>
      </c>
      <c r="C5191" s="1">
        <v>44424</v>
      </c>
      <c r="D5191" t="s">
        <v>57</v>
      </c>
      <c r="E5191" t="s">
        <v>70</v>
      </c>
      <c r="F5191" t="s">
        <v>71</v>
      </c>
      <c r="G5191" t="s">
        <v>41</v>
      </c>
      <c r="H5191" t="s">
        <v>35</v>
      </c>
      <c r="I5191" s="3">
        <v>42</v>
      </c>
      <c r="J5191" s="2">
        <v>144</v>
      </c>
      <c r="K5191" s="3">
        <f t="shared" si="81"/>
        <v>6048</v>
      </c>
      <c r="L5191" s="3">
        <v>3507.84</v>
      </c>
    </row>
    <row r="5192" spans="1:12" x14ac:dyDescent="0.25">
      <c r="A5192" t="s">
        <v>26</v>
      </c>
      <c r="B5192">
        <v>1185732</v>
      </c>
      <c r="C5192" s="1">
        <v>44424</v>
      </c>
      <c r="D5192" t="s">
        <v>57</v>
      </c>
      <c r="E5192" t="s">
        <v>70</v>
      </c>
      <c r="F5192" t="s">
        <v>71</v>
      </c>
      <c r="G5192" t="s">
        <v>41</v>
      </c>
      <c r="H5192" t="s">
        <v>37</v>
      </c>
      <c r="I5192" s="3">
        <v>34</v>
      </c>
      <c r="J5192" s="2">
        <v>142</v>
      </c>
      <c r="K5192" s="3">
        <f t="shared" si="81"/>
        <v>4828</v>
      </c>
      <c r="L5192" s="3">
        <v>2655.4</v>
      </c>
    </row>
    <row r="5193" spans="1:12" x14ac:dyDescent="0.25">
      <c r="A5193" t="s">
        <v>26</v>
      </c>
      <c r="B5193">
        <v>1197831</v>
      </c>
      <c r="C5193" s="1">
        <v>44424</v>
      </c>
      <c r="D5193" t="s">
        <v>52</v>
      </c>
      <c r="E5193" t="s">
        <v>53</v>
      </c>
      <c r="F5193" t="s">
        <v>54</v>
      </c>
      <c r="G5193" t="s">
        <v>15</v>
      </c>
      <c r="H5193" t="s">
        <v>16</v>
      </c>
      <c r="I5193" s="3">
        <v>24</v>
      </c>
      <c r="J5193" s="2">
        <v>163</v>
      </c>
      <c r="K5193" s="3">
        <f t="shared" si="81"/>
        <v>3912</v>
      </c>
      <c r="L5193" s="3">
        <v>2034.24</v>
      </c>
    </row>
    <row r="5194" spans="1:12" x14ac:dyDescent="0.25">
      <c r="A5194" t="s">
        <v>26</v>
      </c>
      <c r="B5194">
        <v>1185732</v>
      </c>
      <c r="C5194" s="1">
        <v>44424</v>
      </c>
      <c r="D5194" t="s">
        <v>57</v>
      </c>
      <c r="E5194" t="s">
        <v>70</v>
      </c>
      <c r="F5194" t="s">
        <v>71</v>
      </c>
      <c r="G5194" t="s">
        <v>41</v>
      </c>
      <c r="H5194" t="s">
        <v>17</v>
      </c>
      <c r="I5194" s="3">
        <v>50</v>
      </c>
      <c r="J5194" s="2">
        <v>195</v>
      </c>
      <c r="K5194" s="3">
        <f t="shared" si="81"/>
        <v>9750</v>
      </c>
      <c r="L5194" s="3">
        <v>4875</v>
      </c>
    </row>
    <row r="5195" spans="1:12" x14ac:dyDescent="0.25">
      <c r="A5195" t="s">
        <v>26</v>
      </c>
      <c r="B5195">
        <v>1185732</v>
      </c>
      <c r="C5195" s="1">
        <v>44424</v>
      </c>
      <c r="D5195" t="s">
        <v>57</v>
      </c>
      <c r="E5195" t="s">
        <v>70</v>
      </c>
      <c r="F5195" t="s">
        <v>71</v>
      </c>
      <c r="G5195" t="s">
        <v>41</v>
      </c>
      <c r="H5195" t="s">
        <v>22</v>
      </c>
      <c r="I5195" s="3">
        <v>42</v>
      </c>
      <c r="J5195" s="2">
        <v>135</v>
      </c>
      <c r="K5195" s="3">
        <f t="shared" si="81"/>
        <v>5670</v>
      </c>
      <c r="L5195" s="3">
        <v>2664.8999999999996</v>
      </c>
    </row>
    <row r="5196" spans="1:12" x14ac:dyDescent="0.25">
      <c r="A5196" t="s">
        <v>26</v>
      </c>
      <c r="B5196">
        <v>1197831</v>
      </c>
      <c r="C5196" s="1">
        <v>44424</v>
      </c>
      <c r="D5196" t="s">
        <v>52</v>
      </c>
      <c r="E5196" t="s">
        <v>53</v>
      </c>
      <c r="F5196" t="s">
        <v>54</v>
      </c>
      <c r="G5196" t="s">
        <v>41</v>
      </c>
      <c r="H5196" t="s">
        <v>16</v>
      </c>
      <c r="I5196" s="3">
        <v>33</v>
      </c>
      <c r="J5196" s="2">
        <v>147</v>
      </c>
      <c r="K5196" s="3">
        <f t="shared" si="81"/>
        <v>4851</v>
      </c>
      <c r="L5196" s="3">
        <v>2182.9499999999998</v>
      </c>
    </row>
    <row r="5197" spans="1:12" x14ac:dyDescent="0.25">
      <c r="A5197" t="s">
        <v>26</v>
      </c>
      <c r="B5197">
        <v>1197831</v>
      </c>
      <c r="C5197" s="1">
        <v>44424</v>
      </c>
      <c r="D5197" t="s">
        <v>52</v>
      </c>
      <c r="E5197" t="s">
        <v>99</v>
      </c>
      <c r="F5197" t="s">
        <v>100</v>
      </c>
      <c r="G5197" t="s">
        <v>15</v>
      </c>
      <c r="H5197" t="s">
        <v>37</v>
      </c>
      <c r="I5197" s="3">
        <v>23</v>
      </c>
      <c r="J5197" s="2">
        <v>116</v>
      </c>
      <c r="K5197" s="3">
        <f t="shared" si="81"/>
        <v>2668</v>
      </c>
      <c r="L5197" s="3">
        <v>1040.5199999999998</v>
      </c>
    </row>
    <row r="5198" spans="1:12" x14ac:dyDescent="0.25">
      <c r="A5198" t="s">
        <v>26</v>
      </c>
      <c r="B5198">
        <v>1185732</v>
      </c>
      <c r="C5198" s="1">
        <v>44424</v>
      </c>
      <c r="D5198" t="s">
        <v>57</v>
      </c>
      <c r="E5198" t="s">
        <v>70</v>
      </c>
      <c r="F5198" t="s">
        <v>71</v>
      </c>
      <c r="G5198" t="s">
        <v>41</v>
      </c>
      <c r="H5198" t="s">
        <v>38</v>
      </c>
      <c r="I5198" s="3">
        <v>55</v>
      </c>
      <c r="J5198" s="2">
        <v>263</v>
      </c>
      <c r="K5198" s="3">
        <f t="shared" si="81"/>
        <v>14465</v>
      </c>
      <c r="L5198" s="3">
        <v>5207.3999999999996</v>
      </c>
    </row>
    <row r="5199" spans="1:12" x14ac:dyDescent="0.25">
      <c r="A5199" t="s">
        <v>26</v>
      </c>
      <c r="B5199">
        <v>1197831</v>
      </c>
      <c r="C5199" s="1">
        <v>44424</v>
      </c>
      <c r="D5199" t="s">
        <v>52</v>
      </c>
      <c r="E5199" t="s">
        <v>99</v>
      </c>
      <c r="F5199" t="s">
        <v>100</v>
      </c>
      <c r="G5199" t="s">
        <v>41</v>
      </c>
      <c r="H5199" t="s">
        <v>37</v>
      </c>
      <c r="I5199" s="3">
        <v>33</v>
      </c>
      <c r="J5199" s="2">
        <v>105</v>
      </c>
      <c r="K5199" s="3">
        <f t="shared" si="81"/>
        <v>3465</v>
      </c>
      <c r="L5199" s="3">
        <v>1108.7999999999997</v>
      </c>
    </row>
    <row r="5200" spans="1:12" x14ac:dyDescent="0.25">
      <c r="A5200" t="s">
        <v>26</v>
      </c>
      <c r="B5200">
        <v>1185732</v>
      </c>
      <c r="C5200" s="1">
        <v>44424</v>
      </c>
      <c r="D5200" t="s">
        <v>57</v>
      </c>
      <c r="E5200" t="s">
        <v>70</v>
      </c>
      <c r="F5200" t="s">
        <v>71</v>
      </c>
      <c r="G5200" t="s">
        <v>41</v>
      </c>
      <c r="H5200" t="s">
        <v>16</v>
      </c>
      <c r="I5200" s="3">
        <v>45</v>
      </c>
      <c r="J5200" s="2">
        <v>176</v>
      </c>
      <c r="K5200" s="3">
        <f t="shared" si="81"/>
        <v>7920</v>
      </c>
      <c r="L5200" s="3">
        <v>2534.3999999999996</v>
      </c>
    </row>
    <row r="5201" spans="1:12" x14ac:dyDescent="0.25">
      <c r="A5201" t="s">
        <v>23</v>
      </c>
      <c r="B5201">
        <v>1128299</v>
      </c>
      <c r="C5201" s="1">
        <v>44425</v>
      </c>
      <c r="D5201" t="s">
        <v>32</v>
      </c>
      <c r="E5201" t="s">
        <v>33</v>
      </c>
      <c r="F5201" t="s">
        <v>34</v>
      </c>
      <c r="G5201" t="s">
        <v>18</v>
      </c>
      <c r="H5201" t="s">
        <v>22</v>
      </c>
      <c r="I5201" s="3">
        <v>80</v>
      </c>
      <c r="J5201" s="2">
        <v>475</v>
      </c>
      <c r="K5201" s="3">
        <f t="shared" si="81"/>
        <v>38000</v>
      </c>
      <c r="L5201" s="3">
        <v>30400</v>
      </c>
    </row>
    <row r="5202" spans="1:12" x14ac:dyDescent="0.25">
      <c r="A5202" t="s">
        <v>23</v>
      </c>
      <c r="B5202">
        <v>1128299</v>
      </c>
      <c r="C5202" s="1">
        <v>44425</v>
      </c>
      <c r="D5202" t="s">
        <v>32</v>
      </c>
      <c r="E5202" t="s">
        <v>33</v>
      </c>
      <c r="F5202" t="s">
        <v>34</v>
      </c>
      <c r="G5202" t="s">
        <v>18</v>
      </c>
      <c r="H5202" t="s">
        <v>17</v>
      </c>
      <c r="I5202" s="3">
        <v>85.000000000000014</v>
      </c>
      <c r="J5202" s="2">
        <v>825</v>
      </c>
      <c r="K5202" s="3">
        <f t="shared" si="81"/>
        <v>70125.000000000015</v>
      </c>
      <c r="L5202" s="3">
        <v>52593.750000000015</v>
      </c>
    </row>
    <row r="5203" spans="1:12" x14ac:dyDescent="0.25">
      <c r="A5203" t="s">
        <v>26</v>
      </c>
      <c r="B5203">
        <v>1197831</v>
      </c>
      <c r="C5203" s="1">
        <v>44425</v>
      </c>
      <c r="D5203" t="s">
        <v>52</v>
      </c>
      <c r="E5203" t="s">
        <v>53</v>
      </c>
      <c r="F5203" t="s">
        <v>54</v>
      </c>
      <c r="G5203" t="s">
        <v>15</v>
      </c>
      <c r="H5203" t="s">
        <v>38</v>
      </c>
      <c r="I5203" s="3">
        <v>25</v>
      </c>
      <c r="J5203" s="2">
        <v>675</v>
      </c>
      <c r="K5203" s="3">
        <f t="shared" si="81"/>
        <v>16875</v>
      </c>
      <c r="L5203" s="3">
        <v>11812.5</v>
      </c>
    </row>
    <row r="5204" spans="1:12" x14ac:dyDescent="0.25">
      <c r="A5204" t="s">
        <v>23</v>
      </c>
      <c r="B5204">
        <v>1128299</v>
      </c>
      <c r="C5204" s="1">
        <v>44425</v>
      </c>
      <c r="D5204" t="s">
        <v>32</v>
      </c>
      <c r="E5204" t="s">
        <v>33</v>
      </c>
      <c r="F5204" t="s">
        <v>34</v>
      </c>
      <c r="G5204" t="s">
        <v>18</v>
      </c>
      <c r="H5204" t="s">
        <v>38</v>
      </c>
      <c r="I5204" s="3">
        <v>95</v>
      </c>
      <c r="J5204" s="2">
        <v>850</v>
      </c>
      <c r="K5204" s="3">
        <f t="shared" si="81"/>
        <v>80750</v>
      </c>
      <c r="L5204" s="3">
        <v>56525</v>
      </c>
    </row>
    <row r="5205" spans="1:12" x14ac:dyDescent="0.25">
      <c r="A5205" t="s">
        <v>23</v>
      </c>
      <c r="B5205">
        <v>1128299</v>
      </c>
      <c r="C5205" s="1">
        <v>44425</v>
      </c>
      <c r="D5205" t="s">
        <v>32</v>
      </c>
      <c r="E5205" t="s">
        <v>33</v>
      </c>
      <c r="F5205" t="s">
        <v>34</v>
      </c>
      <c r="G5205" t="s">
        <v>18</v>
      </c>
      <c r="H5205" t="s">
        <v>35</v>
      </c>
      <c r="I5205" s="3">
        <v>80</v>
      </c>
      <c r="J5205" s="2">
        <v>700</v>
      </c>
      <c r="K5205" s="3">
        <f t="shared" si="81"/>
        <v>56000</v>
      </c>
      <c r="L5205" s="3">
        <v>39200</v>
      </c>
    </row>
    <row r="5206" spans="1:12" x14ac:dyDescent="0.25">
      <c r="A5206" t="s">
        <v>23</v>
      </c>
      <c r="B5206">
        <v>1128299</v>
      </c>
      <c r="C5206" s="1">
        <v>44425</v>
      </c>
      <c r="D5206" t="s">
        <v>32</v>
      </c>
      <c r="E5206" t="s">
        <v>33</v>
      </c>
      <c r="F5206" t="s">
        <v>34</v>
      </c>
      <c r="G5206" t="s">
        <v>18</v>
      </c>
      <c r="H5206" t="s">
        <v>37</v>
      </c>
      <c r="I5206" s="3">
        <v>80</v>
      </c>
      <c r="J5206" s="2">
        <v>475</v>
      </c>
      <c r="K5206" s="3">
        <f t="shared" si="81"/>
        <v>38000</v>
      </c>
      <c r="L5206" s="3">
        <v>26600</v>
      </c>
    </row>
    <row r="5207" spans="1:12" x14ac:dyDescent="0.25">
      <c r="A5207" t="s">
        <v>23</v>
      </c>
      <c r="B5207">
        <v>1185732</v>
      </c>
      <c r="C5207" s="1">
        <v>44425</v>
      </c>
      <c r="D5207" t="s">
        <v>52</v>
      </c>
      <c r="E5207" t="s">
        <v>112</v>
      </c>
      <c r="F5207" t="s">
        <v>113</v>
      </c>
      <c r="G5207" t="s">
        <v>41</v>
      </c>
      <c r="H5207" t="s">
        <v>17</v>
      </c>
      <c r="I5207" s="3">
        <v>55.000000000000007</v>
      </c>
      <c r="J5207" s="2">
        <v>600</v>
      </c>
      <c r="K5207" s="3">
        <f t="shared" si="81"/>
        <v>33000.000000000007</v>
      </c>
      <c r="L5207" s="3">
        <v>21450.000000000007</v>
      </c>
    </row>
    <row r="5208" spans="1:12" x14ac:dyDescent="0.25">
      <c r="A5208" t="s">
        <v>11</v>
      </c>
      <c r="B5208">
        <v>1128299</v>
      </c>
      <c r="C5208" s="1">
        <v>44425</v>
      </c>
      <c r="D5208" t="s">
        <v>52</v>
      </c>
      <c r="E5208" t="s">
        <v>64</v>
      </c>
      <c r="F5208" t="s">
        <v>65</v>
      </c>
      <c r="G5208" t="s">
        <v>41</v>
      </c>
      <c r="H5208" t="s">
        <v>16</v>
      </c>
      <c r="I5208" s="3">
        <v>70</v>
      </c>
      <c r="J5208" s="2">
        <v>300</v>
      </c>
      <c r="K5208" s="3">
        <f t="shared" si="81"/>
        <v>21000</v>
      </c>
      <c r="L5208" s="3">
        <v>13650</v>
      </c>
    </row>
    <row r="5209" spans="1:12" x14ac:dyDescent="0.25">
      <c r="A5209" t="s">
        <v>23</v>
      </c>
      <c r="B5209">
        <v>1185732</v>
      </c>
      <c r="C5209" s="1">
        <v>44425</v>
      </c>
      <c r="D5209" t="s">
        <v>52</v>
      </c>
      <c r="E5209" t="s">
        <v>112</v>
      </c>
      <c r="F5209" t="s">
        <v>113</v>
      </c>
      <c r="G5209" t="s">
        <v>41</v>
      </c>
      <c r="H5209" t="s">
        <v>22</v>
      </c>
      <c r="I5209" s="3">
        <v>50</v>
      </c>
      <c r="J5209" s="2">
        <v>450</v>
      </c>
      <c r="K5209" s="3">
        <f t="shared" si="81"/>
        <v>22500</v>
      </c>
      <c r="L5209" s="3">
        <v>14625</v>
      </c>
    </row>
    <row r="5210" spans="1:12" x14ac:dyDescent="0.25">
      <c r="A5210" t="s">
        <v>11</v>
      </c>
      <c r="B5210">
        <v>1128299</v>
      </c>
      <c r="C5210" s="1">
        <v>44425</v>
      </c>
      <c r="D5210" t="s">
        <v>52</v>
      </c>
      <c r="E5210" t="s">
        <v>64</v>
      </c>
      <c r="F5210" t="s">
        <v>65</v>
      </c>
      <c r="G5210" t="s">
        <v>41</v>
      </c>
      <c r="H5210" t="s">
        <v>35</v>
      </c>
      <c r="I5210" s="3">
        <v>75.000000000000014</v>
      </c>
      <c r="J5210" s="2">
        <v>700</v>
      </c>
      <c r="K5210" s="3">
        <f t="shared" si="81"/>
        <v>52500.000000000007</v>
      </c>
      <c r="L5210" s="3">
        <v>31500.000000000011</v>
      </c>
    </row>
    <row r="5211" spans="1:12" x14ac:dyDescent="0.25">
      <c r="A5211" t="s">
        <v>11</v>
      </c>
      <c r="B5211">
        <v>1128299</v>
      </c>
      <c r="C5211" s="1">
        <v>44425</v>
      </c>
      <c r="D5211" t="s">
        <v>52</v>
      </c>
      <c r="E5211" t="s">
        <v>64</v>
      </c>
      <c r="F5211" t="s">
        <v>65</v>
      </c>
      <c r="G5211" t="s">
        <v>41</v>
      </c>
      <c r="H5211" t="s">
        <v>17</v>
      </c>
      <c r="I5211" s="3">
        <v>85.000000000000014</v>
      </c>
      <c r="J5211" s="2">
        <v>825</v>
      </c>
      <c r="K5211" s="3">
        <f t="shared" si="81"/>
        <v>70125.000000000015</v>
      </c>
      <c r="L5211" s="3">
        <v>42075.000000000015</v>
      </c>
    </row>
    <row r="5212" spans="1:12" x14ac:dyDescent="0.25">
      <c r="A5212" t="s">
        <v>11</v>
      </c>
      <c r="B5212">
        <v>1128299</v>
      </c>
      <c r="C5212" s="1">
        <v>44425</v>
      </c>
      <c r="D5212" t="s">
        <v>52</v>
      </c>
      <c r="E5212" t="s">
        <v>64</v>
      </c>
      <c r="F5212" t="s">
        <v>65</v>
      </c>
      <c r="G5212" t="s">
        <v>41</v>
      </c>
      <c r="H5212" t="s">
        <v>37</v>
      </c>
      <c r="I5212" s="3">
        <v>75.000000000000014</v>
      </c>
      <c r="J5212" s="2">
        <v>475</v>
      </c>
      <c r="K5212" s="3">
        <f t="shared" si="81"/>
        <v>35625.000000000007</v>
      </c>
      <c r="L5212" s="3">
        <v>21375.000000000007</v>
      </c>
    </row>
    <row r="5213" spans="1:12" x14ac:dyDescent="0.25">
      <c r="A5213" t="s">
        <v>26</v>
      </c>
      <c r="B5213">
        <v>1197831</v>
      </c>
      <c r="C5213" s="1">
        <v>44425</v>
      </c>
      <c r="D5213" t="s">
        <v>52</v>
      </c>
      <c r="E5213" t="s">
        <v>99</v>
      </c>
      <c r="F5213" t="s">
        <v>100</v>
      </c>
      <c r="G5213" t="s">
        <v>15</v>
      </c>
      <c r="H5213" t="s">
        <v>22</v>
      </c>
      <c r="I5213" s="3">
        <v>40</v>
      </c>
      <c r="J5213" s="2">
        <v>250</v>
      </c>
      <c r="K5213" s="3">
        <f t="shared" si="81"/>
        <v>10000</v>
      </c>
      <c r="L5213" s="3">
        <v>6000</v>
      </c>
    </row>
    <row r="5214" spans="1:12" x14ac:dyDescent="0.25">
      <c r="A5214" t="s">
        <v>11</v>
      </c>
      <c r="B5214">
        <v>1128299</v>
      </c>
      <c r="C5214" s="1">
        <v>44425</v>
      </c>
      <c r="D5214" t="s">
        <v>52</v>
      </c>
      <c r="E5214" t="s">
        <v>64</v>
      </c>
      <c r="F5214" t="s">
        <v>65</v>
      </c>
      <c r="G5214" t="s">
        <v>41</v>
      </c>
      <c r="H5214" t="s">
        <v>38</v>
      </c>
      <c r="I5214" s="3">
        <v>95</v>
      </c>
      <c r="J5214" s="2">
        <v>850</v>
      </c>
      <c r="K5214" s="3">
        <f t="shared" si="81"/>
        <v>80750</v>
      </c>
      <c r="L5214" s="3">
        <v>48450</v>
      </c>
    </row>
    <row r="5215" spans="1:12" x14ac:dyDescent="0.25">
      <c r="A5215" t="s">
        <v>23</v>
      </c>
      <c r="B5215">
        <v>1185732</v>
      </c>
      <c r="C5215" s="1">
        <v>44425</v>
      </c>
      <c r="D5215" t="s">
        <v>52</v>
      </c>
      <c r="E5215" t="s">
        <v>112</v>
      </c>
      <c r="F5215" t="s">
        <v>113</v>
      </c>
      <c r="G5215" t="s">
        <v>41</v>
      </c>
      <c r="H5215" t="s">
        <v>38</v>
      </c>
      <c r="I5215" s="3">
        <v>60</v>
      </c>
      <c r="J5215" s="2">
        <v>825</v>
      </c>
      <c r="K5215" s="3">
        <f t="shared" si="81"/>
        <v>49500</v>
      </c>
      <c r="L5215" s="3">
        <v>29700</v>
      </c>
    </row>
    <row r="5216" spans="1:12" x14ac:dyDescent="0.25">
      <c r="A5216" t="s">
        <v>23</v>
      </c>
      <c r="B5216">
        <v>1185732</v>
      </c>
      <c r="C5216" s="1">
        <v>44425</v>
      </c>
      <c r="D5216" t="s">
        <v>52</v>
      </c>
      <c r="E5216" t="s">
        <v>112</v>
      </c>
      <c r="F5216" t="s">
        <v>113</v>
      </c>
      <c r="G5216" t="s">
        <v>41</v>
      </c>
      <c r="H5216" t="s">
        <v>35</v>
      </c>
      <c r="I5216" s="3">
        <v>50</v>
      </c>
      <c r="J5216" s="2">
        <v>525</v>
      </c>
      <c r="K5216" s="3">
        <f t="shared" si="81"/>
        <v>26250</v>
      </c>
      <c r="L5216" s="3">
        <v>15750</v>
      </c>
    </row>
    <row r="5217" spans="1:12" x14ac:dyDescent="0.25">
      <c r="A5217" t="s">
        <v>23</v>
      </c>
      <c r="B5217">
        <v>1185732</v>
      </c>
      <c r="C5217" s="1">
        <v>44425</v>
      </c>
      <c r="D5217" t="s">
        <v>52</v>
      </c>
      <c r="E5217" t="s">
        <v>112</v>
      </c>
      <c r="F5217" t="s">
        <v>113</v>
      </c>
      <c r="G5217" t="s">
        <v>41</v>
      </c>
      <c r="H5217" t="s">
        <v>37</v>
      </c>
      <c r="I5217" s="3">
        <v>40</v>
      </c>
      <c r="J5217" s="2">
        <v>475</v>
      </c>
      <c r="K5217" s="3">
        <f t="shared" si="81"/>
        <v>19000</v>
      </c>
      <c r="L5217" s="3">
        <v>11400</v>
      </c>
    </row>
    <row r="5218" spans="1:12" x14ac:dyDescent="0.25">
      <c r="A5218" t="s">
        <v>11</v>
      </c>
      <c r="B5218">
        <v>1185732</v>
      </c>
      <c r="C5218" s="1">
        <v>44425</v>
      </c>
      <c r="D5218" t="s">
        <v>29</v>
      </c>
      <c r="E5218" t="s">
        <v>105</v>
      </c>
      <c r="F5218" t="s">
        <v>47</v>
      </c>
      <c r="G5218" t="s">
        <v>18</v>
      </c>
      <c r="H5218" t="s">
        <v>38</v>
      </c>
      <c r="I5218" s="3">
        <v>50</v>
      </c>
      <c r="J5218" s="2">
        <v>525</v>
      </c>
      <c r="K5218" s="3">
        <f t="shared" si="81"/>
        <v>26250</v>
      </c>
      <c r="L5218" s="3">
        <v>15750</v>
      </c>
    </row>
    <row r="5219" spans="1:12" x14ac:dyDescent="0.25">
      <c r="A5219" t="s">
        <v>11</v>
      </c>
      <c r="B5219">
        <v>1185732</v>
      </c>
      <c r="C5219" s="1">
        <v>44425</v>
      </c>
      <c r="D5219" t="s">
        <v>29</v>
      </c>
      <c r="E5219" t="s">
        <v>105</v>
      </c>
      <c r="F5219" t="s">
        <v>47</v>
      </c>
      <c r="G5219" t="s">
        <v>18</v>
      </c>
      <c r="H5219" t="s">
        <v>17</v>
      </c>
      <c r="I5219" s="3">
        <v>45.000000000000007</v>
      </c>
      <c r="J5219" s="2">
        <v>300</v>
      </c>
      <c r="K5219" s="3">
        <f t="shared" si="81"/>
        <v>13500.000000000002</v>
      </c>
      <c r="L5219" s="3">
        <v>8100.0000000000018</v>
      </c>
    </row>
    <row r="5220" spans="1:12" x14ac:dyDescent="0.25">
      <c r="A5220" t="s">
        <v>11</v>
      </c>
      <c r="B5220">
        <v>1185732</v>
      </c>
      <c r="C5220" s="1">
        <v>44425</v>
      </c>
      <c r="D5220" t="s">
        <v>29</v>
      </c>
      <c r="E5220" t="s">
        <v>105</v>
      </c>
      <c r="F5220" t="s">
        <v>47</v>
      </c>
      <c r="G5220" t="s">
        <v>18</v>
      </c>
      <c r="H5220" t="s">
        <v>35</v>
      </c>
      <c r="I5220" s="3">
        <v>40</v>
      </c>
      <c r="J5220" s="2">
        <v>300</v>
      </c>
      <c r="K5220" s="3">
        <f t="shared" si="81"/>
        <v>12000</v>
      </c>
      <c r="L5220" s="3">
        <v>7200</v>
      </c>
    </row>
    <row r="5221" spans="1:12" x14ac:dyDescent="0.25">
      <c r="A5221" t="s">
        <v>11</v>
      </c>
      <c r="B5221">
        <v>1185732</v>
      </c>
      <c r="C5221" s="1">
        <v>44425</v>
      </c>
      <c r="D5221" t="s">
        <v>29</v>
      </c>
      <c r="E5221" t="s">
        <v>105</v>
      </c>
      <c r="F5221" t="s">
        <v>47</v>
      </c>
      <c r="G5221" t="s">
        <v>18</v>
      </c>
      <c r="H5221" t="s">
        <v>37</v>
      </c>
      <c r="I5221" s="3">
        <v>40</v>
      </c>
      <c r="J5221" s="2">
        <v>275</v>
      </c>
      <c r="K5221" s="3">
        <f t="shared" si="81"/>
        <v>11000</v>
      </c>
      <c r="L5221" s="3">
        <v>6600</v>
      </c>
    </row>
    <row r="5222" spans="1:12" x14ac:dyDescent="0.25">
      <c r="A5222" t="s">
        <v>11</v>
      </c>
      <c r="B5222">
        <v>1185732</v>
      </c>
      <c r="C5222" s="1">
        <v>44425</v>
      </c>
      <c r="D5222" t="s">
        <v>29</v>
      </c>
      <c r="E5222" t="s">
        <v>105</v>
      </c>
      <c r="F5222" t="s">
        <v>47</v>
      </c>
      <c r="G5222" t="s">
        <v>18</v>
      </c>
      <c r="H5222" t="s">
        <v>22</v>
      </c>
      <c r="I5222" s="3">
        <v>50</v>
      </c>
      <c r="J5222" s="2">
        <v>250</v>
      </c>
      <c r="K5222" s="3">
        <f t="shared" si="81"/>
        <v>12500</v>
      </c>
      <c r="L5222" s="3">
        <v>7500</v>
      </c>
    </row>
    <row r="5223" spans="1:12" x14ac:dyDescent="0.25">
      <c r="A5223" t="s">
        <v>11</v>
      </c>
      <c r="B5223">
        <v>1185732</v>
      </c>
      <c r="C5223" s="1">
        <v>44425</v>
      </c>
      <c r="D5223" t="s">
        <v>29</v>
      </c>
      <c r="E5223" t="s">
        <v>105</v>
      </c>
      <c r="F5223" t="s">
        <v>47</v>
      </c>
      <c r="G5223" t="s">
        <v>18</v>
      </c>
      <c r="H5223" t="s">
        <v>16</v>
      </c>
      <c r="I5223" s="3">
        <v>55.000000000000007</v>
      </c>
      <c r="J5223" s="2">
        <v>425</v>
      </c>
      <c r="K5223" s="3">
        <f t="shared" si="81"/>
        <v>23375.000000000004</v>
      </c>
      <c r="L5223" s="3">
        <v>14025</v>
      </c>
    </row>
    <row r="5224" spans="1:12" x14ac:dyDescent="0.25">
      <c r="A5224" t="s">
        <v>23</v>
      </c>
      <c r="B5224">
        <v>1128299</v>
      </c>
      <c r="C5224" s="1">
        <v>44425</v>
      </c>
      <c r="D5224" t="s">
        <v>32</v>
      </c>
      <c r="E5224" t="s">
        <v>33</v>
      </c>
      <c r="F5224" t="s">
        <v>34</v>
      </c>
      <c r="G5224" t="s">
        <v>18</v>
      </c>
      <c r="H5224" t="s">
        <v>16</v>
      </c>
      <c r="I5224" s="3">
        <v>85</v>
      </c>
      <c r="J5224" s="2">
        <v>300</v>
      </c>
      <c r="K5224" s="3">
        <f t="shared" si="81"/>
        <v>25500</v>
      </c>
      <c r="L5224" s="3">
        <v>14025</v>
      </c>
    </row>
    <row r="5225" spans="1:12" x14ac:dyDescent="0.25">
      <c r="A5225" t="s">
        <v>11</v>
      </c>
      <c r="B5225">
        <v>1128299</v>
      </c>
      <c r="C5225" s="1">
        <v>44425</v>
      </c>
      <c r="D5225" t="s">
        <v>52</v>
      </c>
      <c r="E5225" t="s">
        <v>64</v>
      </c>
      <c r="F5225" t="s">
        <v>65</v>
      </c>
      <c r="G5225" t="s">
        <v>41</v>
      </c>
      <c r="H5225" t="s">
        <v>22</v>
      </c>
      <c r="I5225" s="3">
        <v>64.999999999999986</v>
      </c>
      <c r="J5225" s="2">
        <v>475</v>
      </c>
      <c r="K5225" s="3">
        <f t="shared" si="81"/>
        <v>30874.999999999993</v>
      </c>
      <c r="L5225" s="3">
        <v>16981.249999999996</v>
      </c>
    </row>
    <row r="5226" spans="1:12" x14ac:dyDescent="0.25">
      <c r="A5226" t="s">
        <v>23</v>
      </c>
      <c r="B5226">
        <v>1185732</v>
      </c>
      <c r="C5226" s="1">
        <v>44425</v>
      </c>
      <c r="D5226" t="s">
        <v>52</v>
      </c>
      <c r="E5226" t="s">
        <v>112</v>
      </c>
      <c r="F5226" t="s">
        <v>113</v>
      </c>
      <c r="G5226" t="s">
        <v>41</v>
      </c>
      <c r="H5226" t="s">
        <v>16</v>
      </c>
      <c r="I5226" s="3">
        <v>55.000000000000007</v>
      </c>
      <c r="J5226" s="2">
        <v>625</v>
      </c>
      <c r="K5226" s="3">
        <f t="shared" si="81"/>
        <v>34375.000000000007</v>
      </c>
      <c r="L5226" s="3">
        <v>17187.500000000004</v>
      </c>
    </row>
    <row r="5227" spans="1:12" x14ac:dyDescent="0.25">
      <c r="A5227" t="s">
        <v>23</v>
      </c>
      <c r="B5227">
        <v>1128299</v>
      </c>
      <c r="C5227" s="1">
        <v>44425</v>
      </c>
      <c r="D5227" t="s">
        <v>32</v>
      </c>
      <c r="E5227" t="s">
        <v>33</v>
      </c>
      <c r="F5227" t="s">
        <v>34</v>
      </c>
      <c r="G5227" t="s">
        <v>15</v>
      </c>
      <c r="H5227" t="s">
        <v>22</v>
      </c>
      <c r="I5227" s="3">
        <v>63</v>
      </c>
      <c r="J5227" s="2">
        <v>166</v>
      </c>
      <c r="K5227" s="3">
        <f t="shared" si="81"/>
        <v>10458</v>
      </c>
      <c r="L5227" s="3">
        <v>7948.08</v>
      </c>
    </row>
    <row r="5228" spans="1:12" x14ac:dyDescent="0.25">
      <c r="A5228" t="s">
        <v>23</v>
      </c>
      <c r="B5228">
        <v>1128299</v>
      </c>
      <c r="C5228" s="1">
        <v>44425</v>
      </c>
      <c r="D5228" t="s">
        <v>32</v>
      </c>
      <c r="E5228" t="s">
        <v>33</v>
      </c>
      <c r="F5228" t="s">
        <v>34</v>
      </c>
      <c r="G5228" t="s">
        <v>15</v>
      </c>
      <c r="H5228" t="s">
        <v>17</v>
      </c>
      <c r="I5228" s="3">
        <v>60</v>
      </c>
      <c r="J5228" s="2">
        <v>272</v>
      </c>
      <c r="K5228" s="3">
        <f t="shared" si="81"/>
        <v>16320</v>
      </c>
      <c r="L5228" s="3">
        <v>11913.599999999999</v>
      </c>
    </row>
    <row r="5229" spans="1:12" x14ac:dyDescent="0.25">
      <c r="A5229" t="s">
        <v>23</v>
      </c>
      <c r="B5229">
        <v>1128299</v>
      </c>
      <c r="C5229" s="1">
        <v>44425</v>
      </c>
      <c r="D5229" t="s">
        <v>32</v>
      </c>
      <c r="E5229" t="s">
        <v>33</v>
      </c>
      <c r="F5229" t="s">
        <v>34</v>
      </c>
      <c r="G5229" t="s">
        <v>41</v>
      </c>
      <c r="H5229" t="s">
        <v>22</v>
      </c>
      <c r="I5229" s="3">
        <v>74</v>
      </c>
      <c r="J5229" s="2">
        <v>143</v>
      </c>
      <c r="K5229" s="3">
        <f t="shared" si="81"/>
        <v>10582</v>
      </c>
      <c r="L5229" s="3">
        <v>7301.58</v>
      </c>
    </row>
    <row r="5230" spans="1:12" x14ac:dyDescent="0.25">
      <c r="A5230" t="s">
        <v>26</v>
      </c>
      <c r="B5230">
        <v>1197831</v>
      </c>
      <c r="C5230" s="1">
        <v>44425</v>
      </c>
      <c r="D5230" t="s">
        <v>52</v>
      </c>
      <c r="E5230" t="s">
        <v>53</v>
      </c>
      <c r="F5230" t="s">
        <v>54</v>
      </c>
      <c r="G5230" t="s">
        <v>15</v>
      </c>
      <c r="H5230" t="s">
        <v>38</v>
      </c>
      <c r="I5230" s="3">
        <v>19</v>
      </c>
      <c r="J5230" s="2">
        <v>230</v>
      </c>
      <c r="K5230" s="3">
        <f t="shared" si="81"/>
        <v>4370</v>
      </c>
      <c r="L5230" s="3">
        <v>2971.6</v>
      </c>
    </row>
    <row r="5231" spans="1:12" x14ac:dyDescent="0.25">
      <c r="A5231" t="s">
        <v>23</v>
      </c>
      <c r="B5231">
        <v>1128299</v>
      </c>
      <c r="C5231" s="1">
        <v>44425</v>
      </c>
      <c r="D5231" t="s">
        <v>32</v>
      </c>
      <c r="E5231" t="s">
        <v>33</v>
      </c>
      <c r="F5231" t="s">
        <v>34</v>
      </c>
      <c r="G5231" t="s">
        <v>15</v>
      </c>
      <c r="H5231" t="s">
        <v>35</v>
      </c>
      <c r="I5231" s="3">
        <v>62</v>
      </c>
      <c r="J5231" s="2">
        <v>231</v>
      </c>
      <c r="K5231" s="3">
        <f t="shared" si="81"/>
        <v>14322</v>
      </c>
      <c r="L5231" s="3">
        <v>9595.7400000000016</v>
      </c>
    </row>
    <row r="5232" spans="1:12" x14ac:dyDescent="0.25">
      <c r="A5232" t="s">
        <v>23</v>
      </c>
      <c r="B5232">
        <v>1128299</v>
      </c>
      <c r="C5232" s="1">
        <v>44425</v>
      </c>
      <c r="D5232" t="s">
        <v>32</v>
      </c>
      <c r="E5232" t="s">
        <v>33</v>
      </c>
      <c r="F5232" t="s">
        <v>34</v>
      </c>
      <c r="G5232" t="s">
        <v>15</v>
      </c>
      <c r="H5232" t="s">
        <v>37</v>
      </c>
      <c r="I5232" s="3">
        <v>64</v>
      </c>
      <c r="J5232" s="2">
        <v>147</v>
      </c>
      <c r="K5232" s="3">
        <f t="shared" si="81"/>
        <v>9408</v>
      </c>
      <c r="L5232" s="3">
        <v>6303.3600000000006</v>
      </c>
    </row>
    <row r="5233" spans="1:12" x14ac:dyDescent="0.25">
      <c r="A5233" t="s">
        <v>23</v>
      </c>
      <c r="B5233">
        <v>1128299</v>
      </c>
      <c r="C5233" s="1">
        <v>44425</v>
      </c>
      <c r="D5233" t="s">
        <v>32</v>
      </c>
      <c r="E5233" t="s">
        <v>33</v>
      </c>
      <c r="F5233" t="s">
        <v>34</v>
      </c>
      <c r="G5233" t="s">
        <v>41</v>
      </c>
      <c r="H5233" t="s">
        <v>17</v>
      </c>
      <c r="I5233" s="3">
        <v>77</v>
      </c>
      <c r="J5233" s="2">
        <v>206</v>
      </c>
      <c r="K5233" s="3">
        <f t="shared" si="81"/>
        <v>15862</v>
      </c>
      <c r="L5233" s="3">
        <v>10310.299999999999</v>
      </c>
    </row>
    <row r="5234" spans="1:12" x14ac:dyDescent="0.25">
      <c r="A5234" t="s">
        <v>23</v>
      </c>
      <c r="B5234">
        <v>1128299</v>
      </c>
      <c r="C5234" s="1">
        <v>44425</v>
      </c>
      <c r="D5234" t="s">
        <v>32</v>
      </c>
      <c r="E5234" t="s">
        <v>33</v>
      </c>
      <c r="F5234" t="s">
        <v>34</v>
      </c>
      <c r="G5234" t="s">
        <v>15</v>
      </c>
      <c r="H5234" t="s">
        <v>38</v>
      </c>
      <c r="I5234" s="3">
        <v>68</v>
      </c>
      <c r="J5234" s="2">
        <v>255</v>
      </c>
      <c r="K5234" s="3">
        <f t="shared" si="81"/>
        <v>17340</v>
      </c>
      <c r="L5234" s="3">
        <v>11097.6</v>
      </c>
    </row>
    <row r="5235" spans="1:12" x14ac:dyDescent="0.25">
      <c r="A5235" t="s">
        <v>11</v>
      </c>
      <c r="B5235">
        <v>1128299</v>
      </c>
      <c r="C5235" s="1">
        <v>44425</v>
      </c>
      <c r="D5235" t="s">
        <v>52</v>
      </c>
      <c r="E5235" t="s">
        <v>64</v>
      </c>
      <c r="F5235" t="s">
        <v>65</v>
      </c>
      <c r="G5235" t="s">
        <v>15</v>
      </c>
      <c r="H5235" t="s">
        <v>16</v>
      </c>
      <c r="I5235" s="3">
        <v>46</v>
      </c>
      <c r="J5235" s="2">
        <v>102</v>
      </c>
      <c r="K5235" s="3">
        <f t="shared" si="81"/>
        <v>4692</v>
      </c>
      <c r="L5235" s="3">
        <v>2909.04</v>
      </c>
    </row>
    <row r="5236" spans="1:12" x14ac:dyDescent="0.25">
      <c r="A5236" t="s">
        <v>23</v>
      </c>
      <c r="B5236">
        <v>1128299</v>
      </c>
      <c r="C5236" s="1">
        <v>44425</v>
      </c>
      <c r="D5236" t="s">
        <v>32</v>
      </c>
      <c r="E5236" t="s">
        <v>33</v>
      </c>
      <c r="F5236" t="s">
        <v>34</v>
      </c>
      <c r="G5236" t="s">
        <v>41</v>
      </c>
      <c r="H5236" t="s">
        <v>38</v>
      </c>
      <c r="I5236" s="3">
        <v>87</v>
      </c>
      <c r="J5236" s="2">
        <v>213</v>
      </c>
      <c r="K5236" s="3">
        <f t="shared" si="81"/>
        <v>18531</v>
      </c>
      <c r="L5236" s="3">
        <v>10933.29</v>
      </c>
    </row>
    <row r="5237" spans="1:12" x14ac:dyDescent="0.25">
      <c r="A5237" t="s">
        <v>23</v>
      </c>
      <c r="B5237">
        <v>1185732</v>
      </c>
      <c r="C5237" s="1">
        <v>44425</v>
      </c>
      <c r="D5237" t="s">
        <v>52</v>
      </c>
      <c r="E5237" t="s">
        <v>112</v>
      </c>
      <c r="F5237" t="s">
        <v>113</v>
      </c>
      <c r="G5237" t="s">
        <v>15</v>
      </c>
      <c r="H5237" t="s">
        <v>17</v>
      </c>
      <c r="I5237" s="3">
        <v>44</v>
      </c>
      <c r="J5237" s="2">
        <v>198</v>
      </c>
      <c r="K5237" s="3">
        <f t="shared" si="81"/>
        <v>8712</v>
      </c>
      <c r="L5237" s="3">
        <v>5140.08</v>
      </c>
    </row>
    <row r="5238" spans="1:12" x14ac:dyDescent="0.25">
      <c r="A5238" t="s">
        <v>23</v>
      </c>
      <c r="B5238">
        <v>1128299</v>
      </c>
      <c r="C5238" s="1">
        <v>44425</v>
      </c>
      <c r="D5238" t="s">
        <v>32</v>
      </c>
      <c r="E5238" t="s">
        <v>33</v>
      </c>
      <c r="F5238" t="s">
        <v>34</v>
      </c>
      <c r="G5238" t="s">
        <v>41</v>
      </c>
      <c r="H5238" t="s">
        <v>37</v>
      </c>
      <c r="I5238" s="3">
        <v>77</v>
      </c>
      <c r="J5238" s="2">
        <v>143</v>
      </c>
      <c r="K5238" s="3">
        <f t="shared" si="81"/>
        <v>11011</v>
      </c>
      <c r="L5238" s="3">
        <v>6386.38</v>
      </c>
    </row>
    <row r="5239" spans="1:12" x14ac:dyDescent="0.25">
      <c r="A5239" t="s">
        <v>11</v>
      </c>
      <c r="B5239">
        <v>1128299</v>
      </c>
      <c r="C5239" s="1">
        <v>44425</v>
      </c>
      <c r="D5239" t="s">
        <v>52</v>
      </c>
      <c r="E5239" t="s">
        <v>64</v>
      </c>
      <c r="F5239" t="s">
        <v>65</v>
      </c>
      <c r="G5239" t="s">
        <v>15</v>
      </c>
      <c r="H5239" t="s">
        <v>35</v>
      </c>
      <c r="I5239" s="3">
        <v>50</v>
      </c>
      <c r="J5239" s="2">
        <v>217</v>
      </c>
      <c r="K5239" s="3">
        <f t="shared" si="81"/>
        <v>10850</v>
      </c>
      <c r="L5239" s="3">
        <v>6293</v>
      </c>
    </row>
    <row r="5240" spans="1:12" x14ac:dyDescent="0.25">
      <c r="A5240" t="s">
        <v>23</v>
      </c>
      <c r="B5240">
        <v>1185732</v>
      </c>
      <c r="C5240" s="1">
        <v>44425</v>
      </c>
      <c r="D5240" t="s">
        <v>52</v>
      </c>
      <c r="E5240" t="s">
        <v>112</v>
      </c>
      <c r="F5240" t="s">
        <v>113</v>
      </c>
      <c r="G5240" t="s">
        <v>15</v>
      </c>
      <c r="H5240" t="s">
        <v>22</v>
      </c>
      <c r="I5240" s="3">
        <v>35</v>
      </c>
      <c r="J5240" s="2">
        <v>158</v>
      </c>
      <c r="K5240" s="3">
        <f t="shared" si="81"/>
        <v>5530</v>
      </c>
      <c r="L5240" s="3">
        <v>3207.4</v>
      </c>
    </row>
    <row r="5241" spans="1:12" x14ac:dyDescent="0.25">
      <c r="A5241" t="s">
        <v>23</v>
      </c>
      <c r="B5241">
        <v>1185732</v>
      </c>
      <c r="C5241" s="1">
        <v>44425</v>
      </c>
      <c r="D5241" t="s">
        <v>52</v>
      </c>
      <c r="E5241" t="s">
        <v>112</v>
      </c>
      <c r="F5241" t="s">
        <v>113</v>
      </c>
      <c r="G5241" t="s">
        <v>15</v>
      </c>
      <c r="H5241" t="s">
        <v>37</v>
      </c>
      <c r="I5241" s="3">
        <v>32</v>
      </c>
      <c r="J5241" s="2">
        <v>147</v>
      </c>
      <c r="K5241" s="3">
        <f t="shared" si="81"/>
        <v>4704</v>
      </c>
      <c r="L5241" s="3">
        <v>2728.3199999999997</v>
      </c>
    </row>
    <row r="5242" spans="1:12" x14ac:dyDescent="0.25">
      <c r="A5242" t="s">
        <v>23</v>
      </c>
      <c r="B5242">
        <v>1128299</v>
      </c>
      <c r="C5242" s="1">
        <v>44425</v>
      </c>
      <c r="D5242" t="s">
        <v>32</v>
      </c>
      <c r="E5242" t="s">
        <v>33</v>
      </c>
      <c r="F5242" t="s">
        <v>34</v>
      </c>
      <c r="G5242" t="s">
        <v>41</v>
      </c>
      <c r="H5242" t="s">
        <v>35</v>
      </c>
      <c r="I5242" s="3">
        <v>78</v>
      </c>
      <c r="J5242" s="2">
        <v>189</v>
      </c>
      <c r="K5242" s="3">
        <f t="shared" si="81"/>
        <v>14742</v>
      </c>
      <c r="L5242" s="3">
        <v>8402.94</v>
      </c>
    </row>
    <row r="5243" spans="1:12" x14ac:dyDescent="0.25">
      <c r="A5243" t="s">
        <v>26</v>
      </c>
      <c r="B5243">
        <v>1197831</v>
      </c>
      <c r="C5243" s="1">
        <v>44425</v>
      </c>
      <c r="D5243" t="s">
        <v>52</v>
      </c>
      <c r="E5243" t="s">
        <v>53</v>
      </c>
      <c r="F5243" t="s">
        <v>54</v>
      </c>
      <c r="G5243" t="s">
        <v>41</v>
      </c>
      <c r="H5243" t="s">
        <v>38</v>
      </c>
      <c r="I5243" s="3">
        <v>23</v>
      </c>
      <c r="J5243" s="2">
        <v>176</v>
      </c>
      <c r="K5243" s="3">
        <f t="shared" si="81"/>
        <v>4048</v>
      </c>
      <c r="L5243" s="3">
        <v>2307.36</v>
      </c>
    </row>
    <row r="5244" spans="1:12" x14ac:dyDescent="0.25">
      <c r="A5244" t="s">
        <v>11</v>
      </c>
      <c r="B5244">
        <v>1128299</v>
      </c>
      <c r="C5244" s="1">
        <v>44425</v>
      </c>
      <c r="D5244" t="s">
        <v>52</v>
      </c>
      <c r="E5244" t="s">
        <v>64</v>
      </c>
      <c r="F5244" t="s">
        <v>65</v>
      </c>
      <c r="G5244" t="s">
        <v>15</v>
      </c>
      <c r="H5244" t="s">
        <v>17</v>
      </c>
      <c r="I5244" s="3">
        <v>57</v>
      </c>
      <c r="J5244" s="2">
        <v>256</v>
      </c>
      <c r="K5244" s="3">
        <f t="shared" si="81"/>
        <v>14592</v>
      </c>
      <c r="L5244" s="3">
        <v>8171.52</v>
      </c>
    </row>
    <row r="5245" spans="1:12" x14ac:dyDescent="0.25">
      <c r="A5245" t="s">
        <v>23</v>
      </c>
      <c r="B5245">
        <v>1185732</v>
      </c>
      <c r="C5245" s="1">
        <v>44425</v>
      </c>
      <c r="D5245" t="s">
        <v>52</v>
      </c>
      <c r="E5245" t="s">
        <v>112</v>
      </c>
      <c r="F5245" t="s">
        <v>113</v>
      </c>
      <c r="G5245" t="s">
        <v>15</v>
      </c>
      <c r="H5245" t="s">
        <v>35</v>
      </c>
      <c r="I5245" s="3">
        <v>37</v>
      </c>
      <c r="J5245" s="2">
        <v>179</v>
      </c>
      <c r="K5245" s="3">
        <f t="shared" si="81"/>
        <v>6623</v>
      </c>
      <c r="L5245" s="3">
        <v>3708.88</v>
      </c>
    </row>
    <row r="5246" spans="1:12" x14ac:dyDescent="0.25">
      <c r="A5246" t="s">
        <v>23</v>
      </c>
      <c r="B5246">
        <v>1185732</v>
      </c>
      <c r="C5246" s="1">
        <v>44425</v>
      </c>
      <c r="D5246" t="s">
        <v>52</v>
      </c>
      <c r="E5246" t="s">
        <v>112</v>
      </c>
      <c r="F5246" t="s">
        <v>113</v>
      </c>
      <c r="G5246" t="s">
        <v>41</v>
      </c>
      <c r="H5246" t="s">
        <v>22</v>
      </c>
      <c r="I5246" s="3">
        <v>46</v>
      </c>
      <c r="J5246" s="2">
        <v>122</v>
      </c>
      <c r="K5246" s="3">
        <f t="shared" si="81"/>
        <v>5612</v>
      </c>
      <c r="L5246" s="3">
        <v>3086.6000000000004</v>
      </c>
    </row>
    <row r="5247" spans="1:12" x14ac:dyDescent="0.25">
      <c r="A5247" t="s">
        <v>23</v>
      </c>
      <c r="B5247">
        <v>1185732</v>
      </c>
      <c r="C5247" s="1">
        <v>44425</v>
      </c>
      <c r="D5247" t="s">
        <v>52</v>
      </c>
      <c r="E5247" t="s">
        <v>112</v>
      </c>
      <c r="F5247" t="s">
        <v>113</v>
      </c>
      <c r="G5247" t="s">
        <v>15</v>
      </c>
      <c r="H5247" t="s">
        <v>38</v>
      </c>
      <c r="I5247" s="3">
        <v>41</v>
      </c>
      <c r="J5247" s="2">
        <v>256</v>
      </c>
      <c r="K5247" s="3">
        <f t="shared" si="81"/>
        <v>10496</v>
      </c>
      <c r="L5247" s="3">
        <v>5772.8</v>
      </c>
    </row>
    <row r="5248" spans="1:12" x14ac:dyDescent="0.25">
      <c r="A5248" t="s">
        <v>26</v>
      </c>
      <c r="B5248">
        <v>1197831</v>
      </c>
      <c r="C5248" s="1">
        <v>44425</v>
      </c>
      <c r="D5248" t="s">
        <v>52</v>
      </c>
      <c r="E5248" t="s">
        <v>99</v>
      </c>
      <c r="F5248" t="s">
        <v>100</v>
      </c>
      <c r="G5248" t="s">
        <v>15</v>
      </c>
      <c r="H5248" t="s">
        <v>22</v>
      </c>
      <c r="I5248" s="3">
        <v>28</v>
      </c>
      <c r="J5248" s="2">
        <v>88</v>
      </c>
      <c r="K5248" s="3">
        <f t="shared" si="81"/>
        <v>2464</v>
      </c>
      <c r="L5248" s="3">
        <v>1330.5600000000002</v>
      </c>
    </row>
    <row r="5249" spans="1:12" x14ac:dyDescent="0.25">
      <c r="A5249" t="s">
        <v>11</v>
      </c>
      <c r="B5249">
        <v>1128299</v>
      </c>
      <c r="C5249" s="1">
        <v>44425</v>
      </c>
      <c r="D5249" t="s">
        <v>52</v>
      </c>
      <c r="E5249" t="s">
        <v>64</v>
      </c>
      <c r="F5249" t="s">
        <v>65</v>
      </c>
      <c r="G5249" t="s">
        <v>15</v>
      </c>
      <c r="H5249" t="s">
        <v>37</v>
      </c>
      <c r="I5249" s="3">
        <v>55</v>
      </c>
      <c r="J5249" s="2">
        <v>143</v>
      </c>
      <c r="K5249" s="3">
        <f t="shared" si="81"/>
        <v>7865</v>
      </c>
      <c r="L5249" s="3">
        <v>4168.4500000000007</v>
      </c>
    </row>
    <row r="5250" spans="1:12" x14ac:dyDescent="0.25">
      <c r="A5250" t="s">
        <v>11</v>
      </c>
      <c r="B5250">
        <v>1128299</v>
      </c>
      <c r="C5250" s="1">
        <v>44425</v>
      </c>
      <c r="D5250" t="s">
        <v>52</v>
      </c>
      <c r="E5250" t="s">
        <v>64</v>
      </c>
      <c r="F5250" t="s">
        <v>65</v>
      </c>
      <c r="G5250" t="s">
        <v>15</v>
      </c>
      <c r="H5250" t="s">
        <v>38</v>
      </c>
      <c r="I5250" s="3">
        <v>73</v>
      </c>
      <c r="J5250" s="2">
        <v>255</v>
      </c>
      <c r="K5250" s="3">
        <f t="shared" si="81"/>
        <v>18615</v>
      </c>
      <c r="L5250" s="3">
        <v>9865.9500000000007</v>
      </c>
    </row>
    <row r="5251" spans="1:12" x14ac:dyDescent="0.25">
      <c r="A5251" t="s">
        <v>23</v>
      </c>
      <c r="B5251">
        <v>1185732</v>
      </c>
      <c r="C5251" s="1">
        <v>44425</v>
      </c>
      <c r="D5251" t="s">
        <v>52</v>
      </c>
      <c r="E5251" t="s">
        <v>112</v>
      </c>
      <c r="F5251" t="s">
        <v>113</v>
      </c>
      <c r="G5251" t="s">
        <v>41</v>
      </c>
      <c r="H5251" t="s">
        <v>17</v>
      </c>
      <c r="I5251" s="3">
        <v>50</v>
      </c>
      <c r="J5251" s="2">
        <v>168</v>
      </c>
      <c r="K5251" s="3">
        <f t="shared" ref="K5251:K5314" si="82">I5251*J5251</f>
        <v>8400</v>
      </c>
      <c r="L5251" s="3">
        <v>4368</v>
      </c>
    </row>
    <row r="5252" spans="1:12" x14ac:dyDescent="0.25">
      <c r="A5252" t="s">
        <v>11</v>
      </c>
      <c r="B5252">
        <v>1128299</v>
      </c>
      <c r="C5252" s="1">
        <v>44425</v>
      </c>
      <c r="D5252" t="s">
        <v>52</v>
      </c>
      <c r="E5252" t="s">
        <v>64</v>
      </c>
      <c r="F5252" t="s">
        <v>65</v>
      </c>
      <c r="G5252" t="s">
        <v>41</v>
      </c>
      <c r="H5252" t="s">
        <v>16</v>
      </c>
      <c r="I5252" s="3">
        <v>63</v>
      </c>
      <c r="J5252" s="2">
        <v>90</v>
      </c>
      <c r="K5252" s="3">
        <f t="shared" si="82"/>
        <v>5670</v>
      </c>
      <c r="L5252" s="3">
        <v>2891.7000000000003</v>
      </c>
    </row>
    <row r="5253" spans="1:12" x14ac:dyDescent="0.25">
      <c r="A5253" t="s">
        <v>23</v>
      </c>
      <c r="B5253">
        <v>1128299</v>
      </c>
      <c r="C5253" s="1">
        <v>44425</v>
      </c>
      <c r="D5253" t="s">
        <v>32</v>
      </c>
      <c r="E5253" t="s">
        <v>33</v>
      </c>
      <c r="F5253" t="s">
        <v>34</v>
      </c>
      <c r="G5253" t="s">
        <v>15</v>
      </c>
      <c r="H5253" t="s">
        <v>16</v>
      </c>
      <c r="I5253" s="3">
        <v>60</v>
      </c>
      <c r="J5253" s="2">
        <v>96</v>
      </c>
      <c r="K5253" s="3">
        <f t="shared" si="82"/>
        <v>5760</v>
      </c>
      <c r="L5253" s="3">
        <v>2937.6</v>
      </c>
    </row>
    <row r="5254" spans="1:12" x14ac:dyDescent="0.25">
      <c r="A5254" t="s">
        <v>11</v>
      </c>
      <c r="B5254">
        <v>1128299</v>
      </c>
      <c r="C5254" s="1">
        <v>44425</v>
      </c>
      <c r="D5254" t="s">
        <v>52</v>
      </c>
      <c r="E5254" t="s">
        <v>64</v>
      </c>
      <c r="F5254" t="s">
        <v>65</v>
      </c>
      <c r="G5254" t="s">
        <v>15</v>
      </c>
      <c r="H5254" t="s">
        <v>22</v>
      </c>
      <c r="I5254" s="3">
        <v>47</v>
      </c>
      <c r="J5254" s="2">
        <v>152</v>
      </c>
      <c r="K5254" s="3">
        <f t="shared" si="82"/>
        <v>7144</v>
      </c>
      <c r="L5254" s="3">
        <v>3643.44</v>
      </c>
    </row>
    <row r="5255" spans="1:12" x14ac:dyDescent="0.25">
      <c r="A5255" t="s">
        <v>26</v>
      </c>
      <c r="B5255">
        <v>1197831</v>
      </c>
      <c r="C5255" s="1">
        <v>44425</v>
      </c>
      <c r="D5255" t="s">
        <v>52</v>
      </c>
      <c r="E5255" t="s">
        <v>99</v>
      </c>
      <c r="F5255" t="s">
        <v>100</v>
      </c>
      <c r="G5255" t="s">
        <v>41</v>
      </c>
      <c r="H5255" t="s">
        <v>22</v>
      </c>
      <c r="I5255" s="3">
        <v>37</v>
      </c>
      <c r="J5255" s="2">
        <v>73</v>
      </c>
      <c r="K5255" s="3">
        <f t="shared" si="82"/>
        <v>2701</v>
      </c>
      <c r="L5255" s="3">
        <v>1350.5</v>
      </c>
    </row>
    <row r="5256" spans="1:12" x14ac:dyDescent="0.25">
      <c r="A5256" t="s">
        <v>11</v>
      </c>
      <c r="B5256">
        <v>1128299</v>
      </c>
      <c r="C5256" s="1">
        <v>44425</v>
      </c>
      <c r="D5256" t="s">
        <v>52</v>
      </c>
      <c r="E5256" t="s">
        <v>64</v>
      </c>
      <c r="F5256" t="s">
        <v>65</v>
      </c>
      <c r="G5256" t="s">
        <v>41</v>
      </c>
      <c r="H5256" t="s">
        <v>38</v>
      </c>
      <c r="I5256" s="3">
        <v>86</v>
      </c>
      <c r="J5256" s="2">
        <v>255</v>
      </c>
      <c r="K5256" s="3">
        <f t="shared" si="82"/>
        <v>21930</v>
      </c>
      <c r="L5256" s="3">
        <v>10745.699999999999</v>
      </c>
    </row>
    <row r="5257" spans="1:12" x14ac:dyDescent="0.25">
      <c r="A5257" t="s">
        <v>11</v>
      </c>
      <c r="B5257">
        <v>1128299</v>
      </c>
      <c r="C5257" s="1">
        <v>44425</v>
      </c>
      <c r="D5257" t="s">
        <v>52</v>
      </c>
      <c r="E5257" t="s">
        <v>64</v>
      </c>
      <c r="F5257" t="s">
        <v>65</v>
      </c>
      <c r="G5257" t="s">
        <v>41</v>
      </c>
      <c r="H5257" t="s">
        <v>17</v>
      </c>
      <c r="I5257" s="3">
        <v>77</v>
      </c>
      <c r="J5257" s="2">
        <v>239</v>
      </c>
      <c r="K5257" s="3">
        <f t="shared" si="82"/>
        <v>18403</v>
      </c>
      <c r="L5257" s="3">
        <v>9017.4699999999993</v>
      </c>
    </row>
    <row r="5258" spans="1:12" x14ac:dyDescent="0.25">
      <c r="A5258" t="s">
        <v>11</v>
      </c>
      <c r="B5258">
        <v>1185732</v>
      </c>
      <c r="C5258" s="1">
        <v>44425</v>
      </c>
      <c r="D5258" t="s">
        <v>29</v>
      </c>
      <c r="E5258" t="s">
        <v>105</v>
      </c>
      <c r="F5258" t="s">
        <v>47</v>
      </c>
      <c r="G5258" t="s">
        <v>41</v>
      </c>
      <c r="H5258" t="s">
        <v>37</v>
      </c>
      <c r="I5258" s="3">
        <v>36</v>
      </c>
      <c r="J5258" s="2">
        <v>72</v>
      </c>
      <c r="K5258" s="3">
        <f t="shared" si="82"/>
        <v>2592</v>
      </c>
      <c r="L5258" s="3">
        <v>1270.08</v>
      </c>
    </row>
    <row r="5259" spans="1:12" x14ac:dyDescent="0.25">
      <c r="A5259" t="s">
        <v>23</v>
      </c>
      <c r="B5259">
        <v>1185732</v>
      </c>
      <c r="C5259" s="1">
        <v>44425</v>
      </c>
      <c r="D5259" t="s">
        <v>52</v>
      </c>
      <c r="E5259" t="s">
        <v>112</v>
      </c>
      <c r="F5259" t="s">
        <v>113</v>
      </c>
      <c r="G5259" t="s">
        <v>41</v>
      </c>
      <c r="H5259" t="s">
        <v>35</v>
      </c>
      <c r="I5259" s="3">
        <v>48</v>
      </c>
      <c r="J5259" s="2">
        <v>147</v>
      </c>
      <c r="K5259" s="3">
        <f t="shared" si="82"/>
        <v>7056</v>
      </c>
      <c r="L5259" s="3">
        <v>3386.8799999999997</v>
      </c>
    </row>
    <row r="5260" spans="1:12" x14ac:dyDescent="0.25">
      <c r="A5260" t="s">
        <v>23</v>
      </c>
      <c r="B5260">
        <v>1185732</v>
      </c>
      <c r="C5260" s="1">
        <v>44425</v>
      </c>
      <c r="D5260" t="s">
        <v>52</v>
      </c>
      <c r="E5260" t="s">
        <v>112</v>
      </c>
      <c r="F5260" t="s">
        <v>113</v>
      </c>
      <c r="G5260" t="s">
        <v>41</v>
      </c>
      <c r="H5260" t="s">
        <v>37</v>
      </c>
      <c r="I5260" s="3">
        <v>39</v>
      </c>
      <c r="J5260" s="2">
        <v>128</v>
      </c>
      <c r="K5260" s="3">
        <f t="shared" si="82"/>
        <v>4992</v>
      </c>
      <c r="L5260" s="3">
        <v>2396.16</v>
      </c>
    </row>
    <row r="5261" spans="1:12" x14ac:dyDescent="0.25">
      <c r="A5261" t="s">
        <v>11</v>
      </c>
      <c r="B5261">
        <v>1185732</v>
      </c>
      <c r="C5261" s="1">
        <v>44425</v>
      </c>
      <c r="D5261" t="s">
        <v>29</v>
      </c>
      <c r="E5261" t="s">
        <v>105</v>
      </c>
      <c r="F5261" t="s">
        <v>47</v>
      </c>
      <c r="G5261" t="s">
        <v>41</v>
      </c>
      <c r="H5261" t="s">
        <v>38</v>
      </c>
      <c r="I5261" s="3">
        <v>46</v>
      </c>
      <c r="J5261" s="2">
        <v>131</v>
      </c>
      <c r="K5261" s="3">
        <f t="shared" si="82"/>
        <v>6026</v>
      </c>
      <c r="L5261" s="3">
        <v>2892.48</v>
      </c>
    </row>
    <row r="5262" spans="1:12" x14ac:dyDescent="0.25">
      <c r="A5262" t="s">
        <v>11</v>
      </c>
      <c r="B5262">
        <v>1185732</v>
      </c>
      <c r="C5262" s="1">
        <v>44425</v>
      </c>
      <c r="D5262" t="s">
        <v>29</v>
      </c>
      <c r="E5262" t="s">
        <v>105</v>
      </c>
      <c r="F5262" t="s">
        <v>47</v>
      </c>
      <c r="G5262" t="s">
        <v>41</v>
      </c>
      <c r="H5262" t="s">
        <v>35</v>
      </c>
      <c r="I5262" s="3">
        <v>38</v>
      </c>
      <c r="J5262" s="2">
        <v>87</v>
      </c>
      <c r="K5262" s="3">
        <f t="shared" si="82"/>
        <v>3306</v>
      </c>
      <c r="L5262" s="3">
        <v>1586.8799999999999</v>
      </c>
    </row>
    <row r="5263" spans="1:12" x14ac:dyDescent="0.25">
      <c r="A5263" t="s">
        <v>11</v>
      </c>
      <c r="B5263">
        <v>1128299</v>
      </c>
      <c r="C5263" s="1">
        <v>44425</v>
      </c>
      <c r="D5263" t="s">
        <v>52</v>
      </c>
      <c r="E5263" t="s">
        <v>64</v>
      </c>
      <c r="F5263" t="s">
        <v>65</v>
      </c>
      <c r="G5263" t="s">
        <v>41</v>
      </c>
      <c r="H5263" t="s">
        <v>37</v>
      </c>
      <c r="I5263" s="3">
        <v>74</v>
      </c>
      <c r="J5263" s="2">
        <v>128</v>
      </c>
      <c r="K5263" s="3">
        <f t="shared" si="82"/>
        <v>9472</v>
      </c>
      <c r="L5263" s="3">
        <v>4451.84</v>
      </c>
    </row>
    <row r="5264" spans="1:12" x14ac:dyDescent="0.25">
      <c r="A5264" t="s">
        <v>23</v>
      </c>
      <c r="B5264">
        <v>1185732</v>
      </c>
      <c r="C5264" s="1">
        <v>44425</v>
      </c>
      <c r="D5264" t="s">
        <v>52</v>
      </c>
      <c r="E5264" t="s">
        <v>112</v>
      </c>
      <c r="F5264" t="s">
        <v>113</v>
      </c>
      <c r="G5264" t="s">
        <v>41</v>
      </c>
      <c r="H5264" t="s">
        <v>38</v>
      </c>
      <c r="I5264" s="3">
        <v>56</v>
      </c>
      <c r="J5264" s="2">
        <v>215</v>
      </c>
      <c r="K5264" s="3">
        <f t="shared" si="82"/>
        <v>12040</v>
      </c>
      <c r="L5264" s="3">
        <v>5538.4</v>
      </c>
    </row>
    <row r="5265" spans="1:12" x14ac:dyDescent="0.25">
      <c r="A5265" t="s">
        <v>11</v>
      </c>
      <c r="B5265">
        <v>1185732</v>
      </c>
      <c r="C5265" s="1">
        <v>44425</v>
      </c>
      <c r="D5265" t="s">
        <v>29</v>
      </c>
      <c r="E5265" t="s">
        <v>105</v>
      </c>
      <c r="F5265" t="s">
        <v>47</v>
      </c>
      <c r="G5265" t="s">
        <v>41</v>
      </c>
      <c r="H5265" t="s">
        <v>22</v>
      </c>
      <c r="I5265" s="3">
        <v>49</v>
      </c>
      <c r="J5265" s="2">
        <v>68</v>
      </c>
      <c r="K5265" s="3">
        <f t="shared" si="82"/>
        <v>3332</v>
      </c>
      <c r="L5265" s="3">
        <v>1532.7199999999998</v>
      </c>
    </row>
    <row r="5266" spans="1:12" x14ac:dyDescent="0.25">
      <c r="A5266" t="s">
        <v>11</v>
      </c>
      <c r="B5266">
        <v>1185732</v>
      </c>
      <c r="C5266" s="1">
        <v>44425</v>
      </c>
      <c r="D5266" t="s">
        <v>29</v>
      </c>
      <c r="E5266" t="s">
        <v>105</v>
      </c>
      <c r="F5266" t="s">
        <v>47</v>
      </c>
      <c r="G5266" t="s">
        <v>41</v>
      </c>
      <c r="H5266" t="s">
        <v>16</v>
      </c>
      <c r="I5266" s="3">
        <v>54</v>
      </c>
      <c r="J5266" s="2">
        <v>115</v>
      </c>
      <c r="K5266" s="3">
        <f t="shared" si="82"/>
        <v>6210</v>
      </c>
      <c r="L5266" s="3">
        <v>2856.6</v>
      </c>
    </row>
    <row r="5267" spans="1:12" x14ac:dyDescent="0.25">
      <c r="A5267" t="s">
        <v>11</v>
      </c>
      <c r="B5267">
        <v>1128299</v>
      </c>
      <c r="C5267" s="1">
        <v>44425</v>
      </c>
      <c r="D5267" t="s">
        <v>52</v>
      </c>
      <c r="E5267" t="s">
        <v>64</v>
      </c>
      <c r="F5267" t="s">
        <v>65</v>
      </c>
      <c r="G5267" t="s">
        <v>41</v>
      </c>
      <c r="H5267" t="s">
        <v>35</v>
      </c>
      <c r="I5267" s="3">
        <v>70</v>
      </c>
      <c r="J5267" s="2">
        <v>189</v>
      </c>
      <c r="K5267" s="3">
        <f t="shared" si="82"/>
        <v>13230</v>
      </c>
      <c r="L5267" s="3">
        <v>5953.5000000000009</v>
      </c>
    </row>
    <row r="5268" spans="1:12" x14ac:dyDescent="0.25">
      <c r="A5268" t="s">
        <v>11</v>
      </c>
      <c r="B5268">
        <v>1185732</v>
      </c>
      <c r="C5268" s="1">
        <v>44425</v>
      </c>
      <c r="D5268" t="s">
        <v>29</v>
      </c>
      <c r="E5268" t="s">
        <v>105</v>
      </c>
      <c r="F5268" t="s">
        <v>47</v>
      </c>
      <c r="G5268" t="s">
        <v>41</v>
      </c>
      <c r="H5268" t="s">
        <v>17</v>
      </c>
      <c r="I5268" s="3">
        <v>42</v>
      </c>
      <c r="J5268" s="2">
        <v>90</v>
      </c>
      <c r="K5268" s="3">
        <f t="shared" si="82"/>
        <v>3780</v>
      </c>
      <c r="L5268" s="3">
        <v>1701</v>
      </c>
    </row>
    <row r="5269" spans="1:12" x14ac:dyDescent="0.25">
      <c r="A5269" t="s">
        <v>23</v>
      </c>
      <c r="B5269">
        <v>1185732</v>
      </c>
      <c r="C5269" s="1">
        <v>44425</v>
      </c>
      <c r="D5269" t="s">
        <v>52</v>
      </c>
      <c r="E5269" t="s">
        <v>112</v>
      </c>
      <c r="F5269" t="s">
        <v>113</v>
      </c>
      <c r="G5269" t="s">
        <v>15</v>
      </c>
      <c r="H5269" t="s">
        <v>16</v>
      </c>
      <c r="I5269" s="3">
        <v>42</v>
      </c>
      <c r="J5269" s="2">
        <v>206</v>
      </c>
      <c r="K5269" s="3">
        <f t="shared" si="82"/>
        <v>8652</v>
      </c>
      <c r="L5269" s="3">
        <v>3893.3999999999996</v>
      </c>
    </row>
    <row r="5270" spans="1:12" x14ac:dyDescent="0.25">
      <c r="A5270" t="s">
        <v>23</v>
      </c>
      <c r="B5270">
        <v>1128299</v>
      </c>
      <c r="C5270" s="1">
        <v>44425</v>
      </c>
      <c r="D5270" t="s">
        <v>32</v>
      </c>
      <c r="E5270" t="s">
        <v>33</v>
      </c>
      <c r="F5270" t="s">
        <v>34</v>
      </c>
      <c r="G5270" t="s">
        <v>41</v>
      </c>
      <c r="H5270" t="s">
        <v>16</v>
      </c>
      <c r="I5270" s="3">
        <v>81</v>
      </c>
      <c r="J5270" s="2">
        <v>87</v>
      </c>
      <c r="K5270" s="3">
        <f t="shared" si="82"/>
        <v>7047</v>
      </c>
      <c r="L5270" s="3">
        <v>2959.7399999999993</v>
      </c>
    </row>
    <row r="5271" spans="1:12" x14ac:dyDescent="0.25">
      <c r="A5271" t="s">
        <v>11</v>
      </c>
      <c r="B5271">
        <v>1128299</v>
      </c>
      <c r="C5271" s="1">
        <v>44425</v>
      </c>
      <c r="D5271" t="s">
        <v>52</v>
      </c>
      <c r="E5271" t="s">
        <v>64</v>
      </c>
      <c r="F5271" t="s">
        <v>65</v>
      </c>
      <c r="G5271" t="s">
        <v>41</v>
      </c>
      <c r="H5271" t="s">
        <v>22</v>
      </c>
      <c r="I5271" s="3">
        <v>64</v>
      </c>
      <c r="J5271" s="2">
        <v>138</v>
      </c>
      <c r="K5271" s="3">
        <f t="shared" si="82"/>
        <v>8832</v>
      </c>
      <c r="L5271" s="3">
        <v>3621.119999999999</v>
      </c>
    </row>
    <row r="5272" spans="1:12" x14ac:dyDescent="0.25">
      <c r="A5272" t="s">
        <v>23</v>
      </c>
      <c r="B5272">
        <v>1185732</v>
      </c>
      <c r="C5272" s="1">
        <v>44425</v>
      </c>
      <c r="D5272" t="s">
        <v>52</v>
      </c>
      <c r="E5272" t="s">
        <v>112</v>
      </c>
      <c r="F5272" t="s">
        <v>113</v>
      </c>
      <c r="G5272" t="s">
        <v>41</v>
      </c>
      <c r="H5272" t="s">
        <v>16</v>
      </c>
      <c r="I5272" s="3">
        <v>53</v>
      </c>
      <c r="J5272" s="2">
        <v>169</v>
      </c>
      <c r="K5272" s="3">
        <f t="shared" si="82"/>
        <v>8957</v>
      </c>
      <c r="L5272" s="3">
        <v>3134.95</v>
      </c>
    </row>
    <row r="5273" spans="1:12" x14ac:dyDescent="0.25">
      <c r="A5273" t="s">
        <v>36</v>
      </c>
      <c r="B5273">
        <v>1185732</v>
      </c>
      <c r="C5273" s="1">
        <v>44426</v>
      </c>
      <c r="D5273" t="s">
        <v>29</v>
      </c>
      <c r="E5273" t="s">
        <v>68</v>
      </c>
      <c r="F5273" t="s">
        <v>69</v>
      </c>
      <c r="G5273" t="s">
        <v>15</v>
      </c>
      <c r="H5273" t="s">
        <v>37</v>
      </c>
      <c r="I5273" s="3">
        <v>55.000000000000007</v>
      </c>
      <c r="J5273" s="2">
        <v>275</v>
      </c>
      <c r="K5273" s="3">
        <f t="shared" si="82"/>
        <v>15125.000000000002</v>
      </c>
      <c r="L5273" s="3">
        <v>10587.500000000004</v>
      </c>
    </row>
    <row r="5274" spans="1:12" x14ac:dyDescent="0.25">
      <c r="A5274" t="s">
        <v>26</v>
      </c>
      <c r="B5274">
        <v>1197831</v>
      </c>
      <c r="C5274" s="1">
        <v>44426</v>
      </c>
      <c r="D5274" t="s">
        <v>52</v>
      </c>
      <c r="E5274" t="s">
        <v>53</v>
      </c>
      <c r="F5274" t="s">
        <v>54</v>
      </c>
      <c r="G5274" t="s">
        <v>15</v>
      </c>
      <c r="H5274" t="s">
        <v>17</v>
      </c>
      <c r="I5274" s="3">
        <v>35</v>
      </c>
      <c r="J5274" s="2">
        <v>650</v>
      </c>
      <c r="K5274" s="3">
        <f t="shared" si="82"/>
        <v>22750</v>
      </c>
      <c r="L5274" s="3">
        <v>15925</v>
      </c>
    </row>
    <row r="5275" spans="1:12" x14ac:dyDescent="0.25">
      <c r="A5275" t="s">
        <v>36</v>
      </c>
      <c r="B5275">
        <v>1185732</v>
      </c>
      <c r="C5275" s="1">
        <v>44426</v>
      </c>
      <c r="D5275" t="s">
        <v>29</v>
      </c>
      <c r="E5275" t="s">
        <v>68</v>
      </c>
      <c r="F5275" t="s">
        <v>69</v>
      </c>
      <c r="G5275" t="s">
        <v>15</v>
      </c>
      <c r="H5275" t="s">
        <v>35</v>
      </c>
      <c r="I5275" s="3">
        <v>55.000000000000007</v>
      </c>
      <c r="J5275" s="2">
        <v>375</v>
      </c>
      <c r="K5275" s="3">
        <f t="shared" si="82"/>
        <v>20625.000000000004</v>
      </c>
      <c r="L5275" s="3">
        <v>14437.500000000004</v>
      </c>
    </row>
    <row r="5276" spans="1:12" x14ac:dyDescent="0.25">
      <c r="A5276" t="s">
        <v>36</v>
      </c>
      <c r="B5276">
        <v>1185732</v>
      </c>
      <c r="C5276" s="1">
        <v>44426</v>
      </c>
      <c r="D5276" t="s">
        <v>29</v>
      </c>
      <c r="E5276" t="s">
        <v>68</v>
      </c>
      <c r="F5276" t="s">
        <v>69</v>
      </c>
      <c r="G5276" t="s">
        <v>15</v>
      </c>
      <c r="H5276" t="s">
        <v>22</v>
      </c>
      <c r="I5276" s="3">
        <v>65</v>
      </c>
      <c r="J5276" s="2">
        <v>250</v>
      </c>
      <c r="K5276" s="3">
        <f t="shared" si="82"/>
        <v>16250</v>
      </c>
      <c r="L5276" s="3">
        <v>11375</v>
      </c>
    </row>
    <row r="5277" spans="1:12" x14ac:dyDescent="0.25">
      <c r="A5277" t="s">
        <v>19</v>
      </c>
      <c r="B5277">
        <v>1185732</v>
      </c>
      <c r="C5277" s="1">
        <v>44426</v>
      </c>
      <c r="D5277" t="s">
        <v>57</v>
      </c>
      <c r="E5277" t="s">
        <v>106</v>
      </c>
      <c r="F5277" t="s">
        <v>107</v>
      </c>
      <c r="G5277" t="s">
        <v>18</v>
      </c>
      <c r="H5277" t="s">
        <v>17</v>
      </c>
      <c r="I5277" s="3">
        <v>40.000000000000007</v>
      </c>
      <c r="J5277" s="2">
        <v>475</v>
      </c>
      <c r="K5277" s="3">
        <f t="shared" si="82"/>
        <v>19000.000000000004</v>
      </c>
      <c r="L5277" s="3">
        <v>12350.000000000004</v>
      </c>
    </row>
    <row r="5278" spans="1:12" x14ac:dyDescent="0.25">
      <c r="A5278" t="s">
        <v>19</v>
      </c>
      <c r="B5278">
        <v>1185732</v>
      </c>
      <c r="C5278" s="1">
        <v>44426</v>
      </c>
      <c r="D5278" t="s">
        <v>57</v>
      </c>
      <c r="E5278" t="s">
        <v>106</v>
      </c>
      <c r="F5278" t="s">
        <v>107</v>
      </c>
      <c r="G5278" t="s">
        <v>18</v>
      </c>
      <c r="H5278" t="s">
        <v>35</v>
      </c>
      <c r="I5278" s="3">
        <v>35</v>
      </c>
      <c r="J5278" s="2">
        <v>400</v>
      </c>
      <c r="K5278" s="3">
        <f t="shared" si="82"/>
        <v>14000</v>
      </c>
      <c r="L5278" s="3">
        <v>9100</v>
      </c>
    </row>
    <row r="5279" spans="1:12" x14ac:dyDescent="0.25">
      <c r="A5279" t="s">
        <v>19</v>
      </c>
      <c r="B5279">
        <v>1185732</v>
      </c>
      <c r="C5279" s="1">
        <v>44426</v>
      </c>
      <c r="D5279" t="s">
        <v>57</v>
      </c>
      <c r="E5279" t="s">
        <v>106</v>
      </c>
      <c r="F5279" t="s">
        <v>107</v>
      </c>
      <c r="G5279" t="s">
        <v>18</v>
      </c>
      <c r="H5279" t="s">
        <v>22</v>
      </c>
      <c r="I5279" s="3">
        <v>35</v>
      </c>
      <c r="J5279" s="2">
        <v>300</v>
      </c>
      <c r="K5279" s="3">
        <f t="shared" si="82"/>
        <v>10500</v>
      </c>
      <c r="L5279" s="3">
        <v>6825</v>
      </c>
    </row>
    <row r="5280" spans="1:12" x14ac:dyDescent="0.25">
      <c r="A5280" t="s">
        <v>36</v>
      </c>
      <c r="B5280">
        <v>1185732</v>
      </c>
      <c r="C5280" s="1">
        <v>44426</v>
      </c>
      <c r="D5280" t="s">
        <v>29</v>
      </c>
      <c r="E5280" t="s">
        <v>68</v>
      </c>
      <c r="F5280" t="s">
        <v>69</v>
      </c>
      <c r="G5280" t="s">
        <v>15</v>
      </c>
      <c r="H5280" t="s">
        <v>16</v>
      </c>
      <c r="I5280" s="3">
        <v>70</v>
      </c>
      <c r="J5280" s="2">
        <v>425</v>
      </c>
      <c r="K5280" s="3">
        <f t="shared" si="82"/>
        <v>29750</v>
      </c>
      <c r="L5280" s="3">
        <v>19337.5</v>
      </c>
    </row>
    <row r="5281" spans="1:12" x14ac:dyDescent="0.25">
      <c r="A5281" t="s">
        <v>19</v>
      </c>
      <c r="B5281">
        <v>1185732</v>
      </c>
      <c r="C5281" s="1">
        <v>44426</v>
      </c>
      <c r="D5281" t="s">
        <v>57</v>
      </c>
      <c r="E5281" t="s">
        <v>106</v>
      </c>
      <c r="F5281" t="s">
        <v>107</v>
      </c>
      <c r="G5281" t="s">
        <v>18</v>
      </c>
      <c r="H5281" t="s">
        <v>38</v>
      </c>
      <c r="I5281" s="3">
        <v>40</v>
      </c>
      <c r="J5281" s="2">
        <v>700</v>
      </c>
      <c r="K5281" s="3">
        <f t="shared" si="82"/>
        <v>28000</v>
      </c>
      <c r="L5281" s="3">
        <v>16800</v>
      </c>
    </row>
    <row r="5282" spans="1:12" x14ac:dyDescent="0.25">
      <c r="A5282" t="s">
        <v>19</v>
      </c>
      <c r="B5282">
        <v>1185732</v>
      </c>
      <c r="C5282" s="1">
        <v>44426</v>
      </c>
      <c r="D5282" t="s">
        <v>57</v>
      </c>
      <c r="E5282" t="s">
        <v>106</v>
      </c>
      <c r="F5282" t="s">
        <v>107</v>
      </c>
      <c r="G5282" t="s">
        <v>18</v>
      </c>
      <c r="H5282" t="s">
        <v>37</v>
      </c>
      <c r="I5282" s="3">
        <v>25.000000000000007</v>
      </c>
      <c r="J5282" s="2">
        <v>325</v>
      </c>
      <c r="K5282" s="3">
        <f t="shared" si="82"/>
        <v>8125.0000000000027</v>
      </c>
      <c r="L5282" s="3">
        <v>4875.0000000000018</v>
      </c>
    </row>
    <row r="5283" spans="1:12" x14ac:dyDescent="0.25">
      <c r="A5283" t="s">
        <v>36</v>
      </c>
      <c r="B5283">
        <v>1185732</v>
      </c>
      <c r="C5283" s="1">
        <v>44426</v>
      </c>
      <c r="D5283" t="s">
        <v>29</v>
      </c>
      <c r="E5283" t="s">
        <v>68</v>
      </c>
      <c r="F5283" t="s">
        <v>69</v>
      </c>
      <c r="G5283" t="s">
        <v>15</v>
      </c>
      <c r="H5283" t="s">
        <v>38</v>
      </c>
      <c r="I5283" s="3">
        <v>65</v>
      </c>
      <c r="J5283" s="2">
        <v>675</v>
      </c>
      <c r="K5283" s="3">
        <f t="shared" si="82"/>
        <v>43875</v>
      </c>
      <c r="L5283" s="3">
        <v>26325</v>
      </c>
    </row>
    <row r="5284" spans="1:12" x14ac:dyDescent="0.25">
      <c r="A5284" t="s">
        <v>36</v>
      </c>
      <c r="B5284">
        <v>1185732</v>
      </c>
      <c r="C5284" s="1">
        <v>44426</v>
      </c>
      <c r="D5284" t="s">
        <v>29</v>
      </c>
      <c r="E5284" t="s">
        <v>68</v>
      </c>
      <c r="F5284" t="s">
        <v>69</v>
      </c>
      <c r="G5284" t="s">
        <v>15</v>
      </c>
      <c r="H5284" t="s">
        <v>17</v>
      </c>
      <c r="I5284" s="3">
        <v>60.000000000000007</v>
      </c>
      <c r="J5284" s="2">
        <v>450</v>
      </c>
      <c r="K5284" s="3">
        <f t="shared" si="82"/>
        <v>27000.000000000004</v>
      </c>
      <c r="L5284" s="3">
        <v>16200.000000000004</v>
      </c>
    </row>
    <row r="5285" spans="1:12" x14ac:dyDescent="0.25">
      <c r="A5285" t="s">
        <v>19</v>
      </c>
      <c r="B5285">
        <v>1185732</v>
      </c>
      <c r="C5285" s="1">
        <v>44426</v>
      </c>
      <c r="D5285" t="s">
        <v>57</v>
      </c>
      <c r="E5285" t="s">
        <v>106</v>
      </c>
      <c r="F5285" t="s">
        <v>107</v>
      </c>
      <c r="G5285" t="s">
        <v>18</v>
      </c>
      <c r="H5285" t="s">
        <v>16</v>
      </c>
      <c r="I5285" s="3">
        <v>40</v>
      </c>
      <c r="J5285" s="2">
        <v>475</v>
      </c>
      <c r="K5285" s="3">
        <f t="shared" si="82"/>
        <v>19000</v>
      </c>
      <c r="L5285" s="3">
        <v>9500</v>
      </c>
    </row>
    <row r="5286" spans="1:12" x14ac:dyDescent="0.25">
      <c r="A5286" t="s">
        <v>26</v>
      </c>
      <c r="B5286">
        <v>1197831</v>
      </c>
      <c r="C5286" s="1">
        <v>44426</v>
      </c>
      <c r="D5286" t="s">
        <v>52</v>
      </c>
      <c r="E5286" t="s">
        <v>99</v>
      </c>
      <c r="F5286" t="s">
        <v>100</v>
      </c>
      <c r="G5286" t="s">
        <v>15</v>
      </c>
      <c r="H5286" t="s">
        <v>16</v>
      </c>
      <c r="I5286" s="3">
        <v>35</v>
      </c>
      <c r="J5286" s="2">
        <v>400</v>
      </c>
      <c r="K5286" s="3">
        <f t="shared" si="82"/>
        <v>14000</v>
      </c>
      <c r="L5286" s="3">
        <v>5599.9999999999982</v>
      </c>
    </row>
    <row r="5287" spans="1:12" x14ac:dyDescent="0.25">
      <c r="A5287" t="s">
        <v>36</v>
      </c>
      <c r="B5287">
        <v>1185732</v>
      </c>
      <c r="C5287" s="1">
        <v>44426</v>
      </c>
      <c r="D5287" t="s">
        <v>29</v>
      </c>
      <c r="E5287" t="s">
        <v>68</v>
      </c>
      <c r="F5287" t="s">
        <v>69</v>
      </c>
      <c r="G5287" t="s">
        <v>15</v>
      </c>
      <c r="H5287" t="s">
        <v>37</v>
      </c>
      <c r="I5287" s="3">
        <v>42</v>
      </c>
      <c r="J5287" s="2">
        <v>88</v>
      </c>
      <c r="K5287" s="3">
        <f t="shared" si="82"/>
        <v>3696</v>
      </c>
      <c r="L5287" s="3">
        <v>2513.2799999999997</v>
      </c>
    </row>
    <row r="5288" spans="1:12" x14ac:dyDescent="0.25">
      <c r="A5288" t="s">
        <v>36</v>
      </c>
      <c r="B5288">
        <v>1185732</v>
      </c>
      <c r="C5288" s="1">
        <v>44426</v>
      </c>
      <c r="D5288" t="s">
        <v>29</v>
      </c>
      <c r="E5288" t="s">
        <v>68</v>
      </c>
      <c r="F5288" t="s">
        <v>69</v>
      </c>
      <c r="G5288" t="s">
        <v>15</v>
      </c>
      <c r="H5288" t="s">
        <v>22</v>
      </c>
      <c r="I5288" s="3">
        <v>45</v>
      </c>
      <c r="J5288" s="2">
        <v>80</v>
      </c>
      <c r="K5288" s="3">
        <f t="shared" si="82"/>
        <v>3600</v>
      </c>
      <c r="L5288" s="3">
        <v>2412</v>
      </c>
    </row>
    <row r="5289" spans="1:12" x14ac:dyDescent="0.25">
      <c r="A5289" t="s">
        <v>36</v>
      </c>
      <c r="B5289">
        <v>1185732</v>
      </c>
      <c r="C5289" s="1">
        <v>44426</v>
      </c>
      <c r="D5289" t="s">
        <v>29</v>
      </c>
      <c r="E5289" t="s">
        <v>68</v>
      </c>
      <c r="F5289" t="s">
        <v>69</v>
      </c>
      <c r="G5289" t="s">
        <v>15</v>
      </c>
      <c r="H5289" t="s">
        <v>35</v>
      </c>
      <c r="I5289" s="3">
        <v>39</v>
      </c>
      <c r="J5289" s="2">
        <v>113</v>
      </c>
      <c r="K5289" s="3">
        <f t="shared" si="82"/>
        <v>4407</v>
      </c>
      <c r="L5289" s="3">
        <v>2864.55</v>
      </c>
    </row>
    <row r="5290" spans="1:12" x14ac:dyDescent="0.25">
      <c r="A5290" t="s">
        <v>26</v>
      </c>
      <c r="B5290">
        <v>1197831</v>
      </c>
      <c r="C5290" s="1">
        <v>44426</v>
      </c>
      <c r="D5290" t="s">
        <v>52</v>
      </c>
      <c r="E5290" t="s">
        <v>53</v>
      </c>
      <c r="F5290" t="s">
        <v>54</v>
      </c>
      <c r="G5290" t="s">
        <v>15</v>
      </c>
      <c r="H5290" t="s">
        <v>17</v>
      </c>
      <c r="I5290" s="3">
        <v>23</v>
      </c>
      <c r="J5290" s="2">
        <v>215</v>
      </c>
      <c r="K5290" s="3">
        <f t="shared" si="82"/>
        <v>4945</v>
      </c>
      <c r="L5290" s="3">
        <v>3164.8</v>
      </c>
    </row>
    <row r="5291" spans="1:12" x14ac:dyDescent="0.25">
      <c r="A5291" t="s">
        <v>36</v>
      </c>
      <c r="B5291">
        <v>1185732</v>
      </c>
      <c r="C5291" s="1">
        <v>44426</v>
      </c>
      <c r="D5291" t="s">
        <v>29</v>
      </c>
      <c r="E5291" t="s">
        <v>68</v>
      </c>
      <c r="F5291" t="s">
        <v>69</v>
      </c>
      <c r="G5291" t="s">
        <v>15</v>
      </c>
      <c r="H5291" t="s">
        <v>16</v>
      </c>
      <c r="I5291" s="3">
        <v>46</v>
      </c>
      <c r="J5291" s="2">
        <v>145</v>
      </c>
      <c r="K5291" s="3">
        <f t="shared" si="82"/>
        <v>6670</v>
      </c>
      <c r="L5291" s="3">
        <v>4202.1000000000004</v>
      </c>
    </row>
    <row r="5292" spans="1:12" x14ac:dyDescent="0.25">
      <c r="A5292" t="s">
        <v>26</v>
      </c>
      <c r="B5292">
        <v>1197831</v>
      </c>
      <c r="C5292" s="1">
        <v>44426</v>
      </c>
      <c r="D5292" t="s">
        <v>52</v>
      </c>
      <c r="E5292" t="s">
        <v>53</v>
      </c>
      <c r="F5292" t="s">
        <v>54</v>
      </c>
      <c r="G5292" t="s">
        <v>41</v>
      </c>
      <c r="H5292" t="s">
        <v>17</v>
      </c>
      <c r="I5292" s="3">
        <v>32</v>
      </c>
      <c r="J5292" s="2">
        <v>163</v>
      </c>
      <c r="K5292" s="3">
        <f t="shared" si="82"/>
        <v>5216</v>
      </c>
      <c r="L5292" s="3">
        <v>3129.6</v>
      </c>
    </row>
    <row r="5293" spans="1:12" x14ac:dyDescent="0.25">
      <c r="A5293" t="s">
        <v>36</v>
      </c>
      <c r="B5293">
        <v>1185732</v>
      </c>
      <c r="C5293" s="1">
        <v>44426</v>
      </c>
      <c r="D5293" t="s">
        <v>29</v>
      </c>
      <c r="E5293" t="s">
        <v>68</v>
      </c>
      <c r="F5293" t="s">
        <v>69</v>
      </c>
      <c r="G5293" t="s">
        <v>41</v>
      </c>
      <c r="H5293" t="s">
        <v>37</v>
      </c>
      <c r="I5293" s="3">
        <v>51</v>
      </c>
      <c r="J5293" s="2">
        <v>72</v>
      </c>
      <c r="K5293" s="3">
        <f t="shared" si="82"/>
        <v>3672</v>
      </c>
      <c r="L5293" s="3">
        <v>2129.7600000000002</v>
      </c>
    </row>
    <row r="5294" spans="1:12" x14ac:dyDescent="0.25">
      <c r="A5294" t="s">
        <v>36</v>
      </c>
      <c r="B5294">
        <v>1185732</v>
      </c>
      <c r="C5294" s="1">
        <v>44426</v>
      </c>
      <c r="D5294" t="s">
        <v>29</v>
      </c>
      <c r="E5294" t="s">
        <v>68</v>
      </c>
      <c r="F5294" t="s">
        <v>69</v>
      </c>
      <c r="G5294" t="s">
        <v>41</v>
      </c>
      <c r="H5294" t="s">
        <v>35</v>
      </c>
      <c r="I5294" s="3">
        <v>52</v>
      </c>
      <c r="J5294" s="2">
        <v>105</v>
      </c>
      <c r="K5294" s="3">
        <f t="shared" si="82"/>
        <v>5460</v>
      </c>
      <c r="L5294" s="3">
        <v>3003.0000000000005</v>
      </c>
    </row>
    <row r="5295" spans="1:12" x14ac:dyDescent="0.25">
      <c r="A5295" t="s">
        <v>36</v>
      </c>
      <c r="B5295">
        <v>1185732</v>
      </c>
      <c r="C5295" s="1">
        <v>44426</v>
      </c>
      <c r="D5295" t="s">
        <v>29</v>
      </c>
      <c r="E5295" t="s">
        <v>68</v>
      </c>
      <c r="F5295" t="s">
        <v>69</v>
      </c>
      <c r="G5295" t="s">
        <v>41</v>
      </c>
      <c r="H5295" t="s">
        <v>22</v>
      </c>
      <c r="I5295" s="3">
        <v>59</v>
      </c>
      <c r="J5295" s="2">
        <v>73</v>
      </c>
      <c r="K5295" s="3">
        <f t="shared" si="82"/>
        <v>4307</v>
      </c>
      <c r="L5295" s="3">
        <v>2368.8500000000004</v>
      </c>
    </row>
    <row r="5296" spans="1:12" x14ac:dyDescent="0.25">
      <c r="A5296" t="s">
        <v>19</v>
      </c>
      <c r="B5296">
        <v>1185732</v>
      </c>
      <c r="C5296" s="1">
        <v>44426</v>
      </c>
      <c r="D5296" t="s">
        <v>57</v>
      </c>
      <c r="E5296" t="s">
        <v>106</v>
      </c>
      <c r="F5296" t="s">
        <v>107</v>
      </c>
      <c r="G5296" t="s">
        <v>41</v>
      </c>
      <c r="H5296" t="s">
        <v>35</v>
      </c>
      <c r="I5296" s="3">
        <v>32</v>
      </c>
      <c r="J5296" s="2">
        <v>120</v>
      </c>
      <c r="K5296" s="3">
        <f t="shared" si="82"/>
        <v>3840</v>
      </c>
      <c r="L5296" s="3">
        <v>2073.6000000000004</v>
      </c>
    </row>
    <row r="5297" spans="1:12" x14ac:dyDescent="0.25">
      <c r="A5297" t="s">
        <v>19</v>
      </c>
      <c r="B5297">
        <v>1185732</v>
      </c>
      <c r="C5297" s="1">
        <v>44426</v>
      </c>
      <c r="D5297" t="s">
        <v>57</v>
      </c>
      <c r="E5297" t="s">
        <v>106</v>
      </c>
      <c r="F5297" t="s">
        <v>107</v>
      </c>
      <c r="G5297" t="s">
        <v>41</v>
      </c>
      <c r="H5297" t="s">
        <v>17</v>
      </c>
      <c r="I5297" s="3">
        <v>38</v>
      </c>
      <c r="J5297" s="2">
        <v>143</v>
      </c>
      <c r="K5297" s="3">
        <f t="shared" si="82"/>
        <v>5434</v>
      </c>
      <c r="L5297" s="3">
        <v>2934.36</v>
      </c>
    </row>
    <row r="5298" spans="1:12" x14ac:dyDescent="0.25">
      <c r="A5298" t="s">
        <v>36</v>
      </c>
      <c r="B5298">
        <v>1185732</v>
      </c>
      <c r="C5298" s="1">
        <v>44426</v>
      </c>
      <c r="D5298" t="s">
        <v>29</v>
      </c>
      <c r="E5298" t="s">
        <v>68</v>
      </c>
      <c r="F5298" t="s">
        <v>69</v>
      </c>
      <c r="G5298" t="s">
        <v>15</v>
      </c>
      <c r="H5298" t="s">
        <v>38</v>
      </c>
      <c r="I5298" s="3">
        <v>48</v>
      </c>
      <c r="J5298" s="2">
        <v>203</v>
      </c>
      <c r="K5298" s="3">
        <f t="shared" si="82"/>
        <v>9744</v>
      </c>
      <c r="L5298" s="3">
        <v>5261.76</v>
      </c>
    </row>
    <row r="5299" spans="1:12" x14ac:dyDescent="0.25">
      <c r="A5299" t="s">
        <v>19</v>
      </c>
      <c r="B5299">
        <v>1185732</v>
      </c>
      <c r="C5299" s="1">
        <v>44426</v>
      </c>
      <c r="D5299" t="s">
        <v>57</v>
      </c>
      <c r="E5299" t="s">
        <v>106</v>
      </c>
      <c r="F5299" t="s">
        <v>107</v>
      </c>
      <c r="G5299" t="s">
        <v>41</v>
      </c>
      <c r="H5299" t="s">
        <v>22</v>
      </c>
      <c r="I5299" s="3">
        <v>34</v>
      </c>
      <c r="J5299" s="2">
        <v>81</v>
      </c>
      <c r="K5299" s="3">
        <f t="shared" si="82"/>
        <v>2754</v>
      </c>
      <c r="L5299" s="3">
        <v>1459.6200000000001</v>
      </c>
    </row>
    <row r="5300" spans="1:12" x14ac:dyDescent="0.25">
      <c r="A5300" t="s">
        <v>36</v>
      </c>
      <c r="B5300">
        <v>1185732</v>
      </c>
      <c r="C5300" s="1">
        <v>44426</v>
      </c>
      <c r="D5300" t="s">
        <v>29</v>
      </c>
      <c r="E5300" t="s">
        <v>68</v>
      </c>
      <c r="F5300" t="s">
        <v>69</v>
      </c>
      <c r="G5300" t="s">
        <v>41</v>
      </c>
      <c r="H5300" t="s">
        <v>16</v>
      </c>
      <c r="I5300" s="3">
        <v>64</v>
      </c>
      <c r="J5300" s="2">
        <v>106</v>
      </c>
      <c r="K5300" s="3">
        <f t="shared" si="82"/>
        <v>6784</v>
      </c>
      <c r="L5300" s="3">
        <v>3595.52</v>
      </c>
    </row>
    <row r="5301" spans="1:12" x14ac:dyDescent="0.25">
      <c r="A5301" t="s">
        <v>36</v>
      </c>
      <c r="B5301">
        <v>1185732</v>
      </c>
      <c r="C5301" s="1">
        <v>44426</v>
      </c>
      <c r="D5301" t="s">
        <v>29</v>
      </c>
      <c r="E5301" t="s">
        <v>68</v>
      </c>
      <c r="F5301" t="s">
        <v>69</v>
      </c>
      <c r="G5301" t="s">
        <v>15</v>
      </c>
      <c r="H5301" t="s">
        <v>17</v>
      </c>
      <c r="I5301" s="3">
        <v>39</v>
      </c>
      <c r="J5301" s="2">
        <v>135</v>
      </c>
      <c r="K5301" s="3">
        <f t="shared" si="82"/>
        <v>5265</v>
      </c>
      <c r="L5301" s="3">
        <v>2790.45</v>
      </c>
    </row>
    <row r="5302" spans="1:12" x14ac:dyDescent="0.25">
      <c r="A5302" t="s">
        <v>19</v>
      </c>
      <c r="B5302">
        <v>1185732</v>
      </c>
      <c r="C5302" s="1">
        <v>44426</v>
      </c>
      <c r="D5302" t="s">
        <v>57</v>
      </c>
      <c r="E5302" t="s">
        <v>106</v>
      </c>
      <c r="F5302" t="s">
        <v>107</v>
      </c>
      <c r="G5302" t="s">
        <v>41</v>
      </c>
      <c r="H5302" t="s">
        <v>38</v>
      </c>
      <c r="I5302" s="3">
        <v>38</v>
      </c>
      <c r="J5302" s="2">
        <v>203</v>
      </c>
      <c r="K5302" s="3">
        <f t="shared" si="82"/>
        <v>7714</v>
      </c>
      <c r="L5302" s="3">
        <v>3857</v>
      </c>
    </row>
    <row r="5303" spans="1:12" x14ac:dyDescent="0.25">
      <c r="A5303" t="s">
        <v>36</v>
      </c>
      <c r="B5303">
        <v>1185732</v>
      </c>
      <c r="C5303" s="1">
        <v>44426</v>
      </c>
      <c r="D5303" t="s">
        <v>29</v>
      </c>
      <c r="E5303" t="s">
        <v>68</v>
      </c>
      <c r="F5303" t="s">
        <v>69</v>
      </c>
      <c r="G5303" t="s">
        <v>41</v>
      </c>
      <c r="H5303" t="s">
        <v>38</v>
      </c>
      <c r="I5303" s="3">
        <v>60</v>
      </c>
      <c r="J5303" s="2">
        <v>196</v>
      </c>
      <c r="K5303" s="3">
        <f t="shared" si="82"/>
        <v>11760</v>
      </c>
      <c r="L5303" s="3">
        <v>5762.4</v>
      </c>
    </row>
    <row r="5304" spans="1:12" x14ac:dyDescent="0.25">
      <c r="A5304" t="s">
        <v>36</v>
      </c>
      <c r="B5304">
        <v>1185732</v>
      </c>
      <c r="C5304" s="1">
        <v>44426</v>
      </c>
      <c r="D5304" t="s">
        <v>29</v>
      </c>
      <c r="E5304" t="s">
        <v>68</v>
      </c>
      <c r="F5304" t="s">
        <v>69</v>
      </c>
      <c r="G5304" t="s">
        <v>41</v>
      </c>
      <c r="H5304" t="s">
        <v>17</v>
      </c>
      <c r="I5304" s="3">
        <v>58</v>
      </c>
      <c r="J5304" s="2">
        <v>135</v>
      </c>
      <c r="K5304" s="3">
        <f t="shared" si="82"/>
        <v>7830</v>
      </c>
      <c r="L5304" s="3">
        <v>3601.7999999999993</v>
      </c>
    </row>
    <row r="5305" spans="1:12" x14ac:dyDescent="0.25">
      <c r="A5305" t="s">
        <v>19</v>
      </c>
      <c r="B5305">
        <v>1185732</v>
      </c>
      <c r="C5305" s="1">
        <v>44426</v>
      </c>
      <c r="D5305" t="s">
        <v>57</v>
      </c>
      <c r="E5305" t="s">
        <v>106</v>
      </c>
      <c r="F5305" t="s">
        <v>107</v>
      </c>
      <c r="G5305" t="s">
        <v>41</v>
      </c>
      <c r="H5305" t="s">
        <v>37</v>
      </c>
      <c r="I5305" s="3">
        <v>24</v>
      </c>
      <c r="J5305" s="2">
        <v>91</v>
      </c>
      <c r="K5305" s="3">
        <f t="shared" si="82"/>
        <v>2184</v>
      </c>
      <c r="L5305" s="3">
        <v>982.8</v>
      </c>
    </row>
    <row r="5306" spans="1:12" x14ac:dyDescent="0.25">
      <c r="A5306" t="s">
        <v>19</v>
      </c>
      <c r="B5306">
        <v>1185732</v>
      </c>
      <c r="C5306" s="1">
        <v>44426</v>
      </c>
      <c r="D5306" t="s">
        <v>57</v>
      </c>
      <c r="E5306" t="s">
        <v>106</v>
      </c>
      <c r="F5306" t="s">
        <v>107</v>
      </c>
      <c r="G5306" t="s">
        <v>41</v>
      </c>
      <c r="H5306" t="s">
        <v>16</v>
      </c>
      <c r="I5306" s="3">
        <v>36</v>
      </c>
      <c r="J5306" s="2">
        <v>128</v>
      </c>
      <c r="K5306" s="3">
        <f t="shared" si="82"/>
        <v>4608</v>
      </c>
      <c r="L5306" s="3">
        <v>1612.7999999999997</v>
      </c>
    </row>
    <row r="5307" spans="1:12" x14ac:dyDescent="0.25">
      <c r="A5307" t="s">
        <v>26</v>
      </c>
      <c r="B5307">
        <v>1197831</v>
      </c>
      <c r="C5307" s="1">
        <v>44426</v>
      </c>
      <c r="D5307" t="s">
        <v>52</v>
      </c>
      <c r="E5307" t="s">
        <v>99</v>
      </c>
      <c r="F5307" t="s">
        <v>100</v>
      </c>
      <c r="G5307" t="s">
        <v>15</v>
      </c>
      <c r="H5307" t="s">
        <v>16</v>
      </c>
      <c r="I5307" s="3">
        <v>26</v>
      </c>
      <c r="J5307" s="2">
        <v>120</v>
      </c>
      <c r="K5307" s="3">
        <f t="shared" si="82"/>
        <v>3120</v>
      </c>
      <c r="L5307" s="3">
        <v>1060.7999999999997</v>
      </c>
    </row>
    <row r="5308" spans="1:12" x14ac:dyDescent="0.25">
      <c r="A5308" t="s">
        <v>26</v>
      </c>
      <c r="B5308">
        <v>1197831</v>
      </c>
      <c r="C5308" s="1">
        <v>44426</v>
      </c>
      <c r="D5308" t="s">
        <v>52</v>
      </c>
      <c r="E5308" t="s">
        <v>99</v>
      </c>
      <c r="F5308" t="s">
        <v>100</v>
      </c>
      <c r="G5308" t="s">
        <v>41</v>
      </c>
      <c r="H5308" t="s">
        <v>16</v>
      </c>
      <c r="I5308" s="3">
        <v>34</v>
      </c>
      <c r="J5308" s="2">
        <v>104</v>
      </c>
      <c r="K5308" s="3">
        <f t="shared" si="82"/>
        <v>3536</v>
      </c>
      <c r="L5308" s="3">
        <v>883.99999999999955</v>
      </c>
    </row>
    <row r="5309" spans="1:12" x14ac:dyDescent="0.25">
      <c r="A5309" t="s">
        <v>26</v>
      </c>
      <c r="B5309">
        <v>1197831</v>
      </c>
      <c r="C5309" s="1">
        <v>44427</v>
      </c>
      <c r="D5309" t="s">
        <v>52</v>
      </c>
      <c r="E5309" t="s">
        <v>53</v>
      </c>
      <c r="F5309" t="s">
        <v>54</v>
      </c>
      <c r="G5309" t="s">
        <v>15</v>
      </c>
      <c r="H5309" t="s">
        <v>35</v>
      </c>
      <c r="I5309" s="3">
        <v>35</v>
      </c>
      <c r="J5309" s="2">
        <v>475</v>
      </c>
      <c r="K5309" s="3">
        <f t="shared" si="82"/>
        <v>16625</v>
      </c>
      <c r="L5309" s="3">
        <v>11637.5</v>
      </c>
    </row>
    <row r="5310" spans="1:12" x14ac:dyDescent="0.25">
      <c r="A5310" t="s">
        <v>26</v>
      </c>
      <c r="B5310">
        <v>1197831</v>
      </c>
      <c r="C5310" s="1">
        <v>44427</v>
      </c>
      <c r="D5310" t="s">
        <v>52</v>
      </c>
      <c r="E5310" t="s">
        <v>99</v>
      </c>
      <c r="F5310" t="s">
        <v>100</v>
      </c>
      <c r="G5310" t="s">
        <v>15</v>
      </c>
      <c r="H5310" t="s">
        <v>38</v>
      </c>
      <c r="I5310" s="3">
        <v>20</v>
      </c>
      <c r="J5310" s="2">
        <v>650</v>
      </c>
      <c r="K5310" s="3">
        <f t="shared" si="82"/>
        <v>13000</v>
      </c>
      <c r="L5310" s="3">
        <v>7150</v>
      </c>
    </row>
    <row r="5311" spans="1:12" x14ac:dyDescent="0.25">
      <c r="A5311" t="s">
        <v>26</v>
      </c>
      <c r="B5311">
        <v>1197831</v>
      </c>
      <c r="C5311" s="1">
        <v>44427</v>
      </c>
      <c r="D5311" t="s">
        <v>52</v>
      </c>
      <c r="E5311" t="s">
        <v>53</v>
      </c>
      <c r="F5311" t="s">
        <v>54</v>
      </c>
      <c r="G5311" t="s">
        <v>15</v>
      </c>
      <c r="H5311" t="s">
        <v>35</v>
      </c>
      <c r="I5311" s="3">
        <v>27</v>
      </c>
      <c r="J5311" s="2">
        <v>143</v>
      </c>
      <c r="K5311" s="3">
        <f t="shared" si="82"/>
        <v>3861</v>
      </c>
      <c r="L5311" s="3">
        <v>2509.65</v>
      </c>
    </row>
    <row r="5312" spans="1:12" x14ac:dyDescent="0.25">
      <c r="A5312" t="s">
        <v>26</v>
      </c>
      <c r="B5312">
        <v>1197831</v>
      </c>
      <c r="C5312" s="1">
        <v>44427</v>
      </c>
      <c r="D5312" t="s">
        <v>52</v>
      </c>
      <c r="E5312" t="s">
        <v>53</v>
      </c>
      <c r="F5312" t="s">
        <v>54</v>
      </c>
      <c r="G5312" t="s">
        <v>41</v>
      </c>
      <c r="H5312" t="s">
        <v>35</v>
      </c>
      <c r="I5312" s="3">
        <v>34</v>
      </c>
      <c r="J5312" s="2">
        <v>119</v>
      </c>
      <c r="K5312" s="3">
        <f t="shared" si="82"/>
        <v>4046</v>
      </c>
      <c r="L5312" s="3">
        <v>2306.2200000000003</v>
      </c>
    </row>
    <row r="5313" spans="1:12" x14ac:dyDescent="0.25">
      <c r="A5313" t="s">
        <v>26</v>
      </c>
      <c r="B5313">
        <v>1197831</v>
      </c>
      <c r="C5313" s="1">
        <v>44427</v>
      </c>
      <c r="D5313" t="s">
        <v>52</v>
      </c>
      <c r="E5313" t="s">
        <v>99</v>
      </c>
      <c r="F5313" t="s">
        <v>100</v>
      </c>
      <c r="G5313" t="s">
        <v>15</v>
      </c>
      <c r="H5313" t="s">
        <v>38</v>
      </c>
      <c r="I5313" s="3">
        <v>15</v>
      </c>
      <c r="J5313" s="2">
        <v>215</v>
      </c>
      <c r="K5313" s="3">
        <f t="shared" si="82"/>
        <v>3225</v>
      </c>
      <c r="L5313" s="3">
        <v>1548</v>
      </c>
    </row>
    <row r="5314" spans="1:12" x14ac:dyDescent="0.25">
      <c r="A5314" t="s">
        <v>26</v>
      </c>
      <c r="B5314">
        <v>1197831</v>
      </c>
      <c r="C5314" s="1">
        <v>44427</v>
      </c>
      <c r="D5314" t="s">
        <v>52</v>
      </c>
      <c r="E5314" t="s">
        <v>99</v>
      </c>
      <c r="F5314" t="s">
        <v>100</v>
      </c>
      <c r="G5314" t="s">
        <v>41</v>
      </c>
      <c r="H5314" t="s">
        <v>38</v>
      </c>
      <c r="I5314" s="3">
        <v>19</v>
      </c>
      <c r="J5314" s="2">
        <v>195</v>
      </c>
      <c r="K5314" s="3">
        <f t="shared" si="82"/>
        <v>3705</v>
      </c>
      <c r="L5314" s="3">
        <v>1556.1000000000004</v>
      </c>
    </row>
    <row r="5315" spans="1:12" x14ac:dyDescent="0.25">
      <c r="A5315" t="s">
        <v>23</v>
      </c>
      <c r="B5315">
        <v>1197831</v>
      </c>
      <c r="C5315" s="1">
        <v>44428</v>
      </c>
      <c r="D5315" t="s">
        <v>52</v>
      </c>
      <c r="E5315" t="s">
        <v>114</v>
      </c>
      <c r="F5315" t="s">
        <v>115</v>
      </c>
      <c r="G5315" t="s">
        <v>41</v>
      </c>
      <c r="H5315" t="s">
        <v>17</v>
      </c>
      <c r="I5315" s="3">
        <v>55.000000000000007</v>
      </c>
      <c r="J5315" s="2">
        <v>525</v>
      </c>
      <c r="K5315" s="3">
        <f t="shared" ref="K5315:K5378" si="83">I5315*J5315</f>
        <v>28875.000000000004</v>
      </c>
      <c r="L5315" s="3">
        <v>18768.750000000007</v>
      </c>
    </row>
    <row r="5316" spans="1:12" x14ac:dyDescent="0.25">
      <c r="A5316" t="s">
        <v>23</v>
      </c>
      <c r="B5316">
        <v>1197831</v>
      </c>
      <c r="C5316" s="1">
        <v>44428</v>
      </c>
      <c r="D5316" t="s">
        <v>52</v>
      </c>
      <c r="E5316" t="s">
        <v>114</v>
      </c>
      <c r="F5316" t="s">
        <v>115</v>
      </c>
      <c r="G5316" t="s">
        <v>41</v>
      </c>
      <c r="H5316" t="s">
        <v>22</v>
      </c>
      <c r="I5316" s="3">
        <v>50</v>
      </c>
      <c r="J5316" s="2">
        <v>375</v>
      </c>
      <c r="K5316" s="3">
        <f t="shared" si="83"/>
        <v>18750</v>
      </c>
      <c r="L5316" s="3">
        <v>12187.5</v>
      </c>
    </row>
    <row r="5317" spans="1:12" x14ac:dyDescent="0.25">
      <c r="A5317" t="s">
        <v>11</v>
      </c>
      <c r="B5317">
        <v>1197831</v>
      </c>
      <c r="C5317" s="1">
        <v>44428</v>
      </c>
      <c r="D5317" t="s">
        <v>52</v>
      </c>
      <c r="E5317" t="s">
        <v>116</v>
      </c>
      <c r="F5317" t="s">
        <v>117</v>
      </c>
      <c r="G5317" t="s">
        <v>41</v>
      </c>
      <c r="H5317" t="s">
        <v>17</v>
      </c>
      <c r="I5317" s="3">
        <v>55.000000000000007</v>
      </c>
      <c r="J5317" s="2">
        <v>450</v>
      </c>
      <c r="K5317" s="3">
        <f t="shared" si="83"/>
        <v>24750.000000000004</v>
      </c>
      <c r="L5317" s="3">
        <v>16087.500000000004</v>
      </c>
    </row>
    <row r="5318" spans="1:12" x14ac:dyDescent="0.25">
      <c r="A5318" t="s">
        <v>11</v>
      </c>
      <c r="B5318">
        <v>1197831</v>
      </c>
      <c r="C5318" s="1">
        <v>44428</v>
      </c>
      <c r="D5318" t="s">
        <v>52</v>
      </c>
      <c r="E5318" t="s">
        <v>116</v>
      </c>
      <c r="F5318" t="s">
        <v>117</v>
      </c>
      <c r="G5318" t="s">
        <v>41</v>
      </c>
      <c r="H5318" t="s">
        <v>22</v>
      </c>
      <c r="I5318" s="3">
        <v>50</v>
      </c>
      <c r="J5318" s="2">
        <v>300</v>
      </c>
      <c r="K5318" s="3">
        <f t="shared" si="83"/>
        <v>15000</v>
      </c>
      <c r="L5318" s="3">
        <v>9750</v>
      </c>
    </row>
    <row r="5319" spans="1:12" x14ac:dyDescent="0.25">
      <c r="A5319" t="s">
        <v>26</v>
      </c>
      <c r="B5319">
        <v>1197831</v>
      </c>
      <c r="C5319" s="1">
        <v>44428</v>
      </c>
      <c r="D5319" t="s">
        <v>52</v>
      </c>
      <c r="E5319" t="s">
        <v>53</v>
      </c>
      <c r="F5319" t="s">
        <v>54</v>
      </c>
      <c r="G5319" t="s">
        <v>15</v>
      </c>
      <c r="H5319" t="s">
        <v>37</v>
      </c>
      <c r="I5319" s="3">
        <v>35</v>
      </c>
      <c r="J5319" s="2">
        <v>425</v>
      </c>
      <c r="K5319" s="3">
        <f t="shared" si="83"/>
        <v>14875</v>
      </c>
      <c r="L5319" s="3">
        <v>8925</v>
      </c>
    </row>
    <row r="5320" spans="1:12" x14ac:dyDescent="0.25">
      <c r="A5320" t="s">
        <v>23</v>
      </c>
      <c r="B5320">
        <v>1197831</v>
      </c>
      <c r="C5320" s="1">
        <v>44428</v>
      </c>
      <c r="D5320" t="s">
        <v>52</v>
      </c>
      <c r="E5320" t="s">
        <v>114</v>
      </c>
      <c r="F5320" t="s">
        <v>115</v>
      </c>
      <c r="G5320" t="s">
        <v>41</v>
      </c>
      <c r="H5320" t="s">
        <v>38</v>
      </c>
      <c r="I5320" s="3">
        <v>60</v>
      </c>
      <c r="J5320" s="2">
        <v>750</v>
      </c>
      <c r="K5320" s="3">
        <f t="shared" si="83"/>
        <v>45000</v>
      </c>
      <c r="L5320" s="3">
        <v>27000</v>
      </c>
    </row>
    <row r="5321" spans="1:12" x14ac:dyDescent="0.25">
      <c r="A5321" t="s">
        <v>23</v>
      </c>
      <c r="B5321">
        <v>1197831</v>
      </c>
      <c r="C5321" s="1">
        <v>44428</v>
      </c>
      <c r="D5321" t="s">
        <v>52</v>
      </c>
      <c r="E5321" t="s">
        <v>114</v>
      </c>
      <c r="F5321" t="s">
        <v>115</v>
      </c>
      <c r="G5321" t="s">
        <v>41</v>
      </c>
      <c r="H5321" t="s">
        <v>35</v>
      </c>
      <c r="I5321" s="3">
        <v>50</v>
      </c>
      <c r="J5321" s="2">
        <v>450</v>
      </c>
      <c r="K5321" s="3">
        <f t="shared" si="83"/>
        <v>22500</v>
      </c>
      <c r="L5321" s="3">
        <v>13500</v>
      </c>
    </row>
    <row r="5322" spans="1:12" x14ac:dyDescent="0.25">
      <c r="A5322" t="s">
        <v>23</v>
      </c>
      <c r="B5322">
        <v>1197831</v>
      </c>
      <c r="C5322" s="1">
        <v>44428</v>
      </c>
      <c r="D5322" t="s">
        <v>52</v>
      </c>
      <c r="E5322" t="s">
        <v>114</v>
      </c>
      <c r="F5322" t="s">
        <v>115</v>
      </c>
      <c r="G5322" t="s">
        <v>41</v>
      </c>
      <c r="H5322" t="s">
        <v>37</v>
      </c>
      <c r="I5322" s="3">
        <v>40</v>
      </c>
      <c r="J5322" s="2">
        <v>400</v>
      </c>
      <c r="K5322" s="3">
        <f t="shared" si="83"/>
        <v>16000</v>
      </c>
      <c r="L5322" s="3">
        <v>9600</v>
      </c>
    </row>
    <row r="5323" spans="1:12" x14ac:dyDescent="0.25">
      <c r="A5323" t="s">
        <v>23</v>
      </c>
      <c r="B5323">
        <v>1197831</v>
      </c>
      <c r="C5323" s="1">
        <v>44428</v>
      </c>
      <c r="D5323" t="s">
        <v>52</v>
      </c>
      <c r="E5323" t="s">
        <v>114</v>
      </c>
      <c r="F5323" t="s">
        <v>115</v>
      </c>
      <c r="G5323" t="s">
        <v>41</v>
      </c>
      <c r="H5323" t="s">
        <v>16</v>
      </c>
      <c r="I5323" s="3">
        <v>55.000000000000007</v>
      </c>
      <c r="J5323" s="2">
        <v>550</v>
      </c>
      <c r="K5323" s="3">
        <f t="shared" si="83"/>
        <v>30250.000000000004</v>
      </c>
      <c r="L5323" s="3">
        <v>18150.000000000004</v>
      </c>
    </row>
    <row r="5324" spans="1:12" x14ac:dyDescent="0.25">
      <c r="A5324" t="s">
        <v>11</v>
      </c>
      <c r="B5324">
        <v>1197831</v>
      </c>
      <c r="C5324" s="1">
        <v>44428</v>
      </c>
      <c r="D5324" t="s">
        <v>52</v>
      </c>
      <c r="E5324" t="s">
        <v>116</v>
      </c>
      <c r="F5324" t="s">
        <v>117</v>
      </c>
      <c r="G5324" t="s">
        <v>41</v>
      </c>
      <c r="H5324" t="s">
        <v>38</v>
      </c>
      <c r="I5324" s="3">
        <v>60</v>
      </c>
      <c r="J5324" s="2">
        <v>675</v>
      </c>
      <c r="K5324" s="3">
        <f t="shared" si="83"/>
        <v>40500</v>
      </c>
      <c r="L5324" s="3">
        <v>24300</v>
      </c>
    </row>
    <row r="5325" spans="1:12" x14ac:dyDescent="0.25">
      <c r="A5325" t="s">
        <v>11</v>
      </c>
      <c r="B5325">
        <v>1197831</v>
      </c>
      <c r="C5325" s="1">
        <v>44428</v>
      </c>
      <c r="D5325" t="s">
        <v>52</v>
      </c>
      <c r="E5325" t="s">
        <v>116</v>
      </c>
      <c r="F5325" t="s">
        <v>117</v>
      </c>
      <c r="G5325" t="s">
        <v>41</v>
      </c>
      <c r="H5325" t="s">
        <v>35</v>
      </c>
      <c r="I5325" s="3">
        <v>50</v>
      </c>
      <c r="J5325" s="2">
        <v>375</v>
      </c>
      <c r="K5325" s="3">
        <f t="shared" si="83"/>
        <v>18750</v>
      </c>
      <c r="L5325" s="3">
        <v>11250</v>
      </c>
    </row>
    <row r="5326" spans="1:12" x14ac:dyDescent="0.25">
      <c r="A5326" t="s">
        <v>11</v>
      </c>
      <c r="B5326">
        <v>1197831</v>
      </c>
      <c r="C5326" s="1">
        <v>44428</v>
      </c>
      <c r="D5326" t="s">
        <v>52</v>
      </c>
      <c r="E5326" t="s">
        <v>116</v>
      </c>
      <c r="F5326" t="s">
        <v>117</v>
      </c>
      <c r="G5326" t="s">
        <v>41</v>
      </c>
      <c r="H5326" t="s">
        <v>37</v>
      </c>
      <c r="I5326" s="3">
        <v>40</v>
      </c>
      <c r="J5326" s="2">
        <v>325</v>
      </c>
      <c r="K5326" s="3">
        <f t="shared" si="83"/>
        <v>13000</v>
      </c>
      <c r="L5326" s="3">
        <v>7800</v>
      </c>
    </row>
    <row r="5327" spans="1:12" x14ac:dyDescent="0.25">
      <c r="A5327" t="s">
        <v>11</v>
      </c>
      <c r="B5327">
        <v>1197831</v>
      </c>
      <c r="C5327" s="1">
        <v>44428</v>
      </c>
      <c r="D5327" t="s">
        <v>52</v>
      </c>
      <c r="E5327" t="s">
        <v>116</v>
      </c>
      <c r="F5327" t="s">
        <v>117</v>
      </c>
      <c r="G5327" t="s">
        <v>41</v>
      </c>
      <c r="H5327" t="s">
        <v>16</v>
      </c>
      <c r="I5327" s="3">
        <v>55.000000000000007</v>
      </c>
      <c r="J5327" s="2">
        <v>475</v>
      </c>
      <c r="K5327" s="3">
        <f t="shared" si="83"/>
        <v>26125.000000000004</v>
      </c>
      <c r="L5327" s="3">
        <v>15675</v>
      </c>
    </row>
    <row r="5328" spans="1:12" x14ac:dyDescent="0.25">
      <c r="A5328" t="s">
        <v>26</v>
      </c>
      <c r="B5328">
        <v>1197831</v>
      </c>
      <c r="C5328" s="1">
        <v>44428</v>
      </c>
      <c r="D5328" t="s">
        <v>52</v>
      </c>
      <c r="E5328" t="s">
        <v>99</v>
      </c>
      <c r="F5328" t="s">
        <v>100</v>
      </c>
      <c r="G5328" t="s">
        <v>15</v>
      </c>
      <c r="H5328" t="s">
        <v>17</v>
      </c>
      <c r="I5328" s="3">
        <v>20.000000000000007</v>
      </c>
      <c r="J5328" s="2">
        <v>650</v>
      </c>
      <c r="K5328" s="3">
        <f t="shared" si="83"/>
        <v>13000.000000000005</v>
      </c>
      <c r="L5328" s="3">
        <v>7150.0000000000027</v>
      </c>
    </row>
    <row r="5329" spans="1:12" x14ac:dyDescent="0.25">
      <c r="A5329" t="s">
        <v>23</v>
      </c>
      <c r="B5329">
        <v>1197831</v>
      </c>
      <c r="C5329" s="1">
        <v>44428</v>
      </c>
      <c r="D5329" t="s">
        <v>52</v>
      </c>
      <c r="E5329" t="s">
        <v>114</v>
      </c>
      <c r="F5329" t="s">
        <v>115</v>
      </c>
      <c r="G5329" t="s">
        <v>15</v>
      </c>
      <c r="H5329" t="s">
        <v>22</v>
      </c>
      <c r="I5329" s="3">
        <v>40</v>
      </c>
      <c r="J5329" s="2">
        <v>113</v>
      </c>
      <c r="K5329" s="3">
        <f t="shared" si="83"/>
        <v>4520</v>
      </c>
      <c r="L5329" s="3">
        <v>2847.6</v>
      </c>
    </row>
    <row r="5330" spans="1:12" x14ac:dyDescent="0.25">
      <c r="A5330" t="s">
        <v>11</v>
      </c>
      <c r="B5330">
        <v>1197831</v>
      </c>
      <c r="C5330" s="1">
        <v>44428</v>
      </c>
      <c r="D5330" t="s">
        <v>52</v>
      </c>
      <c r="E5330" t="s">
        <v>116</v>
      </c>
      <c r="F5330" t="s">
        <v>117</v>
      </c>
      <c r="G5330" t="s">
        <v>15</v>
      </c>
      <c r="H5330" t="s">
        <v>22</v>
      </c>
      <c r="I5330" s="3">
        <v>40</v>
      </c>
      <c r="J5330" s="2">
        <v>105</v>
      </c>
      <c r="K5330" s="3">
        <f t="shared" si="83"/>
        <v>4200</v>
      </c>
      <c r="L5330" s="3">
        <v>2646</v>
      </c>
    </row>
    <row r="5331" spans="1:12" x14ac:dyDescent="0.25">
      <c r="A5331" t="s">
        <v>23</v>
      </c>
      <c r="B5331">
        <v>1197831</v>
      </c>
      <c r="C5331" s="1">
        <v>44428</v>
      </c>
      <c r="D5331" t="s">
        <v>52</v>
      </c>
      <c r="E5331" t="s">
        <v>114</v>
      </c>
      <c r="F5331" t="s">
        <v>115</v>
      </c>
      <c r="G5331" t="s">
        <v>15</v>
      </c>
      <c r="H5331" t="s">
        <v>17</v>
      </c>
      <c r="I5331" s="3">
        <v>42</v>
      </c>
      <c r="J5331" s="2">
        <v>163</v>
      </c>
      <c r="K5331" s="3">
        <f t="shared" si="83"/>
        <v>6846</v>
      </c>
      <c r="L5331" s="3">
        <v>4176.0600000000004</v>
      </c>
    </row>
    <row r="5332" spans="1:12" x14ac:dyDescent="0.25">
      <c r="A5332" t="s">
        <v>11</v>
      </c>
      <c r="B5332">
        <v>1197831</v>
      </c>
      <c r="C5332" s="1">
        <v>44428</v>
      </c>
      <c r="D5332" t="s">
        <v>52</v>
      </c>
      <c r="E5332" t="s">
        <v>116</v>
      </c>
      <c r="F5332" t="s">
        <v>117</v>
      </c>
      <c r="G5332" t="s">
        <v>15</v>
      </c>
      <c r="H5332" t="s">
        <v>17</v>
      </c>
      <c r="I5332" s="3">
        <v>37</v>
      </c>
      <c r="J5332" s="2">
        <v>140</v>
      </c>
      <c r="K5332" s="3">
        <f t="shared" si="83"/>
        <v>5180</v>
      </c>
      <c r="L5332" s="3">
        <v>3004.4</v>
      </c>
    </row>
    <row r="5333" spans="1:12" x14ac:dyDescent="0.25">
      <c r="A5333" t="s">
        <v>11</v>
      </c>
      <c r="B5333">
        <v>1197831</v>
      </c>
      <c r="C5333" s="1">
        <v>44428</v>
      </c>
      <c r="D5333" t="s">
        <v>52</v>
      </c>
      <c r="E5333" t="s">
        <v>116</v>
      </c>
      <c r="F5333" t="s">
        <v>117</v>
      </c>
      <c r="G5333" t="s">
        <v>15</v>
      </c>
      <c r="H5333" t="s">
        <v>38</v>
      </c>
      <c r="I5333" s="3">
        <v>41</v>
      </c>
      <c r="J5333" s="2">
        <v>230</v>
      </c>
      <c r="K5333" s="3">
        <f t="shared" si="83"/>
        <v>9430</v>
      </c>
      <c r="L5333" s="3">
        <v>5469.4</v>
      </c>
    </row>
    <row r="5334" spans="1:12" x14ac:dyDescent="0.25">
      <c r="A5334" t="s">
        <v>11</v>
      </c>
      <c r="B5334">
        <v>1197831</v>
      </c>
      <c r="C5334" s="1">
        <v>44428</v>
      </c>
      <c r="D5334" t="s">
        <v>52</v>
      </c>
      <c r="E5334" t="s">
        <v>116</v>
      </c>
      <c r="F5334" t="s">
        <v>117</v>
      </c>
      <c r="G5334" t="s">
        <v>15</v>
      </c>
      <c r="H5334" t="s">
        <v>37</v>
      </c>
      <c r="I5334" s="3">
        <v>32</v>
      </c>
      <c r="J5334" s="2">
        <v>111</v>
      </c>
      <c r="K5334" s="3">
        <f t="shared" si="83"/>
        <v>3552</v>
      </c>
      <c r="L5334" s="3">
        <v>2060.16</v>
      </c>
    </row>
    <row r="5335" spans="1:12" x14ac:dyDescent="0.25">
      <c r="A5335" t="s">
        <v>23</v>
      </c>
      <c r="B5335">
        <v>1197831</v>
      </c>
      <c r="C5335" s="1">
        <v>44428</v>
      </c>
      <c r="D5335" t="s">
        <v>52</v>
      </c>
      <c r="E5335" t="s">
        <v>114</v>
      </c>
      <c r="F5335" t="s">
        <v>115</v>
      </c>
      <c r="G5335" t="s">
        <v>15</v>
      </c>
      <c r="H5335" t="s">
        <v>35</v>
      </c>
      <c r="I5335" s="3">
        <v>40</v>
      </c>
      <c r="J5335" s="2">
        <v>135</v>
      </c>
      <c r="K5335" s="3">
        <f t="shared" si="83"/>
        <v>5400</v>
      </c>
      <c r="L5335" s="3">
        <v>3024</v>
      </c>
    </row>
    <row r="5336" spans="1:12" x14ac:dyDescent="0.25">
      <c r="A5336" t="s">
        <v>11</v>
      </c>
      <c r="B5336">
        <v>1197831</v>
      </c>
      <c r="C5336" s="1">
        <v>44428</v>
      </c>
      <c r="D5336" t="s">
        <v>52</v>
      </c>
      <c r="E5336" t="s">
        <v>116</v>
      </c>
      <c r="F5336" t="s">
        <v>117</v>
      </c>
      <c r="G5336" t="s">
        <v>41</v>
      </c>
      <c r="H5336" t="s">
        <v>22</v>
      </c>
      <c r="I5336" s="3">
        <v>47</v>
      </c>
      <c r="J5336" s="2">
        <v>81</v>
      </c>
      <c r="K5336" s="3">
        <f t="shared" si="83"/>
        <v>3807</v>
      </c>
      <c r="L5336" s="3">
        <v>2093.8500000000004</v>
      </c>
    </row>
    <row r="5337" spans="1:12" x14ac:dyDescent="0.25">
      <c r="A5337" t="s">
        <v>23</v>
      </c>
      <c r="B5337">
        <v>1197831</v>
      </c>
      <c r="C5337" s="1">
        <v>44428</v>
      </c>
      <c r="D5337" t="s">
        <v>52</v>
      </c>
      <c r="E5337" t="s">
        <v>114</v>
      </c>
      <c r="F5337" t="s">
        <v>115</v>
      </c>
      <c r="G5337" t="s">
        <v>15</v>
      </c>
      <c r="H5337" t="s">
        <v>38</v>
      </c>
      <c r="I5337" s="3">
        <v>43</v>
      </c>
      <c r="J5337" s="2">
        <v>233</v>
      </c>
      <c r="K5337" s="3">
        <f t="shared" si="83"/>
        <v>10019</v>
      </c>
      <c r="L5337" s="3">
        <v>5510.45</v>
      </c>
    </row>
    <row r="5338" spans="1:12" x14ac:dyDescent="0.25">
      <c r="A5338" t="s">
        <v>26</v>
      </c>
      <c r="B5338">
        <v>1197831</v>
      </c>
      <c r="C5338" s="1">
        <v>44428</v>
      </c>
      <c r="D5338" t="s">
        <v>52</v>
      </c>
      <c r="E5338" t="s">
        <v>53</v>
      </c>
      <c r="F5338" t="s">
        <v>54</v>
      </c>
      <c r="G5338" t="s">
        <v>15</v>
      </c>
      <c r="H5338" t="s">
        <v>37</v>
      </c>
      <c r="I5338" s="3">
        <v>28</v>
      </c>
      <c r="J5338" s="2">
        <v>136</v>
      </c>
      <c r="K5338" s="3">
        <f t="shared" si="83"/>
        <v>3808</v>
      </c>
      <c r="L5338" s="3">
        <v>2094.3999999999996</v>
      </c>
    </row>
    <row r="5339" spans="1:12" x14ac:dyDescent="0.25">
      <c r="A5339" t="s">
        <v>23</v>
      </c>
      <c r="B5339">
        <v>1197831</v>
      </c>
      <c r="C5339" s="1">
        <v>44428</v>
      </c>
      <c r="D5339" t="s">
        <v>52</v>
      </c>
      <c r="E5339" t="s">
        <v>114</v>
      </c>
      <c r="F5339" t="s">
        <v>115</v>
      </c>
      <c r="G5339" t="s">
        <v>15</v>
      </c>
      <c r="H5339" t="s">
        <v>37</v>
      </c>
      <c r="I5339" s="3">
        <v>29</v>
      </c>
      <c r="J5339" s="2">
        <v>132</v>
      </c>
      <c r="K5339" s="3">
        <f t="shared" si="83"/>
        <v>3828</v>
      </c>
      <c r="L5339" s="3">
        <v>2105.3999999999996</v>
      </c>
    </row>
    <row r="5340" spans="1:12" x14ac:dyDescent="0.25">
      <c r="A5340" t="s">
        <v>11</v>
      </c>
      <c r="B5340">
        <v>1197831</v>
      </c>
      <c r="C5340" s="1">
        <v>44428</v>
      </c>
      <c r="D5340" t="s">
        <v>52</v>
      </c>
      <c r="E5340" t="s">
        <v>116</v>
      </c>
      <c r="F5340" t="s">
        <v>117</v>
      </c>
      <c r="G5340" t="s">
        <v>41</v>
      </c>
      <c r="H5340" t="s">
        <v>17</v>
      </c>
      <c r="I5340" s="3">
        <v>51</v>
      </c>
      <c r="J5340" s="2">
        <v>113</v>
      </c>
      <c r="K5340" s="3">
        <f t="shared" si="83"/>
        <v>5763</v>
      </c>
      <c r="L5340" s="3">
        <v>3054.3900000000003</v>
      </c>
    </row>
    <row r="5341" spans="1:12" x14ac:dyDescent="0.25">
      <c r="A5341" t="s">
        <v>26</v>
      </c>
      <c r="B5341">
        <v>1197831</v>
      </c>
      <c r="C5341" s="1">
        <v>44428</v>
      </c>
      <c r="D5341" t="s">
        <v>52</v>
      </c>
      <c r="E5341" t="s">
        <v>99</v>
      </c>
      <c r="F5341" t="s">
        <v>100</v>
      </c>
      <c r="G5341" t="s">
        <v>15</v>
      </c>
      <c r="H5341" t="s">
        <v>17</v>
      </c>
      <c r="I5341" s="3">
        <v>16</v>
      </c>
      <c r="J5341" s="2">
        <v>202</v>
      </c>
      <c r="K5341" s="3">
        <f t="shared" si="83"/>
        <v>3232</v>
      </c>
      <c r="L5341" s="3">
        <v>1712.96</v>
      </c>
    </row>
    <row r="5342" spans="1:12" x14ac:dyDescent="0.25">
      <c r="A5342" t="s">
        <v>23</v>
      </c>
      <c r="B5342">
        <v>1197831</v>
      </c>
      <c r="C5342" s="1">
        <v>44428</v>
      </c>
      <c r="D5342" t="s">
        <v>52</v>
      </c>
      <c r="E5342" t="s">
        <v>114</v>
      </c>
      <c r="F5342" t="s">
        <v>115</v>
      </c>
      <c r="G5342" t="s">
        <v>15</v>
      </c>
      <c r="H5342" t="s">
        <v>16</v>
      </c>
      <c r="I5342" s="3">
        <v>40</v>
      </c>
      <c r="J5342" s="2">
        <v>193</v>
      </c>
      <c r="K5342" s="3">
        <f t="shared" si="83"/>
        <v>7720</v>
      </c>
      <c r="L5342" s="3">
        <v>4091.6</v>
      </c>
    </row>
    <row r="5343" spans="1:12" x14ac:dyDescent="0.25">
      <c r="A5343" t="s">
        <v>11</v>
      </c>
      <c r="B5343">
        <v>1197831</v>
      </c>
      <c r="C5343" s="1">
        <v>44428</v>
      </c>
      <c r="D5343" t="s">
        <v>52</v>
      </c>
      <c r="E5343" t="s">
        <v>116</v>
      </c>
      <c r="F5343" t="s">
        <v>117</v>
      </c>
      <c r="G5343" t="s">
        <v>15</v>
      </c>
      <c r="H5343" t="s">
        <v>16</v>
      </c>
      <c r="I5343" s="3">
        <v>40</v>
      </c>
      <c r="J5343" s="2">
        <v>166</v>
      </c>
      <c r="K5343" s="3">
        <f t="shared" si="83"/>
        <v>6640</v>
      </c>
      <c r="L5343" s="3">
        <v>3519.2</v>
      </c>
    </row>
    <row r="5344" spans="1:12" x14ac:dyDescent="0.25">
      <c r="A5344" t="s">
        <v>11</v>
      </c>
      <c r="B5344">
        <v>1197831</v>
      </c>
      <c r="C5344" s="1">
        <v>44428</v>
      </c>
      <c r="D5344" t="s">
        <v>52</v>
      </c>
      <c r="E5344" t="s">
        <v>116</v>
      </c>
      <c r="F5344" t="s">
        <v>117</v>
      </c>
      <c r="G5344" t="s">
        <v>15</v>
      </c>
      <c r="H5344" t="s">
        <v>35</v>
      </c>
      <c r="I5344" s="3">
        <v>38</v>
      </c>
      <c r="J5344" s="2">
        <v>113</v>
      </c>
      <c r="K5344" s="3">
        <f t="shared" si="83"/>
        <v>4294</v>
      </c>
      <c r="L5344" s="3">
        <v>2275.8199999999997</v>
      </c>
    </row>
    <row r="5345" spans="1:12" x14ac:dyDescent="0.25">
      <c r="A5345" t="s">
        <v>23</v>
      </c>
      <c r="B5345">
        <v>1197831</v>
      </c>
      <c r="C5345" s="1">
        <v>44428</v>
      </c>
      <c r="D5345" t="s">
        <v>52</v>
      </c>
      <c r="E5345" t="s">
        <v>114</v>
      </c>
      <c r="F5345" t="s">
        <v>115</v>
      </c>
      <c r="G5345" t="s">
        <v>41</v>
      </c>
      <c r="H5345" t="s">
        <v>17</v>
      </c>
      <c r="I5345" s="3">
        <v>50</v>
      </c>
      <c r="J5345" s="2">
        <v>152</v>
      </c>
      <c r="K5345" s="3">
        <f t="shared" si="83"/>
        <v>7600</v>
      </c>
      <c r="L5345" s="3">
        <v>3952</v>
      </c>
    </row>
    <row r="5346" spans="1:12" x14ac:dyDescent="0.25">
      <c r="A5346" t="s">
        <v>23</v>
      </c>
      <c r="B5346">
        <v>1197831</v>
      </c>
      <c r="C5346" s="1">
        <v>44428</v>
      </c>
      <c r="D5346" t="s">
        <v>52</v>
      </c>
      <c r="E5346" t="s">
        <v>114</v>
      </c>
      <c r="F5346" t="s">
        <v>115</v>
      </c>
      <c r="G5346" t="s">
        <v>41</v>
      </c>
      <c r="H5346" t="s">
        <v>22</v>
      </c>
      <c r="I5346" s="3">
        <v>48</v>
      </c>
      <c r="J5346" s="2">
        <v>113</v>
      </c>
      <c r="K5346" s="3">
        <f t="shared" si="83"/>
        <v>5424</v>
      </c>
      <c r="L5346" s="3">
        <v>2766.2400000000002</v>
      </c>
    </row>
    <row r="5347" spans="1:12" x14ac:dyDescent="0.25">
      <c r="A5347" t="s">
        <v>23</v>
      </c>
      <c r="B5347">
        <v>1197831</v>
      </c>
      <c r="C5347" s="1">
        <v>44428</v>
      </c>
      <c r="D5347" t="s">
        <v>52</v>
      </c>
      <c r="E5347" t="s">
        <v>114</v>
      </c>
      <c r="F5347" t="s">
        <v>115</v>
      </c>
      <c r="G5347" t="s">
        <v>41</v>
      </c>
      <c r="H5347" t="s">
        <v>37</v>
      </c>
      <c r="I5347" s="3">
        <v>39</v>
      </c>
      <c r="J5347" s="2">
        <v>104</v>
      </c>
      <c r="K5347" s="3">
        <f t="shared" si="83"/>
        <v>4056</v>
      </c>
      <c r="L5347" s="3">
        <v>2028</v>
      </c>
    </row>
    <row r="5348" spans="1:12" x14ac:dyDescent="0.25">
      <c r="A5348" t="s">
        <v>11</v>
      </c>
      <c r="B5348">
        <v>1197831</v>
      </c>
      <c r="C5348" s="1">
        <v>44428</v>
      </c>
      <c r="D5348" t="s">
        <v>52</v>
      </c>
      <c r="E5348" t="s">
        <v>116</v>
      </c>
      <c r="F5348" t="s">
        <v>117</v>
      </c>
      <c r="G5348" t="s">
        <v>41</v>
      </c>
      <c r="H5348" t="s">
        <v>38</v>
      </c>
      <c r="I5348" s="3">
        <v>56</v>
      </c>
      <c r="J5348" s="2">
        <v>189</v>
      </c>
      <c r="K5348" s="3">
        <f t="shared" si="83"/>
        <v>10584</v>
      </c>
      <c r="L5348" s="3">
        <v>5186.16</v>
      </c>
    </row>
    <row r="5349" spans="1:12" x14ac:dyDescent="0.25">
      <c r="A5349" t="s">
        <v>23</v>
      </c>
      <c r="B5349">
        <v>1197831</v>
      </c>
      <c r="C5349" s="1">
        <v>44428</v>
      </c>
      <c r="D5349" t="s">
        <v>52</v>
      </c>
      <c r="E5349" t="s">
        <v>114</v>
      </c>
      <c r="F5349" t="s">
        <v>115</v>
      </c>
      <c r="G5349" t="s">
        <v>41</v>
      </c>
      <c r="H5349" t="s">
        <v>35</v>
      </c>
      <c r="I5349" s="3">
        <v>47</v>
      </c>
      <c r="J5349" s="2">
        <v>126</v>
      </c>
      <c r="K5349" s="3">
        <f t="shared" si="83"/>
        <v>5922</v>
      </c>
      <c r="L5349" s="3">
        <v>2842.56</v>
      </c>
    </row>
    <row r="5350" spans="1:12" x14ac:dyDescent="0.25">
      <c r="A5350" t="s">
        <v>23</v>
      </c>
      <c r="B5350">
        <v>1197831</v>
      </c>
      <c r="C5350" s="1">
        <v>44428</v>
      </c>
      <c r="D5350" t="s">
        <v>52</v>
      </c>
      <c r="E5350" t="s">
        <v>114</v>
      </c>
      <c r="F5350" t="s">
        <v>115</v>
      </c>
      <c r="G5350" t="s">
        <v>41</v>
      </c>
      <c r="H5350" t="s">
        <v>16</v>
      </c>
      <c r="I5350" s="3">
        <v>50</v>
      </c>
      <c r="J5350" s="2">
        <v>143</v>
      </c>
      <c r="K5350" s="3">
        <f t="shared" si="83"/>
        <v>7150</v>
      </c>
      <c r="L5350" s="3">
        <v>3432</v>
      </c>
    </row>
    <row r="5351" spans="1:12" x14ac:dyDescent="0.25">
      <c r="A5351" t="s">
        <v>11</v>
      </c>
      <c r="B5351">
        <v>1197831</v>
      </c>
      <c r="C5351" s="1">
        <v>44428</v>
      </c>
      <c r="D5351" t="s">
        <v>52</v>
      </c>
      <c r="E5351" t="s">
        <v>116</v>
      </c>
      <c r="F5351" t="s">
        <v>117</v>
      </c>
      <c r="G5351" t="s">
        <v>41</v>
      </c>
      <c r="H5351" t="s">
        <v>37</v>
      </c>
      <c r="I5351" s="3">
        <v>37</v>
      </c>
      <c r="J5351" s="2">
        <v>88</v>
      </c>
      <c r="K5351" s="3">
        <f t="shared" si="83"/>
        <v>3256</v>
      </c>
      <c r="L5351" s="3">
        <v>1562.8799999999999</v>
      </c>
    </row>
    <row r="5352" spans="1:12" x14ac:dyDescent="0.25">
      <c r="A5352" t="s">
        <v>11</v>
      </c>
      <c r="B5352">
        <v>1197831</v>
      </c>
      <c r="C5352" s="1">
        <v>44428</v>
      </c>
      <c r="D5352" t="s">
        <v>52</v>
      </c>
      <c r="E5352" t="s">
        <v>116</v>
      </c>
      <c r="F5352" t="s">
        <v>117</v>
      </c>
      <c r="G5352" t="s">
        <v>41</v>
      </c>
      <c r="H5352" t="s">
        <v>16</v>
      </c>
      <c r="I5352" s="3">
        <v>50</v>
      </c>
      <c r="J5352" s="2">
        <v>124</v>
      </c>
      <c r="K5352" s="3">
        <f t="shared" si="83"/>
        <v>6200</v>
      </c>
      <c r="L5352" s="3">
        <v>2976</v>
      </c>
    </row>
    <row r="5353" spans="1:12" x14ac:dyDescent="0.25">
      <c r="A5353" t="s">
        <v>26</v>
      </c>
      <c r="B5353">
        <v>1197831</v>
      </c>
      <c r="C5353" s="1">
        <v>44428</v>
      </c>
      <c r="D5353" t="s">
        <v>52</v>
      </c>
      <c r="E5353" t="s">
        <v>53</v>
      </c>
      <c r="F5353" t="s">
        <v>54</v>
      </c>
      <c r="G5353" t="s">
        <v>41</v>
      </c>
      <c r="H5353" t="s">
        <v>37</v>
      </c>
      <c r="I5353" s="3">
        <v>32</v>
      </c>
      <c r="J5353" s="2">
        <v>128</v>
      </c>
      <c r="K5353" s="3">
        <f t="shared" si="83"/>
        <v>4096</v>
      </c>
      <c r="L5353" s="3">
        <v>1925.12</v>
      </c>
    </row>
    <row r="5354" spans="1:12" x14ac:dyDescent="0.25">
      <c r="A5354" t="s">
        <v>11</v>
      </c>
      <c r="B5354">
        <v>1197831</v>
      </c>
      <c r="C5354" s="1">
        <v>44428</v>
      </c>
      <c r="D5354" t="s">
        <v>52</v>
      </c>
      <c r="E5354" t="s">
        <v>116</v>
      </c>
      <c r="F5354" t="s">
        <v>117</v>
      </c>
      <c r="G5354" t="s">
        <v>41</v>
      </c>
      <c r="H5354" t="s">
        <v>35</v>
      </c>
      <c r="I5354" s="3">
        <v>47</v>
      </c>
      <c r="J5354" s="2">
        <v>113</v>
      </c>
      <c r="K5354" s="3">
        <f t="shared" si="83"/>
        <v>5311</v>
      </c>
      <c r="L5354" s="3">
        <v>2496.17</v>
      </c>
    </row>
    <row r="5355" spans="1:12" x14ac:dyDescent="0.25">
      <c r="A5355" t="s">
        <v>23</v>
      </c>
      <c r="B5355">
        <v>1197831</v>
      </c>
      <c r="C5355" s="1">
        <v>44428</v>
      </c>
      <c r="D5355" t="s">
        <v>52</v>
      </c>
      <c r="E5355" t="s">
        <v>114</v>
      </c>
      <c r="F5355" t="s">
        <v>115</v>
      </c>
      <c r="G5355" t="s">
        <v>41</v>
      </c>
      <c r="H5355" t="s">
        <v>38</v>
      </c>
      <c r="I5355" s="3">
        <v>55</v>
      </c>
      <c r="J5355" s="2">
        <v>210</v>
      </c>
      <c r="K5355" s="3">
        <f t="shared" si="83"/>
        <v>11550</v>
      </c>
      <c r="L5355" s="3">
        <v>5313</v>
      </c>
    </row>
    <row r="5356" spans="1:12" x14ac:dyDescent="0.25">
      <c r="A5356" t="s">
        <v>26</v>
      </c>
      <c r="B5356">
        <v>1197831</v>
      </c>
      <c r="C5356" s="1">
        <v>44428</v>
      </c>
      <c r="D5356" t="s">
        <v>52</v>
      </c>
      <c r="E5356" t="s">
        <v>99</v>
      </c>
      <c r="F5356" t="s">
        <v>100</v>
      </c>
      <c r="G5356" t="s">
        <v>41</v>
      </c>
      <c r="H5356" t="s">
        <v>17</v>
      </c>
      <c r="I5356" s="3">
        <v>19</v>
      </c>
      <c r="J5356" s="2">
        <v>189</v>
      </c>
      <c r="K5356" s="3">
        <f t="shared" si="83"/>
        <v>3591</v>
      </c>
      <c r="L5356" s="3">
        <v>1508.2200000000003</v>
      </c>
    </row>
    <row r="5357" spans="1:12" x14ac:dyDescent="0.25">
      <c r="A5357" t="s">
        <v>36</v>
      </c>
      <c r="B5357">
        <v>1185732</v>
      </c>
      <c r="C5357" s="1">
        <v>44429</v>
      </c>
      <c r="D5357" t="s">
        <v>12</v>
      </c>
      <c r="E5357" t="s">
        <v>24</v>
      </c>
      <c r="F5357" t="s">
        <v>25</v>
      </c>
      <c r="G5357" t="s">
        <v>15</v>
      </c>
      <c r="H5357" t="s">
        <v>37</v>
      </c>
      <c r="I5357" s="3">
        <v>55.000000000000007</v>
      </c>
      <c r="J5357" s="2">
        <v>250</v>
      </c>
      <c r="K5357" s="3">
        <f t="shared" si="83"/>
        <v>13750.000000000002</v>
      </c>
      <c r="L5357" s="3">
        <v>10312.500000000004</v>
      </c>
    </row>
    <row r="5358" spans="1:12" x14ac:dyDescent="0.25">
      <c r="A5358" t="s">
        <v>26</v>
      </c>
      <c r="B5358">
        <v>1197831</v>
      </c>
      <c r="C5358" s="1">
        <v>44429</v>
      </c>
      <c r="D5358" t="s">
        <v>52</v>
      </c>
      <c r="E5358" t="s">
        <v>53</v>
      </c>
      <c r="F5358" t="s">
        <v>54</v>
      </c>
      <c r="G5358" t="s">
        <v>15</v>
      </c>
      <c r="H5358" t="s">
        <v>22</v>
      </c>
      <c r="I5358" s="3">
        <v>40</v>
      </c>
      <c r="J5358" s="2">
        <v>300</v>
      </c>
      <c r="K5358" s="3">
        <f t="shared" si="83"/>
        <v>12000</v>
      </c>
      <c r="L5358" s="3">
        <v>9000</v>
      </c>
    </row>
    <row r="5359" spans="1:12" x14ac:dyDescent="0.25">
      <c r="A5359" t="s">
        <v>36</v>
      </c>
      <c r="B5359">
        <v>1185732</v>
      </c>
      <c r="C5359" s="1">
        <v>44429</v>
      </c>
      <c r="D5359" t="s">
        <v>12</v>
      </c>
      <c r="E5359" t="s">
        <v>24</v>
      </c>
      <c r="F5359" t="s">
        <v>25</v>
      </c>
      <c r="G5359" t="s">
        <v>15</v>
      </c>
      <c r="H5359" t="s">
        <v>35</v>
      </c>
      <c r="I5359" s="3">
        <v>55.000000000000007</v>
      </c>
      <c r="J5359" s="2">
        <v>350</v>
      </c>
      <c r="K5359" s="3">
        <f t="shared" si="83"/>
        <v>19250.000000000004</v>
      </c>
      <c r="L5359" s="3">
        <v>14437.500000000004</v>
      </c>
    </row>
    <row r="5360" spans="1:12" x14ac:dyDescent="0.25">
      <c r="A5360" t="s">
        <v>36</v>
      </c>
      <c r="B5360">
        <v>1185732</v>
      </c>
      <c r="C5360" s="1">
        <v>44429</v>
      </c>
      <c r="D5360" t="s">
        <v>12</v>
      </c>
      <c r="E5360" t="s">
        <v>24</v>
      </c>
      <c r="F5360" t="s">
        <v>25</v>
      </c>
      <c r="G5360" t="s">
        <v>15</v>
      </c>
      <c r="H5360" t="s">
        <v>22</v>
      </c>
      <c r="I5360" s="3">
        <v>65</v>
      </c>
      <c r="J5360" s="2">
        <v>225</v>
      </c>
      <c r="K5360" s="3">
        <f t="shared" si="83"/>
        <v>14625</v>
      </c>
      <c r="L5360" s="3">
        <v>10968.75</v>
      </c>
    </row>
    <row r="5361" spans="1:12" x14ac:dyDescent="0.25">
      <c r="A5361" t="s">
        <v>26</v>
      </c>
      <c r="B5361">
        <v>1185732</v>
      </c>
      <c r="C5361" s="1">
        <v>44429</v>
      </c>
      <c r="D5361" t="s">
        <v>29</v>
      </c>
      <c r="E5361" t="s">
        <v>87</v>
      </c>
      <c r="F5361" t="s">
        <v>88</v>
      </c>
      <c r="G5361" t="s">
        <v>18</v>
      </c>
      <c r="H5361" t="s">
        <v>22</v>
      </c>
      <c r="I5361" s="3">
        <v>49.999999999999993</v>
      </c>
      <c r="J5361" s="2">
        <v>125</v>
      </c>
      <c r="K5361" s="3">
        <f t="shared" si="83"/>
        <v>6249.9999999999991</v>
      </c>
      <c r="L5361" s="3">
        <v>4375</v>
      </c>
    </row>
    <row r="5362" spans="1:12" x14ac:dyDescent="0.25">
      <c r="A5362" t="s">
        <v>36</v>
      </c>
      <c r="B5362">
        <v>1185732</v>
      </c>
      <c r="C5362" s="1">
        <v>44429</v>
      </c>
      <c r="D5362" t="s">
        <v>12</v>
      </c>
      <c r="E5362" t="s">
        <v>24</v>
      </c>
      <c r="F5362" t="s">
        <v>25</v>
      </c>
      <c r="G5362" t="s">
        <v>15</v>
      </c>
      <c r="H5362" t="s">
        <v>16</v>
      </c>
      <c r="I5362" s="3">
        <v>70</v>
      </c>
      <c r="J5362" s="2">
        <v>400</v>
      </c>
      <c r="K5362" s="3">
        <f t="shared" si="83"/>
        <v>28000</v>
      </c>
      <c r="L5362" s="3">
        <v>19600</v>
      </c>
    </row>
    <row r="5363" spans="1:12" x14ac:dyDescent="0.25">
      <c r="A5363" t="s">
        <v>26</v>
      </c>
      <c r="B5363">
        <v>1185732</v>
      </c>
      <c r="C5363" s="1">
        <v>44429</v>
      </c>
      <c r="D5363" t="s">
        <v>29</v>
      </c>
      <c r="E5363" t="s">
        <v>87</v>
      </c>
      <c r="F5363" t="s">
        <v>88</v>
      </c>
      <c r="G5363" t="s">
        <v>18</v>
      </c>
      <c r="H5363" t="s">
        <v>16</v>
      </c>
      <c r="I5363" s="3">
        <v>54.999999999999993</v>
      </c>
      <c r="J5363" s="2">
        <v>300</v>
      </c>
      <c r="K5363" s="3">
        <f t="shared" si="83"/>
        <v>16499.999999999996</v>
      </c>
      <c r="L5363" s="3">
        <v>11549.999999999996</v>
      </c>
    </row>
    <row r="5364" spans="1:12" x14ac:dyDescent="0.25">
      <c r="A5364" t="s">
        <v>36</v>
      </c>
      <c r="B5364">
        <v>1185732</v>
      </c>
      <c r="C5364" s="1">
        <v>44429</v>
      </c>
      <c r="D5364" t="s">
        <v>12</v>
      </c>
      <c r="E5364" t="s">
        <v>24</v>
      </c>
      <c r="F5364" t="s">
        <v>25</v>
      </c>
      <c r="G5364" t="s">
        <v>15</v>
      </c>
      <c r="H5364" t="s">
        <v>38</v>
      </c>
      <c r="I5364" s="3">
        <v>65</v>
      </c>
      <c r="J5364" s="2">
        <v>650</v>
      </c>
      <c r="K5364" s="3">
        <f t="shared" si="83"/>
        <v>42250</v>
      </c>
      <c r="L5364" s="3">
        <v>27462.5</v>
      </c>
    </row>
    <row r="5365" spans="1:12" x14ac:dyDescent="0.25">
      <c r="A5365" t="s">
        <v>26</v>
      </c>
      <c r="B5365">
        <v>1185732</v>
      </c>
      <c r="C5365" s="1">
        <v>44429</v>
      </c>
      <c r="D5365" t="s">
        <v>29</v>
      </c>
      <c r="E5365" t="s">
        <v>87</v>
      </c>
      <c r="F5365" t="s">
        <v>88</v>
      </c>
      <c r="G5365" t="s">
        <v>18</v>
      </c>
      <c r="H5365" t="s">
        <v>17</v>
      </c>
      <c r="I5365" s="3">
        <v>45</v>
      </c>
      <c r="J5365" s="2">
        <v>275</v>
      </c>
      <c r="K5365" s="3">
        <f t="shared" si="83"/>
        <v>12375</v>
      </c>
      <c r="L5365" s="3">
        <v>8043.75</v>
      </c>
    </row>
    <row r="5366" spans="1:12" x14ac:dyDescent="0.25">
      <c r="A5366" t="s">
        <v>26</v>
      </c>
      <c r="B5366">
        <v>1185732</v>
      </c>
      <c r="C5366" s="1">
        <v>44429</v>
      </c>
      <c r="D5366" t="s">
        <v>29</v>
      </c>
      <c r="E5366" t="s">
        <v>87</v>
      </c>
      <c r="F5366" t="s">
        <v>88</v>
      </c>
      <c r="G5366" t="s">
        <v>18</v>
      </c>
      <c r="H5366" t="s">
        <v>35</v>
      </c>
      <c r="I5366" s="3">
        <v>40</v>
      </c>
      <c r="J5366" s="2">
        <v>200</v>
      </c>
      <c r="K5366" s="3">
        <f t="shared" si="83"/>
        <v>8000</v>
      </c>
      <c r="L5366" s="3">
        <v>5200</v>
      </c>
    </row>
    <row r="5367" spans="1:12" x14ac:dyDescent="0.25">
      <c r="A5367" t="s">
        <v>26</v>
      </c>
      <c r="B5367">
        <v>1185732</v>
      </c>
      <c r="C5367" s="1">
        <v>44429</v>
      </c>
      <c r="D5367" t="s">
        <v>29</v>
      </c>
      <c r="E5367" t="s">
        <v>87</v>
      </c>
      <c r="F5367" t="s">
        <v>88</v>
      </c>
      <c r="G5367" t="s">
        <v>18</v>
      </c>
      <c r="H5367" t="s">
        <v>37</v>
      </c>
      <c r="I5367" s="3">
        <v>40</v>
      </c>
      <c r="J5367" s="2">
        <v>150</v>
      </c>
      <c r="K5367" s="3">
        <f t="shared" si="83"/>
        <v>6000</v>
      </c>
      <c r="L5367" s="3">
        <v>3900</v>
      </c>
    </row>
    <row r="5368" spans="1:12" x14ac:dyDescent="0.25">
      <c r="A5368" t="s">
        <v>36</v>
      </c>
      <c r="B5368">
        <v>1185732</v>
      </c>
      <c r="C5368" s="1">
        <v>44429</v>
      </c>
      <c r="D5368" t="s">
        <v>12</v>
      </c>
      <c r="E5368" t="s">
        <v>24</v>
      </c>
      <c r="F5368" t="s">
        <v>25</v>
      </c>
      <c r="G5368" t="s">
        <v>15</v>
      </c>
      <c r="H5368" t="s">
        <v>17</v>
      </c>
      <c r="I5368" s="3">
        <v>60.000000000000007</v>
      </c>
      <c r="J5368" s="2">
        <v>425</v>
      </c>
      <c r="K5368" s="3">
        <f t="shared" si="83"/>
        <v>25500.000000000004</v>
      </c>
      <c r="L5368" s="3">
        <v>16575</v>
      </c>
    </row>
    <row r="5369" spans="1:12" x14ac:dyDescent="0.25">
      <c r="A5369" t="s">
        <v>26</v>
      </c>
      <c r="B5369">
        <v>1185732</v>
      </c>
      <c r="C5369" s="1">
        <v>44429</v>
      </c>
      <c r="D5369" t="s">
        <v>29</v>
      </c>
      <c r="E5369" t="s">
        <v>87</v>
      </c>
      <c r="F5369" t="s">
        <v>88</v>
      </c>
      <c r="G5369" t="s">
        <v>18</v>
      </c>
      <c r="H5369" t="s">
        <v>38</v>
      </c>
      <c r="I5369" s="3">
        <v>49.999999999999993</v>
      </c>
      <c r="J5369" s="2">
        <v>500</v>
      </c>
      <c r="K5369" s="3">
        <f t="shared" si="83"/>
        <v>24999.999999999996</v>
      </c>
      <c r="L5369" s="3">
        <v>14999.999999999996</v>
      </c>
    </row>
    <row r="5370" spans="1:12" x14ac:dyDescent="0.25">
      <c r="A5370" t="s">
        <v>26</v>
      </c>
      <c r="B5370">
        <v>1197831</v>
      </c>
      <c r="C5370" s="1">
        <v>44429</v>
      </c>
      <c r="D5370" t="s">
        <v>52</v>
      </c>
      <c r="E5370" t="s">
        <v>99</v>
      </c>
      <c r="F5370" t="s">
        <v>100</v>
      </c>
      <c r="G5370" t="s">
        <v>15</v>
      </c>
      <c r="H5370" t="s">
        <v>35</v>
      </c>
      <c r="I5370" s="3">
        <v>14.999999999999996</v>
      </c>
      <c r="J5370" s="2">
        <v>475</v>
      </c>
      <c r="K5370" s="3">
        <f t="shared" si="83"/>
        <v>7124.9999999999982</v>
      </c>
      <c r="L5370" s="3">
        <v>3918.75</v>
      </c>
    </row>
    <row r="5371" spans="1:12" x14ac:dyDescent="0.25">
      <c r="A5371" t="s">
        <v>26</v>
      </c>
      <c r="B5371">
        <v>1197831</v>
      </c>
      <c r="C5371" s="1">
        <v>44429</v>
      </c>
      <c r="D5371" t="s">
        <v>52</v>
      </c>
      <c r="E5371" t="s">
        <v>53</v>
      </c>
      <c r="F5371" t="s">
        <v>54</v>
      </c>
      <c r="G5371" t="s">
        <v>15</v>
      </c>
      <c r="H5371" t="s">
        <v>22</v>
      </c>
      <c r="I5371" s="3">
        <v>26</v>
      </c>
      <c r="J5371" s="2">
        <v>93</v>
      </c>
      <c r="K5371" s="3">
        <f t="shared" si="83"/>
        <v>2418</v>
      </c>
      <c r="L5371" s="3">
        <v>1644.24</v>
      </c>
    </row>
    <row r="5372" spans="1:12" x14ac:dyDescent="0.25">
      <c r="A5372" t="s">
        <v>26</v>
      </c>
      <c r="B5372">
        <v>1197831</v>
      </c>
      <c r="C5372" s="1">
        <v>44429</v>
      </c>
      <c r="D5372" t="s">
        <v>52</v>
      </c>
      <c r="E5372" t="s">
        <v>53</v>
      </c>
      <c r="F5372" t="s">
        <v>54</v>
      </c>
      <c r="G5372" t="s">
        <v>41</v>
      </c>
      <c r="H5372" t="s">
        <v>22</v>
      </c>
      <c r="I5372" s="3">
        <v>38</v>
      </c>
      <c r="J5372" s="2">
        <v>75</v>
      </c>
      <c r="K5372" s="3">
        <f t="shared" si="83"/>
        <v>2850</v>
      </c>
      <c r="L5372" s="3">
        <v>1852.5</v>
      </c>
    </row>
    <row r="5373" spans="1:12" x14ac:dyDescent="0.25">
      <c r="A5373" t="s">
        <v>36</v>
      </c>
      <c r="B5373">
        <v>1185732</v>
      </c>
      <c r="C5373" s="1">
        <v>44429</v>
      </c>
      <c r="D5373" t="s">
        <v>12</v>
      </c>
      <c r="E5373" t="s">
        <v>24</v>
      </c>
      <c r="F5373" t="s">
        <v>25</v>
      </c>
      <c r="G5373" t="s">
        <v>41</v>
      </c>
      <c r="H5373" t="s">
        <v>35</v>
      </c>
      <c r="I5373" s="3">
        <v>54</v>
      </c>
      <c r="J5373" s="2">
        <v>102</v>
      </c>
      <c r="K5373" s="3">
        <f t="shared" si="83"/>
        <v>5508</v>
      </c>
      <c r="L5373" s="3">
        <v>3525.12</v>
      </c>
    </row>
    <row r="5374" spans="1:12" x14ac:dyDescent="0.25">
      <c r="A5374" t="s">
        <v>36</v>
      </c>
      <c r="B5374">
        <v>1185732</v>
      </c>
      <c r="C5374" s="1">
        <v>44429</v>
      </c>
      <c r="D5374" t="s">
        <v>12</v>
      </c>
      <c r="E5374" t="s">
        <v>24</v>
      </c>
      <c r="F5374" t="s">
        <v>25</v>
      </c>
      <c r="G5374" t="s">
        <v>41</v>
      </c>
      <c r="H5374" t="s">
        <v>22</v>
      </c>
      <c r="I5374" s="3">
        <v>62</v>
      </c>
      <c r="J5374" s="2">
        <v>65</v>
      </c>
      <c r="K5374" s="3">
        <f t="shared" si="83"/>
        <v>4030</v>
      </c>
      <c r="L5374" s="3">
        <v>2498.6</v>
      </c>
    </row>
    <row r="5375" spans="1:12" x14ac:dyDescent="0.25">
      <c r="A5375" t="s">
        <v>36</v>
      </c>
      <c r="B5375">
        <v>1185732</v>
      </c>
      <c r="C5375" s="1">
        <v>44429</v>
      </c>
      <c r="D5375" t="s">
        <v>12</v>
      </c>
      <c r="E5375" t="s">
        <v>24</v>
      </c>
      <c r="F5375" t="s">
        <v>25</v>
      </c>
      <c r="G5375" t="s">
        <v>41</v>
      </c>
      <c r="H5375" t="s">
        <v>37</v>
      </c>
      <c r="I5375" s="3">
        <v>53</v>
      </c>
      <c r="J5375" s="2">
        <v>68</v>
      </c>
      <c r="K5375" s="3">
        <f t="shared" si="83"/>
        <v>3604</v>
      </c>
      <c r="L5375" s="3">
        <v>2162.3999999999996</v>
      </c>
    </row>
    <row r="5376" spans="1:12" x14ac:dyDescent="0.25">
      <c r="A5376" t="s">
        <v>36</v>
      </c>
      <c r="B5376">
        <v>1185732</v>
      </c>
      <c r="C5376" s="1">
        <v>44429</v>
      </c>
      <c r="D5376" t="s">
        <v>12</v>
      </c>
      <c r="E5376" t="s">
        <v>24</v>
      </c>
      <c r="F5376" t="s">
        <v>25</v>
      </c>
      <c r="G5376" t="s">
        <v>41</v>
      </c>
      <c r="H5376" t="s">
        <v>16</v>
      </c>
      <c r="I5376" s="3">
        <v>67</v>
      </c>
      <c r="J5376" s="2">
        <v>104</v>
      </c>
      <c r="K5376" s="3">
        <f t="shared" si="83"/>
        <v>6968</v>
      </c>
      <c r="L5376" s="3">
        <v>4041.44</v>
      </c>
    </row>
    <row r="5377" spans="1:12" x14ac:dyDescent="0.25">
      <c r="A5377" t="s">
        <v>26</v>
      </c>
      <c r="B5377">
        <v>1185732</v>
      </c>
      <c r="C5377" s="1">
        <v>44429</v>
      </c>
      <c r="D5377" t="s">
        <v>29</v>
      </c>
      <c r="E5377" t="s">
        <v>87</v>
      </c>
      <c r="F5377" t="s">
        <v>88</v>
      </c>
      <c r="G5377" t="s">
        <v>41</v>
      </c>
      <c r="H5377" t="s">
        <v>16</v>
      </c>
      <c r="I5377" s="3">
        <v>53</v>
      </c>
      <c r="J5377" s="2">
        <v>81</v>
      </c>
      <c r="K5377" s="3">
        <f t="shared" si="83"/>
        <v>4293</v>
      </c>
      <c r="L5377" s="3">
        <v>2447.0100000000002</v>
      </c>
    </row>
    <row r="5378" spans="1:12" x14ac:dyDescent="0.25">
      <c r="A5378" t="s">
        <v>26</v>
      </c>
      <c r="B5378">
        <v>1185732</v>
      </c>
      <c r="C5378" s="1">
        <v>44429</v>
      </c>
      <c r="D5378" t="s">
        <v>29</v>
      </c>
      <c r="E5378" t="s">
        <v>87</v>
      </c>
      <c r="F5378" t="s">
        <v>88</v>
      </c>
      <c r="G5378" t="s">
        <v>41</v>
      </c>
      <c r="H5378" t="s">
        <v>22</v>
      </c>
      <c r="I5378" s="3">
        <v>47</v>
      </c>
      <c r="J5378" s="2">
        <v>38</v>
      </c>
      <c r="K5378" s="3">
        <f t="shared" si="83"/>
        <v>1786</v>
      </c>
      <c r="L5378" s="3">
        <v>982.30000000000007</v>
      </c>
    </row>
    <row r="5379" spans="1:12" x14ac:dyDescent="0.25">
      <c r="A5379" t="s">
        <v>36</v>
      </c>
      <c r="B5379">
        <v>1185732</v>
      </c>
      <c r="C5379" s="1">
        <v>44429</v>
      </c>
      <c r="D5379" t="s">
        <v>12</v>
      </c>
      <c r="E5379" t="s">
        <v>24</v>
      </c>
      <c r="F5379" t="s">
        <v>25</v>
      </c>
      <c r="G5379" t="s">
        <v>41</v>
      </c>
      <c r="H5379" t="s">
        <v>38</v>
      </c>
      <c r="I5379" s="3">
        <v>59</v>
      </c>
      <c r="J5379" s="2">
        <v>163</v>
      </c>
      <c r="K5379" s="3">
        <f t="shared" ref="K5379:K5442" si="84">I5379*J5379</f>
        <v>9617</v>
      </c>
      <c r="L5379" s="3">
        <v>5289.3499999999995</v>
      </c>
    </row>
    <row r="5380" spans="1:12" x14ac:dyDescent="0.25">
      <c r="A5380" t="s">
        <v>36</v>
      </c>
      <c r="B5380">
        <v>1185732</v>
      </c>
      <c r="C5380" s="1">
        <v>44429</v>
      </c>
      <c r="D5380" t="s">
        <v>12</v>
      </c>
      <c r="E5380" t="s">
        <v>24</v>
      </c>
      <c r="F5380" t="s">
        <v>25</v>
      </c>
      <c r="G5380" t="s">
        <v>41</v>
      </c>
      <c r="H5380" t="s">
        <v>17</v>
      </c>
      <c r="I5380" s="3">
        <v>56</v>
      </c>
      <c r="J5380" s="2">
        <v>106</v>
      </c>
      <c r="K5380" s="3">
        <f t="shared" si="84"/>
        <v>5936</v>
      </c>
      <c r="L5380" s="3">
        <v>3264.7999999999997</v>
      </c>
    </row>
    <row r="5381" spans="1:12" x14ac:dyDescent="0.25">
      <c r="A5381" t="s">
        <v>26</v>
      </c>
      <c r="B5381">
        <v>1185732</v>
      </c>
      <c r="C5381" s="1">
        <v>44429</v>
      </c>
      <c r="D5381" t="s">
        <v>29</v>
      </c>
      <c r="E5381" t="s">
        <v>87</v>
      </c>
      <c r="F5381" t="s">
        <v>88</v>
      </c>
      <c r="G5381" t="s">
        <v>41</v>
      </c>
      <c r="H5381" t="s">
        <v>37</v>
      </c>
      <c r="I5381" s="3">
        <v>37</v>
      </c>
      <c r="J5381" s="2">
        <v>44</v>
      </c>
      <c r="K5381" s="3">
        <f t="shared" si="84"/>
        <v>1628</v>
      </c>
      <c r="L5381" s="3">
        <v>879.12</v>
      </c>
    </row>
    <row r="5382" spans="1:12" x14ac:dyDescent="0.25">
      <c r="A5382" t="s">
        <v>26</v>
      </c>
      <c r="B5382">
        <v>1197831</v>
      </c>
      <c r="C5382" s="1">
        <v>44429</v>
      </c>
      <c r="D5382" t="s">
        <v>52</v>
      </c>
      <c r="E5382" t="s">
        <v>99</v>
      </c>
      <c r="F5382" t="s">
        <v>100</v>
      </c>
      <c r="G5382" t="s">
        <v>15</v>
      </c>
      <c r="H5382" t="s">
        <v>35</v>
      </c>
      <c r="I5382" s="3">
        <v>11</v>
      </c>
      <c r="J5382" s="2">
        <v>152</v>
      </c>
      <c r="K5382" s="3">
        <f t="shared" si="84"/>
        <v>1672</v>
      </c>
      <c r="L5382" s="3">
        <v>886.16000000000008</v>
      </c>
    </row>
    <row r="5383" spans="1:12" x14ac:dyDescent="0.25">
      <c r="A5383" t="s">
        <v>26</v>
      </c>
      <c r="B5383">
        <v>1185732</v>
      </c>
      <c r="C5383" s="1">
        <v>44429</v>
      </c>
      <c r="D5383" t="s">
        <v>29</v>
      </c>
      <c r="E5383" t="s">
        <v>87</v>
      </c>
      <c r="F5383" t="s">
        <v>88</v>
      </c>
      <c r="G5383" t="s">
        <v>41</v>
      </c>
      <c r="H5383" t="s">
        <v>17</v>
      </c>
      <c r="I5383" s="3">
        <v>41</v>
      </c>
      <c r="J5383" s="2">
        <v>83</v>
      </c>
      <c r="K5383" s="3">
        <f t="shared" si="84"/>
        <v>3403</v>
      </c>
      <c r="L5383" s="3">
        <v>1701.5</v>
      </c>
    </row>
    <row r="5384" spans="1:12" x14ac:dyDescent="0.25">
      <c r="A5384" t="s">
        <v>26</v>
      </c>
      <c r="B5384">
        <v>1185732</v>
      </c>
      <c r="C5384" s="1">
        <v>44429</v>
      </c>
      <c r="D5384" t="s">
        <v>29</v>
      </c>
      <c r="E5384" t="s">
        <v>87</v>
      </c>
      <c r="F5384" t="s">
        <v>88</v>
      </c>
      <c r="G5384" t="s">
        <v>41</v>
      </c>
      <c r="H5384" t="s">
        <v>35</v>
      </c>
      <c r="I5384" s="3">
        <v>39</v>
      </c>
      <c r="J5384" s="2">
        <v>60</v>
      </c>
      <c r="K5384" s="3">
        <f t="shared" si="84"/>
        <v>2340</v>
      </c>
      <c r="L5384" s="3">
        <v>1170</v>
      </c>
    </row>
    <row r="5385" spans="1:12" x14ac:dyDescent="0.25">
      <c r="A5385" t="s">
        <v>26</v>
      </c>
      <c r="B5385">
        <v>1185732</v>
      </c>
      <c r="C5385" s="1">
        <v>44429</v>
      </c>
      <c r="D5385" t="s">
        <v>29</v>
      </c>
      <c r="E5385" t="s">
        <v>87</v>
      </c>
      <c r="F5385" t="s">
        <v>88</v>
      </c>
      <c r="G5385" t="s">
        <v>41</v>
      </c>
      <c r="H5385" t="s">
        <v>38</v>
      </c>
      <c r="I5385" s="3">
        <v>48</v>
      </c>
      <c r="J5385" s="2">
        <v>135</v>
      </c>
      <c r="K5385" s="3">
        <f t="shared" si="84"/>
        <v>6480</v>
      </c>
      <c r="L5385" s="3">
        <v>3045.6</v>
      </c>
    </row>
    <row r="5386" spans="1:12" x14ac:dyDescent="0.25">
      <c r="A5386" t="s">
        <v>26</v>
      </c>
      <c r="B5386">
        <v>1197831</v>
      </c>
      <c r="C5386" s="1">
        <v>44429</v>
      </c>
      <c r="D5386" t="s">
        <v>52</v>
      </c>
      <c r="E5386" t="s">
        <v>99</v>
      </c>
      <c r="F5386" t="s">
        <v>100</v>
      </c>
      <c r="G5386" t="s">
        <v>41</v>
      </c>
      <c r="H5386" t="s">
        <v>35</v>
      </c>
      <c r="I5386" s="3">
        <v>14</v>
      </c>
      <c r="J5386" s="2">
        <v>119</v>
      </c>
      <c r="K5386" s="3">
        <f t="shared" si="84"/>
        <v>1666</v>
      </c>
      <c r="L5386" s="3">
        <v>683.06000000000006</v>
      </c>
    </row>
    <row r="5387" spans="1:12" x14ac:dyDescent="0.25">
      <c r="A5387" t="s">
        <v>36</v>
      </c>
      <c r="B5387">
        <v>1185732</v>
      </c>
      <c r="C5387" s="1">
        <v>44430</v>
      </c>
      <c r="D5387" t="s">
        <v>32</v>
      </c>
      <c r="E5387" t="s">
        <v>120</v>
      </c>
      <c r="F5387" t="s">
        <v>121</v>
      </c>
      <c r="G5387" t="s">
        <v>41</v>
      </c>
      <c r="H5387" t="s">
        <v>17</v>
      </c>
      <c r="I5387" s="3">
        <v>45.000000000000007</v>
      </c>
      <c r="J5387" s="2">
        <v>350</v>
      </c>
      <c r="K5387" s="3">
        <f t="shared" si="84"/>
        <v>15750.000000000002</v>
      </c>
      <c r="L5387" s="3">
        <v>10237.500000000004</v>
      </c>
    </row>
    <row r="5388" spans="1:12" x14ac:dyDescent="0.25">
      <c r="A5388" t="s">
        <v>36</v>
      </c>
      <c r="B5388">
        <v>1185732</v>
      </c>
      <c r="C5388" s="1">
        <v>44430</v>
      </c>
      <c r="D5388" t="s">
        <v>32</v>
      </c>
      <c r="E5388" t="s">
        <v>120</v>
      </c>
      <c r="F5388" t="s">
        <v>121</v>
      </c>
      <c r="G5388" t="s">
        <v>41</v>
      </c>
      <c r="H5388" t="s">
        <v>22</v>
      </c>
      <c r="I5388" s="3">
        <v>50</v>
      </c>
      <c r="J5388" s="2">
        <v>225</v>
      </c>
      <c r="K5388" s="3">
        <f t="shared" si="84"/>
        <v>11250</v>
      </c>
      <c r="L5388" s="3">
        <v>7312.5</v>
      </c>
    </row>
    <row r="5389" spans="1:12" x14ac:dyDescent="0.25">
      <c r="A5389" t="s">
        <v>36</v>
      </c>
      <c r="B5389">
        <v>1185732</v>
      </c>
      <c r="C5389" s="1">
        <v>44430</v>
      </c>
      <c r="D5389" t="s">
        <v>32</v>
      </c>
      <c r="E5389" t="s">
        <v>120</v>
      </c>
      <c r="F5389" t="s">
        <v>121</v>
      </c>
      <c r="G5389" t="s">
        <v>41</v>
      </c>
      <c r="H5389" t="s">
        <v>38</v>
      </c>
      <c r="I5389" s="3">
        <v>50</v>
      </c>
      <c r="J5389" s="2">
        <v>575</v>
      </c>
      <c r="K5389" s="3">
        <f t="shared" si="84"/>
        <v>28750</v>
      </c>
      <c r="L5389" s="3">
        <v>17250</v>
      </c>
    </row>
    <row r="5390" spans="1:12" x14ac:dyDescent="0.25">
      <c r="A5390" t="s">
        <v>36</v>
      </c>
      <c r="B5390">
        <v>1185732</v>
      </c>
      <c r="C5390" s="1">
        <v>44430</v>
      </c>
      <c r="D5390" t="s">
        <v>32</v>
      </c>
      <c r="E5390" t="s">
        <v>120</v>
      </c>
      <c r="F5390" t="s">
        <v>121</v>
      </c>
      <c r="G5390" t="s">
        <v>41</v>
      </c>
      <c r="H5390" t="s">
        <v>35</v>
      </c>
      <c r="I5390" s="3">
        <v>40</v>
      </c>
      <c r="J5390" s="2">
        <v>275</v>
      </c>
      <c r="K5390" s="3">
        <f t="shared" si="84"/>
        <v>11000</v>
      </c>
      <c r="L5390" s="3">
        <v>6600</v>
      </c>
    </row>
    <row r="5391" spans="1:12" x14ac:dyDescent="0.25">
      <c r="A5391" t="s">
        <v>36</v>
      </c>
      <c r="B5391">
        <v>1185732</v>
      </c>
      <c r="C5391" s="1">
        <v>44430</v>
      </c>
      <c r="D5391" t="s">
        <v>32</v>
      </c>
      <c r="E5391" t="s">
        <v>120</v>
      </c>
      <c r="F5391" t="s">
        <v>121</v>
      </c>
      <c r="G5391" t="s">
        <v>41</v>
      </c>
      <c r="H5391" t="s">
        <v>37</v>
      </c>
      <c r="I5391" s="3">
        <v>40</v>
      </c>
      <c r="J5391" s="2">
        <v>250</v>
      </c>
      <c r="K5391" s="3">
        <f t="shared" si="84"/>
        <v>10000</v>
      </c>
      <c r="L5391" s="3">
        <v>6000</v>
      </c>
    </row>
    <row r="5392" spans="1:12" x14ac:dyDescent="0.25">
      <c r="A5392" t="s">
        <v>36</v>
      </c>
      <c r="B5392">
        <v>1185732</v>
      </c>
      <c r="C5392" s="1">
        <v>44430</v>
      </c>
      <c r="D5392" t="s">
        <v>32</v>
      </c>
      <c r="E5392" t="s">
        <v>120</v>
      </c>
      <c r="F5392" t="s">
        <v>121</v>
      </c>
      <c r="G5392" t="s">
        <v>41</v>
      </c>
      <c r="H5392" t="s">
        <v>16</v>
      </c>
      <c r="I5392" s="3">
        <v>55.000000000000007</v>
      </c>
      <c r="J5392" s="2">
        <v>400</v>
      </c>
      <c r="K5392" s="3">
        <f t="shared" si="84"/>
        <v>22000.000000000004</v>
      </c>
      <c r="L5392" s="3">
        <v>13200</v>
      </c>
    </row>
    <row r="5393" spans="1:12" x14ac:dyDescent="0.25">
      <c r="A5393" t="s">
        <v>26</v>
      </c>
      <c r="B5393">
        <v>1197831</v>
      </c>
      <c r="C5393" s="1">
        <v>44430</v>
      </c>
      <c r="D5393" t="s">
        <v>52</v>
      </c>
      <c r="E5393" t="s">
        <v>53</v>
      </c>
      <c r="F5393" t="s">
        <v>54</v>
      </c>
      <c r="G5393" t="s">
        <v>15</v>
      </c>
      <c r="H5393" t="s">
        <v>16</v>
      </c>
      <c r="I5393" s="3">
        <v>35</v>
      </c>
      <c r="J5393" s="2">
        <v>500</v>
      </c>
      <c r="K5393" s="3">
        <f t="shared" si="84"/>
        <v>17500</v>
      </c>
      <c r="L5393" s="3">
        <v>9625</v>
      </c>
    </row>
    <row r="5394" spans="1:12" x14ac:dyDescent="0.25">
      <c r="A5394" t="s">
        <v>26</v>
      </c>
      <c r="B5394">
        <v>1197831</v>
      </c>
      <c r="C5394" s="1">
        <v>44430</v>
      </c>
      <c r="D5394" t="s">
        <v>52</v>
      </c>
      <c r="E5394" t="s">
        <v>99</v>
      </c>
      <c r="F5394" t="s">
        <v>100</v>
      </c>
      <c r="G5394" t="s">
        <v>15</v>
      </c>
      <c r="H5394" t="s">
        <v>37</v>
      </c>
      <c r="I5394" s="3">
        <v>20.000000000000007</v>
      </c>
      <c r="J5394" s="2">
        <v>375</v>
      </c>
      <c r="K5394" s="3">
        <f t="shared" si="84"/>
        <v>7500.0000000000027</v>
      </c>
      <c r="L5394" s="3">
        <v>3375.0000000000009</v>
      </c>
    </row>
    <row r="5395" spans="1:12" x14ac:dyDescent="0.25">
      <c r="A5395" t="s">
        <v>36</v>
      </c>
      <c r="B5395">
        <v>1185732</v>
      </c>
      <c r="C5395" s="1">
        <v>44430</v>
      </c>
      <c r="D5395" t="s">
        <v>32</v>
      </c>
      <c r="E5395" t="s">
        <v>120</v>
      </c>
      <c r="F5395" t="s">
        <v>121</v>
      </c>
      <c r="G5395" t="s">
        <v>41</v>
      </c>
      <c r="H5395" t="s">
        <v>17</v>
      </c>
      <c r="I5395" s="3">
        <v>41</v>
      </c>
      <c r="J5395" s="2">
        <v>91</v>
      </c>
      <c r="K5395" s="3">
        <f t="shared" si="84"/>
        <v>3731</v>
      </c>
      <c r="L5395" s="3">
        <v>1977.43</v>
      </c>
    </row>
    <row r="5396" spans="1:12" x14ac:dyDescent="0.25">
      <c r="A5396" t="s">
        <v>36</v>
      </c>
      <c r="B5396">
        <v>1185732</v>
      </c>
      <c r="C5396" s="1">
        <v>44430</v>
      </c>
      <c r="D5396" t="s">
        <v>32</v>
      </c>
      <c r="E5396" t="s">
        <v>120</v>
      </c>
      <c r="F5396" t="s">
        <v>121</v>
      </c>
      <c r="G5396" t="s">
        <v>41</v>
      </c>
      <c r="H5396" t="s">
        <v>22</v>
      </c>
      <c r="I5396" s="3">
        <v>49</v>
      </c>
      <c r="J5396" s="2">
        <v>65</v>
      </c>
      <c r="K5396" s="3">
        <f t="shared" si="84"/>
        <v>3185</v>
      </c>
      <c r="L5396" s="3">
        <v>1624.3500000000001</v>
      </c>
    </row>
    <row r="5397" spans="1:12" x14ac:dyDescent="0.25">
      <c r="A5397" t="s">
        <v>36</v>
      </c>
      <c r="B5397">
        <v>1185732</v>
      </c>
      <c r="C5397" s="1">
        <v>44430</v>
      </c>
      <c r="D5397" t="s">
        <v>32</v>
      </c>
      <c r="E5397" t="s">
        <v>120</v>
      </c>
      <c r="F5397" t="s">
        <v>121</v>
      </c>
      <c r="G5397" t="s">
        <v>41</v>
      </c>
      <c r="H5397" t="s">
        <v>37</v>
      </c>
      <c r="I5397" s="3">
        <v>38</v>
      </c>
      <c r="J5397" s="2">
        <v>75</v>
      </c>
      <c r="K5397" s="3">
        <f t="shared" si="84"/>
        <v>2850</v>
      </c>
      <c r="L5397" s="3">
        <v>1425</v>
      </c>
    </row>
    <row r="5398" spans="1:12" x14ac:dyDescent="0.25">
      <c r="A5398" t="s">
        <v>26</v>
      </c>
      <c r="B5398">
        <v>1197831</v>
      </c>
      <c r="C5398" s="1">
        <v>44430</v>
      </c>
      <c r="D5398" t="s">
        <v>52</v>
      </c>
      <c r="E5398" t="s">
        <v>53</v>
      </c>
      <c r="F5398" t="s">
        <v>54</v>
      </c>
      <c r="G5398" t="s">
        <v>15</v>
      </c>
      <c r="H5398" t="s">
        <v>16</v>
      </c>
      <c r="I5398" s="3">
        <v>26</v>
      </c>
      <c r="J5398" s="2">
        <v>155</v>
      </c>
      <c r="K5398" s="3">
        <f t="shared" si="84"/>
        <v>4030</v>
      </c>
      <c r="L5398" s="3">
        <v>1974.6999999999998</v>
      </c>
    </row>
    <row r="5399" spans="1:12" x14ac:dyDescent="0.25">
      <c r="A5399" t="s">
        <v>36</v>
      </c>
      <c r="B5399">
        <v>1185732</v>
      </c>
      <c r="C5399" s="1">
        <v>44430</v>
      </c>
      <c r="D5399" t="s">
        <v>32</v>
      </c>
      <c r="E5399" t="s">
        <v>120</v>
      </c>
      <c r="F5399" t="s">
        <v>121</v>
      </c>
      <c r="G5399" t="s">
        <v>41</v>
      </c>
      <c r="H5399" t="s">
        <v>38</v>
      </c>
      <c r="I5399" s="3">
        <v>46</v>
      </c>
      <c r="J5399" s="2">
        <v>167</v>
      </c>
      <c r="K5399" s="3">
        <f t="shared" si="84"/>
        <v>7682</v>
      </c>
      <c r="L5399" s="3">
        <v>3533.7199999999993</v>
      </c>
    </row>
    <row r="5400" spans="1:12" x14ac:dyDescent="0.25">
      <c r="A5400" t="s">
        <v>36</v>
      </c>
      <c r="B5400">
        <v>1185732</v>
      </c>
      <c r="C5400" s="1">
        <v>44430</v>
      </c>
      <c r="D5400" t="s">
        <v>32</v>
      </c>
      <c r="E5400" t="s">
        <v>120</v>
      </c>
      <c r="F5400" t="s">
        <v>121</v>
      </c>
      <c r="G5400" t="s">
        <v>41</v>
      </c>
      <c r="H5400" t="s">
        <v>35</v>
      </c>
      <c r="I5400" s="3">
        <v>36</v>
      </c>
      <c r="J5400" s="2">
        <v>80</v>
      </c>
      <c r="K5400" s="3">
        <f t="shared" si="84"/>
        <v>2880</v>
      </c>
      <c r="L5400" s="3">
        <v>1324.8</v>
      </c>
    </row>
    <row r="5401" spans="1:12" x14ac:dyDescent="0.25">
      <c r="A5401" t="s">
        <v>36</v>
      </c>
      <c r="B5401">
        <v>1185732</v>
      </c>
      <c r="C5401" s="1">
        <v>44430</v>
      </c>
      <c r="D5401" t="s">
        <v>32</v>
      </c>
      <c r="E5401" t="s">
        <v>120</v>
      </c>
      <c r="F5401" t="s">
        <v>121</v>
      </c>
      <c r="G5401" t="s">
        <v>41</v>
      </c>
      <c r="H5401" t="s">
        <v>16</v>
      </c>
      <c r="I5401" s="3">
        <v>51</v>
      </c>
      <c r="J5401" s="2">
        <v>120</v>
      </c>
      <c r="K5401" s="3">
        <f t="shared" si="84"/>
        <v>6120</v>
      </c>
      <c r="L5401" s="3">
        <v>2815.2</v>
      </c>
    </row>
    <row r="5402" spans="1:12" x14ac:dyDescent="0.25">
      <c r="A5402" t="s">
        <v>26</v>
      </c>
      <c r="B5402">
        <v>1197831</v>
      </c>
      <c r="C5402" s="1">
        <v>44430</v>
      </c>
      <c r="D5402" t="s">
        <v>52</v>
      </c>
      <c r="E5402" t="s">
        <v>53</v>
      </c>
      <c r="F5402" t="s">
        <v>54</v>
      </c>
      <c r="G5402" t="s">
        <v>41</v>
      </c>
      <c r="H5402" t="s">
        <v>16</v>
      </c>
      <c r="I5402" s="3">
        <v>32</v>
      </c>
      <c r="J5402" s="2">
        <v>140</v>
      </c>
      <c r="K5402" s="3">
        <f t="shared" si="84"/>
        <v>4480</v>
      </c>
      <c r="L5402" s="3">
        <v>1971.1999999999998</v>
      </c>
    </row>
    <row r="5403" spans="1:12" x14ac:dyDescent="0.25">
      <c r="A5403" t="s">
        <v>26</v>
      </c>
      <c r="B5403">
        <v>1197831</v>
      </c>
      <c r="C5403" s="1">
        <v>44430</v>
      </c>
      <c r="D5403" t="s">
        <v>52</v>
      </c>
      <c r="E5403" t="s">
        <v>99</v>
      </c>
      <c r="F5403" t="s">
        <v>100</v>
      </c>
      <c r="G5403" t="s">
        <v>15</v>
      </c>
      <c r="H5403" t="s">
        <v>37</v>
      </c>
      <c r="I5403" s="3">
        <v>15</v>
      </c>
      <c r="J5403" s="2">
        <v>116</v>
      </c>
      <c r="K5403" s="3">
        <f t="shared" si="84"/>
        <v>1740</v>
      </c>
      <c r="L5403" s="3">
        <v>695.99999999999977</v>
      </c>
    </row>
    <row r="5404" spans="1:12" x14ac:dyDescent="0.25">
      <c r="A5404" t="s">
        <v>26</v>
      </c>
      <c r="B5404">
        <v>1197831</v>
      </c>
      <c r="C5404" s="1">
        <v>44430</v>
      </c>
      <c r="D5404" t="s">
        <v>52</v>
      </c>
      <c r="E5404" t="s">
        <v>99</v>
      </c>
      <c r="F5404" t="s">
        <v>100</v>
      </c>
      <c r="G5404" t="s">
        <v>41</v>
      </c>
      <c r="H5404" t="s">
        <v>37</v>
      </c>
      <c r="I5404" s="3">
        <v>18</v>
      </c>
      <c r="J5404" s="2">
        <v>113</v>
      </c>
      <c r="K5404" s="3">
        <f t="shared" si="84"/>
        <v>2034</v>
      </c>
      <c r="L5404" s="3">
        <v>691.56</v>
      </c>
    </row>
    <row r="5405" spans="1:12" x14ac:dyDescent="0.25">
      <c r="A5405" t="s">
        <v>19</v>
      </c>
      <c r="B5405">
        <v>1128299</v>
      </c>
      <c r="C5405" s="1">
        <v>44431</v>
      </c>
      <c r="D5405" t="s">
        <v>12</v>
      </c>
      <c r="E5405" t="s">
        <v>39</v>
      </c>
      <c r="F5405" t="s">
        <v>40</v>
      </c>
      <c r="G5405" t="s">
        <v>41</v>
      </c>
      <c r="H5405" t="s">
        <v>16</v>
      </c>
      <c r="I5405" s="3">
        <v>70</v>
      </c>
      <c r="J5405" s="2">
        <v>375</v>
      </c>
      <c r="K5405" s="3">
        <f t="shared" si="84"/>
        <v>26250</v>
      </c>
      <c r="L5405" s="3">
        <v>19687.5</v>
      </c>
    </row>
    <row r="5406" spans="1:12" x14ac:dyDescent="0.25">
      <c r="A5406" t="s">
        <v>19</v>
      </c>
      <c r="B5406">
        <v>1128299</v>
      </c>
      <c r="C5406" s="1">
        <v>44431</v>
      </c>
      <c r="D5406" t="s">
        <v>12</v>
      </c>
      <c r="E5406" t="s">
        <v>39</v>
      </c>
      <c r="F5406" t="s">
        <v>40</v>
      </c>
      <c r="G5406" t="s">
        <v>41</v>
      </c>
      <c r="H5406" t="s">
        <v>22</v>
      </c>
      <c r="I5406" s="3">
        <v>65</v>
      </c>
      <c r="J5406" s="2">
        <v>400</v>
      </c>
      <c r="K5406" s="3">
        <f t="shared" si="84"/>
        <v>26000</v>
      </c>
      <c r="L5406" s="3">
        <v>18200</v>
      </c>
    </row>
    <row r="5407" spans="1:12" x14ac:dyDescent="0.25">
      <c r="A5407" t="s">
        <v>19</v>
      </c>
      <c r="B5407">
        <v>1128299</v>
      </c>
      <c r="C5407" s="1">
        <v>44431</v>
      </c>
      <c r="D5407" t="s">
        <v>12</v>
      </c>
      <c r="E5407" t="s">
        <v>39</v>
      </c>
      <c r="F5407" t="s">
        <v>40</v>
      </c>
      <c r="G5407" t="s">
        <v>41</v>
      </c>
      <c r="H5407" t="s">
        <v>38</v>
      </c>
      <c r="I5407" s="3">
        <v>55.000000000000007</v>
      </c>
      <c r="J5407" s="2">
        <v>625</v>
      </c>
      <c r="K5407" s="3">
        <f t="shared" si="84"/>
        <v>34375.000000000007</v>
      </c>
      <c r="L5407" s="3">
        <v>22343.750000000007</v>
      </c>
    </row>
    <row r="5408" spans="1:12" x14ac:dyDescent="0.25">
      <c r="A5408" t="s">
        <v>26</v>
      </c>
      <c r="B5408">
        <v>1197831</v>
      </c>
      <c r="C5408" s="1">
        <v>44431</v>
      </c>
      <c r="D5408" t="s">
        <v>52</v>
      </c>
      <c r="E5408" t="s">
        <v>53</v>
      </c>
      <c r="F5408" t="s">
        <v>54</v>
      </c>
      <c r="G5408" t="s">
        <v>15</v>
      </c>
      <c r="H5408" t="s">
        <v>38</v>
      </c>
      <c r="I5408" s="3">
        <v>30</v>
      </c>
      <c r="J5408" s="2">
        <v>675</v>
      </c>
      <c r="K5408" s="3">
        <f t="shared" si="84"/>
        <v>20250</v>
      </c>
      <c r="L5408" s="3">
        <v>13162.5</v>
      </c>
    </row>
    <row r="5409" spans="1:12" x14ac:dyDescent="0.25">
      <c r="A5409" t="s">
        <v>19</v>
      </c>
      <c r="B5409">
        <v>1128299</v>
      </c>
      <c r="C5409" s="1">
        <v>44431</v>
      </c>
      <c r="D5409" t="s">
        <v>12</v>
      </c>
      <c r="E5409" t="s">
        <v>39</v>
      </c>
      <c r="F5409" t="s">
        <v>40</v>
      </c>
      <c r="G5409" t="s">
        <v>41</v>
      </c>
      <c r="H5409" t="s">
        <v>35</v>
      </c>
      <c r="I5409" s="3">
        <v>55.000000000000007</v>
      </c>
      <c r="J5409" s="2">
        <v>450</v>
      </c>
      <c r="K5409" s="3">
        <f t="shared" si="84"/>
        <v>24750.000000000004</v>
      </c>
      <c r="L5409" s="3">
        <v>16087.500000000004</v>
      </c>
    </row>
    <row r="5410" spans="1:12" x14ac:dyDescent="0.25">
      <c r="A5410" t="s">
        <v>19</v>
      </c>
      <c r="B5410">
        <v>1128299</v>
      </c>
      <c r="C5410" s="1">
        <v>44431</v>
      </c>
      <c r="D5410" t="s">
        <v>12</v>
      </c>
      <c r="E5410" t="s">
        <v>39</v>
      </c>
      <c r="F5410" t="s">
        <v>40</v>
      </c>
      <c r="G5410" t="s">
        <v>41</v>
      </c>
      <c r="H5410" t="s">
        <v>37</v>
      </c>
      <c r="I5410" s="3">
        <v>55.000000000000007</v>
      </c>
      <c r="J5410" s="2">
        <v>400</v>
      </c>
      <c r="K5410" s="3">
        <f t="shared" si="84"/>
        <v>22000.000000000004</v>
      </c>
      <c r="L5410" s="3">
        <v>14300.000000000004</v>
      </c>
    </row>
    <row r="5411" spans="1:12" x14ac:dyDescent="0.25">
      <c r="A5411" t="s">
        <v>26</v>
      </c>
      <c r="B5411">
        <v>1197831</v>
      </c>
      <c r="C5411" s="1">
        <v>44431</v>
      </c>
      <c r="D5411" t="s">
        <v>52</v>
      </c>
      <c r="E5411" t="s">
        <v>99</v>
      </c>
      <c r="F5411" t="s">
        <v>100</v>
      </c>
      <c r="G5411" t="s">
        <v>15</v>
      </c>
      <c r="H5411" t="s">
        <v>22</v>
      </c>
      <c r="I5411" s="3">
        <v>25</v>
      </c>
      <c r="J5411" s="2">
        <v>275</v>
      </c>
      <c r="K5411" s="3">
        <f t="shared" si="84"/>
        <v>6875</v>
      </c>
      <c r="L5411" s="3">
        <v>4125</v>
      </c>
    </row>
    <row r="5412" spans="1:12" x14ac:dyDescent="0.25">
      <c r="A5412" t="s">
        <v>19</v>
      </c>
      <c r="B5412">
        <v>1128299</v>
      </c>
      <c r="C5412" s="1">
        <v>44431</v>
      </c>
      <c r="D5412" t="s">
        <v>12</v>
      </c>
      <c r="E5412" t="s">
        <v>39</v>
      </c>
      <c r="F5412" t="s">
        <v>40</v>
      </c>
      <c r="G5412" t="s">
        <v>41</v>
      </c>
      <c r="H5412" t="s">
        <v>17</v>
      </c>
      <c r="I5412" s="3">
        <v>60.000000000000007</v>
      </c>
      <c r="J5412" s="2">
        <v>575</v>
      </c>
      <c r="K5412" s="3">
        <f t="shared" si="84"/>
        <v>34500.000000000007</v>
      </c>
      <c r="L5412" s="3">
        <v>20700.000000000004</v>
      </c>
    </row>
    <row r="5413" spans="1:12" x14ac:dyDescent="0.25">
      <c r="A5413" t="s">
        <v>19</v>
      </c>
      <c r="B5413">
        <v>1128299</v>
      </c>
      <c r="C5413" s="1">
        <v>44431</v>
      </c>
      <c r="D5413" t="s">
        <v>12</v>
      </c>
      <c r="E5413" t="s">
        <v>39</v>
      </c>
      <c r="F5413" t="s">
        <v>40</v>
      </c>
      <c r="G5413" t="s">
        <v>15</v>
      </c>
      <c r="H5413" t="s">
        <v>16</v>
      </c>
      <c r="I5413" s="3">
        <v>48</v>
      </c>
      <c r="J5413" s="2">
        <v>131</v>
      </c>
      <c r="K5413" s="3">
        <f t="shared" si="84"/>
        <v>6288</v>
      </c>
      <c r="L5413" s="3">
        <v>4527.3599999999997</v>
      </c>
    </row>
    <row r="5414" spans="1:12" x14ac:dyDescent="0.25">
      <c r="A5414" t="s">
        <v>19</v>
      </c>
      <c r="B5414">
        <v>1128299</v>
      </c>
      <c r="C5414" s="1">
        <v>44431</v>
      </c>
      <c r="D5414" t="s">
        <v>12</v>
      </c>
      <c r="E5414" t="s">
        <v>39</v>
      </c>
      <c r="F5414" t="s">
        <v>40</v>
      </c>
      <c r="G5414" t="s">
        <v>15</v>
      </c>
      <c r="H5414" t="s">
        <v>22</v>
      </c>
      <c r="I5414" s="3">
        <v>45</v>
      </c>
      <c r="J5414" s="2">
        <v>136</v>
      </c>
      <c r="K5414" s="3">
        <f t="shared" si="84"/>
        <v>6120</v>
      </c>
      <c r="L5414" s="3">
        <v>3855.6</v>
      </c>
    </row>
    <row r="5415" spans="1:12" x14ac:dyDescent="0.25">
      <c r="A5415" t="s">
        <v>26</v>
      </c>
      <c r="B5415">
        <v>1197831</v>
      </c>
      <c r="C5415" s="1">
        <v>44431</v>
      </c>
      <c r="D5415" t="s">
        <v>52</v>
      </c>
      <c r="E5415" t="s">
        <v>53</v>
      </c>
      <c r="F5415" t="s">
        <v>54</v>
      </c>
      <c r="G5415" t="s">
        <v>15</v>
      </c>
      <c r="H5415" t="s">
        <v>38</v>
      </c>
      <c r="I5415" s="3">
        <v>21</v>
      </c>
      <c r="J5415" s="2">
        <v>203</v>
      </c>
      <c r="K5415" s="3">
        <f t="shared" si="84"/>
        <v>4263</v>
      </c>
      <c r="L5415" s="3">
        <v>2600.4300000000003</v>
      </c>
    </row>
    <row r="5416" spans="1:12" x14ac:dyDescent="0.25">
      <c r="A5416" t="s">
        <v>19</v>
      </c>
      <c r="B5416">
        <v>1128299</v>
      </c>
      <c r="C5416" s="1">
        <v>44431</v>
      </c>
      <c r="D5416" t="s">
        <v>12</v>
      </c>
      <c r="E5416" t="s">
        <v>39</v>
      </c>
      <c r="F5416" t="s">
        <v>40</v>
      </c>
      <c r="G5416" t="s">
        <v>41</v>
      </c>
      <c r="H5416" t="s">
        <v>16</v>
      </c>
      <c r="I5416" s="3">
        <v>65</v>
      </c>
      <c r="J5416" s="2">
        <v>94</v>
      </c>
      <c r="K5416" s="3">
        <f t="shared" si="84"/>
        <v>6110</v>
      </c>
      <c r="L5416" s="3">
        <v>3666</v>
      </c>
    </row>
    <row r="5417" spans="1:12" x14ac:dyDescent="0.25">
      <c r="A5417" t="s">
        <v>19</v>
      </c>
      <c r="B5417">
        <v>1128299</v>
      </c>
      <c r="C5417" s="1">
        <v>44431</v>
      </c>
      <c r="D5417" t="s">
        <v>12</v>
      </c>
      <c r="E5417" t="s">
        <v>39</v>
      </c>
      <c r="F5417" t="s">
        <v>40</v>
      </c>
      <c r="G5417" t="s">
        <v>15</v>
      </c>
      <c r="H5417" t="s">
        <v>38</v>
      </c>
      <c r="I5417" s="3">
        <v>41</v>
      </c>
      <c r="J5417" s="2">
        <v>194</v>
      </c>
      <c r="K5417" s="3">
        <f t="shared" si="84"/>
        <v>7954</v>
      </c>
      <c r="L5417" s="3">
        <v>4772.3999999999996</v>
      </c>
    </row>
    <row r="5418" spans="1:12" x14ac:dyDescent="0.25">
      <c r="A5418" t="s">
        <v>19</v>
      </c>
      <c r="B5418">
        <v>1128299</v>
      </c>
      <c r="C5418" s="1">
        <v>44431</v>
      </c>
      <c r="D5418" t="s">
        <v>12</v>
      </c>
      <c r="E5418" t="s">
        <v>39</v>
      </c>
      <c r="F5418" t="s">
        <v>40</v>
      </c>
      <c r="G5418" t="s">
        <v>41</v>
      </c>
      <c r="H5418" t="s">
        <v>22</v>
      </c>
      <c r="I5418" s="3">
        <v>59</v>
      </c>
      <c r="J5418" s="2">
        <v>116</v>
      </c>
      <c r="K5418" s="3">
        <f t="shared" si="84"/>
        <v>6844</v>
      </c>
      <c r="L5418" s="3">
        <v>4037.96</v>
      </c>
    </row>
    <row r="5419" spans="1:12" x14ac:dyDescent="0.25">
      <c r="A5419" t="s">
        <v>19</v>
      </c>
      <c r="B5419">
        <v>1128299</v>
      </c>
      <c r="C5419" s="1">
        <v>44431</v>
      </c>
      <c r="D5419" t="s">
        <v>12</v>
      </c>
      <c r="E5419" t="s">
        <v>39</v>
      </c>
      <c r="F5419" t="s">
        <v>40</v>
      </c>
      <c r="G5419" t="s">
        <v>15</v>
      </c>
      <c r="H5419" t="s">
        <v>35</v>
      </c>
      <c r="I5419" s="3">
        <v>37</v>
      </c>
      <c r="J5419" s="2">
        <v>153</v>
      </c>
      <c r="K5419" s="3">
        <f t="shared" si="84"/>
        <v>5661</v>
      </c>
      <c r="L5419" s="3">
        <v>3339.9900000000002</v>
      </c>
    </row>
    <row r="5420" spans="1:12" x14ac:dyDescent="0.25">
      <c r="A5420" t="s">
        <v>26</v>
      </c>
      <c r="B5420">
        <v>1197831</v>
      </c>
      <c r="C5420" s="1">
        <v>44431</v>
      </c>
      <c r="D5420" t="s">
        <v>52</v>
      </c>
      <c r="E5420" t="s">
        <v>99</v>
      </c>
      <c r="F5420" t="s">
        <v>100</v>
      </c>
      <c r="G5420" t="s">
        <v>15</v>
      </c>
      <c r="H5420" t="s">
        <v>22</v>
      </c>
      <c r="I5420" s="3">
        <v>19</v>
      </c>
      <c r="J5420" s="2">
        <v>88</v>
      </c>
      <c r="K5420" s="3">
        <f t="shared" si="84"/>
        <v>1672</v>
      </c>
      <c r="L5420" s="3">
        <v>969.76</v>
      </c>
    </row>
    <row r="5421" spans="1:12" x14ac:dyDescent="0.25">
      <c r="A5421" t="s">
        <v>19</v>
      </c>
      <c r="B5421">
        <v>1128299</v>
      </c>
      <c r="C5421" s="1">
        <v>44431</v>
      </c>
      <c r="D5421" t="s">
        <v>12</v>
      </c>
      <c r="E5421" t="s">
        <v>39</v>
      </c>
      <c r="F5421" t="s">
        <v>40</v>
      </c>
      <c r="G5421" t="s">
        <v>15</v>
      </c>
      <c r="H5421" t="s">
        <v>37</v>
      </c>
      <c r="I5421" s="3">
        <v>43</v>
      </c>
      <c r="J5421" s="2">
        <v>120</v>
      </c>
      <c r="K5421" s="3">
        <f t="shared" si="84"/>
        <v>5160</v>
      </c>
      <c r="L5421" s="3">
        <v>2992.8</v>
      </c>
    </row>
    <row r="5422" spans="1:12" x14ac:dyDescent="0.25">
      <c r="A5422" t="s">
        <v>19</v>
      </c>
      <c r="B5422">
        <v>1128299</v>
      </c>
      <c r="C5422" s="1">
        <v>44431</v>
      </c>
      <c r="D5422" t="s">
        <v>12</v>
      </c>
      <c r="E5422" t="s">
        <v>39</v>
      </c>
      <c r="F5422" t="s">
        <v>40</v>
      </c>
      <c r="G5422" t="s">
        <v>15</v>
      </c>
      <c r="H5422" t="s">
        <v>17</v>
      </c>
      <c r="I5422" s="3">
        <v>46</v>
      </c>
      <c r="J5422" s="2">
        <v>190</v>
      </c>
      <c r="K5422" s="3">
        <f t="shared" si="84"/>
        <v>8740</v>
      </c>
      <c r="L5422" s="3">
        <v>5069.2</v>
      </c>
    </row>
    <row r="5423" spans="1:12" x14ac:dyDescent="0.25">
      <c r="A5423" t="s">
        <v>19</v>
      </c>
      <c r="B5423">
        <v>1128299</v>
      </c>
      <c r="C5423" s="1">
        <v>44431</v>
      </c>
      <c r="D5423" t="s">
        <v>12</v>
      </c>
      <c r="E5423" t="s">
        <v>39</v>
      </c>
      <c r="F5423" t="s">
        <v>40</v>
      </c>
      <c r="G5423" t="s">
        <v>41</v>
      </c>
      <c r="H5423" t="s">
        <v>37</v>
      </c>
      <c r="I5423" s="3">
        <v>52</v>
      </c>
      <c r="J5423" s="2">
        <v>112</v>
      </c>
      <c r="K5423" s="3">
        <f t="shared" si="84"/>
        <v>5824</v>
      </c>
      <c r="L5423" s="3">
        <v>2970.2400000000002</v>
      </c>
    </row>
    <row r="5424" spans="1:12" x14ac:dyDescent="0.25">
      <c r="A5424" t="s">
        <v>19</v>
      </c>
      <c r="B5424">
        <v>1128299</v>
      </c>
      <c r="C5424" s="1">
        <v>44431</v>
      </c>
      <c r="D5424" t="s">
        <v>12</v>
      </c>
      <c r="E5424" t="s">
        <v>39</v>
      </c>
      <c r="F5424" t="s">
        <v>40</v>
      </c>
      <c r="G5424" t="s">
        <v>41</v>
      </c>
      <c r="H5424" t="s">
        <v>35</v>
      </c>
      <c r="I5424" s="3">
        <v>54</v>
      </c>
      <c r="J5424" s="2">
        <v>113</v>
      </c>
      <c r="K5424" s="3">
        <f t="shared" si="84"/>
        <v>6102</v>
      </c>
      <c r="L5424" s="3">
        <v>3112.02</v>
      </c>
    </row>
    <row r="5425" spans="1:12" x14ac:dyDescent="0.25">
      <c r="A5425" t="s">
        <v>26</v>
      </c>
      <c r="B5425">
        <v>1197831</v>
      </c>
      <c r="C5425" s="1">
        <v>44431</v>
      </c>
      <c r="D5425" t="s">
        <v>52</v>
      </c>
      <c r="E5425" t="s">
        <v>53</v>
      </c>
      <c r="F5425" t="s">
        <v>54</v>
      </c>
      <c r="G5425" t="s">
        <v>41</v>
      </c>
      <c r="H5425" t="s">
        <v>38</v>
      </c>
      <c r="I5425" s="3">
        <v>29</v>
      </c>
      <c r="J5425" s="2">
        <v>182</v>
      </c>
      <c r="K5425" s="3">
        <f t="shared" si="84"/>
        <v>5278</v>
      </c>
      <c r="L5425" s="3">
        <v>2639</v>
      </c>
    </row>
    <row r="5426" spans="1:12" x14ac:dyDescent="0.25">
      <c r="A5426" t="s">
        <v>19</v>
      </c>
      <c r="B5426">
        <v>1128299</v>
      </c>
      <c r="C5426" s="1">
        <v>44431</v>
      </c>
      <c r="D5426" t="s">
        <v>12</v>
      </c>
      <c r="E5426" t="s">
        <v>39</v>
      </c>
      <c r="F5426" t="s">
        <v>40</v>
      </c>
      <c r="G5426" t="s">
        <v>41</v>
      </c>
      <c r="H5426" t="s">
        <v>38</v>
      </c>
      <c r="I5426" s="3">
        <v>50</v>
      </c>
      <c r="J5426" s="2">
        <v>163</v>
      </c>
      <c r="K5426" s="3">
        <f t="shared" si="84"/>
        <v>8150</v>
      </c>
      <c r="L5426" s="3">
        <v>4075</v>
      </c>
    </row>
    <row r="5427" spans="1:12" x14ac:dyDescent="0.25">
      <c r="A5427" t="s">
        <v>19</v>
      </c>
      <c r="B5427">
        <v>1128299</v>
      </c>
      <c r="C5427" s="1">
        <v>44431</v>
      </c>
      <c r="D5427" t="s">
        <v>12</v>
      </c>
      <c r="E5427" t="s">
        <v>39</v>
      </c>
      <c r="F5427" t="s">
        <v>40</v>
      </c>
      <c r="G5427" t="s">
        <v>41</v>
      </c>
      <c r="H5427" t="s">
        <v>17</v>
      </c>
      <c r="I5427" s="3">
        <v>57</v>
      </c>
      <c r="J5427" s="2">
        <v>161</v>
      </c>
      <c r="K5427" s="3">
        <f t="shared" si="84"/>
        <v>9177</v>
      </c>
      <c r="L5427" s="3">
        <v>4588.5</v>
      </c>
    </row>
    <row r="5428" spans="1:12" x14ac:dyDescent="0.25">
      <c r="A5428" t="s">
        <v>26</v>
      </c>
      <c r="B5428">
        <v>1197831</v>
      </c>
      <c r="C5428" s="1">
        <v>44431</v>
      </c>
      <c r="D5428" t="s">
        <v>52</v>
      </c>
      <c r="E5428" t="s">
        <v>99</v>
      </c>
      <c r="F5428" t="s">
        <v>100</v>
      </c>
      <c r="G5428" t="s">
        <v>41</v>
      </c>
      <c r="H5428" t="s">
        <v>22</v>
      </c>
      <c r="I5428" s="3">
        <v>23</v>
      </c>
      <c r="J5428" s="2">
        <v>74</v>
      </c>
      <c r="K5428" s="3">
        <f t="shared" si="84"/>
        <v>1702</v>
      </c>
      <c r="L5428" s="3">
        <v>799.93999999999994</v>
      </c>
    </row>
    <row r="5429" spans="1:12" x14ac:dyDescent="0.25">
      <c r="A5429" t="s">
        <v>19</v>
      </c>
      <c r="B5429">
        <v>1128299</v>
      </c>
      <c r="C5429" s="1">
        <v>44432</v>
      </c>
      <c r="D5429" t="s">
        <v>32</v>
      </c>
      <c r="E5429" t="s">
        <v>82</v>
      </c>
      <c r="F5429" t="s">
        <v>83</v>
      </c>
      <c r="G5429" t="s">
        <v>18</v>
      </c>
      <c r="H5429" t="s">
        <v>16</v>
      </c>
      <c r="I5429" s="3">
        <v>75</v>
      </c>
      <c r="J5429" s="2">
        <v>250</v>
      </c>
      <c r="K5429" s="3">
        <f t="shared" si="84"/>
        <v>18750</v>
      </c>
      <c r="L5429" s="3">
        <v>13125</v>
      </c>
    </row>
    <row r="5430" spans="1:12" x14ac:dyDescent="0.25">
      <c r="A5430" t="s">
        <v>11</v>
      </c>
      <c r="B5430">
        <v>1128299</v>
      </c>
      <c r="C5430" s="1">
        <v>44432</v>
      </c>
      <c r="D5430" t="s">
        <v>12</v>
      </c>
      <c r="E5430" t="s">
        <v>84</v>
      </c>
      <c r="F5430" t="s">
        <v>31</v>
      </c>
      <c r="G5430" t="s">
        <v>18</v>
      </c>
      <c r="H5430" t="s">
        <v>16</v>
      </c>
      <c r="I5430" s="3">
        <v>75</v>
      </c>
      <c r="J5430" s="2">
        <v>250</v>
      </c>
      <c r="K5430" s="3">
        <f t="shared" si="84"/>
        <v>18750</v>
      </c>
      <c r="L5430" s="3">
        <v>13125</v>
      </c>
    </row>
    <row r="5431" spans="1:12" x14ac:dyDescent="0.25">
      <c r="A5431" t="s">
        <v>26</v>
      </c>
      <c r="B5431">
        <v>1197831</v>
      </c>
      <c r="C5431" s="1">
        <v>44432</v>
      </c>
      <c r="D5431" t="s">
        <v>52</v>
      </c>
      <c r="E5431" t="s">
        <v>53</v>
      </c>
      <c r="F5431" t="s">
        <v>54</v>
      </c>
      <c r="G5431" t="s">
        <v>15</v>
      </c>
      <c r="H5431" t="s">
        <v>17</v>
      </c>
      <c r="I5431" s="3">
        <v>40</v>
      </c>
      <c r="J5431" s="2">
        <v>675</v>
      </c>
      <c r="K5431" s="3">
        <f t="shared" si="84"/>
        <v>27000</v>
      </c>
      <c r="L5431" s="3">
        <v>17550</v>
      </c>
    </row>
    <row r="5432" spans="1:12" x14ac:dyDescent="0.25">
      <c r="A5432" t="s">
        <v>19</v>
      </c>
      <c r="B5432">
        <v>1128299</v>
      </c>
      <c r="C5432" s="1">
        <v>44432</v>
      </c>
      <c r="D5432" t="s">
        <v>32</v>
      </c>
      <c r="E5432" t="s">
        <v>82</v>
      </c>
      <c r="F5432" t="s">
        <v>83</v>
      </c>
      <c r="G5432" t="s">
        <v>18</v>
      </c>
      <c r="H5432" t="s">
        <v>38</v>
      </c>
      <c r="I5432" s="3">
        <v>90</v>
      </c>
      <c r="J5432" s="2">
        <v>800</v>
      </c>
      <c r="K5432" s="3">
        <f t="shared" si="84"/>
        <v>72000</v>
      </c>
      <c r="L5432" s="3">
        <v>46800</v>
      </c>
    </row>
    <row r="5433" spans="1:12" x14ac:dyDescent="0.25">
      <c r="A5433" t="s">
        <v>19</v>
      </c>
      <c r="B5433">
        <v>1128299</v>
      </c>
      <c r="C5433" s="1">
        <v>44432</v>
      </c>
      <c r="D5433" t="s">
        <v>32</v>
      </c>
      <c r="E5433" t="s">
        <v>82</v>
      </c>
      <c r="F5433" t="s">
        <v>83</v>
      </c>
      <c r="G5433" t="s">
        <v>18</v>
      </c>
      <c r="H5433" t="s">
        <v>17</v>
      </c>
      <c r="I5433" s="3">
        <v>80</v>
      </c>
      <c r="J5433" s="2">
        <v>775</v>
      </c>
      <c r="K5433" s="3">
        <f t="shared" si="84"/>
        <v>62000</v>
      </c>
      <c r="L5433" s="3">
        <v>40300</v>
      </c>
    </row>
    <row r="5434" spans="1:12" x14ac:dyDescent="0.25">
      <c r="A5434" t="s">
        <v>19</v>
      </c>
      <c r="B5434">
        <v>1128299</v>
      </c>
      <c r="C5434" s="1">
        <v>44432</v>
      </c>
      <c r="D5434" t="s">
        <v>32</v>
      </c>
      <c r="E5434" t="s">
        <v>82</v>
      </c>
      <c r="F5434" t="s">
        <v>83</v>
      </c>
      <c r="G5434" t="s">
        <v>18</v>
      </c>
      <c r="H5434" t="s">
        <v>35</v>
      </c>
      <c r="I5434" s="3">
        <v>70</v>
      </c>
      <c r="J5434" s="2">
        <v>650</v>
      </c>
      <c r="K5434" s="3">
        <f t="shared" si="84"/>
        <v>45500</v>
      </c>
      <c r="L5434" s="3">
        <v>29575</v>
      </c>
    </row>
    <row r="5435" spans="1:12" x14ac:dyDescent="0.25">
      <c r="A5435" t="s">
        <v>19</v>
      </c>
      <c r="B5435">
        <v>1128299</v>
      </c>
      <c r="C5435" s="1">
        <v>44432</v>
      </c>
      <c r="D5435" t="s">
        <v>32</v>
      </c>
      <c r="E5435" t="s">
        <v>82</v>
      </c>
      <c r="F5435" t="s">
        <v>83</v>
      </c>
      <c r="G5435" t="s">
        <v>18</v>
      </c>
      <c r="H5435" t="s">
        <v>37</v>
      </c>
      <c r="I5435" s="3">
        <v>70</v>
      </c>
      <c r="J5435" s="2">
        <v>425</v>
      </c>
      <c r="K5435" s="3">
        <f t="shared" si="84"/>
        <v>29750</v>
      </c>
      <c r="L5435" s="3">
        <v>19337.5</v>
      </c>
    </row>
    <row r="5436" spans="1:12" x14ac:dyDescent="0.25">
      <c r="A5436" t="s">
        <v>11</v>
      </c>
      <c r="B5436">
        <v>1128299</v>
      </c>
      <c r="C5436" s="1">
        <v>44432</v>
      </c>
      <c r="D5436" t="s">
        <v>12</v>
      </c>
      <c r="E5436" t="s">
        <v>84</v>
      </c>
      <c r="F5436" t="s">
        <v>31</v>
      </c>
      <c r="G5436" t="s">
        <v>18</v>
      </c>
      <c r="H5436" t="s">
        <v>38</v>
      </c>
      <c r="I5436" s="3">
        <v>90</v>
      </c>
      <c r="J5436" s="2">
        <v>800</v>
      </c>
      <c r="K5436" s="3">
        <f t="shared" si="84"/>
        <v>72000</v>
      </c>
      <c r="L5436" s="3">
        <v>46800</v>
      </c>
    </row>
    <row r="5437" spans="1:12" x14ac:dyDescent="0.25">
      <c r="A5437" t="s">
        <v>11</v>
      </c>
      <c r="B5437">
        <v>1128299</v>
      </c>
      <c r="C5437" s="1">
        <v>44432</v>
      </c>
      <c r="D5437" t="s">
        <v>12</v>
      </c>
      <c r="E5437" t="s">
        <v>84</v>
      </c>
      <c r="F5437" t="s">
        <v>31</v>
      </c>
      <c r="G5437" t="s">
        <v>18</v>
      </c>
      <c r="H5437" t="s">
        <v>17</v>
      </c>
      <c r="I5437" s="3">
        <v>80</v>
      </c>
      <c r="J5437" s="2">
        <v>775</v>
      </c>
      <c r="K5437" s="3">
        <f t="shared" si="84"/>
        <v>62000</v>
      </c>
      <c r="L5437" s="3">
        <v>40300</v>
      </c>
    </row>
    <row r="5438" spans="1:12" x14ac:dyDescent="0.25">
      <c r="A5438" t="s">
        <v>11</v>
      </c>
      <c r="B5438">
        <v>1128299</v>
      </c>
      <c r="C5438" s="1">
        <v>44432</v>
      </c>
      <c r="D5438" t="s">
        <v>12</v>
      </c>
      <c r="E5438" t="s">
        <v>84</v>
      </c>
      <c r="F5438" t="s">
        <v>31</v>
      </c>
      <c r="G5438" t="s">
        <v>18</v>
      </c>
      <c r="H5438" t="s">
        <v>35</v>
      </c>
      <c r="I5438" s="3">
        <v>70</v>
      </c>
      <c r="J5438" s="2">
        <v>650</v>
      </c>
      <c r="K5438" s="3">
        <f t="shared" si="84"/>
        <v>45500</v>
      </c>
      <c r="L5438" s="3">
        <v>29575</v>
      </c>
    </row>
    <row r="5439" spans="1:12" x14ac:dyDescent="0.25">
      <c r="A5439" t="s">
        <v>11</v>
      </c>
      <c r="B5439">
        <v>1128299</v>
      </c>
      <c r="C5439" s="1">
        <v>44432</v>
      </c>
      <c r="D5439" t="s">
        <v>12</v>
      </c>
      <c r="E5439" t="s">
        <v>84</v>
      </c>
      <c r="F5439" t="s">
        <v>31</v>
      </c>
      <c r="G5439" t="s">
        <v>18</v>
      </c>
      <c r="H5439" t="s">
        <v>37</v>
      </c>
      <c r="I5439" s="3">
        <v>70</v>
      </c>
      <c r="J5439" s="2">
        <v>425</v>
      </c>
      <c r="K5439" s="3">
        <f t="shared" si="84"/>
        <v>29750</v>
      </c>
      <c r="L5439" s="3">
        <v>19337.5</v>
      </c>
    </row>
    <row r="5440" spans="1:12" x14ac:dyDescent="0.25">
      <c r="A5440" t="s">
        <v>19</v>
      </c>
      <c r="B5440">
        <v>1128299</v>
      </c>
      <c r="C5440" s="1">
        <v>44432</v>
      </c>
      <c r="D5440" t="s">
        <v>32</v>
      </c>
      <c r="E5440" t="s">
        <v>82</v>
      </c>
      <c r="F5440" t="s">
        <v>83</v>
      </c>
      <c r="G5440" t="s">
        <v>18</v>
      </c>
      <c r="H5440" t="s">
        <v>22</v>
      </c>
      <c r="I5440" s="3">
        <v>70</v>
      </c>
      <c r="J5440" s="2">
        <v>425</v>
      </c>
      <c r="K5440" s="3">
        <f t="shared" si="84"/>
        <v>29750</v>
      </c>
      <c r="L5440" s="3">
        <v>17850</v>
      </c>
    </row>
    <row r="5441" spans="1:12" x14ac:dyDescent="0.25">
      <c r="A5441" t="s">
        <v>11</v>
      </c>
      <c r="B5441">
        <v>1128299</v>
      </c>
      <c r="C5441" s="1">
        <v>44432</v>
      </c>
      <c r="D5441" t="s">
        <v>12</v>
      </c>
      <c r="E5441" t="s">
        <v>84</v>
      </c>
      <c r="F5441" t="s">
        <v>31</v>
      </c>
      <c r="G5441" t="s">
        <v>18</v>
      </c>
      <c r="H5441" t="s">
        <v>22</v>
      </c>
      <c r="I5441" s="3">
        <v>70</v>
      </c>
      <c r="J5441" s="2">
        <v>425</v>
      </c>
      <c r="K5441" s="3">
        <f t="shared" si="84"/>
        <v>29750</v>
      </c>
      <c r="L5441" s="3">
        <v>17850</v>
      </c>
    </row>
    <row r="5442" spans="1:12" x14ac:dyDescent="0.25">
      <c r="A5442" t="s">
        <v>26</v>
      </c>
      <c r="B5442">
        <v>1197831</v>
      </c>
      <c r="C5442" s="1">
        <v>44432</v>
      </c>
      <c r="D5442" t="s">
        <v>52</v>
      </c>
      <c r="E5442" t="s">
        <v>99</v>
      </c>
      <c r="F5442" t="s">
        <v>100</v>
      </c>
      <c r="G5442" t="s">
        <v>15</v>
      </c>
      <c r="H5442" t="s">
        <v>16</v>
      </c>
      <c r="I5442" s="3">
        <v>20.000000000000007</v>
      </c>
      <c r="J5442" s="2">
        <v>550</v>
      </c>
      <c r="K5442" s="3">
        <f t="shared" si="84"/>
        <v>11000.000000000004</v>
      </c>
      <c r="L5442" s="3">
        <v>4400.0000000000018</v>
      </c>
    </row>
    <row r="5443" spans="1:12" x14ac:dyDescent="0.25">
      <c r="A5443" t="s">
        <v>19</v>
      </c>
      <c r="B5443">
        <v>1128299</v>
      </c>
      <c r="C5443" s="1">
        <v>44432</v>
      </c>
      <c r="D5443" t="s">
        <v>32</v>
      </c>
      <c r="E5443" t="s">
        <v>82</v>
      </c>
      <c r="F5443" t="s">
        <v>83</v>
      </c>
      <c r="G5443" t="s">
        <v>15</v>
      </c>
      <c r="H5443" t="s">
        <v>16</v>
      </c>
      <c r="I5443" s="3">
        <v>55</v>
      </c>
      <c r="J5443" s="2">
        <v>80</v>
      </c>
      <c r="K5443" s="3">
        <f t="shared" ref="K5443:K5506" si="85">I5443*J5443</f>
        <v>4400</v>
      </c>
      <c r="L5443" s="3">
        <v>2904</v>
      </c>
    </row>
    <row r="5444" spans="1:12" x14ac:dyDescent="0.25">
      <c r="A5444" t="s">
        <v>19</v>
      </c>
      <c r="B5444">
        <v>1128299</v>
      </c>
      <c r="C5444" s="1">
        <v>44432</v>
      </c>
      <c r="D5444" t="s">
        <v>32</v>
      </c>
      <c r="E5444" t="s">
        <v>82</v>
      </c>
      <c r="F5444" t="s">
        <v>83</v>
      </c>
      <c r="G5444" t="s">
        <v>15</v>
      </c>
      <c r="H5444" t="s">
        <v>35</v>
      </c>
      <c r="I5444" s="3">
        <v>53</v>
      </c>
      <c r="J5444" s="2">
        <v>215</v>
      </c>
      <c r="K5444" s="3">
        <f t="shared" si="85"/>
        <v>11395</v>
      </c>
      <c r="L5444" s="3">
        <v>7178.85</v>
      </c>
    </row>
    <row r="5445" spans="1:12" x14ac:dyDescent="0.25">
      <c r="A5445" t="s">
        <v>11</v>
      </c>
      <c r="B5445">
        <v>1128299</v>
      </c>
      <c r="C5445" s="1">
        <v>44432</v>
      </c>
      <c r="D5445" t="s">
        <v>12</v>
      </c>
      <c r="E5445" t="s">
        <v>84</v>
      </c>
      <c r="F5445" t="s">
        <v>31</v>
      </c>
      <c r="G5445" t="s">
        <v>15</v>
      </c>
      <c r="H5445" t="s">
        <v>38</v>
      </c>
      <c r="I5445" s="3">
        <v>69</v>
      </c>
      <c r="J5445" s="2">
        <v>256</v>
      </c>
      <c r="K5445" s="3">
        <f t="shared" si="85"/>
        <v>17664</v>
      </c>
      <c r="L5445" s="3">
        <v>11128.32</v>
      </c>
    </row>
    <row r="5446" spans="1:12" x14ac:dyDescent="0.25">
      <c r="A5446" t="s">
        <v>11</v>
      </c>
      <c r="B5446">
        <v>1128299</v>
      </c>
      <c r="C5446" s="1">
        <v>44432</v>
      </c>
      <c r="D5446" t="s">
        <v>12</v>
      </c>
      <c r="E5446" t="s">
        <v>84</v>
      </c>
      <c r="F5446" t="s">
        <v>31</v>
      </c>
      <c r="G5446" t="s">
        <v>15</v>
      </c>
      <c r="H5446" t="s">
        <v>16</v>
      </c>
      <c r="I5446" s="3">
        <v>53</v>
      </c>
      <c r="J5446" s="2">
        <v>88</v>
      </c>
      <c r="K5446" s="3">
        <f t="shared" si="85"/>
        <v>4664</v>
      </c>
      <c r="L5446" s="3">
        <v>2938.3199999999997</v>
      </c>
    </row>
    <row r="5447" spans="1:12" x14ac:dyDescent="0.25">
      <c r="A5447" t="s">
        <v>11</v>
      </c>
      <c r="B5447">
        <v>1128299</v>
      </c>
      <c r="C5447" s="1">
        <v>44432</v>
      </c>
      <c r="D5447" t="s">
        <v>12</v>
      </c>
      <c r="E5447" t="s">
        <v>84</v>
      </c>
      <c r="F5447" t="s">
        <v>31</v>
      </c>
      <c r="G5447" t="s">
        <v>15</v>
      </c>
      <c r="H5447" t="s">
        <v>37</v>
      </c>
      <c r="I5447" s="3">
        <v>50</v>
      </c>
      <c r="J5447" s="2">
        <v>128</v>
      </c>
      <c r="K5447" s="3">
        <f t="shared" si="85"/>
        <v>6400</v>
      </c>
      <c r="L5447" s="3">
        <v>3968</v>
      </c>
    </row>
    <row r="5448" spans="1:12" x14ac:dyDescent="0.25">
      <c r="A5448" t="s">
        <v>19</v>
      </c>
      <c r="B5448">
        <v>1128299</v>
      </c>
      <c r="C5448" s="1">
        <v>44432</v>
      </c>
      <c r="D5448" t="s">
        <v>32</v>
      </c>
      <c r="E5448" t="s">
        <v>82</v>
      </c>
      <c r="F5448" t="s">
        <v>83</v>
      </c>
      <c r="G5448" t="s">
        <v>15</v>
      </c>
      <c r="H5448" t="s">
        <v>37</v>
      </c>
      <c r="I5448" s="3">
        <v>52</v>
      </c>
      <c r="J5448" s="2">
        <v>136</v>
      </c>
      <c r="K5448" s="3">
        <f t="shared" si="85"/>
        <v>7072</v>
      </c>
      <c r="L5448" s="3">
        <v>4313.92</v>
      </c>
    </row>
    <row r="5449" spans="1:12" x14ac:dyDescent="0.25">
      <c r="A5449" t="s">
        <v>19</v>
      </c>
      <c r="B5449">
        <v>1128299</v>
      </c>
      <c r="C5449" s="1">
        <v>44432</v>
      </c>
      <c r="D5449" t="s">
        <v>32</v>
      </c>
      <c r="E5449" t="s">
        <v>82</v>
      </c>
      <c r="F5449" t="s">
        <v>83</v>
      </c>
      <c r="G5449" t="s">
        <v>15</v>
      </c>
      <c r="H5449" t="s">
        <v>38</v>
      </c>
      <c r="I5449" s="3">
        <v>67</v>
      </c>
      <c r="J5449" s="2">
        <v>272</v>
      </c>
      <c r="K5449" s="3">
        <f t="shared" si="85"/>
        <v>18224</v>
      </c>
      <c r="L5449" s="3">
        <v>10934.400000000001</v>
      </c>
    </row>
    <row r="5450" spans="1:12" x14ac:dyDescent="0.25">
      <c r="A5450" t="s">
        <v>26</v>
      </c>
      <c r="B5450">
        <v>1197831</v>
      </c>
      <c r="C5450" s="1">
        <v>44432</v>
      </c>
      <c r="D5450" t="s">
        <v>52</v>
      </c>
      <c r="E5450" t="s">
        <v>53</v>
      </c>
      <c r="F5450" t="s">
        <v>54</v>
      </c>
      <c r="G5450" t="s">
        <v>15</v>
      </c>
      <c r="H5450" t="s">
        <v>17</v>
      </c>
      <c r="I5450" s="3">
        <v>31</v>
      </c>
      <c r="J5450" s="2">
        <v>236</v>
      </c>
      <c r="K5450" s="3">
        <f t="shared" si="85"/>
        <v>7316</v>
      </c>
      <c r="L5450" s="3">
        <v>4389.6000000000004</v>
      </c>
    </row>
    <row r="5451" spans="1:12" x14ac:dyDescent="0.25">
      <c r="A5451" t="s">
        <v>11</v>
      </c>
      <c r="B5451">
        <v>1128299</v>
      </c>
      <c r="C5451" s="1">
        <v>44432</v>
      </c>
      <c r="D5451" t="s">
        <v>12</v>
      </c>
      <c r="E5451" t="s">
        <v>84</v>
      </c>
      <c r="F5451" t="s">
        <v>31</v>
      </c>
      <c r="G5451" t="s">
        <v>15</v>
      </c>
      <c r="H5451" t="s">
        <v>35</v>
      </c>
      <c r="I5451" s="3">
        <v>50</v>
      </c>
      <c r="J5451" s="2">
        <v>215</v>
      </c>
      <c r="K5451" s="3">
        <f t="shared" si="85"/>
        <v>10750</v>
      </c>
      <c r="L5451" s="3">
        <v>6450</v>
      </c>
    </row>
    <row r="5452" spans="1:12" x14ac:dyDescent="0.25">
      <c r="A5452" t="s">
        <v>19</v>
      </c>
      <c r="B5452">
        <v>1128299</v>
      </c>
      <c r="C5452" s="1">
        <v>44432</v>
      </c>
      <c r="D5452" t="s">
        <v>32</v>
      </c>
      <c r="E5452" t="s">
        <v>82</v>
      </c>
      <c r="F5452" t="s">
        <v>83</v>
      </c>
      <c r="G5452" t="s">
        <v>41</v>
      </c>
      <c r="H5452" t="s">
        <v>16</v>
      </c>
      <c r="I5452" s="3">
        <v>73</v>
      </c>
      <c r="J5452" s="2">
        <v>75</v>
      </c>
      <c r="K5452" s="3">
        <f t="shared" si="85"/>
        <v>5475</v>
      </c>
      <c r="L5452" s="3">
        <v>3175.5</v>
      </c>
    </row>
    <row r="5453" spans="1:12" x14ac:dyDescent="0.25">
      <c r="A5453" t="s">
        <v>19</v>
      </c>
      <c r="B5453">
        <v>1128299</v>
      </c>
      <c r="C5453" s="1">
        <v>44432</v>
      </c>
      <c r="D5453" t="s">
        <v>32</v>
      </c>
      <c r="E5453" t="s">
        <v>82</v>
      </c>
      <c r="F5453" t="s">
        <v>83</v>
      </c>
      <c r="G5453" t="s">
        <v>15</v>
      </c>
      <c r="H5453" t="s">
        <v>17</v>
      </c>
      <c r="I5453" s="3">
        <v>53</v>
      </c>
      <c r="J5453" s="2">
        <v>240</v>
      </c>
      <c r="K5453" s="3">
        <f t="shared" si="85"/>
        <v>12720</v>
      </c>
      <c r="L5453" s="3">
        <v>7377.6</v>
      </c>
    </row>
    <row r="5454" spans="1:12" x14ac:dyDescent="0.25">
      <c r="A5454" t="s">
        <v>11</v>
      </c>
      <c r="B5454">
        <v>1128299</v>
      </c>
      <c r="C5454" s="1">
        <v>44432</v>
      </c>
      <c r="D5454" t="s">
        <v>12</v>
      </c>
      <c r="E5454" t="s">
        <v>84</v>
      </c>
      <c r="F5454" t="s">
        <v>31</v>
      </c>
      <c r="G5454" t="s">
        <v>15</v>
      </c>
      <c r="H5454" t="s">
        <v>17</v>
      </c>
      <c r="I5454" s="3">
        <v>62</v>
      </c>
      <c r="J5454" s="2">
        <v>256</v>
      </c>
      <c r="K5454" s="3">
        <f t="shared" si="85"/>
        <v>15872</v>
      </c>
      <c r="L5454" s="3">
        <v>9205.76</v>
      </c>
    </row>
    <row r="5455" spans="1:12" x14ac:dyDescent="0.25">
      <c r="A5455" t="s">
        <v>11</v>
      </c>
      <c r="B5455">
        <v>1128299</v>
      </c>
      <c r="C5455" s="1">
        <v>44432</v>
      </c>
      <c r="D5455" t="s">
        <v>12</v>
      </c>
      <c r="E5455" t="s">
        <v>84</v>
      </c>
      <c r="F5455" t="s">
        <v>31</v>
      </c>
      <c r="G5455" t="s">
        <v>15</v>
      </c>
      <c r="H5455" t="s">
        <v>22</v>
      </c>
      <c r="I5455" s="3">
        <v>53</v>
      </c>
      <c r="J5455" s="2">
        <v>136</v>
      </c>
      <c r="K5455" s="3">
        <f t="shared" si="85"/>
        <v>7208</v>
      </c>
      <c r="L5455" s="3">
        <v>4180.6399999999994</v>
      </c>
    </row>
    <row r="5456" spans="1:12" x14ac:dyDescent="0.25">
      <c r="A5456" t="s">
        <v>11</v>
      </c>
      <c r="B5456">
        <v>1128299</v>
      </c>
      <c r="C5456" s="1">
        <v>44432</v>
      </c>
      <c r="D5456" t="s">
        <v>12</v>
      </c>
      <c r="E5456" t="s">
        <v>84</v>
      </c>
      <c r="F5456" t="s">
        <v>31</v>
      </c>
      <c r="G5456" t="s">
        <v>41</v>
      </c>
      <c r="H5456" t="s">
        <v>16</v>
      </c>
      <c r="I5456" s="3">
        <v>69</v>
      </c>
      <c r="J5456" s="2">
        <v>73</v>
      </c>
      <c r="K5456" s="3">
        <f t="shared" si="85"/>
        <v>5037</v>
      </c>
      <c r="L5456" s="3">
        <v>2820.72</v>
      </c>
    </row>
    <row r="5457" spans="1:12" x14ac:dyDescent="0.25">
      <c r="A5457" t="s">
        <v>19</v>
      </c>
      <c r="B5457">
        <v>1128299</v>
      </c>
      <c r="C5457" s="1">
        <v>44432</v>
      </c>
      <c r="D5457" t="s">
        <v>32</v>
      </c>
      <c r="E5457" t="s">
        <v>82</v>
      </c>
      <c r="F5457" t="s">
        <v>83</v>
      </c>
      <c r="G5457" t="s">
        <v>41</v>
      </c>
      <c r="H5457" t="s">
        <v>38</v>
      </c>
      <c r="I5457" s="3">
        <v>83</v>
      </c>
      <c r="J5457" s="2">
        <v>240</v>
      </c>
      <c r="K5457" s="3">
        <f t="shared" si="85"/>
        <v>19920</v>
      </c>
      <c r="L5457" s="3">
        <v>10956</v>
      </c>
    </row>
    <row r="5458" spans="1:12" x14ac:dyDescent="0.25">
      <c r="A5458" t="s">
        <v>19</v>
      </c>
      <c r="B5458">
        <v>1128299</v>
      </c>
      <c r="C5458" s="1">
        <v>44432</v>
      </c>
      <c r="D5458" t="s">
        <v>32</v>
      </c>
      <c r="E5458" t="s">
        <v>82</v>
      </c>
      <c r="F5458" t="s">
        <v>83</v>
      </c>
      <c r="G5458" t="s">
        <v>15</v>
      </c>
      <c r="H5458" t="s">
        <v>22</v>
      </c>
      <c r="I5458" s="3">
        <v>51</v>
      </c>
      <c r="J5458" s="2">
        <v>132</v>
      </c>
      <c r="K5458" s="3">
        <f t="shared" si="85"/>
        <v>6732</v>
      </c>
      <c r="L5458" s="3">
        <v>3702.6</v>
      </c>
    </row>
    <row r="5459" spans="1:12" x14ac:dyDescent="0.25">
      <c r="A5459" t="s">
        <v>11</v>
      </c>
      <c r="B5459">
        <v>1128299</v>
      </c>
      <c r="C5459" s="1">
        <v>44432</v>
      </c>
      <c r="D5459" t="s">
        <v>12</v>
      </c>
      <c r="E5459" t="s">
        <v>84</v>
      </c>
      <c r="F5459" t="s">
        <v>31</v>
      </c>
      <c r="G5459" t="s">
        <v>41</v>
      </c>
      <c r="H5459" t="s">
        <v>37</v>
      </c>
      <c r="I5459" s="3">
        <v>68</v>
      </c>
      <c r="J5459" s="2">
        <v>119</v>
      </c>
      <c r="K5459" s="3">
        <f t="shared" si="85"/>
        <v>8092</v>
      </c>
      <c r="L5459" s="3">
        <v>4369.68</v>
      </c>
    </row>
    <row r="5460" spans="1:12" x14ac:dyDescent="0.25">
      <c r="A5460" t="s">
        <v>19</v>
      </c>
      <c r="B5460">
        <v>1128299</v>
      </c>
      <c r="C5460" s="1">
        <v>44432</v>
      </c>
      <c r="D5460" t="s">
        <v>32</v>
      </c>
      <c r="E5460" t="s">
        <v>82</v>
      </c>
      <c r="F5460" t="s">
        <v>83</v>
      </c>
      <c r="G5460" t="s">
        <v>41</v>
      </c>
      <c r="H5460" t="s">
        <v>35</v>
      </c>
      <c r="I5460" s="3">
        <v>69</v>
      </c>
      <c r="J5460" s="2">
        <v>189</v>
      </c>
      <c r="K5460" s="3">
        <f t="shared" si="85"/>
        <v>13041</v>
      </c>
      <c r="L5460" s="3">
        <v>6781.3200000000006</v>
      </c>
    </row>
    <row r="5461" spans="1:12" x14ac:dyDescent="0.25">
      <c r="A5461" t="s">
        <v>19</v>
      </c>
      <c r="B5461">
        <v>1128299</v>
      </c>
      <c r="C5461" s="1">
        <v>44432</v>
      </c>
      <c r="D5461" t="s">
        <v>32</v>
      </c>
      <c r="E5461" t="s">
        <v>82</v>
      </c>
      <c r="F5461" t="s">
        <v>83</v>
      </c>
      <c r="G5461" t="s">
        <v>41</v>
      </c>
      <c r="H5461" t="s">
        <v>17</v>
      </c>
      <c r="I5461" s="3">
        <v>76</v>
      </c>
      <c r="J5461" s="2">
        <v>202</v>
      </c>
      <c r="K5461" s="3">
        <f t="shared" si="85"/>
        <v>15352</v>
      </c>
      <c r="L5461" s="3">
        <v>7983.04</v>
      </c>
    </row>
    <row r="5462" spans="1:12" x14ac:dyDescent="0.25">
      <c r="A5462" t="s">
        <v>11</v>
      </c>
      <c r="B5462">
        <v>1128299</v>
      </c>
      <c r="C5462" s="1">
        <v>44432</v>
      </c>
      <c r="D5462" t="s">
        <v>12</v>
      </c>
      <c r="E5462" t="s">
        <v>84</v>
      </c>
      <c r="F5462" t="s">
        <v>31</v>
      </c>
      <c r="G5462" t="s">
        <v>41</v>
      </c>
      <c r="H5462" t="s">
        <v>38</v>
      </c>
      <c r="I5462" s="3">
        <v>81</v>
      </c>
      <c r="J5462" s="2">
        <v>200</v>
      </c>
      <c r="K5462" s="3">
        <f t="shared" si="85"/>
        <v>16200</v>
      </c>
      <c r="L5462" s="3">
        <v>8424</v>
      </c>
    </row>
    <row r="5463" spans="1:12" x14ac:dyDescent="0.25">
      <c r="A5463" t="s">
        <v>19</v>
      </c>
      <c r="B5463">
        <v>1128299</v>
      </c>
      <c r="C5463" s="1">
        <v>44432</v>
      </c>
      <c r="D5463" t="s">
        <v>32</v>
      </c>
      <c r="E5463" t="s">
        <v>82</v>
      </c>
      <c r="F5463" t="s">
        <v>83</v>
      </c>
      <c r="G5463" t="s">
        <v>41</v>
      </c>
      <c r="H5463" t="s">
        <v>37</v>
      </c>
      <c r="I5463" s="3">
        <v>66</v>
      </c>
      <c r="J5463" s="2">
        <v>111</v>
      </c>
      <c r="K5463" s="3">
        <f t="shared" si="85"/>
        <v>7326</v>
      </c>
      <c r="L5463" s="3">
        <v>3736.26</v>
      </c>
    </row>
    <row r="5464" spans="1:12" x14ac:dyDescent="0.25">
      <c r="A5464" t="s">
        <v>11</v>
      </c>
      <c r="B5464">
        <v>1128299</v>
      </c>
      <c r="C5464" s="1">
        <v>44432</v>
      </c>
      <c r="D5464" t="s">
        <v>12</v>
      </c>
      <c r="E5464" t="s">
        <v>84</v>
      </c>
      <c r="F5464" t="s">
        <v>31</v>
      </c>
      <c r="G5464" t="s">
        <v>41</v>
      </c>
      <c r="H5464" t="s">
        <v>17</v>
      </c>
      <c r="I5464" s="3">
        <v>76</v>
      </c>
      <c r="J5464" s="2">
        <v>233</v>
      </c>
      <c r="K5464" s="3">
        <f t="shared" si="85"/>
        <v>17708</v>
      </c>
      <c r="L5464" s="3">
        <v>9031.08</v>
      </c>
    </row>
    <row r="5465" spans="1:12" x14ac:dyDescent="0.25">
      <c r="A5465" t="s">
        <v>11</v>
      </c>
      <c r="B5465">
        <v>1128299</v>
      </c>
      <c r="C5465" s="1">
        <v>44432</v>
      </c>
      <c r="D5465" t="s">
        <v>12</v>
      </c>
      <c r="E5465" t="s">
        <v>84</v>
      </c>
      <c r="F5465" t="s">
        <v>31</v>
      </c>
      <c r="G5465" t="s">
        <v>41</v>
      </c>
      <c r="H5465" t="s">
        <v>35</v>
      </c>
      <c r="I5465" s="3">
        <v>68</v>
      </c>
      <c r="J5465" s="2">
        <v>195</v>
      </c>
      <c r="K5465" s="3">
        <f t="shared" si="85"/>
        <v>13260</v>
      </c>
      <c r="L5465" s="3">
        <v>6762.6</v>
      </c>
    </row>
    <row r="5466" spans="1:12" x14ac:dyDescent="0.25">
      <c r="A5466" t="s">
        <v>26</v>
      </c>
      <c r="B5466">
        <v>1197831</v>
      </c>
      <c r="C5466" s="1">
        <v>44432</v>
      </c>
      <c r="D5466" t="s">
        <v>52</v>
      </c>
      <c r="E5466" t="s">
        <v>53</v>
      </c>
      <c r="F5466" t="s">
        <v>54</v>
      </c>
      <c r="G5466" t="s">
        <v>41</v>
      </c>
      <c r="H5466" t="s">
        <v>17</v>
      </c>
      <c r="I5466" s="3">
        <v>39</v>
      </c>
      <c r="J5466" s="2">
        <v>169</v>
      </c>
      <c r="K5466" s="3">
        <f t="shared" si="85"/>
        <v>6591</v>
      </c>
      <c r="L5466" s="3">
        <v>3295.5</v>
      </c>
    </row>
    <row r="5467" spans="1:12" x14ac:dyDescent="0.25">
      <c r="A5467" t="s">
        <v>19</v>
      </c>
      <c r="B5467">
        <v>1128299</v>
      </c>
      <c r="C5467" s="1">
        <v>44432</v>
      </c>
      <c r="D5467" t="s">
        <v>32</v>
      </c>
      <c r="E5467" t="s">
        <v>82</v>
      </c>
      <c r="F5467" t="s">
        <v>83</v>
      </c>
      <c r="G5467" t="s">
        <v>41</v>
      </c>
      <c r="H5467" t="s">
        <v>22</v>
      </c>
      <c r="I5467" s="3">
        <v>64</v>
      </c>
      <c r="J5467" s="2">
        <v>106</v>
      </c>
      <c r="K5467" s="3">
        <f t="shared" si="85"/>
        <v>6784</v>
      </c>
      <c r="L5467" s="3">
        <v>3324.16</v>
      </c>
    </row>
    <row r="5468" spans="1:12" x14ac:dyDescent="0.25">
      <c r="A5468" t="s">
        <v>11</v>
      </c>
      <c r="B5468">
        <v>1128299</v>
      </c>
      <c r="C5468" s="1">
        <v>44432</v>
      </c>
      <c r="D5468" t="s">
        <v>12</v>
      </c>
      <c r="E5468" t="s">
        <v>84</v>
      </c>
      <c r="F5468" t="s">
        <v>31</v>
      </c>
      <c r="G5468" t="s">
        <v>41</v>
      </c>
      <c r="H5468" t="s">
        <v>22</v>
      </c>
      <c r="I5468" s="3">
        <v>65</v>
      </c>
      <c r="J5468" s="2">
        <v>128</v>
      </c>
      <c r="K5468" s="3">
        <f t="shared" si="85"/>
        <v>8320</v>
      </c>
      <c r="L5468" s="3">
        <v>3910.3999999999996</v>
      </c>
    </row>
    <row r="5469" spans="1:12" x14ac:dyDescent="0.25">
      <c r="A5469" t="s">
        <v>26</v>
      </c>
      <c r="B5469">
        <v>1197831</v>
      </c>
      <c r="C5469" s="1">
        <v>44432</v>
      </c>
      <c r="D5469" t="s">
        <v>52</v>
      </c>
      <c r="E5469" t="s">
        <v>99</v>
      </c>
      <c r="F5469" t="s">
        <v>100</v>
      </c>
      <c r="G5469" t="s">
        <v>15</v>
      </c>
      <c r="H5469" t="s">
        <v>16</v>
      </c>
      <c r="I5469" s="3">
        <v>14</v>
      </c>
      <c r="J5469" s="2">
        <v>165</v>
      </c>
      <c r="K5469" s="3">
        <f t="shared" si="85"/>
        <v>2310</v>
      </c>
      <c r="L5469" s="3">
        <v>762.29999999999973</v>
      </c>
    </row>
    <row r="5470" spans="1:12" x14ac:dyDescent="0.25">
      <c r="A5470" t="s">
        <v>26</v>
      </c>
      <c r="B5470">
        <v>1197831</v>
      </c>
      <c r="C5470" s="1">
        <v>44432</v>
      </c>
      <c r="D5470" t="s">
        <v>52</v>
      </c>
      <c r="E5470" t="s">
        <v>99</v>
      </c>
      <c r="F5470" t="s">
        <v>100</v>
      </c>
      <c r="G5470" t="s">
        <v>41</v>
      </c>
      <c r="H5470" t="s">
        <v>16</v>
      </c>
      <c r="I5470" s="3">
        <v>20</v>
      </c>
      <c r="J5470" s="2">
        <v>149</v>
      </c>
      <c r="K5470" s="3">
        <f t="shared" si="85"/>
        <v>2980</v>
      </c>
      <c r="L5470" s="3">
        <v>744.99999999999955</v>
      </c>
    </row>
    <row r="5471" spans="1:12" x14ac:dyDescent="0.25">
      <c r="A5471" t="s">
        <v>26</v>
      </c>
      <c r="B5471">
        <v>1197831</v>
      </c>
      <c r="C5471" s="1">
        <v>44433</v>
      </c>
      <c r="D5471" t="s">
        <v>52</v>
      </c>
      <c r="E5471" t="s">
        <v>53</v>
      </c>
      <c r="F5471" t="s">
        <v>54</v>
      </c>
      <c r="G5471" t="s">
        <v>15</v>
      </c>
      <c r="H5471" t="s">
        <v>35</v>
      </c>
      <c r="I5471" s="3">
        <v>30</v>
      </c>
      <c r="J5471" s="2">
        <v>500</v>
      </c>
      <c r="K5471" s="3">
        <f t="shared" si="85"/>
        <v>15000</v>
      </c>
      <c r="L5471" s="3">
        <v>9750</v>
      </c>
    </row>
    <row r="5472" spans="1:12" x14ac:dyDescent="0.25">
      <c r="A5472" t="s">
        <v>26</v>
      </c>
      <c r="B5472">
        <v>1197831</v>
      </c>
      <c r="C5472" s="1">
        <v>44433</v>
      </c>
      <c r="D5472" t="s">
        <v>52</v>
      </c>
      <c r="E5472" t="s">
        <v>99</v>
      </c>
      <c r="F5472" t="s">
        <v>100</v>
      </c>
      <c r="G5472" t="s">
        <v>15</v>
      </c>
      <c r="H5472" t="s">
        <v>38</v>
      </c>
      <c r="I5472" s="3">
        <v>9.9999999999999964</v>
      </c>
      <c r="J5472" s="2">
        <v>700</v>
      </c>
      <c r="K5472" s="3">
        <f t="shared" si="85"/>
        <v>6999.9999999999973</v>
      </c>
      <c r="L5472" s="3">
        <v>3849.9999999999986</v>
      </c>
    </row>
    <row r="5473" spans="1:12" x14ac:dyDescent="0.25">
      <c r="A5473" t="s">
        <v>26</v>
      </c>
      <c r="B5473">
        <v>1197831</v>
      </c>
      <c r="C5473" s="1">
        <v>44433</v>
      </c>
      <c r="D5473" t="s">
        <v>52</v>
      </c>
      <c r="E5473" t="s">
        <v>53</v>
      </c>
      <c r="F5473" t="s">
        <v>54</v>
      </c>
      <c r="G5473" t="s">
        <v>15</v>
      </c>
      <c r="H5473" t="s">
        <v>35</v>
      </c>
      <c r="I5473" s="3">
        <v>20</v>
      </c>
      <c r="J5473" s="2">
        <v>155</v>
      </c>
      <c r="K5473" s="3">
        <f t="shared" si="85"/>
        <v>3100</v>
      </c>
      <c r="L5473" s="3">
        <v>1922</v>
      </c>
    </row>
    <row r="5474" spans="1:12" x14ac:dyDescent="0.25">
      <c r="A5474" t="s">
        <v>26</v>
      </c>
      <c r="B5474">
        <v>1197831</v>
      </c>
      <c r="C5474" s="1">
        <v>44433</v>
      </c>
      <c r="D5474" t="s">
        <v>52</v>
      </c>
      <c r="E5474" t="s">
        <v>53</v>
      </c>
      <c r="F5474" t="s">
        <v>54</v>
      </c>
      <c r="G5474" t="s">
        <v>41</v>
      </c>
      <c r="H5474" t="s">
        <v>35</v>
      </c>
      <c r="I5474" s="3">
        <v>28</v>
      </c>
      <c r="J5474" s="2">
        <v>145</v>
      </c>
      <c r="K5474" s="3">
        <f t="shared" si="85"/>
        <v>4060</v>
      </c>
      <c r="L5474" s="3">
        <v>2151.8000000000002</v>
      </c>
    </row>
    <row r="5475" spans="1:12" x14ac:dyDescent="0.25">
      <c r="A5475" t="s">
        <v>26</v>
      </c>
      <c r="B5475">
        <v>1197831</v>
      </c>
      <c r="C5475" s="1">
        <v>44433</v>
      </c>
      <c r="D5475" t="s">
        <v>52</v>
      </c>
      <c r="E5475" t="s">
        <v>99</v>
      </c>
      <c r="F5475" t="s">
        <v>100</v>
      </c>
      <c r="G5475" t="s">
        <v>15</v>
      </c>
      <c r="H5475" t="s">
        <v>38</v>
      </c>
      <c r="I5475" s="3">
        <v>7</v>
      </c>
      <c r="J5475" s="2">
        <v>224</v>
      </c>
      <c r="K5475" s="3">
        <f t="shared" si="85"/>
        <v>1568</v>
      </c>
      <c r="L5475" s="3">
        <v>831.04000000000008</v>
      </c>
    </row>
    <row r="5476" spans="1:12" x14ac:dyDescent="0.25">
      <c r="A5476" t="s">
        <v>26</v>
      </c>
      <c r="B5476">
        <v>1197831</v>
      </c>
      <c r="C5476" s="1">
        <v>44433</v>
      </c>
      <c r="D5476" t="s">
        <v>52</v>
      </c>
      <c r="E5476" t="s">
        <v>99</v>
      </c>
      <c r="F5476" t="s">
        <v>100</v>
      </c>
      <c r="G5476" t="s">
        <v>41</v>
      </c>
      <c r="H5476" t="s">
        <v>38</v>
      </c>
      <c r="I5476" s="3">
        <v>9</v>
      </c>
      <c r="J5476" s="2">
        <v>203</v>
      </c>
      <c r="K5476" s="3">
        <f t="shared" si="85"/>
        <v>1827</v>
      </c>
      <c r="L5476" s="3">
        <v>749.07000000000016</v>
      </c>
    </row>
    <row r="5477" spans="1:12" x14ac:dyDescent="0.25">
      <c r="A5477" t="s">
        <v>27</v>
      </c>
      <c r="B5477">
        <v>1128299</v>
      </c>
      <c r="C5477" s="1">
        <v>44434</v>
      </c>
      <c r="D5477" t="s">
        <v>12</v>
      </c>
      <c r="E5477" t="s">
        <v>42</v>
      </c>
      <c r="F5477" t="s">
        <v>43</v>
      </c>
      <c r="G5477" t="s">
        <v>41</v>
      </c>
      <c r="H5477" t="s">
        <v>16</v>
      </c>
      <c r="I5477" s="3">
        <v>75.000000000000014</v>
      </c>
      <c r="J5477" s="2">
        <v>450</v>
      </c>
      <c r="K5477" s="3">
        <f t="shared" si="85"/>
        <v>33750.000000000007</v>
      </c>
      <c r="L5477" s="3">
        <v>25312.500000000007</v>
      </c>
    </row>
    <row r="5478" spans="1:12" x14ac:dyDescent="0.25">
      <c r="A5478" t="s">
        <v>27</v>
      </c>
      <c r="B5478">
        <v>1128299</v>
      </c>
      <c r="C5478" s="1">
        <v>44434</v>
      </c>
      <c r="D5478" t="s">
        <v>12</v>
      </c>
      <c r="E5478" t="s">
        <v>42</v>
      </c>
      <c r="F5478" t="s">
        <v>43</v>
      </c>
      <c r="G5478" t="s">
        <v>41</v>
      </c>
      <c r="H5478" t="s">
        <v>22</v>
      </c>
      <c r="I5478" s="3">
        <v>70</v>
      </c>
      <c r="J5478" s="2">
        <v>475</v>
      </c>
      <c r="K5478" s="3">
        <f t="shared" si="85"/>
        <v>33250</v>
      </c>
      <c r="L5478" s="3">
        <v>23275</v>
      </c>
    </row>
    <row r="5479" spans="1:12" x14ac:dyDescent="0.25">
      <c r="A5479" t="s">
        <v>27</v>
      </c>
      <c r="B5479">
        <v>1128299</v>
      </c>
      <c r="C5479" s="1">
        <v>44434</v>
      </c>
      <c r="D5479" t="s">
        <v>12</v>
      </c>
      <c r="E5479" t="s">
        <v>42</v>
      </c>
      <c r="F5479" t="s">
        <v>43</v>
      </c>
      <c r="G5479" t="s">
        <v>41</v>
      </c>
      <c r="H5479" t="s">
        <v>37</v>
      </c>
      <c r="I5479" s="3">
        <v>60.000000000000007</v>
      </c>
      <c r="J5479" s="2">
        <v>475</v>
      </c>
      <c r="K5479" s="3">
        <f t="shared" si="85"/>
        <v>28500.000000000004</v>
      </c>
      <c r="L5479" s="3">
        <v>18525.000000000007</v>
      </c>
    </row>
    <row r="5480" spans="1:12" x14ac:dyDescent="0.25">
      <c r="A5480" t="s">
        <v>27</v>
      </c>
      <c r="B5480">
        <v>1128299</v>
      </c>
      <c r="C5480" s="1">
        <v>44434</v>
      </c>
      <c r="D5480" t="s">
        <v>12</v>
      </c>
      <c r="E5480" t="s">
        <v>42</v>
      </c>
      <c r="F5480" t="s">
        <v>43</v>
      </c>
      <c r="G5480" t="s">
        <v>41</v>
      </c>
      <c r="H5480" t="s">
        <v>35</v>
      </c>
      <c r="I5480" s="3">
        <v>60.000000000000007</v>
      </c>
      <c r="J5480" s="2">
        <v>525</v>
      </c>
      <c r="K5480" s="3">
        <f t="shared" si="85"/>
        <v>31500.000000000004</v>
      </c>
      <c r="L5480" s="3">
        <v>20475.000000000007</v>
      </c>
    </row>
    <row r="5481" spans="1:12" x14ac:dyDescent="0.25">
      <c r="A5481" t="s">
        <v>27</v>
      </c>
      <c r="B5481">
        <v>1128299</v>
      </c>
      <c r="C5481" s="1">
        <v>44434</v>
      </c>
      <c r="D5481" t="s">
        <v>12</v>
      </c>
      <c r="E5481" t="s">
        <v>42</v>
      </c>
      <c r="F5481" t="s">
        <v>43</v>
      </c>
      <c r="G5481" t="s">
        <v>41</v>
      </c>
      <c r="H5481" t="s">
        <v>38</v>
      </c>
      <c r="I5481" s="3">
        <v>60.000000000000007</v>
      </c>
      <c r="J5481" s="2">
        <v>700</v>
      </c>
      <c r="K5481" s="3">
        <f t="shared" si="85"/>
        <v>42000.000000000007</v>
      </c>
      <c r="L5481" s="3">
        <v>27300.000000000007</v>
      </c>
    </row>
    <row r="5482" spans="1:12" x14ac:dyDescent="0.25">
      <c r="A5482" t="s">
        <v>27</v>
      </c>
      <c r="B5482">
        <v>1128299</v>
      </c>
      <c r="C5482" s="1">
        <v>44434</v>
      </c>
      <c r="D5482" t="s">
        <v>12</v>
      </c>
      <c r="E5482" t="s">
        <v>42</v>
      </c>
      <c r="F5482" t="s">
        <v>43</v>
      </c>
      <c r="G5482" t="s">
        <v>41</v>
      </c>
      <c r="H5482" t="s">
        <v>17</v>
      </c>
      <c r="I5482" s="3">
        <v>65.000000000000014</v>
      </c>
      <c r="J5482" s="2">
        <v>650</v>
      </c>
      <c r="K5482" s="3">
        <f t="shared" si="85"/>
        <v>42250.000000000007</v>
      </c>
      <c r="L5482" s="3">
        <v>25350.000000000007</v>
      </c>
    </row>
    <row r="5483" spans="1:12" x14ac:dyDescent="0.25">
      <c r="A5483" t="s">
        <v>26</v>
      </c>
      <c r="B5483">
        <v>1197831</v>
      </c>
      <c r="C5483" s="1">
        <v>44434</v>
      </c>
      <c r="D5483" t="s">
        <v>52</v>
      </c>
      <c r="E5483" t="s">
        <v>53</v>
      </c>
      <c r="F5483" t="s">
        <v>54</v>
      </c>
      <c r="G5483" t="s">
        <v>15</v>
      </c>
      <c r="H5483" t="s">
        <v>37</v>
      </c>
      <c r="I5483" s="3">
        <v>35</v>
      </c>
      <c r="J5483" s="2">
        <v>400</v>
      </c>
      <c r="K5483" s="3">
        <f t="shared" si="85"/>
        <v>14000</v>
      </c>
      <c r="L5483" s="3">
        <v>7700</v>
      </c>
    </row>
    <row r="5484" spans="1:12" x14ac:dyDescent="0.25">
      <c r="A5484" t="s">
        <v>26</v>
      </c>
      <c r="B5484">
        <v>1197831</v>
      </c>
      <c r="C5484" s="1">
        <v>44434</v>
      </c>
      <c r="D5484" t="s">
        <v>52</v>
      </c>
      <c r="E5484" t="s">
        <v>99</v>
      </c>
      <c r="F5484" t="s">
        <v>100</v>
      </c>
      <c r="G5484" t="s">
        <v>15</v>
      </c>
      <c r="H5484" t="s">
        <v>17</v>
      </c>
      <c r="I5484" s="3">
        <v>20.000000000000007</v>
      </c>
      <c r="J5484" s="2">
        <v>725</v>
      </c>
      <c r="K5484" s="3">
        <f t="shared" si="85"/>
        <v>14500.000000000005</v>
      </c>
      <c r="L5484" s="3">
        <v>7975.0000000000027</v>
      </c>
    </row>
    <row r="5485" spans="1:12" x14ac:dyDescent="0.25">
      <c r="A5485" t="s">
        <v>27</v>
      </c>
      <c r="B5485">
        <v>1128299</v>
      </c>
      <c r="C5485" s="1">
        <v>44434</v>
      </c>
      <c r="D5485" t="s">
        <v>12</v>
      </c>
      <c r="E5485" t="s">
        <v>42</v>
      </c>
      <c r="F5485" t="s">
        <v>43</v>
      </c>
      <c r="G5485" t="s">
        <v>15</v>
      </c>
      <c r="H5485" t="s">
        <v>16</v>
      </c>
      <c r="I5485" s="3">
        <v>50</v>
      </c>
      <c r="J5485" s="2">
        <v>153</v>
      </c>
      <c r="K5485" s="3">
        <f t="shared" si="85"/>
        <v>7650</v>
      </c>
      <c r="L5485" s="3">
        <v>5202</v>
      </c>
    </row>
    <row r="5486" spans="1:12" x14ac:dyDescent="0.25">
      <c r="A5486" t="s">
        <v>27</v>
      </c>
      <c r="B5486">
        <v>1128299</v>
      </c>
      <c r="C5486" s="1">
        <v>44434</v>
      </c>
      <c r="D5486" t="s">
        <v>12</v>
      </c>
      <c r="E5486" t="s">
        <v>42</v>
      </c>
      <c r="F5486" t="s">
        <v>43</v>
      </c>
      <c r="G5486" t="s">
        <v>15</v>
      </c>
      <c r="H5486" t="s">
        <v>22</v>
      </c>
      <c r="I5486" s="3">
        <v>48</v>
      </c>
      <c r="J5486" s="2">
        <v>162</v>
      </c>
      <c r="K5486" s="3">
        <f t="shared" si="85"/>
        <v>7776</v>
      </c>
      <c r="L5486" s="3">
        <v>5132.16</v>
      </c>
    </row>
    <row r="5487" spans="1:12" x14ac:dyDescent="0.25">
      <c r="A5487" t="s">
        <v>27</v>
      </c>
      <c r="B5487">
        <v>1128299</v>
      </c>
      <c r="C5487" s="1">
        <v>44434</v>
      </c>
      <c r="D5487" t="s">
        <v>12</v>
      </c>
      <c r="E5487" t="s">
        <v>42</v>
      </c>
      <c r="F5487" t="s">
        <v>43</v>
      </c>
      <c r="G5487" t="s">
        <v>15</v>
      </c>
      <c r="H5487" t="s">
        <v>38</v>
      </c>
      <c r="I5487" s="3">
        <v>40</v>
      </c>
      <c r="J5487" s="2">
        <v>224</v>
      </c>
      <c r="K5487" s="3">
        <f t="shared" si="85"/>
        <v>8960</v>
      </c>
      <c r="L5487" s="3">
        <v>5644.8</v>
      </c>
    </row>
    <row r="5488" spans="1:12" x14ac:dyDescent="0.25">
      <c r="A5488" t="s">
        <v>27</v>
      </c>
      <c r="B5488">
        <v>1128299</v>
      </c>
      <c r="C5488" s="1">
        <v>44434</v>
      </c>
      <c r="D5488" t="s">
        <v>12</v>
      </c>
      <c r="E5488" t="s">
        <v>42</v>
      </c>
      <c r="F5488" t="s">
        <v>43</v>
      </c>
      <c r="G5488" t="s">
        <v>15</v>
      </c>
      <c r="H5488" t="s">
        <v>37</v>
      </c>
      <c r="I5488" s="3">
        <v>46</v>
      </c>
      <c r="J5488" s="2">
        <v>152</v>
      </c>
      <c r="K5488" s="3">
        <f t="shared" si="85"/>
        <v>6992</v>
      </c>
      <c r="L5488" s="3">
        <v>4404.96</v>
      </c>
    </row>
    <row r="5489" spans="1:12" x14ac:dyDescent="0.25">
      <c r="A5489" t="s">
        <v>27</v>
      </c>
      <c r="B5489">
        <v>1128299</v>
      </c>
      <c r="C5489" s="1">
        <v>44434</v>
      </c>
      <c r="D5489" t="s">
        <v>12</v>
      </c>
      <c r="E5489" t="s">
        <v>42</v>
      </c>
      <c r="F5489" t="s">
        <v>43</v>
      </c>
      <c r="G5489" t="s">
        <v>41</v>
      </c>
      <c r="H5489" t="s">
        <v>16</v>
      </c>
      <c r="I5489" s="3">
        <v>70</v>
      </c>
      <c r="J5489" s="2">
        <v>126</v>
      </c>
      <c r="K5489" s="3">
        <f t="shared" si="85"/>
        <v>8820</v>
      </c>
      <c r="L5489" s="3">
        <v>5468.4</v>
      </c>
    </row>
    <row r="5490" spans="1:12" x14ac:dyDescent="0.25">
      <c r="A5490" t="s">
        <v>27</v>
      </c>
      <c r="B5490">
        <v>1128299</v>
      </c>
      <c r="C5490" s="1">
        <v>44434</v>
      </c>
      <c r="D5490" t="s">
        <v>12</v>
      </c>
      <c r="E5490" t="s">
        <v>42</v>
      </c>
      <c r="F5490" t="s">
        <v>43</v>
      </c>
      <c r="G5490" t="s">
        <v>15</v>
      </c>
      <c r="H5490" t="s">
        <v>35</v>
      </c>
      <c r="I5490" s="3">
        <v>46</v>
      </c>
      <c r="J5490" s="2">
        <v>163</v>
      </c>
      <c r="K5490" s="3">
        <f t="shared" si="85"/>
        <v>7498</v>
      </c>
      <c r="L5490" s="3">
        <v>4498.8</v>
      </c>
    </row>
    <row r="5491" spans="1:12" x14ac:dyDescent="0.25">
      <c r="A5491" t="s">
        <v>27</v>
      </c>
      <c r="B5491">
        <v>1128299</v>
      </c>
      <c r="C5491" s="1">
        <v>44434</v>
      </c>
      <c r="D5491" t="s">
        <v>12</v>
      </c>
      <c r="E5491" t="s">
        <v>42</v>
      </c>
      <c r="F5491" t="s">
        <v>43</v>
      </c>
      <c r="G5491" t="s">
        <v>41</v>
      </c>
      <c r="H5491" t="s">
        <v>22</v>
      </c>
      <c r="I5491" s="3">
        <v>67</v>
      </c>
      <c r="J5491" s="2">
        <v>124</v>
      </c>
      <c r="K5491" s="3">
        <f t="shared" si="85"/>
        <v>8308</v>
      </c>
      <c r="L5491" s="3">
        <v>4984.7999999999993</v>
      </c>
    </row>
    <row r="5492" spans="1:12" x14ac:dyDescent="0.25">
      <c r="A5492" t="s">
        <v>27</v>
      </c>
      <c r="B5492">
        <v>1128299</v>
      </c>
      <c r="C5492" s="1">
        <v>44434</v>
      </c>
      <c r="D5492" t="s">
        <v>12</v>
      </c>
      <c r="E5492" t="s">
        <v>42</v>
      </c>
      <c r="F5492" t="s">
        <v>43</v>
      </c>
      <c r="G5492" t="s">
        <v>15</v>
      </c>
      <c r="H5492" t="s">
        <v>17</v>
      </c>
      <c r="I5492" s="3">
        <v>44</v>
      </c>
      <c r="J5492" s="2">
        <v>208</v>
      </c>
      <c r="K5492" s="3">
        <f t="shared" si="85"/>
        <v>9152</v>
      </c>
      <c r="L5492" s="3">
        <v>5125.12</v>
      </c>
    </row>
    <row r="5493" spans="1:12" x14ac:dyDescent="0.25">
      <c r="A5493" t="s">
        <v>27</v>
      </c>
      <c r="B5493">
        <v>1128299</v>
      </c>
      <c r="C5493" s="1">
        <v>44434</v>
      </c>
      <c r="D5493" t="s">
        <v>12</v>
      </c>
      <c r="E5493" t="s">
        <v>42</v>
      </c>
      <c r="F5493" t="s">
        <v>43</v>
      </c>
      <c r="G5493" t="s">
        <v>41</v>
      </c>
      <c r="H5493" t="s">
        <v>35</v>
      </c>
      <c r="I5493" s="3">
        <v>58</v>
      </c>
      <c r="J5493" s="2">
        <v>142</v>
      </c>
      <c r="K5493" s="3">
        <f t="shared" si="85"/>
        <v>8236</v>
      </c>
      <c r="L5493" s="3">
        <v>4447.4400000000005</v>
      </c>
    </row>
    <row r="5494" spans="1:12" x14ac:dyDescent="0.25">
      <c r="A5494" t="s">
        <v>27</v>
      </c>
      <c r="B5494">
        <v>1128299</v>
      </c>
      <c r="C5494" s="1">
        <v>44434</v>
      </c>
      <c r="D5494" t="s">
        <v>12</v>
      </c>
      <c r="E5494" t="s">
        <v>42</v>
      </c>
      <c r="F5494" t="s">
        <v>43</v>
      </c>
      <c r="G5494" t="s">
        <v>41</v>
      </c>
      <c r="H5494" t="s">
        <v>37</v>
      </c>
      <c r="I5494" s="3">
        <v>55</v>
      </c>
      <c r="J5494" s="2">
        <v>143</v>
      </c>
      <c r="K5494" s="3">
        <f t="shared" si="85"/>
        <v>7865</v>
      </c>
      <c r="L5494" s="3">
        <v>4168.4500000000007</v>
      </c>
    </row>
    <row r="5495" spans="1:12" x14ac:dyDescent="0.25">
      <c r="A5495" t="s">
        <v>26</v>
      </c>
      <c r="B5495">
        <v>1197831</v>
      </c>
      <c r="C5495" s="1">
        <v>44434</v>
      </c>
      <c r="D5495" t="s">
        <v>52</v>
      </c>
      <c r="E5495" t="s">
        <v>53</v>
      </c>
      <c r="F5495" t="s">
        <v>54</v>
      </c>
      <c r="G5495" t="s">
        <v>15</v>
      </c>
      <c r="H5495" t="s">
        <v>37</v>
      </c>
      <c r="I5495" s="3">
        <v>26</v>
      </c>
      <c r="J5495" s="2">
        <v>140</v>
      </c>
      <c r="K5495" s="3">
        <f t="shared" si="85"/>
        <v>3640</v>
      </c>
      <c r="L5495" s="3">
        <v>1929.1999999999998</v>
      </c>
    </row>
    <row r="5496" spans="1:12" x14ac:dyDescent="0.25">
      <c r="A5496" t="s">
        <v>26</v>
      </c>
      <c r="B5496">
        <v>1197831</v>
      </c>
      <c r="C5496" s="1">
        <v>44434</v>
      </c>
      <c r="D5496" t="s">
        <v>52</v>
      </c>
      <c r="E5496" t="s">
        <v>99</v>
      </c>
      <c r="F5496" t="s">
        <v>100</v>
      </c>
      <c r="G5496" t="s">
        <v>15</v>
      </c>
      <c r="H5496" t="s">
        <v>17</v>
      </c>
      <c r="I5496" s="3">
        <v>16</v>
      </c>
      <c r="J5496" s="2">
        <v>218</v>
      </c>
      <c r="K5496" s="3">
        <f t="shared" si="85"/>
        <v>3488</v>
      </c>
      <c r="L5496" s="3">
        <v>1778.8800000000003</v>
      </c>
    </row>
    <row r="5497" spans="1:12" x14ac:dyDescent="0.25">
      <c r="A5497" t="s">
        <v>27</v>
      </c>
      <c r="B5497">
        <v>1128299</v>
      </c>
      <c r="C5497" s="1">
        <v>44434</v>
      </c>
      <c r="D5497" t="s">
        <v>12</v>
      </c>
      <c r="E5497" t="s">
        <v>42</v>
      </c>
      <c r="F5497" t="s">
        <v>43</v>
      </c>
      <c r="G5497" t="s">
        <v>41</v>
      </c>
      <c r="H5497" t="s">
        <v>38</v>
      </c>
      <c r="I5497" s="3">
        <v>56</v>
      </c>
      <c r="J5497" s="2">
        <v>175</v>
      </c>
      <c r="K5497" s="3">
        <f t="shared" si="85"/>
        <v>9800</v>
      </c>
      <c r="L5497" s="3">
        <v>4900</v>
      </c>
    </row>
    <row r="5498" spans="1:12" x14ac:dyDescent="0.25">
      <c r="A5498" t="s">
        <v>27</v>
      </c>
      <c r="B5498">
        <v>1128299</v>
      </c>
      <c r="C5498" s="1">
        <v>44434</v>
      </c>
      <c r="D5498" t="s">
        <v>12</v>
      </c>
      <c r="E5498" t="s">
        <v>42</v>
      </c>
      <c r="F5498" t="s">
        <v>43</v>
      </c>
      <c r="G5498" t="s">
        <v>41</v>
      </c>
      <c r="H5498" t="s">
        <v>17</v>
      </c>
      <c r="I5498" s="3">
        <v>60</v>
      </c>
      <c r="J5498" s="2">
        <v>176</v>
      </c>
      <c r="K5498" s="3">
        <f t="shared" si="85"/>
        <v>10560</v>
      </c>
      <c r="L5498" s="3">
        <v>5068.8</v>
      </c>
    </row>
    <row r="5499" spans="1:12" x14ac:dyDescent="0.25">
      <c r="A5499" t="s">
        <v>26</v>
      </c>
      <c r="B5499">
        <v>1197831</v>
      </c>
      <c r="C5499" s="1">
        <v>44434</v>
      </c>
      <c r="D5499" t="s">
        <v>52</v>
      </c>
      <c r="E5499" t="s">
        <v>53</v>
      </c>
      <c r="F5499" t="s">
        <v>54</v>
      </c>
      <c r="G5499" t="s">
        <v>41</v>
      </c>
      <c r="H5499" t="s">
        <v>37</v>
      </c>
      <c r="I5499" s="3">
        <v>32</v>
      </c>
      <c r="J5499" s="2">
        <v>116</v>
      </c>
      <c r="K5499" s="3">
        <f t="shared" si="85"/>
        <v>3712</v>
      </c>
      <c r="L5499" s="3">
        <v>1596.1599999999999</v>
      </c>
    </row>
    <row r="5500" spans="1:12" x14ac:dyDescent="0.25">
      <c r="A5500" t="s">
        <v>26</v>
      </c>
      <c r="B5500">
        <v>1197831</v>
      </c>
      <c r="C5500" s="1">
        <v>44434</v>
      </c>
      <c r="D5500" t="s">
        <v>52</v>
      </c>
      <c r="E5500" t="s">
        <v>99</v>
      </c>
      <c r="F5500" t="s">
        <v>100</v>
      </c>
      <c r="G5500" t="s">
        <v>41</v>
      </c>
      <c r="H5500" t="s">
        <v>17</v>
      </c>
      <c r="I5500" s="3">
        <v>19</v>
      </c>
      <c r="J5500" s="2">
        <v>189</v>
      </c>
      <c r="K5500" s="3">
        <f t="shared" si="85"/>
        <v>3591</v>
      </c>
      <c r="L5500" s="3">
        <v>1472.31</v>
      </c>
    </row>
    <row r="5501" spans="1:12" x14ac:dyDescent="0.25">
      <c r="A5501" t="s">
        <v>26</v>
      </c>
      <c r="B5501">
        <v>1197831</v>
      </c>
      <c r="C5501" s="1">
        <v>44435</v>
      </c>
      <c r="D5501" t="s">
        <v>52</v>
      </c>
      <c r="E5501" t="s">
        <v>53</v>
      </c>
      <c r="F5501" t="s">
        <v>54</v>
      </c>
      <c r="G5501" t="s">
        <v>15</v>
      </c>
      <c r="H5501" t="s">
        <v>22</v>
      </c>
      <c r="I5501" s="3">
        <v>40</v>
      </c>
      <c r="J5501" s="2">
        <v>300</v>
      </c>
      <c r="K5501" s="3">
        <f t="shared" si="85"/>
        <v>12000</v>
      </c>
      <c r="L5501" s="3">
        <v>8400</v>
      </c>
    </row>
    <row r="5502" spans="1:12" x14ac:dyDescent="0.25">
      <c r="A5502" t="s">
        <v>26</v>
      </c>
      <c r="B5502">
        <v>1197831</v>
      </c>
      <c r="C5502" s="1">
        <v>44435</v>
      </c>
      <c r="D5502" t="s">
        <v>52</v>
      </c>
      <c r="E5502" t="s">
        <v>99</v>
      </c>
      <c r="F5502" t="s">
        <v>100</v>
      </c>
      <c r="G5502" t="s">
        <v>15</v>
      </c>
      <c r="H5502" t="s">
        <v>35</v>
      </c>
      <c r="I5502" s="3">
        <v>14.999999999999996</v>
      </c>
      <c r="J5502" s="2">
        <v>575</v>
      </c>
      <c r="K5502" s="3">
        <f t="shared" si="85"/>
        <v>8624.9999999999982</v>
      </c>
      <c r="L5502" s="3">
        <v>4743.7499999999991</v>
      </c>
    </row>
    <row r="5503" spans="1:12" x14ac:dyDescent="0.25">
      <c r="A5503" t="s">
        <v>26</v>
      </c>
      <c r="B5503">
        <v>1197831</v>
      </c>
      <c r="C5503" s="1">
        <v>44435</v>
      </c>
      <c r="D5503" t="s">
        <v>52</v>
      </c>
      <c r="E5503" t="s">
        <v>53</v>
      </c>
      <c r="F5503" t="s">
        <v>54</v>
      </c>
      <c r="G5503" t="s">
        <v>15</v>
      </c>
      <c r="H5503" t="s">
        <v>22</v>
      </c>
      <c r="I5503" s="3">
        <v>29</v>
      </c>
      <c r="J5503" s="2">
        <v>96</v>
      </c>
      <c r="K5503" s="3">
        <f t="shared" si="85"/>
        <v>2784</v>
      </c>
      <c r="L5503" s="3">
        <v>1753.92</v>
      </c>
    </row>
    <row r="5504" spans="1:12" x14ac:dyDescent="0.25">
      <c r="A5504" t="s">
        <v>26</v>
      </c>
      <c r="B5504">
        <v>1197831</v>
      </c>
      <c r="C5504" s="1">
        <v>44435</v>
      </c>
      <c r="D5504" t="s">
        <v>52</v>
      </c>
      <c r="E5504" t="s">
        <v>53</v>
      </c>
      <c r="F5504" t="s">
        <v>54</v>
      </c>
      <c r="G5504" t="s">
        <v>41</v>
      </c>
      <c r="H5504" t="s">
        <v>22</v>
      </c>
      <c r="I5504" s="3">
        <v>38</v>
      </c>
      <c r="J5504" s="2">
        <v>81</v>
      </c>
      <c r="K5504" s="3">
        <f t="shared" si="85"/>
        <v>3078</v>
      </c>
      <c r="L5504" s="3">
        <v>1692.9</v>
      </c>
    </row>
    <row r="5505" spans="1:12" x14ac:dyDescent="0.25">
      <c r="A5505" t="s">
        <v>26</v>
      </c>
      <c r="B5505">
        <v>1197831</v>
      </c>
      <c r="C5505" s="1">
        <v>44435</v>
      </c>
      <c r="D5505" t="s">
        <v>52</v>
      </c>
      <c r="E5505" t="s">
        <v>99</v>
      </c>
      <c r="F5505" t="s">
        <v>100</v>
      </c>
      <c r="G5505" t="s">
        <v>15</v>
      </c>
      <c r="H5505" t="s">
        <v>35</v>
      </c>
      <c r="I5505" s="3">
        <v>11</v>
      </c>
      <c r="J5505" s="2">
        <v>190</v>
      </c>
      <c r="K5505" s="3">
        <f t="shared" si="85"/>
        <v>2090</v>
      </c>
      <c r="L5505" s="3">
        <v>1003.2</v>
      </c>
    </row>
    <row r="5506" spans="1:12" x14ac:dyDescent="0.25">
      <c r="A5506" t="s">
        <v>26</v>
      </c>
      <c r="B5506">
        <v>1197831</v>
      </c>
      <c r="C5506" s="1">
        <v>44435</v>
      </c>
      <c r="D5506" t="s">
        <v>52</v>
      </c>
      <c r="E5506" t="s">
        <v>99</v>
      </c>
      <c r="F5506" t="s">
        <v>100</v>
      </c>
      <c r="G5506" t="s">
        <v>41</v>
      </c>
      <c r="H5506" t="s">
        <v>35</v>
      </c>
      <c r="I5506" s="3">
        <v>15</v>
      </c>
      <c r="J5506" s="2">
        <v>173</v>
      </c>
      <c r="K5506" s="3">
        <f t="shared" si="85"/>
        <v>2595</v>
      </c>
      <c r="L5506" s="3">
        <v>1141.8000000000002</v>
      </c>
    </row>
    <row r="5507" spans="1:12" x14ac:dyDescent="0.25">
      <c r="A5507" t="s">
        <v>26</v>
      </c>
      <c r="B5507">
        <v>1197831</v>
      </c>
      <c r="C5507" s="1">
        <v>44436</v>
      </c>
      <c r="D5507" t="s">
        <v>52</v>
      </c>
      <c r="E5507" t="s">
        <v>53</v>
      </c>
      <c r="F5507" t="s">
        <v>54</v>
      </c>
      <c r="G5507" t="s">
        <v>15</v>
      </c>
      <c r="H5507" t="s">
        <v>16</v>
      </c>
      <c r="I5507" s="3">
        <v>35</v>
      </c>
      <c r="J5507" s="2">
        <v>450</v>
      </c>
      <c r="K5507" s="3">
        <f t="shared" ref="K5507:K5570" si="86">I5507*J5507</f>
        <v>15750</v>
      </c>
      <c r="L5507" s="3">
        <v>7875</v>
      </c>
    </row>
    <row r="5508" spans="1:12" x14ac:dyDescent="0.25">
      <c r="A5508" t="s">
        <v>26</v>
      </c>
      <c r="B5508">
        <v>1197831</v>
      </c>
      <c r="C5508" s="1">
        <v>44436</v>
      </c>
      <c r="D5508" t="s">
        <v>52</v>
      </c>
      <c r="E5508" t="s">
        <v>99</v>
      </c>
      <c r="F5508" t="s">
        <v>100</v>
      </c>
      <c r="G5508" t="s">
        <v>15</v>
      </c>
      <c r="H5508" t="s">
        <v>37</v>
      </c>
      <c r="I5508" s="3">
        <v>35</v>
      </c>
      <c r="J5508" s="2">
        <v>500</v>
      </c>
      <c r="K5508" s="3">
        <f t="shared" si="86"/>
        <v>17500</v>
      </c>
      <c r="L5508" s="3">
        <v>7874.9999999999982</v>
      </c>
    </row>
    <row r="5509" spans="1:12" x14ac:dyDescent="0.25">
      <c r="A5509" t="s">
        <v>26</v>
      </c>
      <c r="B5509">
        <v>1197831</v>
      </c>
      <c r="C5509" s="1">
        <v>44436</v>
      </c>
      <c r="D5509" t="s">
        <v>52</v>
      </c>
      <c r="E5509" t="s">
        <v>53</v>
      </c>
      <c r="F5509" t="s">
        <v>54</v>
      </c>
      <c r="G5509" t="s">
        <v>15</v>
      </c>
      <c r="H5509" t="s">
        <v>16</v>
      </c>
      <c r="I5509" s="3">
        <v>27</v>
      </c>
      <c r="J5509" s="2">
        <v>153</v>
      </c>
      <c r="K5509" s="3">
        <f t="shared" si="86"/>
        <v>4131</v>
      </c>
      <c r="L5509" s="3">
        <v>1900.2599999999998</v>
      </c>
    </row>
    <row r="5510" spans="1:12" x14ac:dyDescent="0.25">
      <c r="A5510" t="s">
        <v>26</v>
      </c>
      <c r="B5510">
        <v>1197831</v>
      </c>
      <c r="C5510" s="1">
        <v>44436</v>
      </c>
      <c r="D5510" t="s">
        <v>52</v>
      </c>
      <c r="E5510" t="s">
        <v>99</v>
      </c>
      <c r="F5510" t="s">
        <v>100</v>
      </c>
      <c r="G5510" t="s">
        <v>15</v>
      </c>
      <c r="H5510" t="s">
        <v>37</v>
      </c>
      <c r="I5510" s="3">
        <v>26</v>
      </c>
      <c r="J5510" s="2">
        <v>165</v>
      </c>
      <c r="K5510" s="3">
        <f t="shared" si="86"/>
        <v>4290</v>
      </c>
      <c r="L5510" s="3">
        <v>1673.0999999999995</v>
      </c>
    </row>
    <row r="5511" spans="1:12" x14ac:dyDescent="0.25">
      <c r="A5511" t="s">
        <v>26</v>
      </c>
      <c r="B5511">
        <v>1197831</v>
      </c>
      <c r="C5511" s="1">
        <v>44436</v>
      </c>
      <c r="D5511" t="s">
        <v>52</v>
      </c>
      <c r="E5511" t="s">
        <v>53</v>
      </c>
      <c r="F5511" t="s">
        <v>54</v>
      </c>
      <c r="G5511" t="s">
        <v>41</v>
      </c>
      <c r="H5511" t="s">
        <v>16</v>
      </c>
      <c r="I5511" s="3">
        <v>32</v>
      </c>
      <c r="J5511" s="2">
        <v>135</v>
      </c>
      <c r="K5511" s="3">
        <f t="shared" si="86"/>
        <v>4320</v>
      </c>
      <c r="L5511" s="3">
        <v>1598.4</v>
      </c>
    </row>
    <row r="5512" spans="1:12" x14ac:dyDescent="0.25">
      <c r="A5512" t="s">
        <v>26</v>
      </c>
      <c r="B5512">
        <v>1197831</v>
      </c>
      <c r="C5512" s="1">
        <v>44436</v>
      </c>
      <c r="D5512" t="s">
        <v>52</v>
      </c>
      <c r="E5512" t="s">
        <v>99</v>
      </c>
      <c r="F5512" t="s">
        <v>100</v>
      </c>
      <c r="G5512" t="s">
        <v>41</v>
      </c>
      <c r="H5512" t="s">
        <v>37</v>
      </c>
      <c r="I5512" s="3">
        <v>34</v>
      </c>
      <c r="J5512" s="2">
        <v>135</v>
      </c>
      <c r="K5512" s="3">
        <f t="shared" si="86"/>
        <v>4590</v>
      </c>
      <c r="L5512" s="3">
        <v>1468.7999999999997</v>
      </c>
    </row>
    <row r="5513" spans="1:12" x14ac:dyDescent="0.25">
      <c r="A5513" t="s">
        <v>26</v>
      </c>
      <c r="B5513">
        <v>1197831</v>
      </c>
      <c r="C5513" s="1">
        <v>44437</v>
      </c>
      <c r="D5513" t="s">
        <v>52</v>
      </c>
      <c r="E5513" t="s">
        <v>53</v>
      </c>
      <c r="F5513" t="s">
        <v>54</v>
      </c>
      <c r="G5513" t="s">
        <v>15</v>
      </c>
      <c r="H5513" t="s">
        <v>38</v>
      </c>
      <c r="I5513" s="3">
        <v>20</v>
      </c>
      <c r="J5513" s="2">
        <v>700</v>
      </c>
      <c r="K5513" s="3">
        <f t="shared" si="86"/>
        <v>14000</v>
      </c>
      <c r="L5513" s="3">
        <v>9100</v>
      </c>
    </row>
    <row r="5514" spans="1:12" x14ac:dyDescent="0.25">
      <c r="A5514" t="s">
        <v>26</v>
      </c>
      <c r="B5514">
        <v>1197831</v>
      </c>
      <c r="C5514" s="1">
        <v>44437</v>
      </c>
      <c r="D5514" t="s">
        <v>52</v>
      </c>
      <c r="E5514" t="s">
        <v>99</v>
      </c>
      <c r="F5514" t="s">
        <v>100</v>
      </c>
      <c r="G5514" t="s">
        <v>15</v>
      </c>
      <c r="H5514" t="s">
        <v>22</v>
      </c>
      <c r="I5514" s="3">
        <v>50</v>
      </c>
      <c r="J5514" s="2">
        <v>400</v>
      </c>
      <c r="K5514" s="3">
        <f t="shared" si="86"/>
        <v>20000</v>
      </c>
      <c r="L5514" s="3">
        <v>12000</v>
      </c>
    </row>
    <row r="5515" spans="1:12" x14ac:dyDescent="0.25">
      <c r="A5515" t="s">
        <v>26</v>
      </c>
      <c r="B5515">
        <v>1197831</v>
      </c>
      <c r="C5515" s="1">
        <v>44437</v>
      </c>
      <c r="D5515" t="s">
        <v>52</v>
      </c>
      <c r="E5515" t="s">
        <v>53</v>
      </c>
      <c r="F5515" t="s">
        <v>54</v>
      </c>
      <c r="G5515" t="s">
        <v>15</v>
      </c>
      <c r="H5515" t="s">
        <v>38</v>
      </c>
      <c r="I5515" s="3">
        <v>13</v>
      </c>
      <c r="J5515" s="2">
        <v>231</v>
      </c>
      <c r="K5515" s="3">
        <f t="shared" si="86"/>
        <v>3003</v>
      </c>
      <c r="L5515" s="3">
        <v>1801.8000000000002</v>
      </c>
    </row>
    <row r="5516" spans="1:12" x14ac:dyDescent="0.25">
      <c r="A5516" t="s">
        <v>26</v>
      </c>
      <c r="B5516">
        <v>1197831</v>
      </c>
      <c r="C5516" s="1">
        <v>44437</v>
      </c>
      <c r="D5516" t="s">
        <v>52</v>
      </c>
      <c r="E5516" t="s">
        <v>99</v>
      </c>
      <c r="F5516" t="s">
        <v>100</v>
      </c>
      <c r="G5516" t="s">
        <v>15</v>
      </c>
      <c r="H5516" t="s">
        <v>22</v>
      </c>
      <c r="I5516" s="3">
        <v>39</v>
      </c>
      <c r="J5516" s="2">
        <v>132</v>
      </c>
      <c r="K5516" s="3">
        <f t="shared" si="86"/>
        <v>5148</v>
      </c>
      <c r="L5516" s="3">
        <v>2985.84</v>
      </c>
    </row>
    <row r="5517" spans="1:12" x14ac:dyDescent="0.25">
      <c r="A5517" t="s">
        <v>26</v>
      </c>
      <c r="B5517">
        <v>1197831</v>
      </c>
      <c r="C5517" s="1">
        <v>44437</v>
      </c>
      <c r="D5517" t="s">
        <v>52</v>
      </c>
      <c r="E5517" t="s">
        <v>53</v>
      </c>
      <c r="F5517" t="s">
        <v>54</v>
      </c>
      <c r="G5517" t="s">
        <v>41</v>
      </c>
      <c r="H5517" t="s">
        <v>38</v>
      </c>
      <c r="I5517" s="3">
        <v>18</v>
      </c>
      <c r="J5517" s="2">
        <v>182</v>
      </c>
      <c r="K5517" s="3">
        <f t="shared" si="86"/>
        <v>3276</v>
      </c>
      <c r="L5517" s="3">
        <v>1801.8000000000002</v>
      </c>
    </row>
    <row r="5518" spans="1:12" x14ac:dyDescent="0.25">
      <c r="A5518" t="s">
        <v>26</v>
      </c>
      <c r="B5518">
        <v>1197831</v>
      </c>
      <c r="C5518" s="1">
        <v>44437</v>
      </c>
      <c r="D5518" t="s">
        <v>52</v>
      </c>
      <c r="E5518" t="s">
        <v>99</v>
      </c>
      <c r="F5518" t="s">
        <v>100</v>
      </c>
      <c r="G5518" t="s">
        <v>41</v>
      </c>
      <c r="H5518" t="s">
        <v>22</v>
      </c>
      <c r="I5518" s="3">
        <v>49</v>
      </c>
      <c r="J5518" s="2">
        <v>120</v>
      </c>
      <c r="K5518" s="3">
        <f t="shared" si="86"/>
        <v>5880</v>
      </c>
      <c r="L5518" s="3">
        <v>2704.7999999999997</v>
      </c>
    </row>
    <row r="5519" spans="1:12" x14ac:dyDescent="0.25">
      <c r="A5519" t="s">
        <v>26</v>
      </c>
      <c r="B5519">
        <v>1197831</v>
      </c>
      <c r="C5519" s="1">
        <v>44438</v>
      </c>
      <c r="D5519" t="s">
        <v>52</v>
      </c>
      <c r="E5519" t="s">
        <v>53</v>
      </c>
      <c r="F5519" t="s">
        <v>54</v>
      </c>
      <c r="G5519" t="s">
        <v>15</v>
      </c>
      <c r="H5519" t="s">
        <v>17</v>
      </c>
      <c r="I5519" s="3">
        <v>30.000000000000004</v>
      </c>
      <c r="J5519" s="2">
        <v>700</v>
      </c>
      <c r="K5519" s="3">
        <f t="shared" si="86"/>
        <v>21000.000000000004</v>
      </c>
      <c r="L5519" s="3">
        <v>13650.000000000004</v>
      </c>
    </row>
    <row r="5520" spans="1:12" x14ac:dyDescent="0.25">
      <c r="A5520" t="s">
        <v>26</v>
      </c>
      <c r="B5520">
        <v>1197831</v>
      </c>
      <c r="C5520" s="1">
        <v>44438</v>
      </c>
      <c r="D5520" t="s">
        <v>52</v>
      </c>
      <c r="E5520" t="s">
        <v>99</v>
      </c>
      <c r="F5520" t="s">
        <v>100</v>
      </c>
      <c r="G5520" t="s">
        <v>15</v>
      </c>
      <c r="H5520" t="s">
        <v>16</v>
      </c>
      <c r="I5520" s="3">
        <v>45</v>
      </c>
      <c r="J5520" s="2">
        <v>750</v>
      </c>
      <c r="K5520" s="3">
        <f t="shared" si="86"/>
        <v>33750</v>
      </c>
      <c r="L5520" s="3">
        <v>13499.999999999996</v>
      </c>
    </row>
    <row r="5521" spans="1:12" x14ac:dyDescent="0.25">
      <c r="A5521" t="s">
        <v>26</v>
      </c>
      <c r="B5521">
        <v>1197831</v>
      </c>
      <c r="C5521" s="1">
        <v>44438</v>
      </c>
      <c r="D5521" t="s">
        <v>52</v>
      </c>
      <c r="E5521" t="s">
        <v>53</v>
      </c>
      <c r="F5521" t="s">
        <v>54</v>
      </c>
      <c r="G5521" t="s">
        <v>15</v>
      </c>
      <c r="H5521" t="s">
        <v>17</v>
      </c>
      <c r="I5521" s="3">
        <v>21</v>
      </c>
      <c r="J5521" s="2">
        <v>210</v>
      </c>
      <c r="K5521" s="3">
        <f t="shared" si="86"/>
        <v>4410</v>
      </c>
      <c r="L5521" s="3">
        <v>2646</v>
      </c>
    </row>
    <row r="5522" spans="1:12" x14ac:dyDescent="0.25">
      <c r="A5522" t="s">
        <v>26</v>
      </c>
      <c r="B5522">
        <v>1197831</v>
      </c>
      <c r="C5522" s="1">
        <v>44438</v>
      </c>
      <c r="D5522" t="s">
        <v>52</v>
      </c>
      <c r="E5522" t="s">
        <v>53</v>
      </c>
      <c r="F5522" t="s">
        <v>54</v>
      </c>
      <c r="G5522" t="s">
        <v>41</v>
      </c>
      <c r="H5522" t="s">
        <v>17</v>
      </c>
      <c r="I5522" s="3">
        <v>28</v>
      </c>
      <c r="J5522" s="2">
        <v>175</v>
      </c>
      <c r="K5522" s="3">
        <f t="shared" si="86"/>
        <v>4900</v>
      </c>
      <c r="L5522" s="3">
        <v>2548</v>
      </c>
    </row>
    <row r="5523" spans="1:12" x14ac:dyDescent="0.25">
      <c r="A5523" t="s">
        <v>26</v>
      </c>
      <c r="B5523">
        <v>1197831</v>
      </c>
      <c r="C5523" s="1">
        <v>44438</v>
      </c>
      <c r="D5523" t="s">
        <v>52</v>
      </c>
      <c r="E5523" t="s">
        <v>99</v>
      </c>
      <c r="F5523" t="s">
        <v>100</v>
      </c>
      <c r="G5523" t="s">
        <v>15</v>
      </c>
      <c r="H5523" t="s">
        <v>16</v>
      </c>
      <c r="I5523" s="3">
        <v>36</v>
      </c>
      <c r="J5523" s="2">
        <v>263</v>
      </c>
      <c r="K5523" s="3">
        <f t="shared" si="86"/>
        <v>9468</v>
      </c>
      <c r="L5523" s="3">
        <v>3219.119999999999</v>
      </c>
    </row>
    <row r="5524" spans="1:12" x14ac:dyDescent="0.25">
      <c r="A5524" t="s">
        <v>26</v>
      </c>
      <c r="B5524">
        <v>1197831</v>
      </c>
      <c r="C5524" s="1">
        <v>44438</v>
      </c>
      <c r="D5524" t="s">
        <v>52</v>
      </c>
      <c r="E5524" t="s">
        <v>99</v>
      </c>
      <c r="F5524" t="s">
        <v>100</v>
      </c>
      <c r="G5524" t="s">
        <v>41</v>
      </c>
      <c r="H5524" t="s">
        <v>16</v>
      </c>
      <c r="I5524" s="3">
        <v>43</v>
      </c>
      <c r="J5524" s="2">
        <v>203</v>
      </c>
      <c r="K5524" s="3">
        <f t="shared" si="86"/>
        <v>8729</v>
      </c>
      <c r="L5524" s="3">
        <v>2444.119999999999</v>
      </c>
    </row>
    <row r="5525" spans="1:12" x14ac:dyDescent="0.25">
      <c r="A5525" t="s">
        <v>26</v>
      </c>
      <c r="B5525">
        <v>1197831</v>
      </c>
      <c r="C5525" s="1">
        <v>44439</v>
      </c>
      <c r="D5525" t="s">
        <v>52</v>
      </c>
      <c r="E5525" t="s">
        <v>53</v>
      </c>
      <c r="F5525" t="s">
        <v>54</v>
      </c>
      <c r="G5525" t="s">
        <v>15</v>
      </c>
      <c r="H5525" t="s">
        <v>35</v>
      </c>
      <c r="I5525" s="3">
        <v>24.999999999999996</v>
      </c>
      <c r="J5525" s="2">
        <v>525</v>
      </c>
      <c r="K5525" s="3">
        <f t="shared" si="86"/>
        <v>13124.999999999998</v>
      </c>
      <c r="L5525" s="3">
        <v>8531.2499999999982</v>
      </c>
    </row>
    <row r="5526" spans="1:12" x14ac:dyDescent="0.25">
      <c r="A5526" t="s">
        <v>26</v>
      </c>
      <c r="B5526">
        <v>1197831</v>
      </c>
      <c r="C5526" s="1">
        <v>44439</v>
      </c>
      <c r="D5526" t="s">
        <v>52</v>
      </c>
      <c r="E5526" t="s">
        <v>99</v>
      </c>
      <c r="F5526" t="s">
        <v>100</v>
      </c>
      <c r="G5526" t="s">
        <v>15</v>
      </c>
      <c r="H5526" t="s">
        <v>38</v>
      </c>
      <c r="I5526" s="3">
        <v>45</v>
      </c>
      <c r="J5526" s="2">
        <v>750</v>
      </c>
      <c r="K5526" s="3">
        <f t="shared" si="86"/>
        <v>33750</v>
      </c>
      <c r="L5526" s="3">
        <v>18562.500000000004</v>
      </c>
    </row>
    <row r="5527" spans="1:12" x14ac:dyDescent="0.25">
      <c r="A5527" t="s">
        <v>26</v>
      </c>
      <c r="B5527">
        <v>1197831</v>
      </c>
      <c r="C5527" s="1">
        <v>44439</v>
      </c>
      <c r="D5527" t="s">
        <v>52</v>
      </c>
      <c r="E5527" t="s">
        <v>53</v>
      </c>
      <c r="F5527" t="s">
        <v>54</v>
      </c>
      <c r="G5527" t="s">
        <v>15</v>
      </c>
      <c r="H5527" t="s">
        <v>35</v>
      </c>
      <c r="I5527" s="3">
        <v>20</v>
      </c>
      <c r="J5527" s="2">
        <v>179</v>
      </c>
      <c r="K5527" s="3">
        <f t="shared" si="86"/>
        <v>3580</v>
      </c>
      <c r="L5527" s="3">
        <v>2183.8000000000002</v>
      </c>
    </row>
    <row r="5528" spans="1:12" x14ac:dyDescent="0.25">
      <c r="A5528" t="s">
        <v>26</v>
      </c>
      <c r="B5528">
        <v>1197831</v>
      </c>
      <c r="C5528" s="1">
        <v>44439</v>
      </c>
      <c r="D5528" t="s">
        <v>52</v>
      </c>
      <c r="E5528" t="s">
        <v>99</v>
      </c>
      <c r="F5528" t="s">
        <v>100</v>
      </c>
      <c r="G5528" t="s">
        <v>15</v>
      </c>
      <c r="H5528" t="s">
        <v>38</v>
      </c>
      <c r="I5528" s="3">
        <v>30</v>
      </c>
      <c r="J5528" s="2">
        <v>225</v>
      </c>
      <c r="K5528" s="3">
        <f t="shared" si="86"/>
        <v>6750</v>
      </c>
      <c r="L5528" s="3">
        <v>3510</v>
      </c>
    </row>
    <row r="5529" spans="1:12" x14ac:dyDescent="0.25">
      <c r="A5529" t="s">
        <v>26</v>
      </c>
      <c r="B5529">
        <v>1197831</v>
      </c>
      <c r="C5529" s="1">
        <v>44439</v>
      </c>
      <c r="D5529" t="s">
        <v>52</v>
      </c>
      <c r="E5529" t="s">
        <v>53</v>
      </c>
      <c r="F5529" t="s">
        <v>54</v>
      </c>
      <c r="G5529" t="s">
        <v>41</v>
      </c>
      <c r="H5529" t="s">
        <v>35</v>
      </c>
      <c r="I5529" s="3">
        <v>25</v>
      </c>
      <c r="J5529" s="2">
        <v>152</v>
      </c>
      <c r="K5529" s="3">
        <f t="shared" si="86"/>
        <v>3800</v>
      </c>
      <c r="L5529" s="3">
        <v>1938</v>
      </c>
    </row>
    <row r="5530" spans="1:12" x14ac:dyDescent="0.25">
      <c r="A5530" t="s">
        <v>26</v>
      </c>
      <c r="B5530">
        <v>1197831</v>
      </c>
      <c r="C5530" s="1">
        <v>44439</v>
      </c>
      <c r="D5530" t="s">
        <v>52</v>
      </c>
      <c r="E5530" t="s">
        <v>99</v>
      </c>
      <c r="F5530" t="s">
        <v>100</v>
      </c>
      <c r="G5530" t="s">
        <v>41</v>
      </c>
      <c r="H5530" t="s">
        <v>38</v>
      </c>
      <c r="I5530" s="3">
        <v>43</v>
      </c>
      <c r="J5530" s="2">
        <v>203</v>
      </c>
      <c r="K5530" s="3">
        <f t="shared" si="86"/>
        <v>8729</v>
      </c>
      <c r="L5530" s="3">
        <v>3928.05</v>
      </c>
    </row>
    <row r="5531" spans="1:12" x14ac:dyDescent="0.25">
      <c r="A5531" t="s">
        <v>26</v>
      </c>
      <c r="B5531">
        <v>1197831</v>
      </c>
      <c r="C5531" s="1">
        <v>44440</v>
      </c>
      <c r="D5531" t="s">
        <v>52</v>
      </c>
      <c r="E5531" t="s">
        <v>99</v>
      </c>
      <c r="F5531" t="s">
        <v>100</v>
      </c>
      <c r="G5531" t="s">
        <v>15</v>
      </c>
      <c r="H5531" t="s">
        <v>17</v>
      </c>
      <c r="I5531" s="3">
        <v>50</v>
      </c>
      <c r="J5531" s="2">
        <v>750</v>
      </c>
      <c r="K5531" s="3">
        <f t="shared" si="86"/>
        <v>37500</v>
      </c>
      <c r="L5531" s="3">
        <v>20625.000000000004</v>
      </c>
    </row>
    <row r="5532" spans="1:12" x14ac:dyDescent="0.25">
      <c r="A5532" t="s">
        <v>26</v>
      </c>
      <c r="B5532">
        <v>1197831</v>
      </c>
      <c r="C5532" s="1">
        <v>44440</v>
      </c>
      <c r="D5532" t="s">
        <v>52</v>
      </c>
      <c r="E5532" t="s">
        <v>53</v>
      </c>
      <c r="F5532" t="s">
        <v>54</v>
      </c>
      <c r="G5532" t="s">
        <v>15</v>
      </c>
      <c r="H5532" t="s">
        <v>37</v>
      </c>
      <c r="I5532" s="3">
        <v>30.000000000000004</v>
      </c>
      <c r="J5532" s="2">
        <v>425</v>
      </c>
      <c r="K5532" s="3">
        <f t="shared" si="86"/>
        <v>12750.000000000002</v>
      </c>
      <c r="L5532" s="3">
        <v>7012.5</v>
      </c>
    </row>
    <row r="5533" spans="1:12" x14ac:dyDescent="0.25">
      <c r="A5533" t="s">
        <v>26</v>
      </c>
      <c r="B5533">
        <v>1197831</v>
      </c>
      <c r="C5533" s="1">
        <v>44440</v>
      </c>
      <c r="D5533" t="s">
        <v>52</v>
      </c>
      <c r="E5533" t="s">
        <v>99</v>
      </c>
      <c r="F5533" t="s">
        <v>100</v>
      </c>
      <c r="G5533" t="s">
        <v>15</v>
      </c>
      <c r="H5533" t="s">
        <v>17</v>
      </c>
      <c r="I5533" s="3">
        <v>35</v>
      </c>
      <c r="J5533" s="2">
        <v>233</v>
      </c>
      <c r="K5533" s="3">
        <f t="shared" si="86"/>
        <v>8155</v>
      </c>
      <c r="L5533" s="3">
        <v>4322.1499999999996</v>
      </c>
    </row>
    <row r="5534" spans="1:12" x14ac:dyDescent="0.25">
      <c r="A5534" t="s">
        <v>26</v>
      </c>
      <c r="B5534">
        <v>1197831</v>
      </c>
      <c r="C5534" s="1">
        <v>44440</v>
      </c>
      <c r="D5534" t="s">
        <v>52</v>
      </c>
      <c r="E5534" t="s">
        <v>53</v>
      </c>
      <c r="F5534" t="s">
        <v>54</v>
      </c>
      <c r="G5534" t="s">
        <v>15</v>
      </c>
      <c r="H5534" t="s">
        <v>37</v>
      </c>
      <c r="I5534" s="3">
        <v>20</v>
      </c>
      <c r="J5534" s="2">
        <v>149</v>
      </c>
      <c r="K5534" s="3">
        <f t="shared" si="86"/>
        <v>2980</v>
      </c>
      <c r="L5534" s="3">
        <v>1519.8</v>
      </c>
    </row>
    <row r="5535" spans="1:12" x14ac:dyDescent="0.25">
      <c r="A5535" t="s">
        <v>26</v>
      </c>
      <c r="B5535">
        <v>1197831</v>
      </c>
      <c r="C5535" s="1">
        <v>44440</v>
      </c>
      <c r="D5535" t="s">
        <v>52</v>
      </c>
      <c r="E5535" t="s">
        <v>99</v>
      </c>
      <c r="F5535" t="s">
        <v>100</v>
      </c>
      <c r="G5535" t="s">
        <v>41</v>
      </c>
      <c r="H5535" t="s">
        <v>17</v>
      </c>
      <c r="I5535" s="3">
        <v>49</v>
      </c>
      <c r="J5535" s="2">
        <v>203</v>
      </c>
      <c r="K5535" s="3">
        <f t="shared" si="86"/>
        <v>9947</v>
      </c>
      <c r="L5535" s="3">
        <v>4376.68</v>
      </c>
    </row>
    <row r="5536" spans="1:12" x14ac:dyDescent="0.25">
      <c r="A5536" t="s">
        <v>26</v>
      </c>
      <c r="B5536">
        <v>1197831</v>
      </c>
      <c r="C5536" s="1">
        <v>44440</v>
      </c>
      <c r="D5536" t="s">
        <v>52</v>
      </c>
      <c r="E5536" t="s">
        <v>53</v>
      </c>
      <c r="F5536" t="s">
        <v>54</v>
      </c>
      <c r="G5536" t="s">
        <v>41</v>
      </c>
      <c r="H5536" t="s">
        <v>37</v>
      </c>
      <c r="I5536" s="3">
        <v>29</v>
      </c>
      <c r="J5536" s="2">
        <v>128</v>
      </c>
      <c r="K5536" s="3">
        <f t="shared" si="86"/>
        <v>3712</v>
      </c>
      <c r="L5536" s="3">
        <v>1521.9199999999996</v>
      </c>
    </row>
    <row r="5537" spans="1:12" x14ac:dyDescent="0.25">
      <c r="A5537" t="s">
        <v>26</v>
      </c>
      <c r="B5537">
        <v>1197831</v>
      </c>
      <c r="C5537" s="1">
        <v>44441</v>
      </c>
      <c r="D5537" t="s">
        <v>52</v>
      </c>
      <c r="E5537" t="s">
        <v>53</v>
      </c>
      <c r="F5537" t="s">
        <v>54</v>
      </c>
      <c r="G5537" t="s">
        <v>15</v>
      </c>
      <c r="H5537" t="s">
        <v>22</v>
      </c>
      <c r="I5537" s="3">
        <v>35</v>
      </c>
      <c r="J5537" s="2">
        <v>325</v>
      </c>
      <c r="K5537" s="3">
        <f t="shared" si="86"/>
        <v>11375</v>
      </c>
      <c r="L5537" s="3">
        <v>7962.5</v>
      </c>
    </row>
    <row r="5538" spans="1:12" x14ac:dyDescent="0.25">
      <c r="A5538" t="s">
        <v>26</v>
      </c>
      <c r="B5538">
        <v>1185732</v>
      </c>
      <c r="C5538" s="1">
        <v>44441</v>
      </c>
      <c r="D5538" t="s">
        <v>32</v>
      </c>
      <c r="E5538" t="s">
        <v>108</v>
      </c>
      <c r="F5538" t="s">
        <v>109</v>
      </c>
      <c r="G5538" t="s">
        <v>41</v>
      </c>
      <c r="H5538" t="s">
        <v>17</v>
      </c>
      <c r="I5538" s="3">
        <v>50.000000000000014</v>
      </c>
      <c r="J5538" s="2">
        <v>725</v>
      </c>
      <c r="K5538" s="3">
        <f t="shared" si="86"/>
        <v>36250.000000000007</v>
      </c>
      <c r="L5538" s="3">
        <v>23562.500000000007</v>
      </c>
    </row>
    <row r="5539" spans="1:12" x14ac:dyDescent="0.25">
      <c r="A5539" t="s">
        <v>26</v>
      </c>
      <c r="B5539">
        <v>1185732</v>
      </c>
      <c r="C5539" s="1">
        <v>44441</v>
      </c>
      <c r="D5539" t="s">
        <v>32</v>
      </c>
      <c r="E5539" t="s">
        <v>108</v>
      </c>
      <c r="F5539" t="s">
        <v>109</v>
      </c>
      <c r="G5539" t="s">
        <v>41</v>
      </c>
      <c r="H5539" t="s">
        <v>22</v>
      </c>
      <c r="I5539" s="3">
        <v>40</v>
      </c>
      <c r="J5539" s="2">
        <v>600</v>
      </c>
      <c r="K5539" s="3">
        <f t="shared" si="86"/>
        <v>24000</v>
      </c>
      <c r="L5539" s="3">
        <v>15600</v>
      </c>
    </row>
    <row r="5540" spans="1:12" x14ac:dyDescent="0.25">
      <c r="A5540" t="s">
        <v>26</v>
      </c>
      <c r="B5540">
        <v>1185732</v>
      </c>
      <c r="C5540" s="1">
        <v>44441</v>
      </c>
      <c r="D5540" t="s">
        <v>32</v>
      </c>
      <c r="E5540" t="s">
        <v>108</v>
      </c>
      <c r="F5540" t="s">
        <v>109</v>
      </c>
      <c r="G5540" t="s">
        <v>41</v>
      </c>
      <c r="H5540" t="s">
        <v>35</v>
      </c>
      <c r="I5540" s="3">
        <v>30.000000000000004</v>
      </c>
      <c r="J5540" s="2">
        <v>625</v>
      </c>
      <c r="K5540" s="3">
        <f t="shared" si="86"/>
        <v>18750.000000000004</v>
      </c>
      <c r="L5540" s="3">
        <v>11250.000000000002</v>
      </c>
    </row>
    <row r="5541" spans="1:12" x14ac:dyDescent="0.25">
      <c r="A5541" t="s">
        <v>26</v>
      </c>
      <c r="B5541">
        <v>1185732</v>
      </c>
      <c r="C5541" s="1">
        <v>44441</v>
      </c>
      <c r="D5541" t="s">
        <v>32</v>
      </c>
      <c r="E5541" t="s">
        <v>108</v>
      </c>
      <c r="F5541" t="s">
        <v>109</v>
      </c>
      <c r="G5541" t="s">
        <v>41</v>
      </c>
      <c r="H5541" t="s">
        <v>37</v>
      </c>
      <c r="I5541" s="3">
        <v>30.000000000000004</v>
      </c>
      <c r="J5541" s="2">
        <v>600</v>
      </c>
      <c r="K5541" s="3">
        <f t="shared" si="86"/>
        <v>18000.000000000004</v>
      </c>
      <c r="L5541" s="3">
        <v>10800.000000000002</v>
      </c>
    </row>
    <row r="5542" spans="1:12" x14ac:dyDescent="0.25">
      <c r="A5542" t="s">
        <v>26</v>
      </c>
      <c r="B5542">
        <v>1185732</v>
      </c>
      <c r="C5542" s="1">
        <v>44441</v>
      </c>
      <c r="D5542" t="s">
        <v>32</v>
      </c>
      <c r="E5542" t="s">
        <v>108</v>
      </c>
      <c r="F5542" t="s">
        <v>109</v>
      </c>
      <c r="G5542" t="s">
        <v>41</v>
      </c>
      <c r="H5542" t="s">
        <v>38</v>
      </c>
      <c r="I5542" s="3">
        <v>55.000000000000007</v>
      </c>
      <c r="J5542" s="2">
        <v>925</v>
      </c>
      <c r="K5542" s="3">
        <f t="shared" si="86"/>
        <v>50875.000000000007</v>
      </c>
      <c r="L5542" s="3">
        <v>30525</v>
      </c>
    </row>
    <row r="5543" spans="1:12" x14ac:dyDescent="0.25">
      <c r="A5543" t="s">
        <v>26</v>
      </c>
      <c r="B5543">
        <v>1197831</v>
      </c>
      <c r="C5543" s="1">
        <v>44441</v>
      </c>
      <c r="D5543" t="s">
        <v>52</v>
      </c>
      <c r="E5543" t="s">
        <v>99</v>
      </c>
      <c r="F5543" t="s">
        <v>100</v>
      </c>
      <c r="G5543" t="s">
        <v>15</v>
      </c>
      <c r="H5543" t="s">
        <v>35</v>
      </c>
      <c r="I5543" s="3">
        <v>45</v>
      </c>
      <c r="J5543" s="2">
        <v>650</v>
      </c>
      <c r="K5543" s="3">
        <f t="shared" si="86"/>
        <v>29250</v>
      </c>
      <c r="L5543" s="3">
        <v>16087.5</v>
      </c>
    </row>
    <row r="5544" spans="1:12" x14ac:dyDescent="0.25">
      <c r="A5544" t="s">
        <v>26</v>
      </c>
      <c r="B5544">
        <v>1185732</v>
      </c>
      <c r="C5544" s="1">
        <v>44441</v>
      </c>
      <c r="D5544" t="s">
        <v>32</v>
      </c>
      <c r="E5544" t="s">
        <v>108</v>
      </c>
      <c r="F5544" t="s">
        <v>109</v>
      </c>
      <c r="G5544" t="s">
        <v>41</v>
      </c>
      <c r="H5544" t="s">
        <v>16</v>
      </c>
      <c r="I5544" s="3">
        <v>45.000000000000007</v>
      </c>
      <c r="J5544" s="2">
        <v>700</v>
      </c>
      <c r="K5544" s="3">
        <f t="shared" si="86"/>
        <v>31500.000000000004</v>
      </c>
      <c r="L5544" s="3">
        <v>15750.000000000004</v>
      </c>
    </row>
    <row r="5545" spans="1:12" x14ac:dyDescent="0.25">
      <c r="A5545" t="s">
        <v>26</v>
      </c>
      <c r="B5545">
        <v>1197831</v>
      </c>
      <c r="C5545" s="1">
        <v>44441</v>
      </c>
      <c r="D5545" t="s">
        <v>52</v>
      </c>
      <c r="E5545" t="s">
        <v>53</v>
      </c>
      <c r="F5545" t="s">
        <v>54</v>
      </c>
      <c r="G5545" t="s">
        <v>15</v>
      </c>
      <c r="H5545" t="s">
        <v>22</v>
      </c>
      <c r="I5545" s="3">
        <v>26</v>
      </c>
      <c r="J5545" s="2">
        <v>107</v>
      </c>
      <c r="K5545" s="3">
        <f t="shared" si="86"/>
        <v>2782</v>
      </c>
      <c r="L5545" s="3">
        <v>1780.48</v>
      </c>
    </row>
    <row r="5546" spans="1:12" x14ac:dyDescent="0.25">
      <c r="A5546" t="s">
        <v>26</v>
      </c>
      <c r="B5546">
        <v>1197831</v>
      </c>
      <c r="C5546" s="1">
        <v>44441</v>
      </c>
      <c r="D5546" t="s">
        <v>52</v>
      </c>
      <c r="E5546" t="s">
        <v>53</v>
      </c>
      <c r="F5546" t="s">
        <v>54</v>
      </c>
      <c r="G5546" t="s">
        <v>41</v>
      </c>
      <c r="H5546" t="s">
        <v>22</v>
      </c>
      <c r="I5546" s="3">
        <v>34</v>
      </c>
      <c r="J5546" s="2">
        <v>85</v>
      </c>
      <c r="K5546" s="3">
        <f t="shared" si="86"/>
        <v>2890</v>
      </c>
      <c r="L5546" s="3">
        <v>1734</v>
      </c>
    </row>
    <row r="5547" spans="1:12" x14ac:dyDescent="0.25">
      <c r="A5547" t="s">
        <v>26</v>
      </c>
      <c r="B5547">
        <v>1185732</v>
      </c>
      <c r="C5547" s="1">
        <v>44441</v>
      </c>
      <c r="D5547" t="s">
        <v>32</v>
      </c>
      <c r="E5547" t="s">
        <v>108</v>
      </c>
      <c r="F5547" t="s">
        <v>109</v>
      </c>
      <c r="G5547" t="s">
        <v>41</v>
      </c>
      <c r="H5547" t="s">
        <v>22</v>
      </c>
      <c r="I5547" s="3">
        <v>38</v>
      </c>
      <c r="J5547" s="2">
        <v>156</v>
      </c>
      <c r="K5547" s="3">
        <f t="shared" si="86"/>
        <v>5928</v>
      </c>
      <c r="L5547" s="3">
        <v>3201.1200000000003</v>
      </c>
    </row>
    <row r="5548" spans="1:12" x14ac:dyDescent="0.25">
      <c r="A5548" t="s">
        <v>26</v>
      </c>
      <c r="B5548">
        <v>1185732</v>
      </c>
      <c r="C5548" s="1">
        <v>44441</v>
      </c>
      <c r="D5548" t="s">
        <v>32</v>
      </c>
      <c r="E5548" t="s">
        <v>108</v>
      </c>
      <c r="F5548" t="s">
        <v>109</v>
      </c>
      <c r="G5548" t="s">
        <v>41</v>
      </c>
      <c r="H5548" t="s">
        <v>17</v>
      </c>
      <c r="I5548" s="3">
        <v>49</v>
      </c>
      <c r="J5548" s="2">
        <v>181</v>
      </c>
      <c r="K5548" s="3">
        <f t="shared" si="86"/>
        <v>8869</v>
      </c>
      <c r="L5548" s="3">
        <v>4434.5</v>
      </c>
    </row>
    <row r="5549" spans="1:12" x14ac:dyDescent="0.25">
      <c r="A5549" t="s">
        <v>26</v>
      </c>
      <c r="B5549">
        <v>1185732</v>
      </c>
      <c r="C5549" s="1">
        <v>44441</v>
      </c>
      <c r="D5549" t="s">
        <v>32</v>
      </c>
      <c r="E5549" t="s">
        <v>108</v>
      </c>
      <c r="F5549" t="s">
        <v>109</v>
      </c>
      <c r="G5549" t="s">
        <v>41</v>
      </c>
      <c r="H5549" t="s">
        <v>37</v>
      </c>
      <c r="I5549" s="3">
        <v>28</v>
      </c>
      <c r="J5549" s="2">
        <v>150</v>
      </c>
      <c r="K5549" s="3">
        <f t="shared" si="86"/>
        <v>4200</v>
      </c>
      <c r="L5549" s="3">
        <v>2100</v>
      </c>
    </row>
    <row r="5550" spans="1:12" x14ac:dyDescent="0.25">
      <c r="A5550" t="s">
        <v>26</v>
      </c>
      <c r="B5550">
        <v>1185732</v>
      </c>
      <c r="C5550" s="1">
        <v>44441</v>
      </c>
      <c r="D5550" t="s">
        <v>32</v>
      </c>
      <c r="E5550" t="s">
        <v>108</v>
      </c>
      <c r="F5550" t="s">
        <v>109</v>
      </c>
      <c r="G5550" t="s">
        <v>41</v>
      </c>
      <c r="H5550" t="s">
        <v>35</v>
      </c>
      <c r="I5550" s="3">
        <v>28</v>
      </c>
      <c r="J5550" s="2">
        <v>175</v>
      </c>
      <c r="K5550" s="3">
        <f t="shared" si="86"/>
        <v>4900</v>
      </c>
      <c r="L5550" s="3">
        <v>2401</v>
      </c>
    </row>
    <row r="5551" spans="1:12" x14ac:dyDescent="0.25">
      <c r="A5551" t="s">
        <v>26</v>
      </c>
      <c r="B5551">
        <v>1197831</v>
      </c>
      <c r="C5551" s="1">
        <v>44441</v>
      </c>
      <c r="D5551" t="s">
        <v>52</v>
      </c>
      <c r="E5551" t="s">
        <v>99</v>
      </c>
      <c r="F5551" t="s">
        <v>100</v>
      </c>
      <c r="G5551" t="s">
        <v>15</v>
      </c>
      <c r="H5551" t="s">
        <v>35</v>
      </c>
      <c r="I5551" s="3">
        <v>35</v>
      </c>
      <c r="J5551" s="2">
        <v>228</v>
      </c>
      <c r="K5551" s="3">
        <f t="shared" si="86"/>
        <v>7980</v>
      </c>
      <c r="L5551" s="3">
        <v>3910.2</v>
      </c>
    </row>
    <row r="5552" spans="1:12" x14ac:dyDescent="0.25">
      <c r="A5552" t="s">
        <v>26</v>
      </c>
      <c r="B5552">
        <v>1185732</v>
      </c>
      <c r="C5552" s="1">
        <v>44441</v>
      </c>
      <c r="D5552" t="s">
        <v>32</v>
      </c>
      <c r="E5552" t="s">
        <v>108</v>
      </c>
      <c r="F5552" t="s">
        <v>109</v>
      </c>
      <c r="G5552" t="s">
        <v>41</v>
      </c>
      <c r="H5552" t="s">
        <v>38</v>
      </c>
      <c r="I5552" s="3">
        <v>53</v>
      </c>
      <c r="J5552" s="2">
        <v>250</v>
      </c>
      <c r="K5552" s="3">
        <f t="shared" si="86"/>
        <v>13250</v>
      </c>
      <c r="L5552" s="3">
        <v>6360</v>
      </c>
    </row>
    <row r="5553" spans="1:12" x14ac:dyDescent="0.25">
      <c r="A5553" t="s">
        <v>26</v>
      </c>
      <c r="B5553">
        <v>1197831</v>
      </c>
      <c r="C5553" s="1">
        <v>44441</v>
      </c>
      <c r="D5553" t="s">
        <v>52</v>
      </c>
      <c r="E5553" t="s">
        <v>99</v>
      </c>
      <c r="F5553" t="s">
        <v>100</v>
      </c>
      <c r="G5553" t="s">
        <v>41</v>
      </c>
      <c r="H5553" t="s">
        <v>35</v>
      </c>
      <c r="I5553" s="3">
        <v>44</v>
      </c>
      <c r="J5553" s="2">
        <v>189</v>
      </c>
      <c r="K5553" s="3">
        <f t="shared" si="86"/>
        <v>8316</v>
      </c>
      <c r="L5553" s="3">
        <v>3409.5600000000004</v>
      </c>
    </row>
    <row r="5554" spans="1:12" x14ac:dyDescent="0.25">
      <c r="A5554" t="s">
        <v>26</v>
      </c>
      <c r="B5554">
        <v>1185732</v>
      </c>
      <c r="C5554" s="1">
        <v>44441</v>
      </c>
      <c r="D5554" t="s">
        <v>32</v>
      </c>
      <c r="E5554" t="s">
        <v>108</v>
      </c>
      <c r="F5554" t="s">
        <v>109</v>
      </c>
      <c r="G5554" t="s">
        <v>41</v>
      </c>
      <c r="H5554" t="s">
        <v>16</v>
      </c>
      <c r="I5554" s="3">
        <v>41</v>
      </c>
      <c r="J5554" s="2">
        <v>203</v>
      </c>
      <c r="K5554" s="3">
        <f t="shared" si="86"/>
        <v>8323</v>
      </c>
      <c r="L5554" s="3">
        <v>3245.9700000000003</v>
      </c>
    </row>
    <row r="5555" spans="1:12" x14ac:dyDescent="0.25">
      <c r="A5555" t="s">
        <v>26</v>
      </c>
      <c r="B5555">
        <v>1185732</v>
      </c>
      <c r="C5555" s="1">
        <v>44442</v>
      </c>
      <c r="D5555" t="s">
        <v>29</v>
      </c>
      <c r="E5555" t="s">
        <v>93</v>
      </c>
      <c r="F5555" t="s">
        <v>94</v>
      </c>
      <c r="G5555" t="s">
        <v>18</v>
      </c>
      <c r="H5555" t="s">
        <v>35</v>
      </c>
      <c r="I5555" s="3">
        <v>45</v>
      </c>
      <c r="J5555" s="2">
        <v>200</v>
      </c>
      <c r="K5555" s="3">
        <f t="shared" si="86"/>
        <v>9000</v>
      </c>
      <c r="L5555" s="3">
        <v>6300</v>
      </c>
    </row>
    <row r="5556" spans="1:12" x14ac:dyDescent="0.25">
      <c r="A5556" t="s">
        <v>26</v>
      </c>
      <c r="B5556">
        <v>1185732</v>
      </c>
      <c r="C5556" s="1">
        <v>44442</v>
      </c>
      <c r="D5556" t="s">
        <v>29</v>
      </c>
      <c r="E5556" t="s">
        <v>93</v>
      </c>
      <c r="F5556" t="s">
        <v>94</v>
      </c>
      <c r="G5556" t="s">
        <v>18</v>
      </c>
      <c r="H5556" t="s">
        <v>37</v>
      </c>
      <c r="I5556" s="3">
        <v>45</v>
      </c>
      <c r="J5556" s="2">
        <v>175</v>
      </c>
      <c r="K5556" s="3">
        <f t="shared" si="86"/>
        <v>7875</v>
      </c>
      <c r="L5556" s="3">
        <v>5512.5</v>
      </c>
    </row>
    <row r="5557" spans="1:12" x14ac:dyDescent="0.25">
      <c r="A5557" t="s">
        <v>26</v>
      </c>
      <c r="B5557">
        <v>1185732</v>
      </c>
      <c r="C5557" s="1">
        <v>44442</v>
      </c>
      <c r="D5557" t="s">
        <v>29</v>
      </c>
      <c r="E5557" t="s">
        <v>93</v>
      </c>
      <c r="F5557" t="s">
        <v>94</v>
      </c>
      <c r="G5557" t="s">
        <v>18</v>
      </c>
      <c r="H5557" t="s">
        <v>22</v>
      </c>
      <c r="I5557" s="3">
        <v>54.999999999999993</v>
      </c>
      <c r="J5557" s="2">
        <v>175</v>
      </c>
      <c r="K5557" s="3">
        <f t="shared" si="86"/>
        <v>9624.9999999999982</v>
      </c>
      <c r="L5557" s="3">
        <v>6737.4999999999982</v>
      </c>
    </row>
    <row r="5558" spans="1:12" x14ac:dyDescent="0.25">
      <c r="A5558" t="s">
        <v>26</v>
      </c>
      <c r="B5558">
        <v>1185732</v>
      </c>
      <c r="C5558" s="1">
        <v>44442</v>
      </c>
      <c r="D5558" t="s">
        <v>29</v>
      </c>
      <c r="E5558" t="s">
        <v>93</v>
      </c>
      <c r="F5558" t="s">
        <v>94</v>
      </c>
      <c r="G5558" t="s">
        <v>18</v>
      </c>
      <c r="H5558" t="s">
        <v>16</v>
      </c>
      <c r="I5558" s="3">
        <v>60</v>
      </c>
      <c r="J5558" s="2">
        <v>275</v>
      </c>
      <c r="K5558" s="3">
        <f t="shared" si="86"/>
        <v>16500</v>
      </c>
      <c r="L5558" s="3">
        <v>10725</v>
      </c>
    </row>
    <row r="5559" spans="1:12" x14ac:dyDescent="0.25">
      <c r="A5559" t="s">
        <v>26</v>
      </c>
      <c r="B5559">
        <v>1185732</v>
      </c>
      <c r="C5559" s="1">
        <v>44442</v>
      </c>
      <c r="D5559" t="s">
        <v>29</v>
      </c>
      <c r="E5559" t="s">
        <v>93</v>
      </c>
      <c r="F5559" t="s">
        <v>94</v>
      </c>
      <c r="G5559" t="s">
        <v>18</v>
      </c>
      <c r="H5559" t="s">
        <v>17</v>
      </c>
      <c r="I5559" s="3">
        <v>50</v>
      </c>
      <c r="J5559" s="2">
        <v>300</v>
      </c>
      <c r="K5559" s="3">
        <f t="shared" si="86"/>
        <v>15000</v>
      </c>
      <c r="L5559" s="3">
        <v>9000</v>
      </c>
    </row>
    <row r="5560" spans="1:12" x14ac:dyDescent="0.25">
      <c r="A5560" t="s">
        <v>26</v>
      </c>
      <c r="B5560">
        <v>1185732</v>
      </c>
      <c r="C5560" s="1">
        <v>44442</v>
      </c>
      <c r="D5560" t="s">
        <v>29</v>
      </c>
      <c r="E5560" t="s">
        <v>93</v>
      </c>
      <c r="F5560" t="s">
        <v>94</v>
      </c>
      <c r="G5560" t="s">
        <v>18</v>
      </c>
      <c r="H5560" t="s">
        <v>38</v>
      </c>
      <c r="I5560" s="3">
        <v>54.999999999999993</v>
      </c>
      <c r="J5560" s="2">
        <v>500</v>
      </c>
      <c r="K5560" s="3">
        <f t="shared" si="86"/>
        <v>27499.999999999996</v>
      </c>
      <c r="L5560" s="3">
        <v>16499.999999999993</v>
      </c>
    </row>
    <row r="5561" spans="1:12" x14ac:dyDescent="0.25">
      <c r="A5561" t="s">
        <v>26</v>
      </c>
      <c r="B5561">
        <v>1197831</v>
      </c>
      <c r="C5561" s="1">
        <v>44442</v>
      </c>
      <c r="D5561" t="s">
        <v>52</v>
      </c>
      <c r="E5561" t="s">
        <v>53</v>
      </c>
      <c r="F5561" t="s">
        <v>54</v>
      </c>
      <c r="G5561" t="s">
        <v>15</v>
      </c>
      <c r="H5561" t="s">
        <v>16</v>
      </c>
      <c r="I5561" s="3">
        <v>30.000000000000004</v>
      </c>
      <c r="J5561" s="2">
        <v>600</v>
      </c>
      <c r="K5561" s="3">
        <f t="shared" si="86"/>
        <v>18000.000000000004</v>
      </c>
      <c r="L5561" s="3">
        <v>9000.0000000000018</v>
      </c>
    </row>
    <row r="5562" spans="1:12" x14ac:dyDescent="0.25">
      <c r="A5562" t="s">
        <v>26</v>
      </c>
      <c r="B5562">
        <v>1197831</v>
      </c>
      <c r="C5562" s="1">
        <v>44442</v>
      </c>
      <c r="D5562" t="s">
        <v>52</v>
      </c>
      <c r="E5562" t="s">
        <v>99</v>
      </c>
      <c r="F5562" t="s">
        <v>100</v>
      </c>
      <c r="G5562" t="s">
        <v>15</v>
      </c>
      <c r="H5562" t="s">
        <v>37</v>
      </c>
      <c r="I5562" s="3">
        <v>45</v>
      </c>
      <c r="J5562" s="2">
        <v>600</v>
      </c>
      <c r="K5562" s="3">
        <f t="shared" si="86"/>
        <v>27000</v>
      </c>
      <c r="L5562" s="3">
        <v>12150</v>
      </c>
    </row>
    <row r="5563" spans="1:12" x14ac:dyDescent="0.25">
      <c r="A5563" t="s">
        <v>26</v>
      </c>
      <c r="B5563">
        <v>1185732</v>
      </c>
      <c r="C5563" s="1">
        <v>44442</v>
      </c>
      <c r="D5563" t="s">
        <v>29</v>
      </c>
      <c r="E5563" t="s">
        <v>93</v>
      </c>
      <c r="F5563" t="s">
        <v>94</v>
      </c>
      <c r="G5563" t="s">
        <v>15</v>
      </c>
      <c r="H5563" t="s">
        <v>35</v>
      </c>
      <c r="I5563" s="3">
        <v>33</v>
      </c>
      <c r="J5563" s="2">
        <v>64</v>
      </c>
      <c r="K5563" s="3">
        <f t="shared" si="86"/>
        <v>2112</v>
      </c>
      <c r="L5563" s="3">
        <v>1436.1599999999999</v>
      </c>
    </row>
    <row r="5564" spans="1:12" x14ac:dyDescent="0.25">
      <c r="A5564" t="s">
        <v>26</v>
      </c>
      <c r="B5564">
        <v>1185732</v>
      </c>
      <c r="C5564" s="1">
        <v>44442</v>
      </c>
      <c r="D5564" t="s">
        <v>29</v>
      </c>
      <c r="E5564" t="s">
        <v>93</v>
      </c>
      <c r="F5564" t="s">
        <v>94</v>
      </c>
      <c r="G5564" t="s">
        <v>15</v>
      </c>
      <c r="H5564" t="s">
        <v>37</v>
      </c>
      <c r="I5564" s="3">
        <v>30</v>
      </c>
      <c r="J5564" s="2">
        <v>58</v>
      </c>
      <c r="K5564" s="3">
        <f t="shared" si="86"/>
        <v>1740</v>
      </c>
      <c r="L5564" s="3">
        <v>1148.4000000000001</v>
      </c>
    </row>
    <row r="5565" spans="1:12" x14ac:dyDescent="0.25">
      <c r="A5565" t="s">
        <v>26</v>
      </c>
      <c r="B5565">
        <v>1185732</v>
      </c>
      <c r="C5565" s="1">
        <v>44442</v>
      </c>
      <c r="D5565" t="s">
        <v>29</v>
      </c>
      <c r="E5565" t="s">
        <v>93</v>
      </c>
      <c r="F5565" t="s">
        <v>94</v>
      </c>
      <c r="G5565" t="s">
        <v>15</v>
      </c>
      <c r="H5565" t="s">
        <v>22</v>
      </c>
      <c r="I5565" s="3">
        <v>41</v>
      </c>
      <c r="J5565" s="2">
        <v>58</v>
      </c>
      <c r="K5565" s="3">
        <f t="shared" si="86"/>
        <v>2378</v>
      </c>
      <c r="L5565" s="3">
        <v>1521.92</v>
      </c>
    </row>
    <row r="5566" spans="1:12" x14ac:dyDescent="0.25">
      <c r="A5566" t="s">
        <v>26</v>
      </c>
      <c r="B5566">
        <v>1185732</v>
      </c>
      <c r="C5566" s="1">
        <v>44442</v>
      </c>
      <c r="D5566" t="s">
        <v>29</v>
      </c>
      <c r="E5566" t="s">
        <v>93</v>
      </c>
      <c r="F5566" t="s">
        <v>94</v>
      </c>
      <c r="G5566" t="s">
        <v>15</v>
      </c>
      <c r="H5566" t="s">
        <v>16</v>
      </c>
      <c r="I5566" s="3">
        <v>45</v>
      </c>
      <c r="J5566" s="2">
        <v>83</v>
      </c>
      <c r="K5566" s="3">
        <f t="shared" si="86"/>
        <v>3735</v>
      </c>
      <c r="L5566" s="3">
        <v>2166.3000000000002</v>
      </c>
    </row>
    <row r="5567" spans="1:12" x14ac:dyDescent="0.25">
      <c r="A5567" t="s">
        <v>26</v>
      </c>
      <c r="B5567">
        <v>1185732</v>
      </c>
      <c r="C5567" s="1">
        <v>44442</v>
      </c>
      <c r="D5567" t="s">
        <v>29</v>
      </c>
      <c r="E5567" t="s">
        <v>93</v>
      </c>
      <c r="F5567" t="s">
        <v>94</v>
      </c>
      <c r="G5567" t="s">
        <v>41</v>
      </c>
      <c r="H5567" t="s">
        <v>22</v>
      </c>
      <c r="I5567" s="3">
        <v>50</v>
      </c>
      <c r="J5567" s="2">
        <v>51</v>
      </c>
      <c r="K5567" s="3">
        <f t="shared" si="86"/>
        <v>2550</v>
      </c>
      <c r="L5567" s="3">
        <v>1479</v>
      </c>
    </row>
    <row r="5568" spans="1:12" x14ac:dyDescent="0.25">
      <c r="A5568" t="s">
        <v>26</v>
      </c>
      <c r="B5568">
        <v>1185732</v>
      </c>
      <c r="C5568" s="1">
        <v>44442</v>
      </c>
      <c r="D5568" t="s">
        <v>29</v>
      </c>
      <c r="E5568" t="s">
        <v>93</v>
      </c>
      <c r="F5568" t="s">
        <v>94</v>
      </c>
      <c r="G5568" t="s">
        <v>41</v>
      </c>
      <c r="H5568" t="s">
        <v>35</v>
      </c>
      <c r="I5568" s="3">
        <v>41</v>
      </c>
      <c r="J5568" s="2">
        <v>60</v>
      </c>
      <c r="K5568" s="3">
        <f t="shared" si="86"/>
        <v>2460</v>
      </c>
      <c r="L5568" s="3">
        <v>1377.6</v>
      </c>
    </row>
    <row r="5569" spans="1:12" x14ac:dyDescent="0.25">
      <c r="A5569" t="s">
        <v>26</v>
      </c>
      <c r="B5569">
        <v>1185732</v>
      </c>
      <c r="C5569" s="1">
        <v>44442</v>
      </c>
      <c r="D5569" t="s">
        <v>29</v>
      </c>
      <c r="E5569" t="s">
        <v>93</v>
      </c>
      <c r="F5569" t="s">
        <v>94</v>
      </c>
      <c r="G5569" t="s">
        <v>41</v>
      </c>
      <c r="H5569" t="s">
        <v>37</v>
      </c>
      <c r="I5569" s="3">
        <v>41</v>
      </c>
      <c r="J5569" s="2">
        <v>46</v>
      </c>
      <c r="K5569" s="3">
        <f t="shared" si="86"/>
        <v>1886</v>
      </c>
      <c r="L5569" s="3">
        <v>1037.3000000000002</v>
      </c>
    </row>
    <row r="5570" spans="1:12" x14ac:dyDescent="0.25">
      <c r="A5570" t="s">
        <v>26</v>
      </c>
      <c r="B5570">
        <v>1185732</v>
      </c>
      <c r="C5570" s="1">
        <v>44442</v>
      </c>
      <c r="D5570" t="s">
        <v>29</v>
      </c>
      <c r="E5570" t="s">
        <v>93</v>
      </c>
      <c r="F5570" t="s">
        <v>94</v>
      </c>
      <c r="G5570" t="s">
        <v>15</v>
      </c>
      <c r="H5570" t="s">
        <v>38</v>
      </c>
      <c r="I5570" s="3">
        <v>43</v>
      </c>
      <c r="J5570" s="2">
        <v>170</v>
      </c>
      <c r="K5570" s="3">
        <f t="shared" si="86"/>
        <v>7310</v>
      </c>
      <c r="L5570" s="3">
        <v>3874.2999999999997</v>
      </c>
    </row>
    <row r="5571" spans="1:12" x14ac:dyDescent="0.25">
      <c r="A5571" t="s">
        <v>26</v>
      </c>
      <c r="B5571">
        <v>1185732</v>
      </c>
      <c r="C5571" s="1">
        <v>44442</v>
      </c>
      <c r="D5571" t="s">
        <v>29</v>
      </c>
      <c r="E5571" t="s">
        <v>93</v>
      </c>
      <c r="F5571" t="s">
        <v>94</v>
      </c>
      <c r="G5571" t="s">
        <v>15</v>
      </c>
      <c r="H5571" t="s">
        <v>17</v>
      </c>
      <c r="I5571" s="3">
        <v>40</v>
      </c>
      <c r="J5571" s="2">
        <v>93</v>
      </c>
      <c r="K5571" s="3">
        <f t="shared" ref="K5571:K5634" si="87">I5571*J5571</f>
        <v>3720</v>
      </c>
      <c r="L5571" s="3">
        <v>1971.6</v>
      </c>
    </row>
    <row r="5572" spans="1:12" x14ac:dyDescent="0.25">
      <c r="A5572" t="s">
        <v>26</v>
      </c>
      <c r="B5572">
        <v>1185732</v>
      </c>
      <c r="C5572" s="1">
        <v>44442</v>
      </c>
      <c r="D5572" t="s">
        <v>29</v>
      </c>
      <c r="E5572" t="s">
        <v>93</v>
      </c>
      <c r="F5572" t="s">
        <v>94</v>
      </c>
      <c r="G5572" t="s">
        <v>41</v>
      </c>
      <c r="H5572" t="s">
        <v>16</v>
      </c>
      <c r="I5572" s="3">
        <v>54</v>
      </c>
      <c r="J5572" s="2">
        <v>83</v>
      </c>
      <c r="K5572" s="3">
        <f t="shared" si="87"/>
        <v>4482</v>
      </c>
      <c r="L5572" s="3">
        <v>2285.8200000000002</v>
      </c>
    </row>
    <row r="5573" spans="1:12" x14ac:dyDescent="0.25">
      <c r="A5573" t="s">
        <v>26</v>
      </c>
      <c r="B5573">
        <v>1185732</v>
      </c>
      <c r="C5573" s="1">
        <v>44442</v>
      </c>
      <c r="D5573" t="s">
        <v>29</v>
      </c>
      <c r="E5573" t="s">
        <v>93</v>
      </c>
      <c r="F5573" t="s">
        <v>94</v>
      </c>
      <c r="G5573" t="s">
        <v>41</v>
      </c>
      <c r="H5573" t="s">
        <v>17</v>
      </c>
      <c r="I5573" s="3">
        <v>47</v>
      </c>
      <c r="J5573" s="2">
        <v>75</v>
      </c>
      <c r="K5573" s="3">
        <f t="shared" si="87"/>
        <v>3525</v>
      </c>
      <c r="L5573" s="3">
        <v>1692</v>
      </c>
    </row>
    <row r="5574" spans="1:12" x14ac:dyDescent="0.25">
      <c r="A5574" t="s">
        <v>26</v>
      </c>
      <c r="B5574">
        <v>1185732</v>
      </c>
      <c r="C5574" s="1">
        <v>44442</v>
      </c>
      <c r="D5574" t="s">
        <v>29</v>
      </c>
      <c r="E5574" t="s">
        <v>93</v>
      </c>
      <c r="F5574" t="s">
        <v>94</v>
      </c>
      <c r="G5574" t="s">
        <v>41</v>
      </c>
      <c r="H5574" t="s">
        <v>38</v>
      </c>
      <c r="I5574" s="3">
        <v>52</v>
      </c>
      <c r="J5574" s="2">
        <v>125</v>
      </c>
      <c r="K5574" s="3">
        <f t="shared" si="87"/>
        <v>6500</v>
      </c>
      <c r="L5574" s="3">
        <v>2989.9999999999995</v>
      </c>
    </row>
    <row r="5575" spans="1:12" x14ac:dyDescent="0.25">
      <c r="A5575" t="s">
        <v>26</v>
      </c>
      <c r="B5575">
        <v>1197831</v>
      </c>
      <c r="C5575" s="1">
        <v>44442</v>
      </c>
      <c r="D5575" t="s">
        <v>52</v>
      </c>
      <c r="E5575" t="s">
        <v>53</v>
      </c>
      <c r="F5575" t="s">
        <v>54</v>
      </c>
      <c r="G5575" t="s">
        <v>15</v>
      </c>
      <c r="H5575" t="s">
        <v>16</v>
      </c>
      <c r="I5575" s="3">
        <v>22</v>
      </c>
      <c r="J5575" s="2">
        <v>210</v>
      </c>
      <c r="K5575" s="3">
        <f t="shared" si="87"/>
        <v>4620</v>
      </c>
      <c r="L5575" s="3">
        <v>1986.6</v>
      </c>
    </row>
    <row r="5576" spans="1:12" x14ac:dyDescent="0.25">
      <c r="A5576" t="s">
        <v>26</v>
      </c>
      <c r="B5576">
        <v>1197831</v>
      </c>
      <c r="C5576" s="1">
        <v>44442</v>
      </c>
      <c r="D5576" t="s">
        <v>52</v>
      </c>
      <c r="E5576" t="s">
        <v>99</v>
      </c>
      <c r="F5576" t="s">
        <v>100</v>
      </c>
      <c r="G5576" t="s">
        <v>15</v>
      </c>
      <c r="H5576" t="s">
        <v>37</v>
      </c>
      <c r="I5576" s="3">
        <v>31</v>
      </c>
      <c r="J5576" s="2">
        <v>210</v>
      </c>
      <c r="K5576" s="3">
        <f t="shared" si="87"/>
        <v>6510</v>
      </c>
      <c r="L5576" s="3">
        <v>2603.9999999999995</v>
      </c>
    </row>
    <row r="5577" spans="1:12" x14ac:dyDescent="0.25">
      <c r="A5577" t="s">
        <v>26</v>
      </c>
      <c r="B5577">
        <v>1197831</v>
      </c>
      <c r="C5577" s="1">
        <v>44442</v>
      </c>
      <c r="D5577" t="s">
        <v>52</v>
      </c>
      <c r="E5577" t="s">
        <v>53</v>
      </c>
      <c r="F5577" t="s">
        <v>54</v>
      </c>
      <c r="G5577" t="s">
        <v>41</v>
      </c>
      <c r="H5577" t="s">
        <v>16</v>
      </c>
      <c r="I5577" s="3">
        <v>29</v>
      </c>
      <c r="J5577" s="2">
        <v>156</v>
      </c>
      <c r="K5577" s="3">
        <f t="shared" si="87"/>
        <v>4524</v>
      </c>
      <c r="L5577" s="3">
        <v>1719.12</v>
      </c>
    </row>
    <row r="5578" spans="1:12" x14ac:dyDescent="0.25">
      <c r="A5578" t="s">
        <v>26</v>
      </c>
      <c r="B5578">
        <v>1197831</v>
      </c>
      <c r="C5578" s="1">
        <v>44442</v>
      </c>
      <c r="D5578" t="s">
        <v>52</v>
      </c>
      <c r="E5578" t="s">
        <v>99</v>
      </c>
      <c r="F5578" t="s">
        <v>100</v>
      </c>
      <c r="G5578" t="s">
        <v>41</v>
      </c>
      <c r="H5578" t="s">
        <v>37</v>
      </c>
      <c r="I5578" s="3">
        <v>41</v>
      </c>
      <c r="J5578" s="2">
        <v>180</v>
      </c>
      <c r="K5578" s="3">
        <f t="shared" si="87"/>
        <v>7380</v>
      </c>
      <c r="L5578" s="3">
        <v>2287.7999999999993</v>
      </c>
    </row>
    <row r="5579" spans="1:12" x14ac:dyDescent="0.25">
      <c r="A5579" t="s">
        <v>11</v>
      </c>
      <c r="B5579">
        <v>1185732</v>
      </c>
      <c r="C5579" s="1">
        <v>44443</v>
      </c>
      <c r="D5579" t="s">
        <v>57</v>
      </c>
      <c r="E5579" t="s">
        <v>85</v>
      </c>
      <c r="F5579" t="s">
        <v>86</v>
      </c>
      <c r="G5579" t="s">
        <v>18</v>
      </c>
      <c r="H5579" t="s">
        <v>35</v>
      </c>
      <c r="I5579" s="3">
        <v>25.000000000000007</v>
      </c>
      <c r="J5579" s="2">
        <v>150</v>
      </c>
      <c r="K5579" s="3">
        <f t="shared" si="87"/>
        <v>3750.0000000000009</v>
      </c>
      <c r="L5579" s="3">
        <v>2625.0000000000009</v>
      </c>
    </row>
    <row r="5580" spans="1:12" x14ac:dyDescent="0.25">
      <c r="A5580" t="s">
        <v>11</v>
      </c>
      <c r="B5580">
        <v>1185732</v>
      </c>
      <c r="C5580" s="1">
        <v>44443</v>
      </c>
      <c r="D5580" t="s">
        <v>57</v>
      </c>
      <c r="E5580" t="s">
        <v>85</v>
      </c>
      <c r="F5580" t="s">
        <v>86</v>
      </c>
      <c r="G5580" t="s">
        <v>18</v>
      </c>
      <c r="H5580" t="s">
        <v>37</v>
      </c>
      <c r="I5580" s="3">
        <v>25.000000000000007</v>
      </c>
      <c r="J5580" s="2">
        <v>125</v>
      </c>
      <c r="K5580" s="3">
        <f t="shared" si="87"/>
        <v>3125.0000000000009</v>
      </c>
      <c r="L5580" s="3">
        <v>2187.5000000000009</v>
      </c>
    </row>
    <row r="5581" spans="1:12" x14ac:dyDescent="0.25">
      <c r="A5581" t="s">
        <v>11</v>
      </c>
      <c r="B5581">
        <v>1185732</v>
      </c>
      <c r="C5581" s="1">
        <v>44443</v>
      </c>
      <c r="D5581" t="s">
        <v>57</v>
      </c>
      <c r="E5581" t="s">
        <v>85</v>
      </c>
      <c r="F5581" t="s">
        <v>86</v>
      </c>
      <c r="G5581" t="s">
        <v>18</v>
      </c>
      <c r="H5581" t="s">
        <v>38</v>
      </c>
      <c r="I5581" s="3">
        <v>35</v>
      </c>
      <c r="J5581" s="2">
        <v>475</v>
      </c>
      <c r="K5581" s="3">
        <f t="shared" si="87"/>
        <v>16625</v>
      </c>
      <c r="L5581" s="3">
        <v>11637.5</v>
      </c>
    </row>
    <row r="5582" spans="1:12" x14ac:dyDescent="0.25">
      <c r="A5582" t="s">
        <v>11</v>
      </c>
      <c r="B5582">
        <v>1185732</v>
      </c>
      <c r="C5582" s="1">
        <v>44443</v>
      </c>
      <c r="D5582" t="s">
        <v>57</v>
      </c>
      <c r="E5582" t="s">
        <v>85</v>
      </c>
      <c r="F5582" t="s">
        <v>86</v>
      </c>
      <c r="G5582" t="s">
        <v>18</v>
      </c>
      <c r="H5582" t="s">
        <v>17</v>
      </c>
      <c r="I5582" s="3">
        <v>30.000000000000011</v>
      </c>
      <c r="J5582" s="2">
        <v>250</v>
      </c>
      <c r="K5582" s="3">
        <f t="shared" si="87"/>
        <v>7500.0000000000027</v>
      </c>
      <c r="L5582" s="3">
        <v>4875.0000000000018</v>
      </c>
    </row>
    <row r="5583" spans="1:12" x14ac:dyDescent="0.25">
      <c r="A5583" t="s">
        <v>26</v>
      </c>
      <c r="B5583">
        <v>1197831</v>
      </c>
      <c r="C5583" s="1">
        <v>44443</v>
      </c>
      <c r="D5583" t="s">
        <v>52</v>
      </c>
      <c r="E5583" t="s">
        <v>53</v>
      </c>
      <c r="F5583" t="s">
        <v>54</v>
      </c>
      <c r="G5583" t="s">
        <v>15</v>
      </c>
      <c r="H5583" t="s">
        <v>38</v>
      </c>
      <c r="I5583" s="3">
        <v>20</v>
      </c>
      <c r="J5583" s="2">
        <v>750</v>
      </c>
      <c r="K5583" s="3">
        <f t="shared" si="87"/>
        <v>15000</v>
      </c>
      <c r="L5583" s="3">
        <v>9750</v>
      </c>
    </row>
    <row r="5584" spans="1:12" x14ac:dyDescent="0.25">
      <c r="A5584" t="s">
        <v>26</v>
      </c>
      <c r="B5584">
        <v>1197831</v>
      </c>
      <c r="C5584" s="1">
        <v>44443</v>
      </c>
      <c r="D5584" t="s">
        <v>52</v>
      </c>
      <c r="E5584" t="s">
        <v>99</v>
      </c>
      <c r="F5584" t="s">
        <v>100</v>
      </c>
      <c r="G5584" t="s">
        <v>15</v>
      </c>
      <c r="H5584" t="s">
        <v>22</v>
      </c>
      <c r="I5584" s="3">
        <v>50</v>
      </c>
      <c r="J5584" s="2">
        <v>500</v>
      </c>
      <c r="K5584" s="3">
        <f t="shared" si="87"/>
        <v>25000</v>
      </c>
      <c r="L5584" s="3">
        <v>15000</v>
      </c>
    </row>
    <row r="5585" spans="1:12" x14ac:dyDescent="0.25">
      <c r="A5585" t="s">
        <v>11</v>
      </c>
      <c r="B5585">
        <v>1185732</v>
      </c>
      <c r="C5585" s="1">
        <v>44443</v>
      </c>
      <c r="D5585" t="s">
        <v>57</v>
      </c>
      <c r="E5585" t="s">
        <v>85</v>
      </c>
      <c r="F5585" t="s">
        <v>86</v>
      </c>
      <c r="G5585" t="s">
        <v>18</v>
      </c>
      <c r="H5585" t="s">
        <v>16</v>
      </c>
      <c r="I5585" s="3">
        <v>40</v>
      </c>
      <c r="J5585" s="2">
        <v>200</v>
      </c>
      <c r="K5585" s="3">
        <f t="shared" si="87"/>
        <v>8000</v>
      </c>
      <c r="L5585" s="3">
        <v>4800</v>
      </c>
    </row>
    <row r="5586" spans="1:12" x14ac:dyDescent="0.25">
      <c r="A5586" t="s">
        <v>11</v>
      </c>
      <c r="B5586">
        <v>1185732</v>
      </c>
      <c r="C5586" s="1">
        <v>44443</v>
      </c>
      <c r="D5586" t="s">
        <v>57</v>
      </c>
      <c r="E5586" t="s">
        <v>85</v>
      </c>
      <c r="F5586" t="s">
        <v>86</v>
      </c>
      <c r="G5586" t="s">
        <v>18</v>
      </c>
      <c r="H5586" t="s">
        <v>22</v>
      </c>
      <c r="I5586" s="3">
        <v>35</v>
      </c>
      <c r="J5586" s="2">
        <v>125</v>
      </c>
      <c r="K5586" s="3">
        <f t="shared" si="87"/>
        <v>4375</v>
      </c>
      <c r="L5586" s="3">
        <v>2187.5</v>
      </c>
    </row>
    <row r="5587" spans="1:12" x14ac:dyDescent="0.25">
      <c r="A5587" t="s">
        <v>26</v>
      </c>
      <c r="B5587">
        <v>1197831</v>
      </c>
      <c r="C5587" s="1">
        <v>44443</v>
      </c>
      <c r="D5587" t="s">
        <v>52</v>
      </c>
      <c r="E5587" t="s">
        <v>53</v>
      </c>
      <c r="F5587" t="s">
        <v>54</v>
      </c>
      <c r="G5587" t="s">
        <v>15</v>
      </c>
      <c r="H5587" t="s">
        <v>38</v>
      </c>
      <c r="I5587" s="3">
        <v>13</v>
      </c>
      <c r="J5587" s="2">
        <v>233</v>
      </c>
      <c r="K5587" s="3">
        <f t="shared" si="87"/>
        <v>3029</v>
      </c>
      <c r="L5587" s="3">
        <v>1877.98</v>
      </c>
    </row>
    <row r="5588" spans="1:12" x14ac:dyDescent="0.25">
      <c r="A5588" t="s">
        <v>11</v>
      </c>
      <c r="B5588">
        <v>1185732</v>
      </c>
      <c r="C5588" s="1">
        <v>44443</v>
      </c>
      <c r="D5588" t="s">
        <v>57</v>
      </c>
      <c r="E5588" t="s">
        <v>85</v>
      </c>
      <c r="F5588" t="s">
        <v>86</v>
      </c>
      <c r="G5588" t="s">
        <v>41</v>
      </c>
      <c r="H5588" t="s">
        <v>38</v>
      </c>
      <c r="I5588" s="3">
        <v>33</v>
      </c>
      <c r="J5588" s="2">
        <v>143</v>
      </c>
      <c r="K5588" s="3">
        <f t="shared" si="87"/>
        <v>4719</v>
      </c>
      <c r="L5588" s="3">
        <v>2784.21</v>
      </c>
    </row>
    <row r="5589" spans="1:12" x14ac:dyDescent="0.25">
      <c r="A5589" t="s">
        <v>11</v>
      </c>
      <c r="B5589">
        <v>1185732</v>
      </c>
      <c r="C5589" s="1">
        <v>44443</v>
      </c>
      <c r="D5589" t="s">
        <v>57</v>
      </c>
      <c r="E5589" t="s">
        <v>85</v>
      </c>
      <c r="F5589" t="s">
        <v>86</v>
      </c>
      <c r="G5589" t="s">
        <v>41</v>
      </c>
      <c r="H5589" t="s">
        <v>35</v>
      </c>
      <c r="I5589" s="3">
        <v>24</v>
      </c>
      <c r="J5589" s="2">
        <v>44</v>
      </c>
      <c r="K5589" s="3">
        <f t="shared" si="87"/>
        <v>1056</v>
      </c>
      <c r="L5589" s="3">
        <v>580.80000000000007</v>
      </c>
    </row>
    <row r="5590" spans="1:12" x14ac:dyDescent="0.25">
      <c r="A5590" t="s">
        <v>11</v>
      </c>
      <c r="B5590">
        <v>1185732</v>
      </c>
      <c r="C5590" s="1">
        <v>44443</v>
      </c>
      <c r="D5590" t="s">
        <v>57</v>
      </c>
      <c r="E5590" t="s">
        <v>85</v>
      </c>
      <c r="F5590" t="s">
        <v>86</v>
      </c>
      <c r="G5590" t="s">
        <v>41</v>
      </c>
      <c r="H5590" t="s">
        <v>37</v>
      </c>
      <c r="I5590" s="3">
        <v>23</v>
      </c>
      <c r="J5590" s="2">
        <v>34</v>
      </c>
      <c r="K5590" s="3">
        <f t="shared" si="87"/>
        <v>782</v>
      </c>
      <c r="L5590" s="3">
        <v>430.1</v>
      </c>
    </row>
    <row r="5591" spans="1:12" x14ac:dyDescent="0.25">
      <c r="A5591" t="s">
        <v>11</v>
      </c>
      <c r="B5591">
        <v>1185732</v>
      </c>
      <c r="C5591" s="1">
        <v>44443</v>
      </c>
      <c r="D5591" t="s">
        <v>57</v>
      </c>
      <c r="E5591" t="s">
        <v>85</v>
      </c>
      <c r="F5591" t="s">
        <v>86</v>
      </c>
      <c r="G5591" t="s">
        <v>41</v>
      </c>
      <c r="H5591" t="s">
        <v>17</v>
      </c>
      <c r="I5591" s="3">
        <v>29</v>
      </c>
      <c r="J5591" s="2">
        <v>65</v>
      </c>
      <c r="K5591" s="3">
        <f t="shared" si="87"/>
        <v>1885</v>
      </c>
      <c r="L5591" s="3">
        <v>1036.75</v>
      </c>
    </row>
    <row r="5592" spans="1:12" x14ac:dyDescent="0.25">
      <c r="A5592" t="s">
        <v>26</v>
      </c>
      <c r="B5592">
        <v>1197831</v>
      </c>
      <c r="C5592" s="1">
        <v>44443</v>
      </c>
      <c r="D5592" t="s">
        <v>52</v>
      </c>
      <c r="E5592" t="s">
        <v>99</v>
      </c>
      <c r="F5592" t="s">
        <v>100</v>
      </c>
      <c r="G5592" t="s">
        <v>15</v>
      </c>
      <c r="H5592" t="s">
        <v>22</v>
      </c>
      <c r="I5592" s="3">
        <v>38</v>
      </c>
      <c r="J5592" s="2">
        <v>165</v>
      </c>
      <c r="K5592" s="3">
        <f t="shared" si="87"/>
        <v>6270</v>
      </c>
      <c r="L5592" s="3">
        <v>3323.1000000000004</v>
      </c>
    </row>
    <row r="5593" spans="1:12" x14ac:dyDescent="0.25">
      <c r="A5593" t="s">
        <v>26</v>
      </c>
      <c r="B5593">
        <v>1197831</v>
      </c>
      <c r="C5593" s="1">
        <v>44443</v>
      </c>
      <c r="D5593" t="s">
        <v>52</v>
      </c>
      <c r="E5593" t="s">
        <v>53</v>
      </c>
      <c r="F5593" t="s">
        <v>54</v>
      </c>
      <c r="G5593" t="s">
        <v>41</v>
      </c>
      <c r="H5593" t="s">
        <v>38</v>
      </c>
      <c r="I5593" s="3">
        <v>19</v>
      </c>
      <c r="J5593" s="2">
        <v>195</v>
      </c>
      <c r="K5593" s="3">
        <f t="shared" si="87"/>
        <v>3705</v>
      </c>
      <c r="L5593" s="3">
        <v>1852.5</v>
      </c>
    </row>
    <row r="5594" spans="1:12" x14ac:dyDescent="0.25">
      <c r="A5594" t="s">
        <v>11</v>
      </c>
      <c r="B5594">
        <v>1185732</v>
      </c>
      <c r="C5594" s="1">
        <v>44443</v>
      </c>
      <c r="D5594" t="s">
        <v>57</v>
      </c>
      <c r="E5594" t="s">
        <v>85</v>
      </c>
      <c r="F5594" t="s">
        <v>86</v>
      </c>
      <c r="G5594" t="s">
        <v>41</v>
      </c>
      <c r="H5594" t="s">
        <v>16</v>
      </c>
      <c r="I5594" s="3">
        <v>38</v>
      </c>
      <c r="J5594" s="2">
        <v>52</v>
      </c>
      <c r="K5594" s="3">
        <f t="shared" si="87"/>
        <v>1976</v>
      </c>
      <c r="L5594" s="3">
        <v>988</v>
      </c>
    </row>
    <row r="5595" spans="1:12" x14ac:dyDescent="0.25">
      <c r="A5595" t="s">
        <v>26</v>
      </c>
      <c r="B5595">
        <v>1197831</v>
      </c>
      <c r="C5595" s="1">
        <v>44443</v>
      </c>
      <c r="D5595" t="s">
        <v>52</v>
      </c>
      <c r="E5595" t="s">
        <v>99</v>
      </c>
      <c r="F5595" t="s">
        <v>100</v>
      </c>
      <c r="G5595" t="s">
        <v>41</v>
      </c>
      <c r="H5595" t="s">
        <v>22</v>
      </c>
      <c r="I5595" s="3">
        <v>49</v>
      </c>
      <c r="J5595" s="2">
        <v>145</v>
      </c>
      <c r="K5595" s="3">
        <f t="shared" si="87"/>
        <v>7105</v>
      </c>
      <c r="L5595" s="3">
        <v>3197.2500000000005</v>
      </c>
    </row>
    <row r="5596" spans="1:12" x14ac:dyDescent="0.25">
      <c r="A5596" t="s">
        <v>11</v>
      </c>
      <c r="B5596">
        <v>1185732</v>
      </c>
      <c r="C5596" s="1">
        <v>44443</v>
      </c>
      <c r="D5596" t="s">
        <v>57</v>
      </c>
      <c r="E5596" t="s">
        <v>85</v>
      </c>
      <c r="F5596" t="s">
        <v>86</v>
      </c>
      <c r="G5596" t="s">
        <v>41</v>
      </c>
      <c r="H5596" t="s">
        <v>22</v>
      </c>
      <c r="I5596" s="3">
        <v>33</v>
      </c>
      <c r="J5596" s="2">
        <v>33</v>
      </c>
      <c r="K5596" s="3">
        <f t="shared" si="87"/>
        <v>1089</v>
      </c>
      <c r="L5596" s="3">
        <v>381.15</v>
      </c>
    </row>
    <row r="5597" spans="1:12" x14ac:dyDescent="0.25">
      <c r="A5597" t="s">
        <v>19</v>
      </c>
      <c r="B5597">
        <v>1185732</v>
      </c>
      <c r="C5597" s="1">
        <v>44444</v>
      </c>
      <c r="D5597" t="s">
        <v>32</v>
      </c>
      <c r="E5597" t="s">
        <v>46</v>
      </c>
      <c r="F5597" t="s">
        <v>47</v>
      </c>
      <c r="G5597" t="s">
        <v>41</v>
      </c>
      <c r="H5597" t="s">
        <v>35</v>
      </c>
      <c r="I5597" s="3">
        <v>40</v>
      </c>
      <c r="J5597" s="2">
        <v>725</v>
      </c>
      <c r="K5597" s="3">
        <f t="shared" si="87"/>
        <v>29000</v>
      </c>
      <c r="L5597" s="3">
        <v>21750</v>
      </c>
    </row>
    <row r="5598" spans="1:12" x14ac:dyDescent="0.25">
      <c r="A5598" t="s">
        <v>19</v>
      </c>
      <c r="B5598">
        <v>1185732</v>
      </c>
      <c r="C5598" s="1">
        <v>44444</v>
      </c>
      <c r="D5598" t="s">
        <v>32</v>
      </c>
      <c r="E5598" t="s">
        <v>46</v>
      </c>
      <c r="F5598" t="s">
        <v>47</v>
      </c>
      <c r="G5598" t="s">
        <v>41</v>
      </c>
      <c r="H5598" t="s">
        <v>37</v>
      </c>
      <c r="I5598" s="3">
        <v>40</v>
      </c>
      <c r="J5598" s="2">
        <v>700</v>
      </c>
      <c r="K5598" s="3">
        <f t="shared" si="87"/>
        <v>28000</v>
      </c>
      <c r="L5598" s="3">
        <v>19600</v>
      </c>
    </row>
    <row r="5599" spans="1:12" x14ac:dyDescent="0.25">
      <c r="A5599" t="s">
        <v>19</v>
      </c>
      <c r="B5599">
        <v>1185732</v>
      </c>
      <c r="C5599" s="1">
        <v>44444</v>
      </c>
      <c r="D5599" t="s">
        <v>32</v>
      </c>
      <c r="E5599" t="s">
        <v>46</v>
      </c>
      <c r="F5599" t="s">
        <v>47</v>
      </c>
      <c r="G5599" t="s">
        <v>41</v>
      </c>
      <c r="H5599" t="s">
        <v>17</v>
      </c>
      <c r="I5599" s="3">
        <v>50.000000000000014</v>
      </c>
      <c r="J5599" s="2">
        <v>825</v>
      </c>
      <c r="K5599" s="3">
        <f t="shared" si="87"/>
        <v>41250.000000000015</v>
      </c>
      <c r="L5599" s="3">
        <v>26812.500000000011</v>
      </c>
    </row>
    <row r="5600" spans="1:12" x14ac:dyDescent="0.25">
      <c r="A5600" t="s">
        <v>26</v>
      </c>
      <c r="B5600">
        <v>1197831</v>
      </c>
      <c r="C5600" s="1">
        <v>44444</v>
      </c>
      <c r="D5600" t="s">
        <v>52</v>
      </c>
      <c r="E5600" t="s">
        <v>53</v>
      </c>
      <c r="F5600" t="s">
        <v>54</v>
      </c>
      <c r="G5600" t="s">
        <v>15</v>
      </c>
      <c r="H5600" t="s">
        <v>17</v>
      </c>
      <c r="I5600" s="3">
        <v>30.000000000000004</v>
      </c>
      <c r="J5600" s="2">
        <v>775</v>
      </c>
      <c r="K5600" s="3">
        <f t="shared" si="87"/>
        <v>23250.000000000004</v>
      </c>
      <c r="L5600" s="3">
        <v>15112.500000000004</v>
      </c>
    </row>
    <row r="5601" spans="1:12" x14ac:dyDescent="0.25">
      <c r="A5601" t="s">
        <v>26</v>
      </c>
      <c r="B5601">
        <v>1197831</v>
      </c>
      <c r="C5601" s="1">
        <v>44444</v>
      </c>
      <c r="D5601" t="s">
        <v>12</v>
      </c>
      <c r="E5601" t="s">
        <v>66</v>
      </c>
      <c r="F5601" t="s">
        <v>67</v>
      </c>
      <c r="G5601" t="s">
        <v>41</v>
      </c>
      <c r="H5601" t="s">
        <v>22</v>
      </c>
      <c r="I5601" s="3">
        <v>55.000000000000007</v>
      </c>
      <c r="J5601" s="2">
        <v>400</v>
      </c>
      <c r="K5601" s="3">
        <f t="shared" si="87"/>
        <v>22000.000000000004</v>
      </c>
      <c r="L5601" s="3">
        <v>14300.000000000004</v>
      </c>
    </row>
    <row r="5602" spans="1:12" x14ac:dyDescent="0.25">
      <c r="A5602" t="s">
        <v>19</v>
      </c>
      <c r="B5602">
        <v>1185732</v>
      </c>
      <c r="C5602" s="1">
        <v>44444</v>
      </c>
      <c r="D5602" t="s">
        <v>32</v>
      </c>
      <c r="E5602" t="s">
        <v>46</v>
      </c>
      <c r="F5602" t="s">
        <v>47</v>
      </c>
      <c r="G5602" t="s">
        <v>41</v>
      </c>
      <c r="H5602" t="s">
        <v>22</v>
      </c>
      <c r="I5602" s="3">
        <v>50</v>
      </c>
      <c r="J5602" s="2">
        <v>700</v>
      </c>
      <c r="K5602" s="3">
        <f t="shared" si="87"/>
        <v>35000</v>
      </c>
      <c r="L5602" s="3">
        <v>22750</v>
      </c>
    </row>
    <row r="5603" spans="1:12" x14ac:dyDescent="0.25">
      <c r="A5603" t="s">
        <v>26</v>
      </c>
      <c r="B5603">
        <v>1197831</v>
      </c>
      <c r="C5603" s="1">
        <v>44444</v>
      </c>
      <c r="D5603" t="s">
        <v>12</v>
      </c>
      <c r="E5603" t="s">
        <v>66</v>
      </c>
      <c r="F5603" t="s">
        <v>67</v>
      </c>
      <c r="G5603" t="s">
        <v>41</v>
      </c>
      <c r="H5603" t="s">
        <v>38</v>
      </c>
      <c r="I5603" s="3">
        <v>55.000000000000007</v>
      </c>
      <c r="J5603" s="2">
        <v>675</v>
      </c>
      <c r="K5603" s="3">
        <f t="shared" si="87"/>
        <v>37125.000000000007</v>
      </c>
      <c r="L5603" s="3">
        <v>22275.000000000007</v>
      </c>
    </row>
    <row r="5604" spans="1:12" x14ac:dyDescent="0.25">
      <c r="A5604" t="s">
        <v>26</v>
      </c>
      <c r="B5604">
        <v>1197831</v>
      </c>
      <c r="C5604" s="1">
        <v>44444</v>
      </c>
      <c r="D5604" t="s">
        <v>12</v>
      </c>
      <c r="E5604" t="s">
        <v>66</v>
      </c>
      <c r="F5604" t="s">
        <v>67</v>
      </c>
      <c r="G5604" t="s">
        <v>41</v>
      </c>
      <c r="H5604" t="s">
        <v>17</v>
      </c>
      <c r="I5604" s="3">
        <v>55.000000000000007</v>
      </c>
      <c r="J5604" s="2">
        <v>625</v>
      </c>
      <c r="K5604" s="3">
        <f t="shared" si="87"/>
        <v>34375.000000000007</v>
      </c>
      <c r="L5604" s="3">
        <v>20625.000000000007</v>
      </c>
    </row>
    <row r="5605" spans="1:12" x14ac:dyDescent="0.25">
      <c r="A5605" t="s">
        <v>26</v>
      </c>
      <c r="B5605">
        <v>1197831</v>
      </c>
      <c r="C5605" s="1">
        <v>44444</v>
      </c>
      <c r="D5605" t="s">
        <v>12</v>
      </c>
      <c r="E5605" t="s">
        <v>66</v>
      </c>
      <c r="F5605" t="s">
        <v>67</v>
      </c>
      <c r="G5605" t="s">
        <v>41</v>
      </c>
      <c r="H5605" t="s">
        <v>35</v>
      </c>
      <c r="I5605" s="3">
        <v>60</v>
      </c>
      <c r="J5605" s="2">
        <v>675</v>
      </c>
      <c r="K5605" s="3">
        <f t="shared" si="87"/>
        <v>40500</v>
      </c>
      <c r="L5605" s="3">
        <v>24300</v>
      </c>
    </row>
    <row r="5606" spans="1:12" x14ac:dyDescent="0.25">
      <c r="A5606" t="s">
        <v>19</v>
      </c>
      <c r="B5606">
        <v>1185732</v>
      </c>
      <c r="C5606" s="1">
        <v>44444</v>
      </c>
      <c r="D5606" t="s">
        <v>32</v>
      </c>
      <c r="E5606" t="s">
        <v>46</v>
      </c>
      <c r="F5606" t="s">
        <v>47</v>
      </c>
      <c r="G5606" t="s">
        <v>41</v>
      </c>
      <c r="H5606" t="s">
        <v>38</v>
      </c>
      <c r="I5606" s="3">
        <v>55.000000000000007</v>
      </c>
      <c r="J5606" s="2">
        <v>1025</v>
      </c>
      <c r="K5606" s="3">
        <f t="shared" si="87"/>
        <v>56375.000000000007</v>
      </c>
      <c r="L5606" s="3">
        <v>31006.250000000007</v>
      </c>
    </row>
    <row r="5607" spans="1:12" x14ac:dyDescent="0.25">
      <c r="A5607" t="s">
        <v>26</v>
      </c>
      <c r="B5607">
        <v>1197831</v>
      </c>
      <c r="C5607" s="1">
        <v>44444</v>
      </c>
      <c r="D5607" t="s">
        <v>12</v>
      </c>
      <c r="E5607" t="s">
        <v>66</v>
      </c>
      <c r="F5607" t="s">
        <v>67</v>
      </c>
      <c r="G5607" t="s">
        <v>41</v>
      </c>
      <c r="H5607" t="s">
        <v>37</v>
      </c>
      <c r="I5607" s="3">
        <v>60</v>
      </c>
      <c r="J5607" s="2">
        <v>400</v>
      </c>
      <c r="K5607" s="3">
        <f t="shared" si="87"/>
        <v>24000</v>
      </c>
      <c r="L5607" s="3">
        <v>12000</v>
      </c>
    </row>
    <row r="5608" spans="1:12" x14ac:dyDescent="0.25">
      <c r="A5608" t="s">
        <v>19</v>
      </c>
      <c r="B5608">
        <v>1185732</v>
      </c>
      <c r="C5608" s="1">
        <v>44444</v>
      </c>
      <c r="D5608" t="s">
        <v>32</v>
      </c>
      <c r="E5608" t="s">
        <v>46</v>
      </c>
      <c r="F5608" t="s">
        <v>47</v>
      </c>
      <c r="G5608" t="s">
        <v>41</v>
      </c>
      <c r="H5608" t="s">
        <v>16</v>
      </c>
      <c r="I5608" s="3">
        <v>55.000000000000007</v>
      </c>
      <c r="J5608" s="2">
        <v>800</v>
      </c>
      <c r="K5608" s="3">
        <f t="shared" si="87"/>
        <v>44000.000000000007</v>
      </c>
      <c r="L5608" s="3">
        <v>22000.000000000004</v>
      </c>
    </row>
    <row r="5609" spans="1:12" x14ac:dyDescent="0.25">
      <c r="A5609" t="s">
        <v>26</v>
      </c>
      <c r="B5609">
        <v>1197831</v>
      </c>
      <c r="C5609" s="1">
        <v>44444</v>
      </c>
      <c r="D5609" t="s">
        <v>12</v>
      </c>
      <c r="E5609" t="s">
        <v>66</v>
      </c>
      <c r="F5609" t="s">
        <v>67</v>
      </c>
      <c r="G5609" t="s">
        <v>41</v>
      </c>
      <c r="H5609" t="s">
        <v>16</v>
      </c>
      <c r="I5609" s="3">
        <v>50</v>
      </c>
      <c r="J5609" s="2">
        <v>625</v>
      </c>
      <c r="K5609" s="3">
        <f t="shared" si="87"/>
        <v>31250</v>
      </c>
      <c r="L5609" s="3">
        <v>14062.5</v>
      </c>
    </row>
    <row r="5610" spans="1:12" x14ac:dyDescent="0.25">
      <c r="A5610" t="s">
        <v>26</v>
      </c>
      <c r="B5610">
        <v>1197831</v>
      </c>
      <c r="C5610" s="1">
        <v>44444</v>
      </c>
      <c r="D5610" t="s">
        <v>52</v>
      </c>
      <c r="E5610" t="s">
        <v>99</v>
      </c>
      <c r="F5610" t="s">
        <v>100</v>
      </c>
      <c r="G5610" t="s">
        <v>15</v>
      </c>
      <c r="H5610" t="s">
        <v>16</v>
      </c>
      <c r="I5610" s="3">
        <v>55.000000000000007</v>
      </c>
      <c r="J5610" s="2">
        <v>875</v>
      </c>
      <c r="K5610" s="3">
        <f t="shared" si="87"/>
        <v>48125.000000000007</v>
      </c>
      <c r="L5610" s="3">
        <v>19250</v>
      </c>
    </row>
    <row r="5611" spans="1:12" x14ac:dyDescent="0.25">
      <c r="A5611" t="s">
        <v>19</v>
      </c>
      <c r="B5611">
        <v>1185732</v>
      </c>
      <c r="C5611" s="1">
        <v>44444</v>
      </c>
      <c r="D5611" t="s">
        <v>32</v>
      </c>
      <c r="E5611" t="s">
        <v>46</v>
      </c>
      <c r="F5611" t="s">
        <v>47</v>
      </c>
      <c r="G5611" t="s">
        <v>41</v>
      </c>
      <c r="H5611" t="s">
        <v>35</v>
      </c>
      <c r="I5611" s="3">
        <v>38</v>
      </c>
      <c r="J5611" s="2">
        <v>196</v>
      </c>
      <c r="K5611" s="3">
        <f t="shared" si="87"/>
        <v>7448</v>
      </c>
      <c r="L5611" s="3">
        <v>4543.28</v>
      </c>
    </row>
    <row r="5612" spans="1:12" x14ac:dyDescent="0.25">
      <c r="A5612" t="s">
        <v>19</v>
      </c>
      <c r="B5612">
        <v>1185732</v>
      </c>
      <c r="C5612" s="1">
        <v>44444</v>
      </c>
      <c r="D5612" t="s">
        <v>32</v>
      </c>
      <c r="E5612" t="s">
        <v>46</v>
      </c>
      <c r="F5612" t="s">
        <v>47</v>
      </c>
      <c r="G5612" t="s">
        <v>41</v>
      </c>
      <c r="H5612" t="s">
        <v>37</v>
      </c>
      <c r="I5612" s="3">
        <v>39</v>
      </c>
      <c r="J5612" s="2">
        <v>210</v>
      </c>
      <c r="K5612" s="3">
        <f t="shared" si="87"/>
        <v>8190</v>
      </c>
      <c r="L5612" s="3">
        <v>4914</v>
      </c>
    </row>
    <row r="5613" spans="1:12" x14ac:dyDescent="0.25">
      <c r="A5613" t="s">
        <v>26</v>
      </c>
      <c r="B5613">
        <v>1197831</v>
      </c>
      <c r="C5613" s="1">
        <v>44444</v>
      </c>
      <c r="D5613" t="s">
        <v>12</v>
      </c>
      <c r="E5613" t="s">
        <v>66</v>
      </c>
      <c r="F5613" t="s">
        <v>67</v>
      </c>
      <c r="G5613" t="s">
        <v>15</v>
      </c>
      <c r="H5613" t="s">
        <v>22</v>
      </c>
      <c r="I5613" s="3">
        <v>42</v>
      </c>
      <c r="J5613" s="2">
        <v>140</v>
      </c>
      <c r="K5613" s="3">
        <f t="shared" si="87"/>
        <v>5880</v>
      </c>
      <c r="L5613" s="3">
        <v>3469.2000000000003</v>
      </c>
    </row>
    <row r="5614" spans="1:12" x14ac:dyDescent="0.25">
      <c r="A5614" t="s">
        <v>26</v>
      </c>
      <c r="B5614">
        <v>1197831</v>
      </c>
      <c r="C5614" s="1">
        <v>44444</v>
      </c>
      <c r="D5614" t="s">
        <v>52</v>
      </c>
      <c r="E5614" t="s">
        <v>53</v>
      </c>
      <c r="F5614" t="s">
        <v>54</v>
      </c>
      <c r="G5614" t="s">
        <v>15</v>
      </c>
      <c r="H5614" t="s">
        <v>17</v>
      </c>
      <c r="I5614" s="3">
        <v>22</v>
      </c>
      <c r="J5614" s="2">
        <v>248</v>
      </c>
      <c r="K5614" s="3">
        <f t="shared" si="87"/>
        <v>5456</v>
      </c>
      <c r="L5614" s="3">
        <v>3164.48</v>
      </c>
    </row>
    <row r="5615" spans="1:12" x14ac:dyDescent="0.25">
      <c r="A5615" t="s">
        <v>26</v>
      </c>
      <c r="B5615">
        <v>1197831</v>
      </c>
      <c r="C5615" s="1">
        <v>44444</v>
      </c>
      <c r="D5615" t="s">
        <v>12</v>
      </c>
      <c r="E5615" t="s">
        <v>66</v>
      </c>
      <c r="F5615" t="s">
        <v>67</v>
      </c>
      <c r="G5615" t="s">
        <v>15</v>
      </c>
      <c r="H5615" t="s">
        <v>17</v>
      </c>
      <c r="I5615" s="3">
        <v>38</v>
      </c>
      <c r="J5615" s="2">
        <v>219</v>
      </c>
      <c r="K5615" s="3">
        <f t="shared" si="87"/>
        <v>8322</v>
      </c>
      <c r="L5615" s="3">
        <v>4743.5400000000009</v>
      </c>
    </row>
    <row r="5616" spans="1:12" x14ac:dyDescent="0.25">
      <c r="A5616" t="s">
        <v>26</v>
      </c>
      <c r="B5616">
        <v>1197831</v>
      </c>
      <c r="C5616" s="1">
        <v>44444</v>
      </c>
      <c r="D5616" t="s">
        <v>12</v>
      </c>
      <c r="E5616" t="s">
        <v>66</v>
      </c>
      <c r="F5616" t="s">
        <v>67</v>
      </c>
      <c r="G5616" t="s">
        <v>15</v>
      </c>
      <c r="H5616" t="s">
        <v>35</v>
      </c>
      <c r="I5616" s="3">
        <v>43</v>
      </c>
      <c r="J5616" s="2">
        <v>203</v>
      </c>
      <c r="K5616" s="3">
        <f t="shared" si="87"/>
        <v>8729</v>
      </c>
      <c r="L5616" s="3">
        <v>4800.9500000000007</v>
      </c>
    </row>
    <row r="5617" spans="1:12" x14ac:dyDescent="0.25">
      <c r="A5617" t="s">
        <v>26</v>
      </c>
      <c r="B5617">
        <v>1197831</v>
      </c>
      <c r="C5617" s="1">
        <v>44444</v>
      </c>
      <c r="D5617" t="s">
        <v>12</v>
      </c>
      <c r="E5617" t="s">
        <v>66</v>
      </c>
      <c r="F5617" t="s">
        <v>67</v>
      </c>
      <c r="G5617" t="s">
        <v>15</v>
      </c>
      <c r="H5617" t="s">
        <v>38</v>
      </c>
      <c r="I5617" s="3">
        <v>41</v>
      </c>
      <c r="J5617" s="2">
        <v>230</v>
      </c>
      <c r="K5617" s="3">
        <f t="shared" si="87"/>
        <v>9430</v>
      </c>
      <c r="L5617" s="3">
        <v>5092.2000000000007</v>
      </c>
    </row>
    <row r="5618" spans="1:12" x14ac:dyDescent="0.25">
      <c r="A5618" t="s">
        <v>26</v>
      </c>
      <c r="B5618">
        <v>1197831</v>
      </c>
      <c r="C5618" s="1">
        <v>44444</v>
      </c>
      <c r="D5618" t="s">
        <v>12</v>
      </c>
      <c r="E5618" t="s">
        <v>66</v>
      </c>
      <c r="F5618" t="s">
        <v>67</v>
      </c>
      <c r="G5618" t="s">
        <v>41</v>
      </c>
      <c r="H5618" t="s">
        <v>22</v>
      </c>
      <c r="I5618" s="3">
        <v>50</v>
      </c>
      <c r="J5618" s="2">
        <v>104</v>
      </c>
      <c r="K5618" s="3">
        <f t="shared" si="87"/>
        <v>5200</v>
      </c>
      <c r="L5618" s="3">
        <v>2808</v>
      </c>
    </row>
    <row r="5619" spans="1:12" x14ac:dyDescent="0.25">
      <c r="A5619" t="s">
        <v>19</v>
      </c>
      <c r="B5619">
        <v>1185732</v>
      </c>
      <c r="C5619" s="1">
        <v>44444</v>
      </c>
      <c r="D5619" t="s">
        <v>32</v>
      </c>
      <c r="E5619" t="s">
        <v>46</v>
      </c>
      <c r="F5619" t="s">
        <v>47</v>
      </c>
      <c r="G5619" t="s">
        <v>41</v>
      </c>
      <c r="H5619" t="s">
        <v>22</v>
      </c>
      <c r="I5619" s="3">
        <v>48</v>
      </c>
      <c r="J5619" s="2">
        <v>175</v>
      </c>
      <c r="K5619" s="3">
        <f t="shared" si="87"/>
        <v>8400</v>
      </c>
      <c r="L5619" s="3">
        <v>4536</v>
      </c>
    </row>
    <row r="5620" spans="1:12" x14ac:dyDescent="0.25">
      <c r="A5620" t="s">
        <v>19</v>
      </c>
      <c r="B5620">
        <v>1185732</v>
      </c>
      <c r="C5620" s="1">
        <v>44444</v>
      </c>
      <c r="D5620" t="s">
        <v>32</v>
      </c>
      <c r="E5620" t="s">
        <v>46</v>
      </c>
      <c r="F5620" t="s">
        <v>47</v>
      </c>
      <c r="G5620" t="s">
        <v>41</v>
      </c>
      <c r="H5620" t="s">
        <v>17</v>
      </c>
      <c r="I5620" s="3">
        <v>48</v>
      </c>
      <c r="J5620" s="2">
        <v>223</v>
      </c>
      <c r="K5620" s="3">
        <f t="shared" si="87"/>
        <v>10704</v>
      </c>
      <c r="L5620" s="3">
        <v>5566.08</v>
      </c>
    </row>
    <row r="5621" spans="1:12" x14ac:dyDescent="0.25">
      <c r="A5621" t="s">
        <v>26</v>
      </c>
      <c r="B5621">
        <v>1197831</v>
      </c>
      <c r="C5621" s="1">
        <v>44444</v>
      </c>
      <c r="D5621" t="s">
        <v>52</v>
      </c>
      <c r="E5621" t="s">
        <v>53</v>
      </c>
      <c r="F5621" t="s">
        <v>54</v>
      </c>
      <c r="G5621" t="s">
        <v>41</v>
      </c>
      <c r="H5621" t="s">
        <v>17</v>
      </c>
      <c r="I5621" s="3">
        <v>29</v>
      </c>
      <c r="J5621" s="2">
        <v>194</v>
      </c>
      <c r="K5621" s="3">
        <f t="shared" si="87"/>
        <v>5626</v>
      </c>
      <c r="L5621" s="3">
        <v>2869.26</v>
      </c>
    </row>
    <row r="5622" spans="1:12" x14ac:dyDescent="0.25">
      <c r="A5622" t="s">
        <v>26</v>
      </c>
      <c r="B5622">
        <v>1197831</v>
      </c>
      <c r="C5622" s="1">
        <v>44444</v>
      </c>
      <c r="D5622" t="s">
        <v>12</v>
      </c>
      <c r="E5622" t="s">
        <v>66</v>
      </c>
      <c r="F5622" t="s">
        <v>67</v>
      </c>
      <c r="G5622" t="s">
        <v>41</v>
      </c>
      <c r="H5622" t="s">
        <v>38</v>
      </c>
      <c r="I5622" s="3">
        <v>50</v>
      </c>
      <c r="J5622" s="2">
        <v>176</v>
      </c>
      <c r="K5622" s="3">
        <f t="shared" si="87"/>
        <v>8800</v>
      </c>
      <c r="L5622" s="3">
        <v>4400</v>
      </c>
    </row>
    <row r="5623" spans="1:12" x14ac:dyDescent="0.25">
      <c r="A5623" t="s">
        <v>26</v>
      </c>
      <c r="B5623">
        <v>1197831</v>
      </c>
      <c r="C5623" s="1">
        <v>44444</v>
      </c>
      <c r="D5623" t="s">
        <v>12</v>
      </c>
      <c r="E5623" t="s">
        <v>66</v>
      </c>
      <c r="F5623" t="s">
        <v>67</v>
      </c>
      <c r="G5623" t="s">
        <v>41</v>
      </c>
      <c r="H5623" t="s">
        <v>17</v>
      </c>
      <c r="I5623" s="3">
        <v>50</v>
      </c>
      <c r="J5623" s="2">
        <v>188</v>
      </c>
      <c r="K5623" s="3">
        <f t="shared" si="87"/>
        <v>9400</v>
      </c>
      <c r="L5623" s="3">
        <v>4512</v>
      </c>
    </row>
    <row r="5624" spans="1:12" x14ac:dyDescent="0.25">
      <c r="A5624" t="s">
        <v>26</v>
      </c>
      <c r="B5624">
        <v>1197831</v>
      </c>
      <c r="C5624" s="1">
        <v>44444</v>
      </c>
      <c r="D5624" t="s">
        <v>12</v>
      </c>
      <c r="E5624" t="s">
        <v>66</v>
      </c>
      <c r="F5624" t="s">
        <v>67</v>
      </c>
      <c r="G5624" t="s">
        <v>41</v>
      </c>
      <c r="H5624" t="s">
        <v>35</v>
      </c>
      <c r="I5624" s="3">
        <v>56</v>
      </c>
      <c r="J5624" s="2">
        <v>182</v>
      </c>
      <c r="K5624" s="3">
        <f t="shared" si="87"/>
        <v>10192</v>
      </c>
      <c r="L5624" s="3">
        <v>4892.16</v>
      </c>
    </row>
    <row r="5625" spans="1:12" x14ac:dyDescent="0.25">
      <c r="A5625" t="s">
        <v>26</v>
      </c>
      <c r="B5625">
        <v>1197831</v>
      </c>
      <c r="C5625" s="1">
        <v>44444</v>
      </c>
      <c r="D5625" t="s">
        <v>12</v>
      </c>
      <c r="E5625" t="s">
        <v>66</v>
      </c>
      <c r="F5625" t="s">
        <v>67</v>
      </c>
      <c r="G5625" t="s">
        <v>15</v>
      </c>
      <c r="H5625" t="s">
        <v>37</v>
      </c>
      <c r="I5625" s="3">
        <v>40</v>
      </c>
      <c r="J5625" s="2">
        <v>136</v>
      </c>
      <c r="K5625" s="3">
        <f t="shared" si="87"/>
        <v>5440</v>
      </c>
      <c r="L5625" s="3">
        <v>2447.9999999999995</v>
      </c>
    </row>
    <row r="5626" spans="1:12" x14ac:dyDescent="0.25">
      <c r="A5626" t="s">
        <v>19</v>
      </c>
      <c r="B5626">
        <v>1185732</v>
      </c>
      <c r="C5626" s="1">
        <v>44444</v>
      </c>
      <c r="D5626" t="s">
        <v>32</v>
      </c>
      <c r="E5626" t="s">
        <v>46</v>
      </c>
      <c r="F5626" t="s">
        <v>47</v>
      </c>
      <c r="G5626" t="s">
        <v>41</v>
      </c>
      <c r="H5626" t="s">
        <v>38</v>
      </c>
      <c r="I5626" s="3">
        <v>51</v>
      </c>
      <c r="J5626" s="2">
        <v>287</v>
      </c>
      <c r="K5626" s="3">
        <f t="shared" si="87"/>
        <v>14637</v>
      </c>
      <c r="L5626" s="3">
        <v>6147.5399999999991</v>
      </c>
    </row>
    <row r="5627" spans="1:12" x14ac:dyDescent="0.25">
      <c r="A5627" t="s">
        <v>26</v>
      </c>
      <c r="B5627">
        <v>1197831</v>
      </c>
      <c r="C5627" s="1">
        <v>44444</v>
      </c>
      <c r="D5627" t="s">
        <v>12</v>
      </c>
      <c r="E5627" t="s">
        <v>66</v>
      </c>
      <c r="F5627" t="s">
        <v>67</v>
      </c>
      <c r="G5627" t="s">
        <v>15</v>
      </c>
      <c r="H5627" t="s">
        <v>16</v>
      </c>
      <c r="I5627" s="3">
        <v>36</v>
      </c>
      <c r="J5627" s="2">
        <v>200</v>
      </c>
      <c r="K5627" s="3">
        <f t="shared" si="87"/>
        <v>7200</v>
      </c>
      <c r="L5627" s="3">
        <v>3023.9999999999991</v>
      </c>
    </row>
    <row r="5628" spans="1:12" x14ac:dyDescent="0.25">
      <c r="A5628" t="s">
        <v>19</v>
      </c>
      <c r="B5628">
        <v>1185732</v>
      </c>
      <c r="C5628" s="1">
        <v>44444</v>
      </c>
      <c r="D5628" t="s">
        <v>32</v>
      </c>
      <c r="E5628" t="s">
        <v>46</v>
      </c>
      <c r="F5628" t="s">
        <v>47</v>
      </c>
      <c r="G5628" t="s">
        <v>41</v>
      </c>
      <c r="H5628" t="s">
        <v>16</v>
      </c>
      <c r="I5628" s="3">
        <v>52</v>
      </c>
      <c r="J5628" s="2">
        <v>232</v>
      </c>
      <c r="K5628" s="3">
        <f t="shared" si="87"/>
        <v>12064</v>
      </c>
      <c r="L5628" s="3">
        <v>4825.6000000000004</v>
      </c>
    </row>
    <row r="5629" spans="1:12" x14ac:dyDescent="0.25">
      <c r="A5629" t="s">
        <v>26</v>
      </c>
      <c r="B5629">
        <v>1197831</v>
      </c>
      <c r="C5629" s="1">
        <v>44444</v>
      </c>
      <c r="D5629" t="s">
        <v>12</v>
      </c>
      <c r="E5629" t="s">
        <v>66</v>
      </c>
      <c r="F5629" t="s">
        <v>67</v>
      </c>
      <c r="G5629" t="s">
        <v>41</v>
      </c>
      <c r="H5629" t="s">
        <v>37</v>
      </c>
      <c r="I5629" s="3">
        <v>55</v>
      </c>
      <c r="J5629" s="2">
        <v>116</v>
      </c>
      <c r="K5629" s="3">
        <f t="shared" si="87"/>
        <v>6380</v>
      </c>
      <c r="L5629" s="3">
        <v>2360.6</v>
      </c>
    </row>
    <row r="5630" spans="1:12" x14ac:dyDescent="0.25">
      <c r="A5630" t="s">
        <v>26</v>
      </c>
      <c r="B5630">
        <v>1197831</v>
      </c>
      <c r="C5630" s="1">
        <v>44444</v>
      </c>
      <c r="D5630" t="s">
        <v>52</v>
      </c>
      <c r="E5630" t="s">
        <v>99</v>
      </c>
      <c r="F5630" t="s">
        <v>100</v>
      </c>
      <c r="G5630" t="s">
        <v>15</v>
      </c>
      <c r="H5630" t="s">
        <v>16</v>
      </c>
      <c r="I5630" s="3">
        <v>36</v>
      </c>
      <c r="J5630" s="2">
        <v>280</v>
      </c>
      <c r="K5630" s="3">
        <f t="shared" si="87"/>
        <v>10080</v>
      </c>
      <c r="L5630" s="3">
        <v>3628.7999999999984</v>
      </c>
    </row>
    <row r="5631" spans="1:12" x14ac:dyDescent="0.25">
      <c r="A5631" t="s">
        <v>26</v>
      </c>
      <c r="B5631">
        <v>1197831</v>
      </c>
      <c r="C5631" s="1">
        <v>44444</v>
      </c>
      <c r="D5631" t="s">
        <v>12</v>
      </c>
      <c r="E5631" t="s">
        <v>66</v>
      </c>
      <c r="F5631" t="s">
        <v>67</v>
      </c>
      <c r="G5631" t="s">
        <v>41</v>
      </c>
      <c r="H5631" t="s">
        <v>16</v>
      </c>
      <c r="I5631" s="3">
        <v>49</v>
      </c>
      <c r="J5631" s="2">
        <v>181</v>
      </c>
      <c r="K5631" s="3">
        <f t="shared" si="87"/>
        <v>8869</v>
      </c>
      <c r="L5631" s="3">
        <v>2926.7699999999995</v>
      </c>
    </row>
    <row r="5632" spans="1:12" x14ac:dyDescent="0.25">
      <c r="A5632" t="s">
        <v>26</v>
      </c>
      <c r="B5632">
        <v>1197831</v>
      </c>
      <c r="C5632" s="1">
        <v>44444</v>
      </c>
      <c r="D5632" t="s">
        <v>52</v>
      </c>
      <c r="E5632" t="s">
        <v>99</v>
      </c>
      <c r="F5632" t="s">
        <v>100</v>
      </c>
      <c r="G5632" t="s">
        <v>41</v>
      </c>
      <c r="H5632" t="s">
        <v>16</v>
      </c>
      <c r="I5632" s="3">
        <v>50</v>
      </c>
      <c r="J5632" s="2">
        <v>245</v>
      </c>
      <c r="K5632" s="3">
        <f t="shared" si="87"/>
        <v>12250</v>
      </c>
      <c r="L5632" s="3">
        <v>3429.9999999999982</v>
      </c>
    </row>
    <row r="5633" spans="1:12" x14ac:dyDescent="0.25">
      <c r="A5633" t="s">
        <v>19</v>
      </c>
      <c r="B5633">
        <v>1185732</v>
      </c>
      <c r="C5633" s="1">
        <v>44445</v>
      </c>
      <c r="D5633" t="s">
        <v>29</v>
      </c>
      <c r="E5633" t="s">
        <v>48</v>
      </c>
      <c r="F5633" t="s">
        <v>49</v>
      </c>
      <c r="G5633" t="s">
        <v>18</v>
      </c>
      <c r="H5633" t="s">
        <v>22</v>
      </c>
      <c r="I5633" s="3">
        <v>49.999999999999993</v>
      </c>
      <c r="J5633" s="2">
        <v>100</v>
      </c>
      <c r="K5633" s="3">
        <f t="shared" si="87"/>
        <v>4999.9999999999991</v>
      </c>
      <c r="L5633" s="3">
        <v>3500</v>
      </c>
    </row>
    <row r="5634" spans="1:12" x14ac:dyDescent="0.25">
      <c r="A5634" t="s">
        <v>27</v>
      </c>
      <c r="B5634">
        <v>1185732</v>
      </c>
      <c r="C5634" s="1">
        <v>44445</v>
      </c>
      <c r="D5634" t="s">
        <v>29</v>
      </c>
      <c r="E5634" t="s">
        <v>91</v>
      </c>
      <c r="F5634" t="s">
        <v>92</v>
      </c>
      <c r="G5634" t="s">
        <v>18</v>
      </c>
      <c r="H5634" t="s">
        <v>22</v>
      </c>
      <c r="I5634" s="3">
        <v>49.999999999999993</v>
      </c>
      <c r="J5634" s="2">
        <v>150</v>
      </c>
      <c r="K5634" s="3">
        <f t="shared" si="87"/>
        <v>7499.9999999999991</v>
      </c>
      <c r="L5634" s="3">
        <v>5249.9999999999982</v>
      </c>
    </row>
    <row r="5635" spans="1:12" x14ac:dyDescent="0.25">
      <c r="A5635" t="s">
        <v>27</v>
      </c>
      <c r="B5635">
        <v>1185732</v>
      </c>
      <c r="C5635" s="1">
        <v>44445</v>
      </c>
      <c r="D5635" t="s">
        <v>29</v>
      </c>
      <c r="E5635" t="s">
        <v>91</v>
      </c>
      <c r="F5635" t="s">
        <v>92</v>
      </c>
      <c r="G5635" t="s">
        <v>18</v>
      </c>
      <c r="H5635" t="s">
        <v>38</v>
      </c>
      <c r="I5635" s="3">
        <v>49.999999999999993</v>
      </c>
      <c r="J5635" s="2">
        <v>475</v>
      </c>
      <c r="K5635" s="3">
        <f t="shared" ref="K5635:K5698" si="88">I5635*J5635</f>
        <v>23749.999999999996</v>
      </c>
      <c r="L5635" s="3">
        <v>15437.5</v>
      </c>
    </row>
    <row r="5636" spans="1:12" x14ac:dyDescent="0.25">
      <c r="A5636" t="s">
        <v>19</v>
      </c>
      <c r="B5636">
        <v>1185732</v>
      </c>
      <c r="C5636" s="1">
        <v>44445</v>
      </c>
      <c r="D5636" t="s">
        <v>29</v>
      </c>
      <c r="E5636" t="s">
        <v>48</v>
      </c>
      <c r="F5636" t="s">
        <v>49</v>
      </c>
      <c r="G5636" t="s">
        <v>18</v>
      </c>
      <c r="H5636" t="s">
        <v>38</v>
      </c>
      <c r="I5636" s="3">
        <v>49.999999999999993</v>
      </c>
      <c r="J5636" s="2">
        <v>425</v>
      </c>
      <c r="K5636" s="3">
        <f t="shared" si="88"/>
        <v>21249.999999999996</v>
      </c>
      <c r="L5636" s="3">
        <v>13812.5</v>
      </c>
    </row>
    <row r="5637" spans="1:12" x14ac:dyDescent="0.25">
      <c r="A5637" t="s">
        <v>26</v>
      </c>
      <c r="B5637">
        <v>1197831</v>
      </c>
      <c r="C5637" s="1">
        <v>44445</v>
      </c>
      <c r="D5637" t="s">
        <v>52</v>
      </c>
      <c r="E5637" t="s">
        <v>53</v>
      </c>
      <c r="F5637" t="s">
        <v>54</v>
      </c>
      <c r="G5637" t="s">
        <v>15</v>
      </c>
      <c r="H5637" t="s">
        <v>35</v>
      </c>
      <c r="I5637" s="3">
        <v>24.999999999999996</v>
      </c>
      <c r="J5637" s="2">
        <v>625</v>
      </c>
      <c r="K5637" s="3">
        <f t="shared" si="88"/>
        <v>15624.999999999998</v>
      </c>
      <c r="L5637" s="3">
        <v>10156.249999999998</v>
      </c>
    </row>
    <row r="5638" spans="1:12" x14ac:dyDescent="0.25">
      <c r="A5638" t="s">
        <v>27</v>
      </c>
      <c r="B5638">
        <v>1185732</v>
      </c>
      <c r="C5638" s="1">
        <v>44445</v>
      </c>
      <c r="D5638" t="s">
        <v>29</v>
      </c>
      <c r="E5638" t="s">
        <v>91</v>
      </c>
      <c r="F5638" t="s">
        <v>92</v>
      </c>
      <c r="G5638" t="s">
        <v>18</v>
      </c>
      <c r="H5638" t="s">
        <v>17</v>
      </c>
      <c r="I5638" s="3">
        <v>45</v>
      </c>
      <c r="J5638" s="2">
        <v>275</v>
      </c>
      <c r="K5638" s="3">
        <f t="shared" si="88"/>
        <v>12375</v>
      </c>
      <c r="L5638" s="3">
        <v>8043.75</v>
      </c>
    </row>
    <row r="5639" spans="1:12" x14ac:dyDescent="0.25">
      <c r="A5639" t="s">
        <v>19</v>
      </c>
      <c r="B5639">
        <v>1185732</v>
      </c>
      <c r="C5639" s="1">
        <v>44445</v>
      </c>
      <c r="D5639" t="s">
        <v>29</v>
      </c>
      <c r="E5639" t="s">
        <v>48</v>
      </c>
      <c r="F5639" t="s">
        <v>49</v>
      </c>
      <c r="G5639" t="s">
        <v>18</v>
      </c>
      <c r="H5639" t="s">
        <v>17</v>
      </c>
      <c r="I5639" s="3">
        <v>45</v>
      </c>
      <c r="J5639" s="2">
        <v>225</v>
      </c>
      <c r="K5639" s="3">
        <f t="shared" si="88"/>
        <v>10125</v>
      </c>
      <c r="L5639" s="3">
        <v>6581.25</v>
      </c>
    </row>
    <row r="5640" spans="1:12" x14ac:dyDescent="0.25">
      <c r="A5640" t="s">
        <v>27</v>
      </c>
      <c r="B5640">
        <v>1185732</v>
      </c>
      <c r="C5640" s="1">
        <v>44445</v>
      </c>
      <c r="D5640" t="s">
        <v>29</v>
      </c>
      <c r="E5640" t="s">
        <v>91</v>
      </c>
      <c r="F5640" t="s">
        <v>92</v>
      </c>
      <c r="G5640" t="s">
        <v>18</v>
      </c>
      <c r="H5640" t="s">
        <v>35</v>
      </c>
      <c r="I5640" s="3">
        <v>40</v>
      </c>
      <c r="J5640" s="2">
        <v>175</v>
      </c>
      <c r="K5640" s="3">
        <f t="shared" si="88"/>
        <v>7000</v>
      </c>
      <c r="L5640" s="3">
        <v>4200</v>
      </c>
    </row>
    <row r="5641" spans="1:12" x14ac:dyDescent="0.25">
      <c r="A5641" t="s">
        <v>27</v>
      </c>
      <c r="B5641">
        <v>1185732</v>
      </c>
      <c r="C5641" s="1">
        <v>44445</v>
      </c>
      <c r="D5641" t="s">
        <v>29</v>
      </c>
      <c r="E5641" t="s">
        <v>91</v>
      </c>
      <c r="F5641" t="s">
        <v>92</v>
      </c>
      <c r="G5641" t="s">
        <v>18</v>
      </c>
      <c r="H5641" t="s">
        <v>37</v>
      </c>
      <c r="I5641" s="3">
        <v>40</v>
      </c>
      <c r="J5641" s="2">
        <v>150</v>
      </c>
      <c r="K5641" s="3">
        <f t="shared" si="88"/>
        <v>6000</v>
      </c>
      <c r="L5641" s="3">
        <v>3600</v>
      </c>
    </row>
    <row r="5642" spans="1:12" x14ac:dyDescent="0.25">
      <c r="A5642" t="s">
        <v>19</v>
      </c>
      <c r="B5642">
        <v>1185732</v>
      </c>
      <c r="C5642" s="1">
        <v>44445</v>
      </c>
      <c r="D5642" t="s">
        <v>29</v>
      </c>
      <c r="E5642" t="s">
        <v>48</v>
      </c>
      <c r="F5642" t="s">
        <v>49</v>
      </c>
      <c r="G5642" t="s">
        <v>18</v>
      </c>
      <c r="H5642" t="s">
        <v>35</v>
      </c>
      <c r="I5642" s="3">
        <v>40</v>
      </c>
      <c r="J5642" s="2">
        <v>125</v>
      </c>
      <c r="K5642" s="3">
        <f t="shared" si="88"/>
        <v>5000</v>
      </c>
      <c r="L5642" s="3">
        <v>3000</v>
      </c>
    </row>
    <row r="5643" spans="1:12" x14ac:dyDescent="0.25">
      <c r="A5643" t="s">
        <v>19</v>
      </c>
      <c r="B5643">
        <v>1185732</v>
      </c>
      <c r="C5643" s="1">
        <v>44445</v>
      </c>
      <c r="D5643" t="s">
        <v>29</v>
      </c>
      <c r="E5643" t="s">
        <v>48</v>
      </c>
      <c r="F5643" t="s">
        <v>49</v>
      </c>
      <c r="G5643" t="s">
        <v>18</v>
      </c>
      <c r="H5643" t="s">
        <v>37</v>
      </c>
      <c r="I5643" s="3">
        <v>40</v>
      </c>
      <c r="J5643" s="2">
        <v>100</v>
      </c>
      <c r="K5643" s="3">
        <f t="shared" si="88"/>
        <v>4000</v>
      </c>
      <c r="L5643" s="3">
        <v>2400</v>
      </c>
    </row>
    <row r="5644" spans="1:12" x14ac:dyDescent="0.25">
      <c r="A5644" t="s">
        <v>19</v>
      </c>
      <c r="B5644">
        <v>1185732</v>
      </c>
      <c r="C5644" s="1">
        <v>44445</v>
      </c>
      <c r="D5644" t="s">
        <v>29</v>
      </c>
      <c r="E5644" t="s">
        <v>48</v>
      </c>
      <c r="F5644" t="s">
        <v>49</v>
      </c>
      <c r="G5644" t="s">
        <v>18</v>
      </c>
      <c r="H5644" t="s">
        <v>16</v>
      </c>
      <c r="I5644" s="3">
        <v>54.999999999999993</v>
      </c>
      <c r="J5644" s="2">
        <v>200</v>
      </c>
      <c r="K5644" s="3">
        <f t="shared" si="88"/>
        <v>10999.999999999998</v>
      </c>
      <c r="L5644" s="3">
        <v>6599.9999999999982</v>
      </c>
    </row>
    <row r="5645" spans="1:12" x14ac:dyDescent="0.25">
      <c r="A5645" t="s">
        <v>27</v>
      </c>
      <c r="B5645">
        <v>1185732</v>
      </c>
      <c r="C5645" s="1">
        <v>44445</v>
      </c>
      <c r="D5645" t="s">
        <v>29</v>
      </c>
      <c r="E5645" t="s">
        <v>91</v>
      </c>
      <c r="F5645" t="s">
        <v>92</v>
      </c>
      <c r="G5645" t="s">
        <v>18</v>
      </c>
      <c r="H5645" t="s">
        <v>16</v>
      </c>
      <c r="I5645" s="3">
        <v>54.999999999999993</v>
      </c>
      <c r="J5645" s="2">
        <v>250</v>
      </c>
      <c r="K5645" s="3">
        <f t="shared" si="88"/>
        <v>13749.999999999998</v>
      </c>
      <c r="L5645" s="3">
        <v>8249.9999999999964</v>
      </c>
    </row>
    <row r="5646" spans="1:12" x14ac:dyDescent="0.25">
      <c r="A5646" t="s">
        <v>26</v>
      </c>
      <c r="B5646">
        <v>1197831</v>
      </c>
      <c r="C5646" s="1">
        <v>44445</v>
      </c>
      <c r="D5646" t="s">
        <v>52</v>
      </c>
      <c r="E5646" t="s">
        <v>99</v>
      </c>
      <c r="F5646" t="s">
        <v>100</v>
      </c>
      <c r="G5646" t="s">
        <v>15</v>
      </c>
      <c r="H5646" t="s">
        <v>38</v>
      </c>
      <c r="I5646" s="3">
        <v>45</v>
      </c>
      <c r="J5646" s="2">
        <v>825</v>
      </c>
      <c r="K5646" s="3">
        <f t="shared" si="88"/>
        <v>37125</v>
      </c>
      <c r="L5646" s="3">
        <v>18562.500000000004</v>
      </c>
    </row>
    <row r="5647" spans="1:12" x14ac:dyDescent="0.25">
      <c r="A5647" t="s">
        <v>19</v>
      </c>
      <c r="B5647">
        <v>1185732</v>
      </c>
      <c r="C5647" s="1">
        <v>44445</v>
      </c>
      <c r="D5647" t="s">
        <v>29</v>
      </c>
      <c r="E5647" t="s">
        <v>48</v>
      </c>
      <c r="F5647" t="s">
        <v>49</v>
      </c>
      <c r="G5647" t="s">
        <v>15</v>
      </c>
      <c r="H5647" t="s">
        <v>22</v>
      </c>
      <c r="I5647" s="3">
        <v>34</v>
      </c>
      <c r="J5647" s="2">
        <v>33</v>
      </c>
      <c r="K5647" s="3">
        <f t="shared" si="88"/>
        <v>1122</v>
      </c>
      <c r="L5647" s="3">
        <v>718.08</v>
      </c>
    </row>
    <row r="5648" spans="1:12" x14ac:dyDescent="0.25">
      <c r="A5648" t="s">
        <v>19</v>
      </c>
      <c r="B5648">
        <v>1185732</v>
      </c>
      <c r="C5648" s="1">
        <v>44445</v>
      </c>
      <c r="D5648" t="s">
        <v>29</v>
      </c>
      <c r="E5648" t="s">
        <v>48</v>
      </c>
      <c r="F5648" t="s">
        <v>49</v>
      </c>
      <c r="G5648" t="s">
        <v>15</v>
      </c>
      <c r="H5648" t="s">
        <v>17</v>
      </c>
      <c r="I5648" s="3">
        <v>30</v>
      </c>
      <c r="J5648" s="2">
        <v>79</v>
      </c>
      <c r="K5648" s="3">
        <f t="shared" si="88"/>
        <v>2370</v>
      </c>
      <c r="L5648" s="3">
        <v>1493.1</v>
      </c>
    </row>
    <row r="5649" spans="1:12" x14ac:dyDescent="0.25">
      <c r="A5649" t="s">
        <v>26</v>
      </c>
      <c r="B5649">
        <v>1197831</v>
      </c>
      <c r="C5649" s="1">
        <v>44445</v>
      </c>
      <c r="D5649" t="s">
        <v>52</v>
      </c>
      <c r="E5649" t="s">
        <v>53</v>
      </c>
      <c r="F5649" t="s">
        <v>54</v>
      </c>
      <c r="G5649" t="s">
        <v>15</v>
      </c>
      <c r="H5649" t="s">
        <v>35</v>
      </c>
      <c r="I5649" s="3">
        <v>19</v>
      </c>
      <c r="J5649" s="2">
        <v>200</v>
      </c>
      <c r="K5649" s="3">
        <f t="shared" si="88"/>
        <v>3800</v>
      </c>
      <c r="L5649" s="3">
        <v>2280</v>
      </c>
    </row>
    <row r="5650" spans="1:12" x14ac:dyDescent="0.25">
      <c r="A5650" t="s">
        <v>27</v>
      </c>
      <c r="B5650">
        <v>1185732</v>
      </c>
      <c r="C5650" s="1">
        <v>44445</v>
      </c>
      <c r="D5650" t="s">
        <v>29</v>
      </c>
      <c r="E5650" t="s">
        <v>91</v>
      </c>
      <c r="F5650" t="s">
        <v>92</v>
      </c>
      <c r="G5650" t="s">
        <v>41</v>
      </c>
      <c r="H5650" t="s">
        <v>22</v>
      </c>
      <c r="I5650" s="3">
        <v>47</v>
      </c>
      <c r="J5650" s="2">
        <v>41</v>
      </c>
      <c r="K5650" s="3">
        <f t="shared" si="88"/>
        <v>1927</v>
      </c>
      <c r="L5650" s="3">
        <v>1136.93</v>
      </c>
    </row>
    <row r="5651" spans="1:12" x14ac:dyDescent="0.25">
      <c r="A5651" t="s">
        <v>19</v>
      </c>
      <c r="B5651">
        <v>1185732</v>
      </c>
      <c r="C5651" s="1">
        <v>44445</v>
      </c>
      <c r="D5651" t="s">
        <v>29</v>
      </c>
      <c r="E5651" t="s">
        <v>48</v>
      </c>
      <c r="F5651" t="s">
        <v>49</v>
      </c>
      <c r="G5651" t="s">
        <v>41</v>
      </c>
      <c r="H5651" t="s">
        <v>22</v>
      </c>
      <c r="I5651" s="3">
        <v>47</v>
      </c>
      <c r="J5651" s="2">
        <v>27</v>
      </c>
      <c r="K5651" s="3">
        <f t="shared" si="88"/>
        <v>1269</v>
      </c>
      <c r="L5651" s="3">
        <v>748.71</v>
      </c>
    </row>
    <row r="5652" spans="1:12" x14ac:dyDescent="0.25">
      <c r="A5652" t="s">
        <v>19</v>
      </c>
      <c r="B5652">
        <v>1185732</v>
      </c>
      <c r="C5652" s="1">
        <v>44445</v>
      </c>
      <c r="D5652" t="s">
        <v>29</v>
      </c>
      <c r="E5652" t="s">
        <v>48</v>
      </c>
      <c r="F5652" t="s">
        <v>49</v>
      </c>
      <c r="G5652" t="s">
        <v>15</v>
      </c>
      <c r="H5652" t="s">
        <v>38</v>
      </c>
      <c r="I5652" s="3">
        <v>39</v>
      </c>
      <c r="J5652" s="2">
        <v>128</v>
      </c>
      <c r="K5652" s="3">
        <f t="shared" si="88"/>
        <v>4992</v>
      </c>
      <c r="L5652" s="3">
        <v>2895.36</v>
      </c>
    </row>
    <row r="5653" spans="1:12" x14ac:dyDescent="0.25">
      <c r="A5653" t="s">
        <v>19</v>
      </c>
      <c r="B5653">
        <v>1185732</v>
      </c>
      <c r="C5653" s="1">
        <v>44445</v>
      </c>
      <c r="D5653" t="s">
        <v>29</v>
      </c>
      <c r="E5653" t="s">
        <v>48</v>
      </c>
      <c r="F5653" t="s">
        <v>49</v>
      </c>
      <c r="G5653" t="s">
        <v>15</v>
      </c>
      <c r="H5653" t="s">
        <v>35</v>
      </c>
      <c r="I5653" s="3">
        <v>29</v>
      </c>
      <c r="J5653" s="2">
        <v>39</v>
      </c>
      <c r="K5653" s="3">
        <f t="shared" si="88"/>
        <v>1131</v>
      </c>
      <c r="L5653" s="3">
        <v>644.66999999999996</v>
      </c>
    </row>
    <row r="5654" spans="1:12" x14ac:dyDescent="0.25">
      <c r="A5654" t="s">
        <v>19</v>
      </c>
      <c r="B5654">
        <v>1185732</v>
      </c>
      <c r="C5654" s="1">
        <v>44445</v>
      </c>
      <c r="D5654" t="s">
        <v>29</v>
      </c>
      <c r="E5654" t="s">
        <v>48</v>
      </c>
      <c r="F5654" t="s">
        <v>49</v>
      </c>
      <c r="G5654" t="s">
        <v>15</v>
      </c>
      <c r="H5654" t="s">
        <v>16</v>
      </c>
      <c r="I5654" s="3">
        <v>41</v>
      </c>
      <c r="J5654" s="2">
        <v>64</v>
      </c>
      <c r="K5654" s="3">
        <f t="shared" si="88"/>
        <v>2624</v>
      </c>
      <c r="L5654" s="3">
        <v>1443.2</v>
      </c>
    </row>
    <row r="5655" spans="1:12" x14ac:dyDescent="0.25">
      <c r="A5655" t="s">
        <v>19</v>
      </c>
      <c r="B5655">
        <v>1185732</v>
      </c>
      <c r="C5655" s="1">
        <v>44445</v>
      </c>
      <c r="D5655" t="s">
        <v>29</v>
      </c>
      <c r="E5655" t="s">
        <v>48</v>
      </c>
      <c r="F5655" t="s">
        <v>49</v>
      </c>
      <c r="G5655" t="s">
        <v>41</v>
      </c>
      <c r="H5655" t="s">
        <v>38</v>
      </c>
      <c r="I5655" s="3">
        <v>45</v>
      </c>
      <c r="J5655" s="2">
        <v>111</v>
      </c>
      <c r="K5655" s="3">
        <f t="shared" si="88"/>
        <v>4995</v>
      </c>
      <c r="L5655" s="3">
        <v>2747.25</v>
      </c>
    </row>
    <row r="5656" spans="1:12" x14ac:dyDescent="0.25">
      <c r="A5656" t="s">
        <v>19</v>
      </c>
      <c r="B5656">
        <v>1185732</v>
      </c>
      <c r="C5656" s="1">
        <v>44445</v>
      </c>
      <c r="D5656" t="s">
        <v>29</v>
      </c>
      <c r="E5656" t="s">
        <v>48</v>
      </c>
      <c r="F5656" t="s">
        <v>49</v>
      </c>
      <c r="G5656" t="s">
        <v>15</v>
      </c>
      <c r="H5656" t="s">
        <v>37</v>
      </c>
      <c r="I5656" s="3">
        <v>30</v>
      </c>
      <c r="J5656" s="2">
        <v>32</v>
      </c>
      <c r="K5656" s="3">
        <f t="shared" si="88"/>
        <v>960</v>
      </c>
      <c r="L5656" s="3">
        <v>518.4</v>
      </c>
    </row>
    <row r="5657" spans="1:12" x14ac:dyDescent="0.25">
      <c r="A5657" t="s">
        <v>26</v>
      </c>
      <c r="B5657">
        <v>1197831</v>
      </c>
      <c r="C5657" s="1">
        <v>44445</v>
      </c>
      <c r="D5657" t="s">
        <v>52</v>
      </c>
      <c r="E5657" t="s">
        <v>53</v>
      </c>
      <c r="F5657" t="s">
        <v>54</v>
      </c>
      <c r="G5657" t="s">
        <v>41</v>
      </c>
      <c r="H5657" t="s">
        <v>35</v>
      </c>
      <c r="I5657" s="3">
        <v>24</v>
      </c>
      <c r="J5657" s="2">
        <v>175</v>
      </c>
      <c r="K5657" s="3">
        <f t="shared" si="88"/>
        <v>4200</v>
      </c>
      <c r="L5657" s="3">
        <v>2226</v>
      </c>
    </row>
    <row r="5658" spans="1:12" x14ac:dyDescent="0.25">
      <c r="A5658" t="s">
        <v>19</v>
      </c>
      <c r="B5658">
        <v>1185732</v>
      </c>
      <c r="C5658" s="1">
        <v>44445</v>
      </c>
      <c r="D5658" t="s">
        <v>29</v>
      </c>
      <c r="E5658" t="s">
        <v>48</v>
      </c>
      <c r="F5658" t="s">
        <v>49</v>
      </c>
      <c r="G5658" t="s">
        <v>41</v>
      </c>
      <c r="H5658" t="s">
        <v>17</v>
      </c>
      <c r="I5658" s="3">
        <v>43</v>
      </c>
      <c r="J5658" s="2">
        <v>56</v>
      </c>
      <c r="K5658" s="3">
        <f t="shared" si="88"/>
        <v>2408</v>
      </c>
      <c r="L5658" s="3">
        <v>1252.1600000000001</v>
      </c>
    </row>
    <row r="5659" spans="1:12" x14ac:dyDescent="0.25">
      <c r="A5659" t="s">
        <v>27</v>
      </c>
      <c r="B5659">
        <v>1185732</v>
      </c>
      <c r="C5659" s="1">
        <v>44445</v>
      </c>
      <c r="D5659" t="s">
        <v>29</v>
      </c>
      <c r="E5659" t="s">
        <v>91</v>
      </c>
      <c r="F5659" t="s">
        <v>92</v>
      </c>
      <c r="G5659" t="s">
        <v>41</v>
      </c>
      <c r="H5659" t="s">
        <v>38</v>
      </c>
      <c r="I5659" s="3">
        <v>46</v>
      </c>
      <c r="J5659" s="2">
        <v>124</v>
      </c>
      <c r="K5659" s="3">
        <f t="shared" si="88"/>
        <v>5704</v>
      </c>
      <c r="L5659" s="3">
        <v>2909.04</v>
      </c>
    </row>
    <row r="5660" spans="1:12" x14ac:dyDescent="0.25">
      <c r="A5660" t="s">
        <v>27</v>
      </c>
      <c r="B5660">
        <v>1185732</v>
      </c>
      <c r="C5660" s="1">
        <v>44445</v>
      </c>
      <c r="D5660" t="s">
        <v>29</v>
      </c>
      <c r="E5660" t="s">
        <v>91</v>
      </c>
      <c r="F5660" t="s">
        <v>92</v>
      </c>
      <c r="G5660" t="s">
        <v>41</v>
      </c>
      <c r="H5660" t="s">
        <v>17</v>
      </c>
      <c r="I5660" s="3">
        <v>41</v>
      </c>
      <c r="J5660" s="2">
        <v>72</v>
      </c>
      <c r="K5660" s="3">
        <f t="shared" si="88"/>
        <v>2952</v>
      </c>
      <c r="L5660" s="3">
        <v>1476</v>
      </c>
    </row>
    <row r="5661" spans="1:12" x14ac:dyDescent="0.25">
      <c r="A5661" t="s">
        <v>19</v>
      </c>
      <c r="B5661">
        <v>1185732</v>
      </c>
      <c r="C5661" s="1">
        <v>44445</v>
      </c>
      <c r="D5661" t="s">
        <v>29</v>
      </c>
      <c r="E5661" t="s">
        <v>48</v>
      </c>
      <c r="F5661" t="s">
        <v>49</v>
      </c>
      <c r="G5661" t="s">
        <v>41</v>
      </c>
      <c r="H5661" t="s">
        <v>35</v>
      </c>
      <c r="I5661" s="3">
        <v>36</v>
      </c>
      <c r="J5661" s="2">
        <v>38</v>
      </c>
      <c r="K5661" s="3">
        <f t="shared" si="88"/>
        <v>1368</v>
      </c>
      <c r="L5661" s="3">
        <v>670.31999999999994</v>
      </c>
    </row>
    <row r="5662" spans="1:12" x14ac:dyDescent="0.25">
      <c r="A5662" t="s">
        <v>19</v>
      </c>
      <c r="B5662">
        <v>1185732</v>
      </c>
      <c r="C5662" s="1">
        <v>44445</v>
      </c>
      <c r="D5662" t="s">
        <v>29</v>
      </c>
      <c r="E5662" t="s">
        <v>48</v>
      </c>
      <c r="F5662" t="s">
        <v>49</v>
      </c>
      <c r="G5662" t="s">
        <v>41</v>
      </c>
      <c r="H5662" t="s">
        <v>16</v>
      </c>
      <c r="I5662" s="3">
        <v>52</v>
      </c>
      <c r="J5662" s="2">
        <v>58</v>
      </c>
      <c r="K5662" s="3">
        <f t="shared" si="88"/>
        <v>3016</v>
      </c>
      <c r="L5662" s="3">
        <v>1477.84</v>
      </c>
    </row>
    <row r="5663" spans="1:12" x14ac:dyDescent="0.25">
      <c r="A5663" t="s">
        <v>26</v>
      </c>
      <c r="B5663">
        <v>1197831</v>
      </c>
      <c r="C5663" s="1">
        <v>44445</v>
      </c>
      <c r="D5663" t="s">
        <v>52</v>
      </c>
      <c r="E5663" t="s">
        <v>99</v>
      </c>
      <c r="F5663" t="s">
        <v>100</v>
      </c>
      <c r="G5663" t="s">
        <v>15</v>
      </c>
      <c r="H5663" t="s">
        <v>38</v>
      </c>
      <c r="I5663" s="3">
        <v>31</v>
      </c>
      <c r="J5663" s="2">
        <v>256</v>
      </c>
      <c r="K5663" s="3">
        <f t="shared" si="88"/>
        <v>7936</v>
      </c>
      <c r="L5663" s="3">
        <v>3729.920000000001</v>
      </c>
    </row>
    <row r="5664" spans="1:12" x14ac:dyDescent="0.25">
      <c r="A5664" t="s">
        <v>27</v>
      </c>
      <c r="B5664">
        <v>1185732</v>
      </c>
      <c r="C5664" s="1">
        <v>44445</v>
      </c>
      <c r="D5664" t="s">
        <v>29</v>
      </c>
      <c r="E5664" t="s">
        <v>91</v>
      </c>
      <c r="F5664" t="s">
        <v>92</v>
      </c>
      <c r="G5664" t="s">
        <v>41</v>
      </c>
      <c r="H5664" t="s">
        <v>35</v>
      </c>
      <c r="I5664" s="3">
        <v>39</v>
      </c>
      <c r="J5664" s="2">
        <v>51</v>
      </c>
      <c r="K5664" s="3">
        <f t="shared" si="88"/>
        <v>1989</v>
      </c>
      <c r="L5664" s="3">
        <v>934.82999999999993</v>
      </c>
    </row>
    <row r="5665" spans="1:12" x14ac:dyDescent="0.25">
      <c r="A5665" t="s">
        <v>27</v>
      </c>
      <c r="B5665">
        <v>1185732</v>
      </c>
      <c r="C5665" s="1">
        <v>44445</v>
      </c>
      <c r="D5665" t="s">
        <v>29</v>
      </c>
      <c r="E5665" t="s">
        <v>91</v>
      </c>
      <c r="F5665" t="s">
        <v>92</v>
      </c>
      <c r="G5665" t="s">
        <v>41</v>
      </c>
      <c r="H5665" t="s">
        <v>37</v>
      </c>
      <c r="I5665" s="3">
        <v>37</v>
      </c>
      <c r="J5665" s="2">
        <v>38</v>
      </c>
      <c r="K5665" s="3">
        <f t="shared" si="88"/>
        <v>1406</v>
      </c>
      <c r="L5665" s="3">
        <v>660.81999999999994</v>
      </c>
    </row>
    <row r="5666" spans="1:12" x14ac:dyDescent="0.25">
      <c r="A5666" t="s">
        <v>27</v>
      </c>
      <c r="B5666">
        <v>1185732</v>
      </c>
      <c r="C5666" s="1">
        <v>44445</v>
      </c>
      <c r="D5666" t="s">
        <v>29</v>
      </c>
      <c r="E5666" t="s">
        <v>91</v>
      </c>
      <c r="F5666" t="s">
        <v>92</v>
      </c>
      <c r="G5666" t="s">
        <v>41</v>
      </c>
      <c r="H5666" t="s">
        <v>16</v>
      </c>
      <c r="I5666" s="3">
        <v>50</v>
      </c>
      <c r="J5666" s="2">
        <v>73</v>
      </c>
      <c r="K5666" s="3">
        <f t="shared" si="88"/>
        <v>3650</v>
      </c>
      <c r="L5666" s="3">
        <v>1715.5</v>
      </c>
    </row>
    <row r="5667" spans="1:12" x14ac:dyDescent="0.25">
      <c r="A5667" t="s">
        <v>19</v>
      </c>
      <c r="B5667">
        <v>1185732</v>
      </c>
      <c r="C5667" s="1">
        <v>44445</v>
      </c>
      <c r="D5667" t="s">
        <v>29</v>
      </c>
      <c r="E5667" t="s">
        <v>48</v>
      </c>
      <c r="F5667" t="s">
        <v>49</v>
      </c>
      <c r="G5667" t="s">
        <v>41</v>
      </c>
      <c r="H5667" t="s">
        <v>37</v>
      </c>
      <c r="I5667" s="3">
        <v>39</v>
      </c>
      <c r="J5667" s="2">
        <v>27</v>
      </c>
      <c r="K5667" s="3">
        <f t="shared" si="88"/>
        <v>1053</v>
      </c>
      <c r="L5667" s="3">
        <v>484.38</v>
      </c>
    </row>
    <row r="5668" spans="1:12" x14ac:dyDescent="0.25">
      <c r="A5668" t="s">
        <v>26</v>
      </c>
      <c r="B5668">
        <v>1197831</v>
      </c>
      <c r="C5668" s="1">
        <v>44445</v>
      </c>
      <c r="D5668" t="s">
        <v>52</v>
      </c>
      <c r="E5668" t="s">
        <v>99</v>
      </c>
      <c r="F5668" t="s">
        <v>100</v>
      </c>
      <c r="G5668" t="s">
        <v>41</v>
      </c>
      <c r="H5668" t="s">
        <v>38</v>
      </c>
      <c r="I5668" s="3">
        <v>44</v>
      </c>
      <c r="J5668" s="2">
        <v>206</v>
      </c>
      <c r="K5668" s="3">
        <f t="shared" si="88"/>
        <v>9064</v>
      </c>
      <c r="L5668" s="3">
        <v>3263.0400000000009</v>
      </c>
    </row>
    <row r="5669" spans="1:12" x14ac:dyDescent="0.25">
      <c r="A5669" t="s">
        <v>19</v>
      </c>
      <c r="B5669">
        <v>1185732</v>
      </c>
      <c r="C5669" s="1">
        <v>44446</v>
      </c>
      <c r="D5669" t="s">
        <v>57</v>
      </c>
      <c r="E5669" t="s">
        <v>78</v>
      </c>
      <c r="F5669" t="s">
        <v>79</v>
      </c>
      <c r="G5669" t="s">
        <v>18</v>
      </c>
      <c r="H5669" t="s">
        <v>35</v>
      </c>
      <c r="I5669" s="3">
        <v>25.000000000000007</v>
      </c>
      <c r="J5669" s="2">
        <v>175</v>
      </c>
      <c r="K5669" s="3">
        <f t="shared" si="88"/>
        <v>4375.0000000000009</v>
      </c>
      <c r="L5669" s="3">
        <v>3062.5000000000009</v>
      </c>
    </row>
    <row r="5670" spans="1:12" x14ac:dyDescent="0.25">
      <c r="A5670" t="s">
        <v>19</v>
      </c>
      <c r="B5670">
        <v>1185732</v>
      </c>
      <c r="C5670" s="1">
        <v>44446</v>
      </c>
      <c r="D5670" t="s">
        <v>57</v>
      </c>
      <c r="E5670" t="s">
        <v>78</v>
      </c>
      <c r="F5670" t="s">
        <v>79</v>
      </c>
      <c r="G5670" t="s">
        <v>18</v>
      </c>
      <c r="H5670" t="s">
        <v>37</v>
      </c>
      <c r="I5670" s="3">
        <v>25.000000000000007</v>
      </c>
      <c r="J5670" s="2">
        <v>150</v>
      </c>
      <c r="K5670" s="3">
        <f t="shared" si="88"/>
        <v>3750.0000000000009</v>
      </c>
      <c r="L5670" s="3">
        <v>2625.0000000000009</v>
      </c>
    </row>
    <row r="5671" spans="1:12" x14ac:dyDescent="0.25">
      <c r="A5671" t="s">
        <v>19</v>
      </c>
      <c r="B5671">
        <v>1185732</v>
      </c>
      <c r="C5671" s="1">
        <v>44446</v>
      </c>
      <c r="D5671" t="s">
        <v>57</v>
      </c>
      <c r="E5671" t="s">
        <v>78</v>
      </c>
      <c r="F5671" t="s">
        <v>79</v>
      </c>
      <c r="G5671" t="s">
        <v>18</v>
      </c>
      <c r="H5671" t="s">
        <v>38</v>
      </c>
      <c r="I5671" s="3">
        <v>35</v>
      </c>
      <c r="J5671" s="2">
        <v>475</v>
      </c>
      <c r="K5671" s="3">
        <f t="shared" si="88"/>
        <v>16625</v>
      </c>
      <c r="L5671" s="3">
        <v>11637.5</v>
      </c>
    </row>
    <row r="5672" spans="1:12" x14ac:dyDescent="0.25">
      <c r="A5672" t="s">
        <v>19</v>
      </c>
      <c r="B5672">
        <v>1185732</v>
      </c>
      <c r="C5672" s="1">
        <v>44446</v>
      </c>
      <c r="D5672" t="s">
        <v>57</v>
      </c>
      <c r="E5672" t="s">
        <v>78</v>
      </c>
      <c r="F5672" t="s">
        <v>79</v>
      </c>
      <c r="G5672" t="s">
        <v>18</v>
      </c>
      <c r="H5672" t="s">
        <v>17</v>
      </c>
      <c r="I5672" s="3">
        <v>30.000000000000011</v>
      </c>
      <c r="J5672" s="2">
        <v>275</v>
      </c>
      <c r="K5672" s="3">
        <f t="shared" si="88"/>
        <v>8250.0000000000036</v>
      </c>
      <c r="L5672" s="3">
        <v>5362.5000000000018</v>
      </c>
    </row>
    <row r="5673" spans="1:12" x14ac:dyDescent="0.25">
      <c r="A5673" t="s">
        <v>19</v>
      </c>
      <c r="B5673">
        <v>1185732</v>
      </c>
      <c r="C5673" s="1">
        <v>44446</v>
      </c>
      <c r="D5673" t="s">
        <v>57</v>
      </c>
      <c r="E5673" t="s">
        <v>78</v>
      </c>
      <c r="F5673" t="s">
        <v>79</v>
      </c>
      <c r="G5673" t="s">
        <v>18</v>
      </c>
      <c r="H5673" t="s">
        <v>16</v>
      </c>
      <c r="I5673" s="3">
        <v>40</v>
      </c>
      <c r="J5673" s="2">
        <v>225</v>
      </c>
      <c r="K5673" s="3">
        <f t="shared" si="88"/>
        <v>9000</v>
      </c>
      <c r="L5673" s="3">
        <v>5400</v>
      </c>
    </row>
    <row r="5674" spans="1:12" x14ac:dyDescent="0.25">
      <c r="A5674" t="s">
        <v>26</v>
      </c>
      <c r="B5674">
        <v>1197831</v>
      </c>
      <c r="C5674" s="1">
        <v>44446</v>
      </c>
      <c r="D5674" t="s">
        <v>52</v>
      </c>
      <c r="E5674" t="s">
        <v>53</v>
      </c>
      <c r="F5674" t="s">
        <v>54</v>
      </c>
      <c r="G5674" t="s">
        <v>15</v>
      </c>
      <c r="H5674" t="s">
        <v>37</v>
      </c>
      <c r="I5674" s="3">
        <v>35</v>
      </c>
      <c r="J5674" s="2">
        <v>550</v>
      </c>
      <c r="K5674" s="3">
        <f t="shared" si="88"/>
        <v>19250</v>
      </c>
      <c r="L5674" s="3">
        <v>10587.5</v>
      </c>
    </row>
    <row r="5675" spans="1:12" x14ac:dyDescent="0.25">
      <c r="A5675" t="s">
        <v>26</v>
      </c>
      <c r="B5675">
        <v>1197831</v>
      </c>
      <c r="C5675" s="1">
        <v>44446</v>
      </c>
      <c r="D5675" t="s">
        <v>52</v>
      </c>
      <c r="E5675" t="s">
        <v>99</v>
      </c>
      <c r="F5675" t="s">
        <v>100</v>
      </c>
      <c r="G5675" t="s">
        <v>15</v>
      </c>
      <c r="H5675" t="s">
        <v>17</v>
      </c>
      <c r="I5675" s="3">
        <v>50</v>
      </c>
      <c r="J5675" s="2">
        <v>825</v>
      </c>
      <c r="K5675" s="3">
        <f t="shared" si="88"/>
        <v>41250</v>
      </c>
      <c r="L5675" s="3">
        <v>20625.000000000004</v>
      </c>
    </row>
    <row r="5676" spans="1:12" x14ac:dyDescent="0.25">
      <c r="A5676" t="s">
        <v>19</v>
      </c>
      <c r="B5676">
        <v>1185732</v>
      </c>
      <c r="C5676" s="1">
        <v>44446</v>
      </c>
      <c r="D5676" t="s">
        <v>57</v>
      </c>
      <c r="E5676" t="s">
        <v>78</v>
      </c>
      <c r="F5676" t="s">
        <v>79</v>
      </c>
      <c r="G5676" t="s">
        <v>18</v>
      </c>
      <c r="H5676" t="s">
        <v>22</v>
      </c>
      <c r="I5676" s="3">
        <v>35</v>
      </c>
      <c r="J5676" s="2">
        <v>150</v>
      </c>
      <c r="K5676" s="3">
        <f t="shared" si="88"/>
        <v>5250</v>
      </c>
      <c r="L5676" s="3">
        <v>2625</v>
      </c>
    </row>
    <row r="5677" spans="1:12" x14ac:dyDescent="0.25">
      <c r="A5677" t="s">
        <v>19</v>
      </c>
      <c r="B5677">
        <v>1185732</v>
      </c>
      <c r="C5677" s="1">
        <v>44446</v>
      </c>
      <c r="D5677" t="s">
        <v>57</v>
      </c>
      <c r="E5677" t="s">
        <v>78</v>
      </c>
      <c r="F5677" t="s">
        <v>79</v>
      </c>
      <c r="G5677" t="s">
        <v>41</v>
      </c>
      <c r="H5677" t="s">
        <v>38</v>
      </c>
      <c r="I5677" s="3">
        <v>34</v>
      </c>
      <c r="J5677" s="2">
        <v>133</v>
      </c>
      <c r="K5677" s="3">
        <f t="shared" si="88"/>
        <v>4522</v>
      </c>
      <c r="L5677" s="3">
        <v>2713.2</v>
      </c>
    </row>
    <row r="5678" spans="1:12" x14ac:dyDescent="0.25">
      <c r="A5678" t="s">
        <v>19</v>
      </c>
      <c r="B5678">
        <v>1185732</v>
      </c>
      <c r="C5678" s="1">
        <v>44446</v>
      </c>
      <c r="D5678" t="s">
        <v>57</v>
      </c>
      <c r="E5678" t="s">
        <v>78</v>
      </c>
      <c r="F5678" t="s">
        <v>79</v>
      </c>
      <c r="G5678" t="s">
        <v>41</v>
      </c>
      <c r="H5678" t="s">
        <v>35</v>
      </c>
      <c r="I5678" s="3">
        <v>24</v>
      </c>
      <c r="J5678" s="2">
        <v>49</v>
      </c>
      <c r="K5678" s="3">
        <f t="shared" si="88"/>
        <v>1176</v>
      </c>
      <c r="L5678" s="3">
        <v>705.59999999999991</v>
      </c>
    </row>
    <row r="5679" spans="1:12" x14ac:dyDescent="0.25">
      <c r="A5679" t="s">
        <v>19</v>
      </c>
      <c r="B5679">
        <v>1185732</v>
      </c>
      <c r="C5679" s="1">
        <v>44446</v>
      </c>
      <c r="D5679" t="s">
        <v>57</v>
      </c>
      <c r="E5679" t="s">
        <v>78</v>
      </c>
      <c r="F5679" t="s">
        <v>79</v>
      </c>
      <c r="G5679" t="s">
        <v>41</v>
      </c>
      <c r="H5679" t="s">
        <v>37</v>
      </c>
      <c r="I5679" s="3">
        <v>23</v>
      </c>
      <c r="J5679" s="2">
        <v>38</v>
      </c>
      <c r="K5679" s="3">
        <f t="shared" si="88"/>
        <v>874</v>
      </c>
      <c r="L5679" s="3">
        <v>480.70000000000005</v>
      </c>
    </row>
    <row r="5680" spans="1:12" x14ac:dyDescent="0.25">
      <c r="A5680" t="s">
        <v>19</v>
      </c>
      <c r="B5680">
        <v>1185732</v>
      </c>
      <c r="C5680" s="1">
        <v>44446</v>
      </c>
      <c r="D5680" t="s">
        <v>57</v>
      </c>
      <c r="E5680" t="s">
        <v>78</v>
      </c>
      <c r="F5680" t="s">
        <v>79</v>
      </c>
      <c r="G5680" t="s">
        <v>41</v>
      </c>
      <c r="H5680" t="s">
        <v>17</v>
      </c>
      <c r="I5680" s="3">
        <v>27</v>
      </c>
      <c r="J5680" s="2">
        <v>77</v>
      </c>
      <c r="K5680" s="3">
        <f t="shared" si="88"/>
        <v>2079</v>
      </c>
      <c r="L5680" s="3">
        <v>1101.8699999999999</v>
      </c>
    </row>
    <row r="5681" spans="1:12" x14ac:dyDescent="0.25">
      <c r="A5681" t="s">
        <v>26</v>
      </c>
      <c r="B5681">
        <v>1197831</v>
      </c>
      <c r="C5681" s="1">
        <v>44446</v>
      </c>
      <c r="D5681" t="s">
        <v>52</v>
      </c>
      <c r="E5681" t="s">
        <v>53</v>
      </c>
      <c r="F5681" t="s">
        <v>54</v>
      </c>
      <c r="G5681" t="s">
        <v>15</v>
      </c>
      <c r="H5681" t="s">
        <v>37</v>
      </c>
      <c r="I5681" s="3">
        <v>27</v>
      </c>
      <c r="J5681" s="2">
        <v>182</v>
      </c>
      <c r="K5681" s="3">
        <f t="shared" si="88"/>
        <v>4914</v>
      </c>
      <c r="L5681" s="3">
        <v>2506.14</v>
      </c>
    </row>
    <row r="5682" spans="1:12" x14ac:dyDescent="0.25">
      <c r="A5682" t="s">
        <v>19</v>
      </c>
      <c r="B5682">
        <v>1185732</v>
      </c>
      <c r="C5682" s="1">
        <v>44446</v>
      </c>
      <c r="D5682" t="s">
        <v>57</v>
      </c>
      <c r="E5682" t="s">
        <v>78</v>
      </c>
      <c r="F5682" t="s">
        <v>79</v>
      </c>
      <c r="G5682" t="s">
        <v>41</v>
      </c>
      <c r="H5682" t="s">
        <v>16</v>
      </c>
      <c r="I5682" s="3">
        <v>36</v>
      </c>
      <c r="J5682" s="2">
        <v>61</v>
      </c>
      <c r="K5682" s="3">
        <f t="shared" si="88"/>
        <v>2196</v>
      </c>
      <c r="L5682" s="3">
        <v>1098</v>
      </c>
    </row>
    <row r="5683" spans="1:12" x14ac:dyDescent="0.25">
      <c r="A5683" t="s">
        <v>26</v>
      </c>
      <c r="B5683">
        <v>1197831</v>
      </c>
      <c r="C5683" s="1">
        <v>44446</v>
      </c>
      <c r="D5683" t="s">
        <v>52</v>
      </c>
      <c r="E5683" t="s">
        <v>99</v>
      </c>
      <c r="F5683" t="s">
        <v>100</v>
      </c>
      <c r="G5683" t="s">
        <v>15</v>
      </c>
      <c r="H5683" t="s">
        <v>17</v>
      </c>
      <c r="I5683" s="3">
        <v>37</v>
      </c>
      <c r="J5683" s="2">
        <v>264</v>
      </c>
      <c r="K5683" s="3">
        <f t="shared" si="88"/>
        <v>9768</v>
      </c>
      <c r="L5683" s="3">
        <v>4395.6000000000004</v>
      </c>
    </row>
    <row r="5684" spans="1:12" x14ac:dyDescent="0.25">
      <c r="A5684" t="s">
        <v>26</v>
      </c>
      <c r="B5684">
        <v>1197831</v>
      </c>
      <c r="C5684" s="1">
        <v>44446</v>
      </c>
      <c r="D5684" t="s">
        <v>52</v>
      </c>
      <c r="E5684" t="s">
        <v>53</v>
      </c>
      <c r="F5684" t="s">
        <v>54</v>
      </c>
      <c r="G5684" t="s">
        <v>41</v>
      </c>
      <c r="H5684" t="s">
        <v>37</v>
      </c>
      <c r="I5684" s="3">
        <v>34</v>
      </c>
      <c r="J5684" s="2">
        <v>154</v>
      </c>
      <c r="K5684" s="3">
        <f t="shared" si="88"/>
        <v>5236</v>
      </c>
      <c r="L5684" s="3">
        <v>2094.4</v>
      </c>
    </row>
    <row r="5685" spans="1:12" x14ac:dyDescent="0.25">
      <c r="A5685" t="s">
        <v>19</v>
      </c>
      <c r="B5685">
        <v>1185732</v>
      </c>
      <c r="C5685" s="1">
        <v>44446</v>
      </c>
      <c r="D5685" t="s">
        <v>57</v>
      </c>
      <c r="E5685" t="s">
        <v>78</v>
      </c>
      <c r="F5685" t="s">
        <v>79</v>
      </c>
      <c r="G5685" t="s">
        <v>41</v>
      </c>
      <c r="H5685" t="s">
        <v>22</v>
      </c>
      <c r="I5685" s="3">
        <v>34</v>
      </c>
      <c r="J5685" s="2">
        <v>45</v>
      </c>
      <c r="K5685" s="3">
        <f t="shared" si="88"/>
        <v>1530</v>
      </c>
      <c r="L5685" s="3">
        <v>596.70000000000005</v>
      </c>
    </row>
    <row r="5686" spans="1:12" x14ac:dyDescent="0.25">
      <c r="A5686" t="s">
        <v>26</v>
      </c>
      <c r="B5686">
        <v>1197831</v>
      </c>
      <c r="C5686" s="1">
        <v>44446</v>
      </c>
      <c r="D5686" t="s">
        <v>52</v>
      </c>
      <c r="E5686" t="s">
        <v>99</v>
      </c>
      <c r="F5686" t="s">
        <v>100</v>
      </c>
      <c r="G5686" t="s">
        <v>41</v>
      </c>
      <c r="H5686" t="s">
        <v>17</v>
      </c>
      <c r="I5686" s="3">
        <v>49</v>
      </c>
      <c r="J5686" s="2">
        <v>215</v>
      </c>
      <c r="K5686" s="3">
        <f t="shared" si="88"/>
        <v>10535</v>
      </c>
      <c r="L5686" s="3">
        <v>3792.6000000000013</v>
      </c>
    </row>
    <row r="5687" spans="1:12" x14ac:dyDescent="0.25">
      <c r="A5687" t="s">
        <v>11</v>
      </c>
      <c r="B5687">
        <v>1185732</v>
      </c>
      <c r="C5687" s="1">
        <v>44447</v>
      </c>
      <c r="D5687" t="s">
        <v>29</v>
      </c>
      <c r="E5687" t="s">
        <v>60</v>
      </c>
      <c r="F5687" t="s">
        <v>61</v>
      </c>
      <c r="G5687" t="s">
        <v>18</v>
      </c>
      <c r="H5687" t="s">
        <v>35</v>
      </c>
      <c r="I5687" s="3">
        <v>45</v>
      </c>
      <c r="J5687" s="2">
        <v>550</v>
      </c>
      <c r="K5687" s="3">
        <f t="shared" si="88"/>
        <v>24750</v>
      </c>
      <c r="L5687" s="3">
        <v>18562.5</v>
      </c>
    </row>
    <row r="5688" spans="1:12" x14ac:dyDescent="0.25">
      <c r="A5688" t="s">
        <v>26</v>
      </c>
      <c r="B5688">
        <v>1197831</v>
      </c>
      <c r="C5688" s="1">
        <v>44447</v>
      </c>
      <c r="D5688" t="s">
        <v>52</v>
      </c>
      <c r="E5688" t="s">
        <v>53</v>
      </c>
      <c r="F5688" t="s">
        <v>54</v>
      </c>
      <c r="G5688" t="s">
        <v>15</v>
      </c>
      <c r="H5688" t="s">
        <v>22</v>
      </c>
      <c r="I5688" s="3">
        <v>50</v>
      </c>
      <c r="J5688" s="2">
        <v>450</v>
      </c>
      <c r="K5688" s="3">
        <f t="shared" si="88"/>
        <v>22500</v>
      </c>
      <c r="L5688" s="3">
        <v>15750</v>
      </c>
    </row>
    <row r="5689" spans="1:12" x14ac:dyDescent="0.25">
      <c r="A5689" t="s">
        <v>11</v>
      </c>
      <c r="B5689">
        <v>1185732</v>
      </c>
      <c r="C5689" s="1">
        <v>44447</v>
      </c>
      <c r="D5689" t="s">
        <v>29</v>
      </c>
      <c r="E5689" t="s">
        <v>60</v>
      </c>
      <c r="F5689" t="s">
        <v>61</v>
      </c>
      <c r="G5689" t="s">
        <v>18</v>
      </c>
      <c r="H5689" t="s">
        <v>37</v>
      </c>
      <c r="I5689" s="3">
        <v>45</v>
      </c>
      <c r="J5689" s="2">
        <v>525</v>
      </c>
      <c r="K5689" s="3">
        <f t="shared" si="88"/>
        <v>23625</v>
      </c>
      <c r="L5689" s="3">
        <v>16537.5</v>
      </c>
    </row>
    <row r="5690" spans="1:12" x14ac:dyDescent="0.25">
      <c r="A5690" t="s">
        <v>11</v>
      </c>
      <c r="B5690">
        <v>1185732</v>
      </c>
      <c r="C5690" s="1">
        <v>44447</v>
      </c>
      <c r="D5690" t="s">
        <v>29</v>
      </c>
      <c r="E5690" t="s">
        <v>60</v>
      </c>
      <c r="F5690" t="s">
        <v>61</v>
      </c>
      <c r="G5690" t="s">
        <v>18</v>
      </c>
      <c r="H5690" t="s">
        <v>17</v>
      </c>
      <c r="I5690" s="3">
        <v>50.000000000000014</v>
      </c>
      <c r="J5690" s="2">
        <v>650</v>
      </c>
      <c r="K5690" s="3">
        <f t="shared" si="88"/>
        <v>32500.000000000011</v>
      </c>
      <c r="L5690" s="3">
        <v>21125.000000000007</v>
      </c>
    </row>
    <row r="5691" spans="1:12" x14ac:dyDescent="0.25">
      <c r="A5691" t="s">
        <v>11</v>
      </c>
      <c r="B5691">
        <v>1185732</v>
      </c>
      <c r="C5691" s="1">
        <v>44447</v>
      </c>
      <c r="D5691" t="s">
        <v>29</v>
      </c>
      <c r="E5691" t="s">
        <v>60</v>
      </c>
      <c r="F5691" t="s">
        <v>61</v>
      </c>
      <c r="G5691" t="s">
        <v>18</v>
      </c>
      <c r="H5691" t="s">
        <v>22</v>
      </c>
      <c r="I5691" s="3">
        <v>55.000000000000007</v>
      </c>
      <c r="J5691" s="2">
        <v>525</v>
      </c>
      <c r="K5691" s="3">
        <f t="shared" si="88"/>
        <v>28875.000000000004</v>
      </c>
      <c r="L5691" s="3">
        <v>18768.750000000007</v>
      </c>
    </row>
    <row r="5692" spans="1:12" x14ac:dyDescent="0.25">
      <c r="A5692" t="s">
        <v>11</v>
      </c>
      <c r="B5692">
        <v>1185732</v>
      </c>
      <c r="C5692" s="1">
        <v>44447</v>
      </c>
      <c r="D5692" t="s">
        <v>29</v>
      </c>
      <c r="E5692" t="s">
        <v>60</v>
      </c>
      <c r="F5692" t="s">
        <v>61</v>
      </c>
      <c r="G5692" t="s">
        <v>18</v>
      </c>
      <c r="H5692" t="s">
        <v>38</v>
      </c>
      <c r="I5692" s="3">
        <v>55.000000000000007</v>
      </c>
      <c r="J5692" s="2">
        <v>850</v>
      </c>
      <c r="K5692" s="3">
        <f t="shared" si="88"/>
        <v>46750.000000000007</v>
      </c>
      <c r="L5692" s="3">
        <v>25712.500000000004</v>
      </c>
    </row>
    <row r="5693" spans="1:12" x14ac:dyDescent="0.25">
      <c r="A5693" t="s">
        <v>26</v>
      </c>
      <c r="B5693">
        <v>1197831</v>
      </c>
      <c r="C5693" s="1">
        <v>44447</v>
      </c>
      <c r="D5693" t="s">
        <v>52</v>
      </c>
      <c r="E5693" t="s">
        <v>99</v>
      </c>
      <c r="F5693" t="s">
        <v>100</v>
      </c>
      <c r="G5693" t="s">
        <v>15</v>
      </c>
      <c r="H5693" t="s">
        <v>35</v>
      </c>
      <c r="I5693" s="3">
        <v>45</v>
      </c>
      <c r="J5693" s="2">
        <v>975</v>
      </c>
      <c r="K5693" s="3">
        <f t="shared" si="88"/>
        <v>43875</v>
      </c>
      <c r="L5693" s="3">
        <v>21937.500000000004</v>
      </c>
    </row>
    <row r="5694" spans="1:12" x14ac:dyDescent="0.25">
      <c r="A5694" t="s">
        <v>11</v>
      </c>
      <c r="B5694">
        <v>1185732</v>
      </c>
      <c r="C5694" s="1">
        <v>44447</v>
      </c>
      <c r="D5694" t="s">
        <v>29</v>
      </c>
      <c r="E5694" t="s">
        <v>60</v>
      </c>
      <c r="F5694" t="s">
        <v>61</v>
      </c>
      <c r="G5694" t="s">
        <v>18</v>
      </c>
      <c r="H5694" t="s">
        <v>16</v>
      </c>
      <c r="I5694" s="3">
        <v>60.000000000000007</v>
      </c>
      <c r="J5694" s="2">
        <v>625</v>
      </c>
      <c r="K5694" s="3">
        <f t="shared" si="88"/>
        <v>37500.000000000007</v>
      </c>
      <c r="L5694" s="3">
        <v>18750.000000000004</v>
      </c>
    </row>
    <row r="5695" spans="1:12" x14ac:dyDescent="0.25">
      <c r="A5695" t="s">
        <v>11</v>
      </c>
      <c r="B5695">
        <v>1185732</v>
      </c>
      <c r="C5695" s="1">
        <v>44447</v>
      </c>
      <c r="D5695" t="s">
        <v>29</v>
      </c>
      <c r="E5695" t="s">
        <v>60</v>
      </c>
      <c r="F5695" t="s">
        <v>61</v>
      </c>
      <c r="G5695" t="s">
        <v>41</v>
      </c>
      <c r="H5695" t="s">
        <v>35</v>
      </c>
      <c r="I5695" s="3">
        <v>41</v>
      </c>
      <c r="J5695" s="2">
        <v>138</v>
      </c>
      <c r="K5695" s="3">
        <f t="shared" si="88"/>
        <v>5658</v>
      </c>
      <c r="L5695" s="3">
        <v>3677.7</v>
      </c>
    </row>
    <row r="5696" spans="1:12" x14ac:dyDescent="0.25">
      <c r="A5696" t="s">
        <v>26</v>
      </c>
      <c r="B5696">
        <v>1197831</v>
      </c>
      <c r="C5696" s="1">
        <v>44447</v>
      </c>
      <c r="D5696" t="s">
        <v>52</v>
      </c>
      <c r="E5696" t="s">
        <v>53</v>
      </c>
      <c r="F5696" t="s">
        <v>54</v>
      </c>
      <c r="G5696" t="s">
        <v>15</v>
      </c>
      <c r="H5696" t="s">
        <v>22</v>
      </c>
      <c r="I5696" s="3">
        <v>38</v>
      </c>
      <c r="J5696" s="2">
        <v>153</v>
      </c>
      <c r="K5696" s="3">
        <f t="shared" si="88"/>
        <v>5814</v>
      </c>
      <c r="L5696" s="3">
        <v>3720.96</v>
      </c>
    </row>
    <row r="5697" spans="1:12" x14ac:dyDescent="0.25">
      <c r="A5697" t="s">
        <v>11</v>
      </c>
      <c r="B5697">
        <v>1185732</v>
      </c>
      <c r="C5697" s="1">
        <v>44447</v>
      </c>
      <c r="D5697" t="s">
        <v>29</v>
      </c>
      <c r="E5697" t="s">
        <v>60</v>
      </c>
      <c r="F5697" t="s">
        <v>61</v>
      </c>
      <c r="G5697" t="s">
        <v>41</v>
      </c>
      <c r="H5697" t="s">
        <v>37</v>
      </c>
      <c r="I5697" s="3">
        <v>44</v>
      </c>
      <c r="J5697" s="2">
        <v>137</v>
      </c>
      <c r="K5697" s="3">
        <f t="shared" si="88"/>
        <v>6028</v>
      </c>
      <c r="L5697" s="3">
        <v>3556.52</v>
      </c>
    </row>
    <row r="5698" spans="1:12" x14ac:dyDescent="0.25">
      <c r="A5698" t="s">
        <v>11</v>
      </c>
      <c r="B5698">
        <v>1185732</v>
      </c>
      <c r="C5698" s="1">
        <v>44447</v>
      </c>
      <c r="D5698" t="s">
        <v>29</v>
      </c>
      <c r="E5698" t="s">
        <v>60</v>
      </c>
      <c r="F5698" t="s">
        <v>61</v>
      </c>
      <c r="G5698" t="s">
        <v>41</v>
      </c>
      <c r="H5698" t="s">
        <v>17</v>
      </c>
      <c r="I5698" s="3">
        <v>48</v>
      </c>
      <c r="J5698" s="2">
        <v>163</v>
      </c>
      <c r="K5698" s="3">
        <f t="shared" si="88"/>
        <v>7824</v>
      </c>
      <c r="L5698" s="3">
        <v>4303.2000000000007</v>
      </c>
    </row>
    <row r="5699" spans="1:12" x14ac:dyDescent="0.25">
      <c r="A5699" t="s">
        <v>26</v>
      </c>
      <c r="B5699">
        <v>1197831</v>
      </c>
      <c r="C5699" s="1">
        <v>44447</v>
      </c>
      <c r="D5699" t="s">
        <v>52</v>
      </c>
      <c r="E5699" t="s">
        <v>53</v>
      </c>
      <c r="F5699" t="s">
        <v>54</v>
      </c>
      <c r="G5699" t="s">
        <v>41</v>
      </c>
      <c r="H5699" t="s">
        <v>22</v>
      </c>
      <c r="I5699" s="3">
        <v>49</v>
      </c>
      <c r="J5699" s="2">
        <v>131</v>
      </c>
      <c r="K5699" s="3">
        <f t="shared" ref="K5699:K5762" si="89">I5699*J5699</f>
        <v>6419</v>
      </c>
      <c r="L5699" s="3">
        <v>3530.4500000000003</v>
      </c>
    </row>
    <row r="5700" spans="1:12" x14ac:dyDescent="0.25">
      <c r="A5700" t="s">
        <v>11</v>
      </c>
      <c r="B5700">
        <v>1185732</v>
      </c>
      <c r="C5700" s="1">
        <v>44447</v>
      </c>
      <c r="D5700" t="s">
        <v>29</v>
      </c>
      <c r="E5700" t="s">
        <v>60</v>
      </c>
      <c r="F5700" t="s">
        <v>61</v>
      </c>
      <c r="G5700" t="s">
        <v>41</v>
      </c>
      <c r="H5700" t="s">
        <v>22</v>
      </c>
      <c r="I5700" s="3">
        <v>51</v>
      </c>
      <c r="J5700" s="2">
        <v>131</v>
      </c>
      <c r="K5700" s="3">
        <f t="shared" si="89"/>
        <v>6681</v>
      </c>
      <c r="L5700" s="3">
        <v>3474.1200000000003</v>
      </c>
    </row>
    <row r="5701" spans="1:12" x14ac:dyDescent="0.25">
      <c r="A5701" t="s">
        <v>26</v>
      </c>
      <c r="B5701">
        <v>1197831</v>
      </c>
      <c r="C5701" s="1">
        <v>44447</v>
      </c>
      <c r="D5701" t="s">
        <v>52</v>
      </c>
      <c r="E5701" t="s">
        <v>99</v>
      </c>
      <c r="F5701" t="s">
        <v>100</v>
      </c>
      <c r="G5701" t="s">
        <v>15</v>
      </c>
      <c r="H5701" t="s">
        <v>35</v>
      </c>
      <c r="I5701" s="3">
        <v>31</v>
      </c>
      <c r="J5701" s="2">
        <v>322</v>
      </c>
      <c r="K5701" s="3">
        <f t="shared" si="89"/>
        <v>9982</v>
      </c>
      <c r="L5701" s="3">
        <v>4392.0800000000008</v>
      </c>
    </row>
    <row r="5702" spans="1:12" x14ac:dyDescent="0.25">
      <c r="A5702" t="s">
        <v>11</v>
      </c>
      <c r="B5702">
        <v>1185732</v>
      </c>
      <c r="C5702" s="1">
        <v>44447</v>
      </c>
      <c r="D5702" t="s">
        <v>29</v>
      </c>
      <c r="E5702" t="s">
        <v>60</v>
      </c>
      <c r="F5702" t="s">
        <v>61</v>
      </c>
      <c r="G5702" t="s">
        <v>41</v>
      </c>
      <c r="H5702" t="s">
        <v>38</v>
      </c>
      <c r="I5702" s="3">
        <v>50</v>
      </c>
      <c r="J5702" s="2">
        <v>238</v>
      </c>
      <c r="K5702" s="3">
        <f t="shared" si="89"/>
        <v>11900</v>
      </c>
      <c r="L5702" s="3">
        <v>4878.9999999999991</v>
      </c>
    </row>
    <row r="5703" spans="1:12" x14ac:dyDescent="0.25">
      <c r="A5703" t="s">
        <v>11</v>
      </c>
      <c r="B5703">
        <v>1185732</v>
      </c>
      <c r="C5703" s="1">
        <v>44447</v>
      </c>
      <c r="D5703" t="s">
        <v>29</v>
      </c>
      <c r="E5703" t="s">
        <v>60</v>
      </c>
      <c r="F5703" t="s">
        <v>61</v>
      </c>
      <c r="G5703" t="s">
        <v>41</v>
      </c>
      <c r="H5703" t="s">
        <v>16</v>
      </c>
      <c r="I5703" s="3">
        <v>59</v>
      </c>
      <c r="J5703" s="2">
        <v>156</v>
      </c>
      <c r="K5703" s="3">
        <f t="shared" si="89"/>
        <v>9204</v>
      </c>
      <c r="L5703" s="3">
        <v>3681.6000000000004</v>
      </c>
    </row>
    <row r="5704" spans="1:12" x14ac:dyDescent="0.25">
      <c r="A5704" t="s">
        <v>26</v>
      </c>
      <c r="B5704">
        <v>1197831</v>
      </c>
      <c r="C5704" s="1">
        <v>44447</v>
      </c>
      <c r="D5704" t="s">
        <v>52</v>
      </c>
      <c r="E5704" t="s">
        <v>99</v>
      </c>
      <c r="F5704" t="s">
        <v>100</v>
      </c>
      <c r="G5704" t="s">
        <v>41</v>
      </c>
      <c r="H5704" t="s">
        <v>35</v>
      </c>
      <c r="I5704" s="3">
        <v>41</v>
      </c>
      <c r="J5704" s="2">
        <v>254</v>
      </c>
      <c r="K5704" s="3">
        <f t="shared" si="89"/>
        <v>10414</v>
      </c>
      <c r="L5704" s="3">
        <v>3853.1800000000012</v>
      </c>
    </row>
    <row r="5705" spans="1:12" x14ac:dyDescent="0.25">
      <c r="A5705" t="s">
        <v>36</v>
      </c>
      <c r="B5705">
        <v>1185732</v>
      </c>
      <c r="C5705" s="1">
        <v>44448</v>
      </c>
      <c r="D5705" t="s">
        <v>57</v>
      </c>
      <c r="E5705" t="s">
        <v>110</v>
      </c>
      <c r="F5705" t="s">
        <v>111</v>
      </c>
      <c r="G5705" t="s">
        <v>41</v>
      </c>
      <c r="H5705" t="s">
        <v>17</v>
      </c>
      <c r="I5705" s="3">
        <v>50.000000000000014</v>
      </c>
      <c r="J5705" s="2">
        <v>575</v>
      </c>
      <c r="K5705" s="3">
        <f t="shared" si="89"/>
        <v>28750.000000000007</v>
      </c>
      <c r="L5705" s="3">
        <v>18687.500000000007</v>
      </c>
    </row>
    <row r="5706" spans="1:12" x14ac:dyDescent="0.25">
      <c r="A5706" t="s">
        <v>36</v>
      </c>
      <c r="B5706">
        <v>1185732</v>
      </c>
      <c r="C5706" s="1">
        <v>44448</v>
      </c>
      <c r="D5706" t="s">
        <v>57</v>
      </c>
      <c r="E5706" t="s">
        <v>110</v>
      </c>
      <c r="F5706" t="s">
        <v>111</v>
      </c>
      <c r="G5706" t="s">
        <v>41</v>
      </c>
      <c r="H5706" t="s">
        <v>22</v>
      </c>
      <c r="I5706" s="3">
        <v>35</v>
      </c>
      <c r="J5706" s="2">
        <v>450</v>
      </c>
      <c r="K5706" s="3">
        <f t="shared" si="89"/>
        <v>15750</v>
      </c>
      <c r="L5706" s="3">
        <v>10237.5</v>
      </c>
    </row>
    <row r="5707" spans="1:12" x14ac:dyDescent="0.25">
      <c r="A5707" t="s">
        <v>36</v>
      </c>
      <c r="B5707">
        <v>1185732</v>
      </c>
      <c r="C5707" s="1">
        <v>44448</v>
      </c>
      <c r="D5707" t="s">
        <v>57</v>
      </c>
      <c r="E5707" t="s">
        <v>110</v>
      </c>
      <c r="F5707" t="s">
        <v>111</v>
      </c>
      <c r="G5707" t="s">
        <v>41</v>
      </c>
      <c r="H5707" t="s">
        <v>38</v>
      </c>
      <c r="I5707" s="3">
        <v>55.000000000000007</v>
      </c>
      <c r="J5707" s="2">
        <v>775</v>
      </c>
      <c r="K5707" s="3">
        <f t="shared" si="89"/>
        <v>42625.000000000007</v>
      </c>
      <c r="L5707" s="3">
        <v>25575.000000000004</v>
      </c>
    </row>
    <row r="5708" spans="1:12" x14ac:dyDescent="0.25">
      <c r="A5708" t="s">
        <v>36</v>
      </c>
      <c r="B5708">
        <v>1185732</v>
      </c>
      <c r="C5708" s="1">
        <v>44448</v>
      </c>
      <c r="D5708" t="s">
        <v>57</v>
      </c>
      <c r="E5708" t="s">
        <v>110</v>
      </c>
      <c r="F5708" t="s">
        <v>111</v>
      </c>
      <c r="G5708" t="s">
        <v>41</v>
      </c>
      <c r="H5708" t="s">
        <v>35</v>
      </c>
      <c r="I5708" s="3">
        <v>25.000000000000007</v>
      </c>
      <c r="J5708" s="2">
        <v>475</v>
      </c>
      <c r="K5708" s="3">
        <f t="shared" si="89"/>
        <v>11875.000000000004</v>
      </c>
      <c r="L5708" s="3">
        <v>7125.0000000000018</v>
      </c>
    </row>
    <row r="5709" spans="1:12" x14ac:dyDescent="0.25">
      <c r="A5709" t="s">
        <v>36</v>
      </c>
      <c r="B5709">
        <v>1185732</v>
      </c>
      <c r="C5709" s="1">
        <v>44448</v>
      </c>
      <c r="D5709" t="s">
        <v>57</v>
      </c>
      <c r="E5709" t="s">
        <v>110</v>
      </c>
      <c r="F5709" t="s">
        <v>111</v>
      </c>
      <c r="G5709" t="s">
        <v>41</v>
      </c>
      <c r="H5709" t="s">
        <v>37</v>
      </c>
      <c r="I5709" s="3">
        <v>25.000000000000007</v>
      </c>
      <c r="J5709" s="2">
        <v>450</v>
      </c>
      <c r="K5709" s="3">
        <f t="shared" si="89"/>
        <v>11250.000000000004</v>
      </c>
      <c r="L5709" s="3">
        <v>6750.0000000000018</v>
      </c>
    </row>
    <row r="5710" spans="1:12" x14ac:dyDescent="0.25">
      <c r="A5710" t="s">
        <v>26</v>
      </c>
      <c r="B5710">
        <v>1197831</v>
      </c>
      <c r="C5710" s="1">
        <v>44448</v>
      </c>
      <c r="D5710" t="s">
        <v>52</v>
      </c>
      <c r="E5710" t="s">
        <v>53</v>
      </c>
      <c r="F5710" t="s">
        <v>54</v>
      </c>
      <c r="G5710" t="s">
        <v>15</v>
      </c>
      <c r="H5710" t="s">
        <v>16</v>
      </c>
      <c r="I5710" s="3">
        <v>45</v>
      </c>
      <c r="J5710" s="2">
        <v>800</v>
      </c>
      <c r="K5710" s="3">
        <f t="shared" si="89"/>
        <v>36000</v>
      </c>
      <c r="L5710" s="3">
        <v>18000</v>
      </c>
    </row>
    <row r="5711" spans="1:12" x14ac:dyDescent="0.25">
      <c r="A5711" t="s">
        <v>36</v>
      </c>
      <c r="B5711">
        <v>1185732</v>
      </c>
      <c r="C5711" s="1">
        <v>44448</v>
      </c>
      <c r="D5711" t="s">
        <v>57</v>
      </c>
      <c r="E5711" t="s">
        <v>110</v>
      </c>
      <c r="F5711" t="s">
        <v>111</v>
      </c>
      <c r="G5711" t="s">
        <v>41</v>
      </c>
      <c r="H5711" t="s">
        <v>16</v>
      </c>
      <c r="I5711" s="3">
        <v>40.000000000000007</v>
      </c>
      <c r="J5711" s="2">
        <v>550</v>
      </c>
      <c r="K5711" s="3">
        <f t="shared" si="89"/>
        <v>22000.000000000004</v>
      </c>
      <c r="L5711" s="3">
        <v>11000.000000000002</v>
      </c>
    </row>
    <row r="5712" spans="1:12" x14ac:dyDescent="0.25">
      <c r="A5712" t="s">
        <v>26</v>
      </c>
      <c r="B5712">
        <v>1197831</v>
      </c>
      <c r="C5712" s="1">
        <v>44448</v>
      </c>
      <c r="D5712" t="s">
        <v>52</v>
      </c>
      <c r="E5712" t="s">
        <v>99</v>
      </c>
      <c r="F5712" t="s">
        <v>100</v>
      </c>
      <c r="G5712" t="s">
        <v>15</v>
      </c>
      <c r="H5712" t="s">
        <v>37</v>
      </c>
      <c r="I5712" s="3">
        <v>45</v>
      </c>
      <c r="J5712" s="2">
        <v>575</v>
      </c>
      <c r="K5712" s="3">
        <f t="shared" si="89"/>
        <v>25875</v>
      </c>
      <c r="L5712" s="3">
        <v>10349.999999999996</v>
      </c>
    </row>
    <row r="5713" spans="1:12" x14ac:dyDescent="0.25">
      <c r="A5713" t="s">
        <v>36</v>
      </c>
      <c r="B5713">
        <v>1185732</v>
      </c>
      <c r="C5713" s="1">
        <v>44448</v>
      </c>
      <c r="D5713" t="s">
        <v>57</v>
      </c>
      <c r="E5713" t="s">
        <v>110</v>
      </c>
      <c r="F5713" t="s">
        <v>111</v>
      </c>
      <c r="G5713" t="s">
        <v>41</v>
      </c>
      <c r="H5713" t="s">
        <v>17</v>
      </c>
      <c r="I5713" s="3">
        <v>47</v>
      </c>
      <c r="J5713" s="2">
        <v>173</v>
      </c>
      <c r="K5713" s="3">
        <f t="shared" si="89"/>
        <v>8131</v>
      </c>
      <c r="L5713" s="3">
        <v>4309.43</v>
      </c>
    </row>
    <row r="5714" spans="1:12" x14ac:dyDescent="0.25">
      <c r="A5714" t="s">
        <v>36</v>
      </c>
      <c r="B5714">
        <v>1185732</v>
      </c>
      <c r="C5714" s="1">
        <v>44448</v>
      </c>
      <c r="D5714" t="s">
        <v>57</v>
      </c>
      <c r="E5714" t="s">
        <v>110</v>
      </c>
      <c r="F5714" t="s">
        <v>111</v>
      </c>
      <c r="G5714" t="s">
        <v>41</v>
      </c>
      <c r="H5714" t="s">
        <v>22</v>
      </c>
      <c r="I5714" s="3">
        <v>32</v>
      </c>
      <c r="J5714" s="2">
        <v>122</v>
      </c>
      <c r="K5714" s="3">
        <f t="shared" si="89"/>
        <v>3904</v>
      </c>
      <c r="L5714" s="3">
        <v>2030.0800000000002</v>
      </c>
    </row>
    <row r="5715" spans="1:12" x14ac:dyDescent="0.25">
      <c r="A5715" t="s">
        <v>36</v>
      </c>
      <c r="B5715">
        <v>1185732</v>
      </c>
      <c r="C5715" s="1">
        <v>44448</v>
      </c>
      <c r="D5715" t="s">
        <v>57</v>
      </c>
      <c r="E5715" t="s">
        <v>110</v>
      </c>
      <c r="F5715" t="s">
        <v>111</v>
      </c>
      <c r="G5715" t="s">
        <v>41</v>
      </c>
      <c r="H5715" t="s">
        <v>37</v>
      </c>
      <c r="I5715" s="3">
        <v>24</v>
      </c>
      <c r="J5715" s="2">
        <v>113</v>
      </c>
      <c r="K5715" s="3">
        <f t="shared" si="89"/>
        <v>2712</v>
      </c>
      <c r="L5715" s="3">
        <v>1328.8799999999999</v>
      </c>
    </row>
    <row r="5716" spans="1:12" x14ac:dyDescent="0.25">
      <c r="A5716" t="s">
        <v>26</v>
      </c>
      <c r="B5716">
        <v>1197831</v>
      </c>
      <c r="C5716" s="1">
        <v>44448</v>
      </c>
      <c r="D5716" t="s">
        <v>52</v>
      </c>
      <c r="E5716" t="s">
        <v>53</v>
      </c>
      <c r="F5716" t="s">
        <v>54</v>
      </c>
      <c r="G5716" t="s">
        <v>15</v>
      </c>
      <c r="H5716" t="s">
        <v>16</v>
      </c>
      <c r="I5716" s="3">
        <v>34</v>
      </c>
      <c r="J5716" s="2">
        <v>264</v>
      </c>
      <c r="K5716" s="3">
        <f t="shared" si="89"/>
        <v>8976</v>
      </c>
      <c r="L5716" s="3">
        <v>4308.4799999999996</v>
      </c>
    </row>
    <row r="5717" spans="1:12" x14ac:dyDescent="0.25">
      <c r="A5717" t="s">
        <v>36</v>
      </c>
      <c r="B5717">
        <v>1185732</v>
      </c>
      <c r="C5717" s="1">
        <v>44448</v>
      </c>
      <c r="D5717" t="s">
        <v>57</v>
      </c>
      <c r="E5717" t="s">
        <v>110</v>
      </c>
      <c r="F5717" t="s">
        <v>111</v>
      </c>
      <c r="G5717" t="s">
        <v>41</v>
      </c>
      <c r="H5717" t="s">
        <v>38</v>
      </c>
      <c r="I5717" s="3">
        <v>50</v>
      </c>
      <c r="J5717" s="2">
        <v>225</v>
      </c>
      <c r="K5717" s="3">
        <f t="shared" si="89"/>
        <v>11250</v>
      </c>
      <c r="L5717" s="3">
        <v>5175</v>
      </c>
    </row>
    <row r="5718" spans="1:12" x14ac:dyDescent="0.25">
      <c r="A5718" t="s">
        <v>36</v>
      </c>
      <c r="B5718">
        <v>1185732</v>
      </c>
      <c r="C5718" s="1">
        <v>44448</v>
      </c>
      <c r="D5718" t="s">
        <v>57</v>
      </c>
      <c r="E5718" t="s">
        <v>110</v>
      </c>
      <c r="F5718" t="s">
        <v>111</v>
      </c>
      <c r="G5718" t="s">
        <v>41</v>
      </c>
      <c r="H5718" t="s">
        <v>35</v>
      </c>
      <c r="I5718" s="3">
        <v>23</v>
      </c>
      <c r="J5718" s="2">
        <v>138</v>
      </c>
      <c r="K5718" s="3">
        <f t="shared" si="89"/>
        <v>3174</v>
      </c>
      <c r="L5718" s="3">
        <v>1428.3</v>
      </c>
    </row>
    <row r="5719" spans="1:12" x14ac:dyDescent="0.25">
      <c r="A5719" t="s">
        <v>36</v>
      </c>
      <c r="B5719">
        <v>1185732</v>
      </c>
      <c r="C5719" s="1">
        <v>44448</v>
      </c>
      <c r="D5719" t="s">
        <v>57</v>
      </c>
      <c r="E5719" t="s">
        <v>110</v>
      </c>
      <c r="F5719" t="s">
        <v>111</v>
      </c>
      <c r="G5719" t="s">
        <v>41</v>
      </c>
      <c r="H5719" t="s">
        <v>16</v>
      </c>
      <c r="I5719" s="3">
        <v>37</v>
      </c>
      <c r="J5719" s="2">
        <v>138</v>
      </c>
      <c r="K5719" s="3">
        <f t="shared" si="89"/>
        <v>5106</v>
      </c>
      <c r="L5719" s="3">
        <v>1940.2800000000002</v>
      </c>
    </row>
    <row r="5720" spans="1:12" x14ac:dyDescent="0.25">
      <c r="A5720" t="s">
        <v>26</v>
      </c>
      <c r="B5720">
        <v>1197831</v>
      </c>
      <c r="C5720" s="1">
        <v>44448</v>
      </c>
      <c r="D5720" t="s">
        <v>52</v>
      </c>
      <c r="E5720" t="s">
        <v>53</v>
      </c>
      <c r="F5720" t="s">
        <v>54</v>
      </c>
      <c r="G5720" t="s">
        <v>41</v>
      </c>
      <c r="H5720" t="s">
        <v>16</v>
      </c>
      <c r="I5720" s="3">
        <v>43</v>
      </c>
      <c r="J5720" s="2">
        <v>224</v>
      </c>
      <c r="K5720" s="3">
        <f t="shared" si="89"/>
        <v>9632</v>
      </c>
      <c r="L5720" s="3">
        <v>3371.2</v>
      </c>
    </row>
    <row r="5721" spans="1:12" x14ac:dyDescent="0.25">
      <c r="A5721" t="s">
        <v>26</v>
      </c>
      <c r="B5721">
        <v>1197831</v>
      </c>
      <c r="C5721" s="1">
        <v>44448</v>
      </c>
      <c r="D5721" t="s">
        <v>52</v>
      </c>
      <c r="E5721" t="s">
        <v>99</v>
      </c>
      <c r="F5721" t="s">
        <v>100</v>
      </c>
      <c r="G5721" t="s">
        <v>15</v>
      </c>
      <c r="H5721" t="s">
        <v>37</v>
      </c>
      <c r="I5721" s="3">
        <v>36</v>
      </c>
      <c r="J5721" s="2">
        <v>196</v>
      </c>
      <c r="K5721" s="3">
        <f t="shared" si="89"/>
        <v>7056</v>
      </c>
      <c r="L5721" s="3">
        <v>2328.4799999999987</v>
      </c>
    </row>
    <row r="5722" spans="1:12" x14ac:dyDescent="0.25">
      <c r="A5722" t="s">
        <v>26</v>
      </c>
      <c r="B5722">
        <v>1197831</v>
      </c>
      <c r="C5722" s="1">
        <v>44448</v>
      </c>
      <c r="D5722" t="s">
        <v>52</v>
      </c>
      <c r="E5722" t="s">
        <v>99</v>
      </c>
      <c r="F5722" t="s">
        <v>100</v>
      </c>
      <c r="G5722" t="s">
        <v>41</v>
      </c>
      <c r="H5722" t="s">
        <v>37</v>
      </c>
      <c r="I5722" s="3">
        <v>44</v>
      </c>
      <c r="J5722" s="2">
        <v>173</v>
      </c>
      <c r="K5722" s="3">
        <f t="shared" si="89"/>
        <v>7612</v>
      </c>
      <c r="L5722" s="3">
        <v>1979.119999999999</v>
      </c>
    </row>
    <row r="5723" spans="1:12" x14ac:dyDescent="0.25">
      <c r="A5723" t="s">
        <v>27</v>
      </c>
      <c r="B5723">
        <v>1185732</v>
      </c>
      <c r="C5723" s="1">
        <v>44449</v>
      </c>
      <c r="D5723" t="s">
        <v>12</v>
      </c>
      <c r="E5723" t="s">
        <v>62</v>
      </c>
      <c r="F5723" t="s">
        <v>63</v>
      </c>
      <c r="G5723" t="s">
        <v>18</v>
      </c>
      <c r="H5723" t="s">
        <v>16</v>
      </c>
      <c r="I5723" s="3">
        <v>55.000000000000007</v>
      </c>
      <c r="J5723" s="2">
        <v>600</v>
      </c>
      <c r="K5723" s="3">
        <f t="shared" si="89"/>
        <v>33000.000000000007</v>
      </c>
      <c r="L5723" s="3">
        <v>24750.000000000007</v>
      </c>
    </row>
    <row r="5724" spans="1:12" x14ac:dyDescent="0.25">
      <c r="A5724" t="s">
        <v>27</v>
      </c>
      <c r="B5724">
        <v>1185732</v>
      </c>
      <c r="C5724" s="1">
        <v>44449</v>
      </c>
      <c r="D5724" t="s">
        <v>12</v>
      </c>
      <c r="E5724" t="s">
        <v>62</v>
      </c>
      <c r="F5724" t="s">
        <v>63</v>
      </c>
      <c r="G5724" t="s">
        <v>18</v>
      </c>
      <c r="H5724" t="s">
        <v>17</v>
      </c>
      <c r="I5724" s="3">
        <v>45.000000000000007</v>
      </c>
      <c r="J5724" s="2">
        <v>600</v>
      </c>
      <c r="K5724" s="3">
        <f t="shared" si="89"/>
        <v>27000.000000000004</v>
      </c>
      <c r="L5724" s="3">
        <v>18900.000000000007</v>
      </c>
    </row>
    <row r="5725" spans="1:12" x14ac:dyDescent="0.25">
      <c r="A5725" t="s">
        <v>27</v>
      </c>
      <c r="B5725">
        <v>1185732</v>
      </c>
      <c r="C5725" s="1">
        <v>44449</v>
      </c>
      <c r="D5725" t="s">
        <v>12</v>
      </c>
      <c r="E5725" t="s">
        <v>62</v>
      </c>
      <c r="F5725" t="s">
        <v>63</v>
      </c>
      <c r="G5725" t="s">
        <v>18</v>
      </c>
      <c r="H5725" t="s">
        <v>22</v>
      </c>
      <c r="I5725" s="3">
        <v>50</v>
      </c>
      <c r="J5725" s="2">
        <v>500</v>
      </c>
      <c r="K5725" s="3">
        <f t="shared" si="89"/>
        <v>25000</v>
      </c>
      <c r="L5725" s="3">
        <v>17500</v>
      </c>
    </row>
    <row r="5726" spans="1:12" x14ac:dyDescent="0.25">
      <c r="A5726" t="s">
        <v>26</v>
      </c>
      <c r="B5726">
        <v>1185732</v>
      </c>
      <c r="C5726" s="1">
        <v>44449</v>
      </c>
      <c r="D5726" t="s">
        <v>57</v>
      </c>
      <c r="E5726" t="s">
        <v>76</v>
      </c>
      <c r="F5726" t="s">
        <v>77</v>
      </c>
      <c r="G5726" t="s">
        <v>18</v>
      </c>
      <c r="H5726" t="s">
        <v>17</v>
      </c>
      <c r="I5726" s="3">
        <v>35.000000000000007</v>
      </c>
      <c r="J5726" s="2">
        <v>275</v>
      </c>
      <c r="K5726" s="3">
        <f t="shared" si="89"/>
        <v>9625.0000000000018</v>
      </c>
      <c r="L5726" s="3">
        <v>6737.5000000000018</v>
      </c>
    </row>
    <row r="5727" spans="1:12" x14ac:dyDescent="0.25">
      <c r="A5727" t="s">
        <v>26</v>
      </c>
      <c r="B5727">
        <v>1185732</v>
      </c>
      <c r="C5727" s="1">
        <v>44449</v>
      </c>
      <c r="D5727" t="s">
        <v>57</v>
      </c>
      <c r="E5727" t="s">
        <v>76</v>
      </c>
      <c r="F5727" t="s">
        <v>77</v>
      </c>
      <c r="G5727" t="s">
        <v>18</v>
      </c>
      <c r="H5727" t="s">
        <v>35</v>
      </c>
      <c r="I5727" s="3">
        <v>30.000000000000004</v>
      </c>
      <c r="J5727" s="2">
        <v>175</v>
      </c>
      <c r="K5727" s="3">
        <f t="shared" si="89"/>
        <v>5250.0000000000009</v>
      </c>
      <c r="L5727" s="3">
        <v>3675.0000000000009</v>
      </c>
    </row>
    <row r="5728" spans="1:12" x14ac:dyDescent="0.25">
      <c r="A5728" t="s">
        <v>26</v>
      </c>
      <c r="B5728">
        <v>1185732</v>
      </c>
      <c r="C5728" s="1">
        <v>44449</v>
      </c>
      <c r="D5728" t="s">
        <v>57</v>
      </c>
      <c r="E5728" t="s">
        <v>76</v>
      </c>
      <c r="F5728" t="s">
        <v>77</v>
      </c>
      <c r="G5728" t="s">
        <v>18</v>
      </c>
      <c r="H5728" t="s">
        <v>37</v>
      </c>
      <c r="I5728" s="3">
        <v>30.000000000000004</v>
      </c>
      <c r="J5728" s="2">
        <v>150</v>
      </c>
      <c r="K5728" s="3">
        <f t="shared" si="89"/>
        <v>4500.0000000000009</v>
      </c>
      <c r="L5728" s="3">
        <v>3150.0000000000009</v>
      </c>
    </row>
    <row r="5729" spans="1:12" x14ac:dyDescent="0.25">
      <c r="A5729" t="s">
        <v>26</v>
      </c>
      <c r="B5729">
        <v>1197831</v>
      </c>
      <c r="C5729" s="1">
        <v>44449</v>
      </c>
      <c r="D5729" t="s">
        <v>52</v>
      </c>
      <c r="E5729" t="s">
        <v>53</v>
      </c>
      <c r="F5729" t="s">
        <v>54</v>
      </c>
      <c r="G5729" t="s">
        <v>15</v>
      </c>
      <c r="H5729" t="s">
        <v>38</v>
      </c>
      <c r="I5729" s="3">
        <v>45</v>
      </c>
      <c r="J5729" s="2">
        <v>800</v>
      </c>
      <c r="K5729" s="3">
        <f t="shared" si="89"/>
        <v>36000</v>
      </c>
      <c r="L5729" s="3">
        <v>23400</v>
      </c>
    </row>
    <row r="5730" spans="1:12" x14ac:dyDescent="0.25">
      <c r="A5730" t="s">
        <v>27</v>
      </c>
      <c r="B5730">
        <v>1185732</v>
      </c>
      <c r="C5730" s="1">
        <v>44449</v>
      </c>
      <c r="D5730" t="s">
        <v>12</v>
      </c>
      <c r="E5730" t="s">
        <v>62</v>
      </c>
      <c r="F5730" t="s">
        <v>63</v>
      </c>
      <c r="G5730" t="s">
        <v>18</v>
      </c>
      <c r="H5730" t="s">
        <v>35</v>
      </c>
      <c r="I5730" s="3">
        <v>40</v>
      </c>
      <c r="J5730" s="2">
        <v>525</v>
      </c>
      <c r="K5730" s="3">
        <f t="shared" si="89"/>
        <v>21000</v>
      </c>
      <c r="L5730" s="3">
        <v>13650</v>
      </c>
    </row>
    <row r="5731" spans="1:12" x14ac:dyDescent="0.25">
      <c r="A5731" t="s">
        <v>27</v>
      </c>
      <c r="B5731">
        <v>1185732</v>
      </c>
      <c r="C5731" s="1">
        <v>44449</v>
      </c>
      <c r="D5731" t="s">
        <v>12</v>
      </c>
      <c r="E5731" t="s">
        <v>62</v>
      </c>
      <c r="F5731" t="s">
        <v>63</v>
      </c>
      <c r="G5731" t="s">
        <v>18</v>
      </c>
      <c r="H5731" t="s">
        <v>37</v>
      </c>
      <c r="I5731" s="3">
        <v>40</v>
      </c>
      <c r="J5731" s="2">
        <v>500</v>
      </c>
      <c r="K5731" s="3">
        <f t="shared" si="89"/>
        <v>20000</v>
      </c>
      <c r="L5731" s="3">
        <v>13000</v>
      </c>
    </row>
    <row r="5732" spans="1:12" x14ac:dyDescent="0.25">
      <c r="A5732" t="s">
        <v>26</v>
      </c>
      <c r="B5732">
        <v>1185732</v>
      </c>
      <c r="C5732" s="1">
        <v>44449</v>
      </c>
      <c r="D5732" t="s">
        <v>57</v>
      </c>
      <c r="E5732" t="s">
        <v>76</v>
      </c>
      <c r="F5732" t="s">
        <v>77</v>
      </c>
      <c r="G5732" t="s">
        <v>18</v>
      </c>
      <c r="H5732" t="s">
        <v>38</v>
      </c>
      <c r="I5732" s="3">
        <v>40</v>
      </c>
      <c r="J5732" s="2">
        <v>475</v>
      </c>
      <c r="K5732" s="3">
        <f t="shared" si="89"/>
        <v>19000</v>
      </c>
      <c r="L5732" s="3">
        <v>12350</v>
      </c>
    </row>
    <row r="5733" spans="1:12" x14ac:dyDescent="0.25">
      <c r="A5733" t="s">
        <v>26</v>
      </c>
      <c r="B5733">
        <v>1185732</v>
      </c>
      <c r="C5733" s="1">
        <v>44449</v>
      </c>
      <c r="D5733" t="s">
        <v>57</v>
      </c>
      <c r="E5733" t="s">
        <v>76</v>
      </c>
      <c r="F5733" t="s">
        <v>77</v>
      </c>
      <c r="G5733" t="s">
        <v>18</v>
      </c>
      <c r="H5733" t="s">
        <v>22</v>
      </c>
      <c r="I5733" s="3">
        <v>40</v>
      </c>
      <c r="J5733" s="2">
        <v>150</v>
      </c>
      <c r="K5733" s="3">
        <f t="shared" si="89"/>
        <v>6000</v>
      </c>
      <c r="L5733" s="3">
        <v>3900</v>
      </c>
    </row>
    <row r="5734" spans="1:12" x14ac:dyDescent="0.25">
      <c r="A5734" t="s">
        <v>36</v>
      </c>
      <c r="B5734">
        <v>1185732</v>
      </c>
      <c r="C5734" s="1">
        <v>44449</v>
      </c>
      <c r="D5734" t="s">
        <v>29</v>
      </c>
      <c r="E5734" t="s">
        <v>80</v>
      </c>
      <c r="F5734" t="s">
        <v>81</v>
      </c>
      <c r="G5734" t="s">
        <v>18</v>
      </c>
      <c r="H5734" t="s">
        <v>35</v>
      </c>
      <c r="I5734" s="3">
        <v>50</v>
      </c>
      <c r="J5734" s="2">
        <v>225</v>
      </c>
      <c r="K5734" s="3">
        <f t="shared" si="89"/>
        <v>11250</v>
      </c>
      <c r="L5734" s="3">
        <v>7312.5</v>
      </c>
    </row>
    <row r="5735" spans="1:12" x14ac:dyDescent="0.25">
      <c r="A5735" t="s">
        <v>36</v>
      </c>
      <c r="B5735">
        <v>1185732</v>
      </c>
      <c r="C5735" s="1">
        <v>44449</v>
      </c>
      <c r="D5735" t="s">
        <v>29</v>
      </c>
      <c r="E5735" t="s">
        <v>80</v>
      </c>
      <c r="F5735" t="s">
        <v>81</v>
      </c>
      <c r="G5735" t="s">
        <v>18</v>
      </c>
      <c r="H5735" t="s">
        <v>37</v>
      </c>
      <c r="I5735" s="3">
        <v>50</v>
      </c>
      <c r="J5735" s="2">
        <v>200</v>
      </c>
      <c r="K5735" s="3">
        <f t="shared" si="89"/>
        <v>10000</v>
      </c>
      <c r="L5735" s="3">
        <v>6500</v>
      </c>
    </row>
    <row r="5736" spans="1:12" x14ac:dyDescent="0.25">
      <c r="A5736" t="s">
        <v>36</v>
      </c>
      <c r="B5736">
        <v>1185732</v>
      </c>
      <c r="C5736" s="1">
        <v>44449</v>
      </c>
      <c r="D5736" t="s">
        <v>29</v>
      </c>
      <c r="E5736" t="s">
        <v>80</v>
      </c>
      <c r="F5736" t="s">
        <v>81</v>
      </c>
      <c r="G5736" t="s">
        <v>18</v>
      </c>
      <c r="H5736" t="s">
        <v>22</v>
      </c>
      <c r="I5736" s="3">
        <v>60</v>
      </c>
      <c r="J5736" s="2">
        <v>200</v>
      </c>
      <c r="K5736" s="3">
        <f t="shared" si="89"/>
        <v>12000</v>
      </c>
      <c r="L5736" s="3">
        <v>7800</v>
      </c>
    </row>
    <row r="5737" spans="1:12" x14ac:dyDescent="0.25">
      <c r="A5737" t="s">
        <v>26</v>
      </c>
      <c r="B5737">
        <v>1185732</v>
      </c>
      <c r="C5737" s="1">
        <v>44449</v>
      </c>
      <c r="D5737" t="s">
        <v>57</v>
      </c>
      <c r="E5737" t="s">
        <v>76</v>
      </c>
      <c r="F5737" t="s">
        <v>77</v>
      </c>
      <c r="G5737" t="s">
        <v>18</v>
      </c>
      <c r="H5737" t="s">
        <v>16</v>
      </c>
      <c r="I5737" s="3">
        <v>45</v>
      </c>
      <c r="J5737" s="2">
        <v>225</v>
      </c>
      <c r="K5737" s="3">
        <f t="shared" si="89"/>
        <v>10125</v>
      </c>
      <c r="L5737" s="3">
        <v>6075</v>
      </c>
    </row>
    <row r="5738" spans="1:12" x14ac:dyDescent="0.25">
      <c r="A5738" t="s">
        <v>36</v>
      </c>
      <c r="B5738">
        <v>1185732</v>
      </c>
      <c r="C5738" s="1">
        <v>44449</v>
      </c>
      <c r="D5738" t="s">
        <v>29</v>
      </c>
      <c r="E5738" t="s">
        <v>80</v>
      </c>
      <c r="F5738" t="s">
        <v>81</v>
      </c>
      <c r="G5738" t="s">
        <v>18</v>
      </c>
      <c r="H5738" t="s">
        <v>16</v>
      </c>
      <c r="I5738" s="3">
        <v>65</v>
      </c>
      <c r="J5738" s="2">
        <v>300</v>
      </c>
      <c r="K5738" s="3">
        <f t="shared" si="89"/>
        <v>19500</v>
      </c>
      <c r="L5738" s="3">
        <v>11700</v>
      </c>
    </row>
    <row r="5739" spans="1:12" x14ac:dyDescent="0.25">
      <c r="A5739" t="s">
        <v>26</v>
      </c>
      <c r="B5739">
        <v>1197831</v>
      </c>
      <c r="C5739" s="1">
        <v>44449</v>
      </c>
      <c r="D5739" t="s">
        <v>52</v>
      </c>
      <c r="E5739" t="s">
        <v>99</v>
      </c>
      <c r="F5739" t="s">
        <v>100</v>
      </c>
      <c r="G5739" t="s">
        <v>15</v>
      </c>
      <c r="H5739" t="s">
        <v>22</v>
      </c>
      <c r="I5739" s="3">
        <v>50</v>
      </c>
      <c r="J5739" s="2">
        <v>525</v>
      </c>
      <c r="K5739" s="3">
        <f t="shared" si="89"/>
        <v>26250</v>
      </c>
      <c r="L5739" s="3">
        <v>14437.5</v>
      </c>
    </row>
    <row r="5740" spans="1:12" x14ac:dyDescent="0.25">
      <c r="A5740" t="s">
        <v>36</v>
      </c>
      <c r="B5740">
        <v>1185732</v>
      </c>
      <c r="C5740" s="1">
        <v>44449</v>
      </c>
      <c r="D5740" t="s">
        <v>29</v>
      </c>
      <c r="E5740" t="s">
        <v>80</v>
      </c>
      <c r="F5740" t="s">
        <v>81</v>
      </c>
      <c r="G5740" t="s">
        <v>18</v>
      </c>
      <c r="H5740" t="s">
        <v>38</v>
      </c>
      <c r="I5740" s="3">
        <v>60</v>
      </c>
      <c r="J5740" s="2">
        <v>525</v>
      </c>
      <c r="K5740" s="3">
        <f t="shared" si="89"/>
        <v>31500</v>
      </c>
      <c r="L5740" s="3">
        <v>17325</v>
      </c>
    </row>
    <row r="5741" spans="1:12" x14ac:dyDescent="0.25">
      <c r="A5741" t="s">
        <v>36</v>
      </c>
      <c r="B5741">
        <v>1185732</v>
      </c>
      <c r="C5741" s="1">
        <v>44449</v>
      </c>
      <c r="D5741" t="s">
        <v>29</v>
      </c>
      <c r="E5741" t="s">
        <v>80</v>
      </c>
      <c r="F5741" t="s">
        <v>81</v>
      </c>
      <c r="G5741" t="s">
        <v>18</v>
      </c>
      <c r="H5741" t="s">
        <v>17</v>
      </c>
      <c r="I5741" s="3">
        <v>55.000000000000007</v>
      </c>
      <c r="J5741" s="2">
        <v>325</v>
      </c>
      <c r="K5741" s="3">
        <f t="shared" si="89"/>
        <v>17875.000000000004</v>
      </c>
      <c r="L5741" s="3">
        <v>9831.2500000000018</v>
      </c>
    </row>
    <row r="5742" spans="1:12" x14ac:dyDescent="0.25">
      <c r="A5742" t="s">
        <v>27</v>
      </c>
      <c r="B5742">
        <v>1185732</v>
      </c>
      <c r="C5742" s="1">
        <v>44449</v>
      </c>
      <c r="D5742" t="s">
        <v>12</v>
      </c>
      <c r="E5742" t="s">
        <v>62</v>
      </c>
      <c r="F5742" t="s">
        <v>63</v>
      </c>
      <c r="G5742" t="s">
        <v>18</v>
      </c>
      <c r="H5742" t="s">
        <v>38</v>
      </c>
      <c r="I5742" s="3">
        <v>50</v>
      </c>
      <c r="J5742" s="2">
        <v>800</v>
      </c>
      <c r="K5742" s="3">
        <f t="shared" si="89"/>
        <v>40000</v>
      </c>
      <c r="L5742" s="3">
        <v>20000</v>
      </c>
    </row>
    <row r="5743" spans="1:12" x14ac:dyDescent="0.25">
      <c r="A5743" t="s">
        <v>26</v>
      </c>
      <c r="B5743">
        <v>1197831</v>
      </c>
      <c r="C5743" s="1">
        <v>44449</v>
      </c>
      <c r="D5743" t="s">
        <v>52</v>
      </c>
      <c r="E5743" t="s">
        <v>53</v>
      </c>
      <c r="F5743" t="s">
        <v>54</v>
      </c>
      <c r="G5743" t="s">
        <v>15</v>
      </c>
      <c r="H5743" t="s">
        <v>38</v>
      </c>
      <c r="I5743" s="3">
        <v>30</v>
      </c>
      <c r="J5743" s="2">
        <v>256</v>
      </c>
      <c r="K5743" s="3">
        <f t="shared" si="89"/>
        <v>7680</v>
      </c>
      <c r="L5743" s="3">
        <v>4838.3999999999996</v>
      </c>
    </row>
    <row r="5744" spans="1:12" x14ac:dyDescent="0.25">
      <c r="A5744" t="s">
        <v>36</v>
      </c>
      <c r="B5744">
        <v>1185732</v>
      </c>
      <c r="C5744" s="1">
        <v>44449</v>
      </c>
      <c r="D5744" t="s">
        <v>29</v>
      </c>
      <c r="E5744" t="s">
        <v>80</v>
      </c>
      <c r="F5744" t="s">
        <v>81</v>
      </c>
      <c r="G5744" t="s">
        <v>15</v>
      </c>
      <c r="H5744" t="s">
        <v>22</v>
      </c>
      <c r="I5744" s="3">
        <v>48</v>
      </c>
      <c r="J5744" s="2">
        <v>68</v>
      </c>
      <c r="K5744" s="3">
        <f t="shared" si="89"/>
        <v>3264</v>
      </c>
      <c r="L5744" s="3">
        <v>2056.3199999999997</v>
      </c>
    </row>
    <row r="5745" spans="1:12" x14ac:dyDescent="0.25">
      <c r="A5745" t="s">
        <v>36</v>
      </c>
      <c r="B5745">
        <v>1185732</v>
      </c>
      <c r="C5745" s="1">
        <v>44449</v>
      </c>
      <c r="D5745" t="s">
        <v>29</v>
      </c>
      <c r="E5745" t="s">
        <v>80</v>
      </c>
      <c r="F5745" t="s">
        <v>81</v>
      </c>
      <c r="G5745" t="s">
        <v>15</v>
      </c>
      <c r="H5745" t="s">
        <v>37</v>
      </c>
      <c r="I5745" s="3">
        <v>35</v>
      </c>
      <c r="J5745" s="2">
        <v>66</v>
      </c>
      <c r="K5745" s="3">
        <f t="shared" si="89"/>
        <v>2310</v>
      </c>
      <c r="L5745" s="3">
        <v>1386</v>
      </c>
    </row>
    <row r="5746" spans="1:12" x14ac:dyDescent="0.25">
      <c r="A5746" t="s">
        <v>27</v>
      </c>
      <c r="B5746">
        <v>1185732</v>
      </c>
      <c r="C5746" s="1">
        <v>44449</v>
      </c>
      <c r="D5746" t="s">
        <v>12</v>
      </c>
      <c r="E5746" t="s">
        <v>62</v>
      </c>
      <c r="F5746" t="s">
        <v>63</v>
      </c>
      <c r="G5746" t="s">
        <v>41</v>
      </c>
      <c r="H5746" t="s">
        <v>16</v>
      </c>
      <c r="I5746" s="3">
        <v>52</v>
      </c>
      <c r="J5746" s="2">
        <v>174</v>
      </c>
      <c r="K5746" s="3">
        <f t="shared" si="89"/>
        <v>9048</v>
      </c>
      <c r="L5746" s="3">
        <v>5428.7999999999993</v>
      </c>
    </row>
    <row r="5747" spans="1:12" x14ac:dyDescent="0.25">
      <c r="A5747" t="s">
        <v>26</v>
      </c>
      <c r="B5747">
        <v>1185732</v>
      </c>
      <c r="C5747" s="1">
        <v>44449</v>
      </c>
      <c r="D5747" t="s">
        <v>57</v>
      </c>
      <c r="E5747" t="s">
        <v>76</v>
      </c>
      <c r="F5747" t="s">
        <v>77</v>
      </c>
      <c r="G5747" t="s">
        <v>41</v>
      </c>
      <c r="H5747" t="s">
        <v>37</v>
      </c>
      <c r="I5747" s="3">
        <v>28</v>
      </c>
      <c r="J5747" s="2">
        <v>44</v>
      </c>
      <c r="K5747" s="3">
        <f t="shared" si="89"/>
        <v>1232</v>
      </c>
      <c r="L5747" s="3">
        <v>726.88000000000011</v>
      </c>
    </row>
    <row r="5748" spans="1:12" x14ac:dyDescent="0.25">
      <c r="A5748" t="s">
        <v>36</v>
      </c>
      <c r="B5748">
        <v>1185732</v>
      </c>
      <c r="C5748" s="1">
        <v>44449</v>
      </c>
      <c r="D5748" t="s">
        <v>29</v>
      </c>
      <c r="E5748" t="s">
        <v>80</v>
      </c>
      <c r="F5748" t="s">
        <v>81</v>
      </c>
      <c r="G5748" t="s">
        <v>15</v>
      </c>
      <c r="H5748" t="s">
        <v>35</v>
      </c>
      <c r="I5748" s="3">
        <v>40</v>
      </c>
      <c r="J5748" s="2">
        <v>72</v>
      </c>
      <c r="K5748" s="3">
        <f t="shared" si="89"/>
        <v>2880</v>
      </c>
      <c r="L5748" s="3">
        <v>1670.4</v>
      </c>
    </row>
    <row r="5749" spans="1:12" x14ac:dyDescent="0.25">
      <c r="A5749" t="s">
        <v>26</v>
      </c>
      <c r="B5749">
        <v>1185732</v>
      </c>
      <c r="C5749" s="1">
        <v>44449</v>
      </c>
      <c r="D5749" t="s">
        <v>57</v>
      </c>
      <c r="E5749" t="s">
        <v>76</v>
      </c>
      <c r="F5749" t="s">
        <v>77</v>
      </c>
      <c r="G5749" t="s">
        <v>41</v>
      </c>
      <c r="H5749" t="s">
        <v>17</v>
      </c>
      <c r="I5749" s="3">
        <v>34</v>
      </c>
      <c r="J5749" s="2">
        <v>72</v>
      </c>
      <c r="K5749" s="3">
        <f t="shared" si="89"/>
        <v>2448</v>
      </c>
      <c r="L5749" s="3">
        <v>1395.3600000000001</v>
      </c>
    </row>
    <row r="5750" spans="1:12" x14ac:dyDescent="0.25">
      <c r="A5750" t="s">
        <v>27</v>
      </c>
      <c r="B5750">
        <v>1185732</v>
      </c>
      <c r="C5750" s="1">
        <v>44449</v>
      </c>
      <c r="D5750" t="s">
        <v>12</v>
      </c>
      <c r="E5750" t="s">
        <v>62</v>
      </c>
      <c r="F5750" t="s">
        <v>63</v>
      </c>
      <c r="G5750" t="s">
        <v>41</v>
      </c>
      <c r="H5750" t="s">
        <v>17</v>
      </c>
      <c r="I5750" s="3">
        <v>44</v>
      </c>
      <c r="J5750" s="2">
        <v>150</v>
      </c>
      <c r="K5750" s="3">
        <f t="shared" si="89"/>
        <v>6600</v>
      </c>
      <c r="L5750" s="3">
        <v>3762</v>
      </c>
    </row>
    <row r="5751" spans="1:12" x14ac:dyDescent="0.25">
      <c r="A5751" t="s">
        <v>27</v>
      </c>
      <c r="B5751">
        <v>1185732</v>
      </c>
      <c r="C5751" s="1">
        <v>44449</v>
      </c>
      <c r="D5751" t="s">
        <v>12</v>
      </c>
      <c r="E5751" t="s">
        <v>62</v>
      </c>
      <c r="F5751" t="s">
        <v>63</v>
      </c>
      <c r="G5751" t="s">
        <v>41</v>
      </c>
      <c r="H5751" t="s">
        <v>22</v>
      </c>
      <c r="I5751" s="3">
        <v>48</v>
      </c>
      <c r="J5751" s="2">
        <v>125</v>
      </c>
      <c r="K5751" s="3">
        <f t="shared" si="89"/>
        <v>6000</v>
      </c>
      <c r="L5751" s="3">
        <v>3420</v>
      </c>
    </row>
    <row r="5752" spans="1:12" x14ac:dyDescent="0.25">
      <c r="A5752" t="s">
        <v>26</v>
      </c>
      <c r="B5752">
        <v>1185732</v>
      </c>
      <c r="C5752" s="1">
        <v>44449</v>
      </c>
      <c r="D5752" t="s">
        <v>57</v>
      </c>
      <c r="E5752" t="s">
        <v>76</v>
      </c>
      <c r="F5752" t="s">
        <v>77</v>
      </c>
      <c r="G5752" t="s">
        <v>41</v>
      </c>
      <c r="H5752" t="s">
        <v>35</v>
      </c>
      <c r="I5752" s="3">
        <v>27</v>
      </c>
      <c r="J5752" s="2">
        <v>51</v>
      </c>
      <c r="K5752" s="3">
        <f t="shared" si="89"/>
        <v>1377</v>
      </c>
      <c r="L5752" s="3">
        <v>771.12</v>
      </c>
    </row>
    <row r="5753" spans="1:12" x14ac:dyDescent="0.25">
      <c r="A5753" t="s">
        <v>26</v>
      </c>
      <c r="B5753">
        <v>1197831</v>
      </c>
      <c r="C5753" s="1">
        <v>44449</v>
      </c>
      <c r="D5753" t="s">
        <v>52</v>
      </c>
      <c r="E5753" t="s">
        <v>53</v>
      </c>
      <c r="F5753" t="s">
        <v>54</v>
      </c>
      <c r="G5753" t="s">
        <v>41</v>
      </c>
      <c r="H5753" t="s">
        <v>38</v>
      </c>
      <c r="I5753" s="3">
        <v>41</v>
      </c>
      <c r="J5753" s="2">
        <v>224</v>
      </c>
      <c r="K5753" s="3">
        <f t="shared" si="89"/>
        <v>9184</v>
      </c>
      <c r="L5753" s="3">
        <v>5051.2000000000007</v>
      </c>
    </row>
    <row r="5754" spans="1:12" x14ac:dyDescent="0.25">
      <c r="A5754" t="s">
        <v>27</v>
      </c>
      <c r="B5754">
        <v>1185732</v>
      </c>
      <c r="C5754" s="1">
        <v>44449</v>
      </c>
      <c r="D5754" t="s">
        <v>12</v>
      </c>
      <c r="E5754" t="s">
        <v>62</v>
      </c>
      <c r="F5754" t="s">
        <v>63</v>
      </c>
      <c r="G5754" t="s">
        <v>41</v>
      </c>
      <c r="H5754" t="s">
        <v>35</v>
      </c>
      <c r="I5754" s="3">
        <v>38</v>
      </c>
      <c r="J5754" s="2">
        <v>137</v>
      </c>
      <c r="K5754" s="3">
        <f t="shared" si="89"/>
        <v>5206</v>
      </c>
      <c r="L5754" s="3">
        <v>2811.2400000000002</v>
      </c>
    </row>
    <row r="5755" spans="1:12" x14ac:dyDescent="0.25">
      <c r="A5755" t="s">
        <v>36</v>
      </c>
      <c r="B5755">
        <v>1185732</v>
      </c>
      <c r="C5755" s="1">
        <v>44449</v>
      </c>
      <c r="D5755" t="s">
        <v>29</v>
      </c>
      <c r="E5755" t="s">
        <v>80</v>
      </c>
      <c r="F5755" t="s">
        <v>81</v>
      </c>
      <c r="G5755" t="s">
        <v>15</v>
      </c>
      <c r="H5755" t="s">
        <v>16</v>
      </c>
      <c r="I5755" s="3">
        <v>45</v>
      </c>
      <c r="J5755" s="2">
        <v>93</v>
      </c>
      <c r="K5755" s="3">
        <f t="shared" si="89"/>
        <v>4185</v>
      </c>
      <c r="L5755" s="3">
        <v>2259.9</v>
      </c>
    </row>
    <row r="5756" spans="1:12" x14ac:dyDescent="0.25">
      <c r="A5756" t="s">
        <v>36</v>
      </c>
      <c r="B5756">
        <v>1185732</v>
      </c>
      <c r="C5756" s="1">
        <v>44449</v>
      </c>
      <c r="D5756" t="s">
        <v>29</v>
      </c>
      <c r="E5756" t="s">
        <v>80</v>
      </c>
      <c r="F5756" t="s">
        <v>81</v>
      </c>
      <c r="G5756" t="s">
        <v>41</v>
      </c>
      <c r="H5756" t="s">
        <v>22</v>
      </c>
      <c r="I5756" s="3">
        <v>58</v>
      </c>
      <c r="J5756" s="2">
        <v>50</v>
      </c>
      <c r="K5756" s="3">
        <f t="shared" si="89"/>
        <v>2900</v>
      </c>
      <c r="L5756" s="3">
        <v>1537</v>
      </c>
    </row>
    <row r="5757" spans="1:12" x14ac:dyDescent="0.25">
      <c r="A5757" t="s">
        <v>36</v>
      </c>
      <c r="B5757">
        <v>1185732</v>
      </c>
      <c r="C5757" s="1">
        <v>44449</v>
      </c>
      <c r="D5757" t="s">
        <v>29</v>
      </c>
      <c r="E5757" t="s">
        <v>80</v>
      </c>
      <c r="F5757" t="s">
        <v>81</v>
      </c>
      <c r="G5757" t="s">
        <v>41</v>
      </c>
      <c r="H5757" t="s">
        <v>37</v>
      </c>
      <c r="I5757" s="3">
        <v>45</v>
      </c>
      <c r="J5757" s="2">
        <v>52</v>
      </c>
      <c r="K5757" s="3">
        <f t="shared" si="89"/>
        <v>2340</v>
      </c>
      <c r="L5757" s="3">
        <v>1193.4000000000001</v>
      </c>
    </row>
    <row r="5758" spans="1:12" x14ac:dyDescent="0.25">
      <c r="A5758" t="s">
        <v>27</v>
      </c>
      <c r="B5758">
        <v>1185732</v>
      </c>
      <c r="C5758" s="1">
        <v>44449</v>
      </c>
      <c r="D5758" t="s">
        <v>12</v>
      </c>
      <c r="E5758" t="s">
        <v>62</v>
      </c>
      <c r="F5758" t="s">
        <v>63</v>
      </c>
      <c r="G5758" t="s">
        <v>41</v>
      </c>
      <c r="H5758" t="s">
        <v>37</v>
      </c>
      <c r="I5758" s="3">
        <v>38</v>
      </c>
      <c r="J5758" s="2">
        <v>135</v>
      </c>
      <c r="K5758" s="3">
        <f t="shared" si="89"/>
        <v>5130</v>
      </c>
      <c r="L5758" s="3">
        <v>2616.3000000000002</v>
      </c>
    </row>
    <row r="5759" spans="1:12" x14ac:dyDescent="0.25">
      <c r="A5759" t="s">
        <v>26</v>
      </c>
      <c r="B5759">
        <v>1185732</v>
      </c>
      <c r="C5759" s="1">
        <v>44449</v>
      </c>
      <c r="D5759" t="s">
        <v>57</v>
      </c>
      <c r="E5759" t="s">
        <v>76</v>
      </c>
      <c r="F5759" t="s">
        <v>77</v>
      </c>
      <c r="G5759" t="s">
        <v>41</v>
      </c>
      <c r="H5759" t="s">
        <v>22</v>
      </c>
      <c r="I5759" s="3">
        <v>36</v>
      </c>
      <c r="J5759" s="2">
        <v>42</v>
      </c>
      <c r="K5759" s="3">
        <f t="shared" si="89"/>
        <v>1512</v>
      </c>
      <c r="L5759" s="3">
        <v>771.12</v>
      </c>
    </row>
    <row r="5760" spans="1:12" x14ac:dyDescent="0.25">
      <c r="A5760" t="s">
        <v>36</v>
      </c>
      <c r="B5760">
        <v>1185732</v>
      </c>
      <c r="C5760" s="1">
        <v>44449</v>
      </c>
      <c r="D5760" t="s">
        <v>29</v>
      </c>
      <c r="E5760" t="s">
        <v>80</v>
      </c>
      <c r="F5760" t="s">
        <v>81</v>
      </c>
      <c r="G5760" t="s">
        <v>15</v>
      </c>
      <c r="H5760" t="s">
        <v>38</v>
      </c>
      <c r="I5760" s="3">
        <v>44</v>
      </c>
      <c r="J5760" s="2">
        <v>179</v>
      </c>
      <c r="K5760" s="3">
        <f t="shared" si="89"/>
        <v>7876</v>
      </c>
      <c r="L5760" s="3">
        <v>4016.76</v>
      </c>
    </row>
    <row r="5761" spans="1:12" x14ac:dyDescent="0.25">
      <c r="A5761" t="s">
        <v>26</v>
      </c>
      <c r="B5761">
        <v>1185732</v>
      </c>
      <c r="C5761" s="1">
        <v>44449</v>
      </c>
      <c r="D5761" t="s">
        <v>57</v>
      </c>
      <c r="E5761" t="s">
        <v>76</v>
      </c>
      <c r="F5761" t="s">
        <v>77</v>
      </c>
      <c r="G5761" t="s">
        <v>41</v>
      </c>
      <c r="H5761" t="s">
        <v>38</v>
      </c>
      <c r="I5761" s="3">
        <v>36</v>
      </c>
      <c r="J5761" s="2">
        <v>133</v>
      </c>
      <c r="K5761" s="3">
        <f t="shared" si="89"/>
        <v>4788</v>
      </c>
      <c r="L5761" s="3">
        <v>2394</v>
      </c>
    </row>
    <row r="5762" spans="1:12" x14ac:dyDescent="0.25">
      <c r="A5762" t="s">
        <v>36</v>
      </c>
      <c r="B5762">
        <v>1185732</v>
      </c>
      <c r="C5762" s="1">
        <v>44449</v>
      </c>
      <c r="D5762" t="s">
        <v>29</v>
      </c>
      <c r="E5762" t="s">
        <v>80</v>
      </c>
      <c r="F5762" t="s">
        <v>81</v>
      </c>
      <c r="G5762" t="s">
        <v>41</v>
      </c>
      <c r="H5762" t="s">
        <v>35</v>
      </c>
      <c r="I5762" s="3">
        <v>46</v>
      </c>
      <c r="J5762" s="2">
        <v>56</v>
      </c>
      <c r="K5762" s="3">
        <f t="shared" si="89"/>
        <v>2576</v>
      </c>
      <c r="L5762" s="3">
        <v>1288</v>
      </c>
    </row>
    <row r="5763" spans="1:12" x14ac:dyDescent="0.25">
      <c r="A5763" t="s">
        <v>36</v>
      </c>
      <c r="B5763">
        <v>1185732</v>
      </c>
      <c r="C5763" s="1">
        <v>44449</v>
      </c>
      <c r="D5763" t="s">
        <v>29</v>
      </c>
      <c r="E5763" t="s">
        <v>80</v>
      </c>
      <c r="F5763" t="s">
        <v>81</v>
      </c>
      <c r="G5763" t="s">
        <v>15</v>
      </c>
      <c r="H5763" t="s">
        <v>17</v>
      </c>
      <c r="I5763" s="3">
        <v>42</v>
      </c>
      <c r="J5763" s="2">
        <v>111</v>
      </c>
      <c r="K5763" s="3">
        <f t="shared" ref="K5763:K5826" si="90">I5763*J5763</f>
        <v>4662</v>
      </c>
      <c r="L5763" s="3">
        <v>2284.38</v>
      </c>
    </row>
    <row r="5764" spans="1:12" x14ac:dyDescent="0.25">
      <c r="A5764" t="s">
        <v>26</v>
      </c>
      <c r="B5764">
        <v>1197831</v>
      </c>
      <c r="C5764" s="1">
        <v>44449</v>
      </c>
      <c r="D5764" t="s">
        <v>52</v>
      </c>
      <c r="E5764" t="s">
        <v>99</v>
      </c>
      <c r="F5764" t="s">
        <v>100</v>
      </c>
      <c r="G5764" t="s">
        <v>15</v>
      </c>
      <c r="H5764" t="s">
        <v>22</v>
      </c>
      <c r="I5764" s="3">
        <v>35</v>
      </c>
      <c r="J5764" s="2">
        <v>179</v>
      </c>
      <c r="K5764" s="3">
        <f t="shared" si="90"/>
        <v>6265</v>
      </c>
      <c r="L5764" s="3">
        <v>3007.2</v>
      </c>
    </row>
    <row r="5765" spans="1:12" x14ac:dyDescent="0.25">
      <c r="A5765" t="s">
        <v>36</v>
      </c>
      <c r="B5765">
        <v>1185732</v>
      </c>
      <c r="C5765" s="1">
        <v>44449</v>
      </c>
      <c r="D5765" t="s">
        <v>29</v>
      </c>
      <c r="E5765" t="s">
        <v>80</v>
      </c>
      <c r="F5765" t="s">
        <v>81</v>
      </c>
      <c r="G5765" t="s">
        <v>41</v>
      </c>
      <c r="H5765" t="s">
        <v>16</v>
      </c>
      <c r="I5765" s="3">
        <v>59</v>
      </c>
      <c r="J5765" s="2">
        <v>78</v>
      </c>
      <c r="K5765" s="3">
        <f t="shared" si="90"/>
        <v>4602</v>
      </c>
      <c r="L5765" s="3">
        <v>2070.9</v>
      </c>
    </row>
    <row r="5766" spans="1:12" x14ac:dyDescent="0.25">
      <c r="A5766" t="s">
        <v>26</v>
      </c>
      <c r="B5766">
        <v>1185732</v>
      </c>
      <c r="C5766" s="1">
        <v>44449</v>
      </c>
      <c r="D5766" t="s">
        <v>57</v>
      </c>
      <c r="E5766" t="s">
        <v>76</v>
      </c>
      <c r="F5766" t="s">
        <v>77</v>
      </c>
      <c r="G5766" t="s">
        <v>41</v>
      </c>
      <c r="H5766" t="s">
        <v>16</v>
      </c>
      <c r="I5766" s="3">
        <v>44</v>
      </c>
      <c r="J5766" s="2">
        <v>63</v>
      </c>
      <c r="K5766" s="3">
        <f t="shared" si="90"/>
        <v>2772</v>
      </c>
      <c r="L5766" s="3">
        <v>1247.3999999999999</v>
      </c>
    </row>
    <row r="5767" spans="1:12" x14ac:dyDescent="0.25">
      <c r="A5767" t="s">
        <v>36</v>
      </c>
      <c r="B5767">
        <v>1185732</v>
      </c>
      <c r="C5767" s="1">
        <v>44449</v>
      </c>
      <c r="D5767" t="s">
        <v>29</v>
      </c>
      <c r="E5767" t="s">
        <v>80</v>
      </c>
      <c r="F5767" t="s">
        <v>81</v>
      </c>
      <c r="G5767" t="s">
        <v>41</v>
      </c>
      <c r="H5767" t="s">
        <v>38</v>
      </c>
      <c r="I5767" s="3">
        <v>56</v>
      </c>
      <c r="J5767" s="2">
        <v>137</v>
      </c>
      <c r="K5767" s="3">
        <f t="shared" si="90"/>
        <v>7672</v>
      </c>
      <c r="L5767" s="3">
        <v>3298.9599999999991</v>
      </c>
    </row>
    <row r="5768" spans="1:12" x14ac:dyDescent="0.25">
      <c r="A5768" t="s">
        <v>26</v>
      </c>
      <c r="B5768">
        <v>1197831</v>
      </c>
      <c r="C5768" s="1">
        <v>44449</v>
      </c>
      <c r="D5768" t="s">
        <v>52</v>
      </c>
      <c r="E5768" t="s">
        <v>99</v>
      </c>
      <c r="F5768" t="s">
        <v>100</v>
      </c>
      <c r="G5768" t="s">
        <v>41</v>
      </c>
      <c r="H5768" t="s">
        <v>22</v>
      </c>
      <c r="I5768" s="3">
        <v>45</v>
      </c>
      <c r="J5768" s="2">
        <v>131</v>
      </c>
      <c r="K5768" s="3">
        <f t="shared" si="90"/>
        <v>5895</v>
      </c>
      <c r="L5768" s="3">
        <v>2475.9</v>
      </c>
    </row>
    <row r="5769" spans="1:12" x14ac:dyDescent="0.25">
      <c r="A5769" t="s">
        <v>36</v>
      </c>
      <c r="B5769">
        <v>1185732</v>
      </c>
      <c r="C5769" s="1">
        <v>44449</v>
      </c>
      <c r="D5769" t="s">
        <v>29</v>
      </c>
      <c r="E5769" t="s">
        <v>80</v>
      </c>
      <c r="F5769" t="s">
        <v>81</v>
      </c>
      <c r="G5769" t="s">
        <v>41</v>
      </c>
      <c r="H5769" t="s">
        <v>17</v>
      </c>
      <c r="I5769" s="3">
        <v>50</v>
      </c>
      <c r="J5769" s="2">
        <v>85</v>
      </c>
      <c r="K5769" s="3">
        <f t="shared" si="90"/>
        <v>4250</v>
      </c>
      <c r="L5769" s="3">
        <v>1700</v>
      </c>
    </row>
    <row r="5770" spans="1:12" x14ac:dyDescent="0.25">
      <c r="A5770" t="s">
        <v>27</v>
      </c>
      <c r="B5770">
        <v>1185732</v>
      </c>
      <c r="C5770" s="1">
        <v>44449</v>
      </c>
      <c r="D5770" t="s">
        <v>12</v>
      </c>
      <c r="E5770" t="s">
        <v>62</v>
      </c>
      <c r="F5770" t="s">
        <v>63</v>
      </c>
      <c r="G5770" t="s">
        <v>41</v>
      </c>
      <c r="H5770" t="s">
        <v>38</v>
      </c>
      <c r="I5770" s="3">
        <v>48</v>
      </c>
      <c r="J5770" s="2">
        <v>208</v>
      </c>
      <c r="K5770" s="3">
        <f t="shared" si="90"/>
        <v>9984</v>
      </c>
      <c r="L5770" s="3">
        <v>3594.24</v>
      </c>
    </row>
    <row r="5771" spans="1:12" x14ac:dyDescent="0.25">
      <c r="A5771" t="s">
        <v>23</v>
      </c>
      <c r="B5771">
        <v>1128299</v>
      </c>
      <c r="C5771" s="1">
        <v>44450</v>
      </c>
      <c r="D5771" t="s">
        <v>12</v>
      </c>
      <c r="E5771" t="s">
        <v>20</v>
      </c>
      <c r="F5771" t="s">
        <v>21</v>
      </c>
      <c r="G5771" t="s">
        <v>15</v>
      </c>
      <c r="H5771" t="s">
        <v>22</v>
      </c>
      <c r="I5771" s="3">
        <v>75.000000000000014</v>
      </c>
      <c r="J5771" s="2">
        <v>350</v>
      </c>
      <c r="K5771" s="3">
        <f t="shared" si="90"/>
        <v>26250.000000000004</v>
      </c>
      <c r="L5771" s="3">
        <v>22312.500000000007</v>
      </c>
    </row>
    <row r="5772" spans="1:12" x14ac:dyDescent="0.25">
      <c r="A5772" t="s">
        <v>23</v>
      </c>
      <c r="B5772">
        <v>1128299</v>
      </c>
      <c r="C5772" s="1">
        <v>44450</v>
      </c>
      <c r="D5772" t="s">
        <v>12</v>
      </c>
      <c r="E5772" t="s">
        <v>20</v>
      </c>
      <c r="F5772" t="s">
        <v>21</v>
      </c>
      <c r="G5772" t="s">
        <v>15</v>
      </c>
      <c r="H5772" t="s">
        <v>17</v>
      </c>
      <c r="I5772" s="3">
        <v>70.000000000000014</v>
      </c>
      <c r="J5772" s="2">
        <v>550</v>
      </c>
      <c r="K5772" s="3">
        <f t="shared" si="90"/>
        <v>38500.000000000007</v>
      </c>
      <c r="L5772" s="3">
        <v>30800.000000000007</v>
      </c>
    </row>
    <row r="5773" spans="1:12" x14ac:dyDescent="0.25">
      <c r="A5773" t="s">
        <v>23</v>
      </c>
      <c r="B5773">
        <v>1128299</v>
      </c>
      <c r="C5773" s="1">
        <v>44450</v>
      </c>
      <c r="D5773" t="s">
        <v>12</v>
      </c>
      <c r="E5773" t="s">
        <v>20</v>
      </c>
      <c r="F5773" t="s">
        <v>21</v>
      </c>
      <c r="G5773" t="s">
        <v>15</v>
      </c>
      <c r="H5773" t="s">
        <v>35</v>
      </c>
      <c r="I5773" s="3">
        <v>65.000000000000014</v>
      </c>
      <c r="J5773" s="2">
        <v>375</v>
      </c>
      <c r="K5773" s="3">
        <f t="shared" si="90"/>
        <v>24375.000000000004</v>
      </c>
      <c r="L5773" s="3">
        <v>18281.250000000007</v>
      </c>
    </row>
    <row r="5774" spans="1:12" x14ac:dyDescent="0.25">
      <c r="A5774" t="s">
        <v>23</v>
      </c>
      <c r="B5774">
        <v>1128299</v>
      </c>
      <c r="C5774" s="1">
        <v>44450</v>
      </c>
      <c r="D5774" t="s">
        <v>12</v>
      </c>
      <c r="E5774" t="s">
        <v>20</v>
      </c>
      <c r="F5774" t="s">
        <v>21</v>
      </c>
      <c r="G5774" t="s">
        <v>15</v>
      </c>
      <c r="H5774" t="s">
        <v>37</v>
      </c>
      <c r="I5774" s="3">
        <v>65.000000000000014</v>
      </c>
      <c r="J5774" s="2">
        <v>325</v>
      </c>
      <c r="K5774" s="3">
        <f t="shared" si="90"/>
        <v>21125.000000000004</v>
      </c>
      <c r="L5774" s="3">
        <v>15843.750000000005</v>
      </c>
    </row>
    <row r="5775" spans="1:12" x14ac:dyDescent="0.25">
      <c r="A5775" t="s">
        <v>23</v>
      </c>
      <c r="B5775">
        <v>1128299</v>
      </c>
      <c r="C5775" s="1">
        <v>44450</v>
      </c>
      <c r="D5775" t="s">
        <v>12</v>
      </c>
      <c r="E5775" t="s">
        <v>20</v>
      </c>
      <c r="F5775" t="s">
        <v>21</v>
      </c>
      <c r="G5775" t="s">
        <v>15</v>
      </c>
      <c r="H5775" t="s">
        <v>38</v>
      </c>
      <c r="I5775" s="3">
        <v>65.000000000000014</v>
      </c>
      <c r="J5775" s="2">
        <v>550</v>
      </c>
      <c r="K5775" s="3">
        <f t="shared" si="90"/>
        <v>35750.000000000007</v>
      </c>
      <c r="L5775" s="3">
        <v>26812.500000000007</v>
      </c>
    </row>
    <row r="5776" spans="1:12" x14ac:dyDescent="0.25">
      <c r="A5776" t="s">
        <v>11</v>
      </c>
      <c r="B5776">
        <v>1185732</v>
      </c>
      <c r="C5776" s="1">
        <v>44450</v>
      </c>
      <c r="D5776" t="s">
        <v>57</v>
      </c>
      <c r="E5776" t="s">
        <v>103</v>
      </c>
      <c r="F5776" t="s">
        <v>104</v>
      </c>
      <c r="G5776" t="s">
        <v>18</v>
      </c>
      <c r="H5776" t="s">
        <v>22</v>
      </c>
      <c r="I5776" s="3">
        <v>35</v>
      </c>
      <c r="J5776" s="2">
        <v>150</v>
      </c>
      <c r="K5776" s="3">
        <f t="shared" si="90"/>
        <v>5250</v>
      </c>
      <c r="L5776" s="3">
        <v>3675</v>
      </c>
    </row>
    <row r="5777" spans="1:12" x14ac:dyDescent="0.25">
      <c r="A5777" t="s">
        <v>11</v>
      </c>
      <c r="B5777">
        <v>1185732</v>
      </c>
      <c r="C5777" s="1">
        <v>44450</v>
      </c>
      <c r="D5777" t="s">
        <v>57</v>
      </c>
      <c r="E5777" t="s">
        <v>103</v>
      </c>
      <c r="F5777" t="s">
        <v>104</v>
      </c>
      <c r="G5777" t="s">
        <v>18</v>
      </c>
      <c r="H5777" t="s">
        <v>35</v>
      </c>
      <c r="I5777" s="3">
        <v>25.000000000000007</v>
      </c>
      <c r="J5777" s="2">
        <v>175</v>
      </c>
      <c r="K5777" s="3">
        <f t="shared" si="90"/>
        <v>4375.0000000000009</v>
      </c>
      <c r="L5777" s="3">
        <v>2843.7500000000009</v>
      </c>
    </row>
    <row r="5778" spans="1:12" x14ac:dyDescent="0.25">
      <c r="A5778" t="s">
        <v>11</v>
      </c>
      <c r="B5778">
        <v>1185732</v>
      </c>
      <c r="C5778" s="1">
        <v>44450</v>
      </c>
      <c r="D5778" t="s">
        <v>57</v>
      </c>
      <c r="E5778" t="s">
        <v>103</v>
      </c>
      <c r="F5778" t="s">
        <v>104</v>
      </c>
      <c r="G5778" t="s">
        <v>18</v>
      </c>
      <c r="H5778" t="s">
        <v>37</v>
      </c>
      <c r="I5778" s="3">
        <v>25.000000000000007</v>
      </c>
      <c r="J5778" s="2">
        <v>150</v>
      </c>
      <c r="K5778" s="3">
        <f t="shared" si="90"/>
        <v>3750.0000000000009</v>
      </c>
      <c r="L5778" s="3">
        <v>2437.5000000000009</v>
      </c>
    </row>
    <row r="5779" spans="1:12" x14ac:dyDescent="0.25">
      <c r="A5779" t="s">
        <v>26</v>
      </c>
      <c r="B5779">
        <v>1197831</v>
      </c>
      <c r="C5779" s="1">
        <v>44450</v>
      </c>
      <c r="D5779" t="s">
        <v>52</v>
      </c>
      <c r="E5779" t="s">
        <v>53</v>
      </c>
      <c r="F5779" t="s">
        <v>54</v>
      </c>
      <c r="G5779" t="s">
        <v>15</v>
      </c>
      <c r="H5779" t="s">
        <v>17</v>
      </c>
      <c r="I5779" s="3">
        <v>50</v>
      </c>
      <c r="J5779" s="2">
        <v>800</v>
      </c>
      <c r="K5779" s="3">
        <f t="shared" si="90"/>
        <v>40000</v>
      </c>
      <c r="L5779" s="3">
        <v>26000</v>
      </c>
    </row>
    <row r="5780" spans="1:12" x14ac:dyDescent="0.25">
      <c r="A5780" t="s">
        <v>23</v>
      </c>
      <c r="B5780">
        <v>1128299</v>
      </c>
      <c r="C5780" s="1">
        <v>44450</v>
      </c>
      <c r="D5780" t="s">
        <v>12</v>
      </c>
      <c r="E5780" t="s">
        <v>20</v>
      </c>
      <c r="F5780" t="s">
        <v>21</v>
      </c>
      <c r="G5780" t="s">
        <v>15</v>
      </c>
      <c r="H5780" t="s">
        <v>16</v>
      </c>
      <c r="I5780" s="3">
        <v>60</v>
      </c>
      <c r="J5780" s="2">
        <v>375</v>
      </c>
      <c r="K5780" s="3">
        <f t="shared" si="90"/>
        <v>22500</v>
      </c>
      <c r="L5780" s="3">
        <v>13500</v>
      </c>
    </row>
    <row r="5781" spans="1:12" x14ac:dyDescent="0.25">
      <c r="A5781" t="s">
        <v>11</v>
      </c>
      <c r="B5781">
        <v>1185732</v>
      </c>
      <c r="C5781" s="1">
        <v>44450</v>
      </c>
      <c r="D5781" t="s">
        <v>57</v>
      </c>
      <c r="E5781" t="s">
        <v>103</v>
      </c>
      <c r="F5781" t="s">
        <v>104</v>
      </c>
      <c r="G5781" t="s">
        <v>18</v>
      </c>
      <c r="H5781" t="s">
        <v>38</v>
      </c>
      <c r="I5781" s="3">
        <v>35</v>
      </c>
      <c r="J5781" s="2">
        <v>475</v>
      </c>
      <c r="K5781" s="3">
        <f t="shared" si="90"/>
        <v>16625</v>
      </c>
      <c r="L5781" s="3">
        <v>9975</v>
      </c>
    </row>
    <row r="5782" spans="1:12" x14ac:dyDescent="0.25">
      <c r="A5782" t="s">
        <v>11</v>
      </c>
      <c r="B5782">
        <v>1185732</v>
      </c>
      <c r="C5782" s="1">
        <v>44450</v>
      </c>
      <c r="D5782" t="s">
        <v>57</v>
      </c>
      <c r="E5782" t="s">
        <v>103</v>
      </c>
      <c r="F5782" t="s">
        <v>104</v>
      </c>
      <c r="G5782" t="s">
        <v>18</v>
      </c>
      <c r="H5782" t="s">
        <v>17</v>
      </c>
      <c r="I5782" s="3">
        <v>30.000000000000011</v>
      </c>
      <c r="J5782" s="2">
        <v>275</v>
      </c>
      <c r="K5782" s="3">
        <f t="shared" si="90"/>
        <v>8250.0000000000036</v>
      </c>
      <c r="L5782" s="3">
        <v>4950.0000000000018</v>
      </c>
    </row>
    <row r="5783" spans="1:12" x14ac:dyDescent="0.25">
      <c r="A5783" t="s">
        <v>11</v>
      </c>
      <c r="B5783">
        <v>1185732</v>
      </c>
      <c r="C5783" s="1">
        <v>44450</v>
      </c>
      <c r="D5783" t="s">
        <v>57</v>
      </c>
      <c r="E5783" t="s">
        <v>103</v>
      </c>
      <c r="F5783" t="s">
        <v>104</v>
      </c>
      <c r="G5783" t="s">
        <v>18</v>
      </c>
      <c r="H5783" t="s">
        <v>16</v>
      </c>
      <c r="I5783" s="3">
        <v>40</v>
      </c>
      <c r="J5783" s="2">
        <v>225</v>
      </c>
      <c r="K5783" s="3">
        <f t="shared" si="90"/>
        <v>9000</v>
      </c>
      <c r="L5783" s="3">
        <v>5400</v>
      </c>
    </row>
    <row r="5784" spans="1:12" x14ac:dyDescent="0.25">
      <c r="A5784" t="s">
        <v>26</v>
      </c>
      <c r="B5784">
        <v>1197831</v>
      </c>
      <c r="C5784" s="1">
        <v>44450</v>
      </c>
      <c r="D5784" t="s">
        <v>52</v>
      </c>
      <c r="E5784" t="s">
        <v>99</v>
      </c>
      <c r="F5784" t="s">
        <v>100</v>
      </c>
      <c r="G5784" t="s">
        <v>15</v>
      </c>
      <c r="H5784" t="s">
        <v>16</v>
      </c>
      <c r="I5784" s="3">
        <v>60</v>
      </c>
      <c r="J5784" s="2">
        <v>800</v>
      </c>
      <c r="K5784" s="3">
        <f t="shared" si="90"/>
        <v>48000</v>
      </c>
      <c r="L5784" s="3">
        <v>16799.999999999993</v>
      </c>
    </row>
    <row r="5785" spans="1:12" x14ac:dyDescent="0.25">
      <c r="A5785" t="s">
        <v>23</v>
      </c>
      <c r="B5785">
        <v>1128299</v>
      </c>
      <c r="C5785" s="1">
        <v>44450</v>
      </c>
      <c r="D5785" t="s">
        <v>12</v>
      </c>
      <c r="E5785" t="s">
        <v>20</v>
      </c>
      <c r="F5785" t="s">
        <v>21</v>
      </c>
      <c r="G5785" t="s">
        <v>41</v>
      </c>
      <c r="H5785" t="s">
        <v>22</v>
      </c>
      <c r="I5785" s="3">
        <v>71</v>
      </c>
      <c r="J5785" s="2">
        <v>91</v>
      </c>
      <c r="K5785" s="3">
        <f t="shared" si="90"/>
        <v>6461</v>
      </c>
      <c r="L5785" s="3">
        <v>4522.7</v>
      </c>
    </row>
    <row r="5786" spans="1:12" x14ac:dyDescent="0.25">
      <c r="A5786" t="s">
        <v>23</v>
      </c>
      <c r="B5786">
        <v>1128299</v>
      </c>
      <c r="C5786" s="1">
        <v>44450</v>
      </c>
      <c r="D5786" t="s">
        <v>12</v>
      </c>
      <c r="E5786" t="s">
        <v>20</v>
      </c>
      <c r="F5786" t="s">
        <v>21</v>
      </c>
      <c r="G5786" t="s">
        <v>41</v>
      </c>
      <c r="H5786" t="s">
        <v>17</v>
      </c>
      <c r="I5786" s="3">
        <v>69</v>
      </c>
      <c r="J5786" s="2">
        <v>149</v>
      </c>
      <c r="K5786" s="3">
        <f t="shared" si="90"/>
        <v>10281</v>
      </c>
      <c r="L5786" s="3">
        <v>6888.27</v>
      </c>
    </row>
    <row r="5787" spans="1:12" x14ac:dyDescent="0.25">
      <c r="A5787" t="s">
        <v>23</v>
      </c>
      <c r="B5787">
        <v>1128299</v>
      </c>
      <c r="C5787" s="1">
        <v>44450</v>
      </c>
      <c r="D5787" t="s">
        <v>12</v>
      </c>
      <c r="E5787" t="s">
        <v>20</v>
      </c>
      <c r="F5787" t="s">
        <v>21</v>
      </c>
      <c r="G5787" t="s">
        <v>41</v>
      </c>
      <c r="H5787" t="s">
        <v>38</v>
      </c>
      <c r="I5787" s="3">
        <v>62</v>
      </c>
      <c r="J5787" s="2">
        <v>149</v>
      </c>
      <c r="K5787" s="3">
        <f t="shared" si="90"/>
        <v>9238</v>
      </c>
      <c r="L5787" s="3">
        <v>5912.32</v>
      </c>
    </row>
    <row r="5788" spans="1:12" x14ac:dyDescent="0.25">
      <c r="A5788" t="s">
        <v>23</v>
      </c>
      <c r="B5788">
        <v>1128299</v>
      </c>
      <c r="C5788" s="1">
        <v>44450</v>
      </c>
      <c r="D5788" t="s">
        <v>12</v>
      </c>
      <c r="E5788" t="s">
        <v>20</v>
      </c>
      <c r="F5788" t="s">
        <v>21</v>
      </c>
      <c r="G5788" t="s">
        <v>41</v>
      </c>
      <c r="H5788" t="s">
        <v>35</v>
      </c>
      <c r="I5788" s="3">
        <v>64</v>
      </c>
      <c r="J5788" s="2">
        <v>105</v>
      </c>
      <c r="K5788" s="3">
        <f t="shared" si="90"/>
        <v>6720</v>
      </c>
      <c r="L5788" s="3">
        <v>4099.2</v>
      </c>
    </row>
    <row r="5789" spans="1:12" x14ac:dyDescent="0.25">
      <c r="A5789" t="s">
        <v>11</v>
      </c>
      <c r="B5789">
        <v>1185732</v>
      </c>
      <c r="C5789" s="1">
        <v>44450</v>
      </c>
      <c r="D5789" t="s">
        <v>57</v>
      </c>
      <c r="E5789" t="s">
        <v>103</v>
      </c>
      <c r="F5789" t="s">
        <v>104</v>
      </c>
      <c r="G5789" t="s">
        <v>41</v>
      </c>
      <c r="H5789" t="s">
        <v>22</v>
      </c>
      <c r="I5789" s="3">
        <v>33</v>
      </c>
      <c r="J5789" s="2">
        <v>42</v>
      </c>
      <c r="K5789" s="3">
        <f t="shared" si="90"/>
        <v>1386</v>
      </c>
      <c r="L5789" s="3">
        <v>831.6</v>
      </c>
    </row>
    <row r="5790" spans="1:12" x14ac:dyDescent="0.25">
      <c r="A5790" t="s">
        <v>23</v>
      </c>
      <c r="B5790">
        <v>1128299</v>
      </c>
      <c r="C5790" s="1">
        <v>44450</v>
      </c>
      <c r="D5790" t="s">
        <v>12</v>
      </c>
      <c r="E5790" t="s">
        <v>20</v>
      </c>
      <c r="F5790" t="s">
        <v>21</v>
      </c>
      <c r="G5790" t="s">
        <v>41</v>
      </c>
      <c r="H5790" t="s">
        <v>37</v>
      </c>
      <c r="I5790" s="3">
        <v>62</v>
      </c>
      <c r="J5790" s="2">
        <v>85</v>
      </c>
      <c r="K5790" s="3">
        <f t="shared" si="90"/>
        <v>5270</v>
      </c>
      <c r="L5790" s="3">
        <v>3162</v>
      </c>
    </row>
    <row r="5791" spans="1:12" x14ac:dyDescent="0.25">
      <c r="A5791" t="s">
        <v>26</v>
      </c>
      <c r="B5791">
        <v>1197831</v>
      </c>
      <c r="C5791" s="1">
        <v>44450</v>
      </c>
      <c r="D5791" t="s">
        <v>52</v>
      </c>
      <c r="E5791" t="s">
        <v>53</v>
      </c>
      <c r="F5791" t="s">
        <v>54</v>
      </c>
      <c r="G5791" t="s">
        <v>15</v>
      </c>
      <c r="H5791" t="s">
        <v>17</v>
      </c>
      <c r="I5791" s="3">
        <v>40</v>
      </c>
      <c r="J5791" s="2">
        <v>280</v>
      </c>
      <c r="K5791" s="3">
        <f t="shared" si="90"/>
        <v>11200</v>
      </c>
      <c r="L5791" s="3">
        <v>6608</v>
      </c>
    </row>
    <row r="5792" spans="1:12" x14ac:dyDescent="0.25">
      <c r="A5792" t="s">
        <v>11</v>
      </c>
      <c r="B5792">
        <v>1185732</v>
      </c>
      <c r="C5792" s="1">
        <v>44450</v>
      </c>
      <c r="D5792" t="s">
        <v>57</v>
      </c>
      <c r="E5792" t="s">
        <v>103</v>
      </c>
      <c r="F5792" t="s">
        <v>104</v>
      </c>
      <c r="G5792" t="s">
        <v>41</v>
      </c>
      <c r="H5792" t="s">
        <v>35</v>
      </c>
      <c r="I5792" s="3">
        <v>23</v>
      </c>
      <c r="J5792" s="2">
        <v>49</v>
      </c>
      <c r="K5792" s="3">
        <f t="shared" si="90"/>
        <v>1127</v>
      </c>
      <c r="L5792" s="3">
        <v>597.31000000000006</v>
      </c>
    </row>
    <row r="5793" spans="1:12" x14ac:dyDescent="0.25">
      <c r="A5793" t="s">
        <v>11</v>
      </c>
      <c r="B5793">
        <v>1185732</v>
      </c>
      <c r="C5793" s="1">
        <v>44450</v>
      </c>
      <c r="D5793" t="s">
        <v>57</v>
      </c>
      <c r="E5793" t="s">
        <v>103</v>
      </c>
      <c r="F5793" t="s">
        <v>104</v>
      </c>
      <c r="G5793" t="s">
        <v>41</v>
      </c>
      <c r="H5793" t="s">
        <v>37</v>
      </c>
      <c r="I5793" s="3">
        <v>24</v>
      </c>
      <c r="J5793" s="2">
        <v>41</v>
      </c>
      <c r="K5793" s="3">
        <f t="shared" si="90"/>
        <v>984</v>
      </c>
      <c r="L5793" s="3">
        <v>521.52</v>
      </c>
    </row>
    <row r="5794" spans="1:12" x14ac:dyDescent="0.25">
      <c r="A5794" t="s">
        <v>26</v>
      </c>
      <c r="B5794">
        <v>1197831</v>
      </c>
      <c r="C5794" s="1">
        <v>44450</v>
      </c>
      <c r="D5794" t="s">
        <v>52</v>
      </c>
      <c r="E5794" t="s">
        <v>53</v>
      </c>
      <c r="F5794" t="s">
        <v>54</v>
      </c>
      <c r="G5794" t="s">
        <v>41</v>
      </c>
      <c r="H5794" t="s">
        <v>17</v>
      </c>
      <c r="I5794" s="3">
        <v>49</v>
      </c>
      <c r="J5794" s="2">
        <v>200</v>
      </c>
      <c r="K5794" s="3">
        <f t="shared" si="90"/>
        <v>9800</v>
      </c>
      <c r="L5794" s="3">
        <v>5096</v>
      </c>
    </row>
    <row r="5795" spans="1:12" x14ac:dyDescent="0.25">
      <c r="A5795" t="s">
        <v>11</v>
      </c>
      <c r="B5795">
        <v>1185732</v>
      </c>
      <c r="C5795" s="1">
        <v>44450</v>
      </c>
      <c r="D5795" t="s">
        <v>57</v>
      </c>
      <c r="E5795" t="s">
        <v>103</v>
      </c>
      <c r="F5795" t="s">
        <v>104</v>
      </c>
      <c r="G5795" t="s">
        <v>41</v>
      </c>
      <c r="H5795" t="s">
        <v>17</v>
      </c>
      <c r="I5795" s="3">
        <v>29</v>
      </c>
      <c r="J5795" s="2">
        <v>74</v>
      </c>
      <c r="K5795" s="3">
        <f t="shared" si="90"/>
        <v>2146</v>
      </c>
      <c r="L5795" s="3">
        <v>1073</v>
      </c>
    </row>
    <row r="5796" spans="1:12" x14ac:dyDescent="0.25">
      <c r="A5796" t="s">
        <v>11</v>
      </c>
      <c r="B5796">
        <v>1185732</v>
      </c>
      <c r="C5796" s="1">
        <v>44450</v>
      </c>
      <c r="D5796" t="s">
        <v>57</v>
      </c>
      <c r="E5796" t="s">
        <v>103</v>
      </c>
      <c r="F5796" t="s">
        <v>104</v>
      </c>
      <c r="G5796" t="s">
        <v>41</v>
      </c>
      <c r="H5796" t="s">
        <v>16</v>
      </c>
      <c r="I5796" s="3">
        <v>36</v>
      </c>
      <c r="J5796" s="2">
        <v>68</v>
      </c>
      <c r="K5796" s="3">
        <f t="shared" si="90"/>
        <v>2448</v>
      </c>
      <c r="L5796" s="3">
        <v>1175.04</v>
      </c>
    </row>
    <row r="5797" spans="1:12" x14ac:dyDescent="0.25">
      <c r="A5797" t="s">
        <v>23</v>
      </c>
      <c r="B5797">
        <v>1128299</v>
      </c>
      <c r="C5797" s="1">
        <v>44450</v>
      </c>
      <c r="D5797" t="s">
        <v>12</v>
      </c>
      <c r="E5797" t="s">
        <v>20</v>
      </c>
      <c r="F5797" t="s">
        <v>21</v>
      </c>
      <c r="G5797" t="s">
        <v>41</v>
      </c>
      <c r="H5797" t="s">
        <v>16</v>
      </c>
      <c r="I5797" s="3">
        <v>56</v>
      </c>
      <c r="J5797" s="2">
        <v>105</v>
      </c>
      <c r="K5797" s="3">
        <f t="shared" si="90"/>
        <v>5880</v>
      </c>
      <c r="L5797" s="3">
        <v>2763.6</v>
      </c>
    </row>
    <row r="5798" spans="1:12" x14ac:dyDescent="0.25">
      <c r="A5798" t="s">
        <v>11</v>
      </c>
      <c r="B5798">
        <v>1185732</v>
      </c>
      <c r="C5798" s="1">
        <v>44450</v>
      </c>
      <c r="D5798" t="s">
        <v>57</v>
      </c>
      <c r="E5798" t="s">
        <v>103</v>
      </c>
      <c r="F5798" t="s">
        <v>104</v>
      </c>
      <c r="G5798" t="s">
        <v>41</v>
      </c>
      <c r="H5798" t="s">
        <v>38</v>
      </c>
      <c r="I5798" s="3">
        <v>33</v>
      </c>
      <c r="J5798" s="2">
        <v>133</v>
      </c>
      <c r="K5798" s="3">
        <f t="shared" si="90"/>
        <v>4389</v>
      </c>
      <c r="L5798" s="3">
        <v>2018.94</v>
      </c>
    </row>
    <row r="5799" spans="1:12" x14ac:dyDescent="0.25">
      <c r="A5799" t="s">
        <v>26</v>
      </c>
      <c r="B5799">
        <v>1197831</v>
      </c>
      <c r="C5799" s="1">
        <v>44450</v>
      </c>
      <c r="D5799" t="s">
        <v>52</v>
      </c>
      <c r="E5799" t="s">
        <v>99</v>
      </c>
      <c r="F5799" t="s">
        <v>100</v>
      </c>
      <c r="G5799" t="s">
        <v>15</v>
      </c>
      <c r="H5799" t="s">
        <v>16</v>
      </c>
      <c r="I5799" s="3">
        <v>47</v>
      </c>
      <c r="J5799" s="2">
        <v>280</v>
      </c>
      <c r="K5799" s="3">
        <f t="shared" si="90"/>
        <v>13160</v>
      </c>
      <c r="L5799" s="3">
        <v>3947.9999999999982</v>
      </c>
    </row>
    <row r="5800" spans="1:12" x14ac:dyDescent="0.25">
      <c r="A5800" t="s">
        <v>26</v>
      </c>
      <c r="B5800">
        <v>1197831</v>
      </c>
      <c r="C5800" s="1">
        <v>44450</v>
      </c>
      <c r="D5800" t="s">
        <v>52</v>
      </c>
      <c r="E5800" t="s">
        <v>99</v>
      </c>
      <c r="F5800" t="s">
        <v>100</v>
      </c>
      <c r="G5800" t="s">
        <v>41</v>
      </c>
      <c r="H5800" t="s">
        <v>16</v>
      </c>
      <c r="I5800" s="3">
        <v>56</v>
      </c>
      <c r="J5800" s="2">
        <v>240</v>
      </c>
      <c r="K5800" s="3">
        <f t="shared" si="90"/>
        <v>13440</v>
      </c>
      <c r="L5800" s="3">
        <v>2687.9999999999982</v>
      </c>
    </row>
    <row r="5801" spans="1:12" x14ac:dyDescent="0.25">
      <c r="A5801" t="s">
        <v>11</v>
      </c>
      <c r="B5801">
        <v>1185732</v>
      </c>
      <c r="C5801" s="1">
        <v>44451</v>
      </c>
      <c r="D5801" t="s">
        <v>12</v>
      </c>
      <c r="E5801" t="s">
        <v>101</v>
      </c>
      <c r="F5801" t="s">
        <v>102</v>
      </c>
      <c r="G5801" t="s">
        <v>18</v>
      </c>
      <c r="H5801" t="s">
        <v>35</v>
      </c>
      <c r="I5801" s="3">
        <v>10.000000000000002</v>
      </c>
      <c r="J5801" s="2">
        <v>350</v>
      </c>
      <c r="K5801" s="3">
        <f t="shared" si="90"/>
        <v>3500.0000000000005</v>
      </c>
      <c r="L5801" s="3">
        <v>2275.0000000000009</v>
      </c>
    </row>
    <row r="5802" spans="1:12" x14ac:dyDescent="0.25">
      <c r="A5802" t="s">
        <v>27</v>
      </c>
      <c r="B5802">
        <v>1197831</v>
      </c>
      <c r="C5802" s="1">
        <v>44451</v>
      </c>
      <c r="D5802" t="s">
        <v>57</v>
      </c>
      <c r="E5802" t="s">
        <v>72</v>
      </c>
      <c r="F5802" t="s">
        <v>73</v>
      </c>
      <c r="G5802" t="s">
        <v>41</v>
      </c>
      <c r="H5802" t="s">
        <v>17</v>
      </c>
      <c r="I5802" s="3">
        <v>40.000000000000014</v>
      </c>
      <c r="J5802" s="2">
        <v>350</v>
      </c>
      <c r="K5802" s="3">
        <f t="shared" si="90"/>
        <v>14000.000000000005</v>
      </c>
      <c r="L5802" s="3">
        <v>9100.0000000000036</v>
      </c>
    </row>
    <row r="5803" spans="1:12" x14ac:dyDescent="0.25">
      <c r="A5803" t="s">
        <v>27</v>
      </c>
      <c r="B5803">
        <v>1197831</v>
      </c>
      <c r="C5803" s="1">
        <v>44451</v>
      </c>
      <c r="D5803" t="s">
        <v>57</v>
      </c>
      <c r="E5803" t="s">
        <v>72</v>
      </c>
      <c r="F5803" t="s">
        <v>73</v>
      </c>
      <c r="G5803" t="s">
        <v>41</v>
      </c>
      <c r="H5803" t="s">
        <v>22</v>
      </c>
      <c r="I5803" s="3">
        <v>25.000000000000007</v>
      </c>
      <c r="J5803" s="2">
        <v>225</v>
      </c>
      <c r="K5803" s="3">
        <f t="shared" si="90"/>
        <v>5625.0000000000018</v>
      </c>
      <c r="L5803" s="3">
        <v>3656.2500000000014</v>
      </c>
    </row>
    <row r="5804" spans="1:12" x14ac:dyDescent="0.25">
      <c r="A5804" t="s">
        <v>26</v>
      </c>
      <c r="B5804">
        <v>1197831</v>
      </c>
      <c r="C5804" s="1">
        <v>44451</v>
      </c>
      <c r="D5804" t="s">
        <v>52</v>
      </c>
      <c r="E5804" t="s">
        <v>53</v>
      </c>
      <c r="F5804" t="s">
        <v>54</v>
      </c>
      <c r="G5804" t="s">
        <v>15</v>
      </c>
      <c r="H5804" t="s">
        <v>35</v>
      </c>
      <c r="I5804" s="3">
        <v>45</v>
      </c>
      <c r="J5804" s="2">
        <v>650</v>
      </c>
      <c r="K5804" s="3">
        <f t="shared" si="90"/>
        <v>29250</v>
      </c>
      <c r="L5804" s="3">
        <v>19012.5</v>
      </c>
    </row>
    <row r="5805" spans="1:12" x14ac:dyDescent="0.25">
      <c r="A5805" t="s">
        <v>11</v>
      </c>
      <c r="B5805">
        <v>1185732</v>
      </c>
      <c r="C5805" s="1">
        <v>44451</v>
      </c>
      <c r="D5805" t="s">
        <v>12</v>
      </c>
      <c r="E5805" t="s">
        <v>101</v>
      </c>
      <c r="F5805" t="s">
        <v>102</v>
      </c>
      <c r="G5805" t="s">
        <v>18</v>
      </c>
      <c r="H5805" t="s">
        <v>22</v>
      </c>
      <c r="I5805" s="3">
        <v>20</v>
      </c>
      <c r="J5805" s="2">
        <v>325</v>
      </c>
      <c r="K5805" s="3">
        <f t="shared" si="90"/>
        <v>6500</v>
      </c>
      <c r="L5805" s="3">
        <v>4225</v>
      </c>
    </row>
    <row r="5806" spans="1:12" x14ac:dyDescent="0.25">
      <c r="A5806" t="s">
        <v>27</v>
      </c>
      <c r="B5806">
        <v>1197831</v>
      </c>
      <c r="C5806" s="1">
        <v>44451</v>
      </c>
      <c r="D5806" t="s">
        <v>57</v>
      </c>
      <c r="E5806" t="s">
        <v>72</v>
      </c>
      <c r="F5806" t="s">
        <v>73</v>
      </c>
      <c r="G5806" t="s">
        <v>41</v>
      </c>
      <c r="H5806" t="s">
        <v>38</v>
      </c>
      <c r="I5806" s="3">
        <v>50</v>
      </c>
      <c r="J5806" s="2">
        <v>550</v>
      </c>
      <c r="K5806" s="3">
        <f t="shared" si="90"/>
        <v>27500</v>
      </c>
      <c r="L5806" s="3">
        <v>17875</v>
      </c>
    </row>
    <row r="5807" spans="1:12" x14ac:dyDescent="0.25">
      <c r="A5807" t="s">
        <v>11</v>
      </c>
      <c r="B5807">
        <v>1185732</v>
      </c>
      <c r="C5807" s="1">
        <v>44451</v>
      </c>
      <c r="D5807" t="s">
        <v>12</v>
      </c>
      <c r="E5807" t="s">
        <v>101</v>
      </c>
      <c r="F5807" t="s">
        <v>102</v>
      </c>
      <c r="G5807" t="s">
        <v>18</v>
      </c>
      <c r="H5807" t="s">
        <v>17</v>
      </c>
      <c r="I5807" s="3">
        <v>25.000000000000011</v>
      </c>
      <c r="J5807" s="2">
        <v>450</v>
      </c>
      <c r="K5807" s="3">
        <f t="shared" si="90"/>
        <v>11250.000000000005</v>
      </c>
      <c r="L5807" s="3">
        <v>7312.5000000000027</v>
      </c>
    </row>
    <row r="5808" spans="1:12" x14ac:dyDescent="0.25">
      <c r="A5808" t="s">
        <v>27</v>
      </c>
      <c r="B5808">
        <v>1197831</v>
      </c>
      <c r="C5808" s="1">
        <v>44451</v>
      </c>
      <c r="D5808" t="s">
        <v>57</v>
      </c>
      <c r="E5808" t="s">
        <v>72</v>
      </c>
      <c r="F5808" t="s">
        <v>73</v>
      </c>
      <c r="G5808" t="s">
        <v>41</v>
      </c>
      <c r="H5808" t="s">
        <v>35</v>
      </c>
      <c r="I5808" s="3">
        <v>15.000000000000007</v>
      </c>
      <c r="J5808" s="2">
        <v>250</v>
      </c>
      <c r="K5808" s="3">
        <f t="shared" si="90"/>
        <v>3750.0000000000018</v>
      </c>
      <c r="L5808" s="3">
        <v>2437.5000000000009</v>
      </c>
    </row>
    <row r="5809" spans="1:12" x14ac:dyDescent="0.25">
      <c r="A5809" t="s">
        <v>27</v>
      </c>
      <c r="B5809">
        <v>1197831</v>
      </c>
      <c r="C5809" s="1">
        <v>44451</v>
      </c>
      <c r="D5809" t="s">
        <v>57</v>
      </c>
      <c r="E5809" t="s">
        <v>72</v>
      </c>
      <c r="F5809" t="s">
        <v>73</v>
      </c>
      <c r="G5809" t="s">
        <v>41</v>
      </c>
      <c r="H5809" t="s">
        <v>37</v>
      </c>
      <c r="I5809" s="3">
        <v>15.000000000000007</v>
      </c>
      <c r="J5809" s="2">
        <v>225</v>
      </c>
      <c r="K5809" s="3">
        <f t="shared" si="90"/>
        <v>3375.0000000000018</v>
      </c>
      <c r="L5809" s="3">
        <v>2193.7500000000009</v>
      </c>
    </row>
    <row r="5810" spans="1:12" x14ac:dyDescent="0.25">
      <c r="A5810" t="s">
        <v>27</v>
      </c>
      <c r="B5810">
        <v>1197831</v>
      </c>
      <c r="C5810" s="1">
        <v>44451</v>
      </c>
      <c r="D5810" t="s">
        <v>57</v>
      </c>
      <c r="E5810" t="s">
        <v>72</v>
      </c>
      <c r="F5810" t="s">
        <v>73</v>
      </c>
      <c r="G5810" t="s">
        <v>41</v>
      </c>
      <c r="H5810" t="s">
        <v>16</v>
      </c>
      <c r="I5810" s="3">
        <v>30.000000000000011</v>
      </c>
      <c r="J5810" s="2">
        <v>325</v>
      </c>
      <c r="K5810" s="3">
        <f t="shared" si="90"/>
        <v>9750.0000000000036</v>
      </c>
      <c r="L5810" s="3">
        <v>6337.5000000000018</v>
      </c>
    </row>
    <row r="5811" spans="1:12" x14ac:dyDescent="0.25">
      <c r="A5811" t="s">
        <v>11</v>
      </c>
      <c r="B5811">
        <v>1185732</v>
      </c>
      <c r="C5811" s="1">
        <v>44451</v>
      </c>
      <c r="D5811" t="s">
        <v>12</v>
      </c>
      <c r="E5811" t="s">
        <v>101</v>
      </c>
      <c r="F5811" t="s">
        <v>102</v>
      </c>
      <c r="G5811" t="s">
        <v>18</v>
      </c>
      <c r="H5811" t="s">
        <v>38</v>
      </c>
      <c r="I5811" s="3">
        <v>30.000000000000004</v>
      </c>
      <c r="J5811" s="2">
        <v>650</v>
      </c>
      <c r="K5811" s="3">
        <f t="shared" si="90"/>
        <v>19500.000000000004</v>
      </c>
      <c r="L5811" s="3">
        <v>11700.000000000002</v>
      </c>
    </row>
    <row r="5812" spans="1:12" x14ac:dyDescent="0.25">
      <c r="A5812" t="s">
        <v>11</v>
      </c>
      <c r="B5812">
        <v>1185732</v>
      </c>
      <c r="C5812" s="1">
        <v>44451</v>
      </c>
      <c r="D5812" t="s">
        <v>12</v>
      </c>
      <c r="E5812" t="s">
        <v>101</v>
      </c>
      <c r="F5812" t="s">
        <v>102</v>
      </c>
      <c r="G5812" t="s">
        <v>18</v>
      </c>
      <c r="H5812" t="s">
        <v>37</v>
      </c>
      <c r="I5812" s="3">
        <v>10.000000000000002</v>
      </c>
      <c r="J5812" s="2">
        <v>325</v>
      </c>
      <c r="K5812" s="3">
        <f t="shared" si="90"/>
        <v>3250.0000000000005</v>
      </c>
      <c r="L5812" s="3">
        <v>1950.0000000000005</v>
      </c>
    </row>
    <row r="5813" spans="1:12" x14ac:dyDescent="0.25">
      <c r="A5813" t="s">
        <v>26</v>
      </c>
      <c r="B5813">
        <v>1197831</v>
      </c>
      <c r="C5813" s="1">
        <v>44451</v>
      </c>
      <c r="D5813" t="s">
        <v>52</v>
      </c>
      <c r="E5813" t="s">
        <v>99</v>
      </c>
      <c r="F5813" t="s">
        <v>100</v>
      </c>
      <c r="G5813" t="s">
        <v>15</v>
      </c>
      <c r="H5813" t="s">
        <v>38</v>
      </c>
      <c r="I5813" s="3">
        <v>40</v>
      </c>
      <c r="J5813" s="2">
        <v>750</v>
      </c>
      <c r="K5813" s="3">
        <f t="shared" si="90"/>
        <v>30000</v>
      </c>
      <c r="L5813" s="3">
        <v>15000.000000000004</v>
      </c>
    </row>
    <row r="5814" spans="1:12" x14ac:dyDescent="0.25">
      <c r="A5814" t="s">
        <v>11</v>
      </c>
      <c r="B5814">
        <v>1185732</v>
      </c>
      <c r="C5814" s="1">
        <v>44451</v>
      </c>
      <c r="D5814" t="s">
        <v>12</v>
      </c>
      <c r="E5814" t="s">
        <v>101</v>
      </c>
      <c r="F5814" t="s">
        <v>102</v>
      </c>
      <c r="G5814" t="s">
        <v>18</v>
      </c>
      <c r="H5814" t="s">
        <v>16</v>
      </c>
      <c r="I5814" s="3">
        <v>25.000000000000007</v>
      </c>
      <c r="J5814" s="2">
        <v>400</v>
      </c>
      <c r="K5814" s="3">
        <f t="shared" si="90"/>
        <v>10000.000000000004</v>
      </c>
      <c r="L5814" s="3">
        <v>5000.0000000000018</v>
      </c>
    </row>
    <row r="5815" spans="1:12" x14ac:dyDescent="0.25">
      <c r="A5815" t="s">
        <v>11</v>
      </c>
      <c r="B5815">
        <v>1185732</v>
      </c>
      <c r="C5815" s="1">
        <v>44451</v>
      </c>
      <c r="D5815" t="s">
        <v>12</v>
      </c>
      <c r="E5815" t="s">
        <v>101</v>
      </c>
      <c r="F5815" t="s">
        <v>102</v>
      </c>
      <c r="G5815" t="s">
        <v>15</v>
      </c>
      <c r="H5815" t="s">
        <v>17</v>
      </c>
      <c r="I5815" s="3">
        <v>19</v>
      </c>
      <c r="J5815" s="2">
        <v>158</v>
      </c>
      <c r="K5815" s="3">
        <f t="shared" si="90"/>
        <v>3002</v>
      </c>
      <c r="L5815" s="3">
        <v>1861.24</v>
      </c>
    </row>
    <row r="5816" spans="1:12" x14ac:dyDescent="0.25">
      <c r="A5816" t="s">
        <v>26</v>
      </c>
      <c r="B5816">
        <v>1197831</v>
      </c>
      <c r="C5816" s="1">
        <v>44451</v>
      </c>
      <c r="D5816" t="s">
        <v>52</v>
      </c>
      <c r="E5816" t="s">
        <v>53</v>
      </c>
      <c r="F5816" t="s">
        <v>54</v>
      </c>
      <c r="G5816" t="s">
        <v>15</v>
      </c>
      <c r="H5816" t="s">
        <v>35</v>
      </c>
      <c r="I5816" s="3">
        <v>30</v>
      </c>
      <c r="J5816" s="2">
        <v>215</v>
      </c>
      <c r="K5816" s="3">
        <f t="shared" si="90"/>
        <v>6450</v>
      </c>
      <c r="L5816" s="3">
        <v>3934.5000000000005</v>
      </c>
    </row>
    <row r="5817" spans="1:12" x14ac:dyDescent="0.25">
      <c r="A5817" t="s">
        <v>11</v>
      </c>
      <c r="B5817">
        <v>1185732</v>
      </c>
      <c r="C5817" s="1">
        <v>44451</v>
      </c>
      <c r="D5817" t="s">
        <v>12</v>
      </c>
      <c r="E5817" t="s">
        <v>101</v>
      </c>
      <c r="F5817" t="s">
        <v>102</v>
      </c>
      <c r="G5817" t="s">
        <v>15</v>
      </c>
      <c r="H5817" t="s">
        <v>22</v>
      </c>
      <c r="I5817" s="3">
        <v>16</v>
      </c>
      <c r="J5817" s="2">
        <v>114</v>
      </c>
      <c r="K5817" s="3">
        <f t="shared" si="90"/>
        <v>1824</v>
      </c>
      <c r="L5817" s="3">
        <v>1076.1600000000001</v>
      </c>
    </row>
    <row r="5818" spans="1:12" x14ac:dyDescent="0.25">
      <c r="A5818" t="s">
        <v>11</v>
      </c>
      <c r="B5818">
        <v>1185732</v>
      </c>
      <c r="C5818" s="1">
        <v>44451</v>
      </c>
      <c r="D5818" t="s">
        <v>12</v>
      </c>
      <c r="E5818" t="s">
        <v>101</v>
      </c>
      <c r="F5818" t="s">
        <v>102</v>
      </c>
      <c r="G5818" t="s">
        <v>15</v>
      </c>
      <c r="H5818" t="s">
        <v>35</v>
      </c>
      <c r="I5818" s="3">
        <v>7</v>
      </c>
      <c r="J5818" s="2">
        <v>105</v>
      </c>
      <c r="K5818" s="3">
        <f t="shared" si="90"/>
        <v>735</v>
      </c>
      <c r="L5818" s="3">
        <v>426.3</v>
      </c>
    </row>
    <row r="5819" spans="1:12" x14ac:dyDescent="0.25">
      <c r="A5819" t="s">
        <v>11</v>
      </c>
      <c r="B5819">
        <v>1185732</v>
      </c>
      <c r="C5819" s="1">
        <v>44451</v>
      </c>
      <c r="D5819" t="s">
        <v>12</v>
      </c>
      <c r="E5819" t="s">
        <v>101</v>
      </c>
      <c r="F5819" t="s">
        <v>102</v>
      </c>
      <c r="G5819" t="s">
        <v>41</v>
      </c>
      <c r="H5819" t="s">
        <v>17</v>
      </c>
      <c r="I5819" s="3">
        <v>23</v>
      </c>
      <c r="J5819" s="2">
        <v>122</v>
      </c>
      <c r="K5819" s="3">
        <f t="shared" si="90"/>
        <v>2806</v>
      </c>
      <c r="L5819" s="3">
        <v>1543.3000000000002</v>
      </c>
    </row>
    <row r="5820" spans="1:12" x14ac:dyDescent="0.25">
      <c r="A5820" t="s">
        <v>27</v>
      </c>
      <c r="B5820">
        <v>1197831</v>
      </c>
      <c r="C5820" s="1">
        <v>44451</v>
      </c>
      <c r="D5820" t="s">
        <v>57</v>
      </c>
      <c r="E5820" t="s">
        <v>72</v>
      </c>
      <c r="F5820" t="s">
        <v>73</v>
      </c>
      <c r="G5820" t="s">
        <v>41</v>
      </c>
      <c r="H5820" t="s">
        <v>17</v>
      </c>
      <c r="I5820" s="3">
        <v>38</v>
      </c>
      <c r="J5820" s="2">
        <v>91</v>
      </c>
      <c r="K5820" s="3">
        <f t="shared" si="90"/>
        <v>3458</v>
      </c>
      <c r="L5820" s="3">
        <v>1901.9</v>
      </c>
    </row>
    <row r="5821" spans="1:12" x14ac:dyDescent="0.25">
      <c r="A5821" t="s">
        <v>11</v>
      </c>
      <c r="B5821">
        <v>1185732</v>
      </c>
      <c r="C5821" s="1">
        <v>44451</v>
      </c>
      <c r="D5821" t="s">
        <v>12</v>
      </c>
      <c r="E5821" t="s">
        <v>101</v>
      </c>
      <c r="F5821" t="s">
        <v>102</v>
      </c>
      <c r="G5821" t="s">
        <v>15</v>
      </c>
      <c r="H5821" t="s">
        <v>38</v>
      </c>
      <c r="I5821" s="3">
        <v>23</v>
      </c>
      <c r="J5821" s="2">
        <v>228</v>
      </c>
      <c r="K5821" s="3">
        <f t="shared" si="90"/>
        <v>5244</v>
      </c>
      <c r="L5821" s="3">
        <v>2884.2</v>
      </c>
    </row>
    <row r="5822" spans="1:12" x14ac:dyDescent="0.25">
      <c r="A5822" t="s">
        <v>11</v>
      </c>
      <c r="B5822">
        <v>1185732</v>
      </c>
      <c r="C5822" s="1">
        <v>44451</v>
      </c>
      <c r="D5822" t="s">
        <v>12</v>
      </c>
      <c r="E5822" t="s">
        <v>101</v>
      </c>
      <c r="F5822" t="s">
        <v>102</v>
      </c>
      <c r="G5822" t="s">
        <v>15</v>
      </c>
      <c r="H5822" t="s">
        <v>37</v>
      </c>
      <c r="I5822" s="3">
        <v>7</v>
      </c>
      <c r="J5822" s="2">
        <v>111</v>
      </c>
      <c r="K5822" s="3">
        <f t="shared" si="90"/>
        <v>777</v>
      </c>
      <c r="L5822" s="3">
        <v>419.58</v>
      </c>
    </row>
    <row r="5823" spans="1:12" x14ac:dyDescent="0.25">
      <c r="A5823" t="s">
        <v>27</v>
      </c>
      <c r="B5823">
        <v>1197831</v>
      </c>
      <c r="C5823" s="1">
        <v>44451</v>
      </c>
      <c r="D5823" t="s">
        <v>57</v>
      </c>
      <c r="E5823" t="s">
        <v>72</v>
      </c>
      <c r="F5823" t="s">
        <v>73</v>
      </c>
      <c r="G5823" t="s">
        <v>41</v>
      </c>
      <c r="H5823" t="s">
        <v>35</v>
      </c>
      <c r="I5823" s="3">
        <v>15</v>
      </c>
      <c r="J5823" s="2">
        <v>75</v>
      </c>
      <c r="K5823" s="3">
        <f t="shared" si="90"/>
        <v>1125</v>
      </c>
      <c r="L5823" s="3">
        <v>596.25</v>
      </c>
    </row>
    <row r="5824" spans="1:12" x14ac:dyDescent="0.25">
      <c r="A5824" t="s">
        <v>27</v>
      </c>
      <c r="B5824">
        <v>1197831</v>
      </c>
      <c r="C5824" s="1">
        <v>44451</v>
      </c>
      <c r="D5824" t="s">
        <v>57</v>
      </c>
      <c r="E5824" t="s">
        <v>72</v>
      </c>
      <c r="F5824" t="s">
        <v>73</v>
      </c>
      <c r="G5824" t="s">
        <v>41</v>
      </c>
      <c r="H5824" t="s">
        <v>37</v>
      </c>
      <c r="I5824" s="3">
        <v>14</v>
      </c>
      <c r="J5824" s="2">
        <v>65</v>
      </c>
      <c r="K5824" s="3">
        <f t="shared" si="90"/>
        <v>910</v>
      </c>
      <c r="L5824" s="3">
        <v>482.3</v>
      </c>
    </row>
    <row r="5825" spans="1:12" x14ac:dyDescent="0.25">
      <c r="A5825" t="s">
        <v>26</v>
      </c>
      <c r="B5825">
        <v>1197831</v>
      </c>
      <c r="C5825" s="1">
        <v>44451</v>
      </c>
      <c r="D5825" t="s">
        <v>52</v>
      </c>
      <c r="E5825" t="s">
        <v>53</v>
      </c>
      <c r="F5825" t="s">
        <v>54</v>
      </c>
      <c r="G5825" t="s">
        <v>41</v>
      </c>
      <c r="H5825" t="s">
        <v>35</v>
      </c>
      <c r="I5825" s="3">
        <v>44</v>
      </c>
      <c r="J5825" s="2">
        <v>176</v>
      </c>
      <c r="K5825" s="3">
        <f t="shared" si="90"/>
        <v>7744</v>
      </c>
      <c r="L5825" s="3">
        <v>4104.32</v>
      </c>
    </row>
    <row r="5826" spans="1:12" x14ac:dyDescent="0.25">
      <c r="A5826" t="s">
        <v>27</v>
      </c>
      <c r="B5826">
        <v>1197831</v>
      </c>
      <c r="C5826" s="1">
        <v>44451</v>
      </c>
      <c r="D5826" t="s">
        <v>57</v>
      </c>
      <c r="E5826" t="s">
        <v>72</v>
      </c>
      <c r="F5826" t="s">
        <v>73</v>
      </c>
      <c r="G5826" t="s">
        <v>41</v>
      </c>
      <c r="H5826" t="s">
        <v>22</v>
      </c>
      <c r="I5826" s="3">
        <v>24</v>
      </c>
      <c r="J5826" s="2">
        <v>61</v>
      </c>
      <c r="K5826" s="3">
        <f t="shared" si="90"/>
        <v>1464</v>
      </c>
      <c r="L5826" s="3">
        <v>746.64</v>
      </c>
    </row>
    <row r="5827" spans="1:12" x14ac:dyDescent="0.25">
      <c r="A5827" t="s">
        <v>27</v>
      </c>
      <c r="B5827">
        <v>1197831</v>
      </c>
      <c r="C5827" s="1">
        <v>44451</v>
      </c>
      <c r="D5827" t="s">
        <v>57</v>
      </c>
      <c r="E5827" t="s">
        <v>72</v>
      </c>
      <c r="F5827" t="s">
        <v>73</v>
      </c>
      <c r="G5827" t="s">
        <v>41</v>
      </c>
      <c r="H5827" t="s">
        <v>16</v>
      </c>
      <c r="I5827" s="3">
        <v>29</v>
      </c>
      <c r="J5827" s="2">
        <v>94</v>
      </c>
      <c r="K5827" s="3">
        <f t="shared" ref="K5827:K5890" si="91">I5827*J5827</f>
        <v>2726</v>
      </c>
      <c r="L5827" s="3">
        <v>1390.26</v>
      </c>
    </row>
    <row r="5828" spans="1:12" x14ac:dyDescent="0.25">
      <c r="A5828" t="s">
        <v>11</v>
      </c>
      <c r="B5828">
        <v>1185732</v>
      </c>
      <c r="C5828" s="1">
        <v>44451</v>
      </c>
      <c r="D5828" t="s">
        <v>12</v>
      </c>
      <c r="E5828" t="s">
        <v>101</v>
      </c>
      <c r="F5828" t="s">
        <v>102</v>
      </c>
      <c r="G5828" t="s">
        <v>41</v>
      </c>
      <c r="H5828" t="s">
        <v>35</v>
      </c>
      <c r="I5828" s="3">
        <v>9</v>
      </c>
      <c r="J5828" s="2">
        <v>91</v>
      </c>
      <c r="K5828" s="3">
        <f t="shared" si="91"/>
        <v>819</v>
      </c>
      <c r="L5828" s="3">
        <v>409.5</v>
      </c>
    </row>
    <row r="5829" spans="1:12" x14ac:dyDescent="0.25">
      <c r="A5829" t="s">
        <v>11</v>
      </c>
      <c r="B5829">
        <v>1185732</v>
      </c>
      <c r="C5829" s="1">
        <v>44451</v>
      </c>
      <c r="D5829" t="s">
        <v>12</v>
      </c>
      <c r="E5829" t="s">
        <v>101</v>
      </c>
      <c r="F5829" t="s">
        <v>102</v>
      </c>
      <c r="G5829" t="s">
        <v>41</v>
      </c>
      <c r="H5829" t="s">
        <v>22</v>
      </c>
      <c r="I5829" s="3">
        <v>19</v>
      </c>
      <c r="J5829" s="2">
        <v>88</v>
      </c>
      <c r="K5829" s="3">
        <f t="shared" si="91"/>
        <v>1672</v>
      </c>
      <c r="L5829" s="3">
        <v>836</v>
      </c>
    </row>
    <row r="5830" spans="1:12" x14ac:dyDescent="0.25">
      <c r="A5830" t="s">
        <v>27</v>
      </c>
      <c r="B5830">
        <v>1197831</v>
      </c>
      <c r="C5830" s="1">
        <v>44451</v>
      </c>
      <c r="D5830" t="s">
        <v>57</v>
      </c>
      <c r="E5830" t="s">
        <v>72</v>
      </c>
      <c r="F5830" t="s">
        <v>73</v>
      </c>
      <c r="G5830" t="s">
        <v>41</v>
      </c>
      <c r="H5830" t="s">
        <v>38</v>
      </c>
      <c r="I5830" s="3">
        <v>47</v>
      </c>
      <c r="J5830" s="2">
        <v>165</v>
      </c>
      <c r="K5830" s="3">
        <f t="shared" si="91"/>
        <v>7755</v>
      </c>
      <c r="L5830" s="3">
        <v>3877.5</v>
      </c>
    </row>
    <row r="5831" spans="1:12" x14ac:dyDescent="0.25">
      <c r="A5831" t="s">
        <v>11</v>
      </c>
      <c r="B5831">
        <v>1185732</v>
      </c>
      <c r="C5831" s="1">
        <v>44451</v>
      </c>
      <c r="D5831" t="s">
        <v>12</v>
      </c>
      <c r="E5831" t="s">
        <v>101</v>
      </c>
      <c r="F5831" t="s">
        <v>102</v>
      </c>
      <c r="G5831" t="s">
        <v>41</v>
      </c>
      <c r="H5831" t="s">
        <v>37</v>
      </c>
      <c r="I5831" s="3">
        <v>10</v>
      </c>
      <c r="J5831" s="2">
        <v>88</v>
      </c>
      <c r="K5831" s="3">
        <f t="shared" si="91"/>
        <v>880</v>
      </c>
      <c r="L5831" s="3">
        <v>431.2</v>
      </c>
    </row>
    <row r="5832" spans="1:12" x14ac:dyDescent="0.25">
      <c r="A5832" t="s">
        <v>11</v>
      </c>
      <c r="B5832">
        <v>1185732</v>
      </c>
      <c r="C5832" s="1">
        <v>44451</v>
      </c>
      <c r="D5832" t="s">
        <v>12</v>
      </c>
      <c r="E5832" t="s">
        <v>101</v>
      </c>
      <c r="F5832" t="s">
        <v>102</v>
      </c>
      <c r="G5832" t="s">
        <v>41</v>
      </c>
      <c r="H5832" t="s">
        <v>38</v>
      </c>
      <c r="I5832" s="3">
        <v>29</v>
      </c>
      <c r="J5832" s="2">
        <v>169</v>
      </c>
      <c r="K5832" s="3">
        <f t="shared" si="91"/>
        <v>4901</v>
      </c>
      <c r="L5832" s="3">
        <v>2352.48</v>
      </c>
    </row>
    <row r="5833" spans="1:12" x14ac:dyDescent="0.25">
      <c r="A5833" t="s">
        <v>26</v>
      </c>
      <c r="B5833">
        <v>1197831</v>
      </c>
      <c r="C5833" s="1">
        <v>44451</v>
      </c>
      <c r="D5833" t="s">
        <v>52</v>
      </c>
      <c r="E5833" t="s">
        <v>99</v>
      </c>
      <c r="F5833" t="s">
        <v>100</v>
      </c>
      <c r="G5833" t="s">
        <v>15</v>
      </c>
      <c r="H5833" t="s">
        <v>38</v>
      </c>
      <c r="I5833" s="3">
        <v>27</v>
      </c>
      <c r="J5833" s="2">
        <v>233</v>
      </c>
      <c r="K5833" s="3">
        <f t="shared" si="91"/>
        <v>6291</v>
      </c>
      <c r="L5833" s="3">
        <v>2830.9500000000003</v>
      </c>
    </row>
    <row r="5834" spans="1:12" x14ac:dyDescent="0.25">
      <c r="A5834" t="s">
        <v>11</v>
      </c>
      <c r="B5834">
        <v>1185732</v>
      </c>
      <c r="C5834" s="1">
        <v>44451</v>
      </c>
      <c r="D5834" t="s">
        <v>12</v>
      </c>
      <c r="E5834" t="s">
        <v>101</v>
      </c>
      <c r="F5834" t="s">
        <v>102</v>
      </c>
      <c r="G5834" t="s">
        <v>15</v>
      </c>
      <c r="H5834" t="s">
        <v>16</v>
      </c>
      <c r="I5834" s="3">
        <v>18</v>
      </c>
      <c r="J5834" s="2">
        <v>132</v>
      </c>
      <c r="K5834" s="3">
        <f t="shared" si="91"/>
        <v>2376</v>
      </c>
      <c r="L5834" s="3">
        <v>1021.6799999999998</v>
      </c>
    </row>
    <row r="5835" spans="1:12" x14ac:dyDescent="0.25">
      <c r="A5835" t="s">
        <v>26</v>
      </c>
      <c r="B5835">
        <v>1197831</v>
      </c>
      <c r="C5835" s="1">
        <v>44451</v>
      </c>
      <c r="D5835" t="s">
        <v>52</v>
      </c>
      <c r="E5835" t="s">
        <v>99</v>
      </c>
      <c r="F5835" t="s">
        <v>100</v>
      </c>
      <c r="G5835" t="s">
        <v>41</v>
      </c>
      <c r="H5835" t="s">
        <v>38</v>
      </c>
      <c r="I5835" s="3">
        <v>38</v>
      </c>
      <c r="J5835" s="2">
        <v>225</v>
      </c>
      <c r="K5835" s="3">
        <f t="shared" si="91"/>
        <v>8550</v>
      </c>
      <c r="L5835" s="3">
        <v>3334.5</v>
      </c>
    </row>
    <row r="5836" spans="1:12" x14ac:dyDescent="0.25">
      <c r="A5836" t="s">
        <v>11</v>
      </c>
      <c r="B5836">
        <v>1185732</v>
      </c>
      <c r="C5836" s="1">
        <v>44451</v>
      </c>
      <c r="D5836" t="s">
        <v>12</v>
      </c>
      <c r="E5836" t="s">
        <v>101</v>
      </c>
      <c r="F5836" t="s">
        <v>102</v>
      </c>
      <c r="G5836" t="s">
        <v>41</v>
      </c>
      <c r="H5836" t="s">
        <v>16</v>
      </c>
      <c r="I5836" s="3">
        <v>24</v>
      </c>
      <c r="J5836" s="2">
        <v>120</v>
      </c>
      <c r="K5836" s="3">
        <f t="shared" si="91"/>
        <v>2880</v>
      </c>
      <c r="L5836" s="3">
        <v>1036.8</v>
      </c>
    </row>
    <row r="5837" spans="1:12" x14ac:dyDescent="0.25">
      <c r="A5837" t="s">
        <v>26</v>
      </c>
      <c r="B5837">
        <v>1185732</v>
      </c>
      <c r="C5837" s="1">
        <v>44452</v>
      </c>
      <c r="D5837" t="s">
        <v>29</v>
      </c>
      <c r="E5837" t="s">
        <v>50</v>
      </c>
      <c r="F5837" t="s">
        <v>51</v>
      </c>
      <c r="G5837" t="s">
        <v>18</v>
      </c>
      <c r="H5837" t="s">
        <v>35</v>
      </c>
      <c r="I5837" s="3">
        <v>45</v>
      </c>
      <c r="J5837" s="2">
        <v>150</v>
      </c>
      <c r="K5837" s="3">
        <f t="shared" si="91"/>
        <v>6750</v>
      </c>
      <c r="L5837" s="3">
        <v>5062.5</v>
      </c>
    </row>
    <row r="5838" spans="1:12" x14ac:dyDescent="0.25">
      <c r="A5838" t="s">
        <v>26</v>
      </c>
      <c r="B5838">
        <v>1185732</v>
      </c>
      <c r="C5838" s="1">
        <v>44452</v>
      </c>
      <c r="D5838" t="s">
        <v>29</v>
      </c>
      <c r="E5838" t="s">
        <v>50</v>
      </c>
      <c r="F5838" t="s">
        <v>51</v>
      </c>
      <c r="G5838" t="s">
        <v>18</v>
      </c>
      <c r="H5838" t="s">
        <v>37</v>
      </c>
      <c r="I5838" s="3">
        <v>45</v>
      </c>
      <c r="J5838" s="2">
        <v>125</v>
      </c>
      <c r="K5838" s="3">
        <f t="shared" si="91"/>
        <v>5625</v>
      </c>
      <c r="L5838" s="3">
        <v>4218.75</v>
      </c>
    </row>
    <row r="5839" spans="1:12" x14ac:dyDescent="0.25">
      <c r="A5839" t="s">
        <v>26</v>
      </c>
      <c r="B5839">
        <v>1185732</v>
      </c>
      <c r="C5839" s="1">
        <v>44452</v>
      </c>
      <c r="D5839" t="s">
        <v>29</v>
      </c>
      <c r="E5839" t="s">
        <v>50</v>
      </c>
      <c r="F5839" t="s">
        <v>51</v>
      </c>
      <c r="G5839" t="s">
        <v>18</v>
      </c>
      <c r="H5839" t="s">
        <v>22</v>
      </c>
      <c r="I5839" s="3">
        <v>54.999999999999993</v>
      </c>
      <c r="J5839" s="2">
        <v>125</v>
      </c>
      <c r="K5839" s="3">
        <f t="shared" si="91"/>
        <v>6874.9999999999991</v>
      </c>
      <c r="L5839" s="3">
        <v>5156.2499999999982</v>
      </c>
    </row>
    <row r="5840" spans="1:12" x14ac:dyDescent="0.25">
      <c r="A5840" t="s">
        <v>19</v>
      </c>
      <c r="B5840">
        <v>1185732</v>
      </c>
      <c r="C5840" s="1">
        <v>44452</v>
      </c>
      <c r="D5840" t="s">
        <v>29</v>
      </c>
      <c r="E5840" t="s">
        <v>89</v>
      </c>
      <c r="F5840" t="s">
        <v>90</v>
      </c>
      <c r="G5840" t="s">
        <v>18</v>
      </c>
      <c r="H5840" t="s">
        <v>22</v>
      </c>
      <c r="I5840" s="3">
        <v>54.999999999999993</v>
      </c>
      <c r="J5840" s="2">
        <v>200</v>
      </c>
      <c r="K5840" s="3">
        <f t="shared" si="91"/>
        <v>10999.999999999998</v>
      </c>
      <c r="L5840" s="3">
        <v>7700</v>
      </c>
    </row>
    <row r="5841" spans="1:12" x14ac:dyDescent="0.25">
      <c r="A5841" t="s">
        <v>26</v>
      </c>
      <c r="B5841">
        <v>1185732</v>
      </c>
      <c r="C5841" s="1">
        <v>44452</v>
      </c>
      <c r="D5841" t="s">
        <v>29</v>
      </c>
      <c r="E5841" t="s">
        <v>50</v>
      </c>
      <c r="F5841" t="s">
        <v>51</v>
      </c>
      <c r="G5841" t="s">
        <v>18</v>
      </c>
      <c r="H5841" t="s">
        <v>38</v>
      </c>
      <c r="I5841" s="3">
        <v>54.999999999999993</v>
      </c>
      <c r="J5841" s="2">
        <v>450</v>
      </c>
      <c r="K5841" s="3">
        <f t="shared" si="91"/>
        <v>24749.999999999996</v>
      </c>
      <c r="L5841" s="3">
        <v>17325</v>
      </c>
    </row>
    <row r="5842" spans="1:12" x14ac:dyDescent="0.25">
      <c r="A5842" t="s">
        <v>19</v>
      </c>
      <c r="B5842">
        <v>1185732</v>
      </c>
      <c r="C5842" s="1">
        <v>44452</v>
      </c>
      <c r="D5842" t="s">
        <v>57</v>
      </c>
      <c r="E5842" t="s">
        <v>74</v>
      </c>
      <c r="F5842" t="s">
        <v>75</v>
      </c>
      <c r="G5842" t="s">
        <v>41</v>
      </c>
      <c r="H5842" t="s">
        <v>17</v>
      </c>
      <c r="I5842" s="3">
        <v>40.000000000000007</v>
      </c>
      <c r="J5842" s="2">
        <v>275</v>
      </c>
      <c r="K5842" s="3">
        <f t="shared" si="91"/>
        <v>11000.000000000002</v>
      </c>
      <c r="L5842" s="3">
        <v>7700.0000000000018</v>
      </c>
    </row>
    <row r="5843" spans="1:12" x14ac:dyDescent="0.25">
      <c r="A5843" t="s">
        <v>19</v>
      </c>
      <c r="B5843">
        <v>1185732</v>
      </c>
      <c r="C5843" s="1">
        <v>44452</v>
      </c>
      <c r="D5843" t="s">
        <v>57</v>
      </c>
      <c r="E5843" t="s">
        <v>74</v>
      </c>
      <c r="F5843" t="s">
        <v>75</v>
      </c>
      <c r="G5843" t="s">
        <v>41</v>
      </c>
      <c r="H5843" t="s">
        <v>35</v>
      </c>
      <c r="I5843" s="3">
        <v>35</v>
      </c>
      <c r="J5843" s="2">
        <v>175</v>
      </c>
      <c r="K5843" s="3">
        <f t="shared" si="91"/>
        <v>6125</v>
      </c>
      <c r="L5843" s="3">
        <v>4287.5</v>
      </c>
    </row>
    <row r="5844" spans="1:12" x14ac:dyDescent="0.25">
      <c r="A5844" t="s">
        <v>19</v>
      </c>
      <c r="B5844">
        <v>1185732</v>
      </c>
      <c r="C5844" s="1">
        <v>44452</v>
      </c>
      <c r="D5844" t="s">
        <v>57</v>
      </c>
      <c r="E5844" t="s">
        <v>74</v>
      </c>
      <c r="F5844" t="s">
        <v>75</v>
      </c>
      <c r="G5844" t="s">
        <v>41</v>
      </c>
      <c r="H5844" t="s">
        <v>37</v>
      </c>
      <c r="I5844" s="3">
        <v>35</v>
      </c>
      <c r="J5844" s="2">
        <v>150</v>
      </c>
      <c r="K5844" s="3">
        <f t="shared" si="91"/>
        <v>5250</v>
      </c>
      <c r="L5844" s="3">
        <v>3675</v>
      </c>
    </row>
    <row r="5845" spans="1:12" x14ac:dyDescent="0.25">
      <c r="A5845" t="s">
        <v>26</v>
      </c>
      <c r="B5845">
        <v>1185732</v>
      </c>
      <c r="C5845" s="1">
        <v>44452</v>
      </c>
      <c r="D5845" t="s">
        <v>29</v>
      </c>
      <c r="E5845" t="s">
        <v>50</v>
      </c>
      <c r="F5845" t="s">
        <v>51</v>
      </c>
      <c r="G5845" t="s">
        <v>18</v>
      </c>
      <c r="H5845" t="s">
        <v>17</v>
      </c>
      <c r="I5845" s="3">
        <v>50</v>
      </c>
      <c r="J5845" s="2">
        <v>250</v>
      </c>
      <c r="K5845" s="3">
        <f t="shared" si="91"/>
        <v>12500</v>
      </c>
      <c r="L5845" s="3">
        <v>8750</v>
      </c>
    </row>
    <row r="5846" spans="1:12" x14ac:dyDescent="0.25">
      <c r="A5846" t="s">
        <v>26</v>
      </c>
      <c r="B5846">
        <v>1185732</v>
      </c>
      <c r="C5846" s="1">
        <v>44452</v>
      </c>
      <c r="D5846" t="s">
        <v>29</v>
      </c>
      <c r="E5846" t="s">
        <v>50</v>
      </c>
      <c r="F5846" t="s">
        <v>51</v>
      </c>
      <c r="G5846" t="s">
        <v>18</v>
      </c>
      <c r="H5846" t="s">
        <v>16</v>
      </c>
      <c r="I5846" s="3">
        <v>60</v>
      </c>
      <c r="J5846" s="2">
        <v>225</v>
      </c>
      <c r="K5846" s="3">
        <f t="shared" si="91"/>
        <v>13500</v>
      </c>
      <c r="L5846" s="3">
        <v>9450</v>
      </c>
    </row>
    <row r="5847" spans="1:12" x14ac:dyDescent="0.25">
      <c r="A5847" t="s">
        <v>19</v>
      </c>
      <c r="B5847">
        <v>1185732</v>
      </c>
      <c r="C5847" s="1">
        <v>44452</v>
      </c>
      <c r="D5847" t="s">
        <v>57</v>
      </c>
      <c r="E5847" t="s">
        <v>74</v>
      </c>
      <c r="F5847" t="s">
        <v>75</v>
      </c>
      <c r="G5847" t="s">
        <v>41</v>
      </c>
      <c r="H5847" t="s">
        <v>38</v>
      </c>
      <c r="I5847" s="3">
        <v>45</v>
      </c>
      <c r="J5847" s="2">
        <v>475</v>
      </c>
      <c r="K5847" s="3">
        <f t="shared" si="91"/>
        <v>21375</v>
      </c>
      <c r="L5847" s="3">
        <v>13893.75</v>
      </c>
    </row>
    <row r="5848" spans="1:12" x14ac:dyDescent="0.25">
      <c r="A5848" t="s">
        <v>19</v>
      </c>
      <c r="B5848">
        <v>1185732</v>
      </c>
      <c r="C5848" s="1">
        <v>44452</v>
      </c>
      <c r="D5848" t="s">
        <v>57</v>
      </c>
      <c r="E5848" t="s">
        <v>74</v>
      </c>
      <c r="F5848" t="s">
        <v>75</v>
      </c>
      <c r="G5848" t="s">
        <v>41</v>
      </c>
      <c r="H5848" t="s">
        <v>22</v>
      </c>
      <c r="I5848" s="3">
        <v>45</v>
      </c>
      <c r="J5848" s="2">
        <v>150</v>
      </c>
      <c r="K5848" s="3">
        <f t="shared" si="91"/>
        <v>6750</v>
      </c>
      <c r="L5848" s="3">
        <v>4387.5</v>
      </c>
    </row>
    <row r="5849" spans="1:12" x14ac:dyDescent="0.25">
      <c r="A5849" t="s">
        <v>19</v>
      </c>
      <c r="B5849">
        <v>1185732</v>
      </c>
      <c r="C5849" s="1">
        <v>44452</v>
      </c>
      <c r="D5849" t="s">
        <v>29</v>
      </c>
      <c r="E5849" t="s">
        <v>89</v>
      </c>
      <c r="F5849" t="s">
        <v>90</v>
      </c>
      <c r="G5849" t="s">
        <v>18</v>
      </c>
      <c r="H5849" t="s">
        <v>38</v>
      </c>
      <c r="I5849" s="3">
        <v>54.999999999999993</v>
      </c>
      <c r="J5849" s="2">
        <v>525</v>
      </c>
      <c r="K5849" s="3">
        <f t="shared" si="91"/>
        <v>28874.999999999996</v>
      </c>
      <c r="L5849" s="3">
        <v>18768.749999999996</v>
      </c>
    </row>
    <row r="5850" spans="1:12" x14ac:dyDescent="0.25">
      <c r="A5850" t="s">
        <v>19</v>
      </c>
      <c r="B5850">
        <v>1185732</v>
      </c>
      <c r="C5850" s="1">
        <v>44452</v>
      </c>
      <c r="D5850" t="s">
        <v>29</v>
      </c>
      <c r="E5850" t="s">
        <v>89</v>
      </c>
      <c r="F5850" t="s">
        <v>90</v>
      </c>
      <c r="G5850" t="s">
        <v>18</v>
      </c>
      <c r="H5850" t="s">
        <v>17</v>
      </c>
      <c r="I5850" s="3">
        <v>50</v>
      </c>
      <c r="J5850" s="2">
        <v>325</v>
      </c>
      <c r="K5850" s="3">
        <f t="shared" si="91"/>
        <v>16250</v>
      </c>
      <c r="L5850" s="3">
        <v>10562.5</v>
      </c>
    </row>
    <row r="5851" spans="1:12" x14ac:dyDescent="0.25">
      <c r="A5851" t="s">
        <v>19</v>
      </c>
      <c r="B5851">
        <v>1185732</v>
      </c>
      <c r="C5851" s="1">
        <v>44452</v>
      </c>
      <c r="D5851" t="s">
        <v>57</v>
      </c>
      <c r="E5851" t="s">
        <v>74</v>
      </c>
      <c r="F5851" t="s">
        <v>75</v>
      </c>
      <c r="G5851" t="s">
        <v>41</v>
      </c>
      <c r="H5851" t="s">
        <v>16</v>
      </c>
      <c r="I5851" s="3">
        <v>50</v>
      </c>
      <c r="J5851" s="2">
        <v>225</v>
      </c>
      <c r="K5851" s="3">
        <f t="shared" si="91"/>
        <v>11250</v>
      </c>
      <c r="L5851" s="3">
        <v>6750</v>
      </c>
    </row>
    <row r="5852" spans="1:12" x14ac:dyDescent="0.25">
      <c r="A5852" t="s">
        <v>19</v>
      </c>
      <c r="B5852">
        <v>1185732</v>
      </c>
      <c r="C5852" s="1">
        <v>44452</v>
      </c>
      <c r="D5852" t="s">
        <v>29</v>
      </c>
      <c r="E5852" t="s">
        <v>89</v>
      </c>
      <c r="F5852" t="s">
        <v>90</v>
      </c>
      <c r="G5852" t="s">
        <v>18</v>
      </c>
      <c r="H5852" t="s">
        <v>35</v>
      </c>
      <c r="I5852" s="3">
        <v>45</v>
      </c>
      <c r="J5852" s="2">
        <v>225</v>
      </c>
      <c r="K5852" s="3">
        <f t="shared" si="91"/>
        <v>10125</v>
      </c>
      <c r="L5852" s="3">
        <v>6075</v>
      </c>
    </row>
    <row r="5853" spans="1:12" x14ac:dyDescent="0.25">
      <c r="A5853" t="s">
        <v>19</v>
      </c>
      <c r="B5853">
        <v>1185732</v>
      </c>
      <c r="C5853" s="1">
        <v>44452</v>
      </c>
      <c r="D5853" t="s">
        <v>29</v>
      </c>
      <c r="E5853" t="s">
        <v>89</v>
      </c>
      <c r="F5853" t="s">
        <v>90</v>
      </c>
      <c r="G5853" t="s">
        <v>18</v>
      </c>
      <c r="H5853" t="s">
        <v>37</v>
      </c>
      <c r="I5853" s="3">
        <v>45</v>
      </c>
      <c r="J5853" s="2">
        <v>200</v>
      </c>
      <c r="K5853" s="3">
        <f t="shared" si="91"/>
        <v>9000</v>
      </c>
      <c r="L5853" s="3">
        <v>5400</v>
      </c>
    </row>
    <row r="5854" spans="1:12" x14ac:dyDescent="0.25">
      <c r="A5854" t="s">
        <v>19</v>
      </c>
      <c r="B5854">
        <v>1185732</v>
      </c>
      <c r="C5854" s="1">
        <v>44452</v>
      </c>
      <c r="D5854" t="s">
        <v>29</v>
      </c>
      <c r="E5854" t="s">
        <v>89</v>
      </c>
      <c r="F5854" t="s">
        <v>90</v>
      </c>
      <c r="G5854" t="s">
        <v>18</v>
      </c>
      <c r="H5854" t="s">
        <v>16</v>
      </c>
      <c r="I5854" s="3">
        <v>60</v>
      </c>
      <c r="J5854" s="2">
        <v>300</v>
      </c>
      <c r="K5854" s="3">
        <f t="shared" si="91"/>
        <v>18000</v>
      </c>
      <c r="L5854" s="3">
        <v>10800</v>
      </c>
    </row>
    <row r="5855" spans="1:12" x14ac:dyDescent="0.25">
      <c r="A5855" t="s">
        <v>26</v>
      </c>
      <c r="B5855">
        <v>1197831</v>
      </c>
      <c r="C5855" s="1">
        <v>44452</v>
      </c>
      <c r="D5855" t="s">
        <v>52</v>
      </c>
      <c r="E5855" t="s">
        <v>53</v>
      </c>
      <c r="F5855" t="s">
        <v>54</v>
      </c>
      <c r="G5855" t="s">
        <v>15</v>
      </c>
      <c r="H5855" t="s">
        <v>37</v>
      </c>
      <c r="I5855" s="3">
        <v>45</v>
      </c>
      <c r="J5855" s="2">
        <v>600</v>
      </c>
      <c r="K5855" s="3">
        <f t="shared" si="91"/>
        <v>27000</v>
      </c>
      <c r="L5855" s="3">
        <v>14850</v>
      </c>
    </row>
    <row r="5856" spans="1:12" x14ac:dyDescent="0.25">
      <c r="A5856" t="s">
        <v>26</v>
      </c>
      <c r="B5856">
        <v>1197831</v>
      </c>
      <c r="C5856" s="1">
        <v>44452</v>
      </c>
      <c r="D5856" t="s">
        <v>52</v>
      </c>
      <c r="E5856" t="s">
        <v>99</v>
      </c>
      <c r="F5856" t="s">
        <v>100</v>
      </c>
      <c r="G5856" t="s">
        <v>15</v>
      </c>
      <c r="H5856" t="s">
        <v>17</v>
      </c>
      <c r="I5856" s="3">
        <v>55.000000000000007</v>
      </c>
      <c r="J5856" s="2">
        <v>750</v>
      </c>
      <c r="K5856" s="3">
        <f t="shared" si="91"/>
        <v>41250.000000000007</v>
      </c>
      <c r="L5856" s="3">
        <v>20625.000000000007</v>
      </c>
    </row>
    <row r="5857" spans="1:12" x14ac:dyDescent="0.25">
      <c r="A5857" t="s">
        <v>26</v>
      </c>
      <c r="B5857">
        <v>1185732</v>
      </c>
      <c r="C5857" s="1">
        <v>44452</v>
      </c>
      <c r="D5857" t="s">
        <v>29</v>
      </c>
      <c r="E5857" t="s">
        <v>50</v>
      </c>
      <c r="F5857" t="s">
        <v>51</v>
      </c>
      <c r="G5857" t="s">
        <v>15</v>
      </c>
      <c r="H5857" t="s">
        <v>37</v>
      </c>
      <c r="I5857" s="3">
        <v>34</v>
      </c>
      <c r="J5857" s="2">
        <v>39</v>
      </c>
      <c r="K5857" s="3">
        <f t="shared" si="91"/>
        <v>1326</v>
      </c>
      <c r="L5857" s="3">
        <v>967.98</v>
      </c>
    </row>
    <row r="5858" spans="1:12" x14ac:dyDescent="0.25">
      <c r="A5858" t="s">
        <v>26</v>
      </c>
      <c r="B5858">
        <v>1185732</v>
      </c>
      <c r="C5858" s="1">
        <v>44452</v>
      </c>
      <c r="D5858" t="s">
        <v>29</v>
      </c>
      <c r="E5858" t="s">
        <v>50</v>
      </c>
      <c r="F5858" t="s">
        <v>51</v>
      </c>
      <c r="G5858" t="s">
        <v>15</v>
      </c>
      <c r="H5858" t="s">
        <v>35</v>
      </c>
      <c r="I5858" s="3">
        <v>30</v>
      </c>
      <c r="J5858" s="2">
        <v>47</v>
      </c>
      <c r="K5858" s="3">
        <f t="shared" si="91"/>
        <v>1410</v>
      </c>
      <c r="L5858" s="3">
        <v>987</v>
      </c>
    </row>
    <row r="5859" spans="1:12" x14ac:dyDescent="0.25">
      <c r="A5859" t="s">
        <v>26</v>
      </c>
      <c r="B5859">
        <v>1185732</v>
      </c>
      <c r="C5859" s="1">
        <v>44452</v>
      </c>
      <c r="D5859" t="s">
        <v>29</v>
      </c>
      <c r="E5859" t="s">
        <v>50</v>
      </c>
      <c r="F5859" t="s">
        <v>51</v>
      </c>
      <c r="G5859" t="s">
        <v>15</v>
      </c>
      <c r="H5859" t="s">
        <v>22</v>
      </c>
      <c r="I5859" s="3">
        <v>39</v>
      </c>
      <c r="J5859" s="2">
        <v>41</v>
      </c>
      <c r="K5859" s="3">
        <f t="shared" si="91"/>
        <v>1599</v>
      </c>
      <c r="L5859" s="3">
        <v>1103.31</v>
      </c>
    </row>
    <row r="5860" spans="1:12" x14ac:dyDescent="0.25">
      <c r="A5860" t="s">
        <v>26</v>
      </c>
      <c r="B5860">
        <v>1185732</v>
      </c>
      <c r="C5860" s="1">
        <v>44452</v>
      </c>
      <c r="D5860" t="s">
        <v>29</v>
      </c>
      <c r="E5860" t="s">
        <v>50</v>
      </c>
      <c r="F5860" t="s">
        <v>51</v>
      </c>
      <c r="G5860" t="s">
        <v>15</v>
      </c>
      <c r="H5860" t="s">
        <v>16</v>
      </c>
      <c r="I5860" s="3">
        <v>41</v>
      </c>
      <c r="J5860" s="2">
        <v>77</v>
      </c>
      <c r="K5860" s="3">
        <f t="shared" si="91"/>
        <v>3157</v>
      </c>
      <c r="L5860" s="3">
        <v>2115.19</v>
      </c>
    </row>
    <row r="5861" spans="1:12" x14ac:dyDescent="0.25">
      <c r="A5861" t="s">
        <v>26</v>
      </c>
      <c r="B5861">
        <v>1185732</v>
      </c>
      <c r="C5861" s="1">
        <v>44452</v>
      </c>
      <c r="D5861" t="s">
        <v>29</v>
      </c>
      <c r="E5861" t="s">
        <v>50</v>
      </c>
      <c r="F5861" t="s">
        <v>51</v>
      </c>
      <c r="G5861" t="s">
        <v>15</v>
      </c>
      <c r="H5861" t="s">
        <v>38</v>
      </c>
      <c r="I5861" s="3">
        <v>36</v>
      </c>
      <c r="J5861" s="2">
        <v>153</v>
      </c>
      <c r="K5861" s="3">
        <f t="shared" si="91"/>
        <v>5508</v>
      </c>
      <c r="L5861" s="3">
        <v>3635.28</v>
      </c>
    </row>
    <row r="5862" spans="1:12" x14ac:dyDescent="0.25">
      <c r="A5862" t="s">
        <v>26</v>
      </c>
      <c r="B5862">
        <v>1185732</v>
      </c>
      <c r="C5862" s="1">
        <v>44452</v>
      </c>
      <c r="D5862" t="s">
        <v>29</v>
      </c>
      <c r="E5862" t="s">
        <v>50</v>
      </c>
      <c r="F5862" t="s">
        <v>51</v>
      </c>
      <c r="G5862" t="s">
        <v>41</v>
      </c>
      <c r="H5862" t="s">
        <v>22</v>
      </c>
      <c r="I5862" s="3">
        <v>52</v>
      </c>
      <c r="J5862" s="2">
        <v>34</v>
      </c>
      <c r="K5862" s="3">
        <f t="shared" si="91"/>
        <v>1768</v>
      </c>
      <c r="L5862" s="3">
        <v>1131.52</v>
      </c>
    </row>
    <row r="5863" spans="1:12" x14ac:dyDescent="0.25">
      <c r="A5863" t="s">
        <v>26</v>
      </c>
      <c r="B5863">
        <v>1185732</v>
      </c>
      <c r="C5863" s="1">
        <v>44452</v>
      </c>
      <c r="D5863" t="s">
        <v>29</v>
      </c>
      <c r="E5863" t="s">
        <v>50</v>
      </c>
      <c r="F5863" t="s">
        <v>51</v>
      </c>
      <c r="G5863" t="s">
        <v>41</v>
      </c>
      <c r="H5863" t="s">
        <v>35</v>
      </c>
      <c r="I5863" s="3">
        <v>41</v>
      </c>
      <c r="J5863" s="2">
        <v>39</v>
      </c>
      <c r="K5863" s="3">
        <f t="shared" si="91"/>
        <v>1599</v>
      </c>
      <c r="L5863" s="3">
        <v>1007.37</v>
      </c>
    </row>
    <row r="5864" spans="1:12" x14ac:dyDescent="0.25">
      <c r="A5864" t="s">
        <v>26</v>
      </c>
      <c r="B5864">
        <v>1185732</v>
      </c>
      <c r="C5864" s="1">
        <v>44452</v>
      </c>
      <c r="D5864" t="s">
        <v>29</v>
      </c>
      <c r="E5864" t="s">
        <v>50</v>
      </c>
      <c r="F5864" t="s">
        <v>51</v>
      </c>
      <c r="G5864" t="s">
        <v>15</v>
      </c>
      <c r="H5864" t="s">
        <v>17</v>
      </c>
      <c r="I5864" s="3">
        <v>35</v>
      </c>
      <c r="J5864" s="2">
        <v>88</v>
      </c>
      <c r="K5864" s="3">
        <f t="shared" si="91"/>
        <v>3080</v>
      </c>
      <c r="L5864" s="3">
        <v>1940.4</v>
      </c>
    </row>
    <row r="5865" spans="1:12" x14ac:dyDescent="0.25">
      <c r="A5865" t="s">
        <v>19</v>
      </c>
      <c r="B5865">
        <v>1185732</v>
      </c>
      <c r="C5865" s="1">
        <v>44452</v>
      </c>
      <c r="D5865" t="s">
        <v>57</v>
      </c>
      <c r="E5865" t="s">
        <v>74</v>
      </c>
      <c r="F5865" t="s">
        <v>75</v>
      </c>
      <c r="G5865" t="s">
        <v>41</v>
      </c>
      <c r="H5865" t="s">
        <v>37</v>
      </c>
      <c r="I5865" s="3">
        <v>34</v>
      </c>
      <c r="J5865" s="2">
        <v>39</v>
      </c>
      <c r="K5865" s="3">
        <f t="shared" si="91"/>
        <v>1326</v>
      </c>
      <c r="L5865" s="3">
        <v>795.6</v>
      </c>
    </row>
    <row r="5866" spans="1:12" x14ac:dyDescent="0.25">
      <c r="A5866" t="s">
        <v>19</v>
      </c>
      <c r="B5866">
        <v>1185732</v>
      </c>
      <c r="C5866" s="1">
        <v>44452</v>
      </c>
      <c r="D5866" t="s">
        <v>57</v>
      </c>
      <c r="E5866" t="s">
        <v>74</v>
      </c>
      <c r="F5866" t="s">
        <v>75</v>
      </c>
      <c r="G5866" t="s">
        <v>41</v>
      </c>
      <c r="H5866" t="s">
        <v>17</v>
      </c>
      <c r="I5866" s="3">
        <v>39</v>
      </c>
      <c r="J5866" s="2">
        <v>80</v>
      </c>
      <c r="K5866" s="3">
        <f t="shared" si="91"/>
        <v>3120</v>
      </c>
      <c r="L5866" s="3">
        <v>1872</v>
      </c>
    </row>
    <row r="5867" spans="1:12" x14ac:dyDescent="0.25">
      <c r="A5867" t="s">
        <v>26</v>
      </c>
      <c r="B5867">
        <v>1185732</v>
      </c>
      <c r="C5867" s="1">
        <v>44452</v>
      </c>
      <c r="D5867" t="s">
        <v>29</v>
      </c>
      <c r="E5867" t="s">
        <v>50</v>
      </c>
      <c r="F5867" t="s">
        <v>51</v>
      </c>
      <c r="G5867" t="s">
        <v>41</v>
      </c>
      <c r="H5867" t="s">
        <v>37</v>
      </c>
      <c r="I5867" s="3">
        <v>42</v>
      </c>
      <c r="J5867" s="2">
        <v>36</v>
      </c>
      <c r="K5867" s="3">
        <f t="shared" si="91"/>
        <v>1512</v>
      </c>
      <c r="L5867" s="3">
        <v>907.19999999999993</v>
      </c>
    </row>
    <row r="5868" spans="1:12" x14ac:dyDescent="0.25">
      <c r="A5868" t="s">
        <v>19</v>
      </c>
      <c r="B5868">
        <v>1185732</v>
      </c>
      <c r="C5868" s="1">
        <v>44452</v>
      </c>
      <c r="D5868" t="s">
        <v>57</v>
      </c>
      <c r="E5868" t="s">
        <v>74</v>
      </c>
      <c r="F5868" t="s">
        <v>75</v>
      </c>
      <c r="G5868" t="s">
        <v>41</v>
      </c>
      <c r="H5868" t="s">
        <v>35</v>
      </c>
      <c r="I5868" s="3">
        <v>32</v>
      </c>
      <c r="J5868" s="2">
        <v>53</v>
      </c>
      <c r="K5868" s="3">
        <f t="shared" si="91"/>
        <v>1696</v>
      </c>
      <c r="L5868" s="3">
        <v>1017.5999999999999</v>
      </c>
    </row>
    <row r="5869" spans="1:12" x14ac:dyDescent="0.25">
      <c r="A5869" t="s">
        <v>26</v>
      </c>
      <c r="B5869">
        <v>1185732</v>
      </c>
      <c r="C5869" s="1">
        <v>44452</v>
      </c>
      <c r="D5869" t="s">
        <v>29</v>
      </c>
      <c r="E5869" t="s">
        <v>50</v>
      </c>
      <c r="F5869" t="s">
        <v>51</v>
      </c>
      <c r="G5869" t="s">
        <v>41</v>
      </c>
      <c r="H5869" t="s">
        <v>17</v>
      </c>
      <c r="I5869" s="3">
        <v>49</v>
      </c>
      <c r="J5869" s="2">
        <v>63</v>
      </c>
      <c r="K5869" s="3">
        <f t="shared" si="91"/>
        <v>3087</v>
      </c>
      <c r="L5869" s="3">
        <v>1852.1999999999998</v>
      </c>
    </row>
    <row r="5870" spans="1:12" x14ac:dyDescent="0.25">
      <c r="A5870" t="s">
        <v>26</v>
      </c>
      <c r="B5870">
        <v>1185732</v>
      </c>
      <c r="C5870" s="1">
        <v>44452</v>
      </c>
      <c r="D5870" t="s">
        <v>29</v>
      </c>
      <c r="E5870" t="s">
        <v>50</v>
      </c>
      <c r="F5870" t="s">
        <v>51</v>
      </c>
      <c r="G5870" t="s">
        <v>41</v>
      </c>
      <c r="H5870" t="s">
        <v>38</v>
      </c>
      <c r="I5870" s="3">
        <v>53</v>
      </c>
      <c r="J5870" s="2">
        <v>135</v>
      </c>
      <c r="K5870" s="3">
        <f t="shared" si="91"/>
        <v>7155</v>
      </c>
      <c r="L5870" s="3">
        <v>4149.8999999999996</v>
      </c>
    </row>
    <row r="5871" spans="1:12" x14ac:dyDescent="0.25">
      <c r="A5871" t="s">
        <v>19</v>
      </c>
      <c r="B5871">
        <v>1185732</v>
      </c>
      <c r="C5871" s="1">
        <v>44452</v>
      </c>
      <c r="D5871" t="s">
        <v>29</v>
      </c>
      <c r="E5871" t="s">
        <v>89</v>
      </c>
      <c r="F5871" t="s">
        <v>90</v>
      </c>
      <c r="G5871" t="s">
        <v>41</v>
      </c>
      <c r="H5871" t="s">
        <v>22</v>
      </c>
      <c r="I5871" s="3">
        <v>50</v>
      </c>
      <c r="J5871" s="2">
        <v>60</v>
      </c>
      <c r="K5871" s="3">
        <f t="shared" si="91"/>
        <v>3000</v>
      </c>
      <c r="L5871" s="3">
        <v>1680</v>
      </c>
    </row>
    <row r="5872" spans="1:12" x14ac:dyDescent="0.25">
      <c r="A5872" t="s">
        <v>19</v>
      </c>
      <c r="B5872">
        <v>1185732</v>
      </c>
      <c r="C5872" s="1">
        <v>44452</v>
      </c>
      <c r="D5872" t="s">
        <v>57</v>
      </c>
      <c r="E5872" t="s">
        <v>74</v>
      </c>
      <c r="F5872" t="s">
        <v>75</v>
      </c>
      <c r="G5872" t="s">
        <v>41</v>
      </c>
      <c r="H5872" t="s">
        <v>38</v>
      </c>
      <c r="I5872" s="3">
        <v>42</v>
      </c>
      <c r="J5872" s="2">
        <v>138</v>
      </c>
      <c r="K5872" s="3">
        <f t="shared" si="91"/>
        <v>5796</v>
      </c>
      <c r="L5872" s="3">
        <v>3187.8</v>
      </c>
    </row>
    <row r="5873" spans="1:12" x14ac:dyDescent="0.25">
      <c r="A5873" t="s">
        <v>26</v>
      </c>
      <c r="B5873">
        <v>1185732</v>
      </c>
      <c r="C5873" s="1">
        <v>44452</v>
      </c>
      <c r="D5873" t="s">
        <v>29</v>
      </c>
      <c r="E5873" t="s">
        <v>50</v>
      </c>
      <c r="F5873" t="s">
        <v>51</v>
      </c>
      <c r="G5873" t="s">
        <v>41</v>
      </c>
      <c r="H5873" t="s">
        <v>16</v>
      </c>
      <c r="I5873" s="3">
        <v>57</v>
      </c>
      <c r="J5873" s="2">
        <v>63</v>
      </c>
      <c r="K5873" s="3">
        <f t="shared" si="91"/>
        <v>3591</v>
      </c>
      <c r="L5873" s="3">
        <v>1975.0500000000002</v>
      </c>
    </row>
    <row r="5874" spans="1:12" x14ac:dyDescent="0.25">
      <c r="A5874" t="s">
        <v>19</v>
      </c>
      <c r="B5874">
        <v>1185732</v>
      </c>
      <c r="C5874" s="1">
        <v>44452</v>
      </c>
      <c r="D5874" t="s">
        <v>29</v>
      </c>
      <c r="E5874" t="s">
        <v>89</v>
      </c>
      <c r="F5874" t="s">
        <v>90</v>
      </c>
      <c r="G5874" t="s">
        <v>41</v>
      </c>
      <c r="H5874" t="s">
        <v>17</v>
      </c>
      <c r="I5874" s="3">
        <v>47</v>
      </c>
      <c r="J5874" s="2">
        <v>85</v>
      </c>
      <c r="K5874" s="3">
        <f t="shared" si="91"/>
        <v>3995</v>
      </c>
      <c r="L5874" s="3">
        <v>2197.25</v>
      </c>
    </row>
    <row r="5875" spans="1:12" x14ac:dyDescent="0.25">
      <c r="A5875" t="s">
        <v>19</v>
      </c>
      <c r="B5875">
        <v>1185732</v>
      </c>
      <c r="C5875" s="1">
        <v>44452</v>
      </c>
      <c r="D5875" t="s">
        <v>29</v>
      </c>
      <c r="E5875" t="s">
        <v>89</v>
      </c>
      <c r="F5875" t="s">
        <v>90</v>
      </c>
      <c r="G5875" t="s">
        <v>41</v>
      </c>
      <c r="H5875" t="s">
        <v>38</v>
      </c>
      <c r="I5875" s="3">
        <v>50</v>
      </c>
      <c r="J5875" s="2">
        <v>142</v>
      </c>
      <c r="K5875" s="3">
        <f t="shared" si="91"/>
        <v>7100</v>
      </c>
      <c r="L5875" s="3">
        <v>3621</v>
      </c>
    </row>
    <row r="5876" spans="1:12" x14ac:dyDescent="0.25">
      <c r="A5876" t="s">
        <v>26</v>
      </c>
      <c r="B5876">
        <v>1197831</v>
      </c>
      <c r="C5876" s="1">
        <v>44452</v>
      </c>
      <c r="D5876" t="s">
        <v>52</v>
      </c>
      <c r="E5876" t="s">
        <v>53</v>
      </c>
      <c r="F5876" t="s">
        <v>54</v>
      </c>
      <c r="G5876" t="s">
        <v>15</v>
      </c>
      <c r="H5876" t="s">
        <v>37</v>
      </c>
      <c r="I5876" s="3">
        <v>29</v>
      </c>
      <c r="J5876" s="2">
        <v>192</v>
      </c>
      <c r="K5876" s="3">
        <f t="shared" si="91"/>
        <v>5568</v>
      </c>
      <c r="L5876" s="3">
        <v>2839.68</v>
      </c>
    </row>
    <row r="5877" spans="1:12" x14ac:dyDescent="0.25">
      <c r="A5877" t="s">
        <v>19</v>
      </c>
      <c r="B5877">
        <v>1185732</v>
      </c>
      <c r="C5877" s="1">
        <v>44452</v>
      </c>
      <c r="D5877" t="s">
        <v>57</v>
      </c>
      <c r="E5877" t="s">
        <v>74</v>
      </c>
      <c r="F5877" t="s">
        <v>75</v>
      </c>
      <c r="G5877" t="s">
        <v>41</v>
      </c>
      <c r="H5877" t="s">
        <v>22</v>
      </c>
      <c r="I5877" s="3">
        <v>41</v>
      </c>
      <c r="J5877" s="2">
        <v>42</v>
      </c>
      <c r="K5877" s="3">
        <f t="shared" si="91"/>
        <v>1722</v>
      </c>
      <c r="L5877" s="3">
        <v>861</v>
      </c>
    </row>
    <row r="5878" spans="1:12" x14ac:dyDescent="0.25">
      <c r="A5878" t="s">
        <v>19</v>
      </c>
      <c r="B5878">
        <v>1185732</v>
      </c>
      <c r="C5878" s="1">
        <v>44452</v>
      </c>
      <c r="D5878" t="s">
        <v>57</v>
      </c>
      <c r="E5878" t="s">
        <v>74</v>
      </c>
      <c r="F5878" t="s">
        <v>75</v>
      </c>
      <c r="G5878" t="s">
        <v>41</v>
      </c>
      <c r="H5878" t="s">
        <v>16</v>
      </c>
      <c r="I5878" s="3">
        <v>46</v>
      </c>
      <c r="J5878" s="2">
        <v>65</v>
      </c>
      <c r="K5878" s="3">
        <f t="shared" si="91"/>
        <v>2990</v>
      </c>
      <c r="L5878" s="3">
        <v>1495</v>
      </c>
    </row>
    <row r="5879" spans="1:12" x14ac:dyDescent="0.25">
      <c r="A5879" t="s">
        <v>19</v>
      </c>
      <c r="B5879">
        <v>1185732</v>
      </c>
      <c r="C5879" s="1">
        <v>44452</v>
      </c>
      <c r="D5879" t="s">
        <v>29</v>
      </c>
      <c r="E5879" t="s">
        <v>89</v>
      </c>
      <c r="F5879" t="s">
        <v>90</v>
      </c>
      <c r="G5879" t="s">
        <v>41</v>
      </c>
      <c r="H5879" t="s">
        <v>35</v>
      </c>
      <c r="I5879" s="3">
        <v>43</v>
      </c>
      <c r="J5879" s="2">
        <v>61</v>
      </c>
      <c r="K5879" s="3">
        <f t="shared" si="91"/>
        <v>2623</v>
      </c>
      <c r="L5879" s="3">
        <v>1285.27</v>
      </c>
    </row>
    <row r="5880" spans="1:12" x14ac:dyDescent="0.25">
      <c r="A5880" t="s">
        <v>19</v>
      </c>
      <c r="B5880">
        <v>1185732</v>
      </c>
      <c r="C5880" s="1">
        <v>44452</v>
      </c>
      <c r="D5880" t="s">
        <v>29</v>
      </c>
      <c r="E5880" t="s">
        <v>89</v>
      </c>
      <c r="F5880" t="s">
        <v>90</v>
      </c>
      <c r="G5880" t="s">
        <v>41</v>
      </c>
      <c r="H5880" t="s">
        <v>37</v>
      </c>
      <c r="I5880" s="3">
        <v>41</v>
      </c>
      <c r="J5880" s="2">
        <v>60</v>
      </c>
      <c r="K5880" s="3">
        <f t="shared" si="91"/>
        <v>2460</v>
      </c>
      <c r="L5880" s="3">
        <v>1205.4000000000001</v>
      </c>
    </row>
    <row r="5881" spans="1:12" x14ac:dyDescent="0.25">
      <c r="A5881" t="s">
        <v>26</v>
      </c>
      <c r="B5881">
        <v>1197831</v>
      </c>
      <c r="C5881" s="1">
        <v>44452</v>
      </c>
      <c r="D5881" t="s">
        <v>52</v>
      </c>
      <c r="E5881" t="s">
        <v>99</v>
      </c>
      <c r="F5881" t="s">
        <v>100</v>
      </c>
      <c r="G5881" t="s">
        <v>15</v>
      </c>
      <c r="H5881" t="s">
        <v>17</v>
      </c>
      <c r="I5881" s="3">
        <v>39</v>
      </c>
      <c r="J5881" s="2">
        <v>233</v>
      </c>
      <c r="K5881" s="3">
        <f t="shared" si="91"/>
        <v>9087</v>
      </c>
      <c r="L5881" s="3">
        <v>4180.0200000000004</v>
      </c>
    </row>
    <row r="5882" spans="1:12" x14ac:dyDescent="0.25">
      <c r="A5882" t="s">
        <v>19</v>
      </c>
      <c r="B5882">
        <v>1185732</v>
      </c>
      <c r="C5882" s="1">
        <v>44452</v>
      </c>
      <c r="D5882" t="s">
        <v>29</v>
      </c>
      <c r="E5882" t="s">
        <v>89</v>
      </c>
      <c r="F5882" t="s">
        <v>90</v>
      </c>
      <c r="G5882" t="s">
        <v>41</v>
      </c>
      <c r="H5882" t="s">
        <v>16</v>
      </c>
      <c r="I5882" s="3">
        <v>58</v>
      </c>
      <c r="J5882" s="2">
        <v>84</v>
      </c>
      <c r="K5882" s="3">
        <f t="shared" si="91"/>
        <v>4872</v>
      </c>
      <c r="L5882" s="3">
        <v>2241.12</v>
      </c>
    </row>
    <row r="5883" spans="1:12" x14ac:dyDescent="0.25">
      <c r="A5883" t="s">
        <v>26</v>
      </c>
      <c r="B5883">
        <v>1197831</v>
      </c>
      <c r="C5883" s="1">
        <v>44452</v>
      </c>
      <c r="D5883" t="s">
        <v>52</v>
      </c>
      <c r="E5883" t="s">
        <v>53</v>
      </c>
      <c r="F5883" t="s">
        <v>54</v>
      </c>
      <c r="G5883" t="s">
        <v>41</v>
      </c>
      <c r="H5883" t="s">
        <v>37</v>
      </c>
      <c r="I5883" s="3">
        <v>43</v>
      </c>
      <c r="J5883" s="2">
        <v>174</v>
      </c>
      <c r="K5883" s="3">
        <f t="shared" si="91"/>
        <v>7482</v>
      </c>
      <c r="L5883" s="3">
        <v>3366.8999999999996</v>
      </c>
    </row>
    <row r="5884" spans="1:12" x14ac:dyDescent="0.25">
      <c r="A5884" t="s">
        <v>26</v>
      </c>
      <c r="B5884">
        <v>1197831</v>
      </c>
      <c r="C5884" s="1">
        <v>44452</v>
      </c>
      <c r="D5884" t="s">
        <v>52</v>
      </c>
      <c r="E5884" t="s">
        <v>99</v>
      </c>
      <c r="F5884" t="s">
        <v>100</v>
      </c>
      <c r="G5884" t="s">
        <v>41</v>
      </c>
      <c r="H5884" t="s">
        <v>17</v>
      </c>
      <c r="I5884" s="3">
        <v>52</v>
      </c>
      <c r="J5884" s="2">
        <v>210</v>
      </c>
      <c r="K5884" s="3">
        <f t="shared" si="91"/>
        <v>10920</v>
      </c>
      <c r="L5884" s="3">
        <v>3822.0000000000009</v>
      </c>
    </row>
    <row r="5885" spans="1:12" x14ac:dyDescent="0.25">
      <c r="A5885" t="s">
        <v>26</v>
      </c>
      <c r="B5885">
        <v>1128299</v>
      </c>
      <c r="C5885" s="1">
        <v>44453</v>
      </c>
      <c r="D5885" t="s">
        <v>32</v>
      </c>
      <c r="E5885" t="s">
        <v>44</v>
      </c>
      <c r="F5885" t="s">
        <v>45</v>
      </c>
      <c r="G5885" t="s">
        <v>41</v>
      </c>
      <c r="H5885" t="s">
        <v>16</v>
      </c>
      <c r="I5885" s="3">
        <v>60.000000000000007</v>
      </c>
      <c r="J5885" s="2">
        <v>450</v>
      </c>
      <c r="K5885" s="3">
        <f t="shared" si="91"/>
        <v>27000.000000000004</v>
      </c>
      <c r="L5885" s="3">
        <v>20250.000000000007</v>
      </c>
    </row>
    <row r="5886" spans="1:12" x14ac:dyDescent="0.25">
      <c r="A5886" t="s">
        <v>26</v>
      </c>
      <c r="B5886">
        <v>1197831</v>
      </c>
      <c r="C5886" s="1">
        <v>44453</v>
      </c>
      <c r="D5886" t="s">
        <v>52</v>
      </c>
      <c r="E5886" t="s">
        <v>53</v>
      </c>
      <c r="F5886" t="s">
        <v>54</v>
      </c>
      <c r="G5886" t="s">
        <v>15</v>
      </c>
      <c r="H5886" t="s">
        <v>22</v>
      </c>
      <c r="I5886" s="3">
        <v>50</v>
      </c>
      <c r="J5886" s="2">
        <v>500</v>
      </c>
      <c r="K5886" s="3">
        <f t="shared" si="91"/>
        <v>25000</v>
      </c>
      <c r="L5886" s="3">
        <v>17500</v>
      </c>
    </row>
    <row r="5887" spans="1:12" x14ac:dyDescent="0.25">
      <c r="A5887" t="s">
        <v>26</v>
      </c>
      <c r="B5887">
        <v>1128299</v>
      </c>
      <c r="C5887" s="1">
        <v>44453</v>
      </c>
      <c r="D5887" t="s">
        <v>32</v>
      </c>
      <c r="E5887" t="s">
        <v>44</v>
      </c>
      <c r="F5887" t="s">
        <v>45</v>
      </c>
      <c r="G5887" t="s">
        <v>41</v>
      </c>
      <c r="H5887" t="s">
        <v>35</v>
      </c>
      <c r="I5887" s="3">
        <v>45.000000000000014</v>
      </c>
      <c r="J5887" s="2">
        <v>450</v>
      </c>
      <c r="K5887" s="3">
        <f t="shared" si="91"/>
        <v>20250.000000000007</v>
      </c>
      <c r="L5887" s="3">
        <v>13162.500000000005</v>
      </c>
    </row>
    <row r="5888" spans="1:12" x14ac:dyDescent="0.25">
      <c r="A5888" t="s">
        <v>26</v>
      </c>
      <c r="B5888">
        <v>1128299</v>
      </c>
      <c r="C5888" s="1">
        <v>44453</v>
      </c>
      <c r="D5888" t="s">
        <v>32</v>
      </c>
      <c r="E5888" t="s">
        <v>44</v>
      </c>
      <c r="F5888" t="s">
        <v>45</v>
      </c>
      <c r="G5888" t="s">
        <v>41</v>
      </c>
      <c r="H5888" t="s">
        <v>22</v>
      </c>
      <c r="I5888" s="3">
        <v>55.000000000000007</v>
      </c>
      <c r="J5888" s="2">
        <v>400</v>
      </c>
      <c r="K5888" s="3">
        <f t="shared" si="91"/>
        <v>22000.000000000004</v>
      </c>
      <c r="L5888" s="3">
        <v>14300.000000000004</v>
      </c>
    </row>
    <row r="5889" spans="1:12" x14ac:dyDescent="0.25">
      <c r="A5889" t="s">
        <v>26</v>
      </c>
      <c r="B5889">
        <v>1128299</v>
      </c>
      <c r="C5889" s="1">
        <v>44453</v>
      </c>
      <c r="D5889" t="s">
        <v>32</v>
      </c>
      <c r="E5889" t="s">
        <v>44</v>
      </c>
      <c r="F5889" t="s">
        <v>45</v>
      </c>
      <c r="G5889" t="s">
        <v>41</v>
      </c>
      <c r="H5889" t="s">
        <v>38</v>
      </c>
      <c r="I5889" s="3">
        <v>45.000000000000014</v>
      </c>
      <c r="J5889" s="2">
        <v>600</v>
      </c>
      <c r="K5889" s="3">
        <f t="shared" si="91"/>
        <v>27000.000000000007</v>
      </c>
      <c r="L5889" s="3">
        <v>16200.000000000004</v>
      </c>
    </row>
    <row r="5890" spans="1:12" x14ac:dyDescent="0.25">
      <c r="A5890" t="s">
        <v>26</v>
      </c>
      <c r="B5890">
        <v>1128299</v>
      </c>
      <c r="C5890" s="1">
        <v>44453</v>
      </c>
      <c r="D5890" t="s">
        <v>32</v>
      </c>
      <c r="E5890" t="s">
        <v>44</v>
      </c>
      <c r="F5890" t="s">
        <v>45</v>
      </c>
      <c r="G5890" t="s">
        <v>41</v>
      </c>
      <c r="H5890" t="s">
        <v>17</v>
      </c>
      <c r="I5890" s="3">
        <v>50.000000000000014</v>
      </c>
      <c r="J5890" s="2">
        <v>600</v>
      </c>
      <c r="K5890" s="3">
        <f t="shared" si="91"/>
        <v>30000.000000000007</v>
      </c>
      <c r="L5890" s="3">
        <v>18000.000000000004</v>
      </c>
    </row>
    <row r="5891" spans="1:12" x14ac:dyDescent="0.25">
      <c r="A5891" t="s">
        <v>26</v>
      </c>
      <c r="B5891">
        <v>1128299</v>
      </c>
      <c r="C5891" s="1">
        <v>44453</v>
      </c>
      <c r="D5891" t="s">
        <v>32</v>
      </c>
      <c r="E5891" t="s">
        <v>44</v>
      </c>
      <c r="F5891" t="s">
        <v>45</v>
      </c>
      <c r="G5891" t="s">
        <v>41</v>
      </c>
      <c r="H5891" t="s">
        <v>37</v>
      </c>
      <c r="I5891" s="3">
        <v>45.000000000000014</v>
      </c>
      <c r="J5891" s="2">
        <v>400</v>
      </c>
      <c r="K5891" s="3">
        <f t="shared" ref="K5891:K5954" si="92">I5891*J5891</f>
        <v>18000.000000000007</v>
      </c>
      <c r="L5891" s="3">
        <v>10800.000000000004</v>
      </c>
    </row>
    <row r="5892" spans="1:12" x14ac:dyDescent="0.25">
      <c r="A5892" t="s">
        <v>26</v>
      </c>
      <c r="B5892">
        <v>1197831</v>
      </c>
      <c r="C5892" s="1">
        <v>44453</v>
      </c>
      <c r="D5892" t="s">
        <v>52</v>
      </c>
      <c r="E5892" t="s">
        <v>99</v>
      </c>
      <c r="F5892" t="s">
        <v>100</v>
      </c>
      <c r="G5892" t="s">
        <v>15</v>
      </c>
      <c r="H5892" t="s">
        <v>35</v>
      </c>
      <c r="I5892" s="3">
        <v>55.000000000000007</v>
      </c>
      <c r="J5892" s="2">
        <v>925</v>
      </c>
      <c r="K5892" s="3">
        <f t="shared" si="92"/>
        <v>50875.000000000007</v>
      </c>
      <c r="L5892" s="3">
        <v>25437.500000000007</v>
      </c>
    </row>
    <row r="5893" spans="1:12" x14ac:dyDescent="0.25">
      <c r="A5893" t="s">
        <v>26</v>
      </c>
      <c r="B5893">
        <v>1128299</v>
      </c>
      <c r="C5893" s="1">
        <v>44453</v>
      </c>
      <c r="D5893" t="s">
        <v>32</v>
      </c>
      <c r="E5893" t="s">
        <v>44</v>
      </c>
      <c r="F5893" t="s">
        <v>45</v>
      </c>
      <c r="G5893" t="s">
        <v>15</v>
      </c>
      <c r="H5893" t="s">
        <v>16</v>
      </c>
      <c r="I5893" s="3">
        <v>46</v>
      </c>
      <c r="J5893" s="2">
        <v>135</v>
      </c>
      <c r="K5893" s="3">
        <f t="shared" si="92"/>
        <v>6210</v>
      </c>
      <c r="L5893" s="3">
        <v>4347</v>
      </c>
    </row>
    <row r="5894" spans="1:12" x14ac:dyDescent="0.25">
      <c r="A5894" t="s">
        <v>26</v>
      </c>
      <c r="B5894">
        <v>1128299</v>
      </c>
      <c r="C5894" s="1">
        <v>44453</v>
      </c>
      <c r="D5894" t="s">
        <v>32</v>
      </c>
      <c r="E5894" t="s">
        <v>44</v>
      </c>
      <c r="F5894" t="s">
        <v>45</v>
      </c>
      <c r="G5894" t="s">
        <v>15</v>
      </c>
      <c r="H5894" t="s">
        <v>22</v>
      </c>
      <c r="I5894" s="3">
        <v>36</v>
      </c>
      <c r="J5894" s="2">
        <v>132</v>
      </c>
      <c r="K5894" s="3">
        <f t="shared" si="92"/>
        <v>4752</v>
      </c>
      <c r="L5894" s="3">
        <v>2993.76</v>
      </c>
    </row>
    <row r="5895" spans="1:12" x14ac:dyDescent="0.25">
      <c r="A5895" t="s">
        <v>26</v>
      </c>
      <c r="B5895">
        <v>1197831</v>
      </c>
      <c r="C5895" s="1">
        <v>44453</v>
      </c>
      <c r="D5895" t="s">
        <v>52</v>
      </c>
      <c r="E5895" t="s">
        <v>53</v>
      </c>
      <c r="F5895" t="s">
        <v>54</v>
      </c>
      <c r="G5895" t="s">
        <v>15</v>
      </c>
      <c r="H5895" t="s">
        <v>22</v>
      </c>
      <c r="I5895" s="3">
        <v>40</v>
      </c>
      <c r="J5895" s="2">
        <v>150</v>
      </c>
      <c r="K5895" s="3">
        <f t="shared" si="92"/>
        <v>6000</v>
      </c>
      <c r="L5895" s="3">
        <v>3780</v>
      </c>
    </row>
    <row r="5896" spans="1:12" x14ac:dyDescent="0.25">
      <c r="A5896" t="s">
        <v>26</v>
      </c>
      <c r="B5896">
        <v>1128299</v>
      </c>
      <c r="C5896" s="1">
        <v>44453</v>
      </c>
      <c r="D5896" t="s">
        <v>32</v>
      </c>
      <c r="E5896" t="s">
        <v>44</v>
      </c>
      <c r="F5896" t="s">
        <v>45</v>
      </c>
      <c r="G5896" t="s">
        <v>15</v>
      </c>
      <c r="H5896" t="s">
        <v>35</v>
      </c>
      <c r="I5896" s="3">
        <v>32</v>
      </c>
      <c r="J5896" s="2">
        <v>135</v>
      </c>
      <c r="K5896" s="3">
        <f t="shared" si="92"/>
        <v>4320</v>
      </c>
      <c r="L5896" s="3">
        <v>2721.6</v>
      </c>
    </row>
    <row r="5897" spans="1:12" x14ac:dyDescent="0.25">
      <c r="A5897" t="s">
        <v>26</v>
      </c>
      <c r="B5897">
        <v>1128299</v>
      </c>
      <c r="C5897" s="1">
        <v>44453</v>
      </c>
      <c r="D5897" t="s">
        <v>32</v>
      </c>
      <c r="E5897" t="s">
        <v>44</v>
      </c>
      <c r="F5897" t="s">
        <v>45</v>
      </c>
      <c r="G5897" t="s">
        <v>41</v>
      </c>
      <c r="H5897" t="s">
        <v>16</v>
      </c>
      <c r="I5897" s="3">
        <v>59</v>
      </c>
      <c r="J5897" s="2">
        <v>131</v>
      </c>
      <c r="K5897" s="3">
        <f t="shared" si="92"/>
        <v>7729</v>
      </c>
      <c r="L5897" s="3">
        <v>4637.3999999999996</v>
      </c>
    </row>
    <row r="5898" spans="1:12" x14ac:dyDescent="0.25">
      <c r="A5898" t="s">
        <v>26</v>
      </c>
      <c r="B5898">
        <v>1197831</v>
      </c>
      <c r="C5898" s="1">
        <v>44453</v>
      </c>
      <c r="D5898" t="s">
        <v>52</v>
      </c>
      <c r="E5898" t="s">
        <v>53</v>
      </c>
      <c r="F5898" t="s">
        <v>54</v>
      </c>
      <c r="G5898" t="s">
        <v>41</v>
      </c>
      <c r="H5898" t="s">
        <v>22</v>
      </c>
      <c r="I5898" s="3">
        <v>45</v>
      </c>
      <c r="J5898" s="2">
        <v>145</v>
      </c>
      <c r="K5898" s="3">
        <f t="shared" si="92"/>
        <v>6525</v>
      </c>
      <c r="L5898" s="3">
        <v>3719.25</v>
      </c>
    </row>
    <row r="5899" spans="1:12" x14ac:dyDescent="0.25">
      <c r="A5899" t="s">
        <v>26</v>
      </c>
      <c r="B5899">
        <v>1128299</v>
      </c>
      <c r="C5899" s="1">
        <v>44453</v>
      </c>
      <c r="D5899" t="s">
        <v>32</v>
      </c>
      <c r="E5899" t="s">
        <v>44</v>
      </c>
      <c r="F5899" t="s">
        <v>45</v>
      </c>
      <c r="G5899" t="s">
        <v>15</v>
      </c>
      <c r="H5899" t="s">
        <v>17</v>
      </c>
      <c r="I5899" s="3">
        <v>38</v>
      </c>
      <c r="J5899" s="2">
        <v>198</v>
      </c>
      <c r="K5899" s="3">
        <f t="shared" si="92"/>
        <v>7524</v>
      </c>
      <c r="L5899" s="3">
        <v>4213.4400000000005</v>
      </c>
    </row>
    <row r="5900" spans="1:12" x14ac:dyDescent="0.25">
      <c r="A5900" t="s">
        <v>26</v>
      </c>
      <c r="B5900">
        <v>1128299</v>
      </c>
      <c r="C5900" s="1">
        <v>44453</v>
      </c>
      <c r="D5900" t="s">
        <v>32</v>
      </c>
      <c r="E5900" t="s">
        <v>44</v>
      </c>
      <c r="F5900" t="s">
        <v>45</v>
      </c>
      <c r="G5900" t="s">
        <v>15</v>
      </c>
      <c r="H5900" t="s">
        <v>38</v>
      </c>
      <c r="I5900" s="3">
        <v>31</v>
      </c>
      <c r="J5900" s="2">
        <v>204</v>
      </c>
      <c r="K5900" s="3">
        <f t="shared" si="92"/>
        <v>6324</v>
      </c>
      <c r="L5900" s="3">
        <v>3414.96</v>
      </c>
    </row>
    <row r="5901" spans="1:12" x14ac:dyDescent="0.25">
      <c r="A5901" t="s">
        <v>26</v>
      </c>
      <c r="B5901">
        <v>1128299</v>
      </c>
      <c r="C5901" s="1">
        <v>44453</v>
      </c>
      <c r="D5901" t="s">
        <v>32</v>
      </c>
      <c r="E5901" t="s">
        <v>44</v>
      </c>
      <c r="F5901" t="s">
        <v>45</v>
      </c>
      <c r="G5901" t="s">
        <v>15</v>
      </c>
      <c r="H5901" t="s">
        <v>37</v>
      </c>
      <c r="I5901" s="3">
        <v>35</v>
      </c>
      <c r="J5901" s="2">
        <v>120</v>
      </c>
      <c r="K5901" s="3">
        <f t="shared" si="92"/>
        <v>4200</v>
      </c>
      <c r="L5901" s="3">
        <v>2268</v>
      </c>
    </row>
    <row r="5902" spans="1:12" x14ac:dyDescent="0.25">
      <c r="A5902" t="s">
        <v>26</v>
      </c>
      <c r="B5902">
        <v>1128299</v>
      </c>
      <c r="C5902" s="1">
        <v>44453</v>
      </c>
      <c r="D5902" t="s">
        <v>32</v>
      </c>
      <c r="E5902" t="s">
        <v>44</v>
      </c>
      <c r="F5902" t="s">
        <v>45</v>
      </c>
      <c r="G5902" t="s">
        <v>41</v>
      </c>
      <c r="H5902" t="s">
        <v>35</v>
      </c>
      <c r="I5902" s="3">
        <v>42</v>
      </c>
      <c r="J5902" s="2">
        <v>135</v>
      </c>
      <c r="K5902" s="3">
        <f t="shared" si="92"/>
        <v>5670</v>
      </c>
      <c r="L5902" s="3">
        <v>3005.1000000000004</v>
      </c>
    </row>
    <row r="5903" spans="1:12" x14ac:dyDescent="0.25">
      <c r="A5903" t="s">
        <v>26</v>
      </c>
      <c r="B5903">
        <v>1128299</v>
      </c>
      <c r="C5903" s="1">
        <v>44453</v>
      </c>
      <c r="D5903" t="s">
        <v>32</v>
      </c>
      <c r="E5903" t="s">
        <v>44</v>
      </c>
      <c r="F5903" t="s">
        <v>45</v>
      </c>
      <c r="G5903" t="s">
        <v>41</v>
      </c>
      <c r="H5903" t="s">
        <v>22</v>
      </c>
      <c r="I5903" s="3">
        <v>54</v>
      </c>
      <c r="J5903" s="2">
        <v>100</v>
      </c>
      <c r="K5903" s="3">
        <f t="shared" si="92"/>
        <v>5400</v>
      </c>
      <c r="L5903" s="3">
        <v>2808</v>
      </c>
    </row>
    <row r="5904" spans="1:12" x14ac:dyDescent="0.25">
      <c r="A5904" t="s">
        <v>26</v>
      </c>
      <c r="B5904">
        <v>1197831</v>
      </c>
      <c r="C5904" s="1">
        <v>44453</v>
      </c>
      <c r="D5904" t="s">
        <v>52</v>
      </c>
      <c r="E5904" t="s">
        <v>99</v>
      </c>
      <c r="F5904" t="s">
        <v>100</v>
      </c>
      <c r="G5904" t="s">
        <v>15</v>
      </c>
      <c r="H5904" t="s">
        <v>35</v>
      </c>
      <c r="I5904" s="3">
        <v>36</v>
      </c>
      <c r="J5904" s="2">
        <v>278</v>
      </c>
      <c r="K5904" s="3">
        <f t="shared" si="92"/>
        <v>10008</v>
      </c>
      <c r="L5904" s="3">
        <v>4703.7600000000011</v>
      </c>
    </row>
    <row r="5905" spans="1:12" x14ac:dyDescent="0.25">
      <c r="A5905" t="s">
        <v>26</v>
      </c>
      <c r="B5905">
        <v>1128299</v>
      </c>
      <c r="C5905" s="1">
        <v>44453</v>
      </c>
      <c r="D5905" t="s">
        <v>32</v>
      </c>
      <c r="E5905" t="s">
        <v>44</v>
      </c>
      <c r="F5905" t="s">
        <v>45</v>
      </c>
      <c r="G5905" t="s">
        <v>41</v>
      </c>
      <c r="H5905" t="s">
        <v>38</v>
      </c>
      <c r="I5905" s="3">
        <v>43</v>
      </c>
      <c r="J5905" s="2">
        <v>180</v>
      </c>
      <c r="K5905" s="3">
        <f t="shared" si="92"/>
        <v>7740</v>
      </c>
      <c r="L5905" s="3">
        <v>3560.3999999999996</v>
      </c>
    </row>
    <row r="5906" spans="1:12" x14ac:dyDescent="0.25">
      <c r="A5906" t="s">
        <v>26</v>
      </c>
      <c r="B5906">
        <v>1128299</v>
      </c>
      <c r="C5906" s="1">
        <v>44453</v>
      </c>
      <c r="D5906" t="s">
        <v>32</v>
      </c>
      <c r="E5906" t="s">
        <v>44</v>
      </c>
      <c r="F5906" t="s">
        <v>45</v>
      </c>
      <c r="G5906" t="s">
        <v>41</v>
      </c>
      <c r="H5906" t="s">
        <v>37</v>
      </c>
      <c r="I5906" s="3">
        <v>43</v>
      </c>
      <c r="J5906" s="2">
        <v>120</v>
      </c>
      <c r="K5906" s="3">
        <f t="shared" si="92"/>
        <v>5160</v>
      </c>
      <c r="L5906" s="3">
        <v>2373.6</v>
      </c>
    </row>
    <row r="5907" spans="1:12" x14ac:dyDescent="0.25">
      <c r="A5907" t="s">
        <v>26</v>
      </c>
      <c r="B5907">
        <v>1128299</v>
      </c>
      <c r="C5907" s="1">
        <v>44453</v>
      </c>
      <c r="D5907" t="s">
        <v>32</v>
      </c>
      <c r="E5907" t="s">
        <v>44</v>
      </c>
      <c r="F5907" t="s">
        <v>45</v>
      </c>
      <c r="G5907" t="s">
        <v>41</v>
      </c>
      <c r="H5907" t="s">
        <v>17</v>
      </c>
      <c r="I5907" s="3">
        <v>47</v>
      </c>
      <c r="J5907" s="2">
        <v>156</v>
      </c>
      <c r="K5907" s="3">
        <f t="shared" si="92"/>
        <v>7332</v>
      </c>
      <c r="L5907" s="3">
        <v>3299.3999999999996</v>
      </c>
    </row>
    <row r="5908" spans="1:12" x14ac:dyDescent="0.25">
      <c r="A5908" t="s">
        <v>26</v>
      </c>
      <c r="B5908">
        <v>1197831</v>
      </c>
      <c r="C5908" s="1">
        <v>44453</v>
      </c>
      <c r="D5908" t="s">
        <v>52</v>
      </c>
      <c r="E5908" t="s">
        <v>99</v>
      </c>
      <c r="F5908" t="s">
        <v>100</v>
      </c>
      <c r="G5908" t="s">
        <v>41</v>
      </c>
      <c r="H5908" t="s">
        <v>35</v>
      </c>
      <c r="I5908" s="3">
        <v>51</v>
      </c>
      <c r="J5908" s="2">
        <v>268</v>
      </c>
      <c r="K5908" s="3">
        <f t="shared" si="92"/>
        <v>13668</v>
      </c>
      <c r="L5908" s="3">
        <v>5467.2000000000007</v>
      </c>
    </row>
    <row r="5909" spans="1:12" x14ac:dyDescent="0.25">
      <c r="A5909" t="s">
        <v>26</v>
      </c>
      <c r="B5909">
        <v>1185732</v>
      </c>
      <c r="C5909" s="1">
        <v>44454</v>
      </c>
      <c r="D5909" t="s">
        <v>57</v>
      </c>
      <c r="E5909" t="s">
        <v>70</v>
      </c>
      <c r="F5909" t="s">
        <v>71</v>
      </c>
      <c r="G5909" t="s">
        <v>18</v>
      </c>
      <c r="H5909" t="s">
        <v>35</v>
      </c>
      <c r="I5909" s="3">
        <v>35</v>
      </c>
      <c r="J5909" s="2">
        <v>500</v>
      </c>
      <c r="K5909" s="3">
        <f t="shared" si="92"/>
        <v>17500</v>
      </c>
      <c r="L5909" s="3">
        <v>12250</v>
      </c>
    </row>
    <row r="5910" spans="1:12" x14ac:dyDescent="0.25">
      <c r="A5910" t="s">
        <v>26</v>
      </c>
      <c r="B5910">
        <v>1185732</v>
      </c>
      <c r="C5910" s="1">
        <v>44454</v>
      </c>
      <c r="D5910" t="s">
        <v>57</v>
      </c>
      <c r="E5910" t="s">
        <v>70</v>
      </c>
      <c r="F5910" t="s">
        <v>71</v>
      </c>
      <c r="G5910" t="s">
        <v>18</v>
      </c>
      <c r="H5910" t="s">
        <v>37</v>
      </c>
      <c r="I5910" s="3">
        <v>35</v>
      </c>
      <c r="J5910" s="2">
        <v>475</v>
      </c>
      <c r="K5910" s="3">
        <f t="shared" si="92"/>
        <v>16625</v>
      </c>
      <c r="L5910" s="3">
        <v>10806.25</v>
      </c>
    </row>
    <row r="5911" spans="1:12" x14ac:dyDescent="0.25">
      <c r="A5911" t="s">
        <v>26</v>
      </c>
      <c r="B5911">
        <v>1185732</v>
      </c>
      <c r="C5911" s="1">
        <v>44454</v>
      </c>
      <c r="D5911" t="s">
        <v>57</v>
      </c>
      <c r="E5911" t="s">
        <v>70</v>
      </c>
      <c r="F5911" t="s">
        <v>71</v>
      </c>
      <c r="G5911" t="s">
        <v>18</v>
      </c>
      <c r="H5911" t="s">
        <v>17</v>
      </c>
      <c r="I5911" s="3">
        <v>40.000000000000014</v>
      </c>
      <c r="J5911" s="2">
        <v>600</v>
      </c>
      <c r="K5911" s="3">
        <f t="shared" si="92"/>
        <v>24000.000000000007</v>
      </c>
      <c r="L5911" s="3">
        <v>14400.000000000005</v>
      </c>
    </row>
    <row r="5912" spans="1:12" x14ac:dyDescent="0.25">
      <c r="A5912" t="s">
        <v>26</v>
      </c>
      <c r="B5912">
        <v>1185732</v>
      </c>
      <c r="C5912" s="1">
        <v>44454</v>
      </c>
      <c r="D5912" t="s">
        <v>57</v>
      </c>
      <c r="E5912" t="s">
        <v>70</v>
      </c>
      <c r="F5912" t="s">
        <v>71</v>
      </c>
      <c r="G5912" t="s">
        <v>18</v>
      </c>
      <c r="H5912" t="s">
        <v>22</v>
      </c>
      <c r="I5912" s="3">
        <v>45.000000000000007</v>
      </c>
      <c r="J5912" s="2">
        <v>475</v>
      </c>
      <c r="K5912" s="3">
        <f t="shared" si="92"/>
        <v>21375.000000000004</v>
      </c>
      <c r="L5912" s="3">
        <v>12825.000000000004</v>
      </c>
    </row>
    <row r="5913" spans="1:12" x14ac:dyDescent="0.25">
      <c r="A5913" t="s">
        <v>26</v>
      </c>
      <c r="B5913">
        <v>1197831</v>
      </c>
      <c r="C5913" s="1">
        <v>44454</v>
      </c>
      <c r="D5913" t="s">
        <v>52</v>
      </c>
      <c r="E5913" t="s">
        <v>53</v>
      </c>
      <c r="F5913" t="s">
        <v>54</v>
      </c>
      <c r="G5913" t="s">
        <v>15</v>
      </c>
      <c r="H5913" t="s">
        <v>16</v>
      </c>
      <c r="I5913" s="3">
        <v>55.000000000000007</v>
      </c>
      <c r="J5913" s="2">
        <v>875</v>
      </c>
      <c r="K5913" s="3">
        <f t="shared" si="92"/>
        <v>48125.000000000007</v>
      </c>
      <c r="L5913" s="3">
        <v>24062.500000000004</v>
      </c>
    </row>
    <row r="5914" spans="1:12" x14ac:dyDescent="0.25">
      <c r="A5914" t="s">
        <v>26</v>
      </c>
      <c r="B5914">
        <v>1185732</v>
      </c>
      <c r="C5914" s="1">
        <v>44454</v>
      </c>
      <c r="D5914" t="s">
        <v>57</v>
      </c>
      <c r="E5914" t="s">
        <v>70</v>
      </c>
      <c r="F5914" t="s">
        <v>71</v>
      </c>
      <c r="G5914" t="s">
        <v>18</v>
      </c>
      <c r="H5914" t="s">
        <v>38</v>
      </c>
      <c r="I5914" s="3">
        <v>45.000000000000007</v>
      </c>
      <c r="J5914" s="2">
        <v>800</v>
      </c>
      <c r="K5914" s="3">
        <f t="shared" si="92"/>
        <v>36000.000000000007</v>
      </c>
      <c r="L5914" s="3">
        <v>18000.000000000004</v>
      </c>
    </row>
    <row r="5915" spans="1:12" x14ac:dyDescent="0.25">
      <c r="A5915" t="s">
        <v>26</v>
      </c>
      <c r="B5915">
        <v>1185732</v>
      </c>
      <c r="C5915" s="1">
        <v>44454</v>
      </c>
      <c r="D5915" t="s">
        <v>57</v>
      </c>
      <c r="E5915" t="s">
        <v>70</v>
      </c>
      <c r="F5915" t="s">
        <v>71</v>
      </c>
      <c r="G5915" t="s">
        <v>18</v>
      </c>
      <c r="H5915" t="s">
        <v>16</v>
      </c>
      <c r="I5915" s="3">
        <v>50.000000000000014</v>
      </c>
      <c r="J5915" s="2">
        <v>575</v>
      </c>
      <c r="K5915" s="3">
        <f t="shared" si="92"/>
        <v>28750.000000000007</v>
      </c>
      <c r="L5915" s="3">
        <v>12937.5</v>
      </c>
    </row>
    <row r="5916" spans="1:12" x14ac:dyDescent="0.25">
      <c r="A5916" t="s">
        <v>26</v>
      </c>
      <c r="B5916">
        <v>1197831</v>
      </c>
      <c r="C5916" s="1">
        <v>44454</v>
      </c>
      <c r="D5916" t="s">
        <v>52</v>
      </c>
      <c r="E5916" t="s">
        <v>99</v>
      </c>
      <c r="F5916" t="s">
        <v>100</v>
      </c>
      <c r="G5916" t="s">
        <v>15</v>
      </c>
      <c r="H5916" t="s">
        <v>37</v>
      </c>
      <c r="I5916" s="3">
        <v>50</v>
      </c>
      <c r="J5916" s="2">
        <v>425</v>
      </c>
      <c r="K5916" s="3">
        <f t="shared" si="92"/>
        <v>21250</v>
      </c>
      <c r="L5916" s="3">
        <v>8499.9999999999982</v>
      </c>
    </row>
    <row r="5917" spans="1:12" x14ac:dyDescent="0.25">
      <c r="A5917" t="s">
        <v>26</v>
      </c>
      <c r="B5917">
        <v>1185732</v>
      </c>
      <c r="C5917" s="1">
        <v>44454</v>
      </c>
      <c r="D5917" t="s">
        <v>57</v>
      </c>
      <c r="E5917" t="s">
        <v>70</v>
      </c>
      <c r="F5917" t="s">
        <v>71</v>
      </c>
      <c r="G5917" t="s">
        <v>41</v>
      </c>
      <c r="H5917" t="s">
        <v>35</v>
      </c>
      <c r="I5917" s="3">
        <v>34</v>
      </c>
      <c r="J5917" s="2">
        <v>145</v>
      </c>
      <c r="K5917" s="3">
        <f t="shared" si="92"/>
        <v>4930</v>
      </c>
      <c r="L5917" s="3">
        <v>2859.4</v>
      </c>
    </row>
    <row r="5918" spans="1:12" x14ac:dyDescent="0.25">
      <c r="A5918" t="s">
        <v>26</v>
      </c>
      <c r="B5918">
        <v>1185732</v>
      </c>
      <c r="C5918" s="1">
        <v>44454</v>
      </c>
      <c r="D5918" t="s">
        <v>57</v>
      </c>
      <c r="E5918" t="s">
        <v>70</v>
      </c>
      <c r="F5918" t="s">
        <v>71</v>
      </c>
      <c r="G5918" t="s">
        <v>41</v>
      </c>
      <c r="H5918" t="s">
        <v>37</v>
      </c>
      <c r="I5918" s="3">
        <v>34</v>
      </c>
      <c r="J5918" s="2">
        <v>119</v>
      </c>
      <c r="K5918" s="3">
        <f t="shared" si="92"/>
        <v>4046</v>
      </c>
      <c r="L5918" s="3">
        <v>2225.3000000000002</v>
      </c>
    </row>
    <row r="5919" spans="1:12" x14ac:dyDescent="0.25">
      <c r="A5919" t="s">
        <v>26</v>
      </c>
      <c r="B5919">
        <v>1185732</v>
      </c>
      <c r="C5919" s="1">
        <v>44454</v>
      </c>
      <c r="D5919" t="s">
        <v>57</v>
      </c>
      <c r="E5919" t="s">
        <v>70</v>
      </c>
      <c r="F5919" t="s">
        <v>71</v>
      </c>
      <c r="G5919" t="s">
        <v>41</v>
      </c>
      <c r="H5919" t="s">
        <v>22</v>
      </c>
      <c r="I5919" s="3">
        <v>41</v>
      </c>
      <c r="J5919" s="2">
        <v>128</v>
      </c>
      <c r="K5919" s="3">
        <f t="shared" si="92"/>
        <v>5248</v>
      </c>
      <c r="L5919" s="3">
        <v>2624</v>
      </c>
    </row>
    <row r="5920" spans="1:12" x14ac:dyDescent="0.25">
      <c r="A5920" t="s">
        <v>26</v>
      </c>
      <c r="B5920">
        <v>1185732</v>
      </c>
      <c r="C5920" s="1">
        <v>44454</v>
      </c>
      <c r="D5920" t="s">
        <v>57</v>
      </c>
      <c r="E5920" t="s">
        <v>70</v>
      </c>
      <c r="F5920" t="s">
        <v>71</v>
      </c>
      <c r="G5920" t="s">
        <v>41</v>
      </c>
      <c r="H5920" t="s">
        <v>17</v>
      </c>
      <c r="I5920" s="3">
        <v>37</v>
      </c>
      <c r="J5920" s="2">
        <v>174</v>
      </c>
      <c r="K5920" s="3">
        <f t="shared" si="92"/>
        <v>6438</v>
      </c>
      <c r="L5920" s="3">
        <v>3154.62</v>
      </c>
    </row>
    <row r="5921" spans="1:12" x14ac:dyDescent="0.25">
      <c r="A5921" t="s">
        <v>26</v>
      </c>
      <c r="B5921">
        <v>1197831</v>
      </c>
      <c r="C5921" s="1">
        <v>44454</v>
      </c>
      <c r="D5921" t="s">
        <v>52</v>
      </c>
      <c r="E5921" t="s">
        <v>53</v>
      </c>
      <c r="F5921" t="s">
        <v>54</v>
      </c>
      <c r="G5921" t="s">
        <v>15</v>
      </c>
      <c r="H5921" t="s">
        <v>16</v>
      </c>
      <c r="I5921" s="3">
        <v>42</v>
      </c>
      <c r="J5921" s="2">
        <v>280</v>
      </c>
      <c r="K5921" s="3">
        <f t="shared" si="92"/>
        <v>11760</v>
      </c>
      <c r="L5921" s="3">
        <v>5291.9999999999991</v>
      </c>
    </row>
    <row r="5922" spans="1:12" x14ac:dyDescent="0.25">
      <c r="A5922" t="s">
        <v>26</v>
      </c>
      <c r="B5922">
        <v>1197831</v>
      </c>
      <c r="C5922" s="1">
        <v>44454</v>
      </c>
      <c r="D5922" t="s">
        <v>52</v>
      </c>
      <c r="E5922" t="s">
        <v>53</v>
      </c>
      <c r="F5922" t="s">
        <v>54</v>
      </c>
      <c r="G5922" t="s">
        <v>41</v>
      </c>
      <c r="H5922" t="s">
        <v>16</v>
      </c>
      <c r="I5922" s="3">
        <v>53</v>
      </c>
      <c r="J5922" s="2">
        <v>263</v>
      </c>
      <c r="K5922" s="3">
        <f t="shared" si="92"/>
        <v>13939</v>
      </c>
      <c r="L5922" s="3">
        <v>5157.43</v>
      </c>
    </row>
    <row r="5923" spans="1:12" x14ac:dyDescent="0.25">
      <c r="A5923" t="s">
        <v>26</v>
      </c>
      <c r="B5923">
        <v>1185732</v>
      </c>
      <c r="C5923" s="1">
        <v>44454</v>
      </c>
      <c r="D5923" t="s">
        <v>57</v>
      </c>
      <c r="E5923" t="s">
        <v>70</v>
      </c>
      <c r="F5923" t="s">
        <v>71</v>
      </c>
      <c r="G5923" t="s">
        <v>41</v>
      </c>
      <c r="H5923" t="s">
        <v>38</v>
      </c>
      <c r="I5923" s="3">
        <v>42</v>
      </c>
      <c r="J5923" s="2">
        <v>232</v>
      </c>
      <c r="K5923" s="3">
        <f t="shared" si="92"/>
        <v>9744</v>
      </c>
      <c r="L5923" s="3">
        <v>3605.2799999999997</v>
      </c>
    </row>
    <row r="5924" spans="1:12" x14ac:dyDescent="0.25">
      <c r="A5924" t="s">
        <v>26</v>
      </c>
      <c r="B5924">
        <v>1197831</v>
      </c>
      <c r="C5924" s="1">
        <v>44454</v>
      </c>
      <c r="D5924" t="s">
        <v>52</v>
      </c>
      <c r="E5924" t="s">
        <v>99</v>
      </c>
      <c r="F5924" t="s">
        <v>100</v>
      </c>
      <c r="G5924" t="s">
        <v>15</v>
      </c>
      <c r="H5924" t="s">
        <v>37</v>
      </c>
      <c r="I5924" s="3">
        <v>37</v>
      </c>
      <c r="J5924" s="2">
        <v>140</v>
      </c>
      <c r="K5924" s="3">
        <f t="shared" si="92"/>
        <v>5180</v>
      </c>
      <c r="L5924" s="3">
        <v>1864.7999999999993</v>
      </c>
    </row>
    <row r="5925" spans="1:12" x14ac:dyDescent="0.25">
      <c r="A5925" t="s">
        <v>26</v>
      </c>
      <c r="B5925">
        <v>1185732</v>
      </c>
      <c r="C5925" s="1">
        <v>44454</v>
      </c>
      <c r="D5925" t="s">
        <v>57</v>
      </c>
      <c r="E5925" t="s">
        <v>70</v>
      </c>
      <c r="F5925" t="s">
        <v>71</v>
      </c>
      <c r="G5925" t="s">
        <v>41</v>
      </c>
      <c r="H5925" t="s">
        <v>16</v>
      </c>
      <c r="I5925" s="3">
        <v>48</v>
      </c>
      <c r="J5925" s="2">
        <v>173</v>
      </c>
      <c r="K5925" s="3">
        <f t="shared" si="92"/>
        <v>8304</v>
      </c>
      <c r="L5925" s="3">
        <v>2906.3999999999996</v>
      </c>
    </row>
    <row r="5926" spans="1:12" x14ac:dyDescent="0.25">
      <c r="A5926" t="s">
        <v>26</v>
      </c>
      <c r="B5926">
        <v>1197831</v>
      </c>
      <c r="C5926" s="1">
        <v>44454</v>
      </c>
      <c r="D5926" t="s">
        <v>52</v>
      </c>
      <c r="E5926" t="s">
        <v>99</v>
      </c>
      <c r="F5926" t="s">
        <v>100</v>
      </c>
      <c r="G5926" t="s">
        <v>41</v>
      </c>
      <c r="H5926" t="s">
        <v>37</v>
      </c>
      <c r="I5926" s="3">
        <v>46</v>
      </c>
      <c r="J5926" s="2">
        <v>119</v>
      </c>
      <c r="K5926" s="3">
        <f t="shared" si="92"/>
        <v>5474</v>
      </c>
      <c r="L5926" s="3">
        <v>1587.4599999999996</v>
      </c>
    </row>
    <row r="5927" spans="1:12" x14ac:dyDescent="0.25">
      <c r="A5927" t="s">
        <v>23</v>
      </c>
      <c r="B5927">
        <v>1185732</v>
      </c>
      <c r="C5927" s="1">
        <v>44455</v>
      </c>
      <c r="D5927" t="s">
        <v>52</v>
      </c>
      <c r="E5927" t="s">
        <v>112</v>
      </c>
      <c r="F5927" t="s">
        <v>113</v>
      </c>
      <c r="G5927" t="s">
        <v>41</v>
      </c>
      <c r="H5927" t="s">
        <v>17</v>
      </c>
      <c r="I5927" s="3">
        <v>45.000000000000014</v>
      </c>
      <c r="J5927" s="2">
        <v>525</v>
      </c>
      <c r="K5927" s="3">
        <f t="shared" si="92"/>
        <v>23625.000000000007</v>
      </c>
      <c r="L5927" s="3">
        <v>15356.250000000005</v>
      </c>
    </row>
    <row r="5928" spans="1:12" x14ac:dyDescent="0.25">
      <c r="A5928" t="s">
        <v>23</v>
      </c>
      <c r="B5928">
        <v>1185732</v>
      </c>
      <c r="C5928" s="1">
        <v>44455</v>
      </c>
      <c r="D5928" t="s">
        <v>52</v>
      </c>
      <c r="E5928" t="s">
        <v>112</v>
      </c>
      <c r="F5928" t="s">
        <v>113</v>
      </c>
      <c r="G5928" t="s">
        <v>41</v>
      </c>
      <c r="H5928" t="s">
        <v>22</v>
      </c>
      <c r="I5928" s="3">
        <v>30.000000000000004</v>
      </c>
      <c r="J5928" s="2">
        <v>400</v>
      </c>
      <c r="K5928" s="3">
        <f t="shared" si="92"/>
        <v>12000.000000000002</v>
      </c>
      <c r="L5928" s="3">
        <v>7800.0000000000018</v>
      </c>
    </row>
    <row r="5929" spans="1:12" x14ac:dyDescent="0.25">
      <c r="A5929" t="s">
        <v>26</v>
      </c>
      <c r="B5929">
        <v>1197831</v>
      </c>
      <c r="C5929" s="1">
        <v>44455</v>
      </c>
      <c r="D5929" t="s">
        <v>52</v>
      </c>
      <c r="E5929" t="s">
        <v>53</v>
      </c>
      <c r="F5929" t="s">
        <v>54</v>
      </c>
      <c r="G5929" t="s">
        <v>15</v>
      </c>
      <c r="H5929" t="s">
        <v>38</v>
      </c>
      <c r="I5929" s="3">
        <v>45</v>
      </c>
      <c r="J5929" s="2">
        <v>825</v>
      </c>
      <c r="K5929" s="3">
        <f t="shared" si="92"/>
        <v>37125</v>
      </c>
      <c r="L5929" s="3">
        <v>22275</v>
      </c>
    </row>
    <row r="5930" spans="1:12" x14ac:dyDescent="0.25">
      <c r="A5930" t="s">
        <v>23</v>
      </c>
      <c r="B5930">
        <v>1185732</v>
      </c>
      <c r="C5930" s="1">
        <v>44455</v>
      </c>
      <c r="D5930" t="s">
        <v>52</v>
      </c>
      <c r="E5930" t="s">
        <v>112</v>
      </c>
      <c r="F5930" t="s">
        <v>113</v>
      </c>
      <c r="G5930" t="s">
        <v>41</v>
      </c>
      <c r="H5930" t="s">
        <v>38</v>
      </c>
      <c r="I5930" s="3">
        <v>50</v>
      </c>
      <c r="J5930" s="2">
        <v>725</v>
      </c>
      <c r="K5930" s="3">
        <f t="shared" si="92"/>
        <v>36250</v>
      </c>
      <c r="L5930" s="3">
        <v>21750</v>
      </c>
    </row>
    <row r="5931" spans="1:12" x14ac:dyDescent="0.25">
      <c r="A5931" t="s">
        <v>23</v>
      </c>
      <c r="B5931">
        <v>1185732</v>
      </c>
      <c r="C5931" s="1">
        <v>44455</v>
      </c>
      <c r="D5931" t="s">
        <v>52</v>
      </c>
      <c r="E5931" t="s">
        <v>112</v>
      </c>
      <c r="F5931" t="s">
        <v>113</v>
      </c>
      <c r="G5931" t="s">
        <v>41</v>
      </c>
      <c r="H5931" t="s">
        <v>35</v>
      </c>
      <c r="I5931" s="3">
        <v>20.000000000000007</v>
      </c>
      <c r="J5931" s="2">
        <v>425</v>
      </c>
      <c r="K5931" s="3">
        <f t="shared" si="92"/>
        <v>8500.0000000000036</v>
      </c>
      <c r="L5931" s="3">
        <v>5100.0000000000018</v>
      </c>
    </row>
    <row r="5932" spans="1:12" x14ac:dyDescent="0.25">
      <c r="A5932" t="s">
        <v>23</v>
      </c>
      <c r="B5932">
        <v>1185732</v>
      </c>
      <c r="C5932" s="1">
        <v>44455</v>
      </c>
      <c r="D5932" t="s">
        <v>52</v>
      </c>
      <c r="E5932" t="s">
        <v>112</v>
      </c>
      <c r="F5932" t="s">
        <v>113</v>
      </c>
      <c r="G5932" t="s">
        <v>41</v>
      </c>
      <c r="H5932" t="s">
        <v>37</v>
      </c>
      <c r="I5932" s="3">
        <v>20.000000000000007</v>
      </c>
      <c r="J5932" s="2">
        <v>400</v>
      </c>
      <c r="K5932" s="3">
        <f t="shared" si="92"/>
        <v>8000.0000000000027</v>
      </c>
      <c r="L5932" s="3">
        <v>4800.0000000000018</v>
      </c>
    </row>
    <row r="5933" spans="1:12" x14ac:dyDescent="0.25">
      <c r="A5933" t="s">
        <v>26</v>
      </c>
      <c r="B5933">
        <v>1197831</v>
      </c>
      <c r="C5933" s="1">
        <v>44455</v>
      </c>
      <c r="D5933" t="s">
        <v>52</v>
      </c>
      <c r="E5933" t="s">
        <v>99</v>
      </c>
      <c r="F5933" t="s">
        <v>100</v>
      </c>
      <c r="G5933" t="s">
        <v>15</v>
      </c>
      <c r="H5933" t="s">
        <v>22</v>
      </c>
      <c r="I5933" s="3">
        <v>55.000000000000007</v>
      </c>
      <c r="J5933" s="2">
        <v>425</v>
      </c>
      <c r="K5933" s="3">
        <f t="shared" si="92"/>
        <v>23375.000000000004</v>
      </c>
      <c r="L5933" s="3">
        <v>12856.250000000004</v>
      </c>
    </row>
    <row r="5934" spans="1:12" x14ac:dyDescent="0.25">
      <c r="A5934" t="s">
        <v>23</v>
      </c>
      <c r="B5934">
        <v>1185732</v>
      </c>
      <c r="C5934" s="1">
        <v>44455</v>
      </c>
      <c r="D5934" t="s">
        <v>52</v>
      </c>
      <c r="E5934" t="s">
        <v>112</v>
      </c>
      <c r="F5934" t="s">
        <v>113</v>
      </c>
      <c r="G5934" t="s">
        <v>41</v>
      </c>
      <c r="H5934" t="s">
        <v>16</v>
      </c>
      <c r="I5934" s="3">
        <v>35.000000000000007</v>
      </c>
      <c r="J5934" s="2">
        <v>500</v>
      </c>
      <c r="K5934" s="3">
        <f t="shared" si="92"/>
        <v>17500.000000000004</v>
      </c>
      <c r="L5934" s="3">
        <v>8750.0000000000018</v>
      </c>
    </row>
    <row r="5935" spans="1:12" x14ac:dyDescent="0.25">
      <c r="A5935" t="s">
        <v>23</v>
      </c>
      <c r="B5935">
        <v>1185732</v>
      </c>
      <c r="C5935" s="1">
        <v>44455</v>
      </c>
      <c r="D5935" t="s">
        <v>52</v>
      </c>
      <c r="E5935" t="s">
        <v>112</v>
      </c>
      <c r="F5935" t="s">
        <v>113</v>
      </c>
      <c r="G5935" t="s">
        <v>15</v>
      </c>
      <c r="H5935" t="s">
        <v>22</v>
      </c>
      <c r="I5935" s="3">
        <v>22</v>
      </c>
      <c r="J5935" s="2">
        <v>132</v>
      </c>
      <c r="K5935" s="3">
        <f t="shared" si="92"/>
        <v>2904</v>
      </c>
      <c r="L5935" s="3">
        <v>1800.48</v>
      </c>
    </row>
    <row r="5936" spans="1:12" x14ac:dyDescent="0.25">
      <c r="A5936" t="s">
        <v>23</v>
      </c>
      <c r="B5936">
        <v>1185732</v>
      </c>
      <c r="C5936" s="1">
        <v>44455</v>
      </c>
      <c r="D5936" t="s">
        <v>52</v>
      </c>
      <c r="E5936" t="s">
        <v>112</v>
      </c>
      <c r="F5936" t="s">
        <v>113</v>
      </c>
      <c r="G5936" t="s">
        <v>15</v>
      </c>
      <c r="H5936" t="s">
        <v>17</v>
      </c>
      <c r="I5936" s="3">
        <v>33</v>
      </c>
      <c r="J5936" s="2">
        <v>158</v>
      </c>
      <c r="K5936" s="3">
        <f t="shared" si="92"/>
        <v>5214</v>
      </c>
      <c r="L5936" s="3">
        <v>3076.26</v>
      </c>
    </row>
    <row r="5937" spans="1:12" x14ac:dyDescent="0.25">
      <c r="A5937" t="s">
        <v>26</v>
      </c>
      <c r="B5937">
        <v>1197831</v>
      </c>
      <c r="C5937" s="1">
        <v>44455</v>
      </c>
      <c r="D5937" t="s">
        <v>52</v>
      </c>
      <c r="E5937" t="s">
        <v>53</v>
      </c>
      <c r="F5937" t="s">
        <v>54</v>
      </c>
      <c r="G5937" t="s">
        <v>15</v>
      </c>
      <c r="H5937" t="s">
        <v>38</v>
      </c>
      <c r="I5937" s="3">
        <v>34</v>
      </c>
      <c r="J5937" s="2">
        <v>256</v>
      </c>
      <c r="K5937" s="3">
        <f t="shared" si="92"/>
        <v>8704</v>
      </c>
      <c r="L5937" s="3">
        <v>5048.32</v>
      </c>
    </row>
    <row r="5938" spans="1:12" x14ac:dyDescent="0.25">
      <c r="A5938" t="s">
        <v>23</v>
      </c>
      <c r="B5938">
        <v>1185732</v>
      </c>
      <c r="C5938" s="1">
        <v>44455</v>
      </c>
      <c r="D5938" t="s">
        <v>52</v>
      </c>
      <c r="E5938" t="s">
        <v>112</v>
      </c>
      <c r="F5938" t="s">
        <v>113</v>
      </c>
      <c r="G5938" t="s">
        <v>15</v>
      </c>
      <c r="H5938" t="s">
        <v>38</v>
      </c>
      <c r="I5938" s="3">
        <v>40</v>
      </c>
      <c r="J5938" s="2">
        <v>232</v>
      </c>
      <c r="K5938" s="3">
        <f t="shared" si="92"/>
        <v>9280</v>
      </c>
      <c r="L5938" s="3">
        <v>5196.8</v>
      </c>
    </row>
    <row r="5939" spans="1:12" x14ac:dyDescent="0.25">
      <c r="A5939" t="s">
        <v>23</v>
      </c>
      <c r="B5939">
        <v>1185732</v>
      </c>
      <c r="C5939" s="1">
        <v>44455</v>
      </c>
      <c r="D5939" t="s">
        <v>52</v>
      </c>
      <c r="E5939" t="s">
        <v>112</v>
      </c>
      <c r="F5939" t="s">
        <v>113</v>
      </c>
      <c r="G5939" t="s">
        <v>41</v>
      </c>
      <c r="H5939" t="s">
        <v>17</v>
      </c>
      <c r="I5939" s="3">
        <v>42</v>
      </c>
      <c r="J5939" s="2">
        <v>147</v>
      </c>
      <c r="K5939" s="3">
        <f t="shared" si="92"/>
        <v>6174</v>
      </c>
      <c r="L5939" s="3">
        <v>3395.7000000000003</v>
      </c>
    </row>
    <row r="5940" spans="1:12" x14ac:dyDescent="0.25">
      <c r="A5940" t="s">
        <v>23</v>
      </c>
      <c r="B5940">
        <v>1185732</v>
      </c>
      <c r="C5940" s="1">
        <v>44455</v>
      </c>
      <c r="D5940" t="s">
        <v>52</v>
      </c>
      <c r="E5940" t="s">
        <v>112</v>
      </c>
      <c r="F5940" t="s">
        <v>113</v>
      </c>
      <c r="G5940" t="s">
        <v>15</v>
      </c>
      <c r="H5940" t="s">
        <v>37</v>
      </c>
      <c r="I5940" s="3">
        <v>16</v>
      </c>
      <c r="J5940" s="2">
        <v>120</v>
      </c>
      <c r="K5940" s="3">
        <f t="shared" si="92"/>
        <v>1920</v>
      </c>
      <c r="L5940" s="3">
        <v>1056</v>
      </c>
    </row>
    <row r="5941" spans="1:12" x14ac:dyDescent="0.25">
      <c r="A5941" t="s">
        <v>23</v>
      </c>
      <c r="B5941">
        <v>1185732</v>
      </c>
      <c r="C5941" s="1">
        <v>44455</v>
      </c>
      <c r="D5941" t="s">
        <v>52</v>
      </c>
      <c r="E5941" t="s">
        <v>112</v>
      </c>
      <c r="F5941" t="s">
        <v>113</v>
      </c>
      <c r="G5941" t="s">
        <v>15</v>
      </c>
      <c r="H5941" t="s">
        <v>35</v>
      </c>
      <c r="I5941" s="3">
        <v>15</v>
      </c>
      <c r="J5941" s="2">
        <v>145</v>
      </c>
      <c r="K5941" s="3">
        <f t="shared" si="92"/>
        <v>2175</v>
      </c>
      <c r="L5941" s="3">
        <v>1152.75</v>
      </c>
    </row>
    <row r="5942" spans="1:12" x14ac:dyDescent="0.25">
      <c r="A5942" t="s">
        <v>23</v>
      </c>
      <c r="B5942">
        <v>1185732</v>
      </c>
      <c r="C5942" s="1">
        <v>44455</v>
      </c>
      <c r="D5942" t="s">
        <v>52</v>
      </c>
      <c r="E5942" t="s">
        <v>112</v>
      </c>
      <c r="F5942" t="s">
        <v>113</v>
      </c>
      <c r="G5942" t="s">
        <v>41</v>
      </c>
      <c r="H5942" t="s">
        <v>22</v>
      </c>
      <c r="I5942" s="3">
        <v>29</v>
      </c>
      <c r="J5942" s="2">
        <v>108</v>
      </c>
      <c r="K5942" s="3">
        <f t="shared" si="92"/>
        <v>3132</v>
      </c>
      <c r="L5942" s="3">
        <v>1628.64</v>
      </c>
    </row>
    <row r="5943" spans="1:12" x14ac:dyDescent="0.25">
      <c r="A5943" t="s">
        <v>26</v>
      </c>
      <c r="B5943">
        <v>1197831</v>
      </c>
      <c r="C5943" s="1">
        <v>44455</v>
      </c>
      <c r="D5943" t="s">
        <v>52</v>
      </c>
      <c r="E5943" t="s">
        <v>99</v>
      </c>
      <c r="F5943" t="s">
        <v>100</v>
      </c>
      <c r="G5943" t="s">
        <v>15</v>
      </c>
      <c r="H5943" t="s">
        <v>22</v>
      </c>
      <c r="I5943" s="3">
        <v>42</v>
      </c>
      <c r="J5943" s="2">
        <v>140</v>
      </c>
      <c r="K5943" s="3">
        <f t="shared" si="92"/>
        <v>5880</v>
      </c>
      <c r="L5943" s="3">
        <v>2940.0000000000005</v>
      </c>
    </row>
    <row r="5944" spans="1:12" x14ac:dyDescent="0.25">
      <c r="A5944" t="s">
        <v>23</v>
      </c>
      <c r="B5944">
        <v>1185732</v>
      </c>
      <c r="C5944" s="1">
        <v>44455</v>
      </c>
      <c r="D5944" t="s">
        <v>52</v>
      </c>
      <c r="E5944" t="s">
        <v>112</v>
      </c>
      <c r="F5944" t="s">
        <v>113</v>
      </c>
      <c r="G5944" t="s">
        <v>41</v>
      </c>
      <c r="H5944" t="s">
        <v>35</v>
      </c>
      <c r="I5944" s="3">
        <v>19</v>
      </c>
      <c r="J5944" s="2">
        <v>123</v>
      </c>
      <c r="K5944" s="3">
        <f t="shared" si="92"/>
        <v>2337</v>
      </c>
      <c r="L5944" s="3">
        <v>1168.5</v>
      </c>
    </row>
    <row r="5945" spans="1:12" x14ac:dyDescent="0.25">
      <c r="A5945" t="s">
        <v>26</v>
      </c>
      <c r="B5945">
        <v>1197831</v>
      </c>
      <c r="C5945" s="1">
        <v>44455</v>
      </c>
      <c r="D5945" t="s">
        <v>52</v>
      </c>
      <c r="E5945" t="s">
        <v>53</v>
      </c>
      <c r="F5945" t="s">
        <v>54</v>
      </c>
      <c r="G5945" t="s">
        <v>41</v>
      </c>
      <c r="H5945" t="s">
        <v>38</v>
      </c>
      <c r="I5945" s="3">
        <v>41</v>
      </c>
      <c r="J5945" s="2">
        <v>231</v>
      </c>
      <c r="K5945" s="3">
        <f t="shared" si="92"/>
        <v>9471</v>
      </c>
      <c r="L5945" s="3">
        <v>4546.08</v>
      </c>
    </row>
    <row r="5946" spans="1:12" x14ac:dyDescent="0.25">
      <c r="A5946" t="s">
        <v>23</v>
      </c>
      <c r="B5946">
        <v>1185732</v>
      </c>
      <c r="C5946" s="1">
        <v>44455</v>
      </c>
      <c r="D5946" t="s">
        <v>52</v>
      </c>
      <c r="E5946" t="s">
        <v>112</v>
      </c>
      <c r="F5946" t="s">
        <v>113</v>
      </c>
      <c r="G5946" t="s">
        <v>41</v>
      </c>
      <c r="H5946" t="s">
        <v>38</v>
      </c>
      <c r="I5946" s="3">
        <v>47</v>
      </c>
      <c r="J5946" s="2">
        <v>203</v>
      </c>
      <c r="K5946" s="3">
        <f t="shared" si="92"/>
        <v>9541</v>
      </c>
      <c r="L5946" s="3">
        <v>4388.8599999999997</v>
      </c>
    </row>
    <row r="5947" spans="1:12" x14ac:dyDescent="0.25">
      <c r="A5947" t="s">
        <v>23</v>
      </c>
      <c r="B5947">
        <v>1185732</v>
      </c>
      <c r="C5947" s="1">
        <v>44455</v>
      </c>
      <c r="D5947" t="s">
        <v>52</v>
      </c>
      <c r="E5947" t="s">
        <v>112</v>
      </c>
      <c r="F5947" t="s">
        <v>113</v>
      </c>
      <c r="G5947" t="s">
        <v>41</v>
      </c>
      <c r="H5947" t="s">
        <v>37</v>
      </c>
      <c r="I5947" s="3">
        <v>19</v>
      </c>
      <c r="J5947" s="2">
        <v>100</v>
      </c>
      <c r="K5947" s="3">
        <f t="shared" si="92"/>
        <v>1900</v>
      </c>
      <c r="L5947" s="3">
        <v>855</v>
      </c>
    </row>
    <row r="5948" spans="1:12" x14ac:dyDescent="0.25">
      <c r="A5948" t="s">
        <v>23</v>
      </c>
      <c r="B5948">
        <v>1185732</v>
      </c>
      <c r="C5948" s="1">
        <v>44455</v>
      </c>
      <c r="D5948" t="s">
        <v>52</v>
      </c>
      <c r="E5948" t="s">
        <v>112</v>
      </c>
      <c r="F5948" t="s">
        <v>113</v>
      </c>
      <c r="G5948" t="s">
        <v>15</v>
      </c>
      <c r="H5948" t="s">
        <v>16</v>
      </c>
      <c r="I5948" s="3">
        <v>26</v>
      </c>
      <c r="J5948" s="2">
        <v>160</v>
      </c>
      <c r="K5948" s="3">
        <f t="shared" si="92"/>
        <v>4160</v>
      </c>
      <c r="L5948" s="3">
        <v>1830.3999999999996</v>
      </c>
    </row>
    <row r="5949" spans="1:12" x14ac:dyDescent="0.25">
      <c r="A5949" t="s">
        <v>26</v>
      </c>
      <c r="B5949">
        <v>1197831</v>
      </c>
      <c r="C5949" s="1">
        <v>44455</v>
      </c>
      <c r="D5949" t="s">
        <v>52</v>
      </c>
      <c r="E5949" t="s">
        <v>99</v>
      </c>
      <c r="F5949" t="s">
        <v>100</v>
      </c>
      <c r="G5949" t="s">
        <v>41</v>
      </c>
      <c r="H5949" t="s">
        <v>22</v>
      </c>
      <c r="I5949" s="3">
        <v>50</v>
      </c>
      <c r="J5949" s="2">
        <v>123</v>
      </c>
      <c r="K5949" s="3">
        <f t="shared" si="92"/>
        <v>6150</v>
      </c>
      <c r="L5949" s="3">
        <v>2521.5</v>
      </c>
    </row>
    <row r="5950" spans="1:12" x14ac:dyDescent="0.25">
      <c r="A5950" t="s">
        <v>23</v>
      </c>
      <c r="B5950">
        <v>1185732</v>
      </c>
      <c r="C5950" s="1">
        <v>44455</v>
      </c>
      <c r="D5950" t="s">
        <v>52</v>
      </c>
      <c r="E5950" t="s">
        <v>112</v>
      </c>
      <c r="F5950" t="s">
        <v>113</v>
      </c>
      <c r="G5950" t="s">
        <v>41</v>
      </c>
      <c r="H5950" t="s">
        <v>16</v>
      </c>
      <c r="I5950" s="3">
        <v>32</v>
      </c>
      <c r="J5950" s="2">
        <v>130</v>
      </c>
      <c r="K5950" s="3">
        <f t="shared" si="92"/>
        <v>4160</v>
      </c>
      <c r="L5950" s="3">
        <v>1580.8000000000002</v>
      </c>
    </row>
    <row r="5951" spans="1:12" x14ac:dyDescent="0.25">
      <c r="A5951" t="s">
        <v>36</v>
      </c>
      <c r="B5951">
        <v>1185732</v>
      </c>
      <c r="C5951" s="1">
        <v>44456</v>
      </c>
      <c r="D5951" t="s">
        <v>29</v>
      </c>
      <c r="E5951" t="s">
        <v>68</v>
      </c>
      <c r="F5951" t="s">
        <v>69</v>
      </c>
      <c r="G5951" t="s">
        <v>15</v>
      </c>
      <c r="H5951" t="s">
        <v>35</v>
      </c>
      <c r="I5951" s="3">
        <v>55.000000000000007</v>
      </c>
      <c r="J5951" s="2">
        <v>250</v>
      </c>
      <c r="K5951" s="3">
        <f t="shared" si="92"/>
        <v>13750.000000000002</v>
      </c>
      <c r="L5951" s="3">
        <v>9625.0000000000036</v>
      </c>
    </row>
    <row r="5952" spans="1:12" x14ac:dyDescent="0.25">
      <c r="A5952" t="s">
        <v>36</v>
      </c>
      <c r="B5952">
        <v>1185732</v>
      </c>
      <c r="C5952" s="1">
        <v>44456</v>
      </c>
      <c r="D5952" t="s">
        <v>29</v>
      </c>
      <c r="E5952" t="s">
        <v>68</v>
      </c>
      <c r="F5952" t="s">
        <v>69</v>
      </c>
      <c r="G5952" t="s">
        <v>15</v>
      </c>
      <c r="H5952" t="s">
        <v>37</v>
      </c>
      <c r="I5952" s="3">
        <v>55.000000000000007</v>
      </c>
      <c r="J5952" s="2">
        <v>225</v>
      </c>
      <c r="K5952" s="3">
        <f t="shared" si="92"/>
        <v>12375.000000000002</v>
      </c>
      <c r="L5952" s="3">
        <v>8662.5000000000018</v>
      </c>
    </row>
    <row r="5953" spans="1:12" x14ac:dyDescent="0.25">
      <c r="A5953" t="s">
        <v>36</v>
      </c>
      <c r="B5953">
        <v>1185732</v>
      </c>
      <c r="C5953" s="1">
        <v>44456</v>
      </c>
      <c r="D5953" t="s">
        <v>29</v>
      </c>
      <c r="E5953" t="s">
        <v>68</v>
      </c>
      <c r="F5953" t="s">
        <v>69</v>
      </c>
      <c r="G5953" t="s">
        <v>15</v>
      </c>
      <c r="H5953" t="s">
        <v>22</v>
      </c>
      <c r="I5953" s="3">
        <v>65</v>
      </c>
      <c r="J5953" s="2">
        <v>225</v>
      </c>
      <c r="K5953" s="3">
        <f t="shared" si="92"/>
        <v>14625</v>
      </c>
      <c r="L5953" s="3">
        <v>10237.5</v>
      </c>
    </row>
    <row r="5954" spans="1:12" x14ac:dyDescent="0.25">
      <c r="A5954" t="s">
        <v>36</v>
      </c>
      <c r="B5954">
        <v>1185732</v>
      </c>
      <c r="C5954" s="1">
        <v>44456</v>
      </c>
      <c r="D5954" t="s">
        <v>29</v>
      </c>
      <c r="E5954" t="s">
        <v>68</v>
      </c>
      <c r="F5954" t="s">
        <v>69</v>
      </c>
      <c r="G5954" t="s">
        <v>15</v>
      </c>
      <c r="H5954" t="s">
        <v>16</v>
      </c>
      <c r="I5954" s="3">
        <v>70</v>
      </c>
      <c r="J5954" s="2">
        <v>325</v>
      </c>
      <c r="K5954" s="3">
        <f t="shared" si="92"/>
        <v>22750</v>
      </c>
      <c r="L5954" s="3">
        <v>14787.5</v>
      </c>
    </row>
    <row r="5955" spans="1:12" x14ac:dyDescent="0.25">
      <c r="A5955" t="s">
        <v>26</v>
      </c>
      <c r="B5955">
        <v>1197831</v>
      </c>
      <c r="C5955" s="1">
        <v>44456</v>
      </c>
      <c r="D5955" t="s">
        <v>52</v>
      </c>
      <c r="E5955" t="s">
        <v>53</v>
      </c>
      <c r="F5955" t="s">
        <v>54</v>
      </c>
      <c r="G5955" t="s">
        <v>15</v>
      </c>
      <c r="H5955" t="s">
        <v>17</v>
      </c>
      <c r="I5955" s="3">
        <v>50</v>
      </c>
      <c r="J5955" s="2">
        <v>825</v>
      </c>
      <c r="K5955" s="3">
        <f t="shared" ref="K5955:K6018" si="93">I5955*J5955</f>
        <v>41250</v>
      </c>
      <c r="L5955" s="3">
        <v>24750</v>
      </c>
    </row>
    <row r="5956" spans="1:12" x14ac:dyDescent="0.25">
      <c r="A5956" t="s">
        <v>36</v>
      </c>
      <c r="B5956">
        <v>1185732</v>
      </c>
      <c r="C5956" s="1">
        <v>44456</v>
      </c>
      <c r="D5956" t="s">
        <v>29</v>
      </c>
      <c r="E5956" t="s">
        <v>30</v>
      </c>
      <c r="F5956" t="s">
        <v>31</v>
      </c>
      <c r="G5956" t="s">
        <v>15</v>
      </c>
      <c r="H5956" t="s">
        <v>16</v>
      </c>
      <c r="I5956" s="3">
        <v>60</v>
      </c>
      <c r="J5956" s="2">
        <v>225</v>
      </c>
      <c r="K5956" s="3">
        <f t="shared" si="93"/>
        <v>13500</v>
      </c>
      <c r="L5956" s="3">
        <v>8100</v>
      </c>
    </row>
    <row r="5957" spans="1:12" x14ac:dyDescent="0.25">
      <c r="A5957" t="s">
        <v>36</v>
      </c>
      <c r="B5957">
        <v>1185732</v>
      </c>
      <c r="C5957" s="1">
        <v>44456</v>
      </c>
      <c r="D5957" t="s">
        <v>29</v>
      </c>
      <c r="E5957" t="s">
        <v>68</v>
      </c>
      <c r="F5957" t="s">
        <v>69</v>
      </c>
      <c r="G5957" t="s">
        <v>15</v>
      </c>
      <c r="H5957" t="s">
        <v>38</v>
      </c>
      <c r="I5957" s="3">
        <v>65</v>
      </c>
      <c r="J5957" s="2">
        <v>550</v>
      </c>
      <c r="K5957" s="3">
        <f t="shared" si="93"/>
        <v>35750</v>
      </c>
      <c r="L5957" s="3">
        <v>21450</v>
      </c>
    </row>
    <row r="5958" spans="1:12" x14ac:dyDescent="0.25">
      <c r="A5958" t="s">
        <v>36</v>
      </c>
      <c r="B5958">
        <v>1185732</v>
      </c>
      <c r="C5958" s="1">
        <v>44456</v>
      </c>
      <c r="D5958" t="s">
        <v>29</v>
      </c>
      <c r="E5958" t="s">
        <v>68</v>
      </c>
      <c r="F5958" t="s">
        <v>69</v>
      </c>
      <c r="G5958" t="s">
        <v>15</v>
      </c>
      <c r="H5958" t="s">
        <v>17</v>
      </c>
      <c r="I5958" s="3">
        <v>60.000000000000007</v>
      </c>
      <c r="J5958" s="2">
        <v>350</v>
      </c>
      <c r="K5958" s="3">
        <f t="shared" si="93"/>
        <v>21000.000000000004</v>
      </c>
      <c r="L5958" s="3">
        <v>12600.000000000002</v>
      </c>
    </row>
    <row r="5959" spans="1:12" x14ac:dyDescent="0.25">
      <c r="A5959" t="s">
        <v>26</v>
      </c>
      <c r="B5959">
        <v>1197831</v>
      </c>
      <c r="C5959" s="1">
        <v>44456</v>
      </c>
      <c r="D5959" t="s">
        <v>52</v>
      </c>
      <c r="E5959" t="s">
        <v>99</v>
      </c>
      <c r="F5959" t="s">
        <v>100</v>
      </c>
      <c r="G5959" t="s">
        <v>15</v>
      </c>
      <c r="H5959" t="s">
        <v>16</v>
      </c>
      <c r="I5959" s="3">
        <v>60</v>
      </c>
      <c r="J5959" s="2">
        <v>675</v>
      </c>
      <c r="K5959" s="3">
        <f t="shared" si="93"/>
        <v>40500</v>
      </c>
      <c r="L5959" s="3">
        <v>14174.999999999995</v>
      </c>
    </row>
    <row r="5960" spans="1:12" x14ac:dyDescent="0.25">
      <c r="A5960" t="s">
        <v>36</v>
      </c>
      <c r="B5960">
        <v>1185732</v>
      </c>
      <c r="C5960" s="1">
        <v>44456</v>
      </c>
      <c r="D5960" t="s">
        <v>29</v>
      </c>
      <c r="E5960" t="s">
        <v>68</v>
      </c>
      <c r="F5960" t="s">
        <v>69</v>
      </c>
      <c r="G5960" t="s">
        <v>15</v>
      </c>
      <c r="H5960" t="s">
        <v>35</v>
      </c>
      <c r="I5960" s="3">
        <v>43</v>
      </c>
      <c r="J5960" s="2">
        <v>78</v>
      </c>
      <c r="K5960" s="3">
        <f t="shared" si="93"/>
        <v>3354</v>
      </c>
      <c r="L5960" s="3">
        <v>2247.1800000000003</v>
      </c>
    </row>
    <row r="5961" spans="1:12" x14ac:dyDescent="0.25">
      <c r="A5961" t="s">
        <v>36</v>
      </c>
      <c r="B5961">
        <v>1185732</v>
      </c>
      <c r="C5961" s="1">
        <v>44456</v>
      </c>
      <c r="D5961" t="s">
        <v>29</v>
      </c>
      <c r="E5961" t="s">
        <v>68</v>
      </c>
      <c r="F5961" t="s">
        <v>69</v>
      </c>
      <c r="G5961" t="s">
        <v>15</v>
      </c>
      <c r="H5961" t="s">
        <v>22</v>
      </c>
      <c r="I5961" s="3">
        <v>48</v>
      </c>
      <c r="J5961" s="2">
        <v>70</v>
      </c>
      <c r="K5961" s="3">
        <f t="shared" si="93"/>
        <v>3360</v>
      </c>
      <c r="L5961" s="3">
        <v>2150.4</v>
      </c>
    </row>
    <row r="5962" spans="1:12" x14ac:dyDescent="0.25">
      <c r="A5962" t="s">
        <v>36</v>
      </c>
      <c r="B5962">
        <v>1185732</v>
      </c>
      <c r="C5962" s="1">
        <v>44456</v>
      </c>
      <c r="D5962" t="s">
        <v>29</v>
      </c>
      <c r="E5962" t="s">
        <v>68</v>
      </c>
      <c r="F5962" t="s">
        <v>69</v>
      </c>
      <c r="G5962" t="s">
        <v>15</v>
      </c>
      <c r="H5962" t="s">
        <v>37</v>
      </c>
      <c r="I5962" s="3">
        <v>41</v>
      </c>
      <c r="J5962" s="2">
        <v>74</v>
      </c>
      <c r="K5962" s="3">
        <f t="shared" si="93"/>
        <v>3034</v>
      </c>
      <c r="L5962" s="3">
        <v>1911.42</v>
      </c>
    </row>
    <row r="5963" spans="1:12" x14ac:dyDescent="0.25">
      <c r="A5963" t="s">
        <v>36</v>
      </c>
      <c r="B5963">
        <v>1185732</v>
      </c>
      <c r="C5963" s="1">
        <v>44456</v>
      </c>
      <c r="D5963" t="s">
        <v>29</v>
      </c>
      <c r="E5963" t="s">
        <v>68</v>
      </c>
      <c r="F5963" t="s">
        <v>69</v>
      </c>
      <c r="G5963" t="s">
        <v>15</v>
      </c>
      <c r="H5963" t="s">
        <v>16</v>
      </c>
      <c r="I5963" s="3">
        <v>53</v>
      </c>
      <c r="J5963" s="2">
        <v>104</v>
      </c>
      <c r="K5963" s="3">
        <f t="shared" si="93"/>
        <v>5512</v>
      </c>
      <c r="L5963" s="3">
        <v>3472.56</v>
      </c>
    </row>
    <row r="5964" spans="1:12" x14ac:dyDescent="0.25">
      <c r="A5964" t="s">
        <v>36</v>
      </c>
      <c r="B5964">
        <v>1185732</v>
      </c>
      <c r="C5964" s="1">
        <v>44456</v>
      </c>
      <c r="D5964" t="s">
        <v>29</v>
      </c>
      <c r="E5964" t="s">
        <v>68</v>
      </c>
      <c r="F5964" t="s">
        <v>69</v>
      </c>
      <c r="G5964" t="s">
        <v>41</v>
      </c>
      <c r="H5964" t="s">
        <v>37</v>
      </c>
      <c r="I5964" s="3">
        <v>53</v>
      </c>
      <c r="J5964" s="2">
        <v>56</v>
      </c>
      <c r="K5964" s="3">
        <f t="shared" si="93"/>
        <v>2968</v>
      </c>
      <c r="L5964" s="3">
        <v>1721.44</v>
      </c>
    </row>
    <row r="5965" spans="1:12" x14ac:dyDescent="0.25">
      <c r="A5965" t="s">
        <v>26</v>
      </c>
      <c r="B5965">
        <v>1197831</v>
      </c>
      <c r="C5965" s="1">
        <v>44456</v>
      </c>
      <c r="D5965" t="s">
        <v>52</v>
      </c>
      <c r="E5965" t="s">
        <v>53</v>
      </c>
      <c r="F5965" t="s">
        <v>54</v>
      </c>
      <c r="G5965" t="s">
        <v>15</v>
      </c>
      <c r="H5965" t="s">
        <v>17</v>
      </c>
      <c r="I5965" s="3">
        <v>34</v>
      </c>
      <c r="J5965" s="2">
        <v>264</v>
      </c>
      <c r="K5965" s="3">
        <f t="shared" si="93"/>
        <v>8976</v>
      </c>
      <c r="L5965" s="3">
        <v>5206.08</v>
      </c>
    </row>
    <row r="5966" spans="1:12" x14ac:dyDescent="0.25">
      <c r="A5966" t="s">
        <v>36</v>
      </c>
      <c r="B5966">
        <v>1185732</v>
      </c>
      <c r="C5966" s="1">
        <v>44456</v>
      </c>
      <c r="D5966" t="s">
        <v>29</v>
      </c>
      <c r="E5966" t="s">
        <v>68</v>
      </c>
      <c r="F5966" t="s">
        <v>69</v>
      </c>
      <c r="G5966" t="s">
        <v>15</v>
      </c>
      <c r="H5966" t="s">
        <v>17</v>
      </c>
      <c r="I5966" s="3">
        <v>43</v>
      </c>
      <c r="J5966" s="2">
        <v>116</v>
      </c>
      <c r="K5966" s="3">
        <f t="shared" si="93"/>
        <v>4988</v>
      </c>
      <c r="L5966" s="3">
        <v>2893.04</v>
      </c>
    </row>
    <row r="5967" spans="1:12" x14ac:dyDescent="0.25">
      <c r="A5967" t="s">
        <v>36</v>
      </c>
      <c r="B5967">
        <v>1185732</v>
      </c>
      <c r="C5967" s="1">
        <v>44456</v>
      </c>
      <c r="D5967" t="s">
        <v>29</v>
      </c>
      <c r="E5967" t="s">
        <v>68</v>
      </c>
      <c r="F5967" t="s">
        <v>69</v>
      </c>
      <c r="G5967" t="s">
        <v>41</v>
      </c>
      <c r="H5967" t="s">
        <v>35</v>
      </c>
      <c r="I5967" s="3">
        <v>52</v>
      </c>
      <c r="J5967" s="2">
        <v>75</v>
      </c>
      <c r="K5967" s="3">
        <f t="shared" si="93"/>
        <v>3900</v>
      </c>
      <c r="L5967" s="3">
        <v>2223</v>
      </c>
    </row>
    <row r="5968" spans="1:12" x14ac:dyDescent="0.25">
      <c r="A5968" t="s">
        <v>36</v>
      </c>
      <c r="B5968">
        <v>1185732</v>
      </c>
      <c r="C5968" s="1">
        <v>44456</v>
      </c>
      <c r="D5968" t="s">
        <v>29</v>
      </c>
      <c r="E5968" t="s">
        <v>68</v>
      </c>
      <c r="F5968" t="s">
        <v>69</v>
      </c>
      <c r="G5968" t="s">
        <v>41</v>
      </c>
      <c r="H5968" t="s">
        <v>22</v>
      </c>
      <c r="I5968" s="3">
        <v>64</v>
      </c>
      <c r="J5968" s="2">
        <v>63</v>
      </c>
      <c r="K5968" s="3">
        <f t="shared" si="93"/>
        <v>4032</v>
      </c>
      <c r="L5968" s="3">
        <v>2298.2399999999998</v>
      </c>
    </row>
    <row r="5969" spans="1:12" x14ac:dyDescent="0.25">
      <c r="A5969" t="s">
        <v>36</v>
      </c>
      <c r="B5969">
        <v>1185732</v>
      </c>
      <c r="C5969" s="1">
        <v>44456</v>
      </c>
      <c r="D5969" t="s">
        <v>29</v>
      </c>
      <c r="E5969" t="s">
        <v>68</v>
      </c>
      <c r="F5969" t="s">
        <v>69</v>
      </c>
      <c r="G5969" t="s">
        <v>15</v>
      </c>
      <c r="H5969" t="s">
        <v>38</v>
      </c>
      <c r="I5969" s="3">
        <v>51</v>
      </c>
      <c r="J5969" s="2">
        <v>193</v>
      </c>
      <c r="K5969" s="3">
        <f t="shared" si="93"/>
        <v>9843</v>
      </c>
      <c r="L5969" s="3">
        <v>5512.08</v>
      </c>
    </row>
    <row r="5970" spans="1:12" x14ac:dyDescent="0.25">
      <c r="A5970" t="s">
        <v>36</v>
      </c>
      <c r="B5970">
        <v>1185732</v>
      </c>
      <c r="C5970" s="1">
        <v>44456</v>
      </c>
      <c r="D5970" t="s">
        <v>29</v>
      </c>
      <c r="E5970" t="s">
        <v>68</v>
      </c>
      <c r="F5970" t="s">
        <v>69</v>
      </c>
      <c r="G5970" t="s">
        <v>41</v>
      </c>
      <c r="H5970" t="s">
        <v>16</v>
      </c>
      <c r="I5970" s="3">
        <v>68</v>
      </c>
      <c r="J5970" s="2">
        <v>98</v>
      </c>
      <c r="K5970" s="3">
        <f t="shared" si="93"/>
        <v>6664</v>
      </c>
      <c r="L5970" s="3">
        <v>3598.5600000000004</v>
      </c>
    </row>
    <row r="5971" spans="1:12" x14ac:dyDescent="0.25">
      <c r="A5971" t="s">
        <v>36</v>
      </c>
      <c r="B5971">
        <v>1185732</v>
      </c>
      <c r="C5971" s="1">
        <v>44456</v>
      </c>
      <c r="D5971" t="s">
        <v>29</v>
      </c>
      <c r="E5971" t="s">
        <v>30</v>
      </c>
      <c r="F5971" t="s">
        <v>31</v>
      </c>
      <c r="G5971" t="s">
        <v>41</v>
      </c>
      <c r="H5971" t="s">
        <v>16</v>
      </c>
      <c r="I5971" s="3">
        <v>57</v>
      </c>
      <c r="J5971" s="2">
        <v>59</v>
      </c>
      <c r="K5971" s="3">
        <f t="shared" si="93"/>
        <v>3363</v>
      </c>
      <c r="L5971" s="3">
        <v>1614.24</v>
      </c>
    </row>
    <row r="5972" spans="1:12" x14ac:dyDescent="0.25">
      <c r="A5972" t="s">
        <v>36</v>
      </c>
      <c r="B5972">
        <v>1185732</v>
      </c>
      <c r="C5972" s="1">
        <v>44456</v>
      </c>
      <c r="D5972" t="s">
        <v>29</v>
      </c>
      <c r="E5972" t="s">
        <v>68</v>
      </c>
      <c r="F5972" t="s">
        <v>69</v>
      </c>
      <c r="G5972" t="s">
        <v>41</v>
      </c>
      <c r="H5972" t="s">
        <v>38</v>
      </c>
      <c r="I5972" s="3">
        <v>59</v>
      </c>
      <c r="J5972" s="2">
        <v>154</v>
      </c>
      <c r="K5972" s="3">
        <f t="shared" si="93"/>
        <v>9086</v>
      </c>
      <c r="L5972" s="3">
        <v>4361.28</v>
      </c>
    </row>
    <row r="5973" spans="1:12" x14ac:dyDescent="0.25">
      <c r="A5973" t="s">
        <v>36</v>
      </c>
      <c r="B5973">
        <v>1185732</v>
      </c>
      <c r="C5973" s="1">
        <v>44456</v>
      </c>
      <c r="D5973" t="s">
        <v>29</v>
      </c>
      <c r="E5973" t="s">
        <v>68</v>
      </c>
      <c r="F5973" t="s">
        <v>69</v>
      </c>
      <c r="G5973" t="s">
        <v>41</v>
      </c>
      <c r="H5973" t="s">
        <v>17</v>
      </c>
      <c r="I5973" s="3">
        <v>54</v>
      </c>
      <c r="J5973" s="2">
        <v>95</v>
      </c>
      <c r="K5973" s="3">
        <f t="shared" si="93"/>
        <v>5130</v>
      </c>
      <c r="L5973" s="3">
        <v>2462.4</v>
      </c>
    </row>
    <row r="5974" spans="1:12" x14ac:dyDescent="0.25">
      <c r="A5974" t="s">
        <v>26</v>
      </c>
      <c r="B5974">
        <v>1197831</v>
      </c>
      <c r="C5974" s="1">
        <v>44456</v>
      </c>
      <c r="D5974" t="s">
        <v>52</v>
      </c>
      <c r="E5974" t="s">
        <v>53</v>
      </c>
      <c r="F5974" t="s">
        <v>54</v>
      </c>
      <c r="G5974" t="s">
        <v>41</v>
      </c>
      <c r="H5974" t="s">
        <v>17</v>
      </c>
      <c r="I5974" s="3">
        <v>48</v>
      </c>
      <c r="J5974" s="2">
        <v>215</v>
      </c>
      <c r="K5974" s="3">
        <f t="shared" si="93"/>
        <v>10320</v>
      </c>
      <c r="L5974" s="3">
        <v>4747.2</v>
      </c>
    </row>
    <row r="5975" spans="1:12" x14ac:dyDescent="0.25">
      <c r="A5975" t="s">
        <v>26</v>
      </c>
      <c r="B5975">
        <v>1197831</v>
      </c>
      <c r="C5975" s="1">
        <v>44456</v>
      </c>
      <c r="D5975" t="s">
        <v>52</v>
      </c>
      <c r="E5975" t="s">
        <v>99</v>
      </c>
      <c r="F5975" t="s">
        <v>100</v>
      </c>
      <c r="G5975" t="s">
        <v>15</v>
      </c>
      <c r="H5975" t="s">
        <v>16</v>
      </c>
      <c r="I5975" s="3">
        <v>39</v>
      </c>
      <c r="J5975" s="2">
        <v>203</v>
      </c>
      <c r="K5975" s="3">
        <f t="shared" si="93"/>
        <v>7917</v>
      </c>
      <c r="L5975" s="3">
        <v>2295.9299999999985</v>
      </c>
    </row>
    <row r="5976" spans="1:12" x14ac:dyDescent="0.25">
      <c r="A5976" t="s">
        <v>26</v>
      </c>
      <c r="B5976">
        <v>1197831</v>
      </c>
      <c r="C5976" s="1">
        <v>44456</v>
      </c>
      <c r="D5976" t="s">
        <v>52</v>
      </c>
      <c r="E5976" t="s">
        <v>99</v>
      </c>
      <c r="F5976" t="s">
        <v>100</v>
      </c>
      <c r="G5976" t="s">
        <v>41</v>
      </c>
      <c r="H5976" t="s">
        <v>16</v>
      </c>
      <c r="I5976" s="3">
        <v>59</v>
      </c>
      <c r="J5976" s="2">
        <v>182</v>
      </c>
      <c r="K5976" s="3">
        <f t="shared" si="93"/>
        <v>10738</v>
      </c>
      <c r="L5976" s="3">
        <v>2469.739999999998</v>
      </c>
    </row>
    <row r="5977" spans="1:12" x14ac:dyDescent="0.25">
      <c r="A5977" t="s">
        <v>23</v>
      </c>
      <c r="B5977">
        <v>1128299</v>
      </c>
      <c r="C5977" s="1">
        <v>44457</v>
      </c>
      <c r="D5977" t="s">
        <v>32</v>
      </c>
      <c r="E5977" t="s">
        <v>33</v>
      </c>
      <c r="F5977" t="s">
        <v>34</v>
      </c>
      <c r="G5977" t="s">
        <v>18</v>
      </c>
      <c r="H5977" t="s">
        <v>22</v>
      </c>
      <c r="I5977" s="3">
        <v>70</v>
      </c>
      <c r="J5977" s="2">
        <v>275</v>
      </c>
      <c r="K5977" s="3">
        <f t="shared" si="93"/>
        <v>19250</v>
      </c>
      <c r="L5977" s="3">
        <v>15400</v>
      </c>
    </row>
    <row r="5978" spans="1:12" x14ac:dyDescent="0.25">
      <c r="A5978" t="s">
        <v>23</v>
      </c>
      <c r="B5978">
        <v>1128299</v>
      </c>
      <c r="C5978" s="1">
        <v>44457</v>
      </c>
      <c r="D5978" t="s">
        <v>32</v>
      </c>
      <c r="E5978" t="s">
        <v>33</v>
      </c>
      <c r="F5978" t="s">
        <v>34</v>
      </c>
      <c r="G5978" t="s">
        <v>18</v>
      </c>
      <c r="H5978" t="s">
        <v>17</v>
      </c>
      <c r="I5978" s="3">
        <v>65.000000000000014</v>
      </c>
      <c r="J5978" s="2">
        <v>500</v>
      </c>
      <c r="K5978" s="3">
        <f t="shared" si="93"/>
        <v>32500.000000000007</v>
      </c>
      <c r="L5978" s="3">
        <v>24375.000000000007</v>
      </c>
    </row>
    <row r="5979" spans="1:12" x14ac:dyDescent="0.25">
      <c r="A5979" t="s">
        <v>23</v>
      </c>
      <c r="B5979">
        <v>1128299</v>
      </c>
      <c r="C5979" s="1">
        <v>44457</v>
      </c>
      <c r="D5979" t="s">
        <v>32</v>
      </c>
      <c r="E5979" t="s">
        <v>33</v>
      </c>
      <c r="F5979" t="s">
        <v>34</v>
      </c>
      <c r="G5979" t="s">
        <v>18</v>
      </c>
      <c r="H5979" t="s">
        <v>38</v>
      </c>
      <c r="I5979" s="3">
        <v>60.000000000000007</v>
      </c>
      <c r="J5979" s="2">
        <v>500</v>
      </c>
      <c r="K5979" s="3">
        <f t="shared" si="93"/>
        <v>30000.000000000004</v>
      </c>
      <c r="L5979" s="3">
        <v>21000.000000000007</v>
      </c>
    </row>
    <row r="5980" spans="1:12" x14ac:dyDescent="0.25">
      <c r="A5980" t="s">
        <v>23</v>
      </c>
      <c r="B5980">
        <v>1128299</v>
      </c>
      <c r="C5980" s="1">
        <v>44457</v>
      </c>
      <c r="D5980" t="s">
        <v>32</v>
      </c>
      <c r="E5980" t="s">
        <v>33</v>
      </c>
      <c r="F5980" t="s">
        <v>34</v>
      </c>
      <c r="G5980" t="s">
        <v>18</v>
      </c>
      <c r="H5980" t="s">
        <v>37</v>
      </c>
      <c r="I5980" s="3">
        <v>60.000000000000007</v>
      </c>
      <c r="J5980" s="2">
        <v>250</v>
      </c>
      <c r="K5980" s="3">
        <f t="shared" si="93"/>
        <v>15000.000000000002</v>
      </c>
      <c r="L5980" s="3">
        <v>10500.000000000004</v>
      </c>
    </row>
    <row r="5981" spans="1:12" x14ac:dyDescent="0.25">
      <c r="A5981" t="s">
        <v>23</v>
      </c>
      <c r="B5981">
        <v>1128299</v>
      </c>
      <c r="C5981" s="1">
        <v>44457</v>
      </c>
      <c r="D5981" t="s">
        <v>32</v>
      </c>
      <c r="E5981" t="s">
        <v>33</v>
      </c>
      <c r="F5981" t="s">
        <v>34</v>
      </c>
      <c r="G5981" t="s">
        <v>18</v>
      </c>
      <c r="H5981" t="s">
        <v>35</v>
      </c>
      <c r="I5981" s="3">
        <v>60.000000000000007</v>
      </c>
      <c r="J5981" s="2">
        <v>300</v>
      </c>
      <c r="K5981" s="3">
        <f t="shared" si="93"/>
        <v>18000.000000000004</v>
      </c>
      <c r="L5981" s="3">
        <v>12600.000000000004</v>
      </c>
    </row>
    <row r="5982" spans="1:12" x14ac:dyDescent="0.25">
      <c r="A5982" t="s">
        <v>11</v>
      </c>
      <c r="B5982">
        <v>1128299</v>
      </c>
      <c r="C5982" s="1">
        <v>44457</v>
      </c>
      <c r="D5982" t="s">
        <v>52</v>
      </c>
      <c r="E5982" t="s">
        <v>64</v>
      </c>
      <c r="F5982" t="s">
        <v>65</v>
      </c>
      <c r="G5982" t="s">
        <v>41</v>
      </c>
      <c r="H5982" t="s">
        <v>16</v>
      </c>
      <c r="I5982" s="3">
        <v>40</v>
      </c>
      <c r="J5982" s="2">
        <v>300</v>
      </c>
      <c r="K5982" s="3">
        <f t="shared" si="93"/>
        <v>12000</v>
      </c>
      <c r="L5982" s="3">
        <v>7800</v>
      </c>
    </row>
    <row r="5983" spans="1:12" x14ac:dyDescent="0.25">
      <c r="A5983" t="s">
        <v>11</v>
      </c>
      <c r="B5983">
        <v>1128299</v>
      </c>
      <c r="C5983" s="1">
        <v>44457</v>
      </c>
      <c r="D5983" t="s">
        <v>52</v>
      </c>
      <c r="E5983" t="s">
        <v>64</v>
      </c>
      <c r="F5983" t="s">
        <v>65</v>
      </c>
      <c r="G5983" t="s">
        <v>41</v>
      </c>
      <c r="H5983" t="s">
        <v>38</v>
      </c>
      <c r="I5983" s="3">
        <v>45.000000000000014</v>
      </c>
      <c r="J5983" s="2">
        <v>500</v>
      </c>
      <c r="K5983" s="3">
        <f t="shared" si="93"/>
        <v>22500.000000000007</v>
      </c>
      <c r="L5983" s="3">
        <v>13500.000000000005</v>
      </c>
    </row>
    <row r="5984" spans="1:12" x14ac:dyDescent="0.25">
      <c r="A5984" t="s">
        <v>11</v>
      </c>
      <c r="B5984">
        <v>1128299</v>
      </c>
      <c r="C5984" s="1">
        <v>44457</v>
      </c>
      <c r="D5984" t="s">
        <v>52</v>
      </c>
      <c r="E5984" t="s">
        <v>64</v>
      </c>
      <c r="F5984" t="s">
        <v>65</v>
      </c>
      <c r="G5984" t="s">
        <v>41</v>
      </c>
      <c r="H5984" t="s">
        <v>17</v>
      </c>
      <c r="I5984" s="3">
        <v>50.000000000000014</v>
      </c>
      <c r="J5984" s="2">
        <v>500</v>
      </c>
      <c r="K5984" s="3">
        <f t="shared" si="93"/>
        <v>25000.000000000007</v>
      </c>
      <c r="L5984" s="3">
        <v>15000.000000000005</v>
      </c>
    </row>
    <row r="5985" spans="1:12" x14ac:dyDescent="0.25">
      <c r="A5985" t="s">
        <v>11</v>
      </c>
      <c r="B5985">
        <v>1128299</v>
      </c>
      <c r="C5985" s="1">
        <v>44457</v>
      </c>
      <c r="D5985" t="s">
        <v>52</v>
      </c>
      <c r="E5985" t="s">
        <v>64</v>
      </c>
      <c r="F5985" t="s">
        <v>65</v>
      </c>
      <c r="G5985" t="s">
        <v>41</v>
      </c>
      <c r="H5985" t="s">
        <v>35</v>
      </c>
      <c r="I5985" s="3">
        <v>45.000000000000014</v>
      </c>
      <c r="J5985" s="2">
        <v>300</v>
      </c>
      <c r="K5985" s="3">
        <f t="shared" si="93"/>
        <v>13500.000000000004</v>
      </c>
      <c r="L5985" s="3">
        <v>8100.0000000000027</v>
      </c>
    </row>
    <row r="5986" spans="1:12" x14ac:dyDescent="0.25">
      <c r="A5986" t="s">
        <v>11</v>
      </c>
      <c r="B5986">
        <v>1128299</v>
      </c>
      <c r="C5986" s="1">
        <v>44457</v>
      </c>
      <c r="D5986" t="s">
        <v>52</v>
      </c>
      <c r="E5986" t="s">
        <v>64</v>
      </c>
      <c r="F5986" t="s">
        <v>65</v>
      </c>
      <c r="G5986" t="s">
        <v>41</v>
      </c>
      <c r="H5986" t="s">
        <v>37</v>
      </c>
      <c r="I5986" s="3">
        <v>45.000000000000014</v>
      </c>
      <c r="J5986" s="2">
        <v>250</v>
      </c>
      <c r="K5986" s="3">
        <f t="shared" si="93"/>
        <v>11250.000000000004</v>
      </c>
      <c r="L5986" s="3">
        <v>6750.0000000000027</v>
      </c>
    </row>
    <row r="5987" spans="1:12" x14ac:dyDescent="0.25">
      <c r="A5987" t="s">
        <v>26</v>
      </c>
      <c r="B5987">
        <v>1197831</v>
      </c>
      <c r="C5987" s="1">
        <v>44457</v>
      </c>
      <c r="D5987" t="s">
        <v>52</v>
      </c>
      <c r="E5987" t="s">
        <v>53</v>
      </c>
      <c r="F5987" t="s">
        <v>54</v>
      </c>
      <c r="G5987" t="s">
        <v>15</v>
      </c>
      <c r="H5987" t="s">
        <v>35</v>
      </c>
      <c r="I5987" s="3">
        <v>45</v>
      </c>
      <c r="J5987" s="2">
        <v>975</v>
      </c>
      <c r="K5987" s="3">
        <f t="shared" si="93"/>
        <v>43875</v>
      </c>
      <c r="L5987" s="3">
        <v>26325</v>
      </c>
    </row>
    <row r="5988" spans="1:12" x14ac:dyDescent="0.25">
      <c r="A5988" t="s">
        <v>11</v>
      </c>
      <c r="B5988">
        <v>1185732</v>
      </c>
      <c r="C5988" s="1">
        <v>44457</v>
      </c>
      <c r="D5988" t="s">
        <v>29</v>
      </c>
      <c r="E5988" t="s">
        <v>105</v>
      </c>
      <c r="F5988" t="s">
        <v>47</v>
      </c>
      <c r="G5988" t="s">
        <v>18</v>
      </c>
      <c r="H5988" t="s">
        <v>38</v>
      </c>
      <c r="I5988" s="3">
        <v>35</v>
      </c>
      <c r="J5988" s="2">
        <v>550</v>
      </c>
      <c r="K5988" s="3">
        <f t="shared" si="93"/>
        <v>19250</v>
      </c>
      <c r="L5988" s="3">
        <v>11550</v>
      </c>
    </row>
    <row r="5989" spans="1:12" x14ac:dyDescent="0.25">
      <c r="A5989" t="s">
        <v>11</v>
      </c>
      <c r="B5989">
        <v>1185732</v>
      </c>
      <c r="C5989" s="1">
        <v>44457</v>
      </c>
      <c r="D5989" t="s">
        <v>29</v>
      </c>
      <c r="E5989" t="s">
        <v>105</v>
      </c>
      <c r="F5989" t="s">
        <v>47</v>
      </c>
      <c r="G5989" t="s">
        <v>18</v>
      </c>
      <c r="H5989" t="s">
        <v>17</v>
      </c>
      <c r="I5989" s="3">
        <v>30.000000000000011</v>
      </c>
      <c r="J5989" s="2">
        <v>350</v>
      </c>
      <c r="K5989" s="3">
        <f t="shared" si="93"/>
        <v>10500.000000000004</v>
      </c>
      <c r="L5989" s="3">
        <v>6300.0000000000018</v>
      </c>
    </row>
    <row r="5990" spans="1:12" x14ac:dyDescent="0.25">
      <c r="A5990" t="s">
        <v>11</v>
      </c>
      <c r="B5990">
        <v>1185732</v>
      </c>
      <c r="C5990" s="1">
        <v>44457</v>
      </c>
      <c r="D5990" t="s">
        <v>29</v>
      </c>
      <c r="E5990" t="s">
        <v>105</v>
      </c>
      <c r="F5990" t="s">
        <v>47</v>
      </c>
      <c r="G5990" t="s">
        <v>18</v>
      </c>
      <c r="H5990" t="s">
        <v>35</v>
      </c>
      <c r="I5990" s="3">
        <v>25.000000000000007</v>
      </c>
      <c r="J5990" s="2">
        <v>250</v>
      </c>
      <c r="K5990" s="3">
        <f t="shared" si="93"/>
        <v>6250.0000000000018</v>
      </c>
      <c r="L5990" s="3">
        <v>3750.0000000000009</v>
      </c>
    </row>
    <row r="5991" spans="1:12" x14ac:dyDescent="0.25">
      <c r="A5991" t="s">
        <v>11</v>
      </c>
      <c r="B5991">
        <v>1185732</v>
      </c>
      <c r="C5991" s="1">
        <v>44457</v>
      </c>
      <c r="D5991" t="s">
        <v>29</v>
      </c>
      <c r="E5991" t="s">
        <v>105</v>
      </c>
      <c r="F5991" t="s">
        <v>47</v>
      </c>
      <c r="G5991" t="s">
        <v>18</v>
      </c>
      <c r="H5991" t="s">
        <v>37</v>
      </c>
      <c r="I5991" s="3">
        <v>25.000000000000007</v>
      </c>
      <c r="J5991" s="2">
        <v>225</v>
      </c>
      <c r="K5991" s="3">
        <f t="shared" si="93"/>
        <v>5625.0000000000018</v>
      </c>
      <c r="L5991" s="3">
        <v>3375.0000000000009</v>
      </c>
    </row>
    <row r="5992" spans="1:12" x14ac:dyDescent="0.25">
      <c r="A5992" t="s">
        <v>11</v>
      </c>
      <c r="B5992">
        <v>1185732</v>
      </c>
      <c r="C5992" s="1">
        <v>44457</v>
      </c>
      <c r="D5992" t="s">
        <v>29</v>
      </c>
      <c r="E5992" t="s">
        <v>105</v>
      </c>
      <c r="F5992" t="s">
        <v>47</v>
      </c>
      <c r="G5992" t="s">
        <v>18</v>
      </c>
      <c r="H5992" t="s">
        <v>22</v>
      </c>
      <c r="I5992" s="3">
        <v>35</v>
      </c>
      <c r="J5992" s="2">
        <v>225</v>
      </c>
      <c r="K5992" s="3">
        <f t="shared" si="93"/>
        <v>7875</v>
      </c>
      <c r="L5992" s="3">
        <v>4725</v>
      </c>
    </row>
    <row r="5993" spans="1:12" x14ac:dyDescent="0.25">
      <c r="A5993" t="s">
        <v>11</v>
      </c>
      <c r="B5993">
        <v>1185732</v>
      </c>
      <c r="C5993" s="1">
        <v>44457</v>
      </c>
      <c r="D5993" t="s">
        <v>29</v>
      </c>
      <c r="E5993" t="s">
        <v>105</v>
      </c>
      <c r="F5993" t="s">
        <v>47</v>
      </c>
      <c r="G5993" t="s">
        <v>18</v>
      </c>
      <c r="H5993" t="s">
        <v>16</v>
      </c>
      <c r="I5993" s="3">
        <v>40</v>
      </c>
      <c r="J5993" s="2">
        <v>300</v>
      </c>
      <c r="K5993" s="3">
        <f t="shared" si="93"/>
        <v>12000</v>
      </c>
      <c r="L5993" s="3">
        <v>7200</v>
      </c>
    </row>
    <row r="5994" spans="1:12" x14ac:dyDescent="0.25">
      <c r="A5994" t="s">
        <v>23</v>
      </c>
      <c r="B5994">
        <v>1128299</v>
      </c>
      <c r="C5994" s="1">
        <v>44457</v>
      </c>
      <c r="D5994" t="s">
        <v>32</v>
      </c>
      <c r="E5994" t="s">
        <v>33</v>
      </c>
      <c r="F5994" t="s">
        <v>34</v>
      </c>
      <c r="G5994" t="s">
        <v>18</v>
      </c>
      <c r="H5994" t="s">
        <v>16</v>
      </c>
      <c r="I5994" s="3">
        <v>54.999999999999993</v>
      </c>
      <c r="J5994" s="2">
        <v>300</v>
      </c>
      <c r="K5994" s="3">
        <f t="shared" si="93"/>
        <v>16499.999999999996</v>
      </c>
      <c r="L5994" s="3">
        <v>9074.9999999999982</v>
      </c>
    </row>
    <row r="5995" spans="1:12" x14ac:dyDescent="0.25">
      <c r="A5995" t="s">
        <v>11</v>
      </c>
      <c r="B5995">
        <v>1128299</v>
      </c>
      <c r="C5995" s="1">
        <v>44457</v>
      </c>
      <c r="D5995" t="s">
        <v>52</v>
      </c>
      <c r="E5995" t="s">
        <v>64</v>
      </c>
      <c r="F5995" t="s">
        <v>65</v>
      </c>
      <c r="G5995" t="s">
        <v>41</v>
      </c>
      <c r="H5995" t="s">
        <v>22</v>
      </c>
      <c r="I5995" s="3">
        <v>55.000000000000007</v>
      </c>
      <c r="J5995" s="2">
        <v>275</v>
      </c>
      <c r="K5995" s="3">
        <f t="shared" si="93"/>
        <v>15125.000000000002</v>
      </c>
      <c r="L5995" s="3">
        <v>8318.7500000000018</v>
      </c>
    </row>
    <row r="5996" spans="1:12" x14ac:dyDescent="0.25">
      <c r="A5996" t="s">
        <v>26</v>
      </c>
      <c r="B5996">
        <v>1197831</v>
      </c>
      <c r="C5996" s="1">
        <v>44457</v>
      </c>
      <c r="D5996" t="s">
        <v>52</v>
      </c>
      <c r="E5996" t="s">
        <v>99</v>
      </c>
      <c r="F5996" t="s">
        <v>100</v>
      </c>
      <c r="G5996" t="s">
        <v>15</v>
      </c>
      <c r="H5996" t="s">
        <v>38</v>
      </c>
      <c r="I5996" s="3">
        <v>55.000000000000007</v>
      </c>
      <c r="J5996" s="2">
        <v>625</v>
      </c>
      <c r="K5996" s="3">
        <f t="shared" si="93"/>
        <v>34375.000000000007</v>
      </c>
      <c r="L5996" s="3">
        <v>17187.500000000007</v>
      </c>
    </row>
    <row r="5997" spans="1:12" x14ac:dyDescent="0.25">
      <c r="A5997" t="s">
        <v>23</v>
      </c>
      <c r="B5997">
        <v>1128299</v>
      </c>
      <c r="C5997" s="1">
        <v>44457</v>
      </c>
      <c r="D5997" t="s">
        <v>32</v>
      </c>
      <c r="E5997" t="s">
        <v>33</v>
      </c>
      <c r="F5997" t="s">
        <v>34</v>
      </c>
      <c r="G5997" t="s">
        <v>15</v>
      </c>
      <c r="H5997" t="s">
        <v>22</v>
      </c>
      <c r="I5997" s="3">
        <v>54</v>
      </c>
      <c r="J5997" s="2">
        <v>94</v>
      </c>
      <c r="K5997" s="3">
        <f t="shared" si="93"/>
        <v>5076</v>
      </c>
      <c r="L5997" s="3">
        <v>3908.52</v>
      </c>
    </row>
    <row r="5998" spans="1:12" x14ac:dyDescent="0.25">
      <c r="A5998" t="s">
        <v>23</v>
      </c>
      <c r="B5998">
        <v>1128299</v>
      </c>
      <c r="C5998" s="1">
        <v>44457</v>
      </c>
      <c r="D5998" t="s">
        <v>32</v>
      </c>
      <c r="E5998" t="s">
        <v>33</v>
      </c>
      <c r="F5998" t="s">
        <v>34</v>
      </c>
      <c r="G5998" t="s">
        <v>41</v>
      </c>
      <c r="H5998" t="s">
        <v>22</v>
      </c>
      <c r="I5998" s="3">
        <v>64</v>
      </c>
      <c r="J5998" s="2">
        <v>74</v>
      </c>
      <c r="K5998" s="3">
        <f t="shared" si="93"/>
        <v>4736</v>
      </c>
      <c r="L5998" s="3">
        <v>3267.84</v>
      </c>
    </row>
    <row r="5999" spans="1:12" x14ac:dyDescent="0.25">
      <c r="A5999" t="s">
        <v>23</v>
      </c>
      <c r="B5999">
        <v>1128299</v>
      </c>
      <c r="C5999" s="1">
        <v>44457</v>
      </c>
      <c r="D5999" t="s">
        <v>32</v>
      </c>
      <c r="E5999" t="s">
        <v>33</v>
      </c>
      <c r="F5999" t="s">
        <v>34</v>
      </c>
      <c r="G5999" t="s">
        <v>15</v>
      </c>
      <c r="H5999" t="s">
        <v>17</v>
      </c>
      <c r="I5999" s="3">
        <v>45</v>
      </c>
      <c r="J5999" s="2">
        <v>150</v>
      </c>
      <c r="K5999" s="3">
        <f t="shared" si="93"/>
        <v>6750</v>
      </c>
      <c r="L5999" s="3">
        <v>4657.5</v>
      </c>
    </row>
    <row r="6000" spans="1:12" x14ac:dyDescent="0.25">
      <c r="A6000" t="s">
        <v>23</v>
      </c>
      <c r="B6000">
        <v>1128299</v>
      </c>
      <c r="C6000" s="1">
        <v>44457</v>
      </c>
      <c r="D6000" t="s">
        <v>32</v>
      </c>
      <c r="E6000" t="s">
        <v>33</v>
      </c>
      <c r="F6000" t="s">
        <v>34</v>
      </c>
      <c r="G6000" t="s">
        <v>15</v>
      </c>
      <c r="H6000" t="s">
        <v>35</v>
      </c>
      <c r="I6000" s="3">
        <v>39</v>
      </c>
      <c r="J6000" s="2">
        <v>96</v>
      </c>
      <c r="K6000" s="3">
        <f t="shared" si="93"/>
        <v>3744</v>
      </c>
      <c r="L6000" s="3">
        <v>2508.4800000000005</v>
      </c>
    </row>
    <row r="6001" spans="1:12" x14ac:dyDescent="0.25">
      <c r="A6001" t="s">
        <v>23</v>
      </c>
      <c r="B6001">
        <v>1128299</v>
      </c>
      <c r="C6001" s="1">
        <v>44457</v>
      </c>
      <c r="D6001" t="s">
        <v>32</v>
      </c>
      <c r="E6001" t="s">
        <v>33</v>
      </c>
      <c r="F6001" t="s">
        <v>34</v>
      </c>
      <c r="G6001" t="s">
        <v>15</v>
      </c>
      <c r="H6001" t="s">
        <v>38</v>
      </c>
      <c r="I6001" s="3">
        <v>44</v>
      </c>
      <c r="J6001" s="2">
        <v>155</v>
      </c>
      <c r="K6001" s="3">
        <f t="shared" si="93"/>
        <v>6820</v>
      </c>
      <c r="L6001" s="3">
        <v>4296.6000000000004</v>
      </c>
    </row>
    <row r="6002" spans="1:12" x14ac:dyDescent="0.25">
      <c r="A6002" t="s">
        <v>23</v>
      </c>
      <c r="B6002">
        <v>1128299</v>
      </c>
      <c r="C6002" s="1">
        <v>44457</v>
      </c>
      <c r="D6002" t="s">
        <v>32</v>
      </c>
      <c r="E6002" t="s">
        <v>33</v>
      </c>
      <c r="F6002" t="s">
        <v>34</v>
      </c>
      <c r="G6002" t="s">
        <v>41</v>
      </c>
      <c r="H6002" t="s">
        <v>17</v>
      </c>
      <c r="I6002" s="3">
        <v>60</v>
      </c>
      <c r="J6002" s="2">
        <v>135</v>
      </c>
      <c r="K6002" s="3">
        <f t="shared" si="93"/>
        <v>8100</v>
      </c>
      <c r="L6002" s="3">
        <v>5103</v>
      </c>
    </row>
    <row r="6003" spans="1:12" x14ac:dyDescent="0.25">
      <c r="A6003" t="s">
        <v>23</v>
      </c>
      <c r="B6003">
        <v>1128299</v>
      </c>
      <c r="C6003" s="1">
        <v>44457</v>
      </c>
      <c r="D6003" t="s">
        <v>32</v>
      </c>
      <c r="E6003" t="s">
        <v>33</v>
      </c>
      <c r="F6003" t="s">
        <v>34</v>
      </c>
      <c r="G6003" t="s">
        <v>15</v>
      </c>
      <c r="H6003" t="s">
        <v>37</v>
      </c>
      <c r="I6003" s="3">
        <v>44</v>
      </c>
      <c r="J6003" s="2">
        <v>78</v>
      </c>
      <c r="K6003" s="3">
        <f t="shared" si="93"/>
        <v>3432</v>
      </c>
      <c r="L6003" s="3">
        <v>2162.16</v>
      </c>
    </row>
    <row r="6004" spans="1:12" x14ac:dyDescent="0.25">
      <c r="A6004" t="s">
        <v>23</v>
      </c>
      <c r="B6004">
        <v>1128299</v>
      </c>
      <c r="C6004" s="1">
        <v>44457</v>
      </c>
      <c r="D6004" t="s">
        <v>32</v>
      </c>
      <c r="E6004" t="s">
        <v>33</v>
      </c>
      <c r="F6004" t="s">
        <v>34</v>
      </c>
      <c r="G6004" t="s">
        <v>41</v>
      </c>
      <c r="H6004" t="s">
        <v>38</v>
      </c>
      <c r="I6004" s="3">
        <v>58</v>
      </c>
      <c r="J6004" s="2">
        <v>140</v>
      </c>
      <c r="K6004" s="3">
        <f t="shared" si="93"/>
        <v>8120</v>
      </c>
      <c r="L6004" s="3">
        <v>4872</v>
      </c>
    </row>
    <row r="6005" spans="1:12" x14ac:dyDescent="0.25">
      <c r="A6005" t="s">
        <v>11</v>
      </c>
      <c r="B6005">
        <v>1128299</v>
      </c>
      <c r="C6005" s="1">
        <v>44457</v>
      </c>
      <c r="D6005" t="s">
        <v>52</v>
      </c>
      <c r="E6005" t="s">
        <v>64</v>
      </c>
      <c r="F6005" t="s">
        <v>65</v>
      </c>
      <c r="G6005" t="s">
        <v>15</v>
      </c>
      <c r="H6005" t="s">
        <v>16</v>
      </c>
      <c r="I6005" s="3">
        <v>30</v>
      </c>
      <c r="J6005" s="2">
        <v>90</v>
      </c>
      <c r="K6005" s="3">
        <f t="shared" si="93"/>
        <v>2700</v>
      </c>
      <c r="L6005" s="3">
        <v>1620</v>
      </c>
    </row>
    <row r="6006" spans="1:12" x14ac:dyDescent="0.25">
      <c r="A6006" t="s">
        <v>11</v>
      </c>
      <c r="B6006">
        <v>1128299</v>
      </c>
      <c r="C6006" s="1">
        <v>44457</v>
      </c>
      <c r="D6006" t="s">
        <v>52</v>
      </c>
      <c r="E6006" t="s">
        <v>64</v>
      </c>
      <c r="F6006" t="s">
        <v>65</v>
      </c>
      <c r="G6006" t="s">
        <v>15</v>
      </c>
      <c r="H6006" t="s">
        <v>37</v>
      </c>
      <c r="I6006" s="3">
        <v>34</v>
      </c>
      <c r="J6006" s="2">
        <v>80</v>
      </c>
      <c r="K6006" s="3">
        <f t="shared" si="93"/>
        <v>2720</v>
      </c>
      <c r="L6006" s="3">
        <v>1577.6000000000001</v>
      </c>
    </row>
    <row r="6007" spans="1:12" x14ac:dyDescent="0.25">
      <c r="A6007" t="s">
        <v>26</v>
      </c>
      <c r="B6007">
        <v>1197831</v>
      </c>
      <c r="C6007" s="1">
        <v>44457</v>
      </c>
      <c r="D6007" t="s">
        <v>52</v>
      </c>
      <c r="E6007" t="s">
        <v>53</v>
      </c>
      <c r="F6007" t="s">
        <v>54</v>
      </c>
      <c r="G6007" t="s">
        <v>15</v>
      </c>
      <c r="H6007" t="s">
        <v>35</v>
      </c>
      <c r="I6007" s="3">
        <v>33</v>
      </c>
      <c r="J6007" s="2">
        <v>322</v>
      </c>
      <c r="K6007" s="3">
        <f t="shared" si="93"/>
        <v>10626</v>
      </c>
      <c r="L6007" s="3">
        <v>6163.08</v>
      </c>
    </row>
    <row r="6008" spans="1:12" x14ac:dyDescent="0.25">
      <c r="A6008" t="s">
        <v>11</v>
      </c>
      <c r="B6008">
        <v>1128299</v>
      </c>
      <c r="C6008" s="1">
        <v>44457</v>
      </c>
      <c r="D6008" t="s">
        <v>52</v>
      </c>
      <c r="E6008" t="s">
        <v>64</v>
      </c>
      <c r="F6008" t="s">
        <v>65</v>
      </c>
      <c r="G6008" t="s">
        <v>15</v>
      </c>
      <c r="H6008" t="s">
        <v>38</v>
      </c>
      <c r="I6008" s="3">
        <v>33</v>
      </c>
      <c r="J6008" s="2">
        <v>175</v>
      </c>
      <c r="K6008" s="3">
        <f t="shared" si="93"/>
        <v>5775</v>
      </c>
      <c r="L6008" s="3">
        <v>3349.5</v>
      </c>
    </row>
    <row r="6009" spans="1:12" x14ac:dyDescent="0.25">
      <c r="A6009" t="s">
        <v>11</v>
      </c>
      <c r="B6009">
        <v>1128299</v>
      </c>
      <c r="C6009" s="1">
        <v>44457</v>
      </c>
      <c r="D6009" t="s">
        <v>52</v>
      </c>
      <c r="E6009" t="s">
        <v>64</v>
      </c>
      <c r="F6009" t="s">
        <v>65</v>
      </c>
      <c r="G6009" t="s">
        <v>15</v>
      </c>
      <c r="H6009" t="s">
        <v>17</v>
      </c>
      <c r="I6009" s="3">
        <v>40</v>
      </c>
      <c r="J6009" s="2">
        <v>175</v>
      </c>
      <c r="K6009" s="3">
        <f t="shared" si="93"/>
        <v>7000</v>
      </c>
      <c r="L6009" s="3">
        <v>3990.0000000000005</v>
      </c>
    </row>
    <row r="6010" spans="1:12" x14ac:dyDescent="0.25">
      <c r="A6010" t="s">
        <v>23</v>
      </c>
      <c r="B6010">
        <v>1128299</v>
      </c>
      <c r="C6010" s="1">
        <v>44457</v>
      </c>
      <c r="D6010" t="s">
        <v>32</v>
      </c>
      <c r="E6010" t="s">
        <v>33</v>
      </c>
      <c r="F6010" t="s">
        <v>34</v>
      </c>
      <c r="G6010" t="s">
        <v>41</v>
      </c>
      <c r="H6010" t="s">
        <v>37</v>
      </c>
      <c r="I6010" s="3">
        <v>54</v>
      </c>
      <c r="J6010" s="2">
        <v>65</v>
      </c>
      <c r="K6010" s="3">
        <f t="shared" si="93"/>
        <v>3510</v>
      </c>
      <c r="L6010" s="3">
        <v>1965.6</v>
      </c>
    </row>
    <row r="6011" spans="1:12" x14ac:dyDescent="0.25">
      <c r="A6011" t="s">
        <v>23</v>
      </c>
      <c r="B6011">
        <v>1128299</v>
      </c>
      <c r="C6011" s="1">
        <v>44457</v>
      </c>
      <c r="D6011" t="s">
        <v>32</v>
      </c>
      <c r="E6011" t="s">
        <v>33</v>
      </c>
      <c r="F6011" t="s">
        <v>34</v>
      </c>
      <c r="G6011" t="s">
        <v>41</v>
      </c>
      <c r="H6011" t="s">
        <v>35</v>
      </c>
      <c r="I6011" s="3">
        <v>54</v>
      </c>
      <c r="J6011" s="2">
        <v>75</v>
      </c>
      <c r="K6011" s="3">
        <f t="shared" si="93"/>
        <v>4050</v>
      </c>
      <c r="L6011" s="3">
        <v>2227.5</v>
      </c>
    </row>
    <row r="6012" spans="1:12" x14ac:dyDescent="0.25">
      <c r="A6012" t="s">
        <v>11</v>
      </c>
      <c r="B6012">
        <v>1128299</v>
      </c>
      <c r="C6012" s="1">
        <v>44457</v>
      </c>
      <c r="D6012" t="s">
        <v>52</v>
      </c>
      <c r="E6012" t="s">
        <v>64</v>
      </c>
      <c r="F6012" t="s">
        <v>65</v>
      </c>
      <c r="G6012" t="s">
        <v>15</v>
      </c>
      <c r="H6012" t="s">
        <v>35</v>
      </c>
      <c r="I6012" s="3">
        <v>30</v>
      </c>
      <c r="J6012" s="2">
        <v>96</v>
      </c>
      <c r="K6012" s="3">
        <f t="shared" si="93"/>
        <v>2880</v>
      </c>
      <c r="L6012" s="3">
        <v>1555.2</v>
      </c>
    </row>
    <row r="6013" spans="1:12" x14ac:dyDescent="0.25">
      <c r="A6013" t="s">
        <v>11</v>
      </c>
      <c r="B6013">
        <v>1128299</v>
      </c>
      <c r="C6013" s="1">
        <v>44457</v>
      </c>
      <c r="D6013" t="s">
        <v>52</v>
      </c>
      <c r="E6013" t="s">
        <v>64</v>
      </c>
      <c r="F6013" t="s">
        <v>65</v>
      </c>
      <c r="G6013" t="s">
        <v>15</v>
      </c>
      <c r="H6013" t="s">
        <v>22</v>
      </c>
      <c r="I6013" s="3">
        <v>41</v>
      </c>
      <c r="J6013" s="2">
        <v>83</v>
      </c>
      <c r="K6013" s="3">
        <f t="shared" si="93"/>
        <v>3403</v>
      </c>
      <c r="L6013" s="3">
        <v>1769.5600000000002</v>
      </c>
    </row>
    <row r="6014" spans="1:12" x14ac:dyDescent="0.25">
      <c r="A6014" t="s">
        <v>23</v>
      </c>
      <c r="B6014">
        <v>1128299</v>
      </c>
      <c r="C6014" s="1">
        <v>44457</v>
      </c>
      <c r="D6014" t="s">
        <v>32</v>
      </c>
      <c r="E6014" t="s">
        <v>33</v>
      </c>
      <c r="F6014" t="s">
        <v>34</v>
      </c>
      <c r="G6014" t="s">
        <v>15</v>
      </c>
      <c r="H6014" t="s">
        <v>16</v>
      </c>
      <c r="I6014" s="3">
        <v>42</v>
      </c>
      <c r="J6014" s="2">
        <v>99</v>
      </c>
      <c r="K6014" s="3">
        <f t="shared" si="93"/>
        <v>4158</v>
      </c>
      <c r="L6014" s="3">
        <v>2120.58</v>
      </c>
    </row>
    <row r="6015" spans="1:12" x14ac:dyDescent="0.25">
      <c r="A6015" t="s">
        <v>11</v>
      </c>
      <c r="B6015">
        <v>1128299</v>
      </c>
      <c r="C6015" s="1">
        <v>44457</v>
      </c>
      <c r="D6015" t="s">
        <v>52</v>
      </c>
      <c r="E6015" t="s">
        <v>64</v>
      </c>
      <c r="F6015" t="s">
        <v>65</v>
      </c>
      <c r="G6015" t="s">
        <v>41</v>
      </c>
      <c r="H6015" t="s">
        <v>16</v>
      </c>
      <c r="I6015" s="3">
        <v>39</v>
      </c>
      <c r="J6015" s="2">
        <v>75</v>
      </c>
      <c r="K6015" s="3">
        <f t="shared" si="93"/>
        <v>2925</v>
      </c>
      <c r="L6015" s="3">
        <v>1462.5</v>
      </c>
    </row>
    <row r="6016" spans="1:12" x14ac:dyDescent="0.25">
      <c r="A6016" t="s">
        <v>11</v>
      </c>
      <c r="B6016">
        <v>1185732</v>
      </c>
      <c r="C6016" s="1">
        <v>44457</v>
      </c>
      <c r="D6016" t="s">
        <v>29</v>
      </c>
      <c r="E6016" t="s">
        <v>105</v>
      </c>
      <c r="F6016" t="s">
        <v>47</v>
      </c>
      <c r="G6016" t="s">
        <v>41</v>
      </c>
      <c r="H6016" t="s">
        <v>37</v>
      </c>
      <c r="I6016" s="3">
        <v>23</v>
      </c>
      <c r="J6016" s="2">
        <v>59</v>
      </c>
      <c r="K6016" s="3">
        <f t="shared" si="93"/>
        <v>1357</v>
      </c>
      <c r="L6016" s="3">
        <v>678.5</v>
      </c>
    </row>
    <row r="6017" spans="1:12" x14ac:dyDescent="0.25">
      <c r="A6017" t="s">
        <v>11</v>
      </c>
      <c r="B6017">
        <v>1128299</v>
      </c>
      <c r="C6017" s="1">
        <v>44457</v>
      </c>
      <c r="D6017" t="s">
        <v>52</v>
      </c>
      <c r="E6017" t="s">
        <v>64</v>
      </c>
      <c r="F6017" t="s">
        <v>65</v>
      </c>
      <c r="G6017" t="s">
        <v>41</v>
      </c>
      <c r="H6017" t="s">
        <v>17</v>
      </c>
      <c r="I6017" s="3">
        <v>46</v>
      </c>
      <c r="J6017" s="2">
        <v>125</v>
      </c>
      <c r="K6017" s="3">
        <f t="shared" si="93"/>
        <v>5750</v>
      </c>
      <c r="L6017" s="3">
        <v>2817.5</v>
      </c>
    </row>
    <row r="6018" spans="1:12" x14ac:dyDescent="0.25">
      <c r="A6018" t="s">
        <v>11</v>
      </c>
      <c r="B6018">
        <v>1128299</v>
      </c>
      <c r="C6018" s="1">
        <v>44457</v>
      </c>
      <c r="D6018" t="s">
        <v>52</v>
      </c>
      <c r="E6018" t="s">
        <v>64</v>
      </c>
      <c r="F6018" t="s">
        <v>65</v>
      </c>
      <c r="G6018" t="s">
        <v>41</v>
      </c>
      <c r="H6018" t="s">
        <v>37</v>
      </c>
      <c r="I6018" s="3">
        <v>41</v>
      </c>
      <c r="J6018" s="2">
        <v>63</v>
      </c>
      <c r="K6018" s="3">
        <f t="shared" si="93"/>
        <v>2583</v>
      </c>
      <c r="L6018" s="3">
        <v>1265.67</v>
      </c>
    </row>
    <row r="6019" spans="1:12" x14ac:dyDescent="0.25">
      <c r="A6019" t="s">
        <v>11</v>
      </c>
      <c r="B6019">
        <v>1185732</v>
      </c>
      <c r="C6019" s="1">
        <v>44457</v>
      </c>
      <c r="D6019" t="s">
        <v>29</v>
      </c>
      <c r="E6019" t="s">
        <v>105</v>
      </c>
      <c r="F6019" t="s">
        <v>47</v>
      </c>
      <c r="G6019" t="s">
        <v>41</v>
      </c>
      <c r="H6019" t="s">
        <v>38</v>
      </c>
      <c r="I6019" s="3">
        <v>34</v>
      </c>
      <c r="J6019" s="2">
        <v>154</v>
      </c>
      <c r="K6019" s="3">
        <f t="shared" ref="K6019:K6082" si="94">I6019*J6019</f>
        <v>5236</v>
      </c>
      <c r="L6019" s="3">
        <v>2565.64</v>
      </c>
    </row>
    <row r="6020" spans="1:12" x14ac:dyDescent="0.25">
      <c r="A6020" t="s">
        <v>11</v>
      </c>
      <c r="B6020">
        <v>1185732</v>
      </c>
      <c r="C6020" s="1">
        <v>44457</v>
      </c>
      <c r="D6020" t="s">
        <v>29</v>
      </c>
      <c r="E6020" t="s">
        <v>105</v>
      </c>
      <c r="F6020" t="s">
        <v>47</v>
      </c>
      <c r="G6020" t="s">
        <v>41</v>
      </c>
      <c r="H6020" t="s">
        <v>16</v>
      </c>
      <c r="I6020" s="3">
        <v>36</v>
      </c>
      <c r="J6020" s="2">
        <v>75</v>
      </c>
      <c r="K6020" s="3">
        <f t="shared" si="94"/>
        <v>2700</v>
      </c>
      <c r="L6020" s="3">
        <v>1323</v>
      </c>
    </row>
    <row r="6021" spans="1:12" x14ac:dyDescent="0.25">
      <c r="A6021" t="s">
        <v>11</v>
      </c>
      <c r="B6021">
        <v>1128299</v>
      </c>
      <c r="C6021" s="1">
        <v>44457</v>
      </c>
      <c r="D6021" t="s">
        <v>52</v>
      </c>
      <c r="E6021" t="s">
        <v>64</v>
      </c>
      <c r="F6021" t="s">
        <v>65</v>
      </c>
      <c r="G6021" t="s">
        <v>41</v>
      </c>
      <c r="H6021" t="s">
        <v>35</v>
      </c>
      <c r="I6021" s="3">
        <v>43</v>
      </c>
      <c r="J6021" s="2">
        <v>78</v>
      </c>
      <c r="K6021" s="3">
        <f t="shared" si="94"/>
        <v>3354</v>
      </c>
      <c r="L6021" s="3">
        <v>1609.9199999999998</v>
      </c>
    </row>
    <row r="6022" spans="1:12" x14ac:dyDescent="0.25">
      <c r="A6022" t="s">
        <v>11</v>
      </c>
      <c r="B6022">
        <v>1185732</v>
      </c>
      <c r="C6022" s="1">
        <v>44457</v>
      </c>
      <c r="D6022" t="s">
        <v>29</v>
      </c>
      <c r="E6022" t="s">
        <v>105</v>
      </c>
      <c r="F6022" t="s">
        <v>47</v>
      </c>
      <c r="G6022" t="s">
        <v>41</v>
      </c>
      <c r="H6022" t="s">
        <v>22</v>
      </c>
      <c r="I6022" s="3">
        <v>32</v>
      </c>
      <c r="J6022" s="2">
        <v>61</v>
      </c>
      <c r="K6022" s="3">
        <f t="shared" si="94"/>
        <v>1952</v>
      </c>
      <c r="L6022" s="3">
        <v>936.95999999999992</v>
      </c>
    </row>
    <row r="6023" spans="1:12" x14ac:dyDescent="0.25">
      <c r="A6023" t="s">
        <v>11</v>
      </c>
      <c r="B6023">
        <v>1185732</v>
      </c>
      <c r="C6023" s="1">
        <v>44457</v>
      </c>
      <c r="D6023" t="s">
        <v>29</v>
      </c>
      <c r="E6023" t="s">
        <v>105</v>
      </c>
      <c r="F6023" t="s">
        <v>47</v>
      </c>
      <c r="G6023" t="s">
        <v>41</v>
      </c>
      <c r="H6023" t="s">
        <v>17</v>
      </c>
      <c r="I6023" s="3">
        <v>29</v>
      </c>
      <c r="J6023" s="2">
        <v>91</v>
      </c>
      <c r="K6023" s="3">
        <f t="shared" si="94"/>
        <v>2639</v>
      </c>
      <c r="L6023" s="3">
        <v>1240.33</v>
      </c>
    </row>
    <row r="6024" spans="1:12" x14ac:dyDescent="0.25">
      <c r="A6024" t="s">
        <v>11</v>
      </c>
      <c r="B6024">
        <v>1185732</v>
      </c>
      <c r="C6024" s="1">
        <v>44457</v>
      </c>
      <c r="D6024" t="s">
        <v>29</v>
      </c>
      <c r="E6024" t="s">
        <v>105</v>
      </c>
      <c r="F6024" t="s">
        <v>47</v>
      </c>
      <c r="G6024" t="s">
        <v>41</v>
      </c>
      <c r="H6024" t="s">
        <v>35</v>
      </c>
      <c r="I6024" s="3">
        <v>24</v>
      </c>
      <c r="J6024" s="2">
        <v>68</v>
      </c>
      <c r="K6024" s="3">
        <f t="shared" si="94"/>
        <v>1632</v>
      </c>
      <c r="L6024" s="3">
        <v>750.71999999999991</v>
      </c>
    </row>
    <row r="6025" spans="1:12" x14ac:dyDescent="0.25">
      <c r="A6025" t="s">
        <v>26</v>
      </c>
      <c r="B6025">
        <v>1197831</v>
      </c>
      <c r="C6025" s="1">
        <v>44457</v>
      </c>
      <c r="D6025" t="s">
        <v>52</v>
      </c>
      <c r="E6025" t="s">
        <v>53</v>
      </c>
      <c r="F6025" t="s">
        <v>54</v>
      </c>
      <c r="G6025" t="s">
        <v>41</v>
      </c>
      <c r="H6025" t="s">
        <v>35</v>
      </c>
      <c r="I6025" s="3">
        <v>44</v>
      </c>
      <c r="J6025" s="2">
        <v>254</v>
      </c>
      <c r="K6025" s="3">
        <f t="shared" si="94"/>
        <v>11176</v>
      </c>
      <c r="L6025" s="3">
        <v>5029.2000000000007</v>
      </c>
    </row>
    <row r="6026" spans="1:12" x14ac:dyDescent="0.25">
      <c r="A6026" t="s">
        <v>11</v>
      </c>
      <c r="B6026">
        <v>1128299</v>
      </c>
      <c r="C6026" s="1">
        <v>44457</v>
      </c>
      <c r="D6026" t="s">
        <v>52</v>
      </c>
      <c r="E6026" t="s">
        <v>64</v>
      </c>
      <c r="F6026" t="s">
        <v>65</v>
      </c>
      <c r="G6026" t="s">
        <v>41</v>
      </c>
      <c r="H6026" t="s">
        <v>38</v>
      </c>
      <c r="I6026" s="3">
        <v>43</v>
      </c>
      <c r="J6026" s="2">
        <v>145</v>
      </c>
      <c r="K6026" s="3">
        <f t="shared" si="94"/>
        <v>6235</v>
      </c>
      <c r="L6026" s="3">
        <v>2805.7500000000005</v>
      </c>
    </row>
    <row r="6027" spans="1:12" x14ac:dyDescent="0.25">
      <c r="A6027" t="s">
        <v>26</v>
      </c>
      <c r="B6027">
        <v>1197831</v>
      </c>
      <c r="C6027" s="1">
        <v>44457</v>
      </c>
      <c r="D6027" t="s">
        <v>52</v>
      </c>
      <c r="E6027" t="s">
        <v>99</v>
      </c>
      <c r="F6027" t="s">
        <v>100</v>
      </c>
      <c r="G6027" t="s">
        <v>15</v>
      </c>
      <c r="H6027" t="s">
        <v>38</v>
      </c>
      <c r="I6027" s="3">
        <v>38</v>
      </c>
      <c r="J6027" s="2">
        <v>206</v>
      </c>
      <c r="K6027" s="3">
        <f t="shared" si="94"/>
        <v>7828</v>
      </c>
      <c r="L6027" s="3">
        <v>3522.6000000000004</v>
      </c>
    </row>
    <row r="6028" spans="1:12" x14ac:dyDescent="0.25">
      <c r="A6028" t="s">
        <v>23</v>
      </c>
      <c r="B6028">
        <v>1128299</v>
      </c>
      <c r="C6028" s="1">
        <v>44457</v>
      </c>
      <c r="D6028" t="s">
        <v>32</v>
      </c>
      <c r="E6028" t="s">
        <v>33</v>
      </c>
      <c r="F6028" t="s">
        <v>34</v>
      </c>
      <c r="G6028" t="s">
        <v>41</v>
      </c>
      <c r="H6028" t="s">
        <v>16</v>
      </c>
      <c r="I6028" s="3">
        <v>51</v>
      </c>
      <c r="J6028" s="2">
        <v>75</v>
      </c>
      <c r="K6028" s="3">
        <f t="shared" si="94"/>
        <v>3825</v>
      </c>
      <c r="L6028" s="3">
        <v>1721.25</v>
      </c>
    </row>
    <row r="6029" spans="1:12" x14ac:dyDescent="0.25">
      <c r="A6029" t="s">
        <v>11</v>
      </c>
      <c r="B6029">
        <v>1128299</v>
      </c>
      <c r="C6029" s="1">
        <v>44457</v>
      </c>
      <c r="D6029" t="s">
        <v>52</v>
      </c>
      <c r="E6029" t="s">
        <v>64</v>
      </c>
      <c r="F6029" t="s">
        <v>65</v>
      </c>
      <c r="G6029" t="s">
        <v>41</v>
      </c>
      <c r="H6029" t="s">
        <v>22</v>
      </c>
      <c r="I6029" s="3">
        <v>51</v>
      </c>
      <c r="J6029" s="2">
        <v>77</v>
      </c>
      <c r="K6029" s="3">
        <f t="shared" si="94"/>
        <v>3927</v>
      </c>
      <c r="L6029" s="3">
        <v>1767.1499999999996</v>
      </c>
    </row>
    <row r="6030" spans="1:12" x14ac:dyDescent="0.25">
      <c r="A6030" t="s">
        <v>26</v>
      </c>
      <c r="B6030">
        <v>1197831</v>
      </c>
      <c r="C6030" s="1">
        <v>44457</v>
      </c>
      <c r="D6030" t="s">
        <v>52</v>
      </c>
      <c r="E6030" t="s">
        <v>99</v>
      </c>
      <c r="F6030" t="s">
        <v>100</v>
      </c>
      <c r="G6030" t="s">
        <v>41</v>
      </c>
      <c r="H6030" t="s">
        <v>38</v>
      </c>
      <c r="I6030" s="3">
        <v>51</v>
      </c>
      <c r="J6030" s="2">
        <v>175</v>
      </c>
      <c r="K6030" s="3">
        <f t="shared" si="94"/>
        <v>8925</v>
      </c>
      <c r="L6030" s="3">
        <v>3570</v>
      </c>
    </row>
    <row r="6031" spans="1:12" x14ac:dyDescent="0.25">
      <c r="A6031" t="s">
        <v>19</v>
      </c>
      <c r="B6031">
        <v>1185732</v>
      </c>
      <c r="C6031" s="1">
        <v>44458</v>
      </c>
      <c r="D6031" t="s">
        <v>57</v>
      </c>
      <c r="E6031" t="s">
        <v>106</v>
      </c>
      <c r="F6031" t="s">
        <v>107</v>
      </c>
      <c r="G6031" t="s">
        <v>18</v>
      </c>
      <c r="H6031" t="s">
        <v>17</v>
      </c>
      <c r="I6031" s="3">
        <v>30.000000000000011</v>
      </c>
      <c r="J6031" s="2">
        <v>400</v>
      </c>
      <c r="K6031" s="3">
        <f t="shared" si="94"/>
        <v>12000.000000000004</v>
      </c>
      <c r="L6031" s="3">
        <v>7800.0000000000027</v>
      </c>
    </row>
    <row r="6032" spans="1:12" x14ac:dyDescent="0.25">
      <c r="A6032" t="s">
        <v>19</v>
      </c>
      <c r="B6032">
        <v>1185732</v>
      </c>
      <c r="C6032" s="1">
        <v>44458</v>
      </c>
      <c r="D6032" t="s">
        <v>57</v>
      </c>
      <c r="E6032" t="s">
        <v>106</v>
      </c>
      <c r="F6032" t="s">
        <v>107</v>
      </c>
      <c r="G6032" t="s">
        <v>18</v>
      </c>
      <c r="H6032" t="s">
        <v>35</v>
      </c>
      <c r="I6032" s="3">
        <v>15.000000000000002</v>
      </c>
      <c r="J6032" s="2">
        <v>300</v>
      </c>
      <c r="K6032" s="3">
        <f t="shared" si="94"/>
        <v>4500.0000000000009</v>
      </c>
      <c r="L6032" s="3">
        <v>2925.0000000000009</v>
      </c>
    </row>
    <row r="6033" spans="1:12" x14ac:dyDescent="0.25">
      <c r="A6033" t="s">
        <v>23</v>
      </c>
      <c r="B6033">
        <v>1197831</v>
      </c>
      <c r="C6033" s="1">
        <v>44458</v>
      </c>
      <c r="D6033" t="s">
        <v>52</v>
      </c>
      <c r="E6033" t="s">
        <v>114</v>
      </c>
      <c r="F6033" t="s">
        <v>115</v>
      </c>
      <c r="G6033" t="s">
        <v>41</v>
      </c>
      <c r="H6033" t="s">
        <v>22</v>
      </c>
      <c r="I6033" s="3">
        <v>25.000000000000007</v>
      </c>
      <c r="J6033" s="2">
        <v>325</v>
      </c>
      <c r="K6033" s="3">
        <f t="shared" si="94"/>
        <v>8125.0000000000027</v>
      </c>
      <c r="L6033" s="3">
        <v>5281.2500000000018</v>
      </c>
    </row>
    <row r="6034" spans="1:12" x14ac:dyDescent="0.25">
      <c r="A6034" t="s">
        <v>11</v>
      </c>
      <c r="B6034">
        <v>1197831</v>
      </c>
      <c r="C6034" s="1">
        <v>44458</v>
      </c>
      <c r="D6034" t="s">
        <v>52</v>
      </c>
      <c r="E6034" t="s">
        <v>116</v>
      </c>
      <c r="F6034" t="s">
        <v>117</v>
      </c>
      <c r="G6034" t="s">
        <v>41</v>
      </c>
      <c r="H6034" t="s">
        <v>17</v>
      </c>
      <c r="I6034" s="3">
        <v>40.000000000000014</v>
      </c>
      <c r="J6034" s="2">
        <v>375</v>
      </c>
      <c r="K6034" s="3">
        <f t="shared" si="94"/>
        <v>15000.000000000005</v>
      </c>
      <c r="L6034" s="3">
        <v>9750.0000000000036</v>
      </c>
    </row>
    <row r="6035" spans="1:12" x14ac:dyDescent="0.25">
      <c r="A6035" t="s">
        <v>11</v>
      </c>
      <c r="B6035">
        <v>1197831</v>
      </c>
      <c r="C6035" s="1">
        <v>44458</v>
      </c>
      <c r="D6035" t="s">
        <v>52</v>
      </c>
      <c r="E6035" t="s">
        <v>116</v>
      </c>
      <c r="F6035" t="s">
        <v>117</v>
      </c>
      <c r="G6035" t="s">
        <v>41</v>
      </c>
      <c r="H6035" t="s">
        <v>22</v>
      </c>
      <c r="I6035" s="3">
        <v>25.000000000000007</v>
      </c>
      <c r="J6035" s="2">
        <v>250</v>
      </c>
      <c r="K6035" s="3">
        <f t="shared" si="94"/>
        <v>6250.0000000000018</v>
      </c>
      <c r="L6035" s="3">
        <v>4062.5000000000014</v>
      </c>
    </row>
    <row r="6036" spans="1:12" x14ac:dyDescent="0.25">
      <c r="A6036" t="s">
        <v>19</v>
      </c>
      <c r="B6036">
        <v>1185732</v>
      </c>
      <c r="C6036" s="1">
        <v>44458</v>
      </c>
      <c r="D6036" t="s">
        <v>57</v>
      </c>
      <c r="E6036" t="s">
        <v>106</v>
      </c>
      <c r="F6036" t="s">
        <v>107</v>
      </c>
      <c r="G6036" t="s">
        <v>18</v>
      </c>
      <c r="H6036" t="s">
        <v>22</v>
      </c>
      <c r="I6036" s="3">
        <v>25</v>
      </c>
      <c r="J6036" s="2">
        <v>275</v>
      </c>
      <c r="K6036" s="3">
        <f t="shared" si="94"/>
        <v>6875</v>
      </c>
      <c r="L6036" s="3">
        <v>4468.75</v>
      </c>
    </row>
    <row r="6037" spans="1:12" x14ac:dyDescent="0.25">
      <c r="A6037" t="s">
        <v>23</v>
      </c>
      <c r="B6037">
        <v>1197831</v>
      </c>
      <c r="C6037" s="1">
        <v>44458</v>
      </c>
      <c r="D6037" t="s">
        <v>52</v>
      </c>
      <c r="E6037" t="s">
        <v>114</v>
      </c>
      <c r="F6037" t="s">
        <v>115</v>
      </c>
      <c r="G6037" t="s">
        <v>41</v>
      </c>
      <c r="H6037" t="s">
        <v>17</v>
      </c>
      <c r="I6037" s="3">
        <v>40.000000000000014</v>
      </c>
      <c r="J6037" s="2">
        <v>450</v>
      </c>
      <c r="K6037" s="3">
        <f t="shared" si="94"/>
        <v>18000.000000000007</v>
      </c>
      <c r="L6037" s="3">
        <v>11700.000000000004</v>
      </c>
    </row>
    <row r="6038" spans="1:12" x14ac:dyDescent="0.25">
      <c r="A6038" t="s">
        <v>23</v>
      </c>
      <c r="B6038">
        <v>1197831</v>
      </c>
      <c r="C6038" s="1">
        <v>44458</v>
      </c>
      <c r="D6038" t="s">
        <v>52</v>
      </c>
      <c r="E6038" t="s">
        <v>114</v>
      </c>
      <c r="F6038" t="s">
        <v>115</v>
      </c>
      <c r="G6038" t="s">
        <v>41</v>
      </c>
      <c r="H6038" t="s">
        <v>16</v>
      </c>
      <c r="I6038" s="3">
        <v>30.000000000000011</v>
      </c>
      <c r="J6038" s="2">
        <v>425</v>
      </c>
      <c r="K6038" s="3">
        <f t="shared" si="94"/>
        <v>12750.000000000004</v>
      </c>
      <c r="L6038" s="3">
        <v>7650.0000000000027</v>
      </c>
    </row>
    <row r="6039" spans="1:12" x14ac:dyDescent="0.25">
      <c r="A6039" t="s">
        <v>19</v>
      </c>
      <c r="B6039">
        <v>1185732</v>
      </c>
      <c r="C6039" s="1">
        <v>44458</v>
      </c>
      <c r="D6039" t="s">
        <v>57</v>
      </c>
      <c r="E6039" t="s">
        <v>106</v>
      </c>
      <c r="F6039" t="s">
        <v>107</v>
      </c>
      <c r="G6039" t="s">
        <v>18</v>
      </c>
      <c r="H6039" t="s">
        <v>38</v>
      </c>
      <c r="I6039" s="3">
        <v>35</v>
      </c>
      <c r="J6039" s="2">
        <v>600</v>
      </c>
      <c r="K6039" s="3">
        <f t="shared" si="94"/>
        <v>21000</v>
      </c>
      <c r="L6039" s="3">
        <v>12600</v>
      </c>
    </row>
    <row r="6040" spans="1:12" x14ac:dyDescent="0.25">
      <c r="A6040" t="s">
        <v>19</v>
      </c>
      <c r="B6040">
        <v>1185732</v>
      </c>
      <c r="C6040" s="1">
        <v>44458</v>
      </c>
      <c r="D6040" t="s">
        <v>57</v>
      </c>
      <c r="E6040" t="s">
        <v>106</v>
      </c>
      <c r="F6040" t="s">
        <v>107</v>
      </c>
      <c r="G6040" t="s">
        <v>18</v>
      </c>
      <c r="H6040" t="s">
        <v>37</v>
      </c>
      <c r="I6040" s="3">
        <v>15.000000000000002</v>
      </c>
      <c r="J6040" s="2">
        <v>275</v>
      </c>
      <c r="K6040" s="3">
        <f t="shared" si="94"/>
        <v>4125.0000000000009</v>
      </c>
      <c r="L6040" s="3">
        <v>2475.0000000000005</v>
      </c>
    </row>
    <row r="6041" spans="1:12" x14ac:dyDescent="0.25">
      <c r="A6041" t="s">
        <v>23</v>
      </c>
      <c r="B6041">
        <v>1197831</v>
      </c>
      <c r="C6041" s="1">
        <v>44458</v>
      </c>
      <c r="D6041" t="s">
        <v>52</v>
      </c>
      <c r="E6041" t="s">
        <v>114</v>
      </c>
      <c r="F6041" t="s">
        <v>115</v>
      </c>
      <c r="G6041" t="s">
        <v>41</v>
      </c>
      <c r="H6041" t="s">
        <v>38</v>
      </c>
      <c r="I6041" s="3">
        <v>50</v>
      </c>
      <c r="J6041" s="2">
        <v>650</v>
      </c>
      <c r="K6041" s="3">
        <f t="shared" si="94"/>
        <v>32500</v>
      </c>
      <c r="L6041" s="3">
        <v>19500</v>
      </c>
    </row>
    <row r="6042" spans="1:12" x14ac:dyDescent="0.25">
      <c r="A6042" t="s">
        <v>11</v>
      </c>
      <c r="B6042">
        <v>1197831</v>
      </c>
      <c r="C6042" s="1">
        <v>44458</v>
      </c>
      <c r="D6042" t="s">
        <v>52</v>
      </c>
      <c r="E6042" t="s">
        <v>116</v>
      </c>
      <c r="F6042" t="s">
        <v>117</v>
      </c>
      <c r="G6042" t="s">
        <v>41</v>
      </c>
      <c r="H6042" t="s">
        <v>38</v>
      </c>
      <c r="I6042" s="3">
        <v>50</v>
      </c>
      <c r="J6042" s="2">
        <v>575</v>
      </c>
      <c r="K6042" s="3">
        <f t="shared" si="94"/>
        <v>28750</v>
      </c>
      <c r="L6042" s="3">
        <v>17250</v>
      </c>
    </row>
    <row r="6043" spans="1:12" x14ac:dyDescent="0.25">
      <c r="A6043" t="s">
        <v>11</v>
      </c>
      <c r="B6043">
        <v>1197831</v>
      </c>
      <c r="C6043" s="1">
        <v>44458</v>
      </c>
      <c r="D6043" t="s">
        <v>52</v>
      </c>
      <c r="E6043" t="s">
        <v>116</v>
      </c>
      <c r="F6043" t="s">
        <v>117</v>
      </c>
      <c r="G6043" t="s">
        <v>41</v>
      </c>
      <c r="H6043" t="s">
        <v>35</v>
      </c>
      <c r="I6043" s="3">
        <v>15.000000000000007</v>
      </c>
      <c r="J6043" s="2">
        <v>275</v>
      </c>
      <c r="K6043" s="3">
        <f t="shared" si="94"/>
        <v>4125.0000000000018</v>
      </c>
      <c r="L6043" s="3">
        <v>2475.0000000000009</v>
      </c>
    </row>
    <row r="6044" spans="1:12" x14ac:dyDescent="0.25">
      <c r="A6044" t="s">
        <v>11</v>
      </c>
      <c r="B6044">
        <v>1197831</v>
      </c>
      <c r="C6044" s="1">
        <v>44458</v>
      </c>
      <c r="D6044" t="s">
        <v>52</v>
      </c>
      <c r="E6044" t="s">
        <v>116</v>
      </c>
      <c r="F6044" t="s">
        <v>117</v>
      </c>
      <c r="G6044" t="s">
        <v>41</v>
      </c>
      <c r="H6044" t="s">
        <v>16</v>
      </c>
      <c r="I6044" s="3">
        <v>30.000000000000011</v>
      </c>
      <c r="J6044" s="2">
        <v>350</v>
      </c>
      <c r="K6044" s="3">
        <f t="shared" si="94"/>
        <v>10500.000000000004</v>
      </c>
      <c r="L6044" s="3">
        <v>6300.0000000000018</v>
      </c>
    </row>
    <row r="6045" spans="1:12" x14ac:dyDescent="0.25">
      <c r="A6045" t="s">
        <v>23</v>
      </c>
      <c r="B6045">
        <v>1197831</v>
      </c>
      <c r="C6045" s="1">
        <v>44458</v>
      </c>
      <c r="D6045" t="s">
        <v>52</v>
      </c>
      <c r="E6045" t="s">
        <v>114</v>
      </c>
      <c r="F6045" t="s">
        <v>115</v>
      </c>
      <c r="G6045" t="s">
        <v>41</v>
      </c>
      <c r="H6045" t="s">
        <v>35</v>
      </c>
      <c r="I6045" s="3">
        <v>15.000000000000007</v>
      </c>
      <c r="J6045" s="2">
        <v>350</v>
      </c>
      <c r="K6045" s="3">
        <f t="shared" si="94"/>
        <v>5250.0000000000027</v>
      </c>
      <c r="L6045" s="3">
        <v>3150.0000000000009</v>
      </c>
    </row>
    <row r="6046" spans="1:12" x14ac:dyDescent="0.25">
      <c r="A6046" t="s">
        <v>23</v>
      </c>
      <c r="B6046">
        <v>1197831</v>
      </c>
      <c r="C6046" s="1">
        <v>44458</v>
      </c>
      <c r="D6046" t="s">
        <v>52</v>
      </c>
      <c r="E6046" t="s">
        <v>114</v>
      </c>
      <c r="F6046" t="s">
        <v>115</v>
      </c>
      <c r="G6046" t="s">
        <v>41</v>
      </c>
      <c r="H6046" t="s">
        <v>37</v>
      </c>
      <c r="I6046" s="3">
        <v>15.000000000000007</v>
      </c>
      <c r="J6046" s="2">
        <v>325</v>
      </c>
      <c r="K6046" s="3">
        <f t="shared" si="94"/>
        <v>4875.0000000000027</v>
      </c>
      <c r="L6046" s="3">
        <v>2925.0000000000009</v>
      </c>
    </row>
    <row r="6047" spans="1:12" x14ac:dyDescent="0.25">
      <c r="A6047" t="s">
        <v>11</v>
      </c>
      <c r="B6047">
        <v>1197831</v>
      </c>
      <c r="C6047" s="1">
        <v>44458</v>
      </c>
      <c r="D6047" t="s">
        <v>52</v>
      </c>
      <c r="E6047" t="s">
        <v>116</v>
      </c>
      <c r="F6047" t="s">
        <v>117</v>
      </c>
      <c r="G6047" t="s">
        <v>41</v>
      </c>
      <c r="H6047" t="s">
        <v>37</v>
      </c>
      <c r="I6047" s="3">
        <v>15.000000000000007</v>
      </c>
      <c r="J6047" s="2">
        <v>250</v>
      </c>
      <c r="K6047" s="3">
        <f t="shared" si="94"/>
        <v>3750.0000000000018</v>
      </c>
      <c r="L6047" s="3">
        <v>2250.0000000000009</v>
      </c>
    </row>
    <row r="6048" spans="1:12" x14ac:dyDescent="0.25">
      <c r="A6048" t="s">
        <v>26</v>
      </c>
      <c r="B6048">
        <v>1197831</v>
      </c>
      <c r="C6048" s="1">
        <v>44458</v>
      </c>
      <c r="D6048" t="s">
        <v>52</v>
      </c>
      <c r="E6048" t="s">
        <v>99</v>
      </c>
      <c r="F6048" t="s">
        <v>100</v>
      </c>
      <c r="G6048" t="s">
        <v>15</v>
      </c>
      <c r="H6048" t="s">
        <v>17</v>
      </c>
      <c r="I6048" s="3">
        <v>55.000000000000007</v>
      </c>
      <c r="J6048" s="2">
        <v>575</v>
      </c>
      <c r="K6048" s="3">
        <f t="shared" si="94"/>
        <v>31625.000000000004</v>
      </c>
      <c r="L6048" s="3">
        <v>15812.500000000005</v>
      </c>
    </row>
    <row r="6049" spans="1:12" x14ac:dyDescent="0.25">
      <c r="A6049" t="s">
        <v>26</v>
      </c>
      <c r="B6049">
        <v>1197831</v>
      </c>
      <c r="C6049" s="1">
        <v>44458</v>
      </c>
      <c r="D6049" t="s">
        <v>52</v>
      </c>
      <c r="E6049" t="s">
        <v>53</v>
      </c>
      <c r="F6049" t="s">
        <v>54</v>
      </c>
      <c r="G6049" t="s">
        <v>15</v>
      </c>
      <c r="H6049" t="s">
        <v>37</v>
      </c>
      <c r="I6049" s="3">
        <v>45</v>
      </c>
      <c r="J6049" s="2">
        <v>575</v>
      </c>
      <c r="K6049" s="3">
        <f t="shared" si="94"/>
        <v>25875</v>
      </c>
      <c r="L6049" s="3">
        <v>12937.5</v>
      </c>
    </row>
    <row r="6050" spans="1:12" x14ac:dyDescent="0.25">
      <c r="A6050" t="s">
        <v>19</v>
      </c>
      <c r="B6050">
        <v>1185732</v>
      </c>
      <c r="C6050" s="1">
        <v>44458</v>
      </c>
      <c r="D6050" t="s">
        <v>57</v>
      </c>
      <c r="E6050" t="s">
        <v>106</v>
      </c>
      <c r="F6050" t="s">
        <v>107</v>
      </c>
      <c r="G6050" t="s">
        <v>18</v>
      </c>
      <c r="H6050" t="s">
        <v>16</v>
      </c>
      <c r="I6050" s="3">
        <v>30.000000000000004</v>
      </c>
      <c r="J6050" s="2">
        <v>350</v>
      </c>
      <c r="K6050" s="3">
        <f t="shared" si="94"/>
        <v>10500.000000000002</v>
      </c>
      <c r="L6050" s="3">
        <v>5250.0000000000009</v>
      </c>
    </row>
    <row r="6051" spans="1:12" x14ac:dyDescent="0.25">
      <c r="A6051" t="s">
        <v>11</v>
      </c>
      <c r="B6051">
        <v>1197831</v>
      </c>
      <c r="C6051" s="1">
        <v>44458</v>
      </c>
      <c r="D6051" t="s">
        <v>52</v>
      </c>
      <c r="E6051" t="s">
        <v>116</v>
      </c>
      <c r="F6051" t="s">
        <v>117</v>
      </c>
      <c r="G6051" t="s">
        <v>15</v>
      </c>
      <c r="H6051" t="s">
        <v>22</v>
      </c>
      <c r="I6051" s="3">
        <v>20</v>
      </c>
      <c r="J6051" s="2">
        <v>78</v>
      </c>
      <c r="K6051" s="3">
        <f t="shared" si="94"/>
        <v>1560</v>
      </c>
      <c r="L6051" s="3">
        <v>967.2</v>
      </c>
    </row>
    <row r="6052" spans="1:12" x14ac:dyDescent="0.25">
      <c r="A6052" t="s">
        <v>23</v>
      </c>
      <c r="B6052">
        <v>1197831</v>
      </c>
      <c r="C6052" s="1">
        <v>44458</v>
      </c>
      <c r="D6052" t="s">
        <v>52</v>
      </c>
      <c r="E6052" t="s">
        <v>114</v>
      </c>
      <c r="F6052" t="s">
        <v>115</v>
      </c>
      <c r="G6052" t="s">
        <v>15</v>
      </c>
      <c r="H6052" t="s">
        <v>22</v>
      </c>
      <c r="I6052" s="3">
        <v>18</v>
      </c>
      <c r="J6052" s="2">
        <v>111</v>
      </c>
      <c r="K6052" s="3">
        <f t="shared" si="94"/>
        <v>1998</v>
      </c>
      <c r="L6052" s="3">
        <v>1218.7800000000002</v>
      </c>
    </row>
    <row r="6053" spans="1:12" x14ac:dyDescent="0.25">
      <c r="A6053" t="s">
        <v>11</v>
      </c>
      <c r="B6053">
        <v>1197831</v>
      </c>
      <c r="C6053" s="1">
        <v>44458</v>
      </c>
      <c r="D6053" t="s">
        <v>52</v>
      </c>
      <c r="E6053" t="s">
        <v>116</v>
      </c>
      <c r="F6053" t="s">
        <v>117</v>
      </c>
      <c r="G6053" t="s">
        <v>15</v>
      </c>
      <c r="H6053" t="s">
        <v>17</v>
      </c>
      <c r="I6053" s="3">
        <v>28</v>
      </c>
      <c r="J6053" s="2">
        <v>128</v>
      </c>
      <c r="K6053" s="3">
        <f t="shared" si="94"/>
        <v>3584</v>
      </c>
      <c r="L6053" s="3">
        <v>2114.5600000000004</v>
      </c>
    </row>
    <row r="6054" spans="1:12" x14ac:dyDescent="0.25">
      <c r="A6054" t="s">
        <v>23</v>
      </c>
      <c r="B6054">
        <v>1197831</v>
      </c>
      <c r="C6054" s="1">
        <v>44458</v>
      </c>
      <c r="D6054" t="s">
        <v>52</v>
      </c>
      <c r="E6054" t="s">
        <v>114</v>
      </c>
      <c r="F6054" t="s">
        <v>115</v>
      </c>
      <c r="G6054" t="s">
        <v>15</v>
      </c>
      <c r="H6054" t="s">
        <v>17</v>
      </c>
      <c r="I6054" s="3">
        <v>26</v>
      </c>
      <c r="J6054" s="2">
        <v>135</v>
      </c>
      <c r="K6054" s="3">
        <f t="shared" si="94"/>
        <v>3510</v>
      </c>
      <c r="L6054" s="3">
        <v>2070.9</v>
      </c>
    </row>
    <row r="6055" spans="1:12" x14ac:dyDescent="0.25">
      <c r="A6055" t="s">
        <v>23</v>
      </c>
      <c r="B6055">
        <v>1197831</v>
      </c>
      <c r="C6055" s="1">
        <v>44458</v>
      </c>
      <c r="D6055" t="s">
        <v>52</v>
      </c>
      <c r="E6055" t="s">
        <v>114</v>
      </c>
      <c r="F6055" t="s">
        <v>115</v>
      </c>
      <c r="G6055" t="s">
        <v>15</v>
      </c>
      <c r="H6055" t="s">
        <v>37</v>
      </c>
      <c r="I6055" s="3">
        <v>12</v>
      </c>
      <c r="J6055" s="2">
        <v>104</v>
      </c>
      <c r="K6055" s="3">
        <f t="shared" si="94"/>
        <v>1248</v>
      </c>
      <c r="L6055" s="3">
        <v>723.83999999999992</v>
      </c>
    </row>
    <row r="6056" spans="1:12" x14ac:dyDescent="0.25">
      <c r="A6056" t="s">
        <v>23</v>
      </c>
      <c r="B6056">
        <v>1197831</v>
      </c>
      <c r="C6056" s="1">
        <v>44458</v>
      </c>
      <c r="D6056" t="s">
        <v>52</v>
      </c>
      <c r="E6056" t="s">
        <v>114</v>
      </c>
      <c r="F6056" t="s">
        <v>115</v>
      </c>
      <c r="G6056" t="s">
        <v>15</v>
      </c>
      <c r="H6056" t="s">
        <v>16</v>
      </c>
      <c r="I6056" s="3">
        <v>22</v>
      </c>
      <c r="J6056" s="2">
        <v>140</v>
      </c>
      <c r="K6056" s="3">
        <f t="shared" si="94"/>
        <v>3080</v>
      </c>
      <c r="L6056" s="3">
        <v>1786.3999999999999</v>
      </c>
    </row>
    <row r="6057" spans="1:12" x14ac:dyDescent="0.25">
      <c r="A6057" t="s">
        <v>11</v>
      </c>
      <c r="B6057">
        <v>1197831</v>
      </c>
      <c r="C6057" s="1">
        <v>44458</v>
      </c>
      <c r="D6057" t="s">
        <v>52</v>
      </c>
      <c r="E6057" t="s">
        <v>116</v>
      </c>
      <c r="F6057" t="s">
        <v>117</v>
      </c>
      <c r="G6057" t="s">
        <v>15</v>
      </c>
      <c r="H6057" t="s">
        <v>37</v>
      </c>
      <c r="I6057" s="3">
        <v>12</v>
      </c>
      <c r="J6057" s="2">
        <v>83</v>
      </c>
      <c r="K6057" s="3">
        <f t="shared" si="94"/>
        <v>996</v>
      </c>
      <c r="L6057" s="3">
        <v>577.67999999999995</v>
      </c>
    </row>
    <row r="6058" spans="1:12" x14ac:dyDescent="0.25">
      <c r="A6058" t="s">
        <v>11</v>
      </c>
      <c r="B6058">
        <v>1197831</v>
      </c>
      <c r="C6058" s="1">
        <v>44458</v>
      </c>
      <c r="D6058" t="s">
        <v>52</v>
      </c>
      <c r="E6058" t="s">
        <v>116</v>
      </c>
      <c r="F6058" t="s">
        <v>117</v>
      </c>
      <c r="G6058" t="s">
        <v>15</v>
      </c>
      <c r="H6058" t="s">
        <v>35</v>
      </c>
      <c r="I6058" s="3">
        <v>12</v>
      </c>
      <c r="J6058" s="2">
        <v>91</v>
      </c>
      <c r="K6058" s="3">
        <f t="shared" si="94"/>
        <v>1092</v>
      </c>
      <c r="L6058" s="3">
        <v>633.3599999999999</v>
      </c>
    </row>
    <row r="6059" spans="1:12" x14ac:dyDescent="0.25">
      <c r="A6059" t="s">
        <v>23</v>
      </c>
      <c r="B6059">
        <v>1197831</v>
      </c>
      <c r="C6059" s="1">
        <v>44458</v>
      </c>
      <c r="D6059" t="s">
        <v>52</v>
      </c>
      <c r="E6059" t="s">
        <v>114</v>
      </c>
      <c r="F6059" t="s">
        <v>115</v>
      </c>
      <c r="G6059" t="s">
        <v>15</v>
      </c>
      <c r="H6059" t="s">
        <v>38</v>
      </c>
      <c r="I6059" s="3">
        <v>35</v>
      </c>
      <c r="J6059" s="2">
        <v>221</v>
      </c>
      <c r="K6059" s="3">
        <f t="shared" si="94"/>
        <v>7735</v>
      </c>
      <c r="L6059" s="3">
        <v>4408.95</v>
      </c>
    </row>
    <row r="6060" spans="1:12" x14ac:dyDescent="0.25">
      <c r="A6060" t="s">
        <v>11</v>
      </c>
      <c r="B6060">
        <v>1197831</v>
      </c>
      <c r="C6060" s="1">
        <v>44458</v>
      </c>
      <c r="D6060" t="s">
        <v>52</v>
      </c>
      <c r="E6060" t="s">
        <v>116</v>
      </c>
      <c r="F6060" t="s">
        <v>117</v>
      </c>
      <c r="G6060" t="s">
        <v>41</v>
      </c>
      <c r="H6060" t="s">
        <v>17</v>
      </c>
      <c r="I6060" s="3">
        <v>38</v>
      </c>
      <c r="J6060" s="2">
        <v>98</v>
      </c>
      <c r="K6060" s="3">
        <f t="shared" si="94"/>
        <v>3724</v>
      </c>
      <c r="L6060" s="3">
        <v>2048.2000000000003</v>
      </c>
    </row>
    <row r="6061" spans="1:12" x14ac:dyDescent="0.25">
      <c r="A6061" t="s">
        <v>11</v>
      </c>
      <c r="B6061">
        <v>1197831</v>
      </c>
      <c r="C6061" s="1">
        <v>44458</v>
      </c>
      <c r="D6061" t="s">
        <v>52</v>
      </c>
      <c r="E6061" t="s">
        <v>116</v>
      </c>
      <c r="F6061" t="s">
        <v>117</v>
      </c>
      <c r="G6061" t="s">
        <v>41</v>
      </c>
      <c r="H6061" t="s">
        <v>22</v>
      </c>
      <c r="I6061" s="3">
        <v>23</v>
      </c>
      <c r="J6061" s="2">
        <v>68</v>
      </c>
      <c r="K6061" s="3">
        <f t="shared" si="94"/>
        <v>1564</v>
      </c>
      <c r="L6061" s="3">
        <v>860.2</v>
      </c>
    </row>
    <row r="6062" spans="1:12" x14ac:dyDescent="0.25">
      <c r="A6062" t="s">
        <v>11</v>
      </c>
      <c r="B6062">
        <v>1197831</v>
      </c>
      <c r="C6062" s="1">
        <v>44458</v>
      </c>
      <c r="D6062" t="s">
        <v>52</v>
      </c>
      <c r="E6062" t="s">
        <v>116</v>
      </c>
      <c r="F6062" t="s">
        <v>117</v>
      </c>
      <c r="G6062" t="s">
        <v>15</v>
      </c>
      <c r="H6062" t="s">
        <v>38</v>
      </c>
      <c r="I6062" s="3">
        <v>35</v>
      </c>
      <c r="J6062" s="2">
        <v>196</v>
      </c>
      <c r="K6062" s="3">
        <f t="shared" si="94"/>
        <v>6860</v>
      </c>
      <c r="L6062" s="3">
        <v>3704.3999999999996</v>
      </c>
    </row>
    <row r="6063" spans="1:12" x14ac:dyDescent="0.25">
      <c r="A6063" t="s">
        <v>19</v>
      </c>
      <c r="B6063">
        <v>1185732</v>
      </c>
      <c r="C6063" s="1">
        <v>44458</v>
      </c>
      <c r="D6063" t="s">
        <v>57</v>
      </c>
      <c r="E6063" t="s">
        <v>106</v>
      </c>
      <c r="F6063" t="s">
        <v>107</v>
      </c>
      <c r="G6063" t="s">
        <v>41</v>
      </c>
      <c r="H6063" t="s">
        <v>17</v>
      </c>
      <c r="I6063" s="3">
        <v>28</v>
      </c>
      <c r="J6063" s="2">
        <v>100</v>
      </c>
      <c r="K6063" s="3">
        <f t="shared" si="94"/>
        <v>2800</v>
      </c>
      <c r="L6063" s="3">
        <v>1484</v>
      </c>
    </row>
    <row r="6064" spans="1:12" x14ac:dyDescent="0.25">
      <c r="A6064" t="s">
        <v>19</v>
      </c>
      <c r="B6064">
        <v>1185732</v>
      </c>
      <c r="C6064" s="1">
        <v>44458</v>
      </c>
      <c r="D6064" t="s">
        <v>57</v>
      </c>
      <c r="E6064" t="s">
        <v>106</v>
      </c>
      <c r="F6064" t="s">
        <v>107</v>
      </c>
      <c r="G6064" t="s">
        <v>41</v>
      </c>
      <c r="H6064" t="s">
        <v>22</v>
      </c>
      <c r="I6064" s="3">
        <v>23</v>
      </c>
      <c r="J6064" s="2">
        <v>77</v>
      </c>
      <c r="K6064" s="3">
        <f t="shared" si="94"/>
        <v>1771</v>
      </c>
      <c r="L6064" s="3">
        <v>938.63</v>
      </c>
    </row>
    <row r="6065" spans="1:12" x14ac:dyDescent="0.25">
      <c r="A6065" t="s">
        <v>11</v>
      </c>
      <c r="B6065">
        <v>1197831</v>
      </c>
      <c r="C6065" s="1">
        <v>44458</v>
      </c>
      <c r="D6065" t="s">
        <v>52</v>
      </c>
      <c r="E6065" t="s">
        <v>116</v>
      </c>
      <c r="F6065" t="s">
        <v>117</v>
      </c>
      <c r="G6065" t="s">
        <v>15</v>
      </c>
      <c r="H6065" t="s">
        <v>16</v>
      </c>
      <c r="I6065" s="3">
        <v>23</v>
      </c>
      <c r="J6065" s="2">
        <v>119</v>
      </c>
      <c r="K6065" s="3">
        <f t="shared" si="94"/>
        <v>2737</v>
      </c>
      <c r="L6065" s="3">
        <v>1450.61</v>
      </c>
    </row>
    <row r="6066" spans="1:12" x14ac:dyDescent="0.25">
      <c r="A6066" t="s">
        <v>23</v>
      </c>
      <c r="B6066">
        <v>1197831</v>
      </c>
      <c r="C6066" s="1">
        <v>44458</v>
      </c>
      <c r="D6066" t="s">
        <v>52</v>
      </c>
      <c r="E6066" t="s">
        <v>114</v>
      </c>
      <c r="F6066" t="s">
        <v>115</v>
      </c>
      <c r="G6066" t="s">
        <v>15</v>
      </c>
      <c r="H6066" t="s">
        <v>35</v>
      </c>
      <c r="I6066" s="3">
        <v>11</v>
      </c>
      <c r="J6066" s="2">
        <v>123</v>
      </c>
      <c r="K6066" s="3">
        <f t="shared" si="94"/>
        <v>1353</v>
      </c>
      <c r="L6066" s="3">
        <v>717.08999999999992</v>
      </c>
    </row>
    <row r="6067" spans="1:12" x14ac:dyDescent="0.25">
      <c r="A6067" t="s">
        <v>23</v>
      </c>
      <c r="B6067">
        <v>1197831</v>
      </c>
      <c r="C6067" s="1">
        <v>44458</v>
      </c>
      <c r="D6067" t="s">
        <v>52</v>
      </c>
      <c r="E6067" t="s">
        <v>114</v>
      </c>
      <c r="F6067" t="s">
        <v>115</v>
      </c>
      <c r="G6067" t="s">
        <v>41</v>
      </c>
      <c r="H6067" t="s">
        <v>17</v>
      </c>
      <c r="I6067" s="3">
        <v>39</v>
      </c>
      <c r="J6067" s="2">
        <v>126</v>
      </c>
      <c r="K6067" s="3">
        <f t="shared" si="94"/>
        <v>4914</v>
      </c>
      <c r="L6067" s="3">
        <v>2555.2800000000002</v>
      </c>
    </row>
    <row r="6068" spans="1:12" x14ac:dyDescent="0.25">
      <c r="A6068" t="s">
        <v>19</v>
      </c>
      <c r="B6068">
        <v>1185732</v>
      </c>
      <c r="C6068" s="1">
        <v>44458</v>
      </c>
      <c r="D6068" t="s">
        <v>57</v>
      </c>
      <c r="E6068" t="s">
        <v>106</v>
      </c>
      <c r="F6068" t="s">
        <v>107</v>
      </c>
      <c r="G6068" t="s">
        <v>41</v>
      </c>
      <c r="H6068" t="s">
        <v>35</v>
      </c>
      <c r="I6068" s="3">
        <v>14</v>
      </c>
      <c r="J6068" s="2">
        <v>75</v>
      </c>
      <c r="K6068" s="3">
        <f t="shared" si="94"/>
        <v>1050</v>
      </c>
      <c r="L6068" s="3">
        <v>535.5</v>
      </c>
    </row>
    <row r="6069" spans="1:12" x14ac:dyDescent="0.25">
      <c r="A6069" t="s">
        <v>19</v>
      </c>
      <c r="B6069">
        <v>1185732</v>
      </c>
      <c r="C6069" s="1">
        <v>44458</v>
      </c>
      <c r="D6069" t="s">
        <v>57</v>
      </c>
      <c r="E6069" t="s">
        <v>106</v>
      </c>
      <c r="F6069" t="s">
        <v>107</v>
      </c>
      <c r="G6069" t="s">
        <v>41</v>
      </c>
      <c r="H6069" t="s">
        <v>38</v>
      </c>
      <c r="I6069" s="3">
        <v>32</v>
      </c>
      <c r="J6069" s="2">
        <v>174</v>
      </c>
      <c r="K6069" s="3">
        <f t="shared" si="94"/>
        <v>5568</v>
      </c>
      <c r="L6069" s="3">
        <v>2784</v>
      </c>
    </row>
    <row r="6070" spans="1:12" x14ac:dyDescent="0.25">
      <c r="A6070" t="s">
        <v>23</v>
      </c>
      <c r="B6070">
        <v>1197831</v>
      </c>
      <c r="C6070" s="1">
        <v>44458</v>
      </c>
      <c r="D6070" t="s">
        <v>52</v>
      </c>
      <c r="E6070" t="s">
        <v>114</v>
      </c>
      <c r="F6070" t="s">
        <v>115</v>
      </c>
      <c r="G6070" t="s">
        <v>41</v>
      </c>
      <c r="H6070" t="s">
        <v>22</v>
      </c>
      <c r="I6070" s="3">
        <v>23</v>
      </c>
      <c r="J6070" s="2">
        <v>94</v>
      </c>
      <c r="K6070" s="3">
        <f t="shared" si="94"/>
        <v>2162</v>
      </c>
      <c r="L6070" s="3">
        <v>1081</v>
      </c>
    </row>
    <row r="6071" spans="1:12" x14ac:dyDescent="0.25">
      <c r="A6071" t="s">
        <v>11</v>
      </c>
      <c r="B6071">
        <v>1197831</v>
      </c>
      <c r="C6071" s="1">
        <v>44458</v>
      </c>
      <c r="D6071" t="s">
        <v>52</v>
      </c>
      <c r="E6071" t="s">
        <v>116</v>
      </c>
      <c r="F6071" t="s">
        <v>117</v>
      </c>
      <c r="G6071" t="s">
        <v>41</v>
      </c>
      <c r="H6071" t="s">
        <v>35</v>
      </c>
      <c r="I6071" s="3">
        <v>14</v>
      </c>
      <c r="J6071" s="2">
        <v>69</v>
      </c>
      <c r="K6071" s="3">
        <f t="shared" si="94"/>
        <v>966</v>
      </c>
      <c r="L6071" s="3">
        <v>473.34</v>
      </c>
    </row>
    <row r="6072" spans="1:12" x14ac:dyDescent="0.25">
      <c r="A6072" t="s">
        <v>11</v>
      </c>
      <c r="B6072">
        <v>1197831</v>
      </c>
      <c r="C6072" s="1">
        <v>44458</v>
      </c>
      <c r="D6072" t="s">
        <v>52</v>
      </c>
      <c r="E6072" t="s">
        <v>116</v>
      </c>
      <c r="F6072" t="s">
        <v>117</v>
      </c>
      <c r="G6072" t="s">
        <v>41</v>
      </c>
      <c r="H6072" t="s">
        <v>37</v>
      </c>
      <c r="I6072" s="3">
        <v>14</v>
      </c>
      <c r="J6072" s="2">
        <v>63</v>
      </c>
      <c r="K6072" s="3">
        <f t="shared" si="94"/>
        <v>882</v>
      </c>
      <c r="L6072" s="3">
        <v>432.18</v>
      </c>
    </row>
    <row r="6073" spans="1:12" x14ac:dyDescent="0.25">
      <c r="A6073" t="s">
        <v>23</v>
      </c>
      <c r="B6073">
        <v>1197831</v>
      </c>
      <c r="C6073" s="1">
        <v>44458</v>
      </c>
      <c r="D6073" t="s">
        <v>52</v>
      </c>
      <c r="E6073" t="s">
        <v>114</v>
      </c>
      <c r="F6073" t="s">
        <v>115</v>
      </c>
      <c r="G6073" t="s">
        <v>41</v>
      </c>
      <c r="H6073" t="s">
        <v>38</v>
      </c>
      <c r="I6073" s="3">
        <v>48</v>
      </c>
      <c r="J6073" s="2">
        <v>182</v>
      </c>
      <c r="K6073" s="3">
        <f t="shared" si="94"/>
        <v>8736</v>
      </c>
      <c r="L6073" s="3">
        <v>4193.28</v>
      </c>
    </row>
    <row r="6074" spans="1:12" x14ac:dyDescent="0.25">
      <c r="A6074" t="s">
        <v>23</v>
      </c>
      <c r="B6074">
        <v>1197831</v>
      </c>
      <c r="C6074" s="1">
        <v>44458</v>
      </c>
      <c r="D6074" t="s">
        <v>52</v>
      </c>
      <c r="E6074" t="s">
        <v>114</v>
      </c>
      <c r="F6074" t="s">
        <v>115</v>
      </c>
      <c r="G6074" t="s">
        <v>41</v>
      </c>
      <c r="H6074" t="s">
        <v>35</v>
      </c>
      <c r="I6074" s="3">
        <v>14</v>
      </c>
      <c r="J6074" s="2">
        <v>88</v>
      </c>
      <c r="K6074" s="3">
        <f t="shared" si="94"/>
        <v>1232</v>
      </c>
      <c r="L6074" s="3">
        <v>591.36</v>
      </c>
    </row>
    <row r="6075" spans="1:12" x14ac:dyDescent="0.25">
      <c r="A6075" t="s">
        <v>23</v>
      </c>
      <c r="B6075">
        <v>1197831</v>
      </c>
      <c r="C6075" s="1">
        <v>44458</v>
      </c>
      <c r="D6075" t="s">
        <v>52</v>
      </c>
      <c r="E6075" t="s">
        <v>114</v>
      </c>
      <c r="F6075" t="s">
        <v>115</v>
      </c>
      <c r="G6075" t="s">
        <v>41</v>
      </c>
      <c r="H6075" t="s">
        <v>37</v>
      </c>
      <c r="I6075" s="3">
        <v>14</v>
      </c>
      <c r="J6075" s="2">
        <v>88</v>
      </c>
      <c r="K6075" s="3">
        <f t="shared" si="94"/>
        <v>1232</v>
      </c>
      <c r="L6075" s="3">
        <v>591.36</v>
      </c>
    </row>
    <row r="6076" spans="1:12" x14ac:dyDescent="0.25">
      <c r="A6076" t="s">
        <v>11</v>
      </c>
      <c r="B6076">
        <v>1197831</v>
      </c>
      <c r="C6076" s="1">
        <v>44458</v>
      </c>
      <c r="D6076" t="s">
        <v>52</v>
      </c>
      <c r="E6076" t="s">
        <v>116</v>
      </c>
      <c r="F6076" t="s">
        <v>117</v>
      </c>
      <c r="G6076" t="s">
        <v>41</v>
      </c>
      <c r="H6076" t="s">
        <v>16</v>
      </c>
      <c r="I6076" s="3">
        <v>28</v>
      </c>
      <c r="J6076" s="2">
        <v>91</v>
      </c>
      <c r="K6076" s="3">
        <f t="shared" si="94"/>
        <v>2548</v>
      </c>
      <c r="L6076" s="3">
        <v>1223.04</v>
      </c>
    </row>
    <row r="6077" spans="1:12" x14ac:dyDescent="0.25">
      <c r="A6077" t="s">
        <v>19</v>
      </c>
      <c r="B6077">
        <v>1185732</v>
      </c>
      <c r="C6077" s="1">
        <v>44458</v>
      </c>
      <c r="D6077" t="s">
        <v>57</v>
      </c>
      <c r="E6077" t="s">
        <v>106</v>
      </c>
      <c r="F6077" t="s">
        <v>107</v>
      </c>
      <c r="G6077" t="s">
        <v>41</v>
      </c>
      <c r="H6077" t="s">
        <v>37</v>
      </c>
      <c r="I6077" s="3">
        <v>14</v>
      </c>
      <c r="J6077" s="2">
        <v>83</v>
      </c>
      <c r="K6077" s="3">
        <f t="shared" si="94"/>
        <v>1162</v>
      </c>
      <c r="L6077" s="3">
        <v>546.14</v>
      </c>
    </row>
    <row r="6078" spans="1:12" x14ac:dyDescent="0.25">
      <c r="A6078" t="s">
        <v>23</v>
      </c>
      <c r="B6078">
        <v>1197831</v>
      </c>
      <c r="C6078" s="1">
        <v>44458</v>
      </c>
      <c r="D6078" t="s">
        <v>52</v>
      </c>
      <c r="E6078" t="s">
        <v>114</v>
      </c>
      <c r="F6078" t="s">
        <v>115</v>
      </c>
      <c r="G6078" t="s">
        <v>41</v>
      </c>
      <c r="H6078" t="s">
        <v>16</v>
      </c>
      <c r="I6078" s="3">
        <v>29</v>
      </c>
      <c r="J6078" s="2">
        <v>119</v>
      </c>
      <c r="K6078" s="3">
        <f t="shared" si="94"/>
        <v>3451</v>
      </c>
      <c r="L6078" s="3">
        <v>1587.4599999999998</v>
      </c>
    </row>
    <row r="6079" spans="1:12" x14ac:dyDescent="0.25">
      <c r="A6079" t="s">
        <v>11</v>
      </c>
      <c r="B6079">
        <v>1197831</v>
      </c>
      <c r="C6079" s="1">
        <v>44458</v>
      </c>
      <c r="D6079" t="s">
        <v>52</v>
      </c>
      <c r="E6079" t="s">
        <v>116</v>
      </c>
      <c r="F6079" t="s">
        <v>117</v>
      </c>
      <c r="G6079" t="s">
        <v>41</v>
      </c>
      <c r="H6079" t="s">
        <v>38</v>
      </c>
      <c r="I6079" s="3">
        <v>49</v>
      </c>
      <c r="J6079" s="2">
        <v>150</v>
      </c>
      <c r="K6079" s="3">
        <f t="shared" si="94"/>
        <v>7350</v>
      </c>
      <c r="L6079" s="3">
        <v>3380.9999999999995</v>
      </c>
    </row>
    <row r="6080" spans="1:12" x14ac:dyDescent="0.25">
      <c r="A6080" t="s">
        <v>26</v>
      </c>
      <c r="B6080">
        <v>1197831</v>
      </c>
      <c r="C6080" s="1">
        <v>44458</v>
      </c>
      <c r="D6080" t="s">
        <v>52</v>
      </c>
      <c r="E6080" t="s">
        <v>99</v>
      </c>
      <c r="F6080" t="s">
        <v>100</v>
      </c>
      <c r="G6080" t="s">
        <v>15</v>
      </c>
      <c r="H6080" t="s">
        <v>17</v>
      </c>
      <c r="I6080" s="3">
        <v>36</v>
      </c>
      <c r="J6080" s="2">
        <v>173</v>
      </c>
      <c r="K6080" s="3">
        <f t="shared" si="94"/>
        <v>6228</v>
      </c>
      <c r="L6080" s="3">
        <v>2802.6000000000004</v>
      </c>
    </row>
    <row r="6081" spans="1:12" x14ac:dyDescent="0.25">
      <c r="A6081" t="s">
        <v>26</v>
      </c>
      <c r="B6081">
        <v>1197831</v>
      </c>
      <c r="C6081" s="1">
        <v>44458</v>
      </c>
      <c r="D6081" t="s">
        <v>52</v>
      </c>
      <c r="E6081" t="s">
        <v>53</v>
      </c>
      <c r="F6081" t="s">
        <v>54</v>
      </c>
      <c r="G6081" t="s">
        <v>15</v>
      </c>
      <c r="H6081" t="s">
        <v>37</v>
      </c>
      <c r="I6081" s="3">
        <v>32</v>
      </c>
      <c r="J6081" s="2">
        <v>201</v>
      </c>
      <c r="K6081" s="3">
        <f t="shared" si="94"/>
        <v>6432</v>
      </c>
      <c r="L6081" s="3">
        <v>2894.3999999999996</v>
      </c>
    </row>
    <row r="6082" spans="1:12" x14ac:dyDescent="0.25">
      <c r="A6082" t="s">
        <v>26</v>
      </c>
      <c r="B6082">
        <v>1197831</v>
      </c>
      <c r="C6082" s="1">
        <v>44458</v>
      </c>
      <c r="D6082" t="s">
        <v>52</v>
      </c>
      <c r="E6082" t="s">
        <v>53</v>
      </c>
      <c r="F6082" t="s">
        <v>54</v>
      </c>
      <c r="G6082" t="s">
        <v>41</v>
      </c>
      <c r="H6082" t="s">
        <v>37</v>
      </c>
      <c r="I6082" s="3">
        <v>43</v>
      </c>
      <c r="J6082" s="2">
        <v>150</v>
      </c>
      <c r="K6082" s="3">
        <f t="shared" si="94"/>
        <v>6450</v>
      </c>
      <c r="L6082" s="3">
        <v>2515.5</v>
      </c>
    </row>
    <row r="6083" spans="1:12" x14ac:dyDescent="0.25">
      <c r="A6083" t="s">
        <v>26</v>
      </c>
      <c r="B6083">
        <v>1197831</v>
      </c>
      <c r="C6083" s="1">
        <v>44458</v>
      </c>
      <c r="D6083" t="s">
        <v>52</v>
      </c>
      <c r="E6083" t="s">
        <v>99</v>
      </c>
      <c r="F6083" t="s">
        <v>100</v>
      </c>
      <c r="G6083" t="s">
        <v>41</v>
      </c>
      <c r="H6083" t="s">
        <v>17</v>
      </c>
      <c r="I6083" s="3">
        <v>50</v>
      </c>
      <c r="J6083" s="2">
        <v>144</v>
      </c>
      <c r="K6083" s="3">
        <f t="shared" ref="K6083:K6146" si="95">I6083*J6083</f>
        <v>7200</v>
      </c>
      <c r="L6083" s="3">
        <v>2664.0000000000009</v>
      </c>
    </row>
    <row r="6084" spans="1:12" x14ac:dyDescent="0.25">
      <c r="A6084" t="s">
        <v>19</v>
      </c>
      <c r="B6084">
        <v>1185732</v>
      </c>
      <c r="C6084" s="1">
        <v>44458</v>
      </c>
      <c r="D6084" t="s">
        <v>57</v>
      </c>
      <c r="E6084" t="s">
        <v>106</v>
      </c>
      <c r="F6084" t="s">
        <v>107</v>
      </c>
      <c r="G6084" t="s">
        <v>41</v>
      </c>
      <c r="H6084" t="s">
        <v>16</v>
      </c>
      <c r="I6084" s="3">
        <v>28</v>
      </c>
      <c r="J6084" s="2">
        <v>95</v>
      </c>
      <c r="K6084" s="3">
        <f t="shared" si="95"/>
        <v>2660</v>
      </c>
      <c r="L6084" s="3">
        <v>957.59999999999991</v>
      </c>
    </row>
    <row r="6085" spans="1:12" x14ac:dyDescent="0.25">
      <c r="A6085" t="s">
        <v>36</v>
      </c>
      <c r="B6085">
        <v>1185732</v>
      </c>
      <c r="C6085" s="1">
        <v>44459</v>
      </c>
      <c r="D6085" t="s">
        <v>12</v>
      </c>
      <c r="E6085" t="s">
        <v>24</v>
      </c>
      <c r="F6085" t="s">
        <v>25</v>
      </c>
      <c r="G6085" t="s">
        <v>15</v>
      </c>
      <c r="H6085" t="s">
        <v>35</v>
      </c>
      <c r="I6085" s="3">
        <v>55.000000000000007</v>
      </c>
      <c r="J6085" s="2">
        <v>225</v>
      </c>
      <c r="K6085" s="3">
        <f t="shared" si="95"/>
        <v>12375.000000000002</v>
      </c>
      <c r="L6085" s="3">
        <v>9281.2500000000018</v>
      </c>
    </row>
    <row r="6086" spans="1:12" x14ac:dyDescent="0.25">
      <c r="A6086" t="s">
        <v>36</v>
      </c>
      <c r="B6086">
        <v>1185732</v>
      </c>
      <c r="C6086" s="1">
        <v>44459</v>
      </c>
      <c r="D6086" t="s">
        <v>12</v>
      </c>
      <c r="E6086" t="s">
        <v>24</v>
      </c>
      <c r="F6086" t="s">
        <v>25</v>
      </c>
      <c r="G6086" t="s">
        <v>15</v>
      </c>
      <c r="H6086" t="s">
        <v>37</v>
      </c>
      <c r="I6086" s="3">
        <v>55.000000000000007</v>
      </c>
      <c r="J6086" s="2">
        <v>200</v>
      </c>
      <c r="K6086" s="3">
        <f t="shared" si="95"/>
        <v>11000.000000000002</v>
      </c>
      <c r="L6086" s="3">
        <v>8250.0000000000018</v>
      </c>
    </row>
    <row r="6087" spans="1:12" x14ac:dyDescent="0.25">
      <c r="A6087" t="s">
        <v>36</v>
      </c>
      <c r="B6087">
        <v>1185732</v>
      </c>
      <c r="C6087" s="1">
        <v>44459</v>
      </c>
      <c r="D6087" t="s">
        <v>12</v>
      </c>
      <c r="E6087" t="s">
        <v>24</v>
      </c>
      <c r="F6087" t="s">
        <v>25</v>
      </c>
      <c r="G6087" t="s">
        <v>15</v>
      </c>
      <c r="H6087" t="s">
        <v>22</v>
      </c>
      <c r="I6087" s="3">
        <v>65</v>
      </c>
      <c r="J6087" s="2">
        <v>200</v>
      </c>
      <c r="K6087" s="3">
        <f t="shared" si="95"/>
        <v>13000</v>
      </c>
      <c r="L6087" s="3">
        <v>9750</v>
      </c>
    </row>
    <row r="6088" spans="1:12" x14ac:dyDescent="0.25">
      <c r="A6088" t="s">
        <v>26</v>
      </c>
      <c r="B6088">
        <v>1185732</v>
      </c>
      <c r="C6088" s="1">
        <v>44459</v>
      </c>
      <c r="D6088" t="s">
        <v>29</v>
      </c>
      <c r="E6088" t="s">
        <v>87</v>
      </c>
      <c r="F6088" t="s">
        <v>88</v>
      </c>
      <c r="G6088" t="s">
        <v>18</v>
      </c>
      <c r="H6088" t="s">
        <v>22</v>
      </c>
      <c r="I6088" s="3">
        <v>49.999999999999993</v>
      </c>
      <c r="J6088" s="2">
        <v>100</v>
      </c>
      <c r="K6088" s="3">
        <f t="shared" si="95"/>
        <v>4999.9999999999991</v>
      </c>
      <c r="L6088" s="3">
        <v>3500</v>
      </c>
    </row>
    <row r="6089" spans="1:12" x14ac:dyDescent="0.25">
      <c r="A6089" t="s">
        <v>26</v>
      </c>
      <c r="B6089">
        <v>1185732</v>
      </c>
      <c r="C6089" s="1">
        <v>44459</v>
      </c>
      <c r="D6089" t="s">
        <v>29</v>
      </c>
      <c r="E6089" t="s">
        <v>87</v>
      </c>
      <c r="F6089" t="s">
        <v>88</v>
      </c>
      <c r="G6089" t="s">
        <v>18</v>
      </c>
      <c r="H6089" t="s">
        <v>16</v>
      </c>
      <c r="I6089" s="3">
        <v>54.999999999999993</v>
      </c>
      <c r="J6089" s="2">
        <v>200</v>
      </c>
      <c r="K6089" s="3">
        <f t="shared" si="95"/>
        <v>10999.999999999998</v>
      </c>
      <c r="L6089" s="3">
        <v>7700</v>
      </c>
    </row>
    <row r="6090" spans="1:12" x14ac:dyDescent="0.25">
      <c r="A6090" t="s">
        <v>36</v>
      </c>
      <c r="B6090">
        <v>1185732</v>
      </c>
      <c r="C6090" s="1">
        <v>44459</v>
      </c>
      <c r="D6090" t="s">
        <v>12</v>
      </c>
      <c r="E6090" t="s">
        <v>24</v>
      </c>
      <c r="F6090" t="s">
        <v>25</v>
      </c>
      <c r="G6090" t="s">
        <v>15</v>
      </c>
      <c r="H6090" t="s">
        <v>16</v>
      </c>
      <c r="I6090" s="3">
        <v>70</v>
      </c>
      <c r="J6090" s="2">
        <v>300</v>
      </c>
      <c r="K6090" s="3">
        <f t="shared" si="95"/>
        <v>21000</v>
      </c>
      <c r="L6090" s="3">
        <v>14700</v>
      </c>
    </row>
    <row r="6091" spans="1:12" x14ac:dyDescent="0.25">
      <c r="A6091" t="s">
        <v>26</v>
      </c>
      <c r="B6091">
        <v>1197831</v>
      </c>
      <c r="C6091" s="1">
        <v>44459</v>
      </c>
      <c r="D6091" t="s">
        <v>52</v>
      </c>
      <c r="E6091" t="s">
        <v>53</v>
      </c>
      <c r="F6091" t="s">
        <v>54</v>
      </c>
      <c r="G6091" t="s">
        <v>15</v>
      </c>
      <c r="H6091" t="s">
        <v>22</v>
      </c>
      <c r="I6091" s="3">
        <v>50</v>
      </c>
      <c r="J6091" s="2">
        <v>575</v>
      </c>
      <c r="K6091" s="3">
        <f t="shared" si="95"/>
        <v>28750</v>
      </c>
      <c r="L6091" s="3">
        <v>18687.5</v>
      </c>
    </row>
    <row r="6092" spans="1:12" x14ac:dyDescent="0.25">
      <c r="A6092" t="s">
        <v>36</v>
      </c>
      <c r="B6092">
        <v>1185732</v>
      </c>
      <c r="C6092" s="1">
        <v>44459</v>
      </c>
      <c r="D6092" t="s">
        <v>12</v>
      </c>
      <c r="E6092" t="s">
        <v>24</v>
      </c>
      <c r="F6092" t="s">
        <v>25</v>
      </c>
      <c r="G6092" t="s">
        <v>15</v>
      </c>
      <c r="H6092" t="s">
        <v>38</v>
      </c>
      <c r="I6092" s="3">
        <v>65</v>
      </c>
      <c r="J6092" s="2">
        <v>525</v>
      </c>
      <c r="K6092" s="3">
        <f t="shared" si="95"/>
        <v>34125</v>
      </c>
      <c r="L6092" s="3">
        <v>22181.25</v>
      </c>
    </row>
    <row r="6093" spans="1:12" x14ac:dyDescent="0.25">
      <c r="A6093" t="s">
        <v>36</v>
      </c>
      <c r="B6093">
        <v>1185732</v>
      </c>
      <c r="C6093" s="1">
        <v>44459</v>
      </c>
      <c r="D6093" t="s">
        <v>12</v>
      </c>
      <c r="E6093" t="s">
        <v>24</v>
      </c>
      <c r="F6093" t="s">
        <v>25</v>
      </c>
      <c r="G6093" t="s">
        <v>15</v>
      </c>
      <c r="H6093" t="s">
        <v>17</v>
      </c>
      <c r="I6093" s="3">
        <v>60.000000000000007</v>
      </c>
      <c r="J6093" s="2">
        <v>325</v>
      </c>
      <c r="K6093" s="3">
        <f t="shared" si="95"/>
        <v>19500.000000000004</v>
      </c>
      <c r="L6093" s="3">
        <v>12675.000000000002</v>
      </c>
    </row>
    <row r="6094" spans="1:12" x14ac:dyDescent="0.25">
      <c r="A6094" t="s">
        <v>26</v>
      </c>
      <c r="B6094">
        <v>1185732</v>
      </c>
      <c r="C6094" s="1">
        <v>44459</v>
      </c>
      <c r="D6094" t="s">
        <v>29</v>
      </c>
      <c r="E6094" t="s">
        <v>87</v>
      </c>
      <c r="F6094" t="s">
        <v>88</v>
      </c>
      <c r="G6094" t="s">
        <v>18</v>
      </c>
      <c r="H6094" t="s">
        <v>17</v>
      </c>
      <c r="I6094" s="3">
        <v>45</v>
      </c>
      <c r="J6094" s="2">
        <v>225</v>
      </c>
      <c r="K6094" s="3">
        <f t="shared" si="95"/>
        <v>10125</v>
      </c>
      <c r="L6094" s="3">
        <v>6581.25</v>
      </c>
    </row>
    <row r="6095" spans="1:12" x14ac:dyDescent="0.25">
      <c r="A6095" t="s">
        <v>26</v>
      </c>
      <c r="B6095">
        <v>1185732</v>
      </c>
      <c r="C6095" s="1">
        <v>44459</v>
      </c>
      <c r="D6095" t="s">
        <v>29</v>
      </c>
      <c r="E6095" t="s">
        <v>87</v>
      </c>
      <c r="F6095" t="s">
        <v>88</v>
      </c>
      <c r="G6095" t="s">
        <v>18</v>
      </c>
      <c r="H6095" t="s">
        <v>35</v>
      </c>
      <c r="I6095" s="3">
        <v>40</v>
      </c>
      <c r="J6095" s="2">
        <v>125</v>
      </c>
      <c r="K6095" s="3">
        <f t="shared" si="95"/>
        <v>5000</v>
      </c>
      <c r="L6095" s="3">
        <v>3250</v>
      </c>
    </row>
    <row r="6096" spans="1:12" x14ac:dyDescent="0.25">
      <c r="A6096" t="s">
        <v>26</v>
      </c>
      <c r="B6096">
        <v>1185732</v>
      </c>
      <c r="C6096" s="1">
        <v>44459</v>
      </c>
      <c r="D6096" t="s">
        <v>29</v>
      </c>
      <c r="E6096" t="s">
        <v>87</v>
      </c>
      <c r="F6096" t="s">
        <v>88</v>
      </c>
      <c r="G6096" t="s">
        <v>18</v>
      </c>
      <c r="H6096" t="s">
        <v>37</v>
      </c>
      <c r="I6096" s="3">
        <v>40</v>
      </c>
      <c r="J6096" s="2">
        <v>100</v>
      </c>
      <c r="K6096" s="3">
        <f t="shared" si="95"/>
        <v>4000</v>
      </c>
      <c r="L6096" s="3">
        <v>2600</v>
      </c>
    </row>
    <row r="6097" spans="1:12" x14ac:dyDescent="0.25">
      <c r="A6097" t="s">
        <v>26</v>
      </c>
      <c r="B6097">
        <v>1185732</v>
      </c>
      <c r="C6097" s="1">
        <v>44459</v>
      </c>
      <c r="D6097" t="s">
        <v>29</v>
      </c>
      <c r="E6097" t="s">
        <v>87</v>
      </c>
      <c r="F6097" t="s">
        <v>88</v>
      </c>
      <c r="G6097" t="s">
        <v>18</v>
      </c>
      <c r="H6097" t="s">
        <v>38</v>
      </c>
      <c r="I6097" s="3">
        <v>49.999999999999993</v>
      </c>
      <c r="J6097" s="2">
        <v>425</v>
      </c>
      <c r="K6097" s="3">
        <f t="shared" si="95"/>
        <v>21249.999999999996</v>
      </c>
      <c r="L6097" s="3">
        <v>12749.999999999996</v>
      </c>
    </row>
    <row r="6098" spans="1:12" x14ac:dyDescent="0.25">
      <c r="A6098" t="s">
        <v>26</v>
      </c>
      <c r="B6098">
        <v>1197831</v>
      </c>
      <c r="C6098" s="1">
        <v>44459</v>
      </c>
      <c r="D6098" t="s">
        <v>52</v>
      </c>
      <c r="E6098" t="s">
        <v>99</v>
      </c>
      <c r="F6098" t="s">
        <v>100</v>
      </c>
      <c r="G6098" t="s">
        <v>15</v>
      </c>
      <c r="H6098" t="s">
        <v>35</v>
      </c>
      <c r="I6098" s="3">
        <v>60</v>
      </c>
      <c r="J6098" s="2">
        <v>625</v>
      </c>
      <c r="K6098" s="3">
        <f t="shared" si="95"/>
        <v>37500</v>
      </c>
      <c r="L6098" s="3">
        <v>18750.000000000004</v>
      </c>
    </row>
    <row r="6099" spans="1:12" x14ac:dyDescent="0.25">
      <c r="A6099" t="s">
        <v>36</v>
      </c>
      <c r="B6099">
        <v>1185732</v>
      </c>
      <c r="C6099" s="1">
        <v>44459</v>
      </c>
      <c r="D6099" t="s">
        <v>12</v>
      </c>
      <c r="E6099" t="s">
        <v>24</v>
      </c>
      <c r="F6099" t="s">
        <v>25</v>
      </c>
      <c r="G6099" t="s">
        <v>41</v>
      </c>
      <c r="H6099" t="s">
        <v>35</v>
      </c>
      <c r="I6099" s="3">
        <v>50</v>
      </c>
      <c r="J6099" s="2">
        <v>59</v>
      </c>
      <c r="K6099" s="3">
        <f t="shared" si="95"/>
        <v>2950</v>
      </c>
      <c r="L6099" s="3">
        <v>1829</v>
      </c>
    </row>
    <row r="6100" spans="1:12" x14ac:dyDescent="0.25">
      <c r="A6100" t="s">
        <v>26</v>
      </c>
      <c r="B6100">
        <v>1197831</v>
      </c>
      <c r="C6100" s="1">
        <v>44459</v>
      </c>
      <c r="D6100" t="s">
        <v>52</v>
      </c>
      <c r="E6100" t="s">
        <v>53</v>
      </c>
      <c r="F6100" t="s">
        <v>54</v>
      </c>
      <c r="G6100" t="s">
        <v>15</v>
      </c>
      <c r="H6100" t="s">
        <v>22</v>
      </c>
      <c r="I6100" s="3">
        <v>39</v>
      </c>
      <c r="J6100" s="2">
        <v>184</v>
      </c>
      <c r="K6100" s="3">
        <f t="shared" si="95"/>
        <v>7176</v>
      </c>
      <c r="L6100" s="3">
        <v>4449.12</v>
      </c>
    </row>
    <row r="6101" spans="1:12" x14ac:dyDescent="0.25">
      <c r="A6101" t="s">
        <v>36</v>
      </c>
      <c r="B6101">
        <v>1185732</v>
      </c>
      <c r="C6101" s="1">
        <v>44459</v>
      </c>
      <c r="D6101" t="s">
        <v>12</v>
      </c>
      <c r="E6101" t="s">
        <v>24</v>
      </c>
      <c r="F6101" t="s">
        <v>25</v>
      </c>
      <c r="G6101" t="s">
        <v>41</v>
      </c>
      <c r="H6101" t="s">
        <v>37</v>
      </c>
      <c r="I6101" s="3">
        <v>50</v>
      </c>
      <c r="J6101" s="2">
        <v>56</v>
      </c>
      <c r="K6101" s="3">
        <f t="shared" si="95"/>
        <v>2800</v>
      </c>
      <c r="L6101" s="3">
        <v>1708</v>
      </c>
    </row>
    <row r="6102" spans="1:12" x14ac:dyDescent="0.25">
      <c r="A6102" t="s">
        <v>36</v>
      </c>
      <c r="B6102">
        <v>1185732</v>
      </c>
      <c r="C6102" s="1">
        <v>44459</v>
      </c>
      <c r="D6102" t="s">
        <v>12</v>
      </c>
      <c r="E6102" t="s">
        <v>24</v>
      </c>
      <c r="F6102" t="s">
        <v>25</v>
      </c>
      <c r="G6102" t="s">
        <v>41</v>
      </c>
      <c r="H6102" t="s">
        <v>22</v>
      </c>
      <c r="I6102" s="3">
        <v>62</v>
      </c>
      <c r="J6102" s="2">
        <v>60</v>
      </c>
      <c r="K6102" s="3">
        <f t="shared" si="95"/>
        <v>3720</v>
      </c>
      <c r="L6102" s="3">
        <v>2232</v>
      </c>
    </row>
    <row r="6103" spans="1:12" x14ac:dyDescent="0.25">
      <c r="A6103" t="s">
        <v>26</v>
      </c>
      <c r="B6103">
        <v>1185732</v>
      </c>
      <c r="C6103" s="1">
        <v>44459</v>
      </c>
      <c r="D6103" t="s">
        <v>29</v>
      </c>
      <c r="E6103" t="s">
        <v>87</v>
      </c>
      <c r="F6103" t="s">
        <v>88</v>
      </c>
      <c r="G6103" t="s">
        <v>41</v>
      </c>
      <c r="H6103" t="s">
        <v>16</v>
      </c>
      <c r="I6103" s="3">
        <v>54</v>
      </c>
      <c r="J6103" s="2">
        <v>50</v>
      </c>
      <c r="K6103" s="3">
        <f t="shared" si="95"/>
        <v>2700</v>
      </c>
      <c r="L6103" s="3">
        <v>1620</v>
      </c>
    </row>
    <row r="6104" spans="1:12" x14ac:dyDescent="0.25">
      <c r="A6104" t="s">
        <v>36</v>
      </c>
      <c r="B6104">
        <v>1185732</v>
      </c>
      <c r="C6104" s="1">
        <v>44459</v>
      </c>
      <c r="D6104" t="s">
        <v>12</v>
      </c>
      <c r="E6104" t="s">
        <v>24</v>
      </c>
      <c r="F6104" t="s">
        <v>25</v>
      </c>
      <c r="G6104" t="s">
        <v>41</v>
      </c>
      <c r="H6104" t="s">
        <v>16</v>
      </c>
      <c r="I6104" s="3">
        <v>64</v>
      </c>
      <c r="J6104" s="2">
        <v>84</v>
      </c>
      <c r="K6104" s="3">
        <f t="shared" si="95"/>
        <v>5376</v>
      </c>
      <c r="L6104" s="3">
        <v>3171.84</v>
      </c>
    </row>
    <row r="6105" spans="1:12" x14ac:dyDescent="0.25">
      <c r="A6105" t="s">
        <v>26</v>
      </c>
      <c r="B6105">
        <v>1185732</v>
      </c>
      <c r="C6105" s="1">
        <v>44459</v>
      </c>
      <c r="D6105" t="s">
        <v>29</v>
      </c>
      <c r="E6105" t="s">
        <v>87</v>
      </c>
      <c r="F6105" t="s">
        <v>88</v>
      </c>
      <c r="G6105" t="s">
        <v>41</v>
      </c>
      <c r="H6105" t="s">
        <v>22</v>
      </c>
      <c r="I6105" s="3">
        <v>48</v>
      </c>
      <c r="J6105" s="2">
        <v>30</v>
      </c>
      <c r="K6105" s="3">
        <f t="shared" si="95"/>
        <v>1440</v>
      </c>
      <c r="L6105" s="3">
        <v>820.8</v>
      </c>
    </row>
    <row r="6106" spans="1:12" x14ac:dyDescent="0.25">
      <c r="A6106" t="s">
        <v>26</v>
      </c>
      <c r="B6106">
        <v>1185732</v>
      </c>
      <c r="C6106" s="1">
        <v>44459</v>
      </c>
      <c r="D6106" t="s">
        <v>29</v>
      </c>
      <c r="E6106" t="s">
        <v>87</v>
      </c>
      <c r="F6106" t="s">
        <v>88</v>
      </c>
      <c r="G6106" t="s">
        <v>41</v>
      </c>
      <c r="H6106" t="s">
        <v>17</v>
      </c>
      <c r="I6106" s="3">
        <v>44</v>
      </c>
      <c r="J6106" s="2">
        <v>63</v>
      </c>
      <c r="K6106" s="3">
        <f t="shared" si="95"/>
        <v>2772</v>
      </c>
      <c r="L6106" s="3">
        <v>1524.6000000000001</v>
      </c>
    </row>
    <row r="6107" spans="1:12" x14ac:dyDescent="0.25">
      <c r="A6107" t="s">
        <v>26</v>
      </c>
      <c r="B6107">
        <v>1185732</v>
      </c>
      <c r="C6107" s="1">
        <v>44459</v>
      </c>
      <c r="D6107" t="s">
        <v>29</v>
      </c>
      <c r="E6107" t="s">
        <v>87</v>
      </c>
      <c r="F6107" t="s">
        <v>88</v>
      </c>
      <c r="G6107" t="s">
        <v>41</v>
      </c>
      <c r="H6107" t="s">
        <v>37</v>
      </c>
      <c r="I6107" s="3">
        <v>36</v>
      </c>
      <c r="J6107" s="2">
        <v>25</v>
      </c>
      <c r="K6107" s="3">
        <f t="shared" si="95"/>
        <v>900</v>
      </c>
      <c r="L6107" s="3">
        <v>495.00000000000006</v>
      </c>
    </row>
    <row r="6108" spans="1:12" x14ac:dyDescent="0.25">
      <c r="A6108" t="s">
        <v>26</v>
      </c>
      <c r="B6108">
        <v>1197831</v>
      </c>
      <c r="C6108" s="1">
        <v>44459</v>
      </c>
      <c r="D6108" t="s">
        <v>52</v>
      </c>
      <c r="E6108" t="s">
        <v>53</v>
      </c>
      <c r="F6108" t="s">
        <v>54</v>
      </c>
      <c r="G6108" t="s">
        <v>41</v>
      </c>
      <c r="H6108" t="s">
        <v>22</v>
      </c>
      <c r="I6108" s="3">
        <v>47</v>
      </c>
      <c r="J6108" s="2">
        <v>167</v>
      </c>
      <c r="K6108" s="3">
        <f t="shared" si="95"/>
        <v>7849</v>
      </c>
      <c r="L6108" s="3">
        <v>4238.4600000000009</v>
      </c>
    </row>
    <row r="6109" spans="1:12" x14ac:dyDescent="0.25">
      <c r="A6109" t="s">
        <v>36</v>
      </c>
      <c r="B6109">
        <v>1185732</v>
      </c>
      <c r="C6109" s="1">
        <v>44459</v>
      </c>
      <c r="D6109" t="s">
        <v>12</v>
      </c>
      <c r="E6109" t="s">
        <v>24</v>
      </c>
      <c r="F6109" t="s">
        <v>25</v>
      </c>
      <c r="G6109" t="s">
        <v>41</v>
      </c>
      <c r="H6109" t="s">
        <v>38</v>
      </c>
      <c r="I6109" s="3">
        <v>64</v>
      </c>
      <c r="J6109" s="2">
        <v>131</v>
      </c>
      <c r="K6109" s="3">
        <f t="shared" si="95"/>
        <v>8384</v>
      </c>
      <c r="L6109" s="3">
        <v>4359.68</v>
      </c>
    </row>
    <row r="6110" spans="1:12" x14ac:dyDescent="0.25">
      <c r="A6110" t="s">
        <v>36</v>
      </c>
      <c r="B6110">
        <v>1185732</v>
      </c>
      <c r="C6110" s="1">
        <v>44459</v>
      </c>
      <c r="D6110" t="s">
        <v>12</v>
      </c>
      <c r="E6110" t="s">
        <v>24</v>
      </c>
      <c r="F6110" t="s">
        <v>25</v>
      </c>
      <c r="G6110" t="s">
        <v>41</v>
      </c>
      <c r="H6110" t="s">
        <v>17</v>
      </c>
      <c r="I6110" s="3">
        <v>55</v>
      </c>
      <c r="J6110" s="2">
        <v>91</v>
      </c>
      <c r="K6110" s="3">
        <f t="shared" si="95"/>
        <v>5005</v>
      </c>
      <c r="L6110" s="3">
        <v>2602.6</v>
      </c>
    </row>
    <row r="6111" spans="1:12" x14ac:dyDescent="0.25">
      <c r="A6111" t="s">
        <v>26</v>
      </c>
      <c r="B6111">
        <v>1185732</v>
      </c>
      <c r="C6111" s="1">
        <v>44459</v>
      </c>
      <c r="D6111" t="s">
        <v>29</v>
      </c>
      <c r="E6111" t="s">
        <v>87</v>
      </c>
      <c r="F6111" t="s">
        <v>88</v>
      </c>
      <c r="G6111" t="s">
        <v>41</v>
      </c>
      <c r="H6111" t="s">
        <v>35</v>
      </c>
      <c r="I6111" s="3">
        <v>38</v>
      </c>
      <c r="J6111" s="2">
        <v>36</v>
      </c>
      <c r="K6111" s="3">
        <f t="shared" si="95"/>
        <v>1368</v>
      </c>
      <c r="L6111" s="3">
        <v>684</v>
      </c>
    </row>
    <row r="6112" spans="1:12" x14ac:dyDescent="0.25">
      <c r="A6112" t="s">
        <v>26</v>
      </c>
      <c r="B6112">
        <v>1185732</v>
      </c>
      <c r="C6112" s="1">
        <v>44459</v>
      </c>
      <c r="D6112" t="s">
        <v>29</v>
      </c>
      <c r="E6112" t="s">
        <v>87</v>
      </c>
      <c r="F6112" t="s">
        <v>88</v>
      </c>
      <c r="G6112" t="s">
        <v>41</v>
      </c>
      <c r="H6112" t="s">
        <v>38</v>
      </c>
      <c r="I6112" s="3">
        <v>49</v>
      </c>
      <c r="J6112" s="2">
        <v>128</v>
      </c>
      <c r="K6112" s="3">
        <f t="shared" si="95"/>
        <v>6272</v>
      </c>
      <c r="L6112" s="3">
        <v>3073.2799999999997</v>
      </c>
    </row>
    <row r="6113" spans="1:12" x14ac:dyDescent="0.25">
      <c r="A6113" t="s">
        <v>26</v>
      </c>
      <c r="B6113">
        <v>1197831</v>
      </c>
      <c r="C6113" s="1">
        <v>44459</v>
      </c>
      <c r="D6113" t="s">
        <v>52</v>
      </c>
      <c r="E6113" t="s">
        <v>99</v>
      </c>
      <c r="F6113" t="s">
        <v>100</v>
      </c>
      <c r="G6113" t="s">
        <v>15</v>
      </c>
      <c r="H6113" t="s">
        <v>35</v>
      </c>
      <c r="I6113" s="3">
        <v>47</v>
      </c>
      <c r="J6113" s="2">
        <v>213</v>
      </c>
      <c r="K6113" s="3">
        <f t="shared" si="95"/>
        <v>10011</v>
      </c>
      <c r="L6113" s="3">
        <v>4404.84</v>
      </c>
    </row>
    <row r="6114" spans="1:12" x14ac:dyDescent="0.25">
      <c r="A6114" t="s">
        <v>26</v>
      </c>
      <c r="B6114">
        <v>1197831</v>
      </c>
      <c r="C6114" s="1">
        <v>44459</v>
      </c>
      <c r="D6114" t="s">
        <v>52</v>
      </c>
      <c r="E6114" t="s">
        <v>99</v>
      </c>
      <c r="F6114" t="s">
        <v>100</v>
      </c>
      <c r="G6114" t="s">
        <v>41</v>
      </c>
      <c r="H6114" t="s">
        <v>35</v>
      </c>
      <c r="I6114" s="3">
        <v>59</v>
      </c>
      <c r="J6114" s="2">
        <v>188</v>
      </c>
      <c r="K6114" s="3">
        <f t="shared" si="95"/>
        <v>11092</v>
      </c>
      <c r="L6114" s="3">
        <v>4104.0400000000009</v>
      </c>
    </row>
    <row r="6115" spans="1:12" x14ac:dyDescent="0.25">
      <c r="A6115" t="s">
        <v>26</v>
      </c>
      <c r="B6115">
        <v>1197831</v>
      </c>
      <c r="C6115" s="1">
        <v>44460</v>
      </c>
      <c r="D6115" t="s">
        <v>52</v>
      </c>
      <c r="E6115" t="s">
        <v>53</v>
      </c>
      <c r="F6115" t="s">
        <v>54</v>
      </c>
      <c r="G6115" t="s">
        <v>15</v>
      </c>
      <c r="H6115" t="s">
        <v>16</v>
      </c>
      <c r="I6115" s="3">
        <v>60</v>
      </c>
      <c r="J6115" s="2">
        <v>850</v>
      </c>
      <c r="K6115" s="3">
        <f t="shared" si="95"/>
        <v>51000</v>
      </c>
      <c r="L6115" s="3">
        <v>22950</v>
      </c>
    </row>
    <row r="6116" spans="1:12" x14ac:dyDescent="0.25">
      <c r="A6116" t="s">
        <v>26</v>
      </c>
      <c r="B6116">
        <v>1197831</v>
      </c>
      <c r="C6116" s="1">
        <v>44460</v>
      </c>
      <c r="D6116" t="s">
        <v>52</v>
      </c>
      <c r="E6116" t="s">
        <v>99</v>
      </c>
      <c r="F6116" t="s">
        <v>100</v>
      </c>
      <c r="G6116" t="s">
        <v>15</v>
      </c>
      <c r="H6116" t="s">
        <v>37</v>
      </c>
      <c r="I6116" s="3">
        <v>60</v>
      </c>
      <c r="J6116" s="2">
        <v>350</v>
      </c>
      <c r="K6116" s="3">
        <f t="shared" si="95"/>
        <v>21000</v>
      </c>
      <c r="L6116" s="3">
        <v>8399.9999999999982</v>
      </c>
    </row>
    <row r="6117" spans="1:12" x14ac:dyDescent="0.25">
      <c r="A6117" t="s">
        <v>26</v>
      </c>
      <c r="B6117">
        <v>1197831</v>
      </c>
      <c r="C6117" s="1">
        <v>44460</v>
      </c>
      <c r="D6117" t="s">
        <v>52</v>
      </c>
      <c r="E6117" t="s">
        <v>53</v>
      </c>
      <c r="F6117" t="s">
        <v>54</v>
      </c>
      <c r="G6117" t="s">
        <v>15</v>
      </c>
      <c r="H6117" t="s">
        <v>16</v>
      </c>
      <c r="I6117" s="3">
        <v>47</v>
      </c>
      <c r="J6117" s="2">
        <v>272</v>
      </c>
      <c r="K6117" s="3">
        <f t="shared" si="95"/>
        <v>12784</v>
      </c>
      <c r="L6117" s="3">
        <v>5497.119999999999</v>
      </c>
    </row>
    <row r="6118" spans="1:12" x14ac:dyDescent="0.25">
      <c r="A6118" t="s">
        <v>26</v>
      </c>
      <c r="B6118">
        <v>1197831</v>
      </c>
      <c r="C6118" s="1">
        <v>44460</v>
      </c>
      <c r="D6118" t="s">
        <v>52</v>
      </c>
      <c r="E6118" t="s">
        <v>99</v>
      </c>
      <c r="F6118" t="s">
        <v>100</v>
      </c>
      <c r="G6118" t="s">
        <v>15</v>
      </c>
      <c r="H6118" t="s">
        <v>37</v>
      </c>
      <c r="I6118" s="3">
        <v>44</v>
      </c>
      <c r="J6118" s="2">
        <v>105</v>
      </c>
      <c r="K6118" s="3">
        <f t="shared" si="95"/>
        <v>4620</v>
      </c>
      <c r="L6118" s="3">
        <v>1570.7999999999993</v>
      </c>
    </row>
    <row r="6119" spans="1:12" x14ac:dyDescent="0.25">
      <c r="A6119" t="s">
        <v>26</v>
      </c>
      <c r="B6119">
        <v>1197831</v>
      </c>
      <c r="C6119" s="1">
        <v>44460</v>
      </c>
      <c r="D6119" t="s">
        <v>52</v>
      </c>
      <c r="E6119" t="s">
        <v>53</v>
      </c>
      <c r="F6119" t="s">
        <v>54</v>
      </c>
      <c r="G6119" t="s">
        <v>41</v>
      </c>
      <c r="H6119" t="s">
        <v>16</v>
      </c>
      <c r="I6119" s="3">
        <v>54</v>
      </c>
      <c r="J6119" s="2">
        <v>255</v>
      </c>
      <c r="K6119" s="3">
        <f t="shared" si="95"/>
        <v>13770</v>
      </c>
      <c r="L6119" s="3">
        <v>4544.0999999999985</v>
      </c>
    </row>
    <row r="6120" spans="1:12" x14ac:dyDescent="0.25">
      <c r="A6120" t="s">
        <v>26</v>
      </c>
      <c r="B6120">
        <v>1197831</v>
      </c>
      <c r="C6120" s="1">
        <v>44460</v>
      </c>
      <c r="D6120" t="s">
        <v>52</v>
      </c>
      <c r="E6120" t="s">
        <v>99</v>
      </c>
      <c r="F6120" t="s">
        <v>100</v>
      </c>
      <c r="G6120" t="s">
        <v>41</v>
      </c>
      <c r="H6120" t="s">
        <v>37</v>
      </c>
      <c r="I6120" s="3">
        <v>58</v>
      </c>
      <c r="J6120" s="2">
        <v>95</v>
      </c>
      <c r="K6120" s="3">
        <f t="shared" si="95"/>
        <v>5510</v>
      </c>
      <c r="L6120" s="3">
        <v>1597.8999999999996</v>
      </c>
    </row>
    <row r="6121" spans="1:12" x14ac:dyDescent="0.25">
      <c r="A6121" t="s">
        <v>26</v>
      </c>
      <c r="B6121">
        <v>1197831</v>
      </c>
      <c r="C6121" s="1">
        <v>44461</v>
      </c>
      <c r="D6121" t="s">
        <v>52</v>
      </c>
      <c r="E6121" t="s">
        <v>53</v>
      </c>
      <c r="F6121" t="s">
        <v>54</v>
      </c>
      <c r="G6121" t="s">
        <v>15</v>
      </c>
      <c r="H6121" t="s">
        <v>38</v>
      </c>
      <c r="I6121" s="3">
        <v>50</v>
      </c>
      <c r="J6121" s="2">
        <v>800</v>
      </c>
      <c r="K6121" s="3">
        <f t="shared" si="95"/>
        <v>40000</v>
      </c>
      <c r="L6121" s="3">
        <v>24000</v>
      </c>
    </row>
    <row r="6122" spans="1:12" x14ac:dyDescent="0.25">
      <c r="A6122" t="s">
        <v>26</v>
      </c>
      <c r="B6122">
        <v>1197831</v>
      </c>
      <c r="C6122" s="1">
        <v>44461</v>
      </c>
      <c r="D6122" t="s">
        <v>52</v>
      </c>
      <c r="E6122" t="s">
        <v>99</v>
      </c>
      <c r="F6122" t="s">
        <v>100</v>
      </c>
      <c r="G6122" t="s">
        <v>15</v>
      </c>
      <c r="H6122" t="s">
        <v>22</v>
      </c>
      <c r="I6122" s="3">
        <v>45</v>
      </c>
      <c r="J6122" s="2">
        <v>350</v>
      </c>
      <c r="K6122" s="3">
        <f t="shared" si="95"/>
        <v>15750</v>
      </c>
      <c r="L6122" s="3">
        <v>8662.5</v>
      </c>
    </row>
    <row r="6123" spans="1:12" x14ac:dyDescent="0.25">
      <c r="A6123" t="s">
        <v>26</v>
      </c>
      <c r="B6123">
        <v>1197831</v>
      </c>
      <c r="C6123" s="1">
        <v>44461</v>
      </c>
      <c r="D6123" t="s">
        <v>52</v>
      </c>
      <c r="E6123" t="s">
        <v>53</v>
      </c>
      <c r="F6123" t="s">
        <v>54</v>
      </c>
      <c r="G6123" t="s">
        <v>15</v>
      </c>
      <c r="H6123" t="s">
        <v>38</v>
      </c>
      <c r="I6123" s="3">
        <v>34</v>
      </c>
      <c r="J6123" s="2">
        <v>248</v>
      </c>
      <c r="K6123" s="3">
        <f t="shared" si="95"/>
        <v>8432</v>
      </c>
      <c r="L6123" s="3">
        <v>4806.2400000000007</v>
      </c>
    </row>
    <row r="6124" spans="1:12" x14ac:dyDescent="0.25">
      <c r="A6124" t="s">
        <v>26</v>
      </c>
      <c r="B6124">
        <v>1197831</v>
      </c>
      <c r="C6124" s="1">
        <v>44461</v>
      </c>
      <c r="D6124" t="s">
        <v>52</v>
      </c>
      <c r="E6124" t="s">
        <v>99</v>
      </c>
      <c r="F6124" t="s">
        <v>100</v>
      </c>
      <c r="G6124" t="s">
        <v>15</v>
      </c>
      <c r="H6124" t="s">
        <v>22</v>
      </c>
      <c r="I6124" s="3">
        <v>35</v>
      </c>
      <c r="J6124" s="2">
        <v>116</v>
      </c>
      <c r="K6124" s="3">
        <f t="shared" si="95"/>
        <v>4060</v>
      </c>
      <c r="L6124" s="3">
        <v>2111.1999999999998</v>
      </c>
    </row>
    <row r="6125" spans="1:12" x14ac:dyDescent="0.25">
      <c r="A6125" t="s">
        <v>26</v>
      </c>
      <c r="B6125">
        <v>1197831</v>
      </c>
      <c r="C6125" s="1">
        <v>44461</v>
      </c>
      <c r="D6125" t="s">
        <v>52</v>
      </c>
      <c r="E6125" t="s">
        <v>53</v>
      </c>
      <c r="F6125" t="s">
        <v>54</v>
      </c>
      <c r="G6125" t="s">
        <v>41</v>
      </c>
      <c r="H6125" t="s">
        <v>38</v>
      </c>
      <c r="I6125" s="3">
        <v>49</v>
      </c>
      <c r="J6125" s="2">
        <v>208</v>
      </c>
      <c r="K6125" s="3">
        <f t="shared" si="95"/>
        <v>10192</v>
      </c>
      <c r="L6125" s="3">
        <v>4994.08</v>
      </c>
    </row>
    <row r="6126" spans="1:12" x14ac:dyDescent="0.25">
      <c r="A6126" t="s">
        <v>26</v>
      </c>
      <c r="B6126">
        <v>1197831</v>
      </c>
      <c r="C6126" s="1">
        <v>44461</v>
      </c>
      <c r="D6126" t="s">
        <v>52</v>
      </c>
      <c r="E6126" t="s">
        <v>99</v>
      </c>
      <c r="F6126" t="s">
        <v>100</v>
      </c>
      <c r="G6126" t="s">
        <v>41</v>
      </c>
      <c r="H6126" t="s">
        <v>22</v>
      </c>
      <c r="I6126" s="3">
        <v>41</v>
      </c>
      <c r="J6126" s="2">
        <v>88</v>
      </c>
      <c r="K6126" s="3">
        <f t="shared" si="95"/>
        <v>3608</v>
      </c>
      <c r="L6126" s="3">
        <v>1551.44</v>
      </c>
    </row>
    <row r="6127" spans="1:12" x14ac:dyDescent="0.25">
      <c r="A6127" t="s">
        <v>36</v>
      </c>
      <c r="B6127">
        <v>1185732</v>
      </c>
      <c r="C6127" s="1">
        <v>44462</v>
      </c>
      <c r="D6127" t="s">
        <v>32</v>
      </c>
      <c r="E6127" t="s">
        <v>120</v>
      </c>
      <c r="F6127" t="s">
        <v>121</v>
      </c>
      <c r="G6127" t="s">
        <v>41</v>
      </c>
      <c r="H6127" t="s">
        <v>17</v>
      </c>
      <c r="I6127" s="3">
        <v>45.000000000000007</v>
      </c>
      <c r="J6127" s="2">
        <v>325</v>
      </c>
      <c r="K6127" s="3">
        <f t="shared" si="95"/>
        <v>14625.000000000002</v>
      </c>
      <c r="L6127" s="3">
        <v>9506.2500000000036</v>
      </c>
    </row>
    <row r="6128" spans="1:12" x14ac:dyDescent="0.25">
      <c r="A6128" t="s">
        <v>36</v>
      </c>
      <c r="B6128">
        <v>1185732</v>
      </c>
      <c r="C6128" s="1">
        <v>44462</v>
      </c>
      <c r="D6128" t="s">
        <v>32</v>
      </c>
      <c r="E6128" t="s">
        <v>120</v>
      </c>
      <c r="F6128" t="s">
        <v>121</v>
      </c>
      <c r="G6128" t="s">
        <v>41</v>
      </c>
      <c r="H6128" t="s">
        <v>22</v>
      </c>
      <c r="I6128" s="3">
        <v>45</v>
      </c>
      <c r="J6128" s="2">
        <v>200</v>
      </c>
      <c r="K6128" s="3">
        <f t="shared" si="95"/>
        <v>9000</v>
      </c>
      <c r="L6128" s="3">
        <v>5850</v>
      </c>
    </row>
    <row r="6129" spans="1:12" x14ac:dyDescent="0.25">
      <c r="A6129" t="s">
        <v>26</v>
      </c>
      <c r="B6129">
        <v>1197831</v>
      </c>
      <c r="C6129" s="1">
        <v>44462</v>
      </c>
      <c r="D6129" t="s">
        <v>52</v>
      </c>
      <c r="E6129" t="s">
        <v>53</v>
      </c>
      <c r="F6129" t="s">
        <v>54</v>
      </c>
      <c r="G6129" t="s">
        <v>15</v>
      </c>
      <c r="H6129" t="s">
        <v>17</v>
      </c>
      <c r="I6129" s="3">
        <v>55.000000000000007</v>
      </c>
      <c r="J6129" s="2">
        <v>800</v>
      </c>
      <c r="K6129" s="3">
        <f t="shared" si="95"/>
        <v>44000.000000000007</v>
      </c>
      <c r="L6129" s="3">
        <v>26400.000000000007</v>
      </c>
    </row>
    <row r="6130" spans="1:12" x14ac:dyDescent="0.25">
      <c r="A6130" t="s">
        <v>36</v>
      </c>
      <c r="B6130">
        <v>1185732</v>
      </c>
      <c r="C6130" s="1">
        <v>44462</v>
      </c>
      <c r="D6130" t="s">
        <v>32</v>
      </c>
      <c r="E6130" t="s">
        <v>120</v>
      </c>
      <c r="F6130" t="s">
        <v>121</v>
      </c>
      <c r="G6130" t="s">
        <v>41</v>
      </c>
      <c r="H6130" t="s">
        <v>38</v>
      </c>
      <c r="I6130" s="3">
        <v>50</v>
      </c>
      <c r="J6130" s="2">
        <v>525</v>
      </c>
      <c r="K6130" s="3">
        <f t="shared" si="95"/>
        <v>26250</v>
      </c>
      <c r="L6130" s="3">
        <v>15750</v>
      </c>
    </row>
    <row r="6131" spans="1:12" x14ac:dyDescent="0.25">
      <c r="A6131" t="s">
        <v>36</v>
      </c>
      <c r="B6131">
        <v>1185732</v>
      </c>
      <c r="C6131" s="1">
        <v>44462</v>
      </c>
      <c r="D6131" t="s">
        <v>32</v>
      </c>
      <c r="E6131" t="s">
        <v>120</v>
      </c>
      <c r="F6131" t="s">
        <v>121</v>
      </c>
      <c r="G6131" t="s">
        <v>41</v>
      </c>
      <c r="H6131" t="s">
        <v>35</v>
      </c>
      <c r="I6131" s="3">
        <v>35</v>
      </c>
      <c r="J6131" s="2">
        <v>225</v>
      </c>
      <c r="K6131" s="3">
        <f t="shared" si="95"/>
        <v>7875</v>
      </c>
      <c r="L6131" s="3">
        <v>4725</v>
      </c>
    </row>
    <row r="6132" spans="1:12" x14ac:dyDescent="0.25">
      <c r="A6132" t="s">
        <v>36</v>
      </c>
      <c r="B6132">
        <v>1185732</v>
      </c>
      <c r="C6132" s="1">
        <v>44462</v>
      </c>
      <c r="D6132" t="s">
        <v>32</v>
      </c>
      <c r="E6132" t="s">
        <v>120</v>
      </c>
      <c r="F6132" t="s">
        <v>121</v>
      </c>
      <c r="G6132" t="s">
        <v>41</v>
      </c>
      <c r="H6132" t="s">
        <v>37</v>
      </c>
      <c r="I6132" s="3">
        <v>35</v>
      </c>
      <c r="J6132" s="2">
        <v>200</v>
      </c>
      <c r="K6132" s="3">
        <f t="shared" si="95"/>
        <v>7000</v>
      </c>
      <c r="L6132" s="3">
        <v>4200</v>
      </c>
    </row>
    <row r="6133" spans="1:12" x14ac:dyDescent="0.25">
      <c r="A6133" t="s">
        <v>36</v>
      </c>
      <c r="B6133">
        <v>1185732</v>
      </c>
      <c r="C6133" s="1">
        <v>44462</v>
      </c>
      <c r="D6133" t="s">
        <v>32</v>
      </c>
      <c r="E6133" t="s">
        <v>120</v>
      </c>
      <c r="F6133" t="s">
        <v>121</v>
      </c>
      <c r="G6133" t="s">
        <v>41</v>
      </c>
      <c r="H6133" t="s">
        <v>16</v>
      </c>
      <c r="I6133" s="3">
        <v>50</v>
      </c>
      <c r="J6133" s="2">
        <v>275</v>
      </c>
      <c r="K6133" s="3">
        <f t="shared" si="95"/>
        <v>13750</v>
      </c>
      <c r="L6133" s="3">
        <v>8250</v>
      </c>
    </row>
    <row r="6134" spans="1:12" x14ac:dyDescent="0.25">
      <c r="A6134" t="s">
        <v>26</v>
      </c>
      <c r="B6134">
        <v>1197831</v>
      </c>
      <c r="C6134" s="1">
        <v>44462</v>
      </c>
      <c r="D6134" t="s">
        <v>52</v>
      </c>
      <c r="E6134" t="s">
        <v>99</v>
      </c>
      <c r="F6134" t="s">
        <v>100</v>
      </c>
      <c r="G6134" t="s">
        <v>15</v>
      </c>
      <c r="H6134" t="s">
        <v>16</v>
      </c>
      <c r="I6134" s="3">
        <v>40</v>
      </c>
      <c r="J6134" s="2">
        <v>575</v>
      </c>
      <c r="K6134" s="3">
        <f t="shared" si="95"/>
        <v>23000</v>
      </c>
      <c r="L6134" s="3">
        <v>8049.9999999999973</v>
      </c>
    </row>
    <row r="6135" spans="1:12" x14ac:dyDescent="0.25">
      <c r="A6135" t="s">
        <v>26</v>
      </c>
      <c r="B6135">
        <v>1197831</v>
      </c>
      <c r="C6135" s="1">
        <v>44462</v>
      </c>
      <c r="D6135" t="s">
        <v>52</v>
      </c>
      <c r="E6135" t="s">
        <v>53</v>
      </c>
      <c r="F6135" t="s">
        <v>54</v>
      </c>
      <c r="G6135" t="s">
        <v>15</v>
      </c>
      <c r="H6135" t="s">
        <v>17</v>
      </c>
      <c r="I6135" s="3">
        <v>43</v>
      </c>
      <c r="J6135" s="2">
        <v>256</v>
      </c>
      <c r="K6135" s="3">
        <f t="shared" si="95"/>
        <v>11008</v>
      </c>
      <c r="L6135" s="3">
        <v>5944.3200000000006</v>
      </c>
    </row>
    <row r="6136" spans="1:12" x14ac:dyDescent="0.25">
      <c r="A6136" t="s">
        <v>36</v>
      </c>
      <c r="B6136">
        <v>1185732</v>
      </c>
      <c r="C6136" s="1">
        <v>44462</v>
      </c>
      <c r="D6136" t="s">
        <v>32</v>
      </c>
      <c r="E6136" t="s">
        <v>120</v>
      </c>
      <c r="F6136" t="s">
        <v>121</v>
      </c>
      <c r="G6136" t="s">
        <v>41</v>
      </c>
      <c r="H6136" t="s">
        <v>22</v>
      </c>
      <c r="I6136" s="3">
        <v>43</v>
      </c>
      <c r="J6136" s="2">
        <v>58</v>
      </c>
      <c r="K6136" s="3">
        <f t="shared" si="95"/>
        <v>2494</v>
      </c>
      <c r="L6136" s="3">
        <v>1321.8200000000002</v>
      </c>
    </row>
    <row r="6137" spans="1:12" x14ac:dyDescent="0.25">
      <c r="A6137" t="s">
        <v>36</v>
      </c>
      <c r="B6137">
        <v>1185732</v>
      </c>
      <c r="C6137" s="1">
        <v>44462</v>
      </c>
      <c r="D6137" t="s">
        <v>32</v>
      </c>
      <c r="E6137" t="s">
        <v>120</v>
      </c>
      <c r="F6137" t="s">
        <v>121</v>
      </c>
      <c r="G6137" t="s">
        <v>41</v>
      </c>
      <c r="H6137" t="s">
        <v>17</v>
      </c>
      <c r="I6137" s="3">
        <v>44</v>
      </c>
      <c r="J6137" s="2">
        <v>94</v>
      </c>
      <c r="K6137" s="3">
        <f t="shared" si="95"/>
        <v>4136</v>
      </c>
      <c r="L6137" s="3">
        <v>2109.36</v>
      </c>
    </row>
    <row r="6138" spans="1:12" x14ac:dyDescent="0.25">
      <c r="A6138" t="s">
        <v>26</v>
      </c>
      <c r="B6138">
        <v>1197831</v>
      </c>
      <c r="C6138" s="1">
        <v>44462</v>
      </c>
      <c r="D6138" t="s">
        <v>52</v>
      </c>
      <c r="E6138" t="s">
        <v>53</v>
      </c>
      <c r="F6138" t="s">
        <v>54</v>
      </c>
      <c r="G6138" t="s">
        <v>41</v>
      </c>
      <c r="H6138" t="s">
        <v>17</v>
      </c>
      <c r="I6138" s="3">
        <v>53</v>
      </c>
      <c r="J6138" s="2">
        <v>208</v>
      </c>
      <c r="K6138" s="3">
        <f t="shared" si="95"/>
        <v>11024</v>
      </c>
      <c r="L6138" s="3">
        <v>5512</v>
      </c>
    </row>
    <row r="6139" spans="1:12" x14ac:dyDescent="0.25">
      <c r="A6139" t="s">
        <v>36</v>
      </c>
      <c r="B6139">
        <v>1185732</v>
      </c>
      <c r="C6139" s="1">
        <v>44462</v>
      </c>
      <c r="D6139" t="s">
        <v>32</v>
      </c>
      <c r="E6139" t="s">
        <v>120</v>
      </c>
      <c r="F6139" t="s">
        <v>121</v>
      </c>
      <c r="G6139" t="s">
        <v>41</v>
      </c>
      <c r="H6139" t="s">
        <v>37</v>
      </c>
      <c r="I6139" s="3">
        <v>32</v>
      </c>
      <c r="J6139" s="2">
        <v>54</v>
      </c>
      <c r="K6139" s="3">
        <f t="shared" si="95"/>
        <v>1728</v>
      </c>
      <c r="L6139" s="3">
        <v>846.72</v>
      </c>
    </row>
    <row r="6140" spans="1:12" x14ac:dyDescent="0.25">
      <c r="A6140" t="s">
        <v>36</v>
      </c>
      <c r="B6140">
        <v>1185732</v>
      </c>
      <c r="C6140" s="1">
        <v>44462</v>
      </c>
      <c r="D6140" t="s">
        <v>32</v>
      </c>
      <c r="E6140" t="s">
        <v>120</v>
      </c>
      <c r="F6140" t="s">
        <v>121</v>
      </c>
      <c r="G6140" t="s">
        <v>41</v>
      </c>
      <c r="H6140" t="s">
        <v>16</v>
      </c>
      <c r="I6140" s="3">
        <v>49</v>
      </c>
      <c r="J6140" s="2">
        <v>74</v>
      </c>
      <c r="K6140" s="3">
        <f t="shared" si="95"/>
        <v>3626</v>
      </c>
      <c r="L6140" s="3">
        <v>1740.48</v>
      </c>
    </row>
    <row r="6141" spans="1:12" x14ac:dyDescent="0.25">
      <c r="A6141" t="s">
        <v>36</v>
      </c>
      <c r="B6141">
        <v>1185732</v>
      </c>
      <c r="C6141" s="1">
        <v>44462</v>
      </c>
      <c r="D6141" t="s">
        <v>32</v>
      </c>
      <c r="E6141" t="s">
        <v>120</v>
      </c>
      <c r="F6141" t="s">
        <v>121</v>
      </c>
      <c r="G6141" t="s">
        <v>41</v>
      </c>
      <c r="H6141" t="s">
        <v>38</v>
      </c>
      <c r="I6141" s="3">
        <v>48</v>
      </c>
      <c r="J6141" s="2">
        <v>137</v>
      </c>
      <c r="K6141" s="3">
        <f t="shared" si="95"/>
        <v>6576</v>
      </c>
      <c r="L6141" s="3">
        <v>3090.72</v>
      </c>
    </row>
    <row r="6142" spans="1:12" x14ac:dyDescent="0.25">
      <c r="A6142" t="s">
        <v>36</v>
      </c>
      <c r="B6142">
        <v>1185732</v>
      </c>
      <c r="C6142" s="1">
        <v>44462</v>
      </c>
      <c r="D6142" t="s">
        <v>32</v>
      </c>
      <c r="E6142" t="s">
        <v>120</v>
      </c>
      <c r="F6142" t="s">
        <v>121</v>
      </c>
      <c r="G6142" t="s">
        <v>41</v>
      </c>
      <c r="H6142" t="s">
        <v>35</v>
      </c>
      <c r="I6142" s="3">
        <v>33</v>
      </c>
      <c r="J6142" s="2">
        <v>65</v>
      </c>
      <c r="K6142" s="3">
        <f t="shared" si="95"/>
        <v>2145</v>
      </c>
      <c r="L6142" s="3">
        <v>1008.1499999999999</v>
      </c>
    </row>
    <row r="6143" spans="1:12" x14ac:dyDescent="0.25">
      <c r="A6143" t="s">
        <v>26</v>
      </c>
      <c r="B6143">
        <v>1197831</v>
      </c>
      <c r="C6143" s="1">
        <v>44462</v>
      </c>
      <c r="D6143" t="s">
        <v>52</v>
      </c>
      <c r="E6143" t="s">
        <v>99</v>
      </c>
      <c r="F6143" t="s">
        <v>100</v>
      </c>
      <c r="G6143" t="s">
        <v>15</v>
      </c>
      <c r="H6143" t="s">
        <v>16</v>
      </c>
      <c r="I6143" s="3">
        <v>26</v>
      </c>
      <c r="J6143" s="2">
        <v>190</v>
      </c>
      <c r="K6143" s="3">
        <f t="shared" si="95"/>
        <v>4940</v>
      </c>
      <c r="L6143" s="3">
        <v>1383.1999999999989</v>
      </c>
    </row>
    <row r="6144" spans="1:12" x14ac:dyDescent="0.25">
      <c r="A6144" t="s">
        <v>26</v>
      </c>
      <c r="B6144">
        <v>1197831</v>
      </c>
      <c r="C6144" s="1">
        <v>44462</v>
      </c>
      <c r="D6144" t="s">
        <v>52</v>
      </c>
      <c r="E6144" t="s">
        <v>99</v>
      </c>
      <c r="F6144" t="s">
        <v>100</v>
      </c>
      <c r="G6144" t="s">
        <v>41</v>
      </c>
      <c r="H6144" t="s">
        <v>16</v>
      </c>
      <c r="I6144" s="3">
        <v>37</v>
      </c>
      <c r="J6144" s="2">
        <v>150</v>
      </c>
      <c r="K6144" s="3">
        <f t="shared" si="95"/>
        <v>5550</v>
      </c>
      <c r="L6144" s="3">
        <v>1276.4999999999991</v>
      </c>
    </row>
    <row r="6145" spans="1:12" x14ac:dyDescent="0.25">
      <c r="A6145" t="s">
        <v>19</v>
      </c>
      <c r="B6145">
        <v>1128299</v>
      </c>
      <c r="C6145" s="1">
        <v>44463</v>
      </c>
      <c r="D6145" t="s">
        <v>12</v>
      </c>
      <c r="E6145" t="s">
        <v>39</v>
      </c>
      <c r="F6145" t="s">
        <v>40</v>
      </c>
      <c r="G6145" t="s">
        <v>41</v>
      </c>
      <c r="H6145" t="s">
        <v>16</v>
      </c>
      <c r="I6145" s="3">
        <v>60.000000000000007</v>
      </c>
      <c r="J6145" s="2">
        <v>425</v>
      </c>
      <c r="K6145" s="3">
        <f t="shared" si="95"/>
        <v>25500.000000000004</v>
      </c>
      <c r="L6145" s="3">
        <v>19125.000000000004</v>
      </c>
    </row>
    <row r="6146" spans="1:12" x14ac:dyDescent="0.25">
      <c r="A6146" t="s">
        <v>19</v>
      </c>
      <c r="B6146">
        <v>1128299</v>
      </c>
      <c r="C6146" s="1">
        <v>44463</v>
      </c>
      <c r="D6146" t="s">
        <v>12</v>
      </c>
      <c r="E6146" t="s">
        <v>39</v>
      </c>
      <c r="F6146" t="s">
        <v>40</v>
      </c>
      <c r="G6146" t="s">
        <v>41</v>
      </c>
      <c r="H6146" t="s">
        <v>22</v>
      </c>
      <c r="I6146" s="3">
        <v>55.000000000000007</v>
      </c>
      <c r="J6146" s="2">
        <v>375</v>
      </c>
      <c r="K6146" s="3">
        <f t="shared" si="95"/>
        <v>20625.000000000004</v>
      </c>
      <c r="L6146" s="3">
        <v>14437.500000000004</v>
      </c>
    </row>
    <row r="6147" spans="1:12" x14ac:dyDescent="0.25">
      <c r="A6147" t="s">
        <v>19</v>
      </c>
      <c r="B6147">
        <v>1128299</v>
      </c>
      <c r="C6147" s="1">
        <v>44463</v>
      </c>
      <c r="D6147" t="s">
        <v>12</v>
      </c>
      <c r="E6147" t="s">
        <v>39</v>
      </c>
      <c r="F6147" t="s">
        <v>40</v>
      </c>
      <c r="G6147" t="s">
        <v>41</v>
      </c>
      <c r="H6147" t="s">
        <v>35</v>
      </c>
      <c r="I6147" s="3">
        <v>45.000000000000007</v>
      </c>
      <c r="J6147" s="2">
        <v>425</v>
      </c>
      <c r="K6147" s="3">
        <f t="shared" ref="K6147:K6210" si="96">I6147*J6147</f>
        <v>19125.000000000004</v>
      </c>
      <c r="L6147" s="3">
        <v>12431.250000000004</v>
      </c>
    </row>
    <row r="6148" spans="1:12" x14ac:dyDescent="0.25">
      <c r="A6148" t="s">
        <v>19</v>
      </c>
      <c r="B6148">
        <v>1128299</v>
      </c>
      <c r="C6148" s="1">
        <v>44463</v>
      </c>
      <c r="D6148" t="s">
        <v>12</v>
      </c>
      <c r="E6148" t="s">
        <v>39</v>
      </c>
      <c r="F6148" t="s">
        <v>40</v>
      </c>
      <c r="G6148" t="s">
        <v>41</v>
      </c>
      <c r="H6148" t="s">
        <v>37</v>
      </c>
      <c r="I6148" s="3">
        <v>45.000000000000007</v>
      </c>
      <c r="J6148" s="2">
        <v>375</v>
      </c>
      <c r="K6148" s="3">
        <f t="shared" si="96"/>
        <v>16875.000000000004</v>
      </c>
      <c r="L6148" s="3">
        <v>10968.750000000004</v>
      </c>
    </row>
    <row r="6149" spans="1:12" x14ac:dyDescent="0.25">
      <c r="A6149" t="s">
        <v>19</v>
      </c>
      <c r="B6149">
        <v>1128299</v>
      </c>
      <c r="C6149" s="1">
        <v>44463</v>
      </c>
      <c r="D6149" t="s">
        <v>12</v>
      </c>
      <c r="E6149" t="s">
        <v>39</v>
      </c>
      <c r="F6149" t="s">
        <v>40</v>
      </c>
      <c r="G6149" t="s">
        <v>41</v>
      </c>
      <c r="H6149" t="s">
        <v>38</v>
      </c>
      <c r="I6149" s="3">
        <v>45.000000000000007</v>
      </c>
      <c r="J6149" s="2">
        <v>575</v>
      </c>
      <c r="K6149" s="3">
        <f t="shared" si="96"/>
        <v>25875.000000000004</v>
      </c>
      <c r="L6149" s="3">
        <v>16818.750000000004</v>
      </c>
    </row>
    <row r="6150" spans="1:12" x14ac:dyDescent="0.25">
      <c r="A6150" t="s">
        <v>26</v>
      </c>
      <c r="B6150">
        <v>1197831</v>
      </c>
      <c r="C6150" s="1">
        <v>44463</v>
      </c>
      <c r="D6150" t="s">
        <v>52</v>
      </c>
      <c r="E6150" t="s">
        <v>53</v>
      </c>
      <c r="F6150" t="s">
        <v>54</v>
      </c>
      <c r="G6150" t="s">
        <v>15</v>
      </c>
      <c r="H6150" t="s">
        <v>35</v>
      </c>
      <c r="I6150" s="3">
        <v>50</v>
      </c>
      <c r="J6150" s="2">
        <v>975</v>
      </c>
      <c r="K6150" s="3">
        <f t="shared" si="96"/>
        <v>48750</v>
      </c>
      <c r="L6150" s="3">
        <v>29250</v>
      </c>
    </row>
    <row r="6151" spans="1:12" x14ac:dyDescent="0.25">
      <c r="A6151" t="s">
        <v>19</v>
      </c>
      <c r="B6151">
        <v>1128299</v>
      </c>
      <c r="C6151" s="1">
        <v>44463</v>
      </c>
      <c r="D6151" t="s">
        <v>12</v>
      </c>
      <c r="E6151" t="s">
        <v>39</v>
      </c>
      <c r="F6151" t="s">
        <v>40</v>
      </c>
      <c r="G6151" t="s">
        <v>41</v>
      </c>
      <c r="H6151" t="s">
        <v>17</v>
      </c>
      <c r="I6151" s="3">
        <v>50.000000000000014</v>
      </c>
      <c r="J6151" s="2">
        <v>575</v>
      </c>
      <c r="K6151" s="3">
        <f t="shared" si="96"/>
        <v>28750.000000000007</v>
      </c>
      <c r="L6151" s="3">
        <v>17250.000000000004</v>
      </c>
    </row>
    <row r="6152" spans="1:12" x14ac:dyDescent="0.25">
      <c r="A6152" t="s">
        <v>26</v>
      </c>
      <c r="B6152">
        <v>1197831</v>
      </c>
      <c r="C6152" s="1">
        <v>44463</v>
      </c>
      <c r="D6152" t="s">
        <v>52</v>
      </c>
      <c r="E6152" t="s">
        <v>99</v>
      </c>
      <c r="F6152" t="s">
        <v>100</v>
      </c>
      <c r="G6152" t="s">
        <v>15</v>
      </c>
      <c r="H6152" t="s">
        <v>38</v>
      </c>
      <c r="I6152" s="3">
        <v>30.000000000000004</v>
      </c>
      <c r="J6152" s="2">
        <v>525</v>
      </c>
      <c r="K6152" s="3">
        <f t="shared" si="96"/>
        <v>15750.000000000002</v>
      </c>
      <c r="L6152" s="3">
        <v>7875.0000000000027</v>
      </c>
    </row>
    <row r="6153" spans="1:12" x14ac:dyDescent="0.25">
      <c r="A6153" t="s">
        <v>19</v>
      </c>
      <c r="B6153">
        <v>1128299</v>
      </c>
      <c r="C6153" s="1">
        <v>44463</v>
      </c>
      <c r="D6153" t="s">
        <v>12</v>
      </c>
      <c r="E6153" t="s">
        <v>39</v>
      </c>
      <c r="F6153" t="s">
        <v>40</v>
      </c>
      <c r="G6153" t="s">
        <v>15</v>
      </c>
      <c r="H6153" t="s">
        <v>16</v>
      </c>
      <c r="I6153" s="3">
        <v>43</v>
      </c>
      <c r="J6153" s="2">
        <v>132</v>
      </c>
      <c r="K6153" s="3">
        <f t="shared" si="96"/>
        <v>5676</v>
      </c>
      <c r="L6153" s="3">
        <v>3859.6800000000003</v>
      </c>
    </row>
    <row r="6154" spans="1:12" x14ac:dyDescent="0.25">
      <c r="A6154" t="s">
        <v>19</v>
      </c>
      <c r="B6154">
        <v>1128299</v>
      </c>
      <c r="C6154" s="1">
        <v>44463</v>
      </c>
      <c r="D6154" t="s">
        <v>12</v>
      </c>
      <c r="E6154" t="s">
        <v>39</v>
      </c>
      <c r="F6154" t="s">
        <v>40</v>
      </c>
      <c r="G6154" t="s">
        <v>15</v>
      </c>
      <c r="H6154" t="s">
        <v>22</v>
      </c>
      <c r="I6154" s="3">
        <v>41</v>
      </c>
      <c r="J6154" s="2">
        <v>128</v>
      </c>
      <c r="K6154" s="3">
        <f t="shared" si="96"/>
        <v>5248</v>
      </c>
      <c r="L6154" s="3">
        <v>3516.1600000000003</v>
      </c>
    </row>
    <row r="6155" spans="1:12" x14ac:dyDescent="0.25">
      <c r="A6155" t="s">
        <v>19</v>
      </c>
      <c r="B6155">
        <v>1128299</v>
      </c>
      <c r="C6155" s="1">
        <v>44463</v>
      </c>
      <c r="D6155" t="s">
        <v>12</v>
      </c>
      <c r="E6155" t="s">
        <v>39</v>
      </c>
      <c r="F6155" t="s">
        <v>40</v>
      </c>
      <c r="G6155" t="s">
        <v>15</v>
      </c>
      <c r="H6155" t="s">
        <v>35</v>
      </c>
      <c r="I6155" s="3">
        <v>34</v>
      </c>
      <c r="J6155" s="2">
        <v>145</v>
      </c>
      <c r="K6155" s="3">
        <f t="shared" si="96"/>
        <v>4930</v>
      </c>
      <c r="L6155" s="3">
        <v>3105.9</v>
      </c>
    </row>
    <row r="6156" spans="1:12" x14ac:dyDescent="0.25">
      <c r="A6156" t="s">
        <v>19</v>
      </c>
      <c r="B6156">
        <v>1128299</v>
      </c>
      <c r="C6156" s="1">
        <v>44463</v>
      </c>
      <c r="D6156" t="s">
        <v>12</v>
      </c>
      <c r="E6156" t="s">
        <v>39</v>
      </c>
      <c r="F6156" t="s">
        <v>40</v>
      </c>
      <c r="G6156" t="s">
        <v>15</v>
      </c>
      <c r="H6156" t="s">
        <v>37</v>
      </c>
      <c r="I6156" s="3">
        <v>33</v>
      </c>
      <c r="J6156" s="2">
        <v>124</v>
      </c>
      <c r="K6156" s="3">
        <f t="shared" si="96"/>
        <v>4092</v>
      </c>
      <c r="L6156" s="3">
        <v>2577.96</v>
      </c>
    </row>
    <row r="6157" spans="1:12" x14ac:dyDescent="0.25">
      <c r="A6157" t="s">
        <v>19</v>
      </c>
      <c r="B6157">
        <v>1128299</v>
      </c>
      <c r="C6157" s="1">
        <v>44463</v>
      </c>
      <c r="D6157" t="s">
        <v>12</v>
      </c>
      <c r="E6157" t="s">
        <v>39</v>
      </c>
      <c r="F6157" t="s">
        <v>40</v>
      </c>
      <c r="G6157" t="s">
        <v>41</v>
      </c>
      <c r="H6157" t="s">
        <v>16</v>
      </c>
      <c r="I6157" s="3">
        <v>56</v>
      </c>
      <c r="J6157" s="2">
        <v>119</v>
      </c>
      <c r="K6157" s="3">
        <f t="shared" si="96"/>
        <v>6664</v>
      </c>
      <c r="L6157" s="3">
        <v>4198.32</v>
      </c>
    </row>
    <row r="6158" spans="1:12" x14ac:dyDescent="0.25">
      <c r="A6158" t="s">
        <v>19</v>
      </c>
      <c r="B6158">
        <v>1128299</v>
      </c>
      <c r="C6158" s="1">
        <v>44463</v>
      </c>
      <c r="D6158" t="s">
        <v>12</v>
      </c>
      <c r="E6158" t="s">
        <v>39</v>
      </c>
      <c r="F6158" t="s">
        <v>40</v>
      </c>
      <c r="G6158" t="s">
        <v>15</v>
      </c>
      <c r="H6158" t="s">
        <v>38</v>
      </c>
      <c r="I6158" s="3">
        <v>35</v>
      </c>
      <c r="J6158" s="2">
        <v>184</v>
      </c>
      <c r="K6158" s="3">
        <f t="shared" si="96"/>
        <v>6440</v>
      </c>
      <c r="L6158" s="3">
        <v>3735.2000000000003</v>
      </c>
    </row>
    <row r="6159" spans="1:12" x14ac:dyDescent="0.25">
      <c r="A6159" t="s">
        <v>19</v>
      </c>
      <c r="B6159">
        <v>1128299</v>
      </c>
      <c r="C6159" s="1">
        <v>44463</v>
      </c>
      <c r="D6159" t="s">
        <v>12</v>
      </c>
      <c r="E6159" t="s">
        <v>39</v>
      </c>
      <c r="F6159" t="s">
        <v>40</v>
      </c>
      <c r="G6159" t="s">
        <v>41</v>
      </c>
      <c r="H6159" t="s">
        <v>22</v>
      </c>
      <c r="I6159" s="3">
        <v>54</v>
      </c>
      <c r="J6159" s="2">
        <v>105</v>
      </c>
      <c r="K6159" s="3">
        <f t="shared" si="96"/>
        <v>5670</v>
      </c>
      <c r="L6159" s="3">
        <v>3175.2</v>
      </c>
    </row>
    <row r="6160" spans="1:12" x14ac:dyDescent="0.25">
      <c r="A6160" t="s">
        <v>19</v>
      </c>
      <c r="B6160">
        <v>1128299</v>
      </c>
      <c r="C6160" s="1">
        <v>44463</v>
      </c>
      <c r="D6160" t="s">
        <v>12</v>
      </c>
      <c r="E6160" t="s">
        <v>39</v>
      </c>
      <c r="F6160" t="s">
        <v>40</v>
      </c>
      <c r="G6160" t="s">
        <v>41</v>
      </c>
      <c r="H6160" t="s">
        <v>35</v>
      </c>
      <c r="I6160" s="3">
        <v>43</v>
      </c>
      <c r="J6160" s="2">
        <v>128</v>
      </c>
      <c r="K6160" s="3">
        <f t="shared" si="96"/>
        <v>5504</v>
      </c>
      <c r="L6160" s="3">
        <v>3027.2000000000003</v>
      </c>
    </row>
    <row r="6161" spans="1:12" x14ac:dyDescent="0.25">
      <c r="A6161" t="s">
        <v>19</v>
      </c>
      <c r="B6161">
        <v>1128299</v>
      </c>
      <c r="C6161" s="1">
        <v>44463</v>
      </c>
      <c r="D6161" t="s">
        <v>12</v>
      </c>
      <c r="E6161" t="s">
        <v>39</v>
      </c>
      <c r="F6161" t="s">
        <v>40</v>
      </c>
      <c r="G6161" t="s">
        <v>41</v>
      </c>
      <c r="H6161" t="s">
        <v>37</v>
      </c>
      <c r="I6161" s="3">
        <v>41</v>
      </c>
      <c r="J6161" s="2">
        <v>113</v>
      </c>
      <c r="K6161" s="3">
        <f t="shared" si="96"/>
        <v>4633</v>
      </c>
      <c r="L6161" s="3">
        <v>2455.4900000000002</v>
      </c>
    </row>
    <row r="6162" spans="1:12" x14ac:dyDescent="0.25">
      <c r="A6162" t="s">
        <v>26</v>
      </c>
      <c r="B6162">
        <v>1197831</v>
      </c>
      <c r="C6162" s="1">
        <v>44463</v>
      </c>
      <c r="D6162" t="s">
        <v>52</v>
      </c>
      <c r="E6162" t="s">
        <v>53</v>
      </c>
      <c r="F6162" t="s">
        <v>54</v>
      </c>
      <c r="G6162" t="s">
        <v>15</v>
      </c>
      <c r="H6162" t="s">
        <v>35</v>
      </c>
      <c r="I6162" s="3">
        <v>35</v>
      </c>
      <c r="J6162" s="2">
        <v>332</v>
      </c>
      <c r="K6162" s="3">
        <f t="shared" si="96"/>
        <v>11620</v>
      </c>
      <c r="L6162" s="3">
        <v>6158.6</v>
      </c>
    </row>
    <row r="6163" spans="1:12" x14ac:dyDescent="0.25">
      <c r="A6163" t="s">
        <v>19</v>
      </c>
      <c r="B6163">
        <v>1128299</v>
      </c>
      <c r="C6163" s="1">
        <v>44463</v>
      </c>
      <c r="D6163" t="s">
        <v>12</v>
      </c>
      <c r="E6163" t="s">
        <v>39</v>
      </c>
      <c r="F6163" t="s">
        <v>40</v>
      </c>
      <c r="G6163" t="s">
        <v>15</v>
      </c>
      <c r="H6163" t="s">
        <v>17</v>
      </c>
      <c r="I6163" s="3">
        <v>34</v>
      </c>
      <c r="J6163" s="2">
        <v>201</v>
      </c>
      <c r="K6163" s="3">
        <f t="shared" si="96"/>
        <v>6834</v>
      </c>
      <c r="L6163" s="3">
        <v>3622.02</v>
      </c>
    </row>
    <row r="6164" spans="1:12" x14ac:dyDescent="0.25">
      <c r="A6164" t="s">
        <v>19</v>
      </c>
      <c r="B6164">
        <v>1128299</v>
      </c>
      <c r="C6164" s="1">
        <v>44463</v>
      </c>
      <c r="D6164" t="s">
        <v>12</v>
      </c>
      <c r="E6164" t="s">
        <v>39</v>
      </c>
      <c r="F6164" t="s">
        <v>40</v>
      </c>
      <c r="G6164" t="s">
        <v>41</v>
      </c>
      <c r="H6164" t="s">
        <v>38</v>
      </c>
      <c r="I6164" s="3">
        <v>41</v>
      </c>
      <c r="J6164" s="2">
        <v>167</v>
      </c>
      <c r="K6164" s="3">
        <f t="shared" si="96"/>
        <v>6847</v>
      </c>
      <c r="L6164" s="3">
        <v>3491.9700000000003</v>
      </c>
    </row>
    <row r="6165" spans="1:12" x14ac:dyDescent="0.25">
      <c r="A6165" t="s">
        <v>26</v>
      </c>
      <c r="B6165">
        <v>1197831</v>
      </c>
      <c r="C6165" s="1">
        <v>44463</v>
      </c>
      <c r="D6165" t="s">
        <v>52</v>
      </c>
      <c r="E6165" t="s">
        <v>99</v>
      </c>
      <c r="F6165" t="s">
        <v>100</v>
      </c>
      <c r="G6165" t="s">
        <v>15</v>
      </c>
      <c r="H6165" t="s">
        <v>38</v>
      </c>
      <c r="I6165" s="3">
        <v>20</v>
      </c>
      <c r="J6165" s="2">
        <v>184</v>
      </c>
      <c r="K6165" s="3">
        <f t="shared" si="96"/>
        <v>3680</v>
      </c>
      <c r="L6165" s="3">
        <v>1766.4000000000003</v>
      </c>
    </row>
    <row r="6166" spans="1:12" x14ac:dyDescent="0.25">
      <c r="A6166" t="s">
        <v>19</v>
      </c>
      <c r="B6166">
        <v>1128299</v>
      </c>
      <c r="C6166" s="1">
        <v>44463</v>
      </c>
      <c r="D6166" t="s">
        <v>12</v>
      </c>
      <c r="E6166" t="s">
        <v>39</v>
      </c>
      <c r="F6166" t="s">
        <v>40</v>
      </c>
      <c r="G6166" t="s">
        <v>41</v>
      </c>
      <c r="H6166" t="s">
        <v>17</v>
      </c>
      <c r="I6166" s="3">
        <v>45</v>
      </c>
      <c r="J6166" s="2">
        <v>161</v>
      </c>
      <c r="K6166" s="3">
        <f t="shared" si="96"/>
        <v>7245</v>
      </c>
      <c r="L6166" s="3">
        <v>3405.1499999999996</v>
      </c>
    </row>
    <row r="6167" spans="1:12" x14ac:dyDescent="0.25">
      <c r="A6167" t="s">
        <v>26</v>
      </c>
      <c r="B6167">
        <v>1197831</v>
      </c>
      <c r="C6167" s="1">
        <v>44463</v>
      </c>
      <c r="D6167" t="s">
        <v>52</v>
      </c>
      <c r="E6167" t="s">
        <v>53</v>
      </c>
      <c r="F6167" t="s">
        <v>54</v>
      </c>
      <c r="G6167" t="s">
        <v>41</v>
      </c>
      <c r="H6167" t="s">
        <v>35</v>
      </c>
      <c r="I6167" s="3">
        <v>46</v>
      </c>
      <c r="J6167" s="2">
        <v>273</v>
      </c>
      <c r="K6167" s="3">
        <f t="shared" si="96"/>
        <v>12558</v>
      </c>
      <c r="L6167" s="3">
        <v>5651.1000000000013</v>
      </c>
    </row>
    <row r="6168" spans="1:12" x14ac:dyDescent="0.25">
      <c r="A6168" t="s">
        <v>26</v>
      </c>
      <c r="B6168">
        <v>1197831</v>
      </c>
      <c r="C6168" s="1">
        <v>44463</v>
      </c>
      <c r="D6168" t="s">
        <v>52</v>
      </c>
      <c r="E6168" t="s">
        <v>99</v>
      </c>
      <c r="F6168" t="s">
        <v>100</v>
      </c>
      <c r="G6168" t="s">
        <v>41</v>
      </c>
      <c r="H6168" t="s">
        <v>38</v>
      </c>
      <c r="I6168" s="3">
        <v>29</v>
      </c>
      <c r="J6168" s="2">
        <v>131</v>
      </c>
      <c r="K6168" s="3">
        <f t="shared" si="96"/>
        <v>3799</v>
      </c>
      <c r="L6168" s="3">
        <v>1519.6</v>
      </c>
    </row>
    <row r="6169" spans="1:12" x14ac:dyDescent="0.25">
      <c r="A6169" t="s">
        <v>19</v>
      </c>
      <c r="B6169">
        <v>1128299</v>
      </c>
      <c r="C6169" s="1">
        <v>44464</v>
      </c>
      <c r="D6169" t="s">
        <v>32</v>
      </c>
      <c r="E6169" t="s">
        <v>82</v>
      </c>
      <c r="F6169" t="s">
        <v>83</v>
      </c>
      <c r="G6169" t="s">
        <v>18</v>
      </c>
      <c r="H6169" t="s">
        <v>16</v>
      </c>
      <c r="I6169" s="3">
        <v>44.999999999999993</v>
      </c>
      <c r="J6169" s="2">
        <v>250</v>
      </c>
      <c r="K6169" s="3">
        <f t="shared" si="96"/>
        <v>11249.999999999998</v>
      </c>
      <c r="L6169" s="3">
        <v>7875</v>
      </c>
    </row>
    <row r="6170" spans="1:12" x14ac:dyDescent="0.25">
      <c r="A6170" t="s">
        <v>11</v>
      </c>
      <c r="B6170">
        <v>1128299</v>
      </c>
      <c r="C6170" s="1">
        <v>44464</v>
      </c>
      <c r="D6170" t="s">
        <v>12</v>
      </c>
      <c r="E6170" t="s">
        <v>84</v>
      </c>
      <c r="F6170" t="s">
        <v>31</v>
      </c>
      <c r="G6170" t="s">
        <v>18</v>
      </c>
      <c r="H6170" t="s">
        <v>16</v>
      </c>
      <c r="I6170" s="3">
        <v>44.999999999999993</v>
      </c>
      <c r="J6170" s="2">
        <v>250</v>
      </c>
      <c r="K6170" s="3">
        <f t="shared" si="96"/>
        <v>11249.999999999998</v>
      </c>
      <c r="L6170" s="3">
        <v>7875</v>
      </c>
    </row>
    <row r="6171" spans="1:12" x14ac:dyDescent="0.25">
      <c r="A6171" t="s">
        <v>19</v>
      </c>
      <c r="B6171">
        <v>1128299</v>
      </c>
      <c r="C6171" s="1">
        <v>44464</v>
      </c>
      <c r="D6171" t="s">
        <v>32</v>
      </c>
      <c r="E6171" t="s">
        <v>82</v>
      </c>
      <c r="F6171" t="s">
        <v>83</v>
      </c>
      <c r="G6171" t="s">
        <v>18</v>
      </c>
      <c r="H6171" t="s">
        <v>38</v>
      </c>
      <c r="I6171" s="3">
        <v>50.000000000000014</v>
      </c>
      <c r="J6171" s="2">
        <v>450</v>
      </c>
      <c r="K6171" s="3">
        <f t="shared" si="96"/>
        <v>22500.000000000007</v>
      </c>
      <c r="L6171" s="3">
        <v>14625.000000000005</v>
      </c>
    </row>
    <row r="6172" spans="1:12" x14ac:dyDescent="0.25">
      <c r="A6172" t="s">
        <v>19</v>
      </c>
      <c r="B6172">
        <v>1128299</v>
      </c>
      <c r="C6172" s="1">
        <v>44464</v>
      </c>
      <c r="D6172" t="s">
        <v>32</v>
      </c>
      <c r="E6172" t="s">
        <v>82</v>
      </c>
      <c r="F6172" t="s">
        <v>83</v>
      </c>
      <c r="G6172" t="s">
        <v>18</v>
      </c>
      <c r="H6172" t="s">
        <v>17</v>
      </c>
      <c r="I6172" s="3">
        <v>55.000000000000014</v>
      </c>
      <c r="J6172" s="2">
        <v>450</v>
      </c>
      <c r="K6172" s="3">
        <f t="shared" si="96"/>
        <v>24750.000000000007</v>
      </c>
      <c r="L6172" s="3">
        <v>16087.500000000005</v>
      </c>
    </row>
    <row r="6173" spans="1:12" x14ac:dyDescent="0.25">
      <c r="A6173" t="s">
        <v>19</v>
      </c>
      <c r="B6173">
        <v>1128299</v>
      </c>
      <c r="C6173" s="1">
        <v>44464</v>
      </c>
      <c r="D6173" t="s">
        <v>32</v>
      </c>
      <c r="E6173" t="s">
        <v>82</v>
      </c>
      <c r="F6173" t="s">
        <v>83</v>
      </c>
      <c r="G6173" t="s">
        <v>18</v>
      </c>
      <c r="H6173" t="s">
        <v>35</v>
      </c>
      <c r="I6173" s="3">
        <v>50.000000000000014</v>
      </c>
      <c r="J6173" s="2">
        <v>250</v>
      </c>
      <c r="K6173" s="3">
        <f t="shared" si="96"/>
        <v>12500.000000000004</v>
      </c>
      <c r="L6173" s="3">
        <v>8125.0000000000027</v>
      </c>
    </row>
    <row r="6174" spans="1:12" x14ac:dyDescent="0.25">
      <c r="A6174" t="s">
        <v>11</v>
      </c>
      <c r="B6174">
        <v>1128299</v>
      </c>
      <c r="C6174" s="1">
        <v>44464</v>
      </c>
      <c r="D6174" t="s">
        <v>12</v>
      </c>
      <c r="E6174" t="s">
        <v>84</v>
      </c>
      <c r="F6174" t="s">
        <v>31</v>
      </c>
      <c r="G6174" t="s">
        <v>18</v>
      </c>
      <c r="H6174" t="s">
        <v>38</v>
      </c>
      <c r="I6174" s="3">
        <v>50.000000000000014</v>
      </c>
      <c r="J6174" s="2">
        <v>450</v>
      </c>
      <c r="K6174" s="3">
        <f t="shared" si="96"/>
        <v>22500.000000000007</v>
      </c>
      <c r="L6174" s="3">
        <v>14625.000000000005</v>
      </c>
    </row>
    <row r="6175" spans="1:12" x14ac:dyDescent="0.25">
      <c r="A6175" t="s">
        <v>11</v>
      </c>
      <c r="B6175">
        <v>1128299</v>
      </c>
      <c r="C6175" s="1">
        <v>44464</v>
      </c>
      <c r="D6175" t="s">
        <v>12</v>
      </c>
      <c r="E6175" t="s">
        <v>84</v>
      </c>
      <c r="F6175" t="s">
        <v>31</v>
      </c>
      <c r="G6175" t="s">
        <v>18</v>
      </c>
      <c r="H6175" t="s">
        <v>17</v>
      </c>
      <c r="I6175" s="3">
        <v>55.000000000000014</v>
      </c>
      <c r="J6175" s="2">
        <v>450</v>
      </c>
      <c r="K6175" s="3">
        <f t="shared" si="96"/>
        <v>24750.000000000007</v>
      </c>
      <c r="L6175" s="3">
        <v>16087.500000000005</v>
      </c>
    </row>
    <row r="6176" spans="1:12" x14ac:dyDescent="0.25">
      <c r="A6176" t="s">
        <v>11</v>
      </c>
      <c r="B6176">
        <v>1128299</v>
      </c>
      <c r="C6176" s="1">
        <v>44464</v>
      </c>
      <c r="D6176" t="s">
        <v>12</v>
      </c>
      <c r="E6176" t="s">
        <v>84</v>
      </c>
      <c r="F6176" t="s">
        <v>31</v>
      </c>
      <c r="G6176" t="s">
        <v>18</v>
      </c>
      <c r="H6176" t="s">
        <v>35</v>
      </c>
      <c r="I6176" s="3">
        <v>50.000000000000014</v>
      </c>
      <c r="J6176" s="2">
        <v>250</v>
      </c>
      <c r="K6176" s="3">
        <f t="shared" si="96"/>
        <v>12500.000000000004</v>
      </c>
      <c r="L6176" s="3">
        <v>8125.0000000000027</v>
      </c>
    </row>
    <row r="6177" spans="1:12" x14ac:dyDescent="0.25">
      <c r="A6177" t="s">
        <v>19</v>
      </c>
      <c r="B6177">
        <v>1128299</v>
      </c>
      <c r="C6177" s="1">
        <v>44464</v>
      </c>
      <c r="D6177" t="s">
        <v>32</v>
      </c>
      <c r="E6177" t="s">
        <v>82</v>
      </c>
      <c r="F6177" t="s">
        <v>83</v>
      </c>
      <c r="G6177" t="s">
        <v>18</v>
      </c>
      <c r="H6177" t="s">
        <v>37</v>
      </c>
      <c r="I6177" s="3">
        <v>50.000000000000014</v>
      </c>
      <c r="J6177" s="2">
        <v>200</v>
      </c>
      <c r="K6177" s="3">
        <f t="shared" si="96"/>
        <v>10000.000000000004</v>
      </c>
      <c r="L6177" s="3">
        <v>6500.0000000000018</v>
      </c>
    </row>
    <row r="6178" spans="1:12" x14ac:dyDescent="0.25">
      <c r="A6178" t="s">
        <v>11</v>
      </c>
      <c r="B6178">
        <v>1128299</v>
      </c>
      <c r="C6178" s="1">
        <v>44464</v>
      </c>
      <c r="D6178" t="s">
        <v>12</v>
      </c>
      <c r="E6178" t="s">
        <v>84</v>
      </c>
      <c r="F6178" t="s">
        <v>31</v>
      </c>
      <c r="G6178" t="s">
        <v>18</v>
      </c>
      <c r="H6178" t="s">
        <v>37</v>
      </c>
      <c r="I6178" s="3">
        <v>50.000000000000014</v>
      </c>
      <c r="J6178" s="2">
        <v>200</v>
      </c>
      <c r="K6178" s="3">
        <f t="shared" si="96"/>
        <v>10000.000000000004</v>
      </c>
      <c r="L6178" s="3">
        <v>6500.0000000000018</v>
      </c>
    </row>
    <row r="6179" spans="1:12" x14ac:dyDescent="0.25">
      <c r="A6179" t="s">
        <v>19</v>
      </c>
      <c r="B6179">
        <v>1128299</v>
      </c>
      <c r="C6179" s="1">
        <v>44464</v>
      </c>
      <c r="D6179" t="s">
        <v>32</v>
      </c>
      <c r="E6179" t="s">
        <v>82</v>
      </c>
      <c r="F6179" t="s">
        <v>83</v>
      </c>
      <c r="G6179" t="s">
        <v>18</v>
      </c>
      <c r="H6179" t="s">
        <v>22</v>
      </c>
      <c r="I6179" s="3">
        <v>60.000000000000007</v>
      </c>
      <c r="J6179" s="2">
        <v>225</v>
      </c>
      <c r="K6179" s="3">
        <f t="shared" si="96"/>
        <v>13500.000000000002</v>
      </c>
      <c r="L6179" s="3">
        <v>8100.0000000000018</v>
      </c>
    </row>
    <row r="6180" spans="1:12" x14ac:dyDescent="0.25">
      <c r="A6180" t="s">
        <v>11</v>
      </c>
      <c r="B6180">
        <v>1128299</v>
      </c>
      <c r="C6180" s="1">
        <v>44464</v>
      </c>
      <c r="D6180" t="s">
        <v>12</v>
      </c>
      <c r="E6180" t="s">
        <v>84</v>
      </c>
      <c r="F6180" t="s">
        <v>31</v>
      </c>
      <c r="G6180" t="s">
        <v>18</v>
      </c>
      <c r="H6180" t="s">
        <v>22</v>
      </c>
      <c r="I6180" s="3">
        <v>60.000000000000007</v>
      </c>
      <c r="J6180" s="2">
        <v>225</v>
      </c>
      <c r="K6180" s="3">
        <f t="shared" si="96"/>
        <v>13500.000000000002</v>
      </c>
      <c r="L6180" s="3">
        <v>8100.0000000000018</v>
      </c>
    </row>
    <row r="6181" spans="1:12" x14ac:dyDescent="0.25">
      <c r="A6181" t="s">
        <v>26</v>
      </c>
      <c r="B6181">
        <v>1197831</v>
      </c>
      <c r="C6181" s="1">
        <v>44464</v>
      </c>
      <c r="D6181" t="s">
        <v>52</v>
      </c>
      <c r="E6181" t="s">
        <v>99</v>
      </c>
      <c r="F6181" t="s">
        <v>100</v>
      </c>
      <c r="G6181" t="s">
        <v>15</v>
      </c>
      <c r="H6181" t="s">
        <v>17</v>
      </c>
      <c r="I6181" s="3">
        <v>30.000000000000004</v>
      </c>
      <c r="J6181" s="2">
        <v>525</v>
      </c>
      <c r="K6181" s="3">
        <f t="shared" si="96"/>
        <v>15750.000000000002</v>
      </c>
      <c r="L6181" s="3">
        <v>7875.0000000000027</v>
      </c>
    </row>
    <row r="6182" spans="1:12" x14ac:dyDescent="0.25">
      <c r="A6182" t="s">
        <v>26</v>
      </c>
      <c r="B6182">
        <v>1197831</v>
      </c>
      <c r="C6182" s="1">
        <v>44464</v>
      </c>
      <c r="D6182" t="s">
        <v>52</v>
      </c>
      <c r="E6182" t="s">
        <v>53</v>
      </c>
      <c r="F6182" t="s">
        <v>54</v>
      </c>
      <c r="G6182" t="s">
        <v>15</v>
      </c>
      <c r="H6182" t="s">
        <v>37</v>
      </c>
      <c r="I6182" s="3">
        <v>50</v>
      </c>
      <c r="J6182" s="2">
        <v>525</v>
      </c>
      <c r="K6182" s="3">
        <f t="shared" si="96"/>
        <v>26250</v>
      </c>
      <c r="L6182" s="3">
        <v>13125</v>
      </c>
    </row>
    <row r="6183" spans="1:12" x14ac:dyDescent="0.25">
      <c r="A6183" t="s">
        <v>11</v>
      </c>
      <c r="B6183">
        <v>1128299</v>
      </c>
      <c r="C6183" s="1">
        <v>44464</v>
      </c>
      <c r="D6183" t="s">
        <v>12</v>
      </c>
      <c r="E6183" t="s">
        <v>84</v>
      </c>
      <c r="F6183" t="s">
        <v>31</v>
      </c>
      <c r="G6183" t="s">
        <v>15</v>
      </c>
      <c r="H6183" t="s">
        <v>16</v>
      </c>
      <c r="I6183" s="3">
        <v>36</v>
      </c>
      <c r="J6183" s="2">
        <v>85</v>
      </c>
      <c r="K6183" s="3">
        <f t="shared" si="96"/>
        <v>3060</v>
      </c>
      <c r="L6183" s="3">
        <v>2080.8000000000002</v>
      </c>
    </row>
    <row r="6184" spans="1:12" x14ac:dyDescent="0.25">
      <c r="A6184" t="s">
        <v>19</v>
      </c>
      <c r="B6184">
        <v>1128299</v>
      </c>
      <c r="C6184" s="1">
        <v>44464</v>
      </c>
      <c r="D6184" t="s">
        <v>32</v>
      </c>
      <c r="E6184" t="s">
        <v>82</v>
      </c>
      <c r="F6184" t="s">
        <v>83</v>
      </c>
      <c r="G6184" t="s">
        <v>15</v>
      </c>
      <c r="H6184" t="s">
        <v>16</v>
      </c>
      <c r="I6184" s="3">
        <v>33</v>
      </c>
      <c r="J6184" s="2">
        <v>83</v>
      </c>
      <c r="K6184" s="3">
        <f t="shared" si="96"/>
        <v>2739</v>
      </c>
      <c r="L6184" s="3">
        <v>1752.96</v>
      </c>
    </row>
    <row r="6185" spans="1:12" x14ac:dyDescent="0.25">
      <c r="A6185" t="s">
        <v>11</v>
      </c>
      <c r="B6185">
        <v>1128299</v>
      </c>
      <c r="C6185" s="1">
        <v>44464</v>
      </c>
      <c r="D6185" t="s">
        <v>12</v>
      </c>
      <c r="E6185" t="s">
        <v>84</v>
      </c>
      <c r="F6185" t="s">
        <v>31</v>
      </c>
      <c r="G6185" t="s">
        <v>15</v>
      </c>
      <c r="H6185" t="s">
        <v>38</v>
      </c>
      <c r="I6185" s="3">
        <v>34</v>
      </c>
      <c r="J6185" s="2">
        <v>149</v>
      </c>
      <c r="K6185" s="3">
        <f t="shared" si="96"/>
        <v>5066</v>
      </c>
      <c r="L6185" s="3">
        <v>3191.58</v>
      </c>
    </row>
    <row r="6186" spans="1:12" x14ac:dyDescent="0.25">
      <c r="A6186" t="s">
        <v>11</v>
      </c>
      <c r="B6186">
        <v>1128299</v>
      </c>
      <c r="C6186" s="1">
        <v>44464</v>
      </c>
      <c r="D6186" t="s">
        <v>12</v>
      </c>
      <c r="E6186" t="s">
        <v>84</v>
      </c>
      <c r="F6186" t="s">
        <v>31</v>
      </c>
      <c r="G6186" t="s">
        <v>15</v>
      </c>
      <c r="H6186" t="s">
        <v>17</v>
      </c>
      <c r="I6186" s="3">
        <v>43</v>
      </c>
      <c r="J6186" s="2">
        <v>158</v>
      </c>
      <c r="K6186" s="3">
        <f t="shared" si="96"/>
        <v>6794</v>
      </c>
      <c r="L6186" s="3">
        <v>4212.28</v>
      </c>
    </row>
    <row r="6187" spans="1:12" x14ac:dyDescent="0.25">
      <c r="A6187" t="s">
        <v>19</v>
      </c>
      <c r="B6187">
        <v>1128299</v>
      </c>
      <c r="C6187" s="1">
        <v>44464</v>
      </c>
      <c r="D6187" t="s">
        <v>32</v>
      </c>
      <c r="E6187" t="s">
        <v>82</v>
      </c>
      <c r="F6187" t="s">
        <v>83</v>
      </c>
      <c r="G6187" t="s">
        <v>15</v>
      </c>
      <c r="H6187" t="s">
        <v>17</v>
      </c>
      <c r="I6187" s="3">
        <v>43</v>
      </c>
      <c r="J6187" s="2">
        <v>153</v>
      </c>
      <c r="K6187" s="3">
        <f t="shared" si="96"/>
        <v>6579</v>
      </c>
      <c r="L6187" s="3">
        <v>4013.19</v>
      </c>
    </row>
    <row r="6188" spans="1:12" x14ac:dyDescent="0.25">
      <c r="A6188" t="s">
        <v>19</v>
      </c>
      <c r="B6188">
        <v>1128299</v>
      </c>
      <c r="C6188" s="1">
        <v>44464</v>
      </c>
      <c r="D6188" t="s">
        <v>32</v>
      </c>
      <c r="E6188" t="s">
        <v>82</v>
      </c>
      <c r="F6188" t="s">
        <v>83</v>
      </c>
      <c r="G6188" t="s">
        <v>15</v>
      </c>
      <c r="H6188" t="s">
        <v>35</v>
      </c>
      <c r="I6188" s="3">
        <v>34</v>
      </c>
      <c r="J6188" s="2">
        <v>78</v>
      </c>
      <c r="K6188" s="3">
        <f t="shared" si="96"/>
        <v>2652</v>
      </c>
      <c r="L6188" s="3">
        <v>1591.2</v>
      </c>
    </row>
    <row r="6189" spans="1:12" x14ac:dyDescent="0.25">
      <c r="A6189" t="s">
        <v>19</v>
      </c>
      <c r="B6189">
        <v>1128299</v>
      </c>
      <c r="C6189" s="1">
        <v>44464</v>
      </c>
      <c r="D6189" t="s">
        <v>32</v>
      </c>
      <c r="E6189" t="s">
        <v>82</v>
      </c>
      <c r="F6189" t="s">
        <v>83</v>
      </c>
      <c r="G6189" t="s">
        <v>15</v>
      </c>
      <c r="H6189" t="s">
        <v>37</v>
      </c>
      <c r="I6189" s="3">
        <v>37</v>
      </c>
      <c r="J6189" s="2">
        <v>70</v>
      </c>
      <c r="K6189" s="3">
        <f t="shared" si="96"/>
        <v>2590</v>
      </c>
      <c r="L6189" s="3">
        <v>1554</v>
      </c>
    </row>
    <row r="6190" spans="1:12" x14ac:dyDescent="0.25">
      <c r="A6190" t="s">
        <v>19</v>
      </c>
      <c r="B6190">
        <v>1128299</v>
      </c>
      <c r="C6190" s="1">
        <v>44464</v>
      </c>
      <c r="D6190" t="s">
        <v>32</v>
      </c>
      <c r="E6190" t="s">
        <v>82</v>
      </c>
      <c r="F6190" t="s">
        <v>83</v>
      </c>
      <c r="G6190" t="s">
        <v>15</v>
      </c>
      <c r="H6190" t="s">
        <v>38</v>
      </c>
      <c r="I6190" s="3">
        <v>35</v>
      </c>
      <c r="J6190" s="2">
        <v>149</v>
      </c>
      <c r="K6190" s="3">
        <f t="shared" si="96"/>
        <v>5215</v>
      </c>
      <c r="L6190" s="3">
        <v>3024.7000000000003</v>
      </c>
    </row>
    <row r="6191" spans="1:12" x14ac:dyDescent="0.25">
      <c r="A6191" t="s">
        <v>11</v>
      </c>
      <c r="B6191">
        <v>1128299</v>
      </c>
      <c r="C6191" s="1">
        <v>44464</v>
      </c>
      <c r="D6191" t="s">
        <v>12</v>
      </c>
      <c r="E6191" t="s">
        <v>84</v>
      </c>
      <c r="F6191" t="s">
        <v>31</v>
      </c>
      <c r="G6191" t="s">
        <v>41</v>
      </c>
      <c r="H6191" t="s">
        <v>16</v>
      </c>
      <c r="I6191" s="3">
        <v>41</v>
      </c>
      <c r="J6191" s="2">
        <v>73</v>
      </c>
      <c r="K6191" s="3">
        <f t="shared" si="96"/>
        <v>2993</v>
      </c>
      <c r="L6191" s="3">
        <v>1735.94</v>
      </c>
    </row>
    <row r="6192" spans="1:12" x14ac:dyDescent="0.25">
      <c r="A6192" t="s">
        <v>11</v>
      </c>
      <c r="B6192">
        <v>1128299</v>
      </c>
      <c r="C6192" s="1">
        <v>44464</v>
      </c>
      <c r="D6192" t="s">
        <v>12</v>
      </c>
      <c r="E6192" t="s">
        <v>84</v>
      </c>
      <c r="F6192" t="s">
        <v>31</v>
      </c>
      <c r="G6192" t="s">
        <v>15</v>
      </c>
      <c r="H6192" t="s">
        <v>35</v>
      </c>
      <c r="I6192" s="3">
        <v>39</v>
      </c>
      <c r="J6192" s="2">
        <v>83</v>
      </c>
      <c r="K6192" s="3">
        <f t="shared" si="96"/>
        <v>3237</v>
      </c>
      <c r="L6192" s="3">
        <v>1877.46</v>
      </c>
    </row>
    <row r="6193" spans="1:12" x14ac:dyDescent="0.25">
      <c r="A6193" t="s">
        <v>11</v>
      </c>
      <c r="B6193">
        <v>1128299</v>
      </c>
      <c r="C6193" s="1">
        <v>44464</v>
      </c>
      <c r="D6193" t="s">
        <v>12</v>
      </c>
      <c r="E6193" t="s">
        <v>84</v>
      </c>
      <c r="F6193" t="s">
        <v>31</v>
      </c>
      <c r="G6193" t="s">
        <v>15</v>
      </c>
      <c r="H6193" t="s">
        <v>37</v>
      </c>
      <c r="I6193" s="3">
        <v>38</v>
      </c>
      <c r="J6193" s="2">
        <v>62</v>
      </c>
      <c r="K6193" s="3">
        <f t="shared" si="96"/>
        <v>2356</v>
      </c>
      <c r="L6193" s="3">
        <v>1366.48</v>
      </c>
    </row>
    <row r="6194" spans="1:12" x14ac:dyDescent="0.25">
      <c r="A6194" t="s">
        <v>11</v>
      </c>
      <c r="B6194">
        <v>1128299</v>
      </c>
      <c r="C6194" s="1">
        <v>44464</v>
      </c>
      <c r="D6194" t="s">
        <v>12</v>
      </c>
      <c r="E6194" t="s">
        <v>84</v>
      </c>
      <c r="F6194" t="s">
        <v>31</v>
      </c>
      <c r="G6194" t="s">
        <v>15</v>
      </c>
      <c r="H6194" t="s">
        <v>22</v>
      </c>
      <c r="I6194" s="3">
        <v>48</v>
      </c>
      <c r="J6194" s="2">
        <v>77</v>
      </c>
      <c r="K6194" s="3">
        <f t="shared" si="96"/>
        <v>3696</v>
      </c>
      <c r="L6194" s="3">
        <v>2143.6799999999998</v>
      </c>
    </row>
    <row r="6195" spans="1:12" x14ac:dyDescent="0.25">
      <c r="A6195" t="s">
        <v>19</v>
      </c>
      <c r="B6195">
        <v>1128299</v>
      </c>
      <c r="C6195" s="1">
        <v>44464</v>
      </c>
      <c r="D6195" t="s">
        <v>32</v>
      </c>
      <c r="E6195" t="s">
        <v>82</v>
      </c>
      <c r="F6195" t="s">
        <v>83</v>
      </c>
      <c r="G6195" t="s">
        <v>41</v>
      </c>
      <c r="H6195" t="s">
        <v>16</v>
      </c>
      <c r="I6195" s="3">
        <v>42</v>
      </c>
      <c r="J6195" s="2">
        <v>70</v>
      </c>
      <c r="K6195" s="3">
        <f t="shared" si="96"/>
        <v>2940</v>
      </c>
      <c r="L6195" s="3">
        <v>1675.8</v>
      </c>
    </row>
    <row r="6196" spans="1:12" x14ac:dyDescent="0.25">
      <c r="A6196" t="s">
        <v>11</v>
      </c>
      <c r="B6196">
        <v>1128299</v>
      </c>
      <c r="C6196" s="1">
        <v>44464</v>
      </c>
      <c r="D6196" t="s">
        <v>12</v>
      </c>
      <c r="E6196" t="s">
        <v>84</v>
      </c>
      <c r="F6196" t="s">
        <v>31</v>
      </c>
      <c r="G6196" t="s">
        <v>41</v>
      </c>
      <c r="H6196" t="s">
        <v>38</v>
      </c>
      <c r="I6196" s="3">
        <v>46</v>
      </c>
      <c r="J6196" s="2">
        <v>122</v>
      </c>
      <c r="K6196" s="3">
        <f t="shared" si="96"/>
        <v>5612</v>
      </c>
      <c r="L6196" s="3">
        <v>3086.6000000000004</v>
      </c>
    </row>
    <row r="6197" spans="1:12" x14ac:dyDescent="0.25">
      <c r="A6197" t="s">
        <v>11</v>
      </c>
      <c r="B6197">
        <v>1128299</v>
      </c>
      <c r="C6197" s="1">
        <v>44464</v>
      </c>
      <c r="D6197" t="s">
        <v>12</v>
      </c>
      <c r="E6197" t="s">
        <v>84</v>
      </c>
      <c r="F6197" t="s">
        <v>31</v>
      </c>
      <c r="G6197" t="s">
        <v>41</v>
      </c>
      <c r="H6197" t="s">
        <v>35</v>
      </c>
      <c r="I6197" s="3">
        <v>49</v>
      </c>
      <c r="J6197" s="2">
        <v>75</v>
      </c>
      <c r="K6197" s="3">
        <f t="shared" si="96"/>
        <v>3675</v>
      </c>
      <c r="L6197" s="3">
        <v>2021.2500000000002</v>
      </c>
    </row>
    <row r="6198" spans="1:12" x14ac:dyDescent="0.25">
      <c r="A6198" t="s">
        <v>19</v>
      </c>
      <c r="B6198">
        <v>1128299</v>
      </c>
      <c r="C6198" s="1">
        <v>44464</v>
      </c>
      <c r="D6198" t="s">
        <v>32</v>
      </c>
      <c r="E6198" t="s">
        <v>82</v>
      </c>
      <c r="F6198" t="s">
        <v>83</v>
      </c>
      <c r="G6198" t="s">
        <v>41</v>
      </c>
      <c r="H6198" t="s">
        <v>17</v>
      </c>
      <c r="I6198" s="3">
        <v>52</v>
      </c>
      <c r="J6198" s="2">
        <v>113</v>
      </c>
      <c r="K6198" s="3">
        <f t="shared" si="96"/>
        <v>5876</v>
      </c>
      <c r="L6198" s="3">
        <v>3173.0400000000004</v>
      </c>
    </row>
    <row r="6199" spans="1:12" x14ac:dyDescent="0.25">
      <c r="A6199" t="s">
        <v>11</v>
      </c>
      <c r="B6199">
        <v>1128299</v>
      </c>
      <c r="C6199" s="1">
        <v>44464</v>
      </c>
      <c r="D6199" t="s">
        <v>12</v>
      </c>
      <c r="E6199" t="s">
        <v>84</v>
      </c>
      <c r="F6199" t="s">
        <v>31</v>
      </c>
      <c r="G6199" t="s">
        <v>41</v>
      </c>
      <c r="H6199" t="s">
        <v>17</v>
      </c>
      <c r="I6199" s="3">
        <v>51</v>
      </c>
      <c r="J6199" s="2">
        <v>122</v>
      </c>
      <c r="K6199" s="3">
        <f t="shared" si="96"/>
        <v>6222</v>
      </c>
      <c r="L6199" s="3">
        <v>3359.88</v>
      </c>
    </row>
    <row r="6200" spans="1:12" x14ac:dyDescent="0.25">
      <c r="A6200" t="s">
        <v>11</v>
      </c>
      <c r="B6200">
        <v>1128299</v>
      </c>
      <c r="C6200" s="1">
        <v>44464</v>
      </c>
      <c r="D6200" t="s">
        <v>12</v>
      </c>
      <c r="E6200" t="s">
        <v>84</v>
      </c>
      <c r="F6200" t="s">
        <v>31</v>
      </c>
      <c r="G6200" t="s">
        <v>41</v>
      </c>
      <c r="H6200" t="s">
        <v>37</v>
      </c>
      <c r="I6200" s="3">
        <v>49</v>
      </c>
      <c r="J6200" s="2">
        <v>52</v>
      </c>
      <c r="K6200" s="3">
        <f t="shared" si="96"/>
        <v>2548</v>
      </c>
      <c r="L6200" s="3">
        <v>1375.92</v>
      </c>
    </row>
    <row r="6201" spans="1:12" x14ac:dyDescent="0.25">
      <c r="A6201" t="s">
        <v>19</v>
      </c>
      <c r="B6201">
        <v>1128299</v>
      </c>
      <c r="C6201" s="1">
        <v>44464</v>
      </c>
      <c r="D6201" t="s">
        <v>32</v>
      </c>
      <c r="E6201" t="s">
        <v>82</v>
      </c>
      <c r="F6201" t="s">
        <v>83</v>
      </c>
      <c r="G6201" t="s">
        <v>41</v>
      </c>
      <c r="H6201" t="s">
        <v>35</v>
      </c>
      <c r="I6201" s="3">
        <v>47</v>
      </c>
      <c r="J6201" s="2">
        <v>65</v>
      </c>
      <c r="K6201" s="3">
        <f t="shared" si="96"/>
        <v>3055</v>
      </c>
      <c r="L6201" s="3">
        <v>1619.15</v>
      </c>
    </row>
    <row r="6202" spans="1:12" x14ac:dyDescent="0.25">
      <c r="A6202" t="s">
        <v>19</v>
      </c>
      <c r="B6202">
        <v>1128299</v>
      </c>
      <c r="C6202" s="1">
        <v>44464</v>
      </c>
      <c r="D6202" t="s">
        <v>32</v>
      </c>
      <c r="E6202" t="s">
        <v>82</v>
      </c>
      <c r="F6202" t="s">
        <v>83</v>
      </c>
      <c r="G6202" t="s">
        <v>15</v>
      </c>
      <c r="H6202" t="s">
        <v>22</v>
      </c>
      <c r="I6202" s="3">
        <v>39</v>
      </c>
      <c r="J6202" s="2">
        <v>74</v>
      </c>
      <c r="K6202" s="3">
        <f t="shared" si="96"/>
        <v>2886</v>
      </c>
      <c r="L6202" s="3">
        <v>1529.58</v>
      </c>
    </row>
    <row r="6203" spans="1:12" x14ac:dyDescent="0.25">
      <c r="A6203" t="s">
        <v>19</v>
      </c>
      <c r="B6203">
        <v>1128299</v>
      </c>
      <c r="C6203" s="1">
        <v>44464</v>
      </c>
      <c r="D6203" t="s">
        <v>32</v>
      </c>
      <c r="E6203" t="s">
        <v>82</v>
      </c>
      <c r="F6203" t="s">
        <v>83</v>
      </c>
      <c r="G6203" t="s">
        <v>41</v>
      </c>
      <c r="H6203" t="s">
        <v>37</v>
      </c>
      <c r="I6203" s="3">
        <v>45</v>
      </c>
      <c r="J6203" s="2">
        <v>54</v>
      </c>
      <c r="K6203" s="3">
        <f t="shared" si="96"/>
        <v>2430</v>
      </c>
      <c r="L6203" s="3">
        <v>1239.3</v>
      </c>
    </row>
    <row r="6204" spans="1:12" x14ac:dyDescent="0.25">
      <c r="A6204" t="s">
        <v>19</v>
      </c>
      <c r="B6204">
        <v>1128299</v>
      </c>
      <c r="C6204" s="1">
        <v>44464</v>
      </c>
      <c r="D6204" t="s">
        <v>32</v>
      </c>
      <c r="E6204" t="s">
        <v>82</v>
      </c>
      <c r="F6204" t="s">
        <v>83</v>
      </c>
      <c r="G6204" t="s">
        <v>41</v>
      </c>
      <c r="H6204" t="s">
        <v>38</v>
      </c>
      <c r="I6204" s="3">
        <v>46</v>
      </c>
      <c r="J6204" s="2">
        <v>113</v>
      </c>
      <c r="K6204" s="3">
        <f t="shared" si="96"/>
        <v>5198</v>
      </c>
      <c r="L6204" s="3">
        <v>2599</v>
      </c>
    </row>
    <row r="6205" spans="1:12" x14ac:dyDescent="0.25">
      <c r="A6205" t="s">
        <v>19</v>
      </c>
      <c r="B6205">
        <v>1128299</v>
      </c>
      <c r="C6205" s="1">
        <v>44464</v>
      </c>
      <c r="D6205" t="s">
        <v>32</v>
      </c>
      <c r="E6205" t="s">
        <v>82</v>
      </c>
      <c r="F6205" t="s">
        <v>83</v>
      </c>
      <c r="G6205" t="s">
        <v>41</v>
      </c>
      <c r="H6205" t="s">
        <v>22</v>
      </c>
      <c r="I6205" s="3">
        <v>58</v>
      </c>
      <c r="J6205" s="2">
        <v>56</v>
      </c>
      <c r="K6205" s="3">
        <f t="shared" si="96"/>
        <v>3248</v>
      </c>
      <c r="L6205" s="3">
        <v>1624</v>
      </c>
    </row>
    <row r="6206" spans="1:12" x14ac:dyDescent="0.25">
      <c r="A6206" t="s">
        <v>11</v>
      </c>
      <c r="B6206">
        <v>1128299</v>
      </c>
      <c r="C6206" s="1">
        <v>44464</v>
      </c>
      <c r="D6206" t="s">
        <v>12</v>
      </c>
      <c r="E6206" t="s">
        <v>84</v>
      </c>
      <c r="F6206" t="s">
        <v>31</v>
      </c>
      <c r="G6206" t="s">
        <v>41</v>
      </c>
      <c r="H6206" t="s">
        <v>22</v>
      </c>
      <c r="I6206" s="3">
        <v>58</v>
      </c>
      <c r="J6206" s="2">
        <v>59</v>
      </c>
      <c r="K6206" s="3">
        <f t="shared" si="96"/>
        <v>3422</v>
      </c>
      <c r="L6206" s="3">
        <v>1608.34</v>
      </c>
    </row>
    <row r="6207" spans="1:12" x14ac:dyDescent="0.25">
      <c r="A6207" t="s">
        <v>26</v>
      </c>
      <c r="B6207">
        <v>1197831</v>
      </c>
      <c r="C6207" s="1">
        <v>44464</v>
      </c>
      <c r="D6207" t="s">
        <v>52</v>
      </c>
      <c r="E6207" t="s">
        <v>53</v>
      </c>
      <c r="F6207" t="s">
        <v>54</v>
      </c>
      <c r="G6207" t="s">
        <v>15</v>
      </c>
      <c r="H6207" t="s">
        <v>37</v>
      </c>
      <c r="I6207" s="3">
        <v>38</v>
      </c>
      <c r="J6207" s="2">
        <v>158</v>
      </c>
      <c r="K6207" s="3">
        <f t="shared" si="96"/>
        <v>6004</v>
      </c>
      <c r="L6207" s="3">
        <v>2761.8399999999997</v>
      </c>
    </row>
    <row r="6208" spans="1:12" x14ac:dyDescent="0.25">
      <c r="A6208" t="s">
        <v>26</v>
      </c>
      <c r="B6208">
        <v>1197831</v>
      </c>
      <c r="C6208" s="1">
        <v>44464</v>
      </c>
      <c r="D6208" t="s">
        <v>52</v>
      </c>
      <c r="E6208" t="s">
        <v>99</v>
      </c>
      <c r="F6208" t="s">
        <v>100</v>
      </c>
      <c r="G6208" t="s">
        <v>15</v>
      </c>
      <c r="H6208" t="s">
        <v>17</v>
      </c>
      <c r="I6208" s="3">
        <v>23</v>
      </c>
      <c r="J6208" s="2">
        <v>173</v>
      </c>
      <c r="K6208" s="3">
        <f t="shared" si="96"/>
        <v>3979</v>
      </c>
      <c r="L6208" s="3">
        <v>1790.5500000000002</v>
      </c>
    </row>
    <row r="6209" spans="1:12" x14ac:dyDescent="0.25">
      <c r="A6209" t="s">
        <v>26</v>
      </c>
      <c r="B6209">
        <v>1197831</v>
      </c>
      <c r="C6209" s="1">
        <v>44464</v>
      </c>
      <c r="D6209" t="s">
        <v>52</v>
      </c>
      <c r="E6209" t="s">
        <v>99</v>
      </c>
      <c r="F6209" t="s">
        <v>100</v>
      </c>
      <c r="G6209" t="s">
        <v>41</v>
      </c>
      <c r="H6209" t="s">
        <v>17</v>
      </c>
      <c r="I6209" s="3">
        <v>29</v>
      </c>
      <c r="J6209" s="2">
        <v>158</v>
      </c>
      <c r="K6209" s="3">
        <f t="shared" si="96"/>
        <v>4582</v>
      </c>
      <c r="L6209" s="3">
        <v>1695.3400000000006</v>
      </c>
    </row>
    <row r="6210" spans="1:12" x14ac:dyDescent="0.25">
      <c r="A6210" t="s">
        <v>26</v>
      </c>
      <c r="B6210">
        <v>1197831</v>
      </c>
      <c r="C6210" s="1">
        <v>44464</v>
      </c>
      <c r="D6210" t="s">
        <v>52</v>
      </c>
      <c r="E6210" t="s">
        <v>53</v>
      </c>
      <c r="F6210" t="s">
        <v>54</v>
      </c>
      <c r="G6210" t="s">
        <v>41</v>
      </c>
      <c r="H6210" t="s">
        <v>37</v>
      </c>
      <c r="I6210" s="3">
        <v>47</v>
      </c>
      <c r="J6210" s="2">
        <v>147</v>
      </c>
      <c r="K6210" s="3">
        <f t="shared" si="96"/>
        <v>6909</v>
      </c>
      <c r="L6210" s="3">
        <v>2418.1499999999996</v>
      </c>
    </row>
    <row r="6211" spans="1:12" x14ac:dyDescent="0.25">
      <c r="A6211" t="s">
        <v>26</v>
      </c>
      <c r="B6211">
        <v>1197831</v>
      </c>
      <c r="C6211" s="1">
        <v>44465</v>
      </c>
      <c r="D6211" t="s">
        <v>52</v>
      </c>
      <c r="E6211" t="s">
        <v>53</v>
      </c>
      <c r="F6211" t="s">
        <v>54</v>
      </c>
      <c r="G6211" t="s">
        <v>15</v>
      </c>
      <c r="H6211" t="s">
        <v>22</v>
      </c>
      <c r="I6211" s="3">
        <v>55.000000000000007</v>
      </c>
      <c r="J6211" s="2">
        <v>525</v>
      </c>
      <c r="K6211" s="3">
        <f t="shared" ref="K6211:K6274" si="97">I6211*J6211</f>
        <v>28875.000000000004</v>
      </c>
      <c r="L6211" s="3">
        <v>18768.750000000007</v>
      </c>
    </row>
    <row r="6212" spans="1:12" x14ac:dyDescent="0.25">
      <c r="A6212" t="s">
        <v>26</v>
      </c>
      <c r="B6212">
        <v>1197831</v>
      </c>
      <c r="C6212" s="1">
        <v>44465</v>
      </c>
      <c r="D6212" t="s">
        <v>52</v>
      </c>
      <c r="E6212" t="s">
        <v>99</v>
      </c>
      <c r="F6212" t="s">
        <v>100</v>
      </c>
      <c r="G6212" t="s">
        <v>15</v>
      </c>
      <c r="H6212" t="s">
        <v>35</v>
      </c>
      <c r="I6212" s="3">
        <v>35</v>
      </c>
      <c r="J6212" s="2">
        <v>475</v>
      </c>
      <c r="K6212" s="3">
        <f t="shared" si="97"/>
        <v>16625</v>
      </c>
      <c r="L6212" s="3">
        <v>8312.5000000000018</v>
      </c>
    </row>
    <row r="6213" spans="1:12" x14ac:dyDescent="0.25">
      <c r="A6213" t="s">
        <v>26</v>
      </c>
      <c r="B6213">
        <v>1197831</v>
      </c>
      <c r="C6213" s="1">
        <v>44465</v>
      </c>
      <c r="D6213" t="s">
        <v>52</v>
      </c>
      <c r="E6213" t="s">
        <v>53</v>
      </c>
      <c r="F6213" t="s">
        <v>54</v>
      </c>
      <c r="G6213" t="s">
        <v>15</v>
      </c>
      <c r="H6213" t="s">
        <v>22</v>
      </c>
      <c r="I6213" s="3">
        <v>43</v>
      </c>
      <c r="J6213" s="2">
        <v>158</v>
      </c>
      <c r="K6213" s="3">
        <f t="shared" si="97"/>
        <v>6794</v>
      </c>
      <c r="L6213" s="3">
        <v>4008.46</v>
      </c>
    </row>
    <row r="6214" spans="1:12" x14ac:dyDescent="0.25">
      <c r="A6214" t="s">
        <v>26</v>
      </c>
      <c r="B6214">
        <v>1197831</v>
      </c>
      <c r="C6214" s="1">
        <v>44465</v>
      </c>
      <c r="D6214" t="s">
        <v>52</v>
      </c>
      <c r="E6214" t="s">
        <v>53</v>
      </c>
      <c r="F6214" t="s">
        <v>54</v>
      </c>
      <c r="G6214" t="s">
        <v>41</v>
      </c>
      <c r="H6214" t="s">
        <v>22</v>
      </c>
      <c r="I6214" s="3">
        <v>53</v>
      </c>
      <c r="J6214" s="2">
        <v>142</v>
      </c>
      <c r="K6214" s="3">
        <f t="shared" si="97"/>
        <v>7526</v>
      </c>
      <c r="L6214" s="3">
        <v>3913.52</v>
      </c>
    </row>
    <row r="6215" spans="1:12" x14ac:dyDescent="0.25">
      <c r="A6215" t="s">
        <v>26</v>
      </c>
      <c r="B6215">
        <v>1197831</v>
      </c>
      <c r="C6215" s="1">
        <v>44465</v>
      </c>
      <c r="D6215" t="s">
        <v>52</v>
      </c>
      <c r="E6215" t="s">
        <v>99</v>
      </c>
      <c r="F6215" t="s">
        <v>100</v>
      </c>
      <c r="G6215" t="s">
        <v>15</v>
      </c>
      <c r="H6215" t="s">
        <v>35</v>
      </c>
      <c r="I6215" s="3">
        <v>24</v>
      </c>
      <c r="J6215" s="2">
        <v>166</v>
      </c>
      <c r="K6215" s="3">
        <f t="shared" si="97"/>
        <v>3984</v>
      </c>
      <c r="L6215" s="3">
        <v>1832.6400000000003</v>
      </c>
    </row>
    <row r="6216" spans="1:12" x14ac:dyDescent="0.25">
      <c r="A6216" t="s">
        <v>26</v>
      </c>
      <c r="B6216">
        <v>1197831</v>
      </c>
      <c r="C6216" s="1">
        <v>44465</v>
      </c>
      <c r="D6216" t="s">
        <v>52</v>
      </c>
      <c r="E6216" t="s">
        <v>99</v>
      </c>
      <c r="F6216" t="s">
        <v>100</v>
      </c>
      <c r="G6216" t="s">
        <v>41</v>
      </c>
      <c r="H6216" t="s">
        <v>35</v>
      </c>
      <c r="I6216" s="3">
        <v>32</v>
      </c>
      <c r="J6216" s="2">
        <v>124</v>
      </c>
      <c r="K6216" s="3">
        <f t="shared" si="97"/>
        <v>3968</v>
      </c>
      <c r="L6216" s="3">
        <v>1587.2000000000003</v>
      </c>
    </row>
    <row r="6217" spans="1:12" x14ac:dyDescent="0.25">
      <c r="A6217" t="s">
        <v>27</v>
      </c>
      <c r="B6217">
        <v>1128299</v>
      </c>
      <c r="C6217" s="1">
        <v>44466</v>
      </c>
      <c r="D6217" t="s">
        <v>12</v>
      </c>
      <c r="E6217" t="s">
        <v>42</v>
      </c>
      <c r="F6217" t="s">
        <v>43</v>
      </c>
      <c r="G6217" t="s">
        <v>41</v>
      </c>
      <c r="H6217" t="s">
        <v>16</v>
      </c>
      <c r="I6217" s="3">
        <v>65.000000000000014</v>
      </c>
      <c r="J6217" s="2">
        <v>475</v>
      </c>
      <c r="K6217" s="3">
        <f t="shared" si="97"/>
        <v>30875.000000000007</v>
      </c>
      <c r="L6217" s="3">
        <v>23156.250000000007</v>
      </c>
    </row>
    <row r="6218" spans="1:12" x14ac:dyDescent="0.25">
      <c r="A6218" t="s">
        <v>27</v>
      </c>
      <c r="B6218">
        <v>1128299</v>
      </c>
      <c r="C6218" s="1">
        <v>44466</v>
      </c>
      <c r="D6218" t="s">
        <v>12</v>
      </c>
      <c r="E6218" t="s">
        <v>42</v>
      </c>
      <c r="F6218" t="s">
        <v>43</v>
      </c>
      <c r="G6218" t="s">
        <v>41</v>
      </c>
      <c r="H6218" t="s">
        <v>22</v>
      </c>
      <c r="I6218" s="3">
        <v>60.000000000000007</v>
      </c>
      <c r="J6218" s="2">
        <v>425</v>
      </c>
      <c r="K6218" s="3">
        <f t="shared" si="97"/>
        <v>25500.000000000004</v>
      </c>
      <c r="L6218" s="3">
        <v>17850.000000000004</v>
      </c>
    </row>
    <row r="6219" spans="1:12" x14ac:dyDescent="0.25">
      <c r="A6219" t="s">
        <v>27</v>
      </c>
      <c r="B6219">
        <v>1128299</v>
      </c>
      <c r="C6219" s="1">
        <v>44466</v>
      </c>
      <c r="D6219" t="s">
        <v>12</v>
      </c>
      <c r="E6219" t="s">
        <v>42</v>
      </c>
      <c r="F6219" t="s">
        <v>43</v>
      </c>
      <c r="G6219" t="s">
        <v>41</v>
      </c>
      <c r="H6219" t="s">
        <v>38</v>
      </c>
      <c r="I6219" s="3">
        <v>50.000000000000014</v>
      </c>
      <c r="J6219" s="2">
        <v>625</v>
      </c>
      <c r="K6219" s="3">
        <f t="shared" si="97"/>
        <v>31250.000000000007</v>
      </c>
      <c r="L6219" s="3">
        <v>20312.500000000007</v>
      </c>
    </row>
    <row r="6220" spans="1:12" x14ac:dyDescent="0.25">
      <c r="A6220" t="s">
        <v>27</v>
      </c>
      <c r="B6220">
        <v>1128299</v>
      </c>
      <c r="C6220" s="1">
        <v>44466</v>
      </c>
      <c r="D6220" t="s">
        <v>12</v>
      </c>
      <c r="E6220" t="s">
        <v>42</v>
      </c>
      <c r="F6220" t="s">
        <v>43</v>
      </c>
      <c r="G6220" t="s">
        <v>41</v>
      </c>
      <c r="H6220" t="s">
        <v>35</v>
      </c>
      <c r="I6220" s="3">
        <v>50.000000000000014</v>
      </c>
      <c r="J6220" s="2">
        <v>475</v>
      </c>
      <c r="K6220" s="3">
        <f t="shared" si="97"/>
        <v>23750.000000000007</v>
      </c>
      <c r="L6220" s="3">
        <v>15437.500000000005</v>
      </c>
    </row>
    <row r="6221" spans="1:12" x14ac:dyDescent="0.25">
      <c r="A6221" t="s">
        <v>27</v>
      </c>
      <c r="B6221">
        <v>1128299</v>
      </c>
      <c r="C6221" s="1">
        <v>44466</v>
      </c>
      <c r="D6221" t="s">
        <v>12</v>
      </c>
      <c r="E6221" t="s">
        <v>42</v>
      </c>
      <c r="F6221" t="s">
        <v>43</v>
      </c>
      <c r="G6221" t="s">
        <v>41</v>
      </c>
      <c r="H6221" t="s">
        <v>37</v>
      </c>
      <c r="I6221" s="3">
        <v>50.000000000000014</v>
      </c>
      <c r="J6221" s="2">
        <v>425</v>
      </c>
      <c r="K6221" s="3">
        <f t="shared" si="97"/>
        <v>21250.000000000007</v>
      </c>
      <c r="L6221" s="3">
        <v>13812.500000000005</v>
      </c>
    </row>
    <row r="6222" spans="1:12" x14ac:dyDescent="0.25">
      <c r="A6222" t="s">
        <v>27</v>
      </c>
      <c r="B6222">
        <v>1128299</v>
      </c>
      <c r="C6222" s="1">
        <v>44466</v>
      </c>
      <c r="D6222" t="s">
        <v>12</v>
      </c>
      <c r="E6222" t="s">
        <v>42</v>
      </c>
      <c r="F6222" t="s">
        <v>43</v>
      </c>
      <c r="G6222" t="s">
        <v>41</v>
      </c>
      <c r="H6222" t="s">
        <v>17</v>
      </c>
      <c r="I6222" s="3">
        <v>55.000000000000014</v>
      </c>
      <c r="J6222" s="2">
        <v>625</v>
      </c>
      <c r="K6222" s="3">
        <f t="shared" si="97"/>
        <v>34375.000000000007</v>
      </c>
      <c r="L6222" s="3">
        <v>20625.000000000007</v>
      </c>
    </row>
    <row r="6223" spans="1:12" x14ac:dyDescent="0.25">
      <c r="A6223" t="s">
        <v>26</v>
      </c>
      <c r="B6223">
        <v>1197831</v>
      </c>
      <c r="C6223" s="1">
        <v>44466</v>
      </c>
      <c r="D6223" t="s">
        <v>52</v>
      </c>
      <c r="E6223" t="s">
        <v>53</v>
      </c>
      <c r="F6223" t="s">
        <v>54</v>
      </c>
      <c r="G6223" t="s">
        <v>15</v>
      </c>
      <c r="H6223" t="s">
        <v>16</v>
      </c>
      <c r="I6223" s="3">
        <v>60</v>
      </c>
      <c r="J6223" s="2">
        <v>775</v>
      </c>
      <c r="K6223" s="3">
        <f t="shared" si="97"/>
        <v>46500</v>
      </c>
      <c r="L6223" s="3">
        <v>20924.999999999996</v>
      </c>
    </row>
    <row r="6224" spans="1:12" x14ac:dyDescent="0.25">
      <c r="A6224" t="s">
        <v>26</v>
      </c>
      <c r="B6224">
        <v>1197831</v>
      </c>
      <c r="C6224" s="1">
        <v>44466</v>
      </c>
      <c r="D6224" t="s">
        <v>52</v>
      </c>
      <c r="E6224" t="s">
        <v>99</v>
      </c>
      <c r="F6224" t="s">
        <v>100</v>
      </c>
      <c r="G6224" t="s">
        <v>15</v>
      </c>
      <c r="H6224" t="s">
        <v>37</v>
      </c>
      <c r="I6224" s="3">
        <v>35</v>
      </c>
      <c r="J6224" s="2">
        <v>325</v>
      </c>
      <c r="K6224" s="3">
        <f t="shared" si="97"/>
        <v>11375</v>
      </c>
      <c r="L6224" s="3">
        <v>4549.9999999999982</v>
      </c>
    </row>
    <row r="6225" spans="1:12" x14ac:dyDescent="0.25">
      <c r="A6225" t="s">
        <v>27</v>
      </c>
      <c r="B6225">
        <v>1128299</v>
      </c>
      <c r="C6225" s="1">
        <v>44466</v>
      </c>
      <c r="D6225" t="s">
        <v>12</v>
      </c>
      <c r="E6225" t="s">
        <v>42</v>
      </c>
      <c r="F6225" t="s">
        <v>43</v>
      </c>
      <c r="G6225" t="s">
        <v>15</v>
      </c>
      <c r="H6225" t="s">
        <v>16</v>
      </c>
      <c r="I6225" s="3">
        <v>48</v>
      </c>
      <c r="J6225" s="2">
        <v>157</v>
      </c>
      <c r="K6225" s="3">
        <f t="shared" si="97"/>
        <v>7536</v>
      </c>
      <c r="L6225" s="3">
        <v>5275.2000000000007</v>
      </c>
    </row>
    <row r="6226" spans="1:12" x14ac:dyDescent="0.25">
      <c r="A6226" t="s">
        <v>27</v>
      </c>
      <c r="B6226">
        <v>1128299</v>
      </c>
      <c r="C6226" s="1">
        <v>44466</v>
      </c>
      <c r="D6226" t="s">
        <v>12</v>
      </c>
      <c r="E6226" t="s">
        <v>42</v>
      </c>
      <c r="F6226" t="s">
        <v>43</v>
      </c>
      <c r="G6226" t="s">
        <v>15</v>
      </c>
      <c r="H6226" t="s">
        <v>22</v>
      </c>
      <c r="I6226" s="3">
        <v>40</v>
      </c>
      <c r="J6226" s="2">
        <v>145</v>
      </c>
      <c r="K6226" s="3">
        <f t="shared" si="97"/>
        <v>5800</v>
      </c>
      <c r="L6226" s="3">
        <v>3770</v>
      </c>
    </row>
    <row r="6227" spans="1:12" x14ac:dyDescent="0.25">
      <c r="A6227" t="s">
        <v>27</v>
      </c>
      <c r="B6227">
        <v>1128299</v>
      </c>
      <c r="C6227" s="1">
        <v>44466</v>
      </c>
      <c r="D6227" t="s">
        <v>12</v>
      </c>
      <c r="E6227" t="s">
        <v>42</v>
      </c>
      <c r="F6227" t="s">
        <v>43</v>
      </c>
      <c r="G6227" t="s">
        <v>41</v>
      </c>
      <c r="H6227" t="s">
        <v>16</v>
      </c>
      <c r="I6227" s="3">
        <v>59</v>
      </c>
      <c r="J6227" s="2">
        <v>133</v>
      </c>
      <c r="K6227" s="3">
        <f t="shared" si="97"/>
        <v>7847</v>
      </c>
      <c r="L6227" s="3">
        <v>5022.08</v>
      </c>
    </row>
    <row r="6228" spans="1:12" x14ac:dyDescent="0.25">
      <c r="A6228" t="s">
        <v>27</v>
      </c>
      <c r="B6228">
        <v>1128299</v>
      </c>
      <c r="C6228" s="1">
        <v>44466</v>
      </c>
      <c r="D6228" t="s">
        <v>12</v>
      </c>
      <c r="E6228" t="s">
        <v>42</v>
      </c>
      <c r="F6228" t="s">
        <v>43</v>
      </c>
      <c r="G6228" t="s">
        <v>41</v>
      </c>
      <c r="H6228" t="s">
        <v>22</v>
      </c>
      <c r="I6228" s="3">
        <v>54</v>
      </c>
      <c r="J6228" s="2">
        <v>111</v>
      </c>
      <c r="K6228" s="3">
        <f t="shared" si="97"/>
        <v>5994</v>
      </c>
      <c r="L6228" s="3">
        <v>3596.4</v>
      </c>
    </row>
    <row r="6229" spans="1:12" x14ac:dyDescent="0.25">
      <c r="A6229" t="s">
        <v>27</v>
      </c>
      <c r="B6229">
        <v>1128299</v>
      </c>
      <c r="C6229" s="1">
        <v>44466</v>
      </c>
      <c r="D6229" t="s">
        <v>12</v>
      </c>
      <c r="E6229" t="s">
        <v>42</v>
      </c>
      <c r="F6229" t="s">
        <v>43</v>
      </c>
      <c r="G6229" t="s">
        <v>15</v>
      </c>
      <c r="H6229" t="s">
        <v>37</v>
      </c>
      <c r="I6229" s="3">
        <v>37</v>
      </c>
      <c r="J6229" s="2">
        <v>145</v>
      </c>
      <c r="K6229" s="3">
        <f t="shared" si="97"/>
        <v>5365</v>
      </c>
      <c r="L6229" s="3">
        <v>3165.35</v>
      </c>
    </row>
    <row r="6230" spans="1:12" x14ac:dyDescent="0.25">
      <c r="A6230" t="s">
        <v>27</v>
      </c>
      <c r="B6230">
        <v>1128299</v>
      </c>
      <c r="C6230" s="1">
        <v>44466</v>
      </c>
      <c r="D6230" t="s">
        <v>12</v>
      </c>
      <c r="E6230" t="s">
        <v>42</v>
      </c>
      <c r="F6230" t="s">
        <v>43</v>
      </c>
      <c r="G6230" t="s">
        <v>15</v>
      </c>
      <c r="H6230" t="s">
        <v>38</v>
      </c>
      <c r="I6230" s="3">
        <v>37</v>
      </c>
      <c r="J6230" s="2">
        <v>206</v>
      </c>
      <c r="K6230" s="3">
        <f t="shared" si="97"/>
        <v>7622</v>
      </c>
      <c r="L6230" s="3">
        <v>4420.76</v>
      </c>
    </row>
    <row r="6231" spans="1:12" x14ac:dyDescent="0.25">
      <c r="A6231" t="s">
        <v>27</v>
      </c>
      <c r="B6231">
        <v>1128299</v>
      </c>
      <c r="C6231" s="1">
        <v>44466</v>
      </c>
      <c r="D6231" t="s">
        <v>12</v>
      </c>
      <c r="E6231" t="s">
        <v>42</v>
      </c>
      <c r="F6231" t="s">
        <v>43</v>
      </c>
      <c r="G6231" t="s">
        <v>15</v>
      </c>
      <c r="H6231" t="s">
        <v>35</v>
      </c>
      <c r="I6231" s="3">
        <v>39</v>
      </c>
      <c r="J6231" s="2">
        <v>147</v>
      </c>
      <c r="K6231" s="3">
        <f t="shared" si="97"/>
        <v>5733</v>
      </c>
      <c r="L6231" s="3">
        <v>3325.14</v>
      </c>
    </row>
    <row r="6232" spans="1:12" x14ac:dyDescent="0.25">
      <c r="A6232" t="s">
        <v>27</v>
      </c>
      <c r="B6232">
        <v>1128299</v>
      </c>
      <c r="C6232" s="1">
        <v>44466</v>
      </c>
      <c r="D6232" t="s">
        <v>12</v>
      </c>
      <c r="E6232" t="s">
        <v>42</v>
      </c>
      <c r="F6232" t="s">
        <v>43</v>
      </c>
      <c r="G6232" t="s">
        <v>41</v>
      </c>
      <c r="H6232" t="s">
        <v>38</v>
      </c>
      <c r="I6232" s="3">
        <v>49</v>
      </c>
      <c r="J6232" s="2">
        <v>163</v>
      </c>
      <c r="K6232" s="3">
        <f t="shared" si="97"/>
        <v>7987</v>
      </c>
      <c r="L6232" s="3">
        <v>4392.8500000000004</v>
      </c>
    </row>
    <row r="6233" spans="1:12" x14ac:dyDescent="0.25">
      <c r="A6233" t="s">
        <v>27</v>
      </c>
      <c r="B6233">
        <v>1128299</v>
      </c>
      <c r="C6233" s="1">
        <v>44466</v>
      </c>
      <c r="D6233" t="s">
        <v>12</v>
      </c>
      <c r="E6233" t="s">
        <v>42</v>
      </c>
      <c r="F6233" t="s">
        <v>43</v>
      </c>
      <c r="G6233" t="s">
        <v>15</v>
      </c>
      <c r="H6233" t="s">
        <v>17</v>
      </c>
      <c r="I6233" s="3">
        <v>39</v>
      </c>
      <c r="J6233" s="2">
        <v>188</v>
      </c>
      <c r="K6233" s="3">
        <f t="shared" si="97"/>
        <v>7332</v>
      </c>
      <c r="L6233" s="3">
        <v>3959.2799999999997</v>
      </c>
    </row>
    <row r="6234" spans="1:12" x14ac:dyDescent="0.25">
      <c r="A6234" t="s">
        <v>27</v>
      </c>
      <c r="B6234">
        <v>1128299</v>
      </c>
      <c r="C6234" s="1">
        <v>44466</v>
      </c>
      <c r="D6234" t="s">
        <v>12</v>
      </c>
      <c r="E6234" t="s">
        <v>42</v>
      </c>
      <c r="F6234" t="s">
        <v>43</v>
      </c>
      <c r="G6234" t="s">
        <v>41</v>
      </c>
      <c r="H6234" t="s">
        <v>35</v>
      </c>
      <c r="I6234" s="3">
        <v>46</v>
      </c>
      <c r="J6234" s="2">
        <v>143</v>
      </c>
      <c r="K6234" s="3">
        <f t="shared" si="97"/>
        <v>6578</v>
      </c>
      <c r="L6234" s="3">
        <v>3486.34</v>
      </c>
    </row>
    <row r="6235" spans="1:12" x14ac:dyDescent="0.25">
      <c r="A6235" t="s">
        <v>27</v>
      </c>
      <c r="B6235">
        <v>1128299</v>
      </c>
      <c r="C6235" s="1">
        <v>44466</v>
      </c>
      <c r="D6235" t="s">
        <v>12</v>
      </c>
      <c r="E6235" t="s">
        <v>42</v>
      </c>
      <c r="F6235" t="s">
        <v>43</v>
      </c>
      <c r="G6235" t="s">
        <v>41</v>
      </c>
      <c r="H6235" t="s">
        <v>37</v>
      </c>
      <c r="I6235" s="3">
        <v>49</v>
      </c>
      <c r="J6235" s="2">
        <v>123</v>
      </c>
      <c r="K6235" s="3">
        <f t="shared" si="97"/>
        <v>6027</v>
      </c>
      <c r="L6235" s="3">
        <v>3194.31</v>
      </c>
    </row>
    <row r="6236" spans="1:12" x14ac:dyDescent="0.25">
      <c r="A6236" t="s">
        <v>27</v>
      </c>
      <c r="B6236">
        <v>1128299</v>
      </c>
      <c r="C6236" s="1">
        <v>44466</v>
      </c>
      <c r="D6236" t="s">
        <v>12</v>
      </c>
      <c r="E6236" t="s">
        <v>42</v>
      </c>
      <c r="F6236" t="s">
        <v>43</v>
      </c>
      <c r="G6236" t="s">
        <v>41</v>
      </c>
      <c r="H6236" t="s">
        <v>17</v>
      </c>
      <c r="I6236" s="3">
        <v>51</v>
      </c>
      <c r="J6236" s="2">
        <v>156</v>
      </c>
      <c r="K6236" s="3">
        <f t="shared" si="97"/>
        <v>7956</v>
      </c>
      <c r="L6236" s="3">
        <v>3898.44</v>
      </c>
    </row>
    <row r="6237" spans="1:12" x14ac:dyDescent="0.25">
      <c r="A6237" t="s">
        <v>26</v>
      </c>
      <c r="B6237">
        <v>1197831</v>
      </c>
      <c r="C6237" s="1">
        <v>44466</v>
      </c>
      <c r="D6237" t="s">
        <v>52</v>
      </c>
      <c r="E6237" t="s">
        <v>53</v>
      </c>
      <c r="F6237" t="s">
        <v>54</v>
      </c>
      <c r="G6237" t="s">
        <v>15</v>
      </c>
      <c r="H6237" t="s">
        <v>16</v>
      </c>
      <c r="I6237" s="3">
        <v>43</v>
      </c>
      <c r="J6237" s="2">
        <v>240</v>
      </c>
      <c r="K6237" s="3">
        <f t="shared" si="97"/>
        <v>10320</v>
      </c>
      <c r="L6237" s="3">
        <v>4127.9999999999991</v>
      </c>
    </row>
    <row r="6238" spans="1:12" x14ac:dyDescent="0.25">
      <c r="A6238" t="s">
        <v>26</v>
      </c>
      <c r="B6238">
        <v>1197831</v>
      </c>
      <c r="C6238" s="1">
        <v>44466</v>
      </c>
      <c r="D6238" t="s">
        <v>52</v>
      </c>
      <c r="E6238" t="s">
        <v>99</v>
      </c>
      <c r="F6238" t="s">
        <v>100</v>
      </c>
      <c r="G6238" t="s">
        <v>15</v>
      </c>
      <c r="H6238" t="s">
        <v>37</v>
      </c>
      <c r="I6238" s="3">
        <v>26</v>
      </c>
      <c r="J6238" s="2">
        <v>98</v>
      </c>
      <c r="K6238" s="3">
        <f t="shared" si="97"/>
        <v>2548</v>
      </c>
      <c r="L6238" s="3">
        <v>840.83999999999969</v>
      </c>
    </row>
    <row r="6239" spans="1:12" x14ac:dyDescent="0.25">
      <c r="A6239" t="s">
        <v>26</v>
      </c>
      <c r="B6239">
        <v>1197831</v>
      </c>
      <c r="C6239" s="1">
        <v>44466</v>
      </c>
      <c r="D6239" t="s">
        <v>52</v>
      </c>
      <c r="E6239" t="s">
        <v>53</v>
      </c>
      <c r="F6239" t="s">
        <v>54</v>
      </c>
      <c r="G6239" t="s">
        <v>41</v>
      </c>
      <c r="H6239" t="s">
        <v>16</v>
      </c>
      <c r="I6239" s="3">
        <v>56</v>
      </c>
      <c r="J6239" s="2">
        <v>233</v>
      </c>
      <c r="K6239" s="3">
        <f t="shared" si="97"/>
        <v>13048</v>
      </c>
      <c r="L6239" s="3">
        <v>3914.3999999999996</v>
      </c>
    </row>
    <row r="6240" spans="1:12" x14ac:dyDescent="0.25">
      <c r="A6240" t="s">
        <v>26</v>
      </c>
      <c r="B6240">
        <v>1197831</v>
      </c>
      <c r="C6240" s="1">
        <v>44466</v>
      </c>
      <c r="D6240" t="s">
        <v>52</v>
      </c>
      <c r="E6240" t="s">
        <v>99</v>
      </c>
      <c r="F6240" t="s">
        <v>100</v>
      </c>
      <c r="G6240" t="s">
        <v>41</v>
      </c>
      <c r="H6240" t="s">
        <v>37</v>
      </c>
      <c r="I6240" s="3">
        <v>32</v>
      </c>
      <c r="J6240" s="2">
        <v>91</v>
      </c>
      <c r="K6240" s="3">
        <f t="shared" si="97"/>
        <v>2912</v>
      </c>
      <c r="L6240" s="3">
        <v>786.23999999999978</v>
      </c>
    </row>
    <row r="6241" spans="1:12" x14ac:dyDescent="0.25">
      <c r="A6241" t="s">
        <v>26</v>
      </c>
      <c r="B6241">
        <v>1197831</v>
      </c>
      <c r="C6241" s="1">
        <v>44467</v>
      </c>
      <c r="D6241" t="s">
        <v>52</v>
      </c>
      <c r="E6241" t="s">
        <v>53</v>
      </c>
      <c r="F6241" t="s">
        <v>54</v>
      </c>
      <c r="G6241" t="s">
        <v>15</v>
      </c>
      <c r="H6241" t="s">
        <v>38</v>
      </c>
      <c r="I6241" s="3">
        <v>55.000000000000007</v>
      </c>
      <c r="J6241" s="2">
        <v>725</v>
      </c>
      <c r="K6241" s="3">
        <f t="shared" si="97"/>
        <v>39875.000000000007</v>
      </c>
      <c r="L6241" s="3">
        <v>23925.000000000007</v>
      </c>
    </row>
    <row r="6242" spans="1:12" x14ac:dyDescent="0.25">
      <c r="A6242" t="s">
        <v>26</v>
      </c>
      <c r="B6242">
        <v>1197831</v>
      </c>
      <c r="C6242" s="1">
        <v>44467</v>
      </c>
      <c r="D6242" t="s">
        <v>52</v>
      </c>
      <c r="E6242" t="s">
        <v>99</v>
      </c>
      <c r="F6242" t="s">
        <v>100</v>
      </c>
      <c r="G6242" t="s">
        <v>15</v>
      </c>
      <c r="H6242" t="s">
        <v>22</v>
      </c>
      <c r="I6242" s="3">
        <v>30.000000000000004</v>
      </c>
      <c r="J6242" s="2">
        <v>300</v>
      </c>
      <c r="K6242" s="3">
        <f t="shared" si="97"/>
        <v>9000.0000000000018</v>
      </c>
      <c r="L6242" s="3">
        <v>4950.0000000000018</v>
      </c>
    </row>
    <row r="6243" spans="1:12" x14ac:dyDescent="0.25">
      <c r="A6243" t="s">
        <v>26</v>
      </c>
      <c r="B6243">
        <v>1197831</v>
      </c>
      <c r="C6243" s="1">
        <v>44467</v>
      </c>
      <c r="D6243" t="s">
        <v>52</v>
      </c>
      <c r="E6243" t="s">
        <v>53</v>
      </c>
      <c r="F6243" t="s">
        <v>54</v>
      </c>
      <c r="G6243" t="s">
        <v>15</v>
      </c>
      <c r="H6243" t="s">
        <v>38</v>
      </c>
      <c r="I6243" s="3">
        <v>38</v>
      </c>
      <c r="J6243" s="2">
        <v>232</v>
      </c>
      <c r="K6243" s="3">
        <f t="shared" si="97"/>
        <v>8816</v>
      </c>
      <c r="L6243" s="3">
        <v>4760.6400000000003</v>
      </c>
    </row>
    <row r="6244" spans="1:12" x14ac:dyDescent="0.25">
      <c r="A6244" t="s">
        <v>26</v>
      </c>
      <c r="B6244">
        <v>1197831</v>
      </c>
      <c r="C6244" s="1">
        <v>44467</v>
      </c>
      <c r="D6244" t="s">
        <v>52</v>
      </c>
      <c r="E6244" t="s">
        <v>99</v>
      </c>
      <c r="F6244" t="s">
        <v>100</v>
      </c>
      <c r="G6244" t="s">
        <v>15</v>
      </c>
      <c r="H6244" t="s">
        <v>22</v>
      </c>
      <c r="I6244" s="3">
        <v>22</v>
      </c>
      <c r="J6244" s="2">
        <v>105</v>
      </c>
      <c r="K6244" s="3">
        <f t="shared" si="97"/>
        <v>2310</v>
      </c>
      <c r="L6244" s="3">
        <v>1178.1000000000001</v>
      </c>
    </row>
    <row r="6245" spans="1:12" x14ac:dyDescent="0.25">
      <c r="A6245" t="s">
        <v>26</v>
      </c>
      <c r="B6245">
        <v>1197831</v>
      </c>
      <c r="C6245" s="1">
        <v>44467</v>
      </c>
      <c r="D6245" t="s">
        <v>52</v>
      </c>
      <c r="E6245" t="s">
        <v>53</v>
      </c>
      <c r="F6245" t="s">
        <v>54</v>
      </c>
      <c r="G6245" t="s">
        <v>41</v>
      </c>
      <c r="H6245" t="s">
        <v>38</v>
      </c>
      <c r="I6245" s="3">
        <v>53</v>
      </c>
      <c r="J6245" s="2">
        <v>181</v>
      </c>
      <c r="K6245" s="3">
        <f t="shared" si="97"/>
        <v>9593</v>
      </c>
      <c r="L6245" s="3">
        <v>4316.8500000000004</v>
      </c>
    </row>
    <row r="6246" spans="1:12" x14ac:dyDescent="0.25">
      <c r="A6246" t="s">
        <v>26</v>
      </c>
      <c r="B6246">
        <v>1197831</v>
      </c>
      <c r="C6246" s="1">
        <v>44467</v>
      </c>
      <c r="D6246" t="s">
        <v>52</v>
      </c>
      <c r="E6246" t="s">
        <v>99</v>
      </c>
      <c r="F6246" t="s">
        <v>100</v>
      </c>
      <c r="G6246" t="s">
        <v>41</v>
      </c>
      <c r="H6246" t="s">
        <v>22</v>
      </c>
      <c r="I6246" s="3">
        <v>29</v>
      </c>
      <c r="J6246" s="2">
        <v>78</v>
      </c>
      <c r="K6246" s="3">
        <f t="shared" si="97"/>
        <v>2262</v>
      </c>
      <c r="L6246" s="3">
        <v>904.8</v>
      </c>
    </row>
    <row r="6247" spans="1:12" x14ac:dyDescent="0.25">
      <c r="A6247" t="s">
        <v>26</v>
      </c>
      <c r="B6247">
        <v>1197831</v>
      </c>
      <c r="C6247" s="1">
        <v>44468</v>
      </c>
      <c r="D6247" t="s">
        <v>52</v>
      </c>
      <c r="E6247" t="s">
        <v>53</v>
      </c>
      <c r="F6247" t="s">
        <v>54</v>
      </c>
      <c r="G6247" t="s">
        <v>15</v>
      </c>
      <c r="H6247" t="s">
        <v>17</v>
      </c>
      <c r="I6247" s="3">
        <v>55.000000000000007</v>
      </c>
      <c r="J6247" s="2">
        <v>675</v>
      </c>
      <c r="K6247" s="3">
        <f t="shared" si="97"/>
        <v>37125.000000000007</v>
      </c>
      <c r="L6247" s="3">
        <v>22275.000000000007</v>
      </c>
    </row>
    <row r="6248" spans="1:12" x14ac:dyDescent="0.25">
      <c r="A6248" t="s">
        <v>26</v>
      </c>
      <c r="B6248">
        <v>1197831</v>
      </c>
      <c r="C6248" s="1">
        <v>44468</v>
      </c>
      <c r="D6248" t="s">
        <v>52</v>
      </c>
      <c r="E6248" t="s">
        <v>99</v>
      </c>
      <c r="F6248" t="s">
        <v>100</v>
      </c>
      <c r="G6248" t="s">
        <v>15</v>
      </c>
      <c r="H6248" t="s">
        <v>16</v>
      </c>
      <c r="I6248" s="3">
        <v>40</v>
      </c>
      <c r="J6248" s="2">
        <v>475</v>
      </c>
      <c r="K6248" s="3">
        <f t="shared" si="97"/>
        <v>19000</v>
      </c>
      <c r="L6248" s="3">
        <v>6649.9999999999973</v>
      </c>
    </row>
    <row r="6249" spans="1:12" x14ac:dyDescent="0.25">
      <c r="A6249" t="s">
        <v>26</v>
      </c>
      <c r="B6249">
        <v>1197831</v>
      </c>
      <c r="C6249" s="1">
        <v>44468</v>
      </c>
      <c r="D6249" t="s">
        <v>52</v>
      </c>
      <c r="E6249" t="s">
        <v>53</v>
      </c>
      <c r="F6249" t="s">
        <v>54</v>
      </c>
      <c r="G6249" t="s">
        <v>15</v>
      </c>
      <c r="H6249" t="s">
        <v>17</v>
      </c>
      <c r="I6249" s="3">
        <v>38</v>
      </c>
      <c r="J6249" s="2">
        <v>203</v>
      </c>
      <c r="K6249" s="3">
        <f t="shared" si="97"/>
        <v>7714</v>
      </c>
      <c r="L6249" s="3">
        <v>4088.42</v>
      </c>
    </row>
    <row r="6250" spans="1:12" x14ac:dyDescent="0.25">
      <c r="A6250" t="s">
        <v>26</v>
      </c>
      <c r="B6250">
        <v>1197831</v>
      </c>
      <c r="C6250" s="1">
        <v>44468</v>
      </c>
      <c r="D6250" t="s">
        <v>52</v>
      </c>
      <c r="E6250" t="s">
        <v>53</v>
      </c>
      <c r="F6250" t="s">
        <v>54</v>
      </c>
      <c r="G6250" t="s">
        <v>41</v>
      </c>
      <c r="H6250" t="s">
        <v>17</v>
      </c>
      <c r="I6250" s="3">
        <v>54</v>
      </c>
      <c r="J6250" s="2">
        <v>176</v>
      </c>
      <c r="K6250" s="3">
        <f t="shared" si="97"/>
        <v>9504</v>
      </c>
      <c r="L6250" s="3">
        <v>4656.96</v>
      </c>
    </row>
    <row r="6251" spans="1:12" x14ac:dyDescent="0.25">
      <c r="A6251" t="s">
        <v>26</v>
      </c>
      <c r="B6251">
        <v>1197831</v>
      </c>
      <c r="C6251" s="1">
        <v>44468</v>
      </c>
      <c r="D6251" t="s">
        <v>52</v>
      </c>
      <c r="E6251" t="s">
        <v>99</v>
      </c>
      <c r="F6251" t="s">
        <v>100</v>
      </c>
      <c r="G6251" t="s">
        <v>15</v>
      </c>
      <c r="H6251" t="s">
        <v>16</v>
      </c>
      <c r="I6251" s="3">
        <v>26</v>
      </c>
      <c r="J6251" s="2">
        <v>147</v>
      </c>
      <c r="K6251" s="3">
        <f t="shared" si="97"/>
        <v>3822</v>
      </c>
      <c r="L6251" s="3">
        <v>1070.1599999999994</v>
      </c>
    </row>
    <row r="6252" spans="1:12" x14ac:dyDescent="0.25">
      <c r="A6252" t="s">
        <v>26</v>
      </c>
      <c r="B6252">
        <v>1197831</v>
      </c>
      <c r="C6252" s="1">
        <v>44468</v>
      </c>
      <c r="D6252" t="s">
        <v>52</v>
      </c>
      <c r="E6252" t="s">
        <v>99</v>
      </c>
      <c r="F6252" t="s">
        <v>100</v>
      </c>
      <c r="G6252" t="s">
        <v>41</v>
      </c>
      <c r="H6252" t="s">
        <v>16</v>
      </c>
      <c r="I6252" s="3">
        <v>36</v>
      </c>
      <c r="J6252" s="2">
        <v>143</v>
      </c>
      <c r="K6252" s="3">
        <f t="shared" si="97"/>
        <v>5148</v>
      </c>
      <c r="L6252" s="3">
        <v>1286.9999999999995</v>
      </c>
    </row>
    <row r="6253" spans="1:12" x14ac:dyDescent="0.25">
      <c r="A6253" t="s">
        <v>26</v>
      </c>
      <c r="B6253">
        <v>1197831</v>
      </c>
      <c r="C6253" s="1">
        <v>44469</v>
      </c>
      <c r="D6253" t="s">
        <v>52</v>
      </c>
      <c r="E6253" t="s">
        <v>53</v>
      </c>
      <c r="F6253" t="s">
        <v>54</v>
      </c>
      <c r="G6253" t="s">
        <v>15</v>
      </c>
      <c r="H6253" t="s">
        <v>35</v>
      </c>
      <c r="I6253" s="3">
        <v>60</v>
      </c>
      <c r="J6253" s="2">
        <v>725</v>
      </c>
      <c r="K6253" s="3">
        <f t="shared" si="97"/>
        <v>43500</v>
      </c>
      <c r="L6253" s="3">
        <v>26100</v>
      </c>
    </row>
    <row r="6254" spans="1:12" x14ac:dyDescent="0.25">
      <c r="A6254" t="s">
        <v>26</v>
      </c>
      <c r="B6254">
        <v>1197831</v>
      </c>
      <c r="C6254" s="1">
        <v>44469</v>
      </c>
      <c r="D6254" t="s">
        <v>52</v>
      </c>
      <c r="E6254" t="s">
        <v>99</v>
      </c>
      <c r="F6254" t="s">
        <v>100</v>
      </c>
      <c r="G6254" t="s">
        <v>15</v>
      </c>
      <c r="H6254" t="s">
        <v>38</v>
      </c>
      <c r="I6254" s="3">
        <v>20.000000000000004</v>
      </c>
      <c r="J6254" s="2">
        <v>625</v>
      </c>
      <c r="K6254" s="3">
        <f t="shared" si="97"/>
        <v>12500.000000000002</v>
      </c>
      <c r="L6254" s="3">
        <v>6250.0000000000018</v>
      </c>
    </row>
    <row r="6255" spans="1:12" x14ac:dyDescent="0.25">
      <c r="A6255" t="s">
        <v>26</v>
      </c>
      <c r="B6255">
        <v>1197831</v>
      </c>
      <c r="C6255" s="1">
        <v>44469</v>
      </c>
      <c r="D6255" t="s">
        <v>52</v>
      </c>
      <c r="E6255" t="s">
        <v>53</v>
      </c>
      <c r="F6255" t="s">
        <v>54</v>
      </c>
      <c r="G6255" t="s">
        <v>15</v>
      </c>
      <c r="H6255" t="s">
        <v>35</v>
      </c>
      <c r="I6255" s="3">
        <v>47</v>
      </c>
      <c r="J6255" s="2">
        <v>254</v>
      </c>
      <c r="K6255" s="3">
        <f t="shared" si="97"/>
        <v>11938</v>
      </c>
      <c r="L6255" s="3">
        <v>6565.9000000000005</v>
      </c>
    </row>
    <row r="6256" spans="1:12" x14ac:dyDescent="0.25">
      <c r="A6256" t="s">
        <v>26</v>
      </c>
      <c r="B6256">
        <v>1197831</v>
      </c>
      <c r="C6256" s="1">
        <v>44469</v>
      </c>
      <c r="D6256" t="s">
        <v>52</v>
      </c>
      <c r="E6256" t="s">
        <v>53</v>
      </c>
      <c r="F6256" t="s">
        <v>54</v>
      </c>
      <c r="G6256" t="s">
        <v>41</v>
      </c>
      <c r="H6256" t="s">
        <v>35</v>
      </c>
      <c r="I6256" s="3">
        <v>59</v>
      </c>
      <c r="J6256" s="2">
        <v>203</v>
      </c>
      <c r="K6256" s="3">
        <f t="shared" si="97"/>
        <v>11977</v>
      </c>
      <c r="L6256" s="3">
        <v>5629.19</v>
      </c>
    </row>
    <row r="6257" spans="1:12" x14ac:dyDescent="0.25">
      <c r="A6257" t="s">
        <v>26</v>
      </c>
      <c r="B6257">
        <v>1197831</v>
      </c>
      <c r="C6257" s="1">
        <v>44469</v>
      </c>
      <c r="D6257" t="s">
        <v>52</v>
      </c>
      <c r="E6257" t="s">
        <v>99</v>
      </c>
      <c r="F6257" t="s">
        <v>100</v>
      </c>
      <c r="G6257" t="s">
        <v>15</v>
      </c>
      <c r="H6257" t="s">
        <v>38</v>
      </c>
      <c r="I6257" s="3">
        <v>14</v>
      </c>
      <c r="J6257" s="2">
        <v>188</v>
      </c>
      <c r="K6257" s="3">
        <f t="shared" si="97"/>
        <v>2632</v>
      </c>
      <c r="L6257" s="3">
        <v>1131.7600000000002</v>
      </c>
    </row>
    <row r="6258" spans="1:12" x14ac:dyDescent="0.25">
      <c r="A6258" t="s">
        <v>26</v>
      </c>
      <c r="B6258">
        <v>1197831</v>
      </c>
      <c r="C6258" s="1">
        <v>44469</v>
      </c>
      <c r="D6258" t="s">
        <v>52</v>
      </c>
      <c r="E6258" t="s">
        <v>99</v>
      </c>
      <c r="F6258" t="s">
        <v>100</v>
      </c>
      <c r="G6258" t="s">
        <v>41</v>
      </c>
      <c r="H6258" t="s">
        <v>38</v>
      </c>
      <c r="I6258" s="3">
        <v>18</v>
      </c>
      <c r="J6258" s="2">
        <v>169</v>
      </c>
      <c r="K6258" s="3">
        <f t="shared" si="97"/>
        <v>3042</v>
      </c>
      <c r="L6258" s="3">
        <v>1095.1200000000003</v>
      </c>
    </row>
    <row r="6259" spans="1:12" x14ac:dyDescent="0.25">
      <c r="A6259" t="s">
        <v>26</v>
      </c>
      <c r="B6259">
        <v>1197831</v>
      </c>
      <c r="C6259" s="1">
        <v>44470</v>
      </c>
      <c r="D6259" t="s">
        <v>52</v>
      </c>
      <c r="E6259" t="s">
        <v>99</v>
      </c>
      <c r="F6259" t="s">
        <v>100</v>
      </c>
      <c r="G6259" t="s">
        <v>15</v>
      </c>
      <c r="H6259" t="s">
        <v>17</v>
      </c>
      <c r="I6259" s="3">
        <v>20.000000000000004</v>
      </c>
      <c r="J6259" s="2">
        <v>625</v>
      </c>
      <c r="K6259" s="3">
        <f t="shared" si="97"/>
        <v>12500.000000000002</v>
      </c>
      <c r="L6259" s="3">
        <v>6250.0000000000018</v>
      </c>
    </row>
    <row r="6260" spans="1:12" x14ac:dyDescent="0.25">
      <c r="A6260" t="s">
        <v>26</v>
      </c>
      <c r="B6260">
        <v>1197831</v>
      </c>
      <c r="C6260" s="1">
        <v>44470</v>
      </c>
      <c r="D6260" t="s">
        <v>52</v>
      </c>
      <c r="E6260" t="s">
        <v>53</v>
      </c>
      <c r="F6260" t="s">
        <v>54</v>
      </c>
      <c r="G6260" t="s">
        <v>15</v>
      </c>
      <c r="H6260" t="s">
        <v>37</v>
      </c>
      <c r="I6260" s="3">
        <v>60</v>
      </c>
      <c r="J6260" s="2">
        <v>450</v>
      </c>
      <c r="K6260" s="3">
        <f t="shared" si="97"/>
        <v>27000</v>
      </c>
      <c r="L6260" s="3">
        <v>13500</v>
      </c>
    </row>
    <row r="6261" spans="1:12" x14ac:dyDescent="0.25">
      <c r="A6261" t="s">
        <v>26</v>
      </c>
      <c r="B6261">
        <v>1197831</v>
      </c>
      <c r="C6261" s="1">
        <v>44470</v>
      </c>
      <c r="D6261" t="s">
        <v>52</v>
      </c>
      <c r="E6261" t="s">
        <v>99</v>
      </c>
      <c r="F6261" t="s">
        <v>100</v>
      </c>
      <c r="G6261" t="s">
        <v>15</v>
      </c>
      <c r="H6261" t="s">
        <v>17</v>
      </c>
      <c r="I6261" s="3">
        <v>14</v>
      </c>
      <c r="J6261" s="2">
        <v>200</v>
      </c>
      <c r="K6261" s="3">
        <f t="shared" si="97"/>
        <v>2800</v>
      </c>
      <c r="L6261" s="3">
        <v>1344.0000000000002</v>
      </c>
    </row>
    <row r="6262" spans="1:12" x14ac:dyDescent="0.25">
      <c r="A6262" t="s">
        <v>26</v>
      </c>
      <c r="B6262">
        <v>1197831</v>
      </c>
      <c r="C6262" s="1">
        <v>44470</v>
      </c>
      <c r="D6262" t="s">
        <v>52</v>
      </c>
      <c r="E6262" t="s">
        <v>53</v>
      </c>
      <c r="F6262" t="s">
        <v>54</v>
      </c>
      <c r="G6262" t="s">
        <v>15</v>
      </c>
      <c r="H6262" t="s">
        <v>37</v>
      </c>
      <c r="I6262" s="3">
        <v>41</v>
      </c>
      <c r="J6262" s="2">
        <v>135</v>
      </c>
      <c r="K6262" s="3">
        <f t="shared" si="97"/>
        <v>5535</v>
      </c>
      <c r="L6262" s="3">
        <v>2490.7499999999995</v>
      </c>
    </row>
    <row r="6263" spans="1:12" x14ac:dyDescent="0.25">
      <c r="A6263" t="s">
        <v>26</v>
      </c>
      <c r="B6263">
        <v>1197831</v>
      </c>
      <c r="C6263" s="1">
        <v>44470</v>
      </c>
      <c r="D6263" t="s">
        <v>52</v>
      </c>
      <c r="E6263" t="s">
        <v>99</v>
      </c>
      <c r="F6263" t="s">
        <v>100</v>
      </c>
      <c r="G6263" t="s">
        <v>41</v>
      </c>
      <c r="H6263" t="s">
        <v>17</v>
      </c>
      <c r="I6263" s="3">
        <v>19</v>
      </c>
      <c r="J6263" s="2">
        <v>169</v>
      </c>
      <c r="K6263" s="3">
        <f t="shared" si="97"/>
        <v>3211</v>
      </c>
      <c r="L6263" s="3">
        <v>1252.29</v>
      </c>
    </row>
    <row r="6264" spans="1:12" x14ac:dyDescent="0.25">
      <c r="A6264" t="s">
        <v>26</v>
      </c>
      <c r="B6264">
        <v>1197831</v>
      </c>
      <c r="C6264" s="1">
        <v>44470</v>
      </c>
      <c r="D6264" t="s">
        <v>52</v>
      </c>
      <c r="E6264" t="s">
        <v>53</v>
      </c>
      <c r="F6264" t="s">
        <v>54</v>
      </c>
      <c r="G6264" t="s">
        <v>41</v>
      </c>
      <c r="H6264" t="s">
        <v>37</v>
      </c>
      <c r="I6264" s="3">
        <v>56</v>
      </c>
      <c r="J6264" s="2">
        <v>126</v>
      </c>
      <c r="K6264" s="3">
        <f t="shared" si="97"/>
        <v>7056</v>
      </c>
      <c r="L6264" s="3">
        <v>2469.5999999999995</v>
      </c>
    </row>
    <row r="6265" spans="1:12" x14ac:dyDescent="0.25">
      <c r="A6265" t="s">
        <v>26</v>
      </c>
      <c r="B6265">
        <v>1197831</v>
      </c>
      <c r="C6265" s="1">
        <v>44471</v>
      </c>
      <c r="D6265" t="s">
        <v>52</v>
      </c>
      <c r="E6265" t="s">
        <v>53</v>
      </c>
      <c r="F6265" t="s">
        <v>54</v>
      </c>
      <c r="G6265" t="s">
        <v>15</v>
      </c>
      <c r="H6265" t="s">
        <v>22</v>
      </c>
      <c r="I6265" s="3">
        <v>55.000000000000007</v>
      </c>
      <c r="J6265" s="2">
        <v>450</v>
      </c>
      <c r="K6265" s="3">
        <f t="shared" si="97"/>
        <v>24750.000000000004</v>
      </c>
      <c r="L6265" s="3">
        <v>16087.500000000004</v>
      </c>
    </row>
    <row r="6266" spans="1:12" x14ac:dyDescent="0.25">
      <c r="A6266" t="s">
        <v>26</v>
      </c>
      <c r="B6266">
        <v>1197831</v>
      </c>
      <c r="C6266" s="1">
        <v>44471</v>
      </c>
      <c r="D6266" t="s">
        <v>52</v>
      </c>
      <c r="E6266" t="s">
        <v>99</v>
      </c>
      <c r="F6266" t="s">
        <v>100</v>
      </c>
      <c r="G6266" t="s">
        <v>15</v>
      </c>
      <c r="H6266" t="s">
        <v>35</v>
      </c>
      <c r="I6266" s="3">
        <v>45.000000000000007</v>
      </c>
      <c r="J6266" s="2">
        <v>575</v>
      </c>
      <c r="K6266" s="3">
        <f t="shared" si="97"/>
        <v>25875.000000000004</v>
      </c>
      <c r="L6266" s="3">
        <v>12937.500000000004</v>
      </c>
    </row>
    <row r="6267" spans="1:12" x14ac:dyDescent="0.25">
      <c r="A6267" t="s">
        <v>26</v>
      </c>
      <c r="B6267">
        <v>1197831</v>
      </c>
      <c r="C6267" s="1">
        <v>44471</v>
      </c>
      <c r="D6267" t="s">
        <v>52</v>
      </c>
      <c r="E6267" t="s">
        <v>53</v>
      </c>
      <c r="F6267" t="s">
        <v>54</v>
      </c>
      <c r="G6267" t="s">
        <v>15</v>
      </c>
      <c r="H6267" t="s">
        <v>22</v>
      </c>
      <c r="I6267" s="3">
        <v>37</v>
      </c>
      <c r="J6267" s="2">
        <v>149</v>
      </c>
      <c r="K6267" s="3">
        <f t="shared" si="97"/>
        <v>5513</v>
      </c>
      <c r="L6267" s="3">
        <v>3307.8</v>
      </c>
    </row>
    <row r="6268" spans="1:12" x14ac:dyDescent="0.25">
      <c r="A6268" t="s">
        <v>26</v>
      </c>
      <c r="B6268">
        <v>1197831</v>
      </c>
      <c r="C6268" s="1">
        <v>44471</v>
      </c>
      <c r="D6268" t="s">
        <v>52</v>
      </c>
      <c r="E6268" t="s">
        <v>53</v>
      </c>
      <c r="F6268" t="s">
        <v>54</v>
      </c>
      <c r="G6268" t="s">
        <v>41</v>
      </c>
      <c r="H6268" t="s">
        <v>22</v>
      </c>
      <c r="I6268" s="3">
        <v>53</v>
      </c>
      <c r="J6268" s="2">
        <v>135</v>
      </c>
      <c r="K6268" s="3">
        <f t="shared" si="97"/>
        <v>7155</v>
      </c>
      <c r="L6268" s="3">
        <v>3649.05</v>
      </c>
    </row>
    <row r="6269" spans="1:12" x14ac:dyDescent="0.25">
      <c r="A6269" t="s">
        <v>26</v>
      </c>
      <c r="B6269">
        <v>1197831</v>
      </c>
      <c r="C6269" s="1">
        <v>44471</v>
      </c>
      <c r="D6269" t="s">
        <v>52</v>
      </c>
      <c r="E6269" t="s">
        <v>99</v>
      </c>
      <c r="F6269" t="s">
        <v>100</v>
      </c>
      <c r="G6269" t="s">
        <v>15</v>
      </c>
      <c r="H6269" t="s">
        <v>35</v>
      </c>
      <c r="I6269" s="3">
        <v>33</v>
      </c>
      <c r="J6269" s="2">
        <v>196</v>
      </c>
      <c r="K6269" s="3">
        <f t="shared" si="97"/>
        <v>6468</v>
      </c>
      <c r="L6269" s="3">
        <v>2910.6000000000004</v>
      </c>
    </row>
    <row r="6270" spans="1:12" x14ac:dyDescent="0.25">
      <c r="A6270" t="s">
        <v>26</v>
      </c>
      <c r="B6270">
        <v>1197831</v>
      </c>
      <c r="C6270" s="1">
        <v>44471</v>
      </c>
      <c r="D6270" t="s">
        <v>52</v>
      </c>
      <c r="E6270" t="s">
        <v>99</v>
      </c>
      <c r="F6270" t="s">
        <v>100</v>
      </c>
      <c r="G6270" t="s">
        <v>41</v>
      </c>
      <c r="H6270" t="s">
        <v>35</v>
      </c>
      <c r="I6270" s="3">
        <v>43</v>
      </c>
      <c r="J6270" s="2">
        <v>144</v>
      </c>
      <c r="K6270" s="3">
        <f t="shared" si="97"/>
        <v>6192</v>
      </c>
      <c r="L6270" s="3">
        <v>2229.1200000000008</v>
      </c>
    </row>
    <row r="6271" spans="1:12" x14ac:dyDescent="0.25">
      <c r="A6271" t="s">
        <v>11</v>
      </c>
      <c r="B6271">
        <v>1185732</v>
      </c>
      <c r="C6271" s="1">
        <v>44472</v>
      </c>
      <c r="D6271" t="s">
        <v>57</v>
      </c>
      <c r="E6271" t="s">
        <v>85</v>
      </c>
      <c r="F6271" t="s">
        <v>86</v>
      </c>
      <c r="G6271" t="s">
        <v>18</v>
      </c>
      <c r="H6271" t="s">
        <v>38</v>
      </c>
      <c r="I6271" s="3">
        <v>44.999999999999993</v>
      </c>
      <c r="J6271" s="2">
        <v>375</v>
      </c>
      <c r="K6271" s="3">
        <f t="shared" si="97"/>
        <v>16874.999999999996</v>
      </c>
      <c r="L6271" s="3">
        <v>11812.499999999996</v>
      </c>
    </row>
    <row r="6272" spans="1:12" x14ac:dyDescent="0.25">
      <c r="A6272" t="s">
        <v>11</v>
      </c>
      <c r="B6272">
        <v>1185732</v>
      </c>
      <c r="C6272" s="1">
        <v>44472</v>
      </c>
      <c r="D6272" t="s">
        <v>57</v>
      </c>
      <c r="E6272" t="s">
        <v>85</v>
      </c>
      <c r="F6272" t="s">
        <v>86</v>
      </c>
      <c r="G6272" t="s">
        <v>18</v>
      </c>
      <c r="H6272" t="s">
        <v>35</v>
      </c>
      <c r="I6272" s="3">
        <v>35</v>
      </c>
      <c r="J6272" s="2">
        <v>125</v>
      </c>
      <c r="K6272" s="3">
        <f t="shared" si="97"/>
        <v>4375</v>
      </c>
      <c r="L6272" s="3">
        <v>3062.5</v>
      </c>
    </row>
    <row r="6273" spans="1:12" x14ac:dyDescent="0.25">
      <c r="A6273" t="s">
        <v>11</v>
      </c>
      <c r="B6273">
        <v>1185732</v>
      </c>
      <c r="C6273" s="1">
        <v>44472</v>
      </c>
      <c r="D6273" t="s">
        <v>57</v>
      </c>
      <c r="E6273" t="s">
        <v>85</v>
      </c>
      <c r="F6273" t="s">
        <v>86</v>
      </c>
      <c r="G6273" t="s">
        <v>18</v>
      </c>
      <c r="H6273" t="s">
        <v>37</v>
      </c>
      <c r="I6273" s="3">
        <v>35</v>
      </c>
      <c r="J6273" s="2">
        <v>125</v>
      </c>
      <c r="K6273" s="3">
        <f t="shared" si="97"/>
        <v>4375</v>
      </c>
      <c r="L6273" s="3">
        <v>3062.5</v>
      </c>
    </row>
    <row r="6274" spans="1:12" x14ac:dyDescent="0.25">
      <c r="A6274" t="s">
        <v>11</v>
      </c>
      <c r="B6274">
        <v>1185732</v>
      </c>
      <c r="C6274" s="1">
        <v>44472</v>
      </c>
      <c r="D6274" t="s">
        <v>57</v>
      </c>
      <c r="E6274" t="s">
        <v>85</v>
      </c>
      <c r="F6274" t="s">
        <v>86</v>
      </c>
      <c r="G6274" t="s">
        <v>18</v>
      </c>
      <c r="H6274" t="s">
        <v>17</v>
      </c>
      <c r="I6274" s="3">
        <v>35</v>
      </c>
      <c r="J6274" s="2">
        <v>225</v>
      </c>
      <c r="K6274" s="3">
        <f t="shared" si="97"/>
        <v>7875</v>
      </c>
      <c r="L6274" s="3">
        <v>5118.75</v>
      </c>
    </row>
    <row r="6275" spans="1:12" x14ac:dyDescent="0.25">
      <c r="A6275" t="s">
        <v>11</v>
      </c>
      <c r="B6275">
        <v>1185732</v>
      </c>
      <c r="C6275" s="1">
        <v>44472</v>
      </c>
      <c r="D6275" t="s">
        <v>57</v>
      </c>
      <c r="E6275" t="s">
        <v>85</v>
      </c>
      <c r="F6275" t="s">
        <v>86</v>
      </c>
      <c r="G6275" t="s">
        <v>18</v>
      </c>
      <c r="H6275" t="s">
        <v>16</v>
      </c>
      <c r="I6275" s="3">
        <v>49.999999999999986</v>
      </c>
      <c r="J6275" s="2">
        <v>250</v>
      </c>
      <c r="K6275" s="3">
        <f t="shared" ref="K6275:K6338" si="98">I6275*J6275</f>
        <v>12499.999999999996</v>
      </c>
      <c r="L6275" s="3">
        <v>7499.9999999999973</v>
      </c>
    </row>
    <row r="6276" spans="1:12" x14ac:dyDescent="0.25">
      <c r="A6276" t="s">
        <v>11</v>
      </c>
      <c r="B6276">
        <v>1185732</v>
      </c>
      <c r="C6276" s="1">
        <v>44472</v>
      </c>
      <c r="D6276" t="s">
        <v>57</v>
      </c>
      <c r="E6276" t="s">
        <v>85</v>
      </c>
      <c r="F6276" t="s">
        <v>86</v>
      </c>
      <c r="G6276" t="s">
        <v>18</v>
      </c>
      <c r="H6276" t="s">
        <v>22</v>
      </c>
      <c r="I6276" s="3">
        <v>44.999999999999993</v>
      </c>
      <c r="J6276" s="2">
        <v>125</v>
      </c>
      <c r="K6276" s="3">
        <f t="shared" si="98"/>
        <v>5624.9999999999991</v>
      </c>
      <c r="L6276" s="3">
        <v>2812.4999999999995</v>
      </c>
    </row>
    <row r="6277" spans="1:12" x14ac:dyDescent="0.25">
      <c r="A6277" t="s">
        <v>26</v>
      </c>
      <c r="B6277">
        <v>1197831</v>
      </c>
      <c r="C6277" s="1">
        <v>44472</v>
      </c>
      <c r="D6277" t="s">
        <v>52</v>
      </c>
      <c r="E6277" t="s">
        <v>53</v>
      </c>
      <c r="F6277" t="s">
        <v>54</v>
      </c>
      <c r="G6277" t="s">
        <v>15</v>
      </c>
      <c r="H6277" t="s">
        <v>16</v>
      </c>
      <c r="I6277" s="3">
        <v>50</v>
      </c>
      <c r="J6277" s="2">
        <v>675</v>
      </c>
      <c r="K6277" s="3">
        <f t="shared" si="98"/>
        <v>33750</v>
      </c>
      <c r="L6277" s="3">
        <v>15187.499999999996</v>
      </c>
    </row>
    <row r="6278" spans="1:12" x14ac:dyDescent="0.25">
      <c r="A6278" t="s">
        <v>26</v>
      </c>
      <c r="B6278">
        <v>1197831</v>
      </c>
      <c r="C6278" s="1">
        <v>44472</v>
      </c>
      <c r="D6278" t="s">
        <v>52</v>
      </c>
      <c r="E6278" t="s">
        <v>99</v>
      </c>
      <c r="F6278" t="s">
        <v>100</v>
      </c>
      <c r="G6278" t="s">
        <v>15</v>
      </c>
      <c r="H6278" t="s">
        <v>37</v>
      </c>
      <c r="I6278" s="3">
        <v>45.000000000000007</v>
      </c>
      <c r="J6278" s="2">
        <v>450</v>
      </c>
      <c r="K6278" s="3">
        <f t="shared" si="98"/>
        <v>20250.000000000004</v>
      </c>
      <c r="L6278" s="3">
        <v>8100</v>
      </c>
    </row>
    <row r="6279" spans="1:12" x14ac:dyDescent="0.25">
      <c r="A6279" t="s">
        <v>11</v>
      </c>
      <c r="B6279">
        <v>1185732</v>
      </c>
      <c r="C6279" s="1">
        <v>44472</v>
      </c>
      <c r="D6279" t="s">
        <v>57</v>
      </c>
      <c r="E6279" t="s">
        <v>85</v>
      </c>
      <c r="F6279" t="s">
        <v>86</v>
      </c>
      <c r="G6279" t="s">
        <v>41</v>
      </c>
      <c r="H6279" t="s">
        <v>37</v>
      </c>
      <c r="I6279" s="3">
        <v>32</v>
      </c>
      <c r="J6279" s="2">
        <v>33</v>
      </c>
      <c r="K6279" s="3">
        <f t="shared" si="98"/>
        <v>1056</v>
      </c>
      <c r="L6279" s="3">
        <v>623.04</v>
      </c>
    </row>
    <row r="6280" spans="1:12" x14ac:dyDescent="0.25">
      <c r="A6280" t="s">
        <v>11</v>
      </c>
      <c r="B6280">
        <v>1185732</v>
      </c>
      <c r="C6280" s="1">
        <v>44472</v>
      </c>
      <c r="D6280" t="s">
        <v>57</v>
      </c>
      <c r="E6280" t="s">
        <v>85</v>
      </c>
      <c r="F6280" t="s">
        <v>86</v>
      </c>
      <c r="G6280" t="s">
        <v>41</v>
      </c>
      <c r="H6280" t="s">
        <v>38</v>
      </c>
      <c r="I6280" s="3">
        <v>43</v>
      </c>
      <c r="J6280" s="2">
        <v>113</v>
      </c>
      <c r="K6280" s="3">
        <f t="shared" si="98"/>
        <v>4859</v>
      </c>
      <c r="L6280" s="3">
        <v>2818.2200000000003</v>
      </c>
    </row>
    <row r="6281" spans="1:12" x14ac:dyDescent="0.25">
      <c r="A6281" t="s">
        <v>11</v>
      </c>
      <c r="B6281">
        <v>1185732</v>
      </c>
      <c r="C6281" s="1">
        <v>44472</v>
      </c>
      <c r="D6281" t="s">
        <v>57</v>
      </c>
      <c r="E6281" t="s">
        <v>85</v>
      </c>
      <c r="F6281" t="s">
        <v>86</v>
      </c>
      <c r="G6281" t="s">
        <v>41</v>
      </c>
      <c r="H6281" t="s">
        <v>35</v>
      </c>
      <c r="I6281" s="3">
        <v>34</v>
      </c>
      <c r="J6281" s="2">
        <v>33</v>
      </c>
      <c r="K6281" s="3">
        <f t="shared" si="98"/>
        <v>1122</v>
      </c>
      <c r="L6281" s="3">
        <v>639.54</v>
      </c>
    </row>
    <row r="6282" spans="1:12" x14ac:dyDescent="0.25">
      <c r="A6282" t="s">
        <v>11</v>
      </c>
      <c r="B6282">
        <v>1185732</v>
      </c>
      <c r="C6282" s="1">
        <v>44472</v>
      </c>
      <c r="D6282" t="s">
        <v>57</v>
      </c>
      <c r="E6282" t="s">
        <v>85</v>
      </c>
      <c r="F6282" t="s">
        <v>86</v>
      </c>
      <c r="G6282" t="s">
        <v>41</v>
      </c>
      <c r="H6282" t="s">
        <v>17</v>
      </c>
      <c r="I6282" s="3">
        <v>33</v>
      </c>
      <c r="J6282" s="2">
        <v>68</v>
      </c>
      <c r="K6282" s="3">
        <f t="shared" si="98"/>
        <v>2244</v>
      </c>
      <c r="L6282" s="3">
        <v>1166.8800000000001</v>
      </c>
    </row>
    <row r="6283" spans="1:12" x14ac:dyDescent="0.25">
      <c r="A6283" t="s">
        <v>11</v>
      </c>
      <c r="B6283">
        <v>1185732</v>
      </c>
      <c r="C6283" s="1">
        <v>44472</v>
      </c>
      <c r="D6283" t="s">
        <v>57</v>
      </c>
      <c r="E6283" t="s">
        <v>85</v>
      </c>
      <c r="F6283" t="s">
        <v>86</v>
      </c>
      <c r="G6283" t="s">
        <v>41</v>
      </c>
      <c r="H6283" t="s">
        <v>16</v>
      </c>
      <c r="I6283" s="3">
        <v>46</v>
      </c>
      <c r="J6283" s="2">
        <v>65</v>
      </c>
      <c r="K6283" s="3">
        <f t="shared" si="98"/>
        <v>2990</v>
      </c>
      <c r="L6283" s="3">
        <v>1465.1</v>
      </c>
    </row>
    <row r="6284" spans="1:12" x14ac:dyDescent="0.25">
      <c r="A6284" t="s">
        <v>26</v>
      </c>
      <c r="B6284">
        <v>1197831</v>
      </c>
      <c r="C6284" s="1">
        <v>44472</v>
      </c>
      <c r="D6284" t="s">
        <v>52</v>
      </c>
      <c r="E6284" t="s">
        <v>53</v>
      </c>
      <c r="F6284" t="s">
        <v>54</v>
      </c>
      <c r="G6284" t="s">
        <v>15</v>
      </c>
      <c r="H6284" t="s">
        <v>16</v>
      </c>
      <c r="I6284" s="3">
        <v>33</v>
      </c>
      <c r="J6284" s="2">
        <v>236</v>
      </c>
      <c r="K6284" s="3">
        <f t="shared" si="98"/>
        <v>7788</v>
      </c>
      <c r="L6284" s="3">
        <v>3193.079999999999</v>
      </c>
    </row>
    <row r="6285" spans="1:12" x14ac:dyDescent="0.25">
      <c r="A6285" t="s">
        <v>11</v>
      </c>
      <c r="B6285">
        <v>1185732</v>
      </c>
      <c r="C6285" s="1">
        <v>44472</v>
      </c>
      <c r="D6285" t="s">
        <v>57</v>
      </c>
      <c r="E6285" t="s">
        <v>85</v>
      </c>
      <c r="F6285" t="s">
        <v>86</v>
      </c>
      <c r="G6285" t="s">
        <v>41</v>
      </c>
      <c r="H6285" t="s">
        <v>22</v>
      </c>
      <c r="I6285" s="3">
        <v>44</v>
      </c>
      <c r="J6285" s="2">
        <v>33</v>
      </c>
      <c r="K6285" s="3">
        <f t="shared" si="98"/>
        <v>1452</v>
      </c>
      <c r="L6285" s="3">
        <v>537.24</v>
      </c>
    </row>
    <row r="6286" spans="1:12" x14ac:dyDescent="0.25">
      <c r="A6286" t="s">
        <v>26</v>
      </c>
      <c r="B6286">
        <v>1197831</v>
      </c>
      <c r="C6286" s="1">
        <v>44472</v>
      </c>
      <c r="D6286" t="s">
        <v>52</v>
      </c>
      <c r="E6286" t="s">
        <v>99</v>
      </c>
      <c r="F6286" t="s">
        <v>100</v>
      </c>
      <c r="G6286" t="s">
        <v>15</v>
      </c>
      <c r="H6286" t="s">
        <v>37</v>
      </c>
      <c r="I6286" s="3">
        <v>36</v>
      </c>
      <c r="J6286" s="2">
        <v>135</v>
      </c>
      <c r="K6286" s="3">
        <f t="shared" si="98"/>
        <v>4860</v>
      </c>
      <c r="L6286" s="3">
        <v>1603.7999999999993</v>
      </c>
    </row>
    <row r="6287" spans="1:12" x14ac:dyDescent="0.25">
      <c r="A6287" t="s">
        <v>26</v>
      </c>
      <c r="B6287">
        <v>1197831</v>
      </c>
      <c r="C6287" s="1">
        <v>44472</v>
      </c>
      <c r="D6287" t="s">
        <v>52</v>
      </c>
      <c r="E6287" t="s">
        <v>53</v>
      </c>
      <c r="F6287" t="s">
        <v>54</v>
      </c>
      <c r="G6287" t="s">
        <v>41</v>
      </c>
      <c r="H6287" t="s">
        <v>16</v>
      </c>
      <c r="I6287" s="3">
        <v>48</v>
      </c>
      <c r="J6287" s="2">
        <v>203</v>
      </c>
      <c r="K6287" s="3">
        <f t="shared" si="98"/>
        <v>9744</v>
      </c>
      <c r="L6287" s="3">
        <v>2923.1999999999989</v>
      </c>
    </row>
    <row r="6288" spans="1:12" x14ac:dyDescent="0.25">
      <c r="A6288" t="s">
        <v>26</v>
      </c>
      <c r="B6288">
        <v>1197831</v>
      </c>
      <c r="C6288" s="1">
        <v>44472</v>
      </c>
      <c r="D6288" t="s">
        <v>52</v>
      </c>
      <c r="E6288" t="s">
        <v>99</v>
      </c>
      <c r="F6288" t="s">
        <v>100</v>
      </c>
      <c r="G6288" t="s">
        <v>41</v>
      </c>
      <c r="H6288" t="s">
        <v>37</v>
      </c>
      <c r="I6288" s="3">
        <v>44</v>
      </c>
      <c r="J6288" s="2">
        <v>131</v>
      </c>
      <c r="K6288" s="3">
        <f t="shared" si="98"/>
        <v>5764</v>
      </c>
      <c r="L6288" s="3">
        <v>1556.2799999999997</v>
      </c>
    </row>
    <row r="6289" spans="1:12" x14ac:dyDescent="0.25">
      <c r="A6289" t="s">
        <v>26</v>
      </c>
      <c r="B6289">
        <v>1185732</v>
      </c>
      <c r="C6289" s="1">
        <v>44473</v>
      </c>
      <c r="D6289" t="s">
        <v>32</v>
      </c>
      <c r="E6289" t="s">
        <v>108</v>
      </c>
      <c r="F6289" t="s">
        <v>109</v>
      </c>
      <c r="G6289" t="s">
        <v>41</v>
      </c>
      <c r="H6289" t="s">
        <v>17</v>
      </c>
      <c r="I6289" s="3">
        <v>35.000000000000007</v>
      </c>
      <c r="J6289" s="2">
        <v>700</v>
      </c>
      <c r="K6289" s="3">
        <f t="shared" si="98"/>
        <v>24500.000000000004</v>
      </c>
      <c r="L6289" s="3">
        <v>15925.000000000005</v>
      </c>
    </row>
    <row r="6290" spans="1:12" x14ac:dyDescent="0.25">
      <c r="A6290" t="s">
        <v>26</v>
      </c>
      <c r="B6290">
        <v>1197831</v>
      </c>
      <c r="C6290" s="1">
        <v>44473</v>
      </c>
      <c r="D6290" t="s">
        <v>12</v>
      </c>
      <c r="E6290" t="s">
        <v>66</v>
      </c>
      <c r="F6290" t="s">
        <v>67</v>
      </c>
      <c r="G6290" t="s">
        <v>41</v>
      </c>
      <c r="H6290" t="s">
        <v>22</v>
      </c>
      <c r="I6290" s="3">
        <v>35</v>
      </c>
      <c r="J6290" s="2">
        <v>350</v>
      </c>
      <c r="K6290" s="3">
        <f t="shared" si="98"/>
        <v>12250</v>
      </c>
      <c r="L6290" s="3">
        <v>7962.5</v>
      </c>
    </row>
    <row r="6291" spans="1:12" x14ac:dyDescent="0.25">
      <c r="A6291" t="s">
        <v>26</v>
      </c>
      <c r="B6291">
        <v>1185732</v>
      </c>
      <c r="C6291" s="1">
        <v>44473</v>
      </c>
      <c r="D6291" t="s">
        <v>32</v>
      </c>
      <c r="E6291" t="s">
        <v>108</v>
      </c>
      <c r="F6291" t="s">
        <v>109</v>
      </c>
      <c r="G6291" t="s">
        <v>41</v>
      </c>
      <c r="H6291" t="s">
        <v>22</v>
      </c>
      <c r="I6291" s="3">
        <v>45.000000000000007</v>
      </c>
      <c r="J6291" s="2">
        <v>550</v>
      </c>
      <c r="K6291" s="3">
        <f t="shared" si="98"/>
        <v>24750.000000000004</v>
      </c>
      <c r="L6291" s="3">
        <v>16087.500000000004</v>
      </c>
    </row>
    <row r="6292" spans="1:12" x14ac:dyDescent="0.25">
      <c r="A6292" t="s">
        <v>26</v>
      </c>
      <c r="B6292">
        <v>1197831</v>
      </c>
      <c r="C6292" s="1">
        <v>44473</v>
      </c>
      <c r="D6292" t="s">
        <v>52</v>
      </c>
      <c r="E6292" t="s">
        <v>53</v>
      </c>
      <c r="F6292" t="s">
        <v>54</v>
      </c>
      <c r="G6292" t="s">
        <v>15</v>
      </c>
      <c r="H6292" t="s">
        <v>38</v>
      </c>
      <c r="I6292" s="3">
        <v>40</v>
      </c>
      <c r="J6292" s="2">
        <v>625</v>
      </c>
      <c r="K6292" s="3">
        <f t="shared" si="98"/>
        <v>25000</v>
      </c>
      <c r="L6292" s="3">
        <v>15000</v>
      </c>
    </row>
    <row r="6293" spans="1:12" x14ac:dyDescent="0.25">
      <c r="A6293" t="s">
        <v>26</v>
      </c>
      <c r="B6293">
        <v>1197831</v>
      </c>
      <c r="C6293" s="1">
        <v>44473</v>
      </c>
      <c r="D6293" t="s">
        <v>12</v>
      </c>
      <c r="E6293" t="s">
        <v>66</v>
      </c>
      <c r="F6293" t="s">
        <v>67</v>
      </c>
      <c r="G6293" t="s">
        <v>41</v>
      </c>
      <c r="H6293" t="s">
        <v>38</v>
      </c>
      <c r="I6293" s="3">
        <v>40</v>
      </c>
      <c r="J6293" s="2">
        <v>575</v>
      </c>
      <c r="K6293" s="3">
        <f t="shared" si="98"/>
        <v>23000</v>
      </c>
      <c r="L6293" s="3">
        <v>13800</v>
      </c>
    </row>
    <row r="6294" spans="1:12" x14ac:dyDescent="0.25">
      <c r="A6294" t="s">
        <v>26</v>
      </c>
      <c r="B6294">
        <v>1197831</v>
      </c>
      <c r="C6294" s="1">
        <v>44473</v>
      </c>
      <c r="D6294" t="s">
        <v>12</v>
      </c>
      <c r="E6294" t="s">
        <v>66</v>
      </c>
      <c r="F6294" t="s">
        <v>67</v>
      </c>
      <c r="G6294" t="s">
        <v>41</v>
      </c>
      <c r="H6294" t="s">
        <v>17</v>
      </c>
      <c r="I6294" s="3">
        <v>40</v>
      </c>
      <c r="J6294" s="2">
        <v>575</v>
      </c>
      <c r="K6294" s="3">
        <f t="shared" si="98"/>
        <v>23000</v>
      </c>
      <c r="L6294" s="3">
        <v>13800</v>
      </c>
    </row>
    <row r="6295" spans="1:12" x14ac:dyDescent="0.25">
      <c r="A6295" t="s">
        <v>26</v>
      </c>
      <c r="B6295">
        <v>1197831</v>
      </c>
      <c r="C6295" s="1">
        <v>44473</v>
      </c>
      <c r="D6295" t="s">
        <v>12</v>
      </c>
      <c r="E6295" t="s">
        <v>66</v>
      </c>
      <c r="F6295" t="s">
        <v>67</v>
      </c>
      <c r="G6295" t="s">
        <v>41</v>
      </c>
      <c r="H6295" t="s">
        <v>35</v>
      </c>
      <c r="I6295" s="3">
        <v>45</v>
      </c>
      <c r="J6295" s="2">
        <v>525</v>
      </c>
      <c r="K6295" s="3">
        <f t="shared" si="98"/>
        <v>23625</v>
      </c>
      <c r="L6295" s="3">
        <v>14175</v>
      </c>
    </row>
    <row r="6296" spans="1:12" x14ac:dyDescent="0.25">
      <c r="A6296" t="s">
        <v>26</v>
      </c>
      <c r="B6296">
        <v>1185732</v>
      </c>
      <c r="C6296" s="1">
        <v>44473</v>
      </c>
      <c r="D6296" t="s">
        <v>32</v>
      </c>
      <c r="E6296" t="s">
        <v>108</v>
      </c>
      <c r="F6296" t="s">
        <v>109</v>
      </c>
      <c r="G6296" t="s">
        <v>41</v>
      </c>
      <c r="H6296" t="s">
        <v>38</v>
      </c>
      <c r="I6296" s="3">
        <v>45.000000000000007</v>
      </c>
      <c r="J6296" s="2">
        <v>875</v>
      </c>
      <c r="K6296" s="3">
        <f t="shared" si="98"/>
        <v>39375.000000000007</v>
      </c>
      <c r="L6296" s="3">
        <v>23625.000000000004</v>
      </c>
    </row>
    <row r="6297" spans="1:12" x14ac:dyDescent="0.25">
      <c r="A6297" t="s">
        <v>26</v>
      </c>
      <c r="B6297">
        <v>1185732</v>
      </c>
      <c r="C6297" s="1">
        <v>44473</v>
      </c>
      <c r="D6297" t="s">
        <v>32</v>
      </c>
      <c r="E6297" t="s">
        <v>108</v>
      </c>
      <c r="F6297" t="s">
        <v>109</v>
      </c>
      <c r="G6297" t="s">
        <v>41</v>
      </c>
      <c r="H6297" t="s">
        <v>35</v>
      </c>
      <c r="I6297" s="3">
        <v>35.000000000000007</v>
      </c>
      <c r="J6297" s="2">
        <v>575</v>
      </c>
      <c r="K6297" s="3">
        <f t="shared" si="98"/>
        <v>20125.000000000004</v>
      </c>
      <c r="L6297" s="3">
        <v>12075.000000000002</v>
      </c>
    </row>
    <row r="6298" spans="1:12" x14ac:dyDescent="0.25">
      <c r="A6298" t="s">
        <v>26</v>
      </c>
      <c r="B6298">
        <v>1185732</v>
      </c>
      <c r="C6298" s="1">
        <v>44473</v>
      </c>
      <c r="D6298" t="s">
        <v>32</v>
      </c>
      <c r="E6298" t="s">
        <v>108</v>
      </c>
      <c r="F6298" t="s">
        <v>109</v>
      </c>
      <c r="G6298" t="s">
        <v>41</v>
      </c>
      <c r="H6298" t="s">
        <v>37</v>
      </c>
      <c r="I6298" s="3">
        <v>35.000000000000007</v>
      </c>
      <c r="J6298" s="2">
        <v>550</v>
      </c>
      <c r="K6298" s="3">
        <f t="shared" si="98"/>
        <v>19250.000000000004</v>
      </c>
      <c r="L6298" s="3">
        <v>11550.000000000002</v>
      </c>
    </row>
    <row r="6299" spans="1:12" x14ac:dyDescent="0.25">
      <c r="A6299" t="s">
        <v>26</v>
      </c>
      <c r="B6299">
        <v>1197831</v>
      </c>
      <c r="C6299" s="1">
        <v>44473</v>
      </c>
      <c r="D6299" t="s">
        <v>52</v>
      </c>
      <c r="E6299" t="s">
        <v>99</v>
      </c>
      <c r="F6299" t="s">
        <v>100</v>
      </c>
      <c r="G6299" t="s">
        <v>15</v>
      </c>
      <c r="H6299" t="s">
        <v>22</v>
      </c>
      <c r="I6299" s="3">
        <v>49.999999999999993</v>
      </c>
      <c r="J6299" s="2">
        <v>425</v>
      </c>
      <c r="K6299" s="3">
        <f t="shared" si="98"/>
        <v>21249.999999999996</v>
      </c>
      <c r="L6299" s="3">
        <v>11687.5</v>
      </c>
    </row>
    <row r="6300" spans="1:12" x14ac:dyDescent="0.25">
      <c r="A6300" t="s">
        <v>26</v>
      </c>
      <c r="B6300">
        <v>1197831</v>
      </c>
      <c r="C6300" s="1">
        <v>44473</v>
      </c>
      <c r="D6300" t="s">
        <v>12</v>
      </c>
      <c r="E6300" t="s">
        <v>66</v>
      </c>
      <c r="F6300" t="s">
        <v>67</v>
      </c>
      <c r="G6300" t="s">
        <v>41</v>
      </c>
      <c r="H6300" t="s">
        <v>37</v>
      </c>
      <c r="I6300" s="3">
        <v>45</v>
      </c>
      <c r="J6300" s="2">
        <v>375</v>
      </c>
      <c r="K6300" s="3">
        <f t="shared" si="98"/>
        <v>16875</v>
      </c>
      <c r="L6300" s="3">
        <v>8437.5</v>
      </c>
    </row>
    <row r="6301" spans="1:12" x14ac:dyDescent="0.25">
      <c r="A6301" t="s">
        <v>26</v>
      </c>
      <c r="B6301">
        <v>1185732</v>
      </c>
      <c r="C6301" s="1">
        <v>44473</v>
      </c>
      <c r="D6301" t="s">
        <v>32</v>
      </c>
      <c r="E6301" t="s">
        <v>108</v>
      </c>
      <c r="F6301" t="s">
        <v>109</v>
      </c>
      <c r="G6301" t="s">
        <v>41</v>
      </c>
      <c r="H6301" t="s">
        <v>16</v>
      </c>
      <c r="I6301" s="3">
        <v>50</v>
      </c>
      <c r="J6301" s="2">
        <v>675</v>
      </c>
      <c r="K6301" s="3">
        <f t="shared" si="98"/>
        <v>33750</v>
      </c>
      <c r="L6301" s="3">
        <v>16875</v>
      </c>
    </row>
    <row r="6302" spans="1:12" x14ac:dyDescent="0.25">
      <c r="A6302" t="s">
        <v>26</v>
      </c>
      <c r="B6302">
        <v>1197831</v>
      </c>
      <c r="C6302" s="1">
        <v>44473</v>
      </c>
      <c r="D6302" t="s">
        <v>12</v>
      </c>
      <c r="E6302" t="s">
        <v>66</v>
      </c>
      <c r="F6302" t="s">
        <v>67</v>
      </c>
      <c r="G6302" t="s">
        <v>41</v>
      </c>
      <c r="H6302" t="s">
        <v>16</v>
      </c>
      <c r="I6302" s="3">
        <v>45</v>
      </c>
      <c r="J6302" s="2">
        <v>525</v>
      </c>
      <c r="K6302" s="3">
        <f t="shared" si="98"/>
        <v>23625</v>
      </c>
      <c r="L6302" s="3">
        <v>10631.249999999998</v>
      </c>
    </row>
    <row r="6303" spans="1:12" x14ac:dyDescent="0.25">
      <c r="A6303" t="s">
        <v>26</v>
      </c>
      <c r="B6303">
        <v>1197831</v>
      </c>
      <c r="C6303" s="1">
        <v>44473</v>
      </c>
      <c r="D6303" t="s">
        <v>12</v>
      </c>
      <c r="E6303" t="s">
        <v>66</v>
      </c>
      <c r="F6303" t="s">
        <v>67</v>
      </c>
      <c r="G6303" t="s">
        <v>15</v>
      </c>
      <c r="H6303" t="s">
        <v>22</v>
      </c>
      <c r="I6303" s="3">
        <v>25</v>
      </c>
      <c r="J6303" s="2">
        <v>123</v>
      </c>
      <c r="K6303" s="3">
        <f t="shared" si="98"/>
        <v>3075</v>
      </c>
      <c r="L6303" s="3">
        <v>1875.7500000000002</v>
      </c>
    </row>
    <row r="6304" spans="1:12" x14ac:dyDescent="0.25">
      <c r="A6304" t="s">
        <v>26</v>
      </c>
      <c r="B6304">
        <v>1197831</v>
      </c>
      <c r="C6304" s="1">
        <v>44473</v>
      </c>
      <c r="D6304" t="s">
        <v>12</v>
      </c>
      <c r="E6304" t="s">
        <v>66</v>
      </c>
      <c r="F6304" t="s">
        <v>67</v>
      </c>
      <c r="G6304" t="s">
        <v>15</v>
      </c>
      <c r="H6304" t="s">
        <v>35</v>
      </c>
      <c r="I6304" s="3">
        <v>31</v>
      </c>
      <c r="J6304" s="2">
        <v>179</v>
      </c>
      <c r="K6304" s="3">
        <f t="shared" si="98"/>
        <v>5549</v>
      </c>
      <c r="L6304" s="3">
        <v>3218.42</v>
      </c>
    </row>
    <row r="6305" spans="1:12" x14ac:dyDescent="0.25">
      <c r="A6305" t="s">
        <v>26</v>
      </c>
      <c r="B6305">
        <v>1197831</v>
      </c>
      <c r="C6305" s="1">
        <v>44473</v>
      </c>
      <c r="D6305" t="s">
        <v>12</v>
      </c>
      <c r="E6305" t="s">
        <v>66</v>
      </c>
      <c r="F6305" t="s">
        <v>67</v>
      </c>
      <c r="G6305" t="s">
        <v>15</v>
      </c>
      <c r="H6305" t="s">
        <v>17</v>
      </c>
      <c r="I6305" s="3">
        <v>27</v>
      </c>
      <c r="J6305" s="2">
        <v>190</v>
      </c>
      <c r="K6305" s="3">
        <f t="shared" si="98"/>
        <v>5130</v>
      </c>
      <c r="L6305" s="3">
        <v>2924.1000000000004</v>
      </c>
    </row>
    <row r="6306" spans="1:12" x14ac:dyDescent="0.25">
      <c r="A6306" t="s">
        <v>26</v>
      </c>
      <c r="B6306">
        <v>1197831</v>
      </c>
      <c r="C6306" s="1">
        <v>44473</v>
      </c>
      <c r="D6306" t="s">
        <v>52</v>
      </c>
      <c r="E6306" t="s">
        <v>53</v>
      </c>
      <c r="F6306" t="s">
        <v>54</v>
      </c>
      <c r="G6306" t="s">
        <v>15</v>
      </c>
      <c r="H6306" t="s">
        <v>38</v>
      </c>
      <c r="I6306" s="3">
        <v>30</v>
      </c>
      <c r="J6306" s="2">
        <v>213</v>
      </c>
      <c r="K6306" s="3">
        <f t="shared" si="98"/>
        <v>6390</v>
      </c>
      <c r="L6306" s="3">
        <v>3578.4000000000005</v>
      </c>
    </row>
    <row r="6307" spans="1:12" x14ac:dyDescent="0.25">
      <c r="A6307" t="s">
        <v>26</v>
      </c>
      <c r="B6307">
        <v>1185732</v>
      </c>
      <c r="C6307" s="1">
        <v>44473</v>
      </c>
      <c r="D6307" t="s">
        <v>32</v>
      </c>
      <c r="E6307" t="s">
        <v>108</v>
      </c>
      <c r="F6307" t="s">
        <v>109</v>
      </c>
      <c r="G6307" t="s">
        <v>41</v>
      </c>
      <c r="H6307" t="s">
        <v>17</v>
      </c>
      <c r="I6307" s="3">
        <v>33</v>
      </c>
      <c r="J6307" s="2">
        <v>196</v>
      </c>
      <c r="K6307" s="3">
        <f t="shared" si="98"/>
        <v>6468</v>
      </c>
      <c r="L6307" s="3">
        <v>3492.7200000000003</v>
      </c>
    </row>
    <row r="6308" spans="1:12" x14ac:dyDescent="0.25">
      <c r="A6308" t="s">
        <v>26</v>
      </c>
      <c r="B6308">
        <v>1197831</v>
      </c>
      <c r="C6308" s="1">
        <v>44473</v>
      </c>
      <c r="D6308" t="s">
        <v>12</v>
      </c>
      <c r="E6308" t="s">
        <v>66</v>
      </c>
      <c r="F6308" t="s">
        <v>67</v>
      </c>
      <c r="G6308" t="s">
        <v>15</v>
      </c>
      <c r="H6308" t="s">
        <v>38</v>
      </c>
      <c r="I6308" s="3">
        <v>30</v>
      </c>
      <c r="J6308" s="2">
        <v>201</v>
      </c>
      <c r="K6308" s="3">
        <f t="shared" si="98"/>
        <v>6030</v>
      </c>
      <c r="L6308" s="3">
        <v>3256.2000000000003</v>
      </c>
    </row>
    <row r="6309" spans="1:12" x14ac:dyDescent="0.25">
      <c r="A6309" t="s">
        <v>26</v>
      </c>
      <c r="B6309">
        <v>1185732</v>
      </c>
      <c r="C6309" s="1">
        <v>44473</v>
      </c>
      <c r="D6309" t="s">
        <v>32</v>
      </c>
      <c r="E6309" t="s">
        <v>108</v>
      </c>
      <c r="F6309" t="s">
        <v>109</v>
      </c>
      <c r="G6309" t="s">
        <v>41</v>
      </c>
      <c r="H6309" t="s">
        <v>22</v>
      </c>
      <c r="I6309" s="3">
        <v>42</v>
      </c>
      <c r="J6309" s="2">
        <v>149</v>
      </c>
      <c r="K6309" s="3">
        <f t="shared" si="98"/>
        <v>6258</v>
      </c>
      <c r="L6309" s="3">
        <v>3316.7400000000002</v>
      </c>
    </row>
    <row r="6310" spans="1:12" x14ac:dyDescent="0.25">
      <c r="A6310" t="s">
        <v>26</v>
      </c>
      <c r="B6310">
        <v>1197831</v>
      </c>
      <c r="C6310" s="1">
        <v>44473</v>
      </c>
      <c r="D6310" t="s">
        <v>12</v>
      </c>
      <c r="E6310" t="s">
        <v>66</v>
      </c>
      <c r="F6310" t="s">
        <v>67</v>
      </c>
      <c r="G6310" t="s">
        <v>41</v>
      </c>
      <c r="H6310" t="s">
        <v>22</v>
      </c>
      <c r="I6310" s="3">
        <v>32</v>
      </c>
      <c r="J6310" s="2">
        <v>91</v>
      </c>
      <c r="K6310" s="3">
        <f t="shared" si="98"/>
        <v>2912</v>
      </c>
      <c r="L6310" s="3">
        <v>1514.24</v>
      </c>
    </row>
    <row r="6311" spans="1:12" x14ac:dyDescent="0.25">
      <c r="A6311" t="s">
        <v>26</v>
      </c>
      <c r="B6311">
        <v>1197831</v>
      </c>
      <c r="C6311" s="1">
        <v>44473</v>
      </c>
      <c r="D6311" t="s">
        <v>52</v>
      </c>
      <c r="E6311" t="s">
        <v>99</v>
      </c>
      <c r="F6311" t="s">
        <v>100</v>
      </c>
      <c r="G6311" t="s">
        <v>15</v>
      </c>
      <c r="H6311" t="s">
        <v>22</v>
      </c>
      <c r="I6311" s="3">
        <v>37</v>
      </c>
      <c r="J6311" s="2">
        <v>149</v>
      </c>
      <c r="K6311" s="3">
        <f t="shared" si="98"/>
        <v>5513</v>
      </c>
      <c r="L6311" s="3">
        <v>2866.76</v>
      </c>
    </row>
    <row r="6312" spans="1:12" x14ac:dyDescent="0.25">
      <c r="A6312" t="s">
        <v>26</v>
      </c>
      <c r="B6312">
        <v>1197831</v>
      </c>
      <c r="C6312" s="1">
        <v>44473</v>
      </c>
      <c r="D6312" t="s">
        <v>52</v>
      </c>
      <c r="E6312" t="s">
        <v>53</v>
      </c>
      <c r="F6312" t="s">
        <v>54</v>
      </c>
      <c r="G6312" t="s">
        <v>41</v>
      </c>
      <c r="H6312" t="s">
        <v>38</v>
      </c>
      <c r="I6312" s="3">
        <v>39</v>
      </c>
      <c r="J6312" s="2">
        <v>156</v>
      </c>
      <c r="K6312" s="3">
        <f t="shared" si="98"/>
        <v>6084</v>
      </c>
      <c r="L6312" s="3">
        <v>3042</v>
      </c>
    </row>
    <row r="6313" spans="1:12" x14ac:dyDescent="0.25">
      <c r="A6313" t="s">
        <v>26</v>
      </c>
      <c r="B6313">
        <v>1197831</v>
      </c>
      <c r="C6313" s="1">
        <v>44473</v>
      </c>
      <c r="D6313" t="s">
        <v>12</v>
      </c>
      <c r="E6313" t="s">
        <v>66</v>
      </c>
      <c r="F6313" t="s">
        <v>67</v>
      </c>
      <c r="G6313" t="s">
        <v>41</v>
      </c>
      <c r="H6313" t="s">
        <v>38</v>
      </c>
      <c r="I6313" s="3">
        <v>36</v>
      </c>
      <c r="J6313" s="2">
        <v>167</v>
      </c>
      <c r="K6313" s="3">
        <f t="shared" si="98"/>
        <v>6012</v>
      </c>
      <c r="L6313" s="3">
        <v>2945.88</v>
      </c>
    </row>
    <row r="6314" spans="1:12" x14ac:dyDescent="0.25">
      <c r="A6314" t="s">
        <v>26</v>
      </c>
      <c r="B6314">
        <v>1197831</v>
      </c>
      <c r="C6314" s="1">
        <v>44473</v>
      </c>
      <c r="D6314" t="s">
        <v>12</v>
      </c>
      <c r="E6314" t="s">
        <v>66</v>
      </c>
      <c r="F6314" t="s">
        <v>67</v>
      </c>
      <c r="G6314" t="s">
        <v>41</v>
      </c>
      <c r="H6314" t="s">
        <v>35</v>
      </c>
      <c r="I6314" s="3">
        <v>41</v>
      </c>
      <c r="J6314" s="2">
        <v>131</v>
      </c>
      <c r="K6314" s="3">
        <f t="shared" si="98"/>
        <v>5371</v>
      </c>
      <c r="L6314" s="3">
        <v>2631.79</v>
      </c>
    </row>
    <row r="6315" spans="1:12" x14ac:dyDescent="0.25">
      <c r="A6315" t="s">
        <v>26</v>
      </c>
      <c r="B6315">
        <v>1185732</v>
      </c>
      <c r="C6315" s="1">
        <v>44473</v>
      </c>
      <c r="D6315" t="s">
        <v>32</v>
      </c>
      <c r="E6315" t="s">
        <v>108</v>
      </c>
      <c r="F6315" t="s">
        <v>109</v>
      </c>
      <c r="G6315" t="s">
        <v>41</v>
      </c>
      <c r="H6315" t="s">
        <v>35</v>
      </c>
      <c r="I6315" s="3">
        <v>34</v>
      </c>
      <c r="J6315" s="2">
        <v>150</v>
      </c>
      <c r="K6315" s="3">
        <f t="shared" si="98"/>
        <v>5100</v>
      </c>
      <c r="L6315" s="3">
        <v>2499</v>
      </c>
    </row>
    <row r="6316" spans="1:12" x14ac:dyDescent="0.25">
      <c r="A6316" t="s">
        <v>26</v>
      </c>
      <c r="B6316">
        <v>1197831</v>
      </c>
      <c r="C6316" s="1">
        <v>44473</v>
      </c>
      <c r="D6316" t="s">
        <v>12</v>
      </c>
      <c r="E6316" t="s">
        <v>66</v>
      </c>
      <c r="F6316" t="s">
        <v>67</v>
      </c>
      <c r="G6316" t="s">
        <v>15</v>
      </c>
      <c r="H6316" t="s">
        <v>37</v>
      </c>
      <c r="I6316" s="3">
        <v>35</v>
      </c>
      <c r="J6316" s="2">
        <v>116</v>
      </c>
      <c r="K6316" s="3">
        <f t="shared" si="98"/>
        <v>4060</v>
      </c>
      <c r="L6316" s="3">
        <v>1908.1999999999998</v>
      </c>
    </row>
    <row r="6317" spans="1:12" x14ac:dyDescent="0.25">
      <c r="A6317" t="s">
        <v>26</v>
      </c>
      <c r="B6317">
        <v>1197831</v>
      </c>
      <c r="C6317" s="1">
        <v>44473</v>
      </c>
      <c r="D6317" t="s">
        <v>12</v>
      </c>
      <c r="E6317" t="s">
        <v>66</v>
      </c>
      <c r="F6317" t="s">
        <v>67</v>
      </c>
      <c r="G6317" t="s">
        <v>41</v>
      </c>
      <c r="H6317" t="s">
        <v>17</v>
      </c>
      <c r="I6317" s="3">
        <v>37</v>
      </c>
      <c r="J6317" s="2">
        <v>173</v>
      </c>
      <c r="K6317" s="3">
        <f t="shared" si="98"/>
        <v>6401</v>
      </c>
      <c r="L6317" s="3">
        <v>2944.4599999999996</v>
      </c>
    </row>
    <row r="6318" spans="1:12" x14ac:dyDescent="0.25">
      <c r="A6318" t="s">
        <v>26</v>
      </c>
      <c r="B6318">
        <v>1185732</v>
      </c>
      <c r="C6318" s="1">
        <v>44473</v>
      </c>
      <c r="D6318" t="s">
        <v>32</v>
      </c>
      <c r="E6318" t="s">
        <v>108</v>
      </c>
      <c r="F6318" t="s">
        <v>109</v>
      </c>
      <c r="G6318" t="s">
        <v>41</v>
      </c>
      <c r="H6318" t="s">
        <v>38</v>
      </c>
      <c r="I6318" s="3">
        <v>42</v>
      </c>
      <c r="J6318" s="2">
        <v>245</v>
      </c>
      <c r="K6318" s="3">
        <f t="shared" si="98"/>
        <v>10290</v>
      </c>
      <c r="L6318" s="3">
        <v>4733.3999999999996</v>
      </c>
    </row>
    <row r="6319" spans="1:12" x14ac:dyDescent="0.25">
      <c r="A6319" t="s">
        <v>26</v>
      </c>
      <c r="B6319">
        <v>1185732</v>
      </c>
      <c r="C6319" s="1">
        <v>44473</v>
      </c>
      <c r="D6319" t="s">
        <v>32</v>
      </c>
      <c r="E6319" t="s">
        <v>108</v>
      </c>
      <c r="F6319" t="s">
        <v>109</v>
      </c>
      <c r="G6319" t="s">
        <v>41</v>
      </c>
      <c r="H6319" t="s">
        <v>37</v>
      </c>
      <c r="I6319" s="3">
        <v>34</v>
      </c>
      <c r="J6319" s="2">
        <v>160</v>
      </c>
      <c r="K6319" s="3">
        <f t="shared" si="98"/>
        <v>5440</v>
      </c>
      <c r="L6319" s="3">
        <v>2502.3999999999996</v>
      </c>
    </row>
    <row r="6320" spans="1:12" x14ac:dyDescent="0.25">
      <c r="A6320" t="s">
        <v>26</v>
      </c>
      <c r="B6320">
        <v>1197831</v>
      </c>
      <c r="C6320" s="1">
        <v>44473</v>
      </c>
      <c r="D6320" t="s">
        <v>52</v>
      </c>
      <c r="E6320" t="s">
        <v>99</v>
      </c>
      <c r="F6320" t="s">
        <v>100</v>
      </c>
      <c r="G6320" t="s">
        <v>41</v>
      </c>
      <c r="H6320" t="s">
        <v>22</v>
      </c>
      <c r="I6320" s="3">
        <v>48</v>
      </c>
      <c r="J6320" s="2">
        <v>111</v>
      </c>
      <c r="K6320" s="3">
        <f t="shared" si="98"/>
        <v>5328</v>
      </c>
      <c r="L6320" s="3">
        <v>2184.48</v>
      </c>
    </row>
    <row r="6321" spans="1:12" x14ac:dyDescent="0.25">
      <c r="A6321" t="s">
        <v>26</v>
      </c>
      <c r="B6321">
        <v>1197831</v>
      </c>
      <c r="C6321" s="1">
        <v>44473</v>
      </c>
      <c r="D6321" t="s">
        <v>12</v>
      </c>
      <c r="E6321" t="s">
        <v>66</v>
      </c>
      <c r="F6321" t="s">
        <v>67</v>
      </c>
      <c r="G6321" t="s">
        <v>15</v>
      </c>
      <c r="H6321" t="s">
        <v>16</v>
      </c>
      <c r="I6321" s="3">
        <v>34</v>
      </c>
      <c r="J6321" s="2">
        <v>179</v>
      </c>
      <c r="K6321" s="3">
        <f t="shared" si="98"/>
        <v>6086</v>
      </c>
      <c r="L6321" s="3">
        <v>2495.2599999999993</v>
      </c>
    </row>
    <row r="6322" spans="1:12" x14ac:dyDescent="0.25">
      <c r="A6322" t="s">
        <v>26</v>
      </c>
      <c r="B6322">
        <v>1185732</v>
      </c>
      <c r="C6322" s="1">
        <v>44473</v>
      </c>
      <c r="D6322" t="s">
        <v>32</v>
      </c>
      <c r="E6322" t="s">
        <v>108</v>
      </c>
      <c r="F6322" t="s">
        <v>109</v>
      </c>
      <c r="G6322" t="s">
        <v>41</v>
      </c>
      <c r="H6322" t="s">
        <v>16</v>
      </c>
      <c r="I6322" s="3">
        <v>48</v>
      </c>
      <c r="J6322" s="2">
        <v>176</v>
      </c>
      <c r="K6322" s="3">
        <f t="shared" si="98"/>
        <v>8448</v>
      </c>
      <c r="L6322" s="3">
        <v>3125.76</v>
      </c>
    </row>
    <row r="6323" spans="1:12" x14ac:dyDescent="0.25">
      <c r="A6323" t="s">
        <v>26</v>
      </c>
      <c r="B6323">
        <v>1197831</v>
      </c>
      <c r="C6323" s="1">
        <v>44473</v>
      </c>
      <c r="D6323" t="s">
        <v>12</v>
      </c>
      <c r="E6323" t="s">
        <v>66</v>
      </c>
      <c r="F6323" t="s">
        <v>67</v>
      </c>
      <c r="G6323" t="s">
        <v>41</v>
      </c>
      <c r="H6323" t="s">
        <v>37</v>
      </c>
      <c r="I6323" s="3">
        <v>44</v>
      </c>
      <c r="J6323" s="2">
        <v>101</v>
      </c>
      <c r="K6323" s="3">
        <f t="shared" si="98"/>
        <v>4444</v>
      </c>
      <c r="L6323" s="3">
        <v>1555.4</v>
      </c>
    </row>
    <row r="6324" spans="1:12" x14ac:dyDescent="0.25">
      <c r="A6324" t="s">
        <v>26</v>
      </c>
      <c r="B6324">
        <v>1197831</v>
      </c>
      <c r="C6324" s="1">
        <v>44473</v>
      </c>
      <c r="D6324" t="s">
        <v>12</v>
      </c>
      <c r="E6324" t="s">
        <v>66</v>
      </c>
      <c r="F6324" t="s">
        <v>67</v>
      </c>
      <c r="G6324" t="s">
        <v>41</v>
      </c>
      <c r="H6324" t="s">
        <v>16</v>
      </c>
      <c r="I6324" s="3">
        <v>42</v>
      </c>
      <c r="J6324" s="2">
        <v>142</v>
      </c>
      <c r="K6324" s="3">
        <f t="shared" si="98"/>
        <v>5964</v>
      </c>
      <c r="L6324" s="3">
        <v>2027.7599999999998</v>
      </c>
    </row>
    <row r="6325" spans="1:12" x14ac:dyDescent="0.25">
      <c r="A6325" t="s">
        <v>26</v>
      </c>
      <c r="B6325">
        <v>1185732</v>
      </c>
      <c r="C6325" s="1">
        <v>44474</v>
      </c>
      <c r="D6325" t="s">
        <v>29</v>
      </c>
      <c r="E6325" t="s">
        <v>93</v>
      </c>
      <c r="F6325" t="s">
        <v>94</v>
      </c>
      <c r="G6325" t="s">
        <v>18</v>
      </c>
      <c r="H6325" t="s">
        <v>35</v>
      </c>
      <c r="I6325" s="3">
        <v>55.000000000000007</v>
      </c>
      <c r="J6325" s="2">
        <v>175</v>
      </c>
      <c r="K6325" s="3">
        <f t="shared" si="98"/>
        <v>9625.0000000000018</v>
      </c>
      <c r="L6325" s="3">
        <v>6737.5000000000018</v>
      </c>
    </row>
    <row r="6326" spans="1:12" x14ac:dyDescent="0.25">
      <c r="A6326" t="s">
        <v>26</v>
      </c>
      <c r="B6326">
        <v>1185732</v>
      </c>
      <c r="C6326" s="1">
        <v>44474</v>
      </c>
      <c r="D6326" t="s">
        <v>29</v>
      </c>
      <c r="E6326" t="s">
        <v>93</v>
      </c>
      <c r="F6326" t="s">
        <v>94</v>
      </c>
      <c r="G6326" t="s">
        <v>18</v>
      </c>
      <c r="H6326" t="s">
        <v>37</v>
      </c>
      <c r="I6326" s="3">
        <v>55.000000000000007</v>
      </c>
      <c r="J6326" s="2">
        <v>150</v>
      </c>
      <c r="K6326" s="3">
        <f t="shared" si="98"/>
        <v>8250.0000000000018</v>
      </c>
      <c r="L6326" s="3">
        <v>5775.0000000000018</v>
      </c>
    </row>
    <row r="6327" spans="1:12" x14ac:dyDescent="0.25">
      <c r="A6327" t="s">
        <v>26</v>
      </c>
      <c r="B6327">
        <v>1185732</v>
      </c>
      <c r="C6327" s="1">
        <v>44474</v>
      </c>
      <c r="D6327" t="s">
        <v>29</v>
      </c>
      <c r="E6327" t="s">
        <v>93</v>
      </c>
      <c r="F6327" t="s">
        <v>94</v>
      </c>
      <c r="G6327" t="s">
        <v>18</v>
      </c>
      <c r="H6327" t="s">
        <v>22</v>
      </c>
      <c r="I6327" s="3">
        <v>65</v>
      </c>
      <c r="J6327" s="2">
        <v>150</v>
      </c>
      <c r="K6327" s="3">
        <f t="shared" si="98"/>
        <v>9750</v>
      </c>
      <c r="L6327" s="3">
        <v>6825</v>
      </c>
    </row>
    <row r="6328" spans="1:12" x14ac:dyDescent="0.25">
      <c r="A6328" t="s">
        <v>19</v>
      </c>
      <c r="B6328">
        <v>1185732</v>
      </c>
      <c r="C6328" s="1">
        <v>44474</v>
      </c>
      <c r="D6328" t="s">
        <v>29</v>
      </c>
      <c r="E6328" t="s">
        <v>93</v>
      </c>
      <c r="F6328" t="s">
        <v>94</v>
      </c>
      <c r="G6328" t="s">
        <v>18</v>
      </c>
      <c r="H6328" t="s">
        <v>16</v>
      </c>
      <c r="I6328" s="3">
        <v>70</v>
      </c>
      <c r="J6328" s="2">
        <v>275</v>
      </c>
      <c r="K6328" s="3">
        <f t="shared" si="98"/>
        <v>19250</v>
      </c>
      <c r="L6328" s="3">
        <v>12512.5</v>
      </c>
    </row>
    <row r="6329" spans="1:12" x14ac:dyDescent="0.25">
      <c r="A6329" t="s">
        <v>26</v>
      </c>
      <c r="B6329">
        <v>1197831</v>
      </c>
      <c r="C6329" s="1">
        <v>44474</v>
      </c>
      <c r="D6329" t="s">
        <v>52</v>
      </c>
      <c r="E6329" t="s">
        <v>53</v>
      </c>
      <c r="F6329" t="s">
        <v>54</v>
      </c>
      <c r="G6329" t="s">
        <v>15</v>
      </c>
      <c r="H6329" t="s">
        <v>17</v>
      </c>
      <c r="I6329" s="3">
        <v>40</v>
      </c>
      <c r="J6329" s="2">
        <v>625</v>
      </c>
      <c r="K6329" s="3">
        <f t="shared" si="98"/>
        <v>25000</v>
      </c>
      <c r="L6329" s="3">
        <v>15000</v>
      </c>
    </row>
    <row r="6330" spans="1:12" x14ac:dyDescent="0.25">
      <c r="A6330" t="s">
        <v>26</v>
      </c>
      <c r="B6330">
        <v>1185732</v>
      </c>
      <c r="C6330" s="1">
        <v>44474</v>
      </c>
      <c r="D6330" t="s">
        <v>29</v>
      </c>
      <c r="E6330" t="s">
        <v>93</v>
      </c>
      <c r="F6330" t="s">
        <v>94</v>
      </c>
      <c r="G6330" t="s">
        <v>18</v>
      </c>
      <c r="H6330" t="s">
        <v>38</v>
      </c>
      <c r="I6330" s="3">
        <v>60</v>
      </c>
      <c r="J6330" s="2">
        <v>450</v>
      </c>
      <c r="K6330" s="3">
        <f t="shared" si="98"/>
        <v>27000</v>
      </c>
      <c r="L6330" s="3">
        <v>16200</v>
      </c>
    </row>
    <row r="6331" spans="1:12" x14ac:dyDescent="0.25">
      <c r="A6331" t="s">
        <v>26</v>
      </c>
      <c r="B6331">
        <v>1185732</v>
      </c>
      <c r="C6331" s="1">
        <v>44474</v>
      </c>
      <c r="D6331" t="s">
        <v>29</v>
      </c>
      <c r="E6331" t="s">
        <v>93</v>
      </c>
      <c r="F6331" t="s">
        <v>94</v>
      </c>
      <c r="G6331" t="s">
        <v>18</v>
      </c>
      <c r="H6331" t="s">
        <v>17</v>
      </c>
      <c r="I6331" s="3">
        <v>55.000000000000007</v>
      </c>
      <c r="J6331" s="2">
        <v>275</v>
      </c>
      <c r="K6331" s="3">
        <f t="shared" si="98"/>
        <v>15125.000000000002</v>
      </c>
      <c r="L6331" s="3">
        <v>9075.0000000000018</v>
      </c>
    </row>
    <row r="6332" spans="1:12" x14ac:dyDescent="0.25">
      <c r="A6332" t="s">
        <v>26</v>
      </c>
      <c r="B6332">
        <v>1197831</v>
      </c>
      <c r="C6332" s="1">
        <v>44474</v>
      </c>
      <c r="D6332" t="s">
        <v>52</v>
      </c>
      <c r="E6332" t="s">
        <v>99</v>
      </c>
      <c r="F6332" t="s">
        <v>100</v>
      </c>
      <c r="G6332" t="s">
        <v>15</v>
      </c>
      <c r="H6332" t="s">
        <v>16</v>
      </c>
      <c r="I6332" s="3">
        <v>60</v>
      </c>
      <c r="J6332" s="2">
        <v>625</v>
      </c>
      <c r="K6332" s="3">
        <f t="shared" si="98"/>
        <v>37500</v>
      </c>
      <c r="L6332" s="3">
        <v>13124.999999999995</v>
      </c>
    </row>
    <row r="6333" spans="1:12" x14ac:dyDescent="0.25">
      <c r="A6333" t="s">
        <v>26</v>
      </c>
      <c r="B6333">
        <v>1185732</v>
      </c>
      <c r="C6333" s="1">
        <v>44474</v>
      </c>
      <c r="D6333" t="s">
        <v>29</v>
      </c>
      <c r="E6333" t="s">
        <v>93</v>
      </c>
      <c r="F6333" t="s">
        <v>94</v>
      </c>
      <c r="G6333" t="s">
        <v>15</v>
      </c>
      <c r="H6333" t="s">
        <v>22</v>
      </c>
      <c r="I6333" s="3">
        <v>50</v>
      </c>
      <c r="J6333" s="2">
        <v>45</v>
      </c>
      <c r="K6333" s="3">
        <f t="shared" si="98"/>
        <v>2250</v>
      </c>
      <c r="L6333" s="3">
        <v>1507.5</v>
      </c>
    </row>
    <row r="6334" spans="1:12" x14ac:dyDescent="0.25">
      <c r="A6334" t="s">
        <v>26</v>
      </c>
      <c r="B6334">
        <v>1185732</v>
      </c>
      <c r="C6334" s="1">
        <v>44474</v>
      </c>
      <c r="D6334" t="s">
        <v>29</v>
      </c>
      <c r="E6334" t="s">
        <v>93</v>
      </c>
      <c r="F6334" t="s">
        <v>94</v>
      </c>
      <c r="G6334" t="s">
        <v>15</v>
      </c>
      <c r="H6334" t="s">
        <v>37</v>
      </c>
      <c r="I6334" s="3">
        <v>43</v>
      </c>
      <c r="J6334" s="2">
        <v>45</v>
      </c>
      <c r="K6334" s="3">
        <f t="shared" si="98"/>
        <v>1935</v>
      </c>
      <c r="L6334" s="3">
        <v>1238.4000000000001</v>
      </c>
    </row>
    <row r="6335" spans="1:12" x14ac:dyDescent="0.25">
      <c r="A6335" t="s">
        <v>26</v>
      </c>
      <c r="B6335">
        <v>1185732</v>
      </c>
      <c r="C6335" s="1">
        <v>44474</v>
      </c>
      <c r="D6335" t="s">
        <v>29</v>
      </c>
      <c r="E6335" t="s">
        <v>93</v>
      </c>
      <c r="F6335" t="s">
        <v>94</v>
      </c>
      <c r="G6335" t="s">
        <v>15</v>
      </c>
      <c r="H6335" t="s">
        <v>35</v>
      </c>
      <c r="I6335" s="3">
        <v>36</v>
      </c>
      <c r="J6335" s="2">
        <v>61</v>
      </c>
      <c r="K6335" s="3">
        <f t="shared" si="98"/>
        <v>2196</v>
      </c>
      <c r="L6335" s="3">
        <v>1383.48</v>
      </c>
    </row>
    <row r="6336" spans="1:12" x14ac:dyDescent="0.25">
      <c r="A6336" t="s">
        <v>26</v>
      </c>
      <c r="B6336">
        <v>1185732</v>
      </c>
      <c r="C6336" s="1">
        <v>44474</v>
      </c>
      <c r="D6336" t="s">
        <v>29</v>
      </c>
      <c r="E6336" t="s">
        <v>93</v>
      </c>
      <c r="F6336" t="s">
        <v>94</v>
      </c>
      <c r="G6336" t="s">
        <v>41</v>
      </c>
      <c r="H6336" t="s">
        <v>37</v>
      </c>
      <c r="I6336" s="3">
        <v>50</v>
      </c>
      <c r="J6336" s="2">
        <v>38</v>
      </c>
      <c r="K6336" s="3">
        <f t="shared" si="98"/>
        <v>1900</v>
      </c>
      <c r="L6336" s="3">
        <v>1140</v>
      </c>
    </row>
    <row r="6337" spans="1:12" x14ac:dyDescent="0.25">
      <c r="A6337" t="s">
        <v>19</v>
      </c>
      <c r="B6337">
        <v>1185732</v>
      </c>
      <c r="C6337" s="1">
        <v>44474</v>
      </c>
      <c r="D6337" t="s">
        <v>29</v>
      </c>
      <c r="E6337" t="s">
        <v>93</v>
      </c>
      <c r="F6337" t="s">
        <v>94</v>
      </c>
      <c r="G6337" t="s">
        <v>15</v>
      </c>
      <c r="H6337" t="s">
        <v>16</v>
      </c>
      <c r="I6337" s="3">
        <v>46</v>
      </c>
      <c r="J6337" s="2">
        <v>94</v>
      </c>
      <c r="K6337" s="3">
        <f t="shared" si="98"/>
        <v>4324</v>
      </c>
      <c r="L6337" s="3">
        <v>2507.92</v>
      </c>
    </row>
    <row r="6338" spans="1:12" x14ac:dyDescent="0.25">
      <c r="A6338" t="s">
        <v>26</v>
      </c>
      <c r="B6338">
        <v>1185732</v>
      </c>
      <c r="C6338" s="1">
        <v>44474</v>
      </c>
      <c r="D6338" t="s">
        <v>29</v>
      </c>
      <c r="E6338" t="s">
        <v>93</v>
      </c>
      <c r="F6338" t="s">
        <v>94</v>
      </c>
      <c r="G6338" t="s">
        <v>41</v>
      </c>
      <c r="H6338" t="s">
        <v>22</v>
      </c>
      <c r="I6338" s="3">
        <v>64</v>
      </c>
      <c r="J6338" s="2">
        <v>42</v>
      </c>
      <c r="K6338" s="3">
        <f t="shared" si="98"/>
        <v>2688</v>
      </c>
      <c r="L6338" s="3">
        <v>1559.04</v>
      </c>
    </row>
    <row r="6339" spans="1:12" x14ac:dyDescent="0.25">
      <c r="A6339" t="s">
        <v>26</v>
      </c>
      <c r="B6339">
        <v>1185732</v>
      </c>
      <c r="C6339" s="1">
        <v>44474</v>
      </c>
      <c r="D6339" t="s">
        <v>29</v>
      </c>
      <c r="E6339" t="s">
        <v>93</v>
      </c>
      <c r="F6339" t="s">
        <v>94</v>
      </c>
      <c r="G6339" t="s">
        <v>15</v>
      </c>
      <c r="H6339" t="s">
        <v>38</v>
      </c>
      <c r="I6339" s="3">
        <v>46</v>
      </c>
      <c r="J6339" s="2">
        <v>153</v>
      </c>
      <c r="K6339" s="3">
        <f t="shared" ref="K6339:K6402" si="99">I6339*J6339</f>
        <v>7038</v>
      </c>
      <c r="L6339" s="3">
        <v>4082.0399999999995</v>
      </c>
    </row>
    <row r="6340" spans="1:12" x14ac:dyDescent="0.25">
      <c r="A6340" t="s">
        <v>26</v>
      </c>
      <c r="B6340">
        <v>1185732</v>
      </c>
      <c r="C6340" s="1">
        <v>44474</v>
      </c>
      <c r="D6340" t="s">
        <v>29</v>
      </c>
      <c r="E6340" t="s">
        <v>93</v>
      </c>
      <c r="F6340" t="s">
        <v>94</v>
      </c>
      <c r="G6340" t="s">
        <v>41</v>
      </c>
      <c r="H6340" t="s">
        <v>35</v>
      </c>
      <c r="I6340" s="3">
        <v>53</v>
      </c>
      <c r="J6340" s="2">
        <v>49</v>
      </c>
      <c r="K6340" s="3">
        <f t="shared" si="99"/>
        <v>2597</v>
      </c>
      <c r="L6340" s="3">
        <v>1480.29</v>
      </c>
    </row>
    <row r="6341" spans="1:12" x14ac:dyDescent="0.25">
      <c r="A6341" t="s">
        <v>26</v>
      </c>
      <c r="B6341">
        <v>1185732</v>
      </c>
      <c r="C6341" s="1">
        <v>44474</v>
      </c>
      <c r="D6341" t="s">
        <v>29</v>
      </c>
      <c r="E6341" t="s">
        <v>93</v>
      </c>
      <c r="F6341" t="s">
        <v>94</v>
      </c>
      <c r="G6341" t="s">
        <v>15</v>
      </c>
      <c r="H6341" t="s">
        <v>17</v>
      </c>
      <c r="I6341" s="3">
        <v>39</v>
      </c>
      <c r="J6341" s="2">
        <v>94</v>
      </c>
      <c r="K6341" s="3">
        <f t="shared" si="99"/>
        <v>3666</v>
      </c>
      <c r="L6341" s="3">
        <v>2052.96</v>
      </c>
    </row>
    <row r="6342" spans="1:12" x14ac:dyDescent="0.25">
      <c r="A6342" t="s">
        <v>26</v>
      </c>
      <c r="B6342">
        <v>1197831</v>
      </c>
      <c r="C6342" s="1">
        <v>44474</v>
      </c>
      <c r="D6342" t="s">
        <v>52</v>
      </c>
      <c r="E6342" t="s">
        <v>53</v>
      </c>
      <c r="F6342" t="s">
        <v>54</v>
      </c>
      <c r="G6342" t="s">
        <v>15</v>
      </c>
      <c r="H6342" t="s">
        <v>17</v>
      </c>
      <c r="I6342" s="3">
        <v>29</v>
      </c>
      <c r="J6342" s="2">
        <v>219</v>
      </c>
      <c r="K6342" s="3">
        <f t="shared" si="99"/>
        <v>6351</v>
      </c>
      <c r="L6342" s="3">
        <v>3366.03</v>
      </c>
    </row>
    <row r="6343" spans="1:12" x14ac:dyDescent="0.25">
      <c r="A6343" t="s">
        <v>26</v>
      </c>
      <c r="B6343">
        <v>1185732</v>
      </c>
      <c r="C6343" s="1">
        <v>44474</v>
      </c>
      <c r="D6343" t="s">
        <v>29</v>
      </c>
      <c r="E6343" t="s">
        <v>93</v>
      </c>
      <c r="F6343" t="s">
        <v>94</v>
      </c>
      <c r="G6343" t="s">
        <v>41</v>
      </c>
      <c r="H6343" t="s">
        <v>17</v>
      </c>
      <c r="I6343" s="3">
        <v>52</v>
      </c>
      <c r="J6343" s="2">
        <v>72</v>
      </c>
      <c r="K6343" s="3">
        <f t="shared" si="99"/>
        <v>3744</v>
      </c>
      <c r="L6343" s="3">
        <v>1872</v>
      </c>
    </row>
    <row r="6344" spans="1:12" x14ac:dyDescent="0.25">
      <c r="A6344" t="s">
        <v>19</v>
      </c>
      <c r="B6344">
        <v>1185732</v>
      </c>
      <c r="C6344" s="1">
        <v>44474</v>
      </c>
      <c r="D6344" t="s">
        <v>29</v>
      </c>
      <c r="E6344" t="s">
        <v>93</v>
      </c>
      <c r="F6344" t="s">
        <v>94</v>
      </c>
      <c r="G6344" t="s">
        <v>41</v>
      </c>
      <c r="H6344" t="s">
        <v>16</v>
      </c>
      <c r="I6344" s="3">
        <v>63</v>
      </c>
      <c r="J6344" s="2">
        <v>74</v>
      </c>
      <c r="K6344" s="3">
        <f t="shared" si="99"/>
        <v>4662</v>
      </c>
      <c r="L6344" s="3">
        <v>2331</v>
      </c>
    </row>
    <row r="6345" spans="1:12" x14ac:dyDescent="0.25">
      <c r="A6345" t="s">
        <v>26</v>
      </c>
      <c r="B6345">
        <v>1197831</v>
      </c>
      <c r="C6345" s="1">
        <v>44474</v>
      </c>
      <c r="D6345" t="s">
        <v>52</v>
      </c>
      <c r="E6345" t="s">
        <v>53</v>
      </c>
      <c r="F6345" t="s">
        <v>54</v>
      </c>
      <c r="G6345" t="s">
        <v>41</v>
      </c>
      <c r="H6345" t="s">
        <v>17</v>
      </c>
      <c r="I6345" s="3">
        <v>38</v>
      </c>
      <c r="J6345" s="2">
        <v>169</v>
      </c>
      <c r="K6345" s="3">
        <f t="shared" si="99"/>
        <v>6422</v>
      </c>
      <c r="L6345" s="3">
        <v>3146.7799999999997</v>
      </c>
    </row>
    <row r="6346" spans="1:12" x14ac:dyDescent="0.25">
      <c r="A6346" t="s">
        <v>26</v>
      </c>
      <c r="B6346">
        <v>1185732</v>
      </c>
      <c r="C6346" s="1">
        <v>44474</v>
      </c>
      <c r="D6346" t="s">
        <v>29</v>
      </c>
      <c r="E6346" t="s">
        <v>93</v>
      </c>
      <c r="F6346" t="s">
        <v>94</v>
      </c>
      <c r="G6346" t="s">
        <v>41</v>
      </c>
      <c r="H6346" t="s">
        <v>38</v>
      </c>
      <c r="I6346" s="3">
        <v>59</v>
      </c>
      <c r="J6346" s="2">
        <v>113</v>
      </c>
      <c r="K6346" s="3">
        <f t="shared" si="99"/>
        <v>6667</v>
      </c>
      <c r="L6346" s="3">
        <v>3000.1499999999996</v>
      </c>
    </row>
    <row r="6347" spans="1:12" x14ac:dyDescent="0.25">
      <c r="A6347" t="s">
        <v>26</v>
      </c>
      <c r="B6347">
        <v>1197831</v>
      </c>
      <c r="C6347" s="1">
        <v>44474</v>
      </c>
      <c r="D6347" t="s">
        <v>52</v>
      </c>
      <c r="E6347" t="s">
        <v>99</v>
      </c>
      <c r="F6347" t="s">
        <v>100</v>
      </c>
      <c r="G6347" t="s">
        <v>15</v>
      </c>
      <c r="H6347" t="s">
        <v>16</v>
      </c>
      <c r="I6347" s="3">
        <v>45</v>
      </c>
      <c r="J6347" s="2">
        <v>188</v>
      </c>
      <c r="K6347" s="3">
        <f t="shared" si="99"/>
        <v>8460</v>
      </c>
      <c r="L6347" s="3">
        <v>2622.5999999999985</v>
      </c>
    </row>
    <row r="6348" spans="1:12" x14ac:dyDescent="0.25">
      <c r="A6348" t="s">
        <v>26</v>
      </c>
      <c r="B6348">
        <v>1197831</v>
      </c>
      <c r="C6348" s="1">
        <v>44474</v>
      </c>
      <c r="D6348" t="s">
        <v>52</v>
      </c>
      <c r="E6348" t="s">
        <v>99</v>
      </c>
      <c r="F6348" t="s">
        <v>100</v>
      </c>
      <c r="G6348" t="s">
        <v>41</v>
      </c>
      <c r="H6348" t="s">
        <v>16</v>
      </c>
      <c r="I6348" s="3">
        <v>56</v>
      </c>
      <c r="J6348" s="2">
        <v>188</v>
      </c>
      <c r="K6348" s="3">
        <f t="shared" si="99"/>
        <v>10528</v>
      </c>
      <c r="L6348" s="3">
        <v>2210.8799999999992</v>
      </c>
    </row>
    <row r="6349" spans="1:12" x14ac:dyDescent="0.25">
      <c r="A6349" t="s">
        <v>19</v>
      </c>
      <c r="B6349">
        <v>1185732</v>
      </c>
      <c r="C6349" s="1">
        <v>44475</v>
      </c>
      <c r="D6349" t="s">
        <v>57</v>
      </c>
      <c r="E6349" t="s">
        <v>78</v>
      </c>
      <c r="F6349" t="s">
        <v>79</v>
      </c>
      <c r="G6349" t="s">
        <v>18</v>
      </c>
      <c r="H6349" t="s">
        <v>38</v>
      </c>
      <c r="I6349" s="3">
        <v>44.999999999999993</v>
      </c>
      <c r="J6349" s="2">
        <v>400</v>
      </c>
      <c r="K6349" s="3">
        <f t="shared" si="99"/>
        <v>17999.999999999996</v>
      </c>
      <c r="L6349" s="3">
        <v>12599.999999999996</v>
      </c>
    </row>
    <row r="6350" spans="1:12" x14ac:dyDescent="0.25">
      <c r="A6350" t="s">
        <v>19</v>
      </c>
      <c r="B6350">
        <v>1185732</v>
      </c>
      <c r="C6350" s="1">
        <v>44475</v>
      </c>
      <c r="D6350" t="s">
        <v>57</v>
      </c>
      <c r="E6350" t="s">
        <v>78</v>
      </c>
      <c r="F6350" t="s">
        <v>79</v>
      </c>
      <c r="G6350" t="s">
        <v>18</v>
      </c>
      <c r="H6350" t="s">
        <v>35</v>
      </c>
      <c r="I6350" s="3">
        <v>35</v>
      </c>
      <c r="J6350" s="2">
        <v>150</v>
      </c>
      <c r="K6350" s="3">
        <f t="shared" si="99"/>
        <v>5250</v>
      </c>
      <c r="L6350" s="3">
        <v>3675</v>
      </c>
    </row>
    <row r="6351" spans="1:12" x14ac:dyDescent="0.25">
      <c r="A6351" t="s">
        <v>19</v>
      </c>
      <c r="B6351">
        <v>1185732</v>
      </c>
      <c r="C6351" s="1">
        <v>44475</v>
      </c>
      <c r="D6351" t="s">
        <v>57</v>
      </c>
      <c r="E6351" t="s">
        <v>78</v>
      </c>
      <c r="F6351" t="s">
        <v>79</v>
      </c>
      <c r="G6351" t="s">
        <v>18</v>
      </c>
      <c r="H6351" t="s">
        <v>37</v>
      </c>
      <c r="I6351" s="3">
        <v>35</v>
      </c>
      <c r="J6351" s="2">
        <v>125</v>
      </c>
      <c r="K6351" s="3">
        <f t="shared" si="99"/>
        <v>4375</v>
      </c>
      <c r="L6351" s="3">
        <v>3062.5</v>
      </c>
    </row>
    <row r="6352" spans="1:12" x14ac:dyDescent="0.25">
      <c r="A6352" t="s">
        <v>19</v>
      </c>
      <c r="B6352">
        <v>1185732</v>
      </c>
      <c r="C6352" s="1">
        <v>44475</v>
      </c>
      <c r="D6352" t="s">
        <v>57</v>
      </c>
      <c r="E6352" t="s">
        <v>78</v>
      </c>
      <c r="F6352" t="s">
        <v>79</v>
      </c>
      <c r="G6352" t="s">
        <v>18</v>
      </c>
      <c r="H6352" t="s">
        <v>17</v>
      </c>
      <c r="I6352" s="3">
        <v>35</v>
      </c>
      <c r="J6352" s="2">
        <v>250</v>
      </c>
      <c r="K6352" s="3">
        <f t="shared" si="99"/>
        <v>8750</v>
      </c>
      <c r="L6352" s="3">
        <v>5687.5</v>
      </c>
    </row>
    <row r="6353" spans="1:12" x14ac:dyDescent="0.25">
      <c r="A6353" t="s">
        <v>26</v>
      </c>
      <c r="B6353">
        <v>1197831</v>
      </c>
      <c r="C6353" s="1">
        <v>44475</v>
      </c>
      <c r="D6353" t="s">
        <v>52</v>
      </c>
      <c r="E6353" t="s">
        <v>53</v>
      </c>
      <c r="F6353" t="s">
        <v>54</v>
      </c>
      <c r="G6353" t="s">
        <v>15</v>
      </c>
      <c r="H6353" t="s">
        <v>35</v>
      </c>
      <c r="I6353" s="3">
        <v>45</v>
      </c>
      <c r="J6353" s="2">
        <v>575</v>
      </c>
      <c r="K6353" s="3">
        <f t="shared" si="99"/>
        <v>25875</v>
      </c>
      <c r="L6353" s="3">
        <v>15525</v>
      </c>
    </row>
    <row r="6354" spans="1:12" x14ac:dyDescent="0.25">
      <c r="A6354" t="s">
        <v>11</v>
      </c>
      <c r="B6354">
        <v>1185732</v>
      </c>
      <c r="C6354" s="1">
        <v>44475</v>
      </c>
      <c r="D6354" t="s">
        <v>57</v>
      </c>
      <c r="E6354" t="s">
        <v>78</v>
      </c>
      <c r="F6354" t="s">
        <v>79</v>
      </c>
      <c r="G6354" t="s">
        <v>18</v>
      </c>
      <c r="H6354" t="s">
        <v>16</v>
      </c>
      <c r="I6354" s="3">
        <v>49.999999999999986</v>
      </c>
      <c r="J6354" s="2">
        <v>250</v>
      </c>
      <c r="K6354" s="3">
        <f t="shared" si="99"/>
        <v>12499.999999999996</v>
      </c>
      <c r="L6354" s="3">
        <v>7499.9999999999973</v>
      </c>
    </row>
    <row r="6355" spans="1:12" x14ac:dyDescent="0.25">
      <c r="A6355" t="s">
        <v>26</v>
      </c>
      <c r="B6355">
        <v>1197831</v>
      </c>
      <c r="C6355" s="1">
        <v>44475</v>
      </c>
      <c r="D6355" t="s">
        <v>52</v>
      </c>
      <c r="E6355" t="s">
        <v>99</v>
      </c>
      <c r="F6355" t="s">
        <v>100</v>
      </c>
      <c r="G6355" t="s">
        <v>15</v>
      </c>
      <c r="H6355" t="s">
        <v>38</v>
      </c>
      <c r="I6355" s="3">
        <v>60</v>
      </c>
      <c r="J6355" s="2">
        <v>775</v>
      </c>
      <c r="K6355" s="3">
        <f t="shared" si="99"/>
        <v>46500</v>
      </c>
      <c r="L6355" s="3">
        <v>23250.000000000004</v>
      </c>
    </row>
    <row r="6356" spans="1:12" x14ac:dyDescent="0.25">
      <c r="A6356" t="s">
        <v>19</v>
      </c>
      <c r="B6356">
        <v>1185732</v>
      </c>
      <c r="C6356" s="1">
        <v>44475</v>
      </c>
      <c r="D6356" t="s">
        <v>57</v>
      </c>
      <c r="E6356" t="s">
        <v>78</v>
      </c>
      <c r="F6356" t="s">
        <v>79</v>
      </c>
      <c r="G6356" t="s">
        <v>18</v>
      </c>
      <c r="H6356" t="s">
        <v>22</v>
      </c>
      <c r="I6356" s="3">
        <v>44.999999999999993</v>
      </c>
      <c r="J6356" s="2">
        <v>125</v>
      </c>
      <c r="K6356" s="3">
        <f t="shared" si="99"/>
        <v>5624.9999999999991</v>
      </c>
      <c r="L6356" s="3">
        <v>2812.4999999999995</v>
      </c>
    </row>
    <row r="6357" spans="1:12" x14ac:dyDescent="0.25">
      <c r="A6357" t="s">
        <v>19</v>
      </c>
      <c r="B6357">
        <v>1185732</v>
      </c>
      <c r="C6357" s="1">
        <v>44475</v>
      </c>
      <c r="D6357" t="s">
        <v>57</v>
      </c>
      <c r="E6357" t="s">
        <v>78</v>
      </c>
      <c r="F6357" t="s">
        <v>79</v>
      </c>
      <c r="G6357" t="s">
        <v>41</v>
      </c>
      <c r="H6357" t="s">
        <v>38</v>
      </c>
      <c r="I6357" s="3">
        <v>43</v>
      </c>
      <c r="J6357" s="2">
        <v>112</v>
      </c>
      <c r="K6357" s="3">
        <f t="shared" si="99"/>
        <v>4816</v>
      </c>
      <c r="L6357" s="3">
        <v>2841.44</v>
      </c>
    </row>
    <row r="6358" spans="1:12" x14ac:dyDescent="0.25">
      <c r="A6358" t="s">
        <v>19</v>
      </c>
      <c r="B6358">
        <v>1185732</v>
      </c>
      <c r="C6358" s="1">
        <v>44475</v>
      </c>
      <c r="D6358" t="s">
        <v>57</v>
      </c>
      <c r="E6358" t="s">
        <v>78</v>
      </c>
      <c r="F6358" t="s">
        <v>79</v>
      </c>
      <c r="G6358" t="s">
        <v>41</v>
      </c>
      <c r="H6358" t="s">
        <v>35</v>
      </c>
      <c r="I6358" s="3">
        <v>34</v>
      </c>
      <c r="J6358" s="2">
        <v>39</v>
      </c>
      <c r="K6358" s="3">
        <f t="shared" si="99"/>
        <v>1326</v>
      </c>
      <c r="L6358" s="3">
        <v>782.34</v>
      </c>
    </row>
    <row r="6359" spans="1:12" x14ac:dyDescent="0.25">
      <c r="A6359" t="s">
        <v>19</v>
      </c>
      <c r="B6359">
        <v>1185732</v>
      </c>
      <c r="C6359" s="1">
        <v>44475</v>
      </c>
      <c r="D6359" t="s">
        <v>57</v>
      </c>
      <c r="E6359" t="s">
        <v>78</v>
      </c>
      <c r="F6359" t="s">
        <v>79</v>
      </c>
      <c r="G6359" t="s">
        <v>41</v>
      </c>
      <c r="H6359" t="s">
        <v>37</v>
      </c>
      <c r="I6359" s="3">
        <v>34</v>
      </c>
      <c r="J6359" s="2">
        <v>31</v>
      </c>
      <c r="K6359" s="3">
        <f t="shared" si="99"/>
        <v>1054</v>
      </c>
      <c r="L6359" s="3">
        <v>611.31999999999994</v>
      </c>
    </row>
    <row r="6360" spans="1:12" x14ac:dyDescent="0.25">
      <c r="A6360" t="s">
        <v>26</v>
      </c>
      <c r="B6360">
        <v>1197831</v>
      </c>
      <c r="C6360" s="1">
        <v>44475</v>
      </c>
      <c r="D6360" t="s">
        <v>52</v>
      </c>
      <c r="E6360" t="s">
        <v>53</v>
      </c>
      <c r="F6360" t="s">
        <v>54</v>
      </c>
      <c r="G6360" t="s">
        <v>15</v>
      </c>
      <c r="H6360" t="s">
        <v>35</v>
      </c>
      <c r="I6360" s="3">
        <v>32</v>
      </c>
      <c r="J6360" s="2">
        <v>190</v>
      </c>
      <c r="K6360" s="3">
        <f t="shared" si="99"/>
        <v>6080</v>
      </c>
      <c r="L6360" s="3">
        <v>3404.8</v>
      </c>
    </row>
    <row r="6361" spans="1:12" x14ac:dyDescent="0.25">
      <c r="A6361" t="s">
        <v>19</v>
      </c>
      <c r="B6361">
        <v>1185732</v>
      </c>
      <c r="C6361" s="1">
        <v>44475</v>
      </c>
      <c r="D6361" t="s">
        <v>57</v>
      </c>
      <c r="E6361" t="s">
        <v>78</v>
      </c>
      <c r="F6361" t="s">
        <v>79</v>
      </c>
      <c r="G6361" t="s">
        <v>41</v>
      </c>
      <c r="H6361" t="s">
        <v>17</v>
      </c>
      <c r="I6361" s="3">
        <v>32</v>
      </c>
      <c r="J6361" s="2">
        <v>75</v>
      </c>
      <c r="K6361" s="3">
        <f t="shared" si="99"/>
        <v>2400</v>
      </c>
      <c r="L6361" s="3">
        <v>1296</v>
      </c>
    </row>
    <row r="6362" spans="1:12" x14ac:dyDescent="0.25">
      <c r="A6362" t="s">
        <v>26</v>
      </c>
      <c r="B6362">
        <v>1197831</v>
      </c>
      <c r="C6362" s="1">
        <v>44475</v>
      </c>
      <c r="D6362" t="s">
        <v>52</v>
      </c>
      <c r="E6362" t="s">
        <v>53</v>
      </c>
      <c r="F6362" t="s">
        <v>54</v>
      </c>
      <c r="G6362" t="s">
        <v>41</v>
      </c>
      <c r="H6362" t="s">
        <v>35</v>
      </c>
      <c r="I6362" s="3">
        <v>41</v>
      </c>
      <c r="J6362" s="2">
        <v>144</v>
      </c>
      <c r="K6362" s="3">
        <f t="shared" si="99"/>
        <v>5904</v>
      </c>
      <c r="L6362" s="3">
        <v>2833.92</v>
      </c>
    </row>
    <row r="6363" spans="1:12" x14ac:dyDescent="0.25">
      <c r="A6363" t="s">
        <v>11</v>
      </c>
      <c r="B6363">
        <v>1185732</v>
      </c>
      <c r="C6363" s="1">
        <v>44475</v>
      </c>
      <c r="D6363" t="s">
        <v>57</v>
      </c>
      <c r="E6363" t="s">
        <v>78</v>
      </c>
      <c r="F6363" t="s">
        <v>79</v>
      </c>
      <c r="G6363" t="s">
        <v>41</v>
      </c>
      <c r="H6363" t="s">
        <v>16</v>
      </c>
      <c r="I6363" s="3">
        <v>49</v>
      </c>
      <c r="J6363" s="2">
        <v>73</v>
      </c>
      <c r="K6363" s="3">
        <f t="shared" si="99"/>
        <v>3577</v>
      </c>
      <c r="L6363" s="3">
        <v>1681.1899999999998</v>
      </c>
    </row>
    <row r="6364" spans="1:12" x14ac:dyDescent="0.25">
      <c r="A6364" t="s">
        <v>26</v>
      </c>
      <c r="B6364">
        <v>1197831</v>
      </c>
      <c r="C6364" s="1">
        <v>44475</v>
      </c>
      <c r="D6364" t="s">
        <v>52</v>
      </c>
      <c r="E6364" t="s">
        <v>99</v>
      </c>
      <c r="F6364" t="s">
        <v>100</v>
      </c>
      <c r="G6364" t="s">
        <v>15</v>
      </c>
      <c r="H6364" t="s">
        <v>38</v>
      </c>
      <c r="I6364" s="3">
        <v>46</v>
      </c>
      <c r="J6364" s="2">
        <v>240</v>
      </c>
      <c r="K6364" s="3">
        <f t="shared" si="99"/>
        <v>11040</v>
      </c>
      <c r="L6364" s="3">
        <v>4857.6000000000004</v>
      </c>
    </row>
    <row r="6365" spans="1:12" x14ac:dyDescent="0.25">
      <c r="A6365" t="s">
        <v>26</v>
      </c>
      <c r="B6365">
        <v>1197831</v>
      </c>
      <c r="C6365" s="1">
        <v>44475</v>
      </c>
      <c r="D6365" t="s">
        <v>52</v>
      </c>
      <c r="E6365" t="s">
        <v>99</v>
      </c>
      <c r="F6365" t="s">
        <v>100</v>
      </c>
      <c r="G6365" t="s">
        <v>41</v>
      </c>
      <c r="H6365" t="s">
        <v>38</v>
      </c>
      <c r="I6365" s="3">
        <v>56</v>
      </c>
      <c r="J6365" s="2">
        <v>233</v>
      </c>
      <c r="K6365" s="3">
        <f t="shared" si="99"/>
        <v>13048</v>
      </c>
      <c r="L6365" s="3">
        <v>4827.760000000002</v>
      </c>
    </row>
    <row r="6366" spans="1:12" x14ac:dyDescent="0.25">
      <c r="A6366" t="s">
        <v>19</v>
      </c>
      <c r="B6366">
        <v>1185732</v>
      </c>
      <c r="C6366" s="1">
        <v>44475</v>
      </c>
      <c r="D6366" t="s">
        <v>57</v>
      </c>
      <c r="E6366" t="s">
        <v>78</v>
      </c>
      <c r="F6366" t="s">
        <v>79</v>
      </c>
      <c r="G6366" t="s">
        <v>41</v>
      </c>
      <c r="H6366" t="s">
        <v>22</v>
      </c>
      <c r="I6366" s="3">
        <v>42</v>
      </c>
      <c r="J6366" s="2">
        <v>38</v>
      </c>
      <c r="K6366" s="3">
        <f t="shared" si="99"/>
        <v>1596</v>
      </c>
      <c r="L6366" s="3">
        <v>574.55999999999995</v>
      </c>
    </row>
    <row r="6367" spans="1:12" x14ac:dyDescent="0.25">
      <c r="A6367" t="s">
        <v>19</v>
      </c>
      <c r="B6367">
        <v>1185732</v>
      </c>
      <c r="C6367" s="1">
        <v>44476</v>
      </c>
      <c r="D6367" t="s">
        <v>32</v>
      </c>
      <c r="E6367" t="s">
        <v>46</v>
      </c>
      <c r="F6367" t="s">
        <v>47</v>
      </c>
      <c r="G6367" t="s">
        <v>41</v>
      </c>
      <c r="H6367" t="s">
        <v>35</v>
      </c>
      <c r="I6367" s="3">
        <v>45.000000000000014</v>
      </c>
      <c r="J6367" s="2">
        <v>675</v>
      </c>
      <c r="K6367" s="3">
        <f t="shared" si="99"/>
        <v>30375.000000000011</v>
      </c>
      <c r="L6367" s="3">
        <v>22781.250000000007</v>
      </c>
    </row>
    <row r="6368" spans="1:12" x14ac:dyDescent="0.25">
      <c r="A6368" t="s">
        <v>19</v>
      </c>
      <c r="B6368">
        <v>1185732</v>
      </c>
      <c r="C6368" s="1">
        <v>44476</v>
      </c>
      <c r="D6368" t="s">
        <v>32</v>
      </c>
      <c r="E6368" t="s">
        <v>46</v>
      </c>
      <c r="F6368" t="s">
        <v>47</v>
      </c>
      <c r="G6368" t="s">
        <v>41</v>
      </c>
      <c r="H6368" t="s">
        <v>37</v>
      </c>
      <c r="I6368" s="3">
        <v>45.000000000000014</v>
      </c>
      <c r="J6368" s="2">
        <v>650</v>
      </c>
      <c r="K6368" s="3">
        <f t="shared" si="99"/>
        <v>29250.000000000011</v>
      </c>
      <c r="L6368" s="3">
        <v>20475.000000000007</v>
      </c>
    </row>
    <row r="6369" spans="1:12" x14ac:dyDescent="0.25">
      <c r="A6369" t="s">
        <v>19</v>
      </c>
      <c r="B6369">
        <v>1185732</v>
      </c>
      <c r="C6369" s="1">
        <v>44476</v>
      </c>
      <c r="D6369" t="s">
        <v>32</v>
      </c>
      <c r="E6369" t="s">
        <v>46</v>
      </c>
      <c r="F6369" t="s">
        <v>47</v>
      </c>
      <c r="G6369" t="s">
        <v>41</v>
      </c>
      <c r="H6369" t="s">
        <v>22</v>
      </c>
      <c r="I6369" s="3">
        <v>55.000000000000007</v>
      </c>
      <c r="J6369" s="2">
        <v>650</v>
      </c>
      <c r="K6369" s="3">
        <f t="shared" si="99"/>
        <v>35750.000000000007</v>
      </c>
      <c r="L6369" s="3">
        <v>23237.500000000007</v>
      </c>
    </row>
    <row r="6370" spans="1:12" x14ac:dyDescent="0.25">
      <c r="A6370" t="s">
        <v>19</v>
      </c>
      <c r="B6370">
        <v>1185732</v>
      </c>
      <c r="C6370" s="1">
        <v>44476</v>
      </c>
      <c r="D6370" t="s">
        <v>32</v>
      </c>
      <c r="E6370" t="s">
        <v>46</v>
      </c>
      <c r="F6370" t="s">
        <v>47</v>
      </c>
      <c r="G6370" t="s">
        <v>41</v>
      </c>
      <c r="H6370" t="s">
        <v>17</v>
      </c>
      <c r="I6370" s="3">
        <v>45.000000000000014</v>
      </c>
      <c r="J6370" s="2">
        <v>800</v>
      </c>
      <c r="K6370" s="3">
        <f t="shared" si="99"/>
        <v>36000.000000000015</v>
      </c>
      <c r="L6370" s="3">
        <v>23400.000000000007</v>
      </c>
    </row>
    <row r="6371" spans="1:12" x14ac:dyDescent="0.25">
      <c r="A6371" t="s">
        <v>19</v>
      </c>
      <c r="B6371">
        <v>1185732</v>
      </c>
      <c r="C6371" s="1">
        <v>44476</v>
      </c>
      <c r="D6371" t="s">
        <v>32</v>
      </c>
      <c r="E6371" t="s">
        <v>46</v>
      </c>
      <c r="F6371" t="s">
        <v>47</v>
      </c>
      <c r="G6371" t="s">
        <v>41</v>
      </c>
      <c r="H6371" t="s">
        <v>38</v>
      </c>
      <c r="I6371" s="3">
        <v>55.000000000000007</v>
      </c>
      <c r="J6371" s="2">
        <v>975</v>
      </c>
      <c r="K6371" s="3">
        <f t="shared" si="99"/>
        <v>53625.000000000007</v>
      </c>
      <c r="L6371" s="3">
        <v>29493.750000000007</v>
      </c>
    </row>
    <row r="6372" spans="1:12" x14ac:dyDescent="0.25">
      <c r="A6372" t="s">
        <v>26</v>
      </c>
      <c r="B6372">
        <v>1197831</v>
      </c>
      <c r="C6372" s="1">
        <v>44476</v>
      </c>
      <c r="D6372" t="s">
        <v>52</v>
      </c>
      <c r="E6372" t="s">
        <v>99</v>
      </c>
      <c r="F6372" t="s">
        <v>100</v>
      </c>
      <c r="G6372" t="s">
        <v>15</v>
      </c>
      <c r="H6372" t="s">
        <v>17</v>
      </c>
      <c r="I6372" s="3">
        <v>60</v>
      </c>
      <c r="J6372" s="2">
        <v>775</v>
      </c>
      <c r="K6372" s="3">
        <f t="shared" si="99"/>
        <v>46500</v>
      </c>
      <c r="L6372" s="3">
        <v>23250.000000000004</v>
      </c>
    </row>
    <row r="6373" spans="1:12" x14ac:dyDescent="0.25">
      <c r="A6373" t="s">
        <v>26</v>
      </c>
      <c r="B6373">
        <v>1197831</v>
      </c>
      <c r="C6373" s="1">
        <v>44476</v>
      </c>
      <c r="D6373" t="s">
        <v>52</v>
      </c>
      <c r="E6373" t="s">
        <v>53</v>
      </c>
      <c r="F6373" t="s">
        <v>54</v>
      </c>
      <c r="G6373" t="s">
        <v>15</v>
      </c>
      <c r="H6373" t="s">
        <v>37</v>
      </c>
      <c r="I6373" s="3">
        <v>45</v>
      </c>
      <c r="J6373" s="2">
        <v>425</v>
      </c>
      <c r="K6373" s="3">
        <f t="shared" si="99"/>
        <v>19125</v>
      </c>
      <c r="L6373" s="3">
        <v>9562.5</v>
      </c>
    </row>
    <row r="6374" spans="1:12" x14ac:dyDescent="0.25">
      <c r="A6374" t="s">
        <v>19</v>
      </c>
      <c r="B6374">
        <v>1185732</v>
      </c>
      <c r="C6374" s="1">
        <v>44476</v>
      </c>
      <c r="D6374" t="s">
        <v>32</v>
      </c>
      <c r="E6374" t="s">
        <v>46</v>
      </c>
      <c r="F6374" t="s">
        <v>47</v>
      </c>
      <c r="G6374" t="s">
        <v>41</v>
      </c>
      <c r="H6374" t="s">
        <v>16</v>
      </c>
      <c r="I6374" s="3">
        <v>60</v>
      </c>
      <c r="J6374" s="2">
        <v>775</v>
      </c>
      <c r="K6374" s="3">
        <f t="shared" si="99"/>
        <v>46500</v>
      </c>
      <c r="L6374" s="3">
        <v>23250</v>
      </c>
    </row>
    <row r="6375" spans="1:12" x14ac:dyDescent="0.25">
      <c r="A6375" t="s">
        <v>19</v>
      </c>
      <c r="B6375">
        <v>1185732</v>
      </c>
      <c r="C6375" s="1">
        <v>44476</v>
      </c>
      <c r="D6375" t="s">
        <v>32</v>
      </c>
      <c r="E6375" t="s">
        <v>46</v>
      </c>
      <c r="F6375" t="s">
        <v>47</v>
      </c>
      <c r="G6375" t="s">
        <v>41</v>
      </c>
      <c r="H6375" t="s">
        <v>35</v>
      </c>
      <c r="I6375" s="3">
        <v>41</v>
      </c>
      <c r="J6375" s="2">
        <v>176</v>
      </c>
      <c r="K6375" s="3">
        <f t="shared" si="99"/>
        <v>7216</v>
      </c>
      <c r="L6375" s="3">
        <v>4401.76</v>
      </c>
    </row>
    <row r="6376" spans="1:12" x14ac:dyDescent="0.25">
      <c r="A6376" t="s">
        <v>19</v>
      </c>
      <c r="B6376">
        <v>1185732</v>
      </c>
      <c r="C6376" s="1">
        <v>44476</v>
      </c>
      <c r="D6376" t="s">
        <v>32</v>
      </c>
      <c r="E6376" t="s">
        <v>46</v>
      </c>
      <c r="F6376" t="s">
        <v>47</v>
      </c>
      <c r="G6376" t="s">
        <v>41</v>
      </c>
      <c r="H6376" t="s">
        <v>37</v>
      </c>
      <c r="I6376" s="3">
        <v>41</v>
      </c>
      <c r="J6376" s="2">
        <v>176</v>
      </c>
      <c r="K6376" s="3">
        <f t="shared" si="99"/>
        <v>7216</v>
      </c>
      <c r="L6376" s="3">
        <v>4329.6000000000004</v>
      </c>
    </row>
    <row r="6377" spans="1:12" x14ac:dyDescent="0.25">
      <c r="A6377" t="s">
        <v>19</v>
      </c>
      <c r="B6377">
        <v>1185732</v>
      </c>
      <c r="C6377" s="1">
        <v>44476</v>
      </c>
      <c r="D6377" t="s">
        <v>32</v>
      </c>
      <c r="E6377" t="s">
        <v>46</v>
      </c>
      <c r="F6377" t="s">
        <v>47</v>
      </c>
      <c r="G6377" t="s">
        <v>41</v>
      </c>
      <c r="H6377" t="s">
        <v>22</v>
      </c>
      <c r="I6377" s="3">
        <v>52</v>
      </c>
      <c r="J6377" s="2">
        <v>189</v>
      </c>
      <c r="K6377" s="3">
        <f t="shared" si="99"/>
        <v>9828</v>
      </c>
      <c r="L6377" s="3">
        <v>5110.5600000000004</v>
      </c>
    </row>
    <row r="6378" spans="1:12" x14ac:dyDescent="0.25">
      <c r="A6378" t="s">
        <v>19</v>
      </c>
      <c r="B6378">
        <v>1185732</v>
      </c>
      <c r="C6378" s="1">
        <v>44476</v>
      </c>
      <c r="D6378" t="s">
        <v>32</v>
      </c>
      <c r="E6378" t="s">
        <v>46</v>
      </c>
      <c r="F6378" t="s">
        <v>47</v>
      </c>
      <c r="G6378" t="s">
        <v>41</v>
      </c>
      <c r="H6378" t="s">
        <v>17</v>
      </c>
      <c r="I6378" s="3">
        <v>42</v>
      </c>
      <c r="J6378" s="2">
        <v>208</v>
      </c>
      <c r="K6378" s="3">
        <f t="shared" si="99"/>
        <v>8736</v>
      </c>
      <c r="L6378" s="3">
        <v>4368</v>
      </c>
    </row>
    <row r="6379" spans="1:12" x14ac:dyDescent="0.25">
      <c r="A6379" t="s">
        <v>26</v>
      </c>
      <c r="B6379">
        <v>1197831</v>
      </c>
      <c r="C6379" s="1">
        <v>44476</v>
      </c>
      <c r="D6379" t="s">
        <v>52</v>
      </c>
      <c r="E6379" t="s">
        <v>99</v>
      </c>
      <c r="F6379" t="s">
        <v>100</v>
      </c>
      <c r="G6379" t="s">
        <v>15</v>
      </c>
      <c r="H6379" t="s">
        <v>17</v>
      </c>
      <c r="I6379" s="3">
        <v>40</v>
      </c>
      <c r="J6379" s="2">
        <v>248</v>
      </c>
      <c r="K6379" s="3">
        <f t="shared" si="99"/>
        <v>9920</v>
      </c>
      <c r="L6379" s="3">
        <v>4662.4000000000005</v>
      </c>
    </row>
    <row r="6380" spans="1:12" x14ac:dyDescent="0.25">
      <c r="A6380" t="s">
        <v>26</v>
      </c>
      <c r="B6380">
        <v>1197831</v>
      </c>
      <c r="C6380" s="1">
        <v>44476</v>
      </c>
      <c r="D6380" t="s">
        <v>52</v>
      </c>
      <c r="E6380" t="s">
        <v>53</v>
      </c>
      <c r="F6380" t="s">
        <v>54</v>
      </c>
      <c r="G6380" t="s">
        <v>15</v>
      </c>
      <c r="H6380" t="s">
        <v>37</v>
      </c>
      <c r="I6380" s="3">
        <v>30</v>
      </c>
      <c r="J6380" s="2">
        <v>145</v>
      </c>
      <c r="K6380" s="3">
        <f t="shared" si="99"/>
        <v>4350</v>
      </c>
      <c r="L6380" s="3">
        <v>2001</v>
      </c>
    </row>
    <row r="6381" spans="1:12" x14ac:dyDescent="0.25">
      <c r="A6381" t="s">
        <v>26</v>
      </c>
      <c r="B6381">
        <v>1197831</v>
      </c>
      <c r="C6381" s="1">
        <v>44476</v>
      </c>
      <c r="D6381" t="s">
        <v>52</v>
      </c>
      <c r="E6381" t="s">
        <v>53</v>
      </c>
      <c r="F6381" t="s">
        <v>54</v>
      </c>
      <c r="G6381" t="s">
        <v>41</v>
      </c>
      <c r="H6381" t="s">
        <v>37</v>
      </c>
      <c r="I6381" s="3">
        <v>41</v>
      </c>
      <c r="J6381" s="2">
        <v>111</v>
      </c>
      <c r="K6381" s="3">
        <f t="shared" si="99"/>
        <v>4551</v>
      </c>
      <c r="L6381" s="3">
        <v>1820.4</v>
      </c>
    </row>
    <row r="6382" spans="1:12" x14ac:dyDescent="0.25">
      <c r="A6382" t="s">
        <v>19</v>
      </c>
      <c r="B6382">
        <v>1185732</v>
      </c>
      <c r="C6382" s="1">
        <v>44476</v>
      </c>
      <c r="D6382" t="s">
        <v>32</v>
      </c>
      <c r="E6382" t="s">
        <v>46</v>
      </c>
      <c r="F6382" t="s">
        <v>47</v>
      </c>
      <c r="G6382" t="s">
        <v>41</v>
      </c>
      <c r="H6382" t="s">
        <v>38</v>
      </c>
      <c r="I6382" s="3">
        <v>50</v>
      </c>
      <c r="J6382" s="2">
        <v>244</v>
      </c>
      <c r="K6382" s="3">
        <f t="shared" si="99"/>
        <v>12200</v>
      </c>
      <c r="L6382" s="3">
        <v>4880</v>
      </c>
    </row>
    <row r="6383" spans="1:12" x14ac:dyDescent="0.25">
      <c r="A6383" t="s">
        <v>26</v>
      </c>
      <c r="B6383">
        <v>1197831</v>
      </c>
      <c r="C6383" s="1">
        <v>44476</v>
      </c>
      <c r="D6383" t="s">
        <v>52</v>
      </c>
      <c r="E6383" t="s">
        <v>99</v>
      </c>
      <c r="F6383" t="s">
        <v>100</v>
      </c>
      <c r="G6383" t="s">
        <v>41</v>
      </c>
      <c r="H6383" t="s">
        <v>17</v>
      </c>
      <c r="I6383" s="3">
        <v>58</v>
      </c>
      <c r="J6383" s="2">
        <v>225</v>
      </c>
      <c r="K6383" s="3">
        <f t="shared" si="99"/>
        <v>13050</v>
      </c>
      <c r="L6383" s="3">
        <v>4698.0000000000018</v>
      </c>
    </row>
    <row r="6384" spans="1:12" x14ac:dyDescent="0.25">
      <c r="A6384" t="s">
        <v>19</v>
      </c>
      <c r="B6384">
        <v>1185732</v>
      </c>
      <c r="C6384" s="1">
        <v>44476</v>
      </c>
      <c r="D6384" t="s">
        <v>32</v>
      </c>
      <c r="E6384" t="s">
        <v>46</v>
      </c>
      <c r="F6384" t="s">
        <v>47</v>
      </c>
      <c r="G6384" t="s">
        <v>41</v>
      </c>
      <c r="H6384" t="s">
        <v>16</v>
      </c>
      <c r="I6384" s="3">
        <v>56</v>
      </c>
      <c r="J6384" s="2">
        <v>225</v>
      </c>
      <c r="K6384" s="3">
        <f t="shared" si="99"/>
        <v>12600</v>
      </c>
      <c r="L6384" s="3">
        <v>4410</v>
      </c>
    </row>
    <row r="6385" spans="1:12" x14ac:dyDescent="0.25">
      <c r="A6385" t="s">
        <v>27</v>
      </c>
      <c r="B6385">
        <v>1185732</v>
      </c>
      <c r="C6385" s="1">
        <v>44477</v>
      </c>
      <c r="D6385" t="s">
        <v>29</v>
      </c>
      <c r="E6385" t="s">
        <v>91</v>
      </c>
      <c r="F6385" t="s">
        <v>92</v>
      </c>
      <c r="G6385" t="s">
        <v>18</v>
      </c>
      <c r="H6385" t="s">
        <v>22</v>
      </c>
      <c r="I6385" s="3">
        <v>60</v>
      </c>
      <c r="J6385" s="2">
        <v>125</v>
      </c>
      <c r="K6385" s="3">
        <f t="shared" si="99"/>
        <v>7500</v>
      </c>
      <c r="L6385" s="3">
        <v>5250</v>
      </c>
    </row>
    <row r="6386" spans="1:12" x14ac:dyDescent="0.25">
      <c r="A6386" t="s">
        <v>19</v>
      </c>
      <c r="B6386">
        <v>1185732</v>
      </c>
      <c r="C6386" s="1">
        <v>44477</v>
      </c>
      <c r="D6386" t="s">
        <v>29</v>
      </c>
      <c r="E6386" t="s">
        <v>48</v>
      </c>
      <c r="F6386" t="s">
        <v>49</v>
      </c>
      <c r="G6386" t="s">
        <v>18</v>
      </c>
      <c r="H6386" t="s">
        <v>22</v>
      </c>
      <c r="I6386" s="3">
        <v>60</v>
      </c>
      <c r="J6386" s="2">
        <v>75</v>
      </c>
      <c r="K6386" s="3">
        <f t="shared" si="99"/>
        <v>4500</v>
      </c>
      <c r="L6386" s="3">
        <v>3150</v>
      </c>
    </row>
    <row r="6387" spans="1:12" x14ac:dyDescent="0.25">
      <c r="A6387" t="s">
        <v>27</v>
      </c>
      <c r="B6387">
        <v>1185732</v>
      </c>
      <c r="C6387" s="1">
        <v>44477</v>
      </c>
      <c r="D6387" t="s">
        <v>29</v>
      </c>
      <c r="E6387" t="s">
        <v>91</v>
      </c>
      <c r="F6387" t="s">
        <v>92</v>
      </c>
      <c r="G6387" t="s">
        <v>18</v>
      </c>
      <c r="H6387" t="s">
        <v>38</v>
      </c>
      <c r="I6387" s="3">
        <v>54.999999999999993</v>
      </c>
      <c r="J6387" s="2">
        <v>425</v>
      </c>
      <c r="K6387" s="3">
        <f t="shared" si="99"/>
        <v>23374.999999999996</v>
      </c>
      <c r="L6387" s="3">
        <v>15193.75</v>
      </c>
    </row>
    <row r="6388" spans="1:12" x14ac:dyDescent="0.25">
      <c r="A6388" t="s">
        <v>19</v>
      </c>
      <c r="B6388">
        <v>1185732</v>
      </c>
      <c r="C6388" s="1">
        <v>44477</v>
      </c>
      <c r="D6388" t="s">
        <v>29</v>
      </c>
      <c r="E6388" t="s">
        <v>48</v>
      </c>
      <c r="F6388" t="s">
        <v>49</v>
      </c>
      <c r="G6388" t="s">
        <v>18</v>
      </c>
      <c r="H6388" t="s">
        <v>38</v>
      </c>
      <c r="I6388" s="3">
        <v>54.999999999999993</v>
      </c>
      <c r="J6388" s="2">
        <v>375</v>
      </c>
      <c r="K6388" s="3">
        <f t="shared" si="99"/>
        <v>20624.999999999996</v>
      </c>
      <c r="L6388" s="3">
        <v>13406.25</v>
      </c>
    </row>
    <row r="6389" spans="1:12" x14ac:dyDescent="0.25">
      <c r="A6389" t="s">
        <v>26</v>
      </c>
      <c r="B6389">
        <v>1197831</v>
      </c>
      <c r="C6389" s="1">
        <v>44477</v>
      </c>
      <c r="D6389" t="s">
        <v>52</v>
      </c>
      <c r="E6389" t="s">
        <v>53</v>
      </c>
      <c r="F6389" t="s">
        <v>54</v>
      </c>
      <c r="G6389" t="s">
        <v>15</v>
      </c>
      <c r="H6389" t="s">
        <v>22</v>
      </c>
      <c r="I6389" s="3">
        <v>40</v>
      </c>
      <c r="J6389" s="2">
        <v>400</v>
      </c>
      <c r="K6389" s="3">
        <f t="shared" si="99"/>
        <v>16000</v>
      </c>
      <c r="L6389" s="3">
        <v>10400</v>
      </c>
    </row>
    <row r="6390" spans="1:12" x14ac:dyDescent="0.25">
      <c r="A6390" t="s">
        <v>27</v>
      </c>
      <c r="B6390">
        <v>1185732</v>
      </c>
      <c r="C6390" s="1">
        <v>44477</v>
      </c>
      <c r="D6390" t="s">
        <v>29</v>
      </c>
      <c r="E6390" t="s">
        <v>91</v>
      </c>
      <c r="F6390" t="s">
        <v>92</v>
      </c>
      <c r="G6390" t="s">
        <v>18</v>
      </c>
      <c r="H6390" t="s">
        <v>17</v>
      </c>
      <c r="I6390" s="3">
        <v>50</v>
      </c>
      <c r="J6390" s="2">
        <v>250</v>
      </c>
      <c r="K6390" s="3">
        <f t="shared" si="99"/>
        <v>12500</v>
      </c>
      <c r="L6390" s="3">
        <v>8125</v>
      </c>
    </row>
    <row r="6391" spans="1:12" x14ac:dyDescent="0.25">
      <c r="A6391" t="s">
        <v>19</v>
      </c>
      <c r="B6391">
        <v>1185732</v>
      </c>
      <c r="C6391" s="1">
        <v>44477</v>
      </c>
      <c r="D6391" t="s">
        <v>29</v>
      </c>
      <c r="E6391" t="s">
        <v>48</v>
      </c>
      <c r="F6391" t="s">
        <v>49</v>
      </c>
      <c r="G6391" t="s">
        <v>18</v>
      </c>
      <c r="H6391" t="s">
        <v>17</v>
      </c>
      <c r="I6391" s="3">
        <v>50</v>
      </c>
      <c r="J6391" s="2">
        <v>200</v>
      </c>
      <c r="K6391" s="3">
        <f t="shared" si="99"/>
        <v>10000</v>
      </c>
      <c r="L6391" s="3">
        <v>6500</v>
      </c>
    </row>
    <row r="6392" spans="1:12" x14ac:dyDescent="0.25">
      <c r="A6392" t="s">
        <v>27</v>
      </c>
      <c r="B6392">
        <v>1185732</v>
      </c>
      <c r="C6392" s="1">
        <v>44477</v>
      </c>
      <c r="D6392" t="s">
        <v>29</v>
      </c>
      <c r="E6392" t="s">
        <v>91</v>
      </c>
      <c r="F6392" t="s">
        <v>92</v>
      </c>
      <c r="G6392" t="s">
        <v>18</v>
      </c>
      <c r="H6392" t="s">
        <v>35</v>
      </c>
      <c r="I6392" s="3">
        <v>50</v>
      </c>
      <c r="J6392" s="2">
        <v>150</v>
      </c>
      <c r="K6392" s="3">
        <f t="shared" si="99"/>
        <v>7500</v>
      </c>
      <c r="L6392" s="3">
        <v>4500</v>
      </c>
    </row>
    <row r="6393" spans="1:12" x14ac:dyDescent="0.25">
      <c r="A6393" t="s">
        <v>27</v>
      </c>
      <c r="B6393">
        <v>1185732</v>
      </c>
      <c r="C6393" s="1">
        <v>44477</v>
      </c>
      <c r="D6393" t="s">
        <v>29</v>
      </c>
      <c r="E6393" t="s">
        <v>91</v>
      </c>
      <c r="F6393" t="s">
        <v>92</v>
      </c>
      <c r="G6393" t="s">
        <v>18</v>
      </c>
      <c r="H6393" t="s">
        <v>37</v>
      </c>
      <c r="I6393" s="3">
        <v>50</v>
      </c>
      <c r="J6393" s="2">
        <v>125</v>
      </c>
      <c r="K6393" s="3">
        <f t="shared" si="99"/>
        <v>6250</v>
      </c>
      <c r="L6393" s="3">
        <v>3750</v>
      </c>
    </row>
    <row r="6394" spans="1:12" x14ac:dyDescent="0.25">
      <c r="A6394" t="s">
        <v>19</v>
      </c>
      <c r="B6394">
        <v>1185732</v>
      </c>
      <c r="C6394" s="1">
        <v>44477</v>
      </c>
      <c r="D6394" t="s">
        <v>29</v>
      </c>
      <c r="E6394" t="s">
        <v>48</v>
      </c>
      <c r="F6394" t="s">
        <v>49</v>
      </c>
      <c r="G6394" t="s">
        <v>18</v>
      </c>
      <c r="H6394" t="s">
        <v>35</v>
      </c>
      <c r="I6394" s="3">
        <v>50</v>
      </c>
      <c r="J6394" s="2">
        <v>100</v>
      </c>
      <c r="K6394" s="3">
        <f t="shared" si="99"/>
        <v>5000</v>
      </c>
      <c r="L6394" s="3">
        <v>3000</v>
      </c>
    </row>
    <row r="6395" spans="1:12" x14ac:dyDescent="0.25">
      <c r="A6395" t="s">
        <v>19</v>
      </c>
      <c r="B6395">
        <v>1185732</v>
      </c>
      <c r="C6395" s="1">
        <v>44477</v>
      </c>
      <c r="D6395" t="s">
        <v>29</v>
      </c>
      <c r="E6395" t="s">
        <v>48</v>
      </c>
      <c r="F6395" t="s">
        <v>49</v>
      </c>
      <c r="G6395" t="s">
        <v>18</v>
      </c>
      <c r="H6395" t="s">
        <v>37</v>
      </c>
      <c r="I6395" s="3">
        <v>50</v>
      </c>
      <c r="J6395" s="2">
        <v>75</v>
      </c>
      <c r="K6395" s="3">
        <f t="shared" si="99"/>
        <v>3750</v>
      </c>
      <c r="L6395" s="3">
        <v>2250</v>
      </c>
    </row>
    <row r="6396" spans="1:12" x14ac:dyDescent="0.25">
      <c r="A6396" t="s">
        <v>26</v>
      </c>
      <c r="B6396">
        <v>1185732</v>
      </c>
      <c r="C6396" s="1">
        <v>44477</v>
      </c>
      <c r="D6396" t="s">
        <v>29</v>
      </c>
      <c r="E6396" t="s">
        <v>91</v>
      </c>
      <c r="F6396" t="s">
        <v>92</v>
      </c>
      <c r="G6396" t="s">
        <v>18</v>
      </c>
      <c r="H6396" t="s">
        <v>16</v>
      </c>
      <c r="I6396" s="3">
        <v>64.999999999999986</v>
      </c>
      <c r="J6396" s="2">
        <v>250</v>
      </c>
      <c r="K6396" s="3">
        <f t="shared" si="99"/>
        <v>16249.999999999996</v>
      </c>
      <c r="L6396" s="3">
        <v>9749.9999999999964</v>
      </c>
    </row>
    <row r="6397" spans="1:12" x14ac:dyDescent="0.25">
      <c r="A6397" t="s">
        <v>26</v>
      </c>
      <c r="B6397">
        <v>1185732</v>
      </c>
      <c r="C6397" s="1">
        <v>44477</v>
      </c>
      <c r="D6397" t="s">
        <v>29</v>
      </c>
      <c r="E6397" t="s">
        <v>48</v>
      </c>
      <c r="F6397" t="s">
        <v>49</v>
      </c>
      <c r="G6397" t="s">
        <v>18</v>
      </c>
      <c r="H6397" t="s">
        <v>16</v>
      </c>
      <c r="I6397" s="3">
        <v>64.999999999999986</v>
      </c>
      <c r="J6397" s="2">
        <v>200</v>
      </c>
      <c r="K6397" s="3">
        <f t="shared" si="99"/>
        <v>12999.999999999996</v>
      </c>
      <c r="L6397" s="3">
        <v>7799.9999999999973</v>
      </c>
    </row>
    <row r="6398" spans="1:12" x14ac:dyDescent="0.25">
      <c r="A6398" t="s">
        <v>26</v>
      </c>
      <c r="B6398">
        <v>1197831</v>
      </c>
      <c r="C6398" s="1">
        <v>44477</v>
      </c>
      <c r="D6398" t="s">
        <v>52</v>
      </c>
      <c r="E6398" t="s">
        <v>99</v>
      </c>
      <c r="F6398" t="s">
        <v>100</v>
      </c>
      <c r="G6398" t="s">
        <v>15</v>
      </c>
      <c r="H6398" t="s">
        <v>35</v>
      </c>
      <c r="I6398" s="3">
        <v>65</v>
      </c>
      <c r="J6398" s="2">
        <v>700</v>
      </c>
      <c r="K6398" s="3">
        <f t="shared" si="99"/>
        <v>45500</v>
      </c>
      <c r="L6398" s="3">
        <v>22750.000000000004</v>
      </c>
    </row>
    <row r="6399" spans="1:12" x14ac:dyDescent="0.25">
      <c r="A6399" t="s">
        <v>19</v>
      </c>
      <c r="B6399">
        <v>1185732</v>
      </c>
      <c r="C6399" s="1">
        <v>44477</v>
      </c>
      <c r="D6399" t="s">
        <v>29</v>
      </c>
      <c r="E6399" t="s">
        <v>48</v>
      </c>
      <c r="F6399" t="s">
        <v>49</v>
      </c>
      <c r="G6399" t="s">
        <v>15</v>
      </c>
      <c r="H6399" t="s">
        <v>22</v>
      </c>
      <c r="I6399" s="3">
        <v>40</v>
      </c>
      <c r="J6399" s="2">
        <v>23</v>
      </c>
      <c r="K6399" s="3">
        <f t="shared" si="99"/>
        <v>920</v>
      </c>
      <c r="L6399" s="3">
        <v>616.40000000000009</v>
      </c>
    </row>
    <row r="6400" spans="1:12" x14ac:dyDescent="0.25">
      <c r="A6400" t="s">
        <v>19</v>
      </c>
      <c r="B6400">
        <v>1185732</v>
      </c>
      <c r="C6400" s="1">
        <v>44477</v>
      </c>
      <c r="D6400" t="s">
        <v>29</v>
      </c>
      <c r="E6400" t="s">
        <v>48</v>
      </c>
      <c r="F6400" t="s">
        <v>49</v>
      </c>
      <c r="G6400" t="s">
        <v>15</v>
      </c>
      <c r="H6400" t="s">
        <v>17</v>
      </c>
      <c r="I6400" s="3">
        <v>38</v>
      </c>
      <c r="J6400" s="2">
        <v>68</v>
      </c>
      <c r="K6400" s="3">
        <f t="shared" si="99"/>
        <v>2584</v>
      </c>
      <c r="L6400" s="3">
        <v>1602.08</v>
      </c>
    </row>
    <row r="6401" spans="1:12" x14ac:dyDescent="0.25">
      <c r="A6401" t="s">
        <v>19</v>
      </c>
      <c r="B6401">
        <v>1185732</v>
      </c>
      <c r="C6401" s="1">
        <v>44477</v>
      </c>
      <c r="D6401" t="s">
        <v>29</v>
      </c>
      <c r="E6401" t="s">
        <v>48</v>
      </c>
      <c r="F6401" t="s">
        <v>49</v>
      </c>
      <c r="G6401" t="s">
        <v>41</v>
      </c>
      <c r="H6401" t="s">
        <v>22</v>
      </c>
      <c r="I6401" s="3">
        <v>55</v>
      </c>
      <c r="J6401" s="2">
        <v>19</v>
      </c>
      <c r="K6401" s="3">
        <f t="shared" si="99"/>
        <v>1045</v>
      </c>
      <c r="L6401" s="3">
        <v>627</v>
      </c>
    </row>
    <row r="6402" spans="1:12" x14ac:dyDescent="0.25">
      <c r="A6402" t="s">
        <v>26</v>
      </c>
      <c r="B6402">
        <v>1197831</v>
      </c>
      <c r="C6402" s="1">
        <v>44477</v>
      </c>
      <c r="D6402" t="s">
        <v>52</v>
      </c>
      <c r="E6402" t="s">
        <v>53</v>
      </c>
      <c r="F6402" t="s">
        <v>54</v>
      </c>
      <c r="G6402" t="s">
        <v>15</v>
      </c>
      <c r="H6402" t="s">
        <v>22</v>
      </c>
      <c r="I6402" s="3">
        <v>30</v>
      </c>
      <c r="J6402" s="2">
        <v>128</v>
      </c>
      <c r="K6402" s="3">
        <f t="shared" si="99"/>
        <v>3840</v>
      </c>
      <c r="L6402" s="3">
        <v>2304</v>
      </c>
    </row>
    <row r="6403" spans="1:12" x14ac:dyDescent="0.25">
      <c r="A6403" t="s">
        <v>27</v>
      </c>
      <c r="B6403">
        <v>1185732</v>
      </c>
      <c r="C6403" s="1">
        <v>44477</v>
      </c>
      <c r="D6403" t="s">
        <v>29</v>
      </c>
      <c r="E6403" t="s">
        <v>91</v>
      </c>
      <c r="F6403" t="s">
        <v>92</v>
      </c>
      <c r="G6403" t="s">
        <v>41</v>
      </c>
      <c r="H6403" t="s">
        <v>22</v>
      </c>
      <c r="I6403" s="3">
        <v>58</v>
      </c>
      <c r="J6403" s="2">
        <v>38</v>
      </c>
      <c r="K6403" s="3">
        <f t="shared" ref="K6403:K6466" si="100">I6403*J6403</f>
        <v>2204</v>
      </c>
      <c r="L6403" s="3">
        <v>1300.3600000000001</v>
      </c>
    </row>
    <row r="6404" spans="1:12" x14ac:dyDescent="0.25">
      <c r="A6404" t="s">
        <v>19</v>
      </c>
      <c r="B6404">
        <v>1185732</v>
      </c>
      <c r="C6404" s="1">
        <v>44477</v>
      </c>
      <c r="D6404" t="s">
        <v>29</v>
      </c>
      <c r="E6404" t="s">
        <v>48</v>
      </c>
      <c r="F6404" t="s">
        <v>49</v>
      </c>
      <c r="G6404" t="s">
        <v>15</v>
      </c>
      <c r="H6404" t="s">
        <v>38</v>
      </c>
      <c r="I6404" s="3">
        <v>37</v>
      </c>
      <c r="J6404" s="2">
        <v>113</v>
      </c>
      <c r="K6404" s="3">
        <f t="shared" si="100"/>
        <v>4181</v>
      </c>
      <c r="L6404" s="3">
        <v>2466.79</v>
      </c>
    </row>
    <row r="6405" spans="1:12" x14ac:dyDescent="0.25">
      <c r="A6405" t="s">
        <v>19</v>
      </c>
      <c r="B6405">
        <v>1185732</v>
      </c>
      <c r="C6405" s="1">
        <v>44477</v>
      </c>
      <c r="D6405" t="s">
        <v>29</v>
      </c>
      <c r="E6405" t="s">
        <v>48</v>
      </c>
      <c r="F6405" t="s">
        <v>49</v>
      </c>
      <c r="G6405" t="s">
        <v>15</v>
      </c>
      <c r="H6405" t="s">
        <v>35</v>
      </c>
      <c r="I6405" s="3">
        <v>40</v>
      </c>
      <c r="J6405" s="2">
        <v>30</v>
      </c>
      <c r="K6405" s="3">
        <f t="shared" si="100"/>
        <v>1200</v>
      </c>
      <c r="L6405" s="3">
        <v>672</v>
      </c>
    </row>
    <row r="6406" spans="1:12" x14ac:dyDescent="0.25">
      <c r="A6406" t="s">
        <v>26</v>
      </c>
      <c r="B6406">
        <v>1185732</v>
      </c>
      <c r="C6406" s="1">
        <v>44477</v>
      </c>
      <c r="D6406" t="s">
        <v>29</v>
      </c>
      <c r="E6406" t="s">
        <v>48</v>
      </c>
      <c r="F6406" t="s">
        <v>49</v>
      </c>
      <c r="G6406" t="s">
        <v>15</v>
      </c>
      <c r="H6406" t="s">
        <v>16</v>
      </c>
      <c r="I6406" s="3">
        <v>47</v>
      </c>
      <c r="J6406" s="2">
        <v>66</v>
      </c>
      <c r="K6406" s="3">
        <f t="shared" si="100"/>
        <v>3102</v>
      </c>
      <c r="L6406" s="3">
        <v>1737.12</v>
      </c>
    </row>
    <row r="6407" spans="1:12" x14ac:dyDescent="0.25">
      <c r="A6407" t="s">
        <v>26</v>
      </c>
      <c r="B6407">
        <v>1197831</v>
      </c>
      <c r="C6407" s="1">
        <v>44477</v>
      </c>
      <c r="D6407" t="s">
        <v>52</v>
      </c>
      <c r="E6407" t="s">
        <v>53</v>
      </c>
      <c r="F6407" t="s">
        <v>54</v>
      </c>
      <c r="G6407" t="s">
        <v>41</v>
      </c>
      <c r="H6407" t="s">
        <v>22</v>
      </c>
      <c r="I6407" s="3">
        <v>36</v>
      </c>
      <c r="J6407" s="2">
        <v>100</v>
      </c>
      <c r="K6407" s="3">
        <f t="shared" si="100"/>
        <v>3600</v>
      </c>
      <c r="L6407" s="3">
        <v>1980.0000000000002</v>
      </c>
    </row>
    <row r="6408" spans="1:12" x14ac:dyDescent="0.25">
      <c r="A6408" t="s">
        <v>19</v>
      </c>
      <c r="B6408">
        <v>1185732</v>
      </c>
      <c r="C6408" s="1">
        <v>44477</v>
      </c>
      <c r="D6408" t="s">
        <v>29</v>
      </c>
      <c r="E6408" t="s">
        <v>48</v>
      </c>
      <c r="F6408" t="s">
        <v>49</v>
      </c>
      <c r="G6408" t="s">
        <v>15</v>
      </c>
      <c r="H6408" t="s">
        <v>37</v>
      </c>
      <c r="I6408" s="3">
        <v>39</v>
      </c>
      <c r="J6408" s="2">
        <v>23</v>
      </c>
      <c r="K6408" s="3">
        <f t="shared" si="100"/>
        <v>897</v>
      </c>
      <c r="L6408" s="3">
        <v>493.34999999999997</v>
      </c>
    </row>
    <row r="6409" spans="1:12" x14ac:dyDescent="0.25">
      <c r="A6409" t="s">
        <v>27</v>
      </c>
      <c r="B6409">
        <v>1185732</v>
      </c>
      <c r="C6409" s="1">
        <v>44477</v>
      </c>
      <c r="D6409" t="s">
        <v>29</v>
      </c>
      <c r="E6409" t="s">
        <v>91</v>
      </c>
      <c r="F6409" t="s">
        <v>92</v>
      </c>
      <c r="G6409" t="s">
        <v>41</v>
      </c>
      <c r="H6409" t="s">
        <v>38</v>
      </c>
      <c r="I6409" s="3">
        <v>53</v>
      </c>
      <c r="J6409" s="2">
        <v>119</v>
      </c>
      <c r="K6409" s="3">
        <f t="shared" si="100"/>
        <v>6307</v>
      </c>
      <c r="L6409" s="3">
        <v>3405.78</v>
      </c>
    </row>
    <row r="6410" spans="1:12" x14ac:dyDescent="0.25">
      <c r="A6410" t="s">
        <v>19</v>
      </c>
      <c r="B6410">
        <v>1185732</v>
      </c>
      <c r="C6410" s="1">
        <v>44477</v>
      </c>
      <c r="D6410" t="s">
        <v>29</v>
      </c>
      <c r="E6410" t="s">
        <v>48</v>
      </c>
      <c r="F6410" t="s">
        <v>49</v>
      </c>
      <c r="G6410" t="s">
        <v>41</v>
      </c>
      <c r="H6410" t="s">
        <v>17</v>
      </c>
      <c r="I6410" s="3">
        <v>46</v>
      </c>
      <c r="J6410" s="2">
        <v>56</v>
      </c>
      <c r="K6410" s="3">
        <f t="shared" si="100"/>
        <v>2576</v>
      </c>
      <c r="L6410" s="3">
        <v>1313.76</v>
      </c>
    </row>
    <row r="6411" spans="1:12" x14ac:dyDescent="0.25">
      <c r="A6411" t="s">
        <v>27</v>
      </c>
      <c r="B6411">
        <v>1185732</v>
      </c>
      <c r="C6411" s="1">
        <v>44477</v>
      </c>
      <c r="D6411" t="s">
        <v>29</v>
      </c>
      <c r="E6411" t="s">
        <v>91</v>
      </c>
      <c r="F6411" t="s">
        <v>92</v>
      </c>
      <c r="G6411" t="s">
        <v>41</v>
      </c>
      <c r="H6411" t="s">
        <v>17</v>
      </c>
      <c r="I6411" s="3">
        <v>48</v>
      </c>
      <c r="J6411" s="2">
        <v>63</v>
      </c>
      <c r="K6411" s="3">
        <f t="shared" si="100"/>
        <v>3024</v>
      </c>
      <c r="L6411" s="3">
        <v>1512</v>
      </c>
    </row>
    <row r="6412" spans="1:12" x14ac:dyDescent="0.25">
      <c r="A6412" t="s">
        <v>27</v>
      </c>
      <c r="B6412">
        <v>1185732</v>
      </c>
      <c r="C6412" s="1">
        <v>44477</v>
      </c>
      <c r="D6412" t="s">
        <v>29</v>
      </c>
      <c r="E6412" t="s">
        <v>91</v>
      </c>
      <c r="F6412" t="s">
        <v>92</v>
      </c>
      <c r="G6412" t="s">
        <v>41</v>
      </c>
      <c r="H6412" t="s">
        <v>35</v>
      </c>
      <c r="I6412" s="3">
        <v>46</v>
      </c>
      <c r="J6412" s="2">
        <v>42</v>
      </c>
      <c r="K6412" s="3">
        <f t="shared" si="100"/>
        <v>1932</v>
      </c>
      <c r="L6412" s="3">
        <v>966</v>
      </c>
    </row>
    <row r="6413" spans="1:12" x14ac:dyDescent="0.25">
      <c r="A6413" t="s">
        <v>19</v>
      </c>
      <c r="B6413">
        <v>1185732</v>
      </c>
      <c r="C6413" s="1">
        <v>44477</v>
      </c>
      <c r="D6413" t="s">
        <v>29</v>
      </c>
      <c r="E6413" t="s">
        <v>48</v>
      </c>
      <c r="F6413" t="s">
        <v>49</v>
      </c>
      <c r="G6413" t="s">
        <v>41</v>
      </c>
      <c r="H6413" t="s">
        <v>38</v>
      </c>
      <c r="I6413" s="3">
        <v>53</v>
      </c>
      <c r="J6413" s="2">
        <v>94</v>
      </c>
      <c r="K6413" s="3">
        <f t="shared" si="100"/>
        <v>4982</v>
      </c>
      <c r="L6413" s="3">
        <v>2491</v>
      </c>
    </row>
    <row r="6414" spans="1:12" x14ac:dyDescent="0.25">
      <c r="A6414" t="s">
        <v>19</v>
      </c>
      <c r="B6414">
        <v>1185732</v>
      </c>
      <c r="C6414" s="1">
        <v>44477</v>
      </c>
      <c r="D6414" t="s">
        <v>29</v>
      </c>
      <c r="E6414" t="s">
        <v>48</v>
      </c>
      <c r="F6414" t="s">
        <v>49</v>
      </c>
      <c r="G6414" t="s">
        <v>41</v>
      </c>
      <c r="H6414" t="s">
        <v>37</v>
      </c>
      <c r="I6414" s="3">
        <v>47</v>
      </c>
      <c r="J6414" s="2">
        <v>23</v>
      </c>
      <c r="K6414" s="3">
        <f t="shared" si="100"/>
        <v>1081</v>
      </c>
      <c r="L6414" s="3">
        <v>540.5</v>
      </c>
    </row>
    <row r="6415" spans="1:12" x14ac:dyDescent="0.25">
      <c r="A6415" t="s">
        <v>26</v>
      </c>
      <c r="B6415">
        <v>1185732</v>
      </c>
      <c r="C6415" s="1">
        <v>44477</v>
      </c>
      <c r="D6415" t="s">
        <v>29</v>
      </c>
      <c r="E6415" t="s">
        <v>48</v>
      </c>
      <c r="F6415" t="s">
        <v>49</v>
      </c>
      <c r="G6415" t="s">
        <v>41</v>
      </c>
      <c r="H6415" t="s">
        <v>16</v>
      </c>
      <c r="I6415" s="3">
        <v>64</v>
      </c>
      <c r="J6415" s="2">
        <v>58</v>
      </c>
      <c r="K6415" s="3">
        <f t="shared" si="100"/>
        <v>3712</v>
      </c>
      <c r="L6415" s="3">
        <v>1818.8799999999999</v>
      </c>
    </row>
    <row r="6416" spans="1:12" x14ac:dyDescent="0.25">
      <c r="A6416" t="s">
        <v>27</v>
      </c>
      <c r="B6416">
        <v>1185732</v>
      </c>
      <c r="C6416" s="1">
        <v>44477</v>
      </c>
      <c r="D6416" t="s">
        <v>29</v>
      </c>
      <c r="E6416" t="s">
        <v>91</v>
      </c>
      <c r="F6416" t="s">
        <v>92</v>
      </c>
      <c r="G6416" t="s">
        <v>41</v>
      </c>
      <c r="H6416" t="s">
        <v>37</v>
      </c>
      <c r="I6416" s="3">
        <v>48</v>
      </c>
      <c r="J6416" s="2">
        <v>31</v>
      </c>
      <c r="K6416" s="3">
        <f t="shared" si="100"/>
        <v>1488</v>
      </c>
      <c r="L6416" s="3">
        <v>714.24</v>
      </c>
    </row>
    <row r="6417" spans="1:12" x14ac:dyDescent="0.25">
      <c r="A6417" t="s">
        <v>19</v>
      </c>
      <c r="B6417">
        <v>1185732</v>
      </c>
      <c r="C6417" s="1">
        <v>44477</v>
      </c>
      <c r="D6417" t="s">
        <v>29</v>
      </c>
      <c r="E6417" t="s">
        <v>48</v>
      </c>
      <c r="F6417" t="s">
        <v>49</v>
      </c>
      <c r="G6417" t="s">
        <v>41</v>
      </c>
      <c r="H6417" t="s">
        <v>35</v>
      </c>
      <c r="I6417" s="3">
        <v>45</v>
      </c>
      <c r="J6417" s="2">
        <v>29</v>
      </c>
      <c r="K6417" s="3">
        <f t="shared" si="100"/>
        <v>1305</v>
      </c>
      <c r="L6417" s="3">
        <v>626.4</v>
      </c>
    </row>
    <row r="6418" spans="1:12" x14ac:dyDescent="0.25">
      <c r="A6418" t="s">
        <v>26</v>
      </c>
      <c r="B6418">
        <v>1185732</v>
      </c>
      <c r="C6418" s="1">
        <v>44477</v>
      </c>
      <c r="D6418" t="s">
        <v>29</v>
      </c>
      <c r="E6418" t="s">
        <v>91</v>
      </c>
      <c r="F6418" t="s">
        <v>92</v>
      </c>
      <c r="G6418" t="s">
        <v>41</v>
      </c>
      <c r="H6418" t="s">
        <v>16</v>
      </c>
      <c r="I6418" s="3">
        <v>62</v>
      </c>
      <c r="J6418" s="2">
        <v>68</v>
      </c>
      <c r="K6418" s="3">
        <f t="shared" si="100"/>
        <v>4216</v>
      </c>
      <c r="L6418" s="3">
        <v>1981.52</v>
      </c>
    </row>
    <row r="6419" spans="1:12" x14ac:dyDescent="0.25">
      <c r="A6419" t="s">
        <v>26</v>
      </c>
      <c r="B6419">
        <v>1197831</v>
      </c>
      <c r="C6419" s="1">
        <v>44477</v>
      </c>
      <c r="D6419" t="s">
        <v>52</v>
      </c>
      <c r="E6419" t="s">
        <v>99</v>
      </c>
      <c r="F6419" t="s">
        <v>100</v>
      </c>
      <c r="G6419" t="s">
        <v>15</v>
      </c>
      <c r="H6419" t="s">
        <v>35</v>
      </c>
      <c r="I6419" s="3">
        <v>47</v>
      </c>
      <c r="J6419" s="2">
        <v>217</v>
      </c>
      <c r="K6419" s="3">
        <f t="shared" si="100"/>
        <v>10199</v>
      </c>
      <c r="L6419" s="3">
        <v>4691.5400000000009</v>
      </c>
    </row>
    <row r="6420" spans="1:12" x14ac:dyDescent="0.25">
      <c r="A6420" t="s">
        <v>26</v>
      </c>
      <c r="B6420">
        <v>1197831</v>
      </c>
      <c r="C6420" s="1">
        <v>44477</v>
      </c>
      <c r="D6420" t="s">
        <v>52</v>
      </c>
      <c r="E6420" t="s">
        <v>99</v>
      </c>
      <c r="F6420" t="s">
        <v>100</v>
      </c>
      <c r="G6420" t="s">
        <v>41</v>
      </c>
      <c r="H6420" t="s">
        <v>35</v>
      </c>
      <c r="I6420" s="3">
        <v>64</v>
      </c>
      <c r="J6420" s="2">
        <v>175</v>
      </c>
      <c r="K6420" s="3">
        <f t="shared" si="100"/>
        <v>11200</v>
      </c>
      <c r="L6420" s="3">
        <v>4256.0000000000009</v>
      </c>
    </row>
    <row r="6421" spans="1:12" x14ac:dyDescent="0.25">
      <c r="A6421" t="s">
        <v>26</v>
      </c>
      <c r="B6421">
        <v>1185732</v>
      </c>
      <c r="C6421" s="1">
        <v>44478</v>
      </c>
      <c r="D6421" t="s">
        <v>57</v>
      </c>
      <c r="E6421" t="s">
        <v>76</v>
      </c>
      <c r="F6421" t="s">
        <v>77</v>
      </c>
      <c r="G6421" t="s">
        <v>18</v>
      </c>
      <c r="H6421" t="s">
        <v>17</v>
      </c>
      <c r="I6421" s="3">
        <v>40</v>
      </c>
      <c r="J6421" s="2">
        <v>250</v>
      </c>
      <c r="K6421" s="3">
        <f t="shared" si="100"/>
        <v>10000</v>
      </c>
      <c r="L6421" s="3">
        <v>7000</v>
      </c>
    </row>
    <row r="6422" spans="1:12" x14ac:dyDescent="0.25">
      <c r="A6422" t="s">
        <v>26</v>
      </c>
      <c r="B6422">
        <v>1185732</v>
      </c>
      <c r="C6422" s="1">
        <v>44478</v>
      </c>
      <c r="D6422" t="s">
        <v>57</v>
      </c>
      <c r="E6422" t="s">
        <v>76</v>
      </c>
      <c r="F6422" t="s">
        <v>77</v>
      </c>
      <c r="G6422" t="s">
        <v>18</v>
      </c>
      <c r="H6422" t="s">
        <v>35</v>
      </c>
      <c r="I6422" s="3">
        <v>40</v>
      </c>
      <c r="J6422" s="2">
        <v>150</v>
      </c>
      <c r="K6422" s="3">
        <f t="shared" si="100"/>
        <v>6000</v>
      </c>
      <c r="L6422" s="3">
        <v>4200</v>
      </c>
    </row>
    <row r="6423" spans="1:12" x14ac:dyDescent="0.25">
      <c r="A6423" t="s">
        <v>26</v>
      </c>
      <c r="B6423">
        <v>1185732</v>
      </c>
      <c r="C6423" s="1">
        <v>44478</v>
      </c>
      <c r="D6423" t="s">
        <v>57</v>
      </c>
      <c r="E6423" t="s">
        <v>76</v>
      </c>
      <c r="F6423" t="s">
        <v>77</v>
      </c>
      <c r="G6423" t="s">
        <v>18</v>
      </c>
      <c r="H6423" t="s">
        <v>37</v>
      </c>
      <c r="I6423" s="3">
        <v>40</v>
      </c>
      <c r="J6423" s="2">
        <v>125</v>
      </c>
      <c r="K6423" s="3">
        <f t="shared" si="100"/>
        <v>5000</v>
      </c>
      <c r="L6423" s="3">
        <v>3500</v>
      </c>
    </row>
    <row r="6424" spans="1:12" x14ac:dyDescent="0.25">
      <c r="A6424" t="s">
        <v>26</v>
      </c>
      <c r="B6424">
        <v>1185732</v>
      </c>
      <c r="C6424" s="1">
        <v>44478</v>
      </c>
      <c r="D6424" t="s">
        <v>57</v>
      </c>
      <c r="E6424" t="s">
        <v>76</v>
      </c>
      <c r="F6424" t="s">
        <v>77</v>
      </c>
      <c r="G6424" t="s">
        <v>18</v>
      </c>
      <c r="H6424" t="s">
        <v>22</v>
      </c>
      <c r="I6424" s="3">
        <v>49.999999999999993</v>
      </c>
      <c r="J6424" s="2">
        <v>125</v>
      </c>
      <c r="K6424" s="3">
        <f t="shared" si="100"/>
        <v>6249.9999999999991</v>
      </c>
      <c r="L6424" s="3">
        <v>4062.5</v>
      </c>
    </row>
    <row r="6425" spans="1:12" x14ac:dyDescent="0.25">
      <c r="A6425" t="s">
        <v>26</v>
      </c>
      <c r="B6425">
        <v>1185732</v>
      </c>
      <c r="C6425" s="1">
        <v>44478</v>
      </c>
      <c r="D6425" t="s">
        <v>57</v>
      </c>
      <c r="E6425" t="s">
        <v>76</v>
      </c>
      <c r="F6425" t="s">
        <v>77</v>
      </c>
      <c r="G6425" t="s">
        <v>18</v>
      </c>
      <c r="H6425" t="s">
        <v>38</v>
      </c>
      <c r="I6425" s="3">
        <v>49.999999999999993</v>
      </c>
      <c r="J6425" s="2">
        <v>400</v>
      </c>
      <c r="K6425" s="3">
        <f t="shared" si="100"/>
        <v>19999.999999999996</v>
      </c>
      <c r="L6425" s="3">
        <v>12999.999999999998</v>
      </c>
    </row>
    <row r="6426" spans="1:12" x14ac:dyDescent="0.25">
      <c r="A6426" t="s">
        <v>19</v>
      </c>
      <c r="B6426">
        <v>1185732</v>
      </c>
      <c r="C6426" s="1">
        <v>44478</v>
      </c>
      <c r="D6426" t="s">
        <v>57</v>
      </c>
      <c r="E6426" t="s">
        <v>76</v>
      </c>
      <c r="F6426" t="s">
        <v>77</v>
      </c>
      <c r="G6426" t="s">
        <v>18</v>
      </c>
      <c r="H6426" t="s">
        <v>16</v>
      </c>
      <c r="I6426" s="3">
        <v>54.999999999999986</v>
      </c>
      <c r="J6426" s="2">
        <v>250</v>
      </c>
      <c r="K6426" s="3">
        <f t="shared" si="100"/>
        <v>13749.999999999996</v>
      </c>
      <c r="L6426" s="3">
        <v>8249.9999999999964</v>
      </c>
    </row>
    <row r="6427" spans="1:12" x14ac:dyDescent="0.25">
      <c r="A6427" t="s">
        <v>26</v>
      </c>
      <c r="B6427">
        <v>1197831</v>
      </c>
      <c r="C6427" s="1">
        <v>44478</v>
      </c>
      <c r="D6427" t="s">
        <v>52</v>
      </c>
      <c r="E6427" t="s">
        <v>53</v>
      </c>
      <c r="F6427" t="s">
        <v>54</v>
      </c>
      <c r="G6427" t="s">
        <v>15</v>
      </c>
      <c r="H6427" t="s">
        <v>16</v>
      </c>
      <c r="I6427" s="3">
        <v>50</v>
      </c>
      <c r="J6427" s="2">
        <v>575</v>
      </c>
      <c r="K6427" s="3">
        <f t="shared" si="100"/>
        <v>28750</v>
      </c>
      <c r="L6427" s="3">
        <v>12937.5</v>
      </c>
    </row>
    <row r="6428" spans="1:12" x14ac:dyDescent="0.25">
      <c r="A6428" t="s">
        <v>26</v>
      </c>
      <c r="B6428">
        <v>1197831</v>
      </c>
      <c r="C6428" s="1">
        <v>44478</v>
      </c>
      <c r="D6428" t="s">
        <v>52</v>
      </c>
      <c r="E6428" t="s">
        <v>99</v>
      </c>
      <c r="F6428" t="s">
        <v>100</v>
      </c>
      <c r="G6428" t="s">
        <v>15</v>
      </c>
      <c r="H6428" t="s">
        <v>37</v>
      </c>
      <c r="I6428" s="3">
        <v>65</v>
      </c>
      <c r="J6428" s="2">
        <v>550</v>
      </c>
      <c r="K6428" s="3">
        <f t="shared" si="100"/>
        <v>35750</v>
      </c>
      <c r="L6428" s="3">
        <v>14299.999999999996</v>
      </c>
    </row>
    <row r="6429" spans="1:12" x14ac:dyDescent="0.25">
      <c r="A6429" t="s">
        <v>26</v>
      </c>
      <c r="B6429">
        <v>1185732</v>
      </c>
      <c r="C6429" s="1">
        <v>44478</v>
      </c>
      <c r="D6429" t="s">
        <v>57</v>
      </c>
      <c r="E6429" t="s">
        <v>76</v>
      </c>
      <c r="F6429" t="s">
        <v>77</v>
      </c>
      <c r="G6429" t="s">
        <v>41</v>
      </c>
      <c r="H6429" t="s">
        <v>37</v>
      </c>
      <c r="I6429" s="3">
        <v>38</v>
      </c>
      <c r="J6429" s="2">
        <v>33</v>
      </c>
      <c r="K6429" s="3">
        <f t="shared" si="100"/>
        <v>1254</v>
      </c>
      <c r="L6429" s="3">
        <v>752.4</v>
      </c>
    </row>
    <row r="6430" spans="1:12" x14ac:dyDescent="0.25">
      <c r="A6430" t="s">
        <v>26</v>
      </c>
      <c r="B6430">
        <v>1185732</v>
      </c>
      <c r="C6430" s="1">
        <v>44478</v>
      </c>
      <c r="D6430" t="s">
        <v>57</v>
      </c>
      <c r="E6430" t="s">
        <v>76</v>
      </c>
      <c r="F6430" t="s">
        <v>77</v>
      </c>
      <c r="G6430" t="s">
        <v>41</v>
      </c>
      <c r="H6430" t="s">
        <v>17</v>
      </c>
      <c r="I6430" s="3">
        <v>36</v>
      </c>
      <c r="J6430" s="2">
        <v>73</v>
      </c>
      <c r="K6430" s="3">
        <f t="shared" si="100"/>
        <v>2628</v>
      </c>
      <c r="L6430" s="3">
        <v>1550.52</v>
      </c>
    </row>
    <row r="6431" spans="1:12" x14ac:dyDescent="0.25">
      <c r="A6431" t="s">
        <v>26</v>
      </c>
      <c r="B6431">
        <v>1185732</v>
      </c>
      <c r="C6431" s="1">
        <v>44478</v>
      </c>
      <c r="D6431" t="s">
        <v>57</v>
      </c>
      <c r="E6431" t="s">
        <v>76</v>
      </c>
      <c r="F6431" t="s">
        <v>77</v>
      </c>
      <c r="G6431" t="s">
        <v>41</v>
      </c>
      <c r="H6431" t="s">
        <v>35</v>
      </c>
      <c r="I6431" s="3">
        <v>39</v>
      </c>
      <c r="J6431" s="2">
        <v>39</v>
      </c>
      <c r="K6431" s="3">
        <f t="shared" si="100"/>
        <v>1521</v>
      </c>
      <c r="L6431" s="3">
        <v>851.76</v>
      </c>
    </row>
    <row r="6432" spans="1:12" x14ac:dyDescent="0.25">
      <c r="A6432" t="s">
        <v>26</v>
      </c>
      <c r="B6432">
        <v>1185732</v>
      </c>
      <c r="C6432" s="1">
        <v>44478</v>
      </c>
      <c r="D6432" t="s">
        <v>57</v>
      </c>
      <c r="E6432" t="s">
        <v>76</v>
      </c>
      <c r="F6432" t="s">
        <v>77</v>
      </c>
      <c r="G6432" t="s">
        <v>41</v>
      </c>
      <c r="H6432" t="s">
        <v>22</v>
      </c>
      <c r="I6432" s="3">
        <v>45</v>
      </c>
      <c r="J6432" s="2">
        <v>34</v>
      </c>
      <c r="K6432" s="3">
        <f t="shared" si="100"/>
        <v>1530</v>
      </c>
      <c r="L6432" s="3">
        <v>810.90000000000009</v>
      </c>
    </row>
    <row r="6433" spans="1:12" x14ac:dyDescent="0.25">
      <c r="A6433" t="s">
        <v>26</v>
      </c>
      <c r="B6433">
        <v>1185732</v>
      </c>
      <c r="C6433" s="1">
        <v>44478</v>
      </c>
      <c r="D6433" t="s">
        <v>57</v>
      </c>
      <c r="E6433" t="s">
        <v>76</v>
      </c>
      <c r="F6433" t="s">
        <v>77</v>
      </c>
      <c r="G6433" t="s">
        <v>41</v>
      </c>
      <c r="H6433" t="s">
        <v>38</v>
      </c>
      <c r="I6433" s="3">
        <v>49</v>
      </c>
      <c r="J6433" s="2">
        <v>116</v>
      </c>
      <c r="K6433" s="3">
        <f t="shared" si="100"/>
        <v>5684</v>
      </c>
      <c r="L6433" s="3">
        <v>3012.52</v>
      </c>
    </row>
    <row r="6434" spans="1:12" x14ac:dyDescent="0.25">
      <c r="A6434" t="s">
        <v>19</v>
      </c>
      <c r="B6434">
        <v>1185732</v>
      </c>
      <c r="C6434" s="1">
        <v>44478</v>
      </c>
      <c r="D6434" t="s">
        <v>57</v>
      </c>
      <c r="E6434" t="s">
        <v>76</v>
      </c>
      <c r="F6434" t="s">
        <v>77</v>
      </c>
      <c r="G6434" t="s">
        <v>41</v>
      </c>
      <c r="H6434" t="s">
        <v>16</v>
      </c>
      <c r="I6434" s="3">
        <v>53</v>
      </c>
      <c r="J6434" s="2">
        <v>73</v>
      </c>
      <c r="K6434" s="3">
        <f t="shared" si="100"/>
        <v>3869</v>
      </c>
      <c r="L6434" s="3">
        <v>1818.4299999999998</v>
      </c>
    </row>
    <row r="6435" spans="1:12" x14ac:dyDescent="0.25">
      <c r="A6435" t="s">
        <v>26</v>
      </c>
      <c r="B6435">
        <v>1197831</v>
      </c>
      <c r="C6435" s="1">
        <v>44478</v>
      </c>
      <c r="D6435" t="s">
        <v>52</v>
      </c>
      <c r="E6435" t="s">
        <v>53</v>
      </c>
      <c r="F6435" t="s">
        <v>54</v>
      </c>
      <c r="G6435" t="s">
        <v>15</v>
      </c>
      <c r="H6435" t="s">
        <v>16</v>
      </c>
      <c r="I6435" s="3">
        <v>39</v>
      </c>
      <c r="J6435" s="2">
        <v>190</v>
      </c>
      <c r="K6435" s="3">
        <f t="shared" si="100"/>
        <v>7410</v>
      </c>
      <c r="L6435" s="3">
        <v>3112.2</v>
      </c>
    </row>
    <row r="6436" spans="1:12" x14ac:dyDescent="0.25">
      <c r="A6436" t="s">
        <v>26</v>
      </c>
      <c r="B6436">
        <v>1197831</v>
      </c>
      <c r="C6436" s="1">
        <v>44478</v>
      </c>
      <c r="D6436" t="s">
        <v>52</v>
      </c>
      <c r="E6436" t="s">
        <v>99</v>
      </c>
      <c r="F6436" t="s">
        <v>100</v>
      </c>
      <c r="G6436" t="s">
        <v>15</v>
      </c>
      <c r="H6436" t="s">
        <v>37</v>
      </c>
      <c r="I6436" s="3">
        <v>52</v>
      </c>
      <c r="J6436" s="2">
        <v>193</v>
      </c>
      <c r="K6436" s="3">
        <f t="shared" si="100"/>
        <v>10036</v>
      </c>
      <c r="L6436" s="3">
        <v>3713.3199999999988</v>
      </c>
    </row>
    <row r="6437" spans="1:12" x14ac:dyDescent="0.25">
      <c r="A6437" t="s">
        <v>26</v>
      </c>
      <c r="B6437">
        <v>1197831</v>
      </c>
      <c r="C6437" s="1">
        <v>44478</v>
      </c>
      <c r="D6437" t="s">
        <v>52</v>
      </c>
      <c r="E6437" t="s">
        <v>53</v>
      </c>
      <c r="F6437" t="s">
        <v>54</v>
      </c>
      <c r="G6437" t="s">
        <v>41</v>
      </c>
      <c r="H6437" t="s">
        <v>16</v>
      </c>
      <c r="I6437" s="3">
        <v>45</v>
      </c>
      <c r="J6437" s="2">
        <v>161</v>
      </c>
      <c r="K6437" s="3">
        <f t="shared" si="100"/>
        <v>7245</v>
      </c>
      <c r="L6437" s="3">
        <v>2173.4999999999991</v>
      </c>
    </row>
    <row r="6438" spans="1:12" x14ac:dyDescent="0.25">
      <c r="A6438" t="s">
        <v>26</v>
      </c>
      <c r="B6438">
        <v>1197831</v>
      </c>
      <c r="C6438" s="1">
        <v>44478</v>
      </c>
      <c r="D6438" t="s">
        <v>52</v>
      </c>
      <c r="E6438" t="s">
        <v>99</v>
      </c>
      <c r="F6438" t="s">
        <v>100</v>
      </c>
      <c r="G6438" t="s">
        <v>41</v>
      </c>
      <c r="H6438" t="s">
        <v>37</v>
      </c>
      <c r="I6438" s="3">
        <v>63</v>
      </c>
      <c r="J6438" s="2">
        <v>143</v>
      </c>
      <c r="K6438" s="3">
        <f t="shared" si="100"/>
        <v>9009</v>
      </c>
      <c r="L6438" s="3">
        <v>2252.2499999999991</v>
      </c>
    </row>
    <row r="6439" spans="1:12" x14ac:dyDescent="0.25">
      <c r="A6439" t="s">
        <v>23</v>
      </c>
      <c r="B6439">
        <v>1128299</v>
      </c>
      <c r="C6439" s="1">
        <v>44479</v>
      </c>
      <c r="D6439" t="s">
        <v>12</v>
      </c>
      <c r="E6439" t="s">
        <v>20</v>
      </c>
      <c r="F6439" t="s">
        <v>21</v>
      </c>
      <c r="G6439" t="s">
        <v>15</v>
      </c>
      <c r="H6439" t="s">
        <v>22</v>
      </c>
      <c r="I6439" s="3">
        <v>65</v>
      </c>
      <c r="J6439" s="2">
        <v>250</v>
      </c>
      <c r="K6439" s="3">
        <f t="shared" si="100"/>
        <v>16250</v>
      </c>
      <c r="L6439" s="3">
        <v>13812.5</v>
      </c>
    </row>
    <row r="6440" spans="1:12" x14ac:dyDescent="0.25">
      <c r="A6440" t="s">
        <v>23</v>
      </c>
      <c r="B6440">
        <v>1128299</v>
      </c>
      <c r="C6440" s="1">
        <v>44479</v>
      </c>
      <c r="D6440" t="s">
        <v>12</v>
      </c>
      <c r="E6440" t="s">
        <v>20</v>
      </c>
      <c r="F6440" t="s">
        <v>21</v>
      </c>
      <c r="G6440" t="s">
        <v>15</v>
      </c>
      <c r="H6440" t="s">
        <v>17</v>
      </c>
      <c r="I6440" s="3">
        <v>65.000000000000014</v>
      </c>
      <c r="J6440" s="2">
        <v>475</v>
      </c>
      <c r="K6440" s="3">
        <f t="shared" si="100"/>
        <v>30875.000000000007</v>
      </c>
      <c r="L6440" s="3">
        <v>24700.000000000007</v>
      </c>
    </row>
    <row r="6441" spans="1:12" x14ac:dyDescent="0.25">
      <c r="A6441" t="s">
        <v>23</v>
      </c>
      <c r="B6441">
        <v>1128299</v>
      </c>
      <c r="C6441" s="1">
        <v>44479</v>
      </c>
      <c r="D6441" t="s">
        <v>12</v>
      </c>
      <c r="E6441" t="s">
        <v>20</v>
      </c>
      <c r="F6441" t="s">
        <v>21</v>
      </c>
      <c r="G6441" t="s">
        <v>15</v>
      </c>
      <c r="H6441" t="s">
        <v>37</v>
      </c>
      <c r="I6441" s="3">
        <v>55.000000000000007</v>
      </c>
      <c r="J6441" s="2">
        <v>275</v>
      </c>
      <c r="K6441" s="3">
        <f t="shared" si="100"/>
        <v>15125.000000000002</v>
      </c>
      <c r="L6441" s="3">
        <v>11343.750000000004</v>
      </c>
    </row>
    <row r="6442" spans="1:12" x14ac:dyDescent="0.25">
      <c r="A6442" t="s">
        <v>23</v>
      </c>
      <c r="B6442">
        <v>1128299</v>
      </c>
      <c r="C6442" s="1">
        <v>44479</v>
      </c>
      <c r="D6442" t="s">
        <v>12</v>
      </c>
      <c r="E6442" t="s">
        <v>20</v>
      </c>
      <c r="F6442" t="s">
        <v>21</v>
      </c>
      <c r="G6442" t="s">
        <v>15</v>
      </c>
      <c r="H6442" t="s">
        <v>38</v>
      </c>
      <c r="I6442" s="3">
        <v>55.000000000000007</v>
      </c>
      <c r="J6442" s="2">
        <v>475</v>
      </c>
      <c r="K6442" s="3">
        <f t="shared" si="100"/>
        <v>26125.000000000004</v>
      </c>
      <c r="L6442" s="3">
        <v>19593.750000000004</v>
      </c>
    </row>
    <row r="6443" spans="1:12" x14ac:dyDescent="0.25">
      <c r="A6443" t="s">
        <v>23</v>
      </c>
      <c r="B6443">
        <v>1128299</v>
      </c>
      <c r="C6443" s="1">
        <v>44479</v>
      </c>
      <c r="D6443" t="s">
        <v>12</v>
      </c>
      <c r="E6443" t="s">
        <v>20</v>
      </c>
      <c r="F6443" t="s">
        <v>21</v>
      </c>
      <c r="G6443" t="s">
        <v>15</v>
      </c>
      <c r="H6443" t="s">
        <v>35</v>
      </c>
      <c r="I6443" s="3">
        <v>60.000000000000007</v>
      </c>
      <c r="J6443" s="2">
        <v>300</v>
      </c>
      <c r="K6443" s="3">
        <f t="shared" si="100"/>
        <v>18000.000000000004</v>
      </c>
      <c r="L6443" s="3">
        <v>13500.000000000004</v>
      </c>
    </row>
    <row r="6444" spans="1:12" x14ac:dyDescent="0.25">
      <c r="A6444" t="s">
        <v>11</v>
      </c>
      <c r="B6444">
        <v>1185732</v>
      </c>
      <c r="C6444" s="1">
        <v>44479</v>
      </c>
      <c r="D6444" t="s">
        <v>29</v>
      </c>
      <c r="E6444" t="s">
        <v>60</v>
      </c>
      <c r="F6444" t="s">
        <v>61</v>
      </c>
      <c r="G6444" t="s">
        <v>18</v>
      </c>
      <c r="H6444" t="s">
        <v>35</v>
      </c>
      <c r="I6444" s="3">
        <v>50.000000000000014</v>
      </c>
      <c r="J6444" s="2">
        <v>525</v>
      </c>
      <c r="K6444" s="3">
        <f t="shared" si="100"/>
        <v>26250.000000000007</v>
      </c>
      <c r="L6444" s="3">
        <v>19687.500000000007</v>
      </c>
    </row>
    <row r="6445" spans="1:12" x14ac:dyDescent="0.25">
      <c r="A6445" t="s">
        <v>11</v>
      </c>
      <c r="B6445">
        <v>1185732</v>
      </c>
      <c r="C6445" s="1">
        <v>44479</v>
      </c>
      <c r="D6445" t="s">
        <v>29</v>
      </c>
      <c r="E6445" t="s">
        <v>60</v>
      </c>
      <c r="F6445" t="s">
        <v>61</v>
      </c>
      <c r="G6445" t="s">
        <v>18</v>
      </c>
      <c r="H6445" t="s">
        <v>37</v>
      </c>
      <c r="I6445" s="3">
        <v>50.000000000000014</v>
      </c>
      <c r="J6445" s="2">
        <v>500</v>
      </c>
      <c r="K6445" s="3">
        <f t="shared" si="100"/>
        <v>25000.000000000007</v>
      </c>
      <c r="L6445" s="3">
        <v>17500.000000000007</v>
      </c>
    </row>
    <row r="6446" spans="1:12" x14ac:dyDescent="0.25">
      <c r="A6446" t="s">
        <v>11</v>
      </c>
      <c r="B6446">
        <v>1185732</v>
      </c>
      <c r="C6446" s="1">
        <v>44479</v>
      </c>
      <c r="D6446" t="s">
        <v>57</v>
      </c>
      <c r="E6446" t="s">
        <v>103</v>
      </c>
      <c r="F6446" t="s">
        <v>104</v>
      </c>
      <c r="G6446" t="s">
        <v>18</v>
      </c>
      <c r="H6446" t="s">
        <v>22</v>
      </c>
      <c r="I6446" s="3">
        <v>44.999999999999993</v>
      </c>
      <c r="J6446" s="2">
        <v>150</v>
      </c>
      <c r="K6446" s="3">
        <f t="shared" si="100"/>
        <v>6749.9999999999991</v>
      </c>
      <c r="L6446" s="3">
        <v>4724.9999999999982</v>
      </c>
    </row>
    <row r="6447" spans="1:12" x14ac:dyDescent="0.25">
      <c r="A6447" t="s">
        <v>11</v>
      </c>
      <c r="B6447">
        <v>1185732</v>
      </c>
      <c r="C6447" s="1">
        <v>44479</v>
      </c>
      <c r="D6447" t="s">
        <v>29</v>
      </c>
      <c r="E6447" t="s">
        <v>60</v>
      </c>
      <c r="F6447" t="s">
        <v>61</v>
      </c>
      <c r="G6447" t="s">
        <v>18</v>
      </c>
      <c r="H6447" t="s">
        <v>17</v>
      </c>
      <c r="I6447" s="3">
        <v>50.000000000000014</v>
      </c>
      <c r="J6447" s="2">
        <v>625</v>
      </c>
      <c r="K6447" s="3">
        <f t="shared" si="100"/>
        <v>31250.000000000007</v>
      </c>
      <c r="L6447" s="3">
        <v>20312.500000000007</v>
      </c>
    </row>
    <row r="6448" spans="1:12" x14ac:dyDescent="0.25">
      <c r="A6448" t="s">
        <v>11</v>
      </c>
      <c r="B6448">
        <v>1185732</v>
      </c>
      <c r="C6448" s="1">
        <v>44479</v>
      </c>
      <c r="D6448" t="s">
        <v>29</v>
      </c>
      <c r="E6448" t="s">
        <v>60</v>
      </c>
      <c r="F6448" t="s">
        <v>61</v>
      </c>
      <c r="G6448" t="s">
        <v>18</v>
      </c>
      <c r="H6448" t="s">
        <v>22</v>
      </c>
      <c r="I6448" s="3">
        <v>60.000000000000007</v>
      </c>
      <c r="J6448" s="2">
        <v>500</v>
      </c>
      <c r="K6448" s="3">
        <f t="shared" si="100"/>
        <v>30000.000000000004</v>
      </c>
      <c r="L6448" s="3">
        <v>19500.000000000007</v>
      </c>
    </row>
    <row r="6449" spans="1:12" x14ac:dyDescent="0.25">
      <c r="A6449" t="s">
        <v>11</v>
      </c>
      <c r="B6449">
        <v>1185732</v>
      </c>
      <c r="C6449" s="1">
        <v>44479</v>
      </c>
      <c r="D6449" t="s">
        <v>57</v>
      </c>
      <c r="E6449" t="s">
        <v>103</v>
      </c>
      <c r="F6449" t="s">
        <v>104</v>
      </c>
      <c r="G6449" t="s">
        <v>18</v>
      </c>
      <c r="H6449" t="s">
        <v>35</v>
      </c>
      <c r="I6449" s="3">
        <v>35</v>
      </c>
      <c r="J6449" s="2">
        <v>150</v>
      </c>
      <c r="K6449" s="3">
        <f t="shared" si="100"/>
        <v>5250</v>
      </c>
      <c r="L6449" s="3">
        <v>3412.5</v>
      </c>
    </row>
    <row r="6450" spans="1:12" x14ac:dyDescent="0.25">
      <c r="A6450" t="s">
        <v>11</v>
      </c>
      <c r="B6450">
        <v>1185732</v>
      </c>
      <c r="C6450" s="1">
        <v>44479</v>
      </c>
      <c r="D6450" t="s">
        <v>57</v>
      </c>
      <c r="E6450" t="s">
        <v>103</v>
      </c>
      <c r="F6450" t="s">
        <v>104</v>
      </c>
      <c r="G6450" t="s">
        <v>18</v>
      </c>
      <c r="H6450" t="s">
        <v>37</v>
      </c>
      <c r="I6450" s="3">
        <v>35</v>
      </c>
      <c r="J6450" s="2">
        <v>150</v>
      </c>
      <c r="K6450" s="3">
        <f t="shared" si="100"/>
        <v>5250</v>
      </c>
      <c r="L6450" s="3">
        <v>3412.5</v>
      </c>
    </row>
    <row r="6451" spans="1:12" x14ac:dyDescent="0.25">
      <c r="A6451" t="s">
        <v>26</v>
      </c>
      <c r="B6451">
        <v>1197831</v>
      </c>
      <c r="C6451" s="1">
        <v>44479</v>
      </c>
      <c r="D6451" t="s">
        <v>52</v>
      </c>
      <c r="E6451" t="s">
        <v>53</v>
      </c>
      <c r="F6451" t="s">
        <v>54</v>
      </c>
      <c r="G6451" t="s">
        <v>15</v>
      </c>
      <c r="H6451" t="s">
        <v>38</v>
      </c>
      <c r="I6451" s="3">
        <v>40</v>
      </c>
      <c r="J6451" s="2">
        <v>725</v>
      </c>
      <c r="K6451" s="3">
        <f t="shared" si="100"/>
        <v>29000</v>
      </c>
      <c r="L6451" s="3">
        <v>17400</v>
      </c>
    </row>
    <row r="6452" spans="1:12" x14ac:dyDescent="0.25">
      <c r="A6452" t="s">
        <v>23</v>
      </c>
      <c r="B6452">
        <v>1128299</v>
      </c>
      <c r="C6452" s="1">
        <v>44479</v>
      </c>
      <c r="D6452" t="s">
        <v>12</v>
      </c>
      <c r="E6452" t="s">
        <v>20</v>
      </c>
      <c r="F6452" t="s">
        <v>21</v>
      </c>
      <c r="G6452" t="s">
        <v>15</v>
      </c>
      <c r="H6452" t="s">
        <v>16</v>
      </c>
      <c r="I6452" s="3">
        <v>70</v>
      </c>
      <c r="J6452" s="2">
        <v>300</v>
      </c>
      <c r="K6452" s="3">
        <f t="shared" si="100"/>
        <v>21000</v>
      </c>
      <c r="L6452" s="3">
        <v>12600</v>
      </c>
    </row>
    <row r="6453" spans="1:12" x14ac:dyDescent="0.25">
      <c r="A6453" t="s">
        <v>11</v>
      </c>
      <c r="B6453">
        <v>1185732</v>
      </c>
      <c r="C6453" s="1">
        <v>44479</v>
      </c>
      <c r="D6453" t="s">
        <v>57</v>
      </c>
      <c r="E6453" t="s">
        <v>103</v>
      </c>
      <c r="F6453" t="s">
        <v>104</v>
      </c>
      <c r="G6453" t="s">
        <v>18</v>
      </c>
      <c r="H6453" t="s">
        <v>38</v>
      </c>
      <c r="I6453" s="3">
        <v>44.999999999999993</v>
      </c>
      <c r="J6453" s="2">
        <v>400</v>
      </c>
      <c r="K6453" s="3">
        <f t="shared" si="100"/>
        <v>17999.999999999996</v>
      </c>
      <c r="L6453" s="3">
        <v>10799.999999999998</v>
      </c>
    </row>
    <row r="6454" spans="1:12" x14ac:dyDescent="0.25">
      <c r="A6454" t="s">
        <v>11</v>
      </c>
      <c r="B6454">
        <v>1185732</v>
      </c>
      <c r="C6454" s="1">
        <v>44479</v>
      </c>
      <c r="D6454" t="s">
        <v>57</v>
      </c>
      <c r="E6454" t="s">
        <v>103</v>
      </c>
      <c r="F6454" t="s">
        <v>104</v>
      </c>
      <c r="G6454" t="s">
        <v>18</v>
      </c>
      <c r="H6454" t="s">
        <v>17</v>
      </c>
      <c r="I6454" s="3">
        <v>35</v>
      </c>
      <c r="J6454" s="2">
        <v>250</v>
      </c>
      <c r="K6454" s="3">
        <f t="shared" si="100"/>
        <v>8750</v>
      </c>
      <c r="L6454" s="3">
        <v>5250</v>
      </c>
    </row>
    <row r="6455" spans="1:12" x14ac:dyDescent="0.25">
      <c r="A6455" t="s">
        <v>11</v>
      </c>
      <c r="B6455">
        <v>1185732</v>
      </c>
      <c r="C6455" s="1">
        <v>44479</v>
      </c>
      <c r="D6455" t="s">
        <v>57</v>
      </c>
      <c r="E6455" t="s">
        <v>103</v>
      </c>
      <c r="F6455" t="s">
        <v>104</v>
      </c>
      <c r="G6455" t="s">
        <v>18</v>
      </c>
      <c r="H6455" t="s">
        <v>16</v>
      </c>
      <c r="I6455" s="3">
        <v>49.999999999999986</v>
      </c>
      <c r="J6455" s="2">
        <v>275</v>
      </c>
      <c r="K6455" s="3">
        <f t="shared" si="100"/>
        <v>13749.999999999996</v>
      </c>
      <c r="L6455" s="3">
        <v>8249.9999999999964</v>
      </c>
    </row>
    <row r="6456" spans="1:12" x14ac:dyDescent="0.25">
      <c r="A6456" t="s">
        <v>26</v>
      </c>
      <c r="B6456">
        <v>1197831</v>
      </c>
      <c r="C6456" s="1">
        <v>44479</v>
      </c>
      <c r="D6456" t="s">
        <v>52</v>
      </c>
      <c r="E6456" t="s">
        <v>99</v>
      </c>
      <c r="F6456" t="s">
        <v>100</v>
      </c>
      <c r="G6456" t="s">
        <v>15</v>
      </c>
      <c r="H6456" t="s">
        <v>22</v>
      </c>
      <c r="I6456" s="3">
        <v>60</v>
      </c>
      <c r="J6456" s="2">
        <v>500</v>
      </c>
      <c r="K6456" s="3">
        <f t="shared" si="100"/>
        <v>30000</v>
      </c>
      <c r="L6456" s="3">
        <v>16500</v>
      </c>
    </row>
    <row r="6457" spans="1:12" x14ac:dyDescent="0.25">
      <c r="A6457" t="s">
        <v>11</v>
      </c>
      <c r="B6457">
        <v>1185732</v>
      </c>
      <c r="C6457" s="1">
        <v>44479</v>
      </c>
      <c r="D6457" t="s">
        <v>29</v>
      </c>
      <c r="E6457" t="s">
        <v>60</v>
      </c>
      <c r="F6457" t="s">
        <v>61</v>
      </c>
      <c r="G6457" t="s">
        <v>18</v>
      </c>
      <c r="H6457" t="s">
        <v>38</v>
      </c>
      <c r="I6457" s="3">
        <v>60.000000000000007</v>
      </c>
      <c r="J6457" s="2">
        <v>800</v>
      </c>
      <c r="K6457" s="3">
        <f t="shared" si="100"/>
        <v>48000.000000000007</v>
      </c>
      <c r="L6457" s="3">
        <v>26400</v>
      </c>
    </row>
    <row r="6458" spans="1:12" x14ac:dyDescent="0.25">
      <c r="A6458" t="s">
        <v>11</v>
      </c>
      <c r="B6458">
        <v>1185732</v>
      </c>
      <c r="C6458" s="1">
        <v>44479</v>
      </c>
      <c r="D6458" t="s">
        <v>29</v>
      </c>
      <c r="E6458" t="s">
        <v>60</v>
      </c>
      <c r="F6458" t="s">
        <v>61</v>
      </c>
      <c r="G6458" t="s">
        <v>18</v>
      </c>
      <c r="H6458" t="s">
        <v>16</v>
      </c>
      <c r="I6458" s="3">
        <v>65</v>
      </c>
      <c r="J6458" s="2">
        <v>625</v>
      </c>
      <c r="K6458" s="3">
        <f t="shared" si="100"/>
        <v>40625</v>
      </c>
      <c r="L6458" s="3">
        <v>20312.5</v>
      </c>
    </row>
    <row r="6459" spans="1:12" x14ac:dyDescent="0.25">
      <c r="A6459" t="s">
        <v>23</v>
      </c>
      <c r="B6459">
        <v>1128299</v>
      </c>
      <c r="C6459" s="1">
        <v>44479</v>
      </c>
      <c r="D6459" t="s">
        <v>12</v>
      </c>
      <c r="E6459" t="s">
        <v>20</v>
      </c>
      <c r="F6459" t="s">
        <v>21</v>
      </c>
      <c r="G6459" t="s">
        <v>41</v>
      </c>
      <c r="H6459" t="s">
        <v>22</v>
      </c>
      <c r="I6459" s="3">
        <v>63</v>
      </c>
      <c r="J6459" s="2">
        <v>70</v>
      </c>
      <c r="K6459" s="3">
        <f t="shared" si="100"/>
        <v>4410</v>
      </c>
      <c r="L6459" s="3">
        <v>3175.2</v>
      </c>
    </row>
    <row r="6460" spans="1:12" x14ac:dyDescent="0.25">
      <c r="A6460" t="s">
        <v>23</v>
      </c>
      <c r="B6460">
        <v>1128299</v>
      </c>
      <c r="C6460" s="1">
        <v>44479</v>
      </c>
      <c r="D6460" t="s">
        <v>12</v>
      </c>
      <c r="E6460" t="s">
        <v>20</v>
      </c>
      <c r="F6460" t="s">
        <v>21</v>
      </c>
      <c r="G6460" t="s">
        <v>41</v>
      </c>
      <c r="H6460" t="s">
        <v>17</v>
      </c>
      <c r="I6460" s="3">
        <v>61</v>
      </c>
      <c r="J6460" s="2">
        <v>138</v>
      </c>
      <c r="K6460" s="3">
        <f t="shared" si="100"/>
        <v>8418</v>
      </c>
      <c r="L6460" s="3">
        <v>5892.5999999999995</v>
      </c>
    </row>
    <row r="6461" spans="1:12" x14ac:dyDescent="0.25">
      <c r="A6461" t="s">
        <v>23</v>
      </c>
      <c r="B6461">
        <v>1128299</v>
      </c>
      <c r="C6461" s="1">
        <v>44479</v>
      </c>
      <c r="D6461" t="s">
        <v>12</v>
      </c>
      <c r="E6461" t="s">
        <v>20</v>
      </c>
      <c r="F6461" t="s">
        <v>21</v>
      </c>
      <c r="G6461" t="s">
        <v>41</v>
      </c>
      <c r="H6461" t="s">
        <v>35</v>
      </c>
      <c r="I6461" s="3">
        <v>56</v>
      </c>
      <c r="J6461" s="2">
        <v>87</v>
      </c>
      <c r="K6461" s="3">
        <f t="shared" si="100"/>
        <v>4872</v>
      </c>
      <c r="L6461" s="3">
        <v>3166.8</v>
      </c>
    </row>
    <row r="6462" spans="1:12" x14ac:dyDescent="0.25">
      <c r="A6462" t="s">
        <v>23</v>
      </c>
      <c r="B6462">
        <v>1128299</v>
      </c>
      <c r="C6462" s="1">
        <v>44479</v>
      </c>
      <c r="D6462" t="s">
        <v>12</v>
      </c>
      <c r="E6462" t="s">
        <v>20</v>
      </c>
      <c r="F6462" t="s">
        <v>21</v>
      </c>
      <c r="G6462" t="s">
        <v>41</v>
      </c>
      <c r="H6462" t="s">
        <v>37</v>
      </c>
      <c r="I6462" s="3">
        <v>50</v>
      </c>
      <c r="J6462" s="2">
        <v>83</v>
      </c>
      <c r="K6462" s="3">
        <f t="shared" si="100"/>
        <v>4150</v>
      </c>
      <c r="L6462" s="3">
        <v>2614.5</v>
      </c>
    </row>
    <row r="6463" spans="1:12" x14ac:dyDescent="0.25">
      <c r="A6463" t="s">
        <v>23</v>
      </c>
      <c r="B6463">
        <v>1128299</v>
      </c>
      <c r="C6463" s="1">
        <v>44479</v>
      </c>
      <c r="D6463" t="s">
        <v>12</v>
      </c>
      <c r="E6463" t="s">
        <v>20</v>
      </c>
      <c r="F6463" t="s">
        <v>21</v>
      </c>
      <c r="G6463" t="s">
        <v>41</v>
      </c>
      <c r="H6463" t="s">
        <v>38</v>
      </c>
      <c r="I6463" s="3">
        <v>52</v>
      </c>
      <c r="J6463" s="2">
        <v>124</v>
      </c>
      <c r="K6463" s="3">
        <f t="shared" si="100"/>
        <v>6448</v>
      </c>
      <c r="L6463" s="3">
        <v>3868.7999999999997</v>
      </c>
    </row>
    <row r="6464" spans="1:12" x14ac:dyDescent="0.25">
      <c r="A6464" t="s">
        <v>11</v>
      </c>
      <c r="B6464">
        <v>1185732</v>
      </c>
      <c r="C6464" s="1">
        <v>44479</v>
      </c>
      <c r="D6464" t="s">
        <v>29</v>
      </c>
      <c r="E6464" t="s">
        <v>60</v>
      </c>
      <c r="F6464" t="s">
        <v>61</v>
      </c>
      <c r="G6464" t="s">
        <v>41</v>
      </c>
      <c r="H6464" t="s">
        <v>35</v>
      </c>
      <c r="I6464" s="3">
        <v>46</v>
      </c>
      <c r="J6464" s="2">
        <v>137</v>
      </c>
      <c r="K6464" s="3">
        <f t="shared" si="100"/>
        <v>6302</v>
      </c>
      <c r="L6464" s="3">
        <v>3781.2</v>
      </c>
    </row>
    <row r="6465" spans="1:12" x14ac:dyDescent="0.25">
      <c r="A6465" t="s">
        <v>11</v>
      </c>
      <c r="B6465">
        <v>1185732</v>
      </c>
      <c r="C6465" s="1">
        <v>44479</v>
      </c>
      <c r="D6465" t="s">
        <v>29</v>
      </c>
      <c r="E6465" t="s">
        <v>60</v>
      </c>
      <c r="F6465" t="s">
        <v>61</v>
      </c>
      <c r="G6465" t="s">
        <v>41</v>
      </c>
      <c r="H6465" t="s">
        <v>37</v>
      </c>
      <c r="I6465" s="3">
        <v>45</v>
      </c>
      <c r="J6465" s="2">
        <v>135</v>
      </c>
      <c r="K6465" s="3">
        <f t="shared" si="100"/>
        <v>6075</v>
      </c>
      <c r="L6465" s="3">
        <v>3584.25</v>
      </c>
    </row>
    <row r="6466" spans="1:12" x14ac:dyDescent="0.25">
      <c r="A6466" t="s">
        <v>26</v>
      </c>
      <c r="B6466">
        <v>1197831</v>
      </c>
      <c r="C6466" s="1">
        <v>44479</v>
      </c>
      <c r="D6466" t="s">
        <v>52</v>
      </c>
      <c r="E6466" t="s">
        <v>53</v>
      </c>
      <c r="F6466" t="s">
        <v>54</v>
      </c>
      <c r="G6466" t="s">
        <v>15</v>
      </c>
      <c r="H6466" t="s">
        <v>38</v>
      </c>
      <c r="I6466" s="3">
        <v>31</v>
      </c>
      <c r="J6466" s="2">
        <v>225</v>
      </c>
      <c r="K6466" s="3">
        <f t="shared" si="100"/>
        <v>6975</v>
      </c>
      <c r="L6466" s="3">
        <v>3975.7500000000005</v>
      </c>
    </row>
    <row r="6467" spans="1:12" x14ac:dyDescent="0.25">
      <c r="A6467" t="s">
        <v>11</v>
      </c>
      <c r="B6467">
        <v>1185732</v>
      </c>
      <c r="C6467" s="1">
        <v>44479</v>
      </c>
      <c r="D6467" t="s">
        <v>57</v>
      </c>
      <c r="E6467" t="s">
        <v>103</v>
      </c>
      <c r="F6467" t="s">
        <v>104</v>
      </c>
      <c r="G6467" t="s">
        <v>41</v>
      </c>
      <c r="H6467" t="s">
        <v>22</v>
      </c>
      <c r="I6467" s="3">
        <v>41</v>
      </c>
      <c r="J6467" s="2">
        <v>38</v>
      </c>
      <c r="K6467" s="3">
        <f t="shared" ref="K6467:K6530" si="101">I6467*J6467</f>
        <v>1558</v>
      </c>
      <c r="L6467" s="3">
        <v>872.48</v>
      </c>
    </row>
    <row r="6468" spans="1:12" x14ac:dyDescent="0.25">
      <c r="A6468" t="s">
        <v>11</v>
      </c>
      <c r="B6468">
        <v>1185732</v>
      </c>
      <c r="C6468" s="1">
        <v>44479</v>
      </c>
      <c r="D6468" t="s">
        <v>29</v>
      </c>
      <c r="E6468" t="s">
        <v>60</v>
      </c>
      <c r="F6468" t="s">
        <v>61</v>
      </c>
      <c r="G6468" t="s">
        <v>41</v>
      </c>
      <c r="H6468" t="s">
        <v>17</v>
      </c>
      <c r="I6468" s="3">
        <v>46</v>
      </c>
      <c r="J6468" s="2">
        <v>156</v>
      </c>
      <c r="K6468" s="3">
        <f t="shared" si="101"/>
        <v>7176</v>
      </c>
      <c r="L6468" s="3">
        <v>3875.0400000000004</v>
      </c>
    </row>
    <row r="6469" spans="1:12" x14ac:dyDescent="0.25">
      <c r="A6469" t="s">
        <v>11</v>
      </c>
      <c r="B6469">
        <v>1185732</v>
      </c>
      <c r="C6469" s="1">
        <v>44479</v>
      </c>
      <c r="D6469" t="s">
        <v>57</v>
      </c>
      <c r="E6469" t="s">
        <v>103</v>
      </c>
      <c r="F6469" t="s">
        <v>104</v>
      </c>
      <c r="G6469" t="s">
        <v>41</v>
      </c>
      <c r="H6469" t="s">
        <v>37</v>
      </c>
      <c r="I6469" s="3">
        <v>33</v>
      </c>
      <c r="J6469" s="2">
        <v>44</v>
      </c>
      <c r="K6469" s="3">
        <f t="shared" si="101"/>
        <v>1452</v>
      </c>
      <c r="L6469" s="3">
        <v>784.08</v>
      </c>
    </row>
    <row r="6470" spans="1:12" x14ac:dyDescent="0.25">
      <c r="A6470" t="s">
        <v>11</v>
      </c>
      <c r="B6470">
        <v>1185732</v>
      </c>
      <c r="C6470" s="1">
        <v>44479</v>
      </c>
      <c r="D6470" t="s">
        <v>29</v>
      </c>
      <c r="E6470" t="s">
        <v>60</v>
      </c>
      <c r="F6470" t="s">
        <v>61</v>
      </c>
      <c r="G6470" t="s">
        <v>41</v>
      </c>
      <c r="H6470" t="s">
        <v>22</v>
      </c>
      <c r="I6470" s="3">
        <v>59</v>
      </c>
      <c r="J6470" s="2">
        <v>150</v>
      </c>
      <c r="K6470" s="3">
        <f t="shared" si="101"/>
        <v>8850</v>
      </c>
      <c r="L6470" s="3">
        <v>4690.5</v>
      </c>
    </row>
    <row r="6471" spans="1:12" x14ac:dyDescent="0.25">
      <c r="A6471" t="s">
        <v>11</v>
      </c>
      <c r="B6471">
        <v>1185732</v>
      </c>
      <c r="C6471" s="1">
        <v>44479</v>
      </c>
      <c r="D6471" t="s">
        <v>57</v>
      </c>
      <c r="E6471" t="s">
        <v>103</v>
      </c>
      <c r="F6471" t="s">
        <v>104</v>
      </c>
      <c r="G6471" t="s">
        <v>41</v>
      </c>
      <c r="H6471" t="s">
        <v>35</v>
      </c>
      <c r="I6471" s="3">
        <v>32</v>
      </c>
      <c r="J6471" s="2">
        <v>38</v>
      </c>
      <c r="K6471" s="3">
        <f t="shared" si="101"/>
        <v>1216</v>
      </c>
      <c r="L6471" s="3">
        <v>644.48</v>
      </c>
    </row>
    <row r="6472" spans="1:12" x14ac:dyDescent="0.25">
      <c r="A6472" t="s">
        <v>26</v>
      </c>
      <c r="B6472">
        <v>1197831</v>
      </c>
      <c r="C6472" s="1">
        <v>44479</v>
      </c>
      <c r="D6472" t="s">
        <v>52</v>
      </c>
      <c r="E6472" t="s">
        <v>99</v>
      </c>
      <c r="F6472" t="s">
        <v>100</v>
      </c>
      <c r="G6472" t="s">
        <v>15</v>
      </c>
      <c r="H6472" t="s">
        <v>22</v>
      </c>
      <c r="I6472" s="3">
        <v>40</v>
      </c>
      <c r="J6472" s="2">
        <v>155</v>
      </c>
      <c r="K6472" s="3">
        <f t="shared" si="101"/>
        <v>6200</v>
      </c>
      <c r="L6472" s="3">
        <v>3286</v>
      </c>
    </row>
    <row r="6473" spans="1:12" x14ac:dyDescent="0.25">
      <c r="A6473" t="s">
        <v>23</v>
      </c>
      <c r="B6473">
        <v>1128299</v>
      </c>
      <c r="C6473" s="1">
        <v>44479</v>
      </c>
      <c r="D6473" t="s">
        <v>12</v>
      </c>
      <c r="E6473" t="s">
        <v>20</v>
      </c>
      <c r="F6473" t="s">
        <v>21</v>
      </c>
      <c r="G6473" t="s">
        <v>41</v>
      </c>
      <c r="H6473" t="s">
        <v>16</v>
      </c>
      <c r="I6473" s="3">
        <v>64</v>
      </c>
      <c r="J6473" s="2">
        <v>75</v>
      </c>
      <c r="K6473" s="3">
        <f t="shared" si="101"/>
        <v>4800</v>
      </c>
      <c r="L6473" s="3">
        <v>2352</v>
      </c>
    </row>
    <row r="6474" spans="1:12" x14ac:dyDescent="0.25">
      <c r="A6474" t="s">
        <v>11</v>
      </c>
      <c r="B6474">
        <v>1185732</v>
      </c>
      <c r="C6474" s="1">
        <v>44479</v>
      </c>
      <c r="D6474" t="s">
        <v>57</v>
      </c>
      <c r="E6474" t="s">
        <v>103</v>
      </c>
      <c r="F6474" t="s">
        <v>104</v>
      </c>
      <c r="G6474" t="s">
        <v>41</v>
      </c>
      <c r="H6474" t="s">
        <v>38</v>
      </c>
      <c r="I6474" s="3">
        <v>41</v>
      </c>
      <c r="J6474" s="2">
        <v>116</v>
      </c>
      <c r="K6474" s="3">
        <f t="shared" si="101"/>
        <v>4756</v>
      </c>
      <c r="L6474" s="3">
        <v>2235.3199999999997</v>
      </c>
    </row>
    <row r="6475" spans="1:12" x14ac:dyDescent="0.25">
      <c r="A6475" t="s">
        <v>11</v>
      </c>
      <c r="B6475">
        <v>1185732</v>
      </c>
      <c r="C6475" s="1">
        <v>44479</v>
      </c>
      <c r="D6475" t="s">
        <v>57</v>
      </c>
      <c r="E6475" t="s">
        <v>103</v>
      </c>
      <c r="F6475" t="s">
        <v>104</v>
      </c>
      <c r="G6475" t="s">
        <v>41</v>
      </c>
      <c r="H6475" t="s">
        <v>16</v>
      </c>
      <c r="I6475" s="3">
        <v>48</v>
      </c>
      <c r="J6475" s="2">
        <v>83</v>
      </c>
      <c r="K6475" s="3">
        <f t="shared" si="101"/>
        <v>3984</v>
      </c>
      <c r="L6475" s="3">
        <v>1872.48</v>
      </c>
    </row>
    <row r="6476" spans="1:12" x14ac:dyDescent="0.25">
      <c r="A6476" t="s">
        <v>26</v>
      </c>
      <c r="B6476">
        <v>1197831</v>
      </c>
      <c r="C6476" s="1">
        <v>44479</v>
      </c>
      <c r="D6476" t="s">
        <v>52</v>
      </c>
      <c r="E6476" t="s">
        <v>53</v>
      </c>
      <c r="F6476" t="s">
        <v>54</v>
      </c>
      <c r="G6476" t="s">
        <v>41</v>
      </c>
      <c r="H6476" t="s">
        <v>38</v>
      </c>
      <c r="I6476" s="3">
        <v>38</v>
      </c>
      <c r="J6476" s="2">
        <v>181</v>
      </c>
      <c r="K6476" s="3">
        <f t="shared" si="101"/>
        <v>6878</v>
      </c>
      <c r="L6476" s="3">
        <v>3095.1000000000004</v>
      </c>
    </row>
    <row r="6477" spans="1:12" x14ac:dyDescent="0.25">
      <c r="A6477" t="s">
        <v>11</v>
      </c>
      <c r="B6477">
        <v>1185732</v>
      </c>
      <c r="C6477" s="1">
        <v>44479</v>
      </c>
      <c r="D6477" t="s">
        <v>57</v>
      </c>
      <c r="E6477" t="s">
        <v>103</v>
      </c>
      <c r="F6477" t="s">
        <v>104</v>
      </c>
      <c r="G6477" t="s">
        <v>41</v>
      </c>
      <c r="H6477" t="s">
        <v>17</v>
      </c>
      <c r="I6477" s="3">
        <v>32</v>
      </c>
      <c r="J6477" s="2">
        <v>65</v>
      </c>
      <c r="K6477" s="3">
        <f t="shared" si="101"/>
        <v>2080</v>
      </c>
      <c r="L6477" s="3">
        <v>936</v>
      </c>
    </row>
    <row r="6478" spans="1:12" x14ac:dyDescent="0.25">
      <c r="A6478" t="s">
        <v>26</v>
      </c>
      <c r="B6478">
        <v>1197831</v>
      </c>
      <c r="C6478" s="1">
        <v>44479</v>
      </c>
      <c r="D6478" t="s">
        <v>52</v>
      </c>
      <c r="E6478" t="s">
        <v>99</v>
      </c>
      <c r="F6478" t="s">
        <v>100</v>
      </c>
      <c r="G6478" t="s">
        <v>41</v>
      </c>
      <c r="H6478" t="s">
        <v>22</v>
      </c>
      <c r="I6478" s="3">
        <v>58</v>
      </c>
      <c r="J6478" s="2">
        <v>145</v>
      </c>
      <c r="K6478" s="3">
        <f t="shared" si="101"/>
        <v>8410</v>
      </c>
      <c r="L6478" s="3">
        <v>3700.4000000000005</v>
      </c>
    </row>
    <row r="6479" spans="1:12" x14ac:dyDescent="0.25">
      <c r="A6479" t="s">
        <v>11</v>
      </c>
      <c r="B6479">
        <v>1185732</v>
      </c>
      <c r="C6479" s="1">
        <v>44479</v>
      </c>
      <c r="D6479" t="s">
        <v>29</v>
      </c>
      <c r="E6479" t="s">
        <v>60</v>
      </c>
      <c r="F6479" t="s">
        <v>61</v>
      </c>
      <c r="G6479" t="s">
        <v>41</v>
      </c>
      <c r="H6479" t="s">
        <v>38</v>
      </c>
      <c r="I6479" s="3">
        <v>57</v>
      </c>
      <c r="J6479" s="2">
        <v>208</v>
      </c>
      <c r="K6479" s="3">
        <f t="shared" si="101"/>
        <v>11856</v>
      </c>
      <c r="L6479" s="3">
        <v>5098.079999999999</v>
      </c>
    </row>
    <row r="6480" spans="1:12" x14ac:dyDescent="0.25">
      <c r="A6480" t="s">
        <v>11</v>
      </c>
      <c r="B6480">
        <v>1185732</v>
      </c>
      <c r="C6480" s="1">
        <v>44479</v>
      </c>
      <c r="D6480" t="s">
        <v>29</v>
      </c>
      <c r="E6480" t="s">
        <v>60</v>
      </c>
      <c r="F6480" t="s">
        <v>61</v>
      </c>
      <c r="G6480" t="s">
        <v>41</v>
      </c>
      <c r="H6480" t="s">
        <v>16</v>
      </c>
      <c r="I6480" s="3">
        <v>64</v>
      </c>
      <c r="J6480" s="2">
        <v>156</v>
      </c>
      <c r="K6480" s="3">
        <f t="shared" si="101"/>
        <v>9984</v>
      </c>
      <c r="L6480" s="3">
        <v>3793.92</v>
      </c>
    </row>
    <row r="6481" spans="1:12" x14ac:dyDescent="0.25">
      <c r="A6481" t="s">
        <v>36</v>
      </c>
      <c r="B6481">
        <v>1185732</v>
      </c>
      <c r="C6481" s="1">
        <v>44480</v>
      </c>
      <c r="D6481" t="s">
        <v>57</v>
      </c>
      <c r="E6481" t="s">
        <v>110</v>
      </c>
      <c r="F6481" t="s">
        <v>111</v>
      </c>
      <c r="G6481" t="s">
        <v>41</v>
      </c>
      <c r="H6481" t="s">
        <v>22</v>
      </c>
      <c r="I6481" s="3">
        <v>40.000000000000007</v>
      </c>
      <c r="J6481" s="2">
        <v>400</v>
      </c>
      <c r="K6481" s="3">
        <f t="shared" si="101"/>
        <v>16000.000000000004</v>
      </c>
      <c r="L6481" s="3">
        <v>10400.000000000004</v>
      </c>
    </row>
    <row r="6482" spans="1:12" x14ac:dyDescent="0.25">
      <c r="A6482" t="s">
        <v>11</v>
      </c>
      <c r="B6482">
        <v>1185732</v>
      </c>
      <c r="C6482" s="1">
        <v>44480</v>
      </c>
      <c r="D6482" t="s">
        <v>12</v>
      </c>
      <c r="E6482" t="s">
        <v>101</v>
      </c>
      <c r="F6482" t="s">
        <v>102</v>
      </c>
      <c r="G6482" t="s">
        <v>18</v>
      </c>
      <c r="H6482" t="s">
        <v>17</v>
      </c>
      <c r="I6482" s="3">
        <v>20</v>
      </c>
      <c r="J6482" s="2">
        <v>400</v>
      </c>
      <c r="K6482" s="3">
        <f t="shared" si="101"/>
        <v>8000</v>
      </c>
      <c r="L6482" s="3">
        <v>5200</v>
      </c>
    </row>
    <row r="6483" spans="1:12" x14ac:dyDescent="0.25">
      <c r="A6483" t="s">
        <v>11</v>
      </c>
      <c r="B6483">
        <v>1185732</v>
      </c>
      <c r="C6483" s="1">
        <v>44480</v>
      </c>
      <c r="D6483" t="s">
        <v>12</v>
      </c>
      <c r="E6483" t="s">
        <v>101</v>
      </c>
      <c r="F6483" t="s">
        <v>102</v>
      </c>
      <c r="G6483" t="s">
        <v>18</v>
      </c>
      <c r="H6483" t="s">
        <v>35</v>
      </c>
      <c r="I6483" s="3">
        <v>20</v>
      </c>
      <c r="J6483" s="2">
        <v>300</v>
      </c>
      <c r="K6483" s="3">
        <f t="shared" si="101"/>
        <v>6000</v>
      </c>
      <c r="L6483" s="3">
        <v>3900</v>
      </c>
    </row>
    <row r="6484" spans="1:12" x14ac:dyDescent="0.25">
      <c r="A6484" t="s">
        <v>11</v>
      </c>
      <c r="B6484">
        <v>1185732</v>
      </c>
      <c r="C6484" s="1">
        <v>44480</v>
      </c>
      <c r="D6484" t="s">
        <v>12</v>
      </c>
      <c r="E6484" t="s">
        <v>101</v>
      </c>
      <c r="F6484" t="s">
        <v>102</v>
      </c>
      <c r="G6484" t="s">
        <v>18</v>
      </c>
      <c r="H6484" t="s">
        <v>22</v>
      </c>
      <c r="I6484" s="3">
        <v>30</v>
      </c>
      <c r="J6484" s="2">
        <v>275</v>
      </c>
      <c r="K6484" s="3">
        <f t="shared" si="101"/>
        <v>8250</v>
      </c>
      <c r="L6484" s="3">
        <v>5362.5</v>
      </c>
    </row>
    <row r="6485" spans="1:12" x14ac:dyDescent="0.25">
      <c r="A6485" t="s">
        <v>36</v>
      </c>
      <c r="B6485">
        <v>1185732</v>
      </c>
      <c r="C6485" s="1">
        <v>44480</v>
      </c>
      <c r="D6485" t="s">
        <v>57</v>
      </c>
      <c r="E6485" t="s">
        <v>110</v>
      </c>
      <c r="F6485" t="s">
        <v>111</v>
      </c>
      <c r="G6485" t="s">
        <v>41</v>
      </c>
      <c r="H6485" t="s">
        <v>17</v>
      </c>
      <c r="I6485" s="3">
        <v>30.000000000000011</v>
      </c>
      <c r="J6485" s="2">
        <v>550</v>
      </c>
      <c r="K6485" s="3">
        <f t="shared" si="101"/>
        <v>16500.000000000007</v>
      </c>
      <c r="L6485" s="3">
        <v>10725.000000000004</v>
      </c>
    </row>
    <row r="6486" spans="1:12" x14ac:dyDescent="0.25">
      <c r="A6486" t="s">
        <v>36</v>
      </c>
      <c r="B6486">
        <v>1185732</v>
      </c>
      <c r="C6486" s="1">
        <v>44480</v>
      </c>
      <c r="D6486" t="s">
        <v>57</v>
      </c>
      <c r="E6486" t="s">
        <v>110</v>
      </c>
      <c r="F6486" t="s">
        <v>111</v>
      </c>
      <c r="G6486" t="s">
        <v>41</v>
      </c>
      <c r="H6486" t="s">
        <v>35</v>
      </c>
      <c r="I6486" s="3">
        <v>30.000000000000011</v>
      </c>
      <c r="J6486" s="2">
        <v>425</v>
      </c>
      <c r="K6486" s="3">
        <f t="shared" si="101"/>
        <v>12750.000000000004</v>
      </c>
      <c r="L6486" s="3">
        <v>7650.0000000000027</v>
      </c>
    </row>
    <row r="6487" spans="1:12" x14ac:dyDescent="0.25">
      <c r="A6487" t="s">
        <v>36</v>
      </c>
      <c r="B6487">
        <v>1185732</v>
      </c>
      <c r="C6487" s="1">
        <v>44480</v>
      </c>
      <c r="D6487" t="s">
        <v>57</v>
      </c>
      <c r="E6487" t="s">
        <v>110</v>
      </c>
      <c r="F6487" t="s">
        <v>111</v>
      </c>
      <c r="G6487" t="s">
        <v>41</v>
      </c>
      <c r="H6487" t="s">
        <v>37</v>
      </c>
      <c r="I6487" s="3">
        <v>30.000000000000011</v>
      </c>
      <c r="J6487" s="2">
        <v>400</v>
      </c>
      <c r="K6487" s="3">
        <f t="shared" si="101"/>
        <v>12000.000000000004</v>
      </c>
      <c r="L6487" s="3">
        <v>7200.0000000000027</v>
      </c>
    </row>
    <row r="6488" spans="1:12" x14ac:dyDescent="0.25">
      <c r="A6488" t="s">
        <v>26</v>
      </c>
      <c r="B6488">
        <v>1197831</v>
      </c>
      <c r="C6488" s="1">
        <v>44480</v>
      </c>
      <c r="D6488" t="s">
        <v>52</v>
      </c>
      <c r="E6488" t="s">
        <v>53</v>
      </c>
      <c r="F6488" t="s">
        <v>54</v>
      </c>
      <c r="G6488" t="s">
        <v>15</v>
      </c>
      <c r="H6488" t="s">
        <v>17</v>
      </c>
      <c r="I6488" s="3">
        <v>40</v>
      </c>
      <c r="J6488" s="2">
        <v>725</v>
      </c>
      <c r="K6488" s="3">
        <f t="shared" si="101"/>
        <v>29000</v>
      </c>
      <c r="L6488" s="3">
        <v>17400</v>
      </c>
    </row>
    <row r="6489" spans="1:12" x14ac:dyDescent="0.25">
      <c r="A6489" t="s">
        <v>11</v>
      </c>
      <c r="B6489">
        <v>1185732</v>
      </c>
      <c r="C6489" s="1">
        <v>44480</v>
      </c>
      <c r="D6489" t="s">
        <v>12</v>
      </c>
      <c r="E6489" t="s">
        <v>101</v>
      </c>
      <c r="F6489" t="s">
        <v>102</v>
      </c>
      <c r="G6489" t="s">
        <v>18</v>
      </c>
      <c r="H6489" t="s">
        <v>38</v>
      </c>
      <c r="I6489" s="3">
        <v>30</v>
      </c>
      <c r="J6489" s="2">
        <v>575</v>
      </c>
      <c r="K6489" s="3">
        <f t="shared" si="101"/>
        <v>17250</v>
      </c>
      <c r="L6489" s="3">
        <v>10350</v>
      </c>
    </row>
    <row r="6490" spans="1:12" x14ac:dyDescent="0.25">
      <c r="A6490" t="s">
        <v>11</v>
      </c>
      <c r="B6490">
        <v>1185732</v>
      </c>
      <c r="C6490" s="1">
        <v>44480</v>
      </c>
      <c r="D6490" t="s">
        <v>12</v>
      </c>
      <c r="E6490" t="s">
        <v>101</v>
      </c>
      <c r="F6490" t="s">
        <v>102</v>
      </c>
      <c r="G6490" t="s">
        <v>18</v>
      </c>
      <c r="H6490" t="s">
        <v>37</v>
      </c>
      <c r="I6490" s="3">
        <v>20</v>
      </c>
      <c r="J6490" s="2">
        <v>275</v>
      </c>
      <c r="K6490" s="3">
        <f t="shared" si="101"/>
        <v>5500</v>
      </c>
      <c r="L6490" s="3">
        <v>3300</v>
      </c>
    </row>
    <row r="6491" spans="1:12" x14ac:dyDescent="0.25">
      <c r="A6491" t="s">
        <v>36</v>
      </c>
      <c r="B6491">
        <v>1185732</v>
      </c>
      <c r="C6491" s="1">
        <v>44480</v>
      </c>
      <c r="D6491" t="s">
        <v>57</v>
      </c>
      <c r="E6491" t="s">
        <v>110</v>
      </c>
      <c r="F6491" t="s">
        <v>111</v>
      </c>
      <c r="G6491" t="s">
        <v>41</v>
      </c>
      <c r="H6491" t="s">
        <v>38</v>
      </c>
      <c r="I6491" s="3">
        <v>40.000000000000007</v>
      </c>
      <c r="J6491" s="2">
        <v>725</v>
      </c>
      <c r="K6491" s="3">
        <f t="shared" si="101"/>
        <v>29000.000000000004</v>
      </c>
      <c r="L6491" s="3">
        <v>17400.000000000004</v>
      </c>
    </row>
    <row r="6492" spans="1:12" x14ac:dyDescent="0.25">
      <c r="A6492" t="s">
        <v>11</v>
      </c>
      <c r="B6492">
        <v>1185732</v>
      </c>
      <c r="C6492" s="1">
        <v>44480</v>
      </c>
      <c r="D6492" t="s">
        <v>12</v>
      </c>
      <c r="E6492" t="s">
        <v>101</v>
      </c>
      <c r="F6492" t="s">
        <v>102</v>
      </c>
      <c r="G6492" t="s">
        <v>18</v>
      </c>
      <c r="H6492" t="s">
        <v>16</v>
      </c>
      <c r="I6492" s="3">
        <v>34.999999999999993</v>
      </c>
      <c r="J6492" s="2">
        <v>400</v>
      </c>
      <c r="K6492" s="3">
        <f t="shared" si="101"/>
        <v>13999.999999999996</v>
      </c>
      <c r="L6492" s="3">
        <v>6999.9999999999982</v>
      </c>
    </row>
    <row r="6493" spans="1:12" x14ac:dyDescent="0.25">
      <c r="A6493" t="s">
        <v>36</v>
      </c>
      <c r="B6493">
        <v>1185732</v>
      </c>
      <c r="C6493" s="1">
        <v>44480</v>
      </c>
      <c r="D6493" t="s">
        <v>57</v>
      </c>
      <c r="E6493" t="s">
        <v>110</v>
      </c>
      <c r="F6493" t="s">
        <v>111</v>
      </c>
      <c r="G6493" t="s">
        <v>41</v>
      </c>
      <c r="H6493" t="s">
        <v>16</v>
      </c>
      <c r="I6493" s="3">
        <v>40</v>
      </c>
      <c r="J6493" s="2">
        <v>525</v>
      </c>
      <c r="K6493" s="3">
        <f t="shared" si="101"/>
        <v>21000</v>
      </c>
      <c r="L6493" s="3">
        <v>10500</v>
      </c>
    </row>
    <row r="6494" spans="1:12" x14ac:dyDescent="0.25">
      <c r="A6494" t="s">
        <v>26</v>
      </c>
      <c r="B6494">
        <v>1197831</v>
      </c>
      <c r="C6494" s="1">
        <v>44480</v>
      </c>
      <c r="D6494" t="s">
        <v>52</v>
      </c>
      <c r="E6494" t="s">
        <v>99</v>
      </c>
      <c r="F6494" t="s">
        <v>100</v>
      </c>
      <c r="G6494" t="s">
        <v>15</v>
      </c>
      <c r="H6494" t="s">
        <v>16</v>
      </c>
      <c r="I6494" s="3">
        <v>70</v>
      </c>
      <c r="J6494" s="2">
        <v>750</v>
      </c>
      <c r="K6494" s="3">
        <f t="shared" si="101"/>
        <v>52500</v>
      </c>
      <c r="L6494" s="3">
        <v>18374.999999999993</v>
      </c>
    </row>
    <row r="6495" spans="1:12" x14ac:dyDescent="0.25">
      <c r="A6495" t="s">
        <v>11</v>
      </c>
      <c r="B6495">
        <v>1185732</v>
      </c>
      <c r="C6495" s="1">
        <v>44480</v>
      </c>
      <c r="D6495" t="s">
        <v>12</v>
      </c>
      <c r="E6495" t="s">
        <v>101</v>
      </c>
      <c r="F6495" t="s">
        <v>102</v>
      </c>
      <c r="G6495" t="s">
        <v>15</v>
      </c>
      <c r="H6495" t="s">
        <v>22</v>
      </c>
      <c r="I6495" s="3">
        <v>20</v>
      </c>
      <c r="J6495" s="2">
        <v>85</v>
      </c>
      <c r="K6495" s="3">
        <f t="shared" si="101"/>
        <v>1700</v>
      </c>
      <c r="L6495" s="3">
        <v>1037</v>
      </c>
    </row>
    <row r="6496" spans="1:12" x14ac:dyDescent="0.25">
      <c r="A6496" t="s">
        <v>11</v>
      </c>
      <c r="B6496">
        <v>1185732</v>
      </c>
      <c r="C6496" s="1">
        <v>44480</v>
      </c>
      <c r="D6496" t="s">
        <v>12</v>
      </c>
      <c r="E6496" t="s">
        <v>101</v>
      </c>
      <c r="F6496" t="s">
        <v>102</v>
      </c>
      <c r="G6496" t="s">
        <v>15</v>
      </c>
      <c r="H6496" t="s">
        <v>17</v>
      </c>
      <c r="I6496" s="3">
        <v>14</v>
      </c>
      <c r="J6496" s="2">
        <v>132</v>
      </c>
      <c r="K6496" s="3">
        <f t="shared" si="101"/>
        <v>1848</v>
      </c>
      <c r="L6496" s="3">
        <v>1108.8000000000002</v>
      </c>
    </row>
    <row r="6497" spans="1:12" x14ac:dyDescent="0.25">
      <c r="A6497" t="s">
        <v>11</v>
      </c>
      <c r="B6497">
        <v>1185732</v>
      </c>
      <c r="C6497" s="1">
        <v>44480</v>
      </c>
      <c r="D6497" t="s">
        <v>12</v>
      </c>
      <c r="E6497" t="s">
        <v>101</v>
      </c>
      <c r="F6497" t="s">
        <v>102</v>
      </c>
      <c r="G6497" t="s">
        <v>15</v>
      </c>
      <c r="H6497" t="s">
        <v>35</v>
      </c>
      <c r="I6497" s="3">
        <v>13</v>
      </c>
      <c r="J6497" s="2">
        <v>90</v>
      </c>
      <c r="K6497" s="3">
        <f t="shared" si="101"/>
        <v>1170</v>
      </c>
      <c r="L6497" s="3">
        <v>690.3</v>
      </c>
    </row>
    <row r="6498" spans="1:12" x14ac:dyDescent="0.25">
      <c r="A6498" t="s">
        <v>26</v>
      </c>
      <c r="B6498">
        <v>1197831</v>
      </c>
      <c r="C6498" s="1">
        <v>44480</v>
      </c>
      <c r="D6498" t="s">
        <v>52</v>
      </c>
      <c r="E6498" t="s">
        <v>53</v>
      </c>
      <c r="F6498" t="s">
        <v>54</v>
      </c>
      <c r="G6498" t="s">
        <v>15</v>
      </c>
      <c r="H6498" t="s">
        <v>17</v>
      </c>
      <c r="I6498" s="3">
        <v>27</v>
      </c>
      <c r="J6498" s="2">
        <v>218</v>
      </c>
      <c r="K6498" s="3">
        <f t="shared" si="101"/>
        <v>5886</v>
      </c>
      <c r="L6498" s="3">
        <v>3237.3</v>
      </c>
    </row>
    <row r="6499" spans="1:12" x14ac:dyDescent="0.25">
      <c r="A6499" t="s">
        <v>36</v>
      </c>
      <c r="B6499">
        <v>1185732</v>
      </c>
      <c r="C6499" s="1">
        <v>44480</v>
      </c>
      <c r="D6499" t="s">
        <v>57</v>
      </c>
      <c r="E6499" t="s">
        <v>110</v>
      </c>
      <c r="F6499" t="s">
        <v>111</v>
      </c>
      <c r="G6499" t="s">
        <v>41</v>
      </c>
      <c r="H6499" t="s">
        <v>22</v>
      </c>
      <c r="I6499" s="3">
        <v>37</v>
      </c>
      <c r="J6499" s="2">
        <v>116</v>
      </c>
      <c r="K6499" s="3">
        <f t="shared" si="101"/>
        <v>4292</v>
      </c>
      <c r="L6499" s="3">
        <v>2317.6800000000003</v>
      </c>
    </row>
    <row r="6500" spans="1:12" x14ac:dyDescent="0.25">
      <c r="A6500" t="s">
        <v>11</v>
      </c>
      <c r="B6500">
        <v>1185732</v>
      </c>
      <c r="C6500" s="1">
        <v>44480</v>
      </c>
      <c r="D6500" t="s">
        <v>12</v>
      </c>
      <c r="E6500" t="s">
        <v>101</v>
      </c>
      <c r="F6500" t="s">
        <v>102</v>
      </c>
      <c r="G6500" t="s">
        <v>15</v>
      </c>
      <c r="H6500" t="s">
        <v>37</v>
      </c>
      <c r="I6500" s="3">
        <v>13</v>
      </c>
      <c r="J6500" s="2">
        <v>94</v>
      </c>
      <c r="K6500" s="3">
        <f t="shared" si="101"/>
        <v>1222</v>
      </c>
      <c r="L6500" s="3">
        <v>659.88</v>
      </c>
    </row>
    <row r="6501" spans="1:12" x14ac:dyDescent="0.25">
      <c r="A6501" t="s">
        <v>36</v>
      </c>
      <c r="B6501">
        <v>1185732</v>
      </c>
      <c r="C6501" s="1">
        <v>44480</v>
      </c>
      <c r="D6501" t="s">
        <v>57</v>
      </c>
      <c r="E6501" t="s">
        <v>110</v>
      </c>
      <c r="F6501" t="s">
        <v>111</v>
      </c>
      <c r="G6501" t="s">
        <v>41</v>
      </c>
      <c r="H6501" t="s">
        <v>17</v>
      </c>
      <c r="I6501" s="3">
        <v>29</v>
      </c>
      <c r="J6501" s="2">
        <v>138</v>
      </c>
      <c r="K6501" s="3">
        <f t="shared" si="101"/>
        <v>4002</v>
      </c>
      <c r="L6501" s="3">
        <v>2121.0600000000004</v>
      </c>
    </row>
    <row r="6502" spans="1:12" x14ac:dyDescent="0.25">
      <c r="A6502" t="s">
        <v>11</v>
      </c>
      <c r="B6502">
        <v>1185732</v>
      </c>
      <c r="C6502" s="1">
        <v>44480</v>
      </c>
      <c r="D6502" t="s">
        <v>12</v>
      </c>
      <c r="E6502" t="s">
        <v>101</v>
      </c>
      <c r="F6502" t="s">
        <v>102</v>
      </c>
      <c r="G6502" t="s">
        <v>15</v>
      </c>
      <c r="H6502" t="s">
        <v>38</v>
      </c>
      <c r="I6502" s="3">
        <v>24</v>
      </c>
      <c r="J6502" s="2">
        <v>201</v>
      </c>
      <c r="K6502" s="3">
        <f t="shared" si="101"/>
        <v>4824</v>
      </c>
      <c r="L6502" s="3">
        <v>2556.7199999999998</v>
      </c>
    </row>
    <row r="6503" spans="1:12" x14ac:dyDescent="0.25">
      <c r="A6503" t="s">
        <v>11</v>
      </c>
      <c r="B6503">
        <v>1185732</v>
      </c>
      <c r="C6503" s="1">
        <v>44480</v>
      </c>
      <c r="D6503" t="s">
        <v>12</v>
      </c>
      <c r="E6503" t="s">
        <v>101</v>
      </c>
      <c r="F6503" t="s">
        <v>102</v>
      </c>
      <c r="G6503" t="s">
        <v>41</v>
      </c>
      <c r="H6503" t="s">
        <v>35</v>
      </c>
      <c r="I6503" s="3">
        <v>19</v>
      </c>
      <c r="J6503" s="2">
        <v>87</v>
      </c>
      <c r="K6503" s="3">
        <f t="shared" si="101"/>
        <v>1653</v>
      </c>
      <c r="L6503" s="3">
        <v>843.03</v>
      </c>
    </row>
    <row r="6504" spans="1:12" x14ac:dyDescent="0.25">
      <c r="A6504" t="s">
        <v>26</v>
      </c>
      <c r="B6504">
        <v>1197831</v>
      </c>
      <c r="C6504" s="1">
        <v>44480</v>
      </c>
      <c r="D6504" t="s">
        <v>52</v>
      </c>
      <c r="E6504" t="s">
        <v>53</v>
      </c>
      <c r="F6504" t="s">
        <v>54</v>
      </c>
      <c r="G6504" t="s">
        <v>41</v>
      </c>
      <c r="H6504" t="s">
        <v>17</v>
      </c>
      <c r="I6504" s="3">
        <v>37</v>
      </c>
      <c r="J6504" s="2">
        <v>218</v>
      </c>
      <c r="K6504" s="3">
        <f t="shared" si="101"/>
        <v>8066</v>
      </c>
      <c r="L6504" s="3">
        <v>4033</v>
      </c>
    </row>
    <row r="6505" spans="1:12" x14ac:dyDescent="0.25">
      <c r="A6505" t="s">
        <v>11</v>
      </c>
      <c r="B6505">
        <v>1185732</v>
      </c>
      <c r="C6505" s="1">
        <v>44480</v>
      </c>
      <c r="D6505" t="s">
        <v>12</v>
      </c>
      <c r="E6505" t="s">
        <v>101</v>
      </c>
      <c r="F6505" t="s">
        <v>102</v>
      </c>
      <c r="G6505" t="s">
        <v>41</v>
      </c>
      <c r="H6505" t="s">
        <v>17</v>
      </c>
      <c r="I6505" s="3">
        <v>19</v>
      </c>
      <c r="J6505" s="2">
        <v>100</v>
      </c>
      <c r="K6505" s="3">
        <f t="shared" si="101"/>
        <v>1900</v>
      </c>
      <c r="L6505" s="3">
        <v>950</v>
      </c>
    </row>
    <row r="6506" spans="1:12" x14ac:dyDescent="0.25">
      <c r="A6506" t="s">
        <v>11</v>
      </c>
      <c r="B6506">
        <v>1185732</v>
      </c>
      <c r="C6506" s="1">
        <v>44480</v>
      </c>
      <c r="D6506" t="s">
        <v>12</v>
      </c>
      <c r="E6506" t="s">
        <v>101</v>
      </c>
      <c r="F6506" t="s">
        <v>102</v>
      </c>
      <c r="G6506" t="s">
        <v>41</v>
      </c>
      <c r="H6506" t="s">
        <v>22</v>
      </c>
      <c r="I6506" s="3">
        <v>29</v>
      </c>
      <c r="J6506" s="2">
        <v>83</v>
      </c>
      <c r="K6506" s="3">
        <f t="shared" si="101"/>
        <v>2407</v>
      </c>
      <c r="L6506" s="3">
        <v>1203.5</v>
      </c>
    </row>
    <row r="6507" spans="1:12" x14ac:dyDescent="0.25">
      <c r="A6507" t="s">
        <v>11</v>
      </c>
      <c r="B6507">
        <v>1185732</v>
      </c>
      <c r="C6507" s="1">
        <v>44480</v>
      </c>
      <c r="D6507" t="s">
        <v>12</v>
      </c>
      <c r="E6507" t="s">
        <v>101</v>
      </c>
      <c r="F6507" t="s">
        <v>102</v>
      </c>
      <c r="G6507" t="s">
        <v>41</v>
      </c>
      <c r="H6507" t="s">
        <v>38</v>
      </c>
      <c r="I6507" s="3">
        <v>28</v>
      </c>
      <c r="J6507" s="2">
        <v>173</v>
      </c>
      <c r="K6507" s="3">
        <f t="shared" si="101"/>
        <v>4844</v>
      </c>
      <c r="L6507" s="3">
        <v>2373.56</v>
      </c>
    </row>
    <row r="6508" spans="1:12" x14ac:dyDescent="0.25">
      <c r="A6508" t="s">
        <v>36</v>
      </c>
      <c r="B6508">
        <v>1185732</v>
      </c>
      <c r="C6508" s="1">
        <v>44480</v>
      </c>
      <c r="D6508" t="s">
        <v>57</v>
      </c>
      <c r="E6508" t="s">
        <v>110</v>
      </c>
      <c r="F6508" t="s">
        <v>111</v>
      </c>
      <c r="G6508" t="s">
        <v>41</v>
      </c>
      <c r="H6508" t="s">
        <v>37</v>
      </c>
      <c r="I6508" s="3">
        <v>29</v>
      </c>
      <c r="J6508" s="2">
        <v>112</v>
      </c>
      <c r="K6508" s="3">
        <f t="shared" si="101"/>
        <v>3248</v>
      </c>
      <c r="L6508" s="3">
        <v>1591.52</v>
      </c>
    </row>
    <row r="6509" spans="1:12" x14ac:dyDescent="0.25">
      <c r="A6509" t="s">
        <v>36</v>
      </c>
      <c r="B6509">
        <v>1185732</v>
      </c>
      <c r="C6509" s="1">
        <v>44480</v>
      </c>
      <c r="D6509" t="s">
        <v>57</v>
      </c>
      <c r="E6509" t="s">
        <v>110</v>
      </c>
      <c r="F6509" t="s">
        <v>111</v>
      </c>
      <c r="G6509" t="s">
        <v>41</v>
      </c>
      <c r="H6509" t="s">
        <v>38</v>
      </c>
      <c r="I6509" s="3">
        <v>36</v>
      </c>
      <c r="J6509" s="2">
        <v>210</v>
      </c>
      <c r="K6509" s="3">
        <f t="shared" si="101"/>
        <v>7560</v>
      </c>
      <c r="L6509" s="3">
        <v>3628.7999999999997</v>
      </c>
    </row>
    <row r="6510" spans="1:12" x14ac:dyDescent="0.25">
      <c r="A6510" t="s">
        <v>36</v>
      </c>
      <c r="B6510">
        <v>1185732</v>
      </c>
      <c r="C6510" s="1">
        <v>44480</v>
      </c>
      <c r="D6510" t="s">
        <v>57</v>
      </c>
      <c r="E6510" t="s">
        <v>110</v>
      </c>
      <c r="F6510" t="s">
        <v>111</v>
      </c>
      <c r="G6510" t="s">
        <v>41</v>
      </c>
      <c r="H6510" t="s">
        <v>35</v>
      </c>
      <c r="I6510" s="3">
        <v>27</v>
      </c>
      <c r="J6510" s="2">
        <v>106</v>
      </c>
      <c r="K6510" s="3">
        <f t="shared" si="101"/>
        <v>2862</v>
      </c>
      <c r="L6510" s="3">
        <v>1345.1399999999999</v>
      </c>
    </row>
    <row r="6511" spans="1:12" x14ac:dyDescent="0.25">
      <c r="A6511" t="s">
        <v>11</v>
      </c>
      <c r="B6511">
        <v>1185732</v>
      </c>
      <c r="C6511" s="1">
        <v>44480</v>
      </c>
      <c r="D6511" t="s">
        <v>12</v>
      </c>
      <c r="E6511" t="s">
        <v>101</v>
      </c>
      <c r="F6511" t="s">
        <v>102</v>
      </c>
      <c r="G6511" t="s">
        <v>15</v>
      </c>
      <c r="H6511" t="s">
        <v>16</v>
      </c>
      <c r="I6511" s="3">
        <v>25</v>
      </c>
      <c r="J6511" s="2">
        <v>140</v>
      </c>
      <c r="K6511" s="3">
        <f t="shared" si="101"/>
        <v>3500</v>
      </c>
      <c r="L6511" s="3">
        <v>1609.9999999999998</v>
      </c>
    </row>
    <row r="6512" spans="1:12" x14ac:dyDescent="0.25">
      <c r="A6512" t="s">
        <v>11</v>
      </c>
      <c r="B6512">
        <v>1185732</v>
      </c>
      <c r="C6512" s="1">
        <v>44480</v>
      </c>
      <c r="D6512" t="s">
        <v>12</v>
      </c>
      <c r="E6512" t="s">
        <v>101</v>
      </c>
      <c r="F6512" t="s">
        <v>102</v>
      </c>
      <c r="G6512" t="s">
        <v>41</v>
      </c>
      <c r="H6512" t="s">
        <v>37</v>
      </c>
      <c r="I6512" s="3">
        <v>19</v>
      </c>
      <c r="J6512" s="2">
        <v>72</v>
      </c>
      <c r="K6512" s="3">
        <f t="shared" si="101"/>
        <v>1368</v>
      </c>
      <c r="L6512" s="3">
        <v>615.59999999999991</v>
      </c>
    </row>
    <row r="6513" spans="1:12" x14ac:dyDescent="0.25">
      <c r="A6513" t="s">
        <v>11</v>
      </c>
      <c r="B6513">
        <v>1185732</v>
      </c>
      <c r="C6513" s="1">
        <v>44480</v>
      </c>
      <c r="D6513" t="s">
        <v>12</v>
      </c>
      <c r="E6513" t="s">
        <v>101</v>
      </c>
      <c r="F6513" t="s">
        <v>102</v>
      </c>
      <c r="G6513" t="s">
        <v>41</v>
      </c>
      <c r="H6513" t="s">
        <v>16</v>
      </c>
      <c r="I6513" s="3">
        <v>32</v>
      </c>
      <c r="J6513" s="2">
        <v>104</v>
      </c>
      <c r="K6513" s="3">
        <f t="shared" si="101"/>
        <v>3328</v>
      </c>
      <c r="L6513" s="3">
        <v>1264.6399999999999</v>
      </c>
    </row>
    <row r="6514" spans="1:12" x14ac:dyDescent="0.25">
      <c r="A6514" t="s">
        <v>36</v>
      </c>
      <c r="B6514">
        <v>1185732</v>
      </c>
      <c r="C6514" s="1">
        <v>44480</v>
      </c>
      <c r="D6514" t="s">
        <v>57</v>
      </c>
      <c r="E6514" t="s">
        <v>110</v>
      </c>
      <c r="F6514" t="s">
        <v>111</v>
      </c>
      <c r="G6514" t="s">
        <v>41</v>
      </c>
      <c r="H6514" t="s">
        <v>16</v>
      </c>
      <c r="I6514" s="3">
        <v>38</v>
      </c>
      <c r="J6514" s="2">
        <v>147</v>
      </c>
      <c r="K6514" s="3">
        <f t="shared" si="101"/>
        <v>5586</v>
      </c>
      <c r="L6514" s="3">
        <v>2066.8200000000002</v>
      </c>
    </row>
    <row r="6515" spans="1:12" x14ac:dyDescent="0.25">
      <c r="A6515" t="s">
        <v>26</v>
      </c>
      <c r="B6515">
        <v>1197831</v>
      </c>
      <c r="C6515" s="1">
        <v>44480</v>
      </c>
      <c r="D6515" t="s">
        <v>52</v>
      </c>
      <c r="E6515" t="s">
        <v>99</v>
      </c>
      <c r="F6515" t="s">
        <v>100</v>
      </c>
      <c r="G6515" t="s">
        <v>15</v>
      </c>
      <c r="H6515" t="s">
        <v>16</v>
      </c>
      <c r="I6515" s="3">
        <v>56</v>
      </c>
      <c r="J6515" s="2">
        <v>225</v>
      </c>
      <c r="K6515" s="3">
        <f t="shared" si="101"/>
        <v>12600</v>
      </c>
      <c r="L6515" s="3">
        <v>3527.9999999999982</v>
      </c>
    </row>
    <row r="6516" spans="1:12" x14ac:dyDescent="0.25">
      <c r="A6516" t="s">
        <v>26</v>
      </c>
      <c r="B6516">
        <v>1197831</v>
      </c>
      <c r="C6516" s="1">
        <v>44480</v>
      </c>
      <c r="D6516" t="s">
        <v>52</v>
      </c>
      <c r="E6516" t="s">
        <v>99</v>
      </c>
      <c r="F6516" t="s">
        <v>100</v>
      </c>
      <c r="G6516" t="s">
        <v>41</v>
      </c>
      <c r="H6516" t="s">
        <v>16</v>
      </c>
      <c r="I6516" s="3">
        <v>68</v>
      </c>
      <c r="J6516" s="2">
        <v>203</v>
      </c>
      <c r="K6516" s="3">
        <f t="shared" si="101"/>
        <v>13804</v>
      </c>
      <c r="L6516" s="3">
        <v>2760.7999999999975</v>
      </c>
    </row>
    <row r="6517" spans="1:12" x14ac:dyDescent="0.25">
      <c r="A6517" t="s">
        <v>27</v>
      </c>
      <c r="B6517">
        <v>1185732</v>
      </c>
      <c r="C6517" s="1">
        <v>44481</v>
      </c>
      <c r="D6517" t="s">
        <v>12</v>
      </c>
      <c r="E6517" t="s">
        <v>62</v>
      </c>
      <c r="F6517" t="s">
        <v>63</v>
      </c>
      <c r="G6517" t="s">
        <v>18</v>
      </c>
      <c r="H6517" t="s">
        <v>16</v>
      </c>
      <c r="I6517" s="3">
        <v>60</v>
      </c>
      <c r="J6517" s="2">
        <v>600</v>
      </c>
      <c r="K6517" s="3">
        <f t="shared" si="101"/>
        <v>36000</v>
      </c>
      <c r="L6517" s="3">
        <v>27000</v>
      </c>
    </row>
    <row r="6518" spans="1:12" x14ac:dyDescent="0.25">
      <c r="A6518" t="s">
        <v>27</v>
      </c>
      <c r="B6518">
        <v>1185732</v>
      </c>
      <c r="C6518" s="1">
        <v>44481</v>
      </c>
      <c r="D6518" t="s">
        <v>12</v>
      </c>
      <c r="E6518" t="s">
        <v>62</v>
      </c>
      <c r="F6518" t="s">
        <v>63</v>
      </c>
      <c r="G6518" t="s">
        <v>18</v>
      </c>
      <c r="H6518" t="s">
        <v>17</v>
      </c>
      <c r="I6518" s="3">
        <v>45.000000000000007</v>
      </c>
      <c r="J6518" s="2">
        <v>600</v>
      </c>
      <c r="K6518" s="3">
        <f t="shared" si="101"/>
        <v>27000.000000000004</v>
      </c>
      <c r="L6518" s="3">
        <v>18900.000000000007</v>
      </c>
    </row>
    <row r="6519" spans="1:12" x14ac:dyDescent="0.25">
      <c r="A6519" t="s">
        <v>27</v>
      </c>
      <c r="B6519">
        <v>1185732</v>
      </c>
      <c r="C6519" s="1">
        <v>44481</v>
      </c>
      <c r="D6519" t="s">
        <v>12</v>
      </c>
      <c r="E6519" t="s">
        <v>62</v>
      </c>
      <c r="F6519" t="s">
        <v>63</v>
      </c>
      <c r="G6519" t="s">
        <v>18</v>
      </c>
      <c r="H6519" t="s">
        <v>22</v>
      </c>
      <c r="I6519" s="3">
        <v>55.000000000000007</v>
      </c>
      <c r="J6519" s="2">
        <v>475</v>
      </c>
      <c r="K6519" s="3">
        <f t="shared" si="101"/>
        <v>26125.000000000004</v>
      </c>
      <c r="L6519" s="3">
        <v>18287.500000000004</v>
      </c>
    </row>
    <row r="6520" spans="1:12" x14ac:dyDescent="0.25">
      <c r="A6520" t="s">
        <v>19</v>
      </c>
      <c r="B6520">
        <v>1185732</v>
      </c>
      <c r="C6520" s="1">
        <v>44481</v>
      </c>
      <c r="D6520" t="s">
        <v>57</v>
      </c>
      <c r="E6520" t="s">
        <v>74</v>
      </c>
      <c r="F6520" t="s">
        <v>75</v>
      </c>
      <c r="G6520" t="s">
        <v>41</v>
      </c>
      <c r="H6520" t="s">
        <v>17</v>
      </c>
      <c r="I6520" s="3">
        <v>45</v>
      </c>
      <c r="J6520" s="2">
        <v>250</v>
      </c>
      <c r="K6520" s="3">
        <f t="shared" si="101"/>
        <v>11250</v>
      </c>
      <c r="L6520" s="3">
        <v>7875</v>
      </c>
    </row>
    <row r="6521" spans="1:12" x14ac:dyDescent="0.25">
      <c r="A6521" t="s">
        <v>19</v>
      </c>
      <c r="B6521">
        <v>1185732</v>
      </c>
      <c r="C6521" s="1">
        <v>44481</v>
      </c>
      <c r="D6521" t="s">
        <v>57</v>
      </c>
      <c r="E6521" t="s">
        <v>74</v>
      </c>
      <c r="F6521" t="s">
        <v>75</v>
      </c>
      <c r="G6521" t="s">
        <v>41</v>
      </c>
      <c r="H6521" t="s">
        <v>35</v>
      </c>
      <c r="I6521" s="3">
        <v>45</v>
      </c>
      <c r="J6521" s="2">
        <v>150</v>
      </c>
      <c r="K6521" s="3">
        <f t="shared" si="101"/>
        <v>6750</v>
      </c>
      <c r="L6521" s="3">
        <v>4725</v>
      </c>
    </row>
    <row r="6522" spans="1:12" x14ac:dyDescent="0.25">
      <c r="A6522" t="s">
        <v>19</v>
      </c>
      <c r="B6522">
        <v>1185732</v>
      </c>
      <c r="C6522" s="1">
        <v>44481</v>
      </c>
      <c r="D6522" t="s">
        <v>57</v>
      </c>
      <c r="E6522" t="s">
        <v>74</v>
      </c>
      <c r="F6522" t="s">
        <v>75</v>
      </c>
      <c r="G6522" t="s">
        <v>41</v>
      </c>
      <c r="H6522" t="s">
        <v>37</v>
      </c>
      <c r="I6522" s="3">
        <v>45</v>
      </c>
      <c r="J6522" s="2">
        <v>125</v>
      </c>
      <c r="K6522" s="3">
        <f t="shared" si="101"/>
        <v>5625</v>
      </c>
      <c r="L6522" s="3">
        <v>3937.5</v>
      </c>
    </row>
    <row r="6523" spans="1:12" x14ac:dyDescent="0.25">
      <c r="A6523" t="s">
        <v>19</v>
      </c>
      <c r="B6523">
        <v>1185732</v>
      </c>
      <c r="C6523" s="1">
        <v>44481</v>
      </c>
      <c r="D6523" t="s">
        <v>57</v>
      </c>
      <c r="E6523" t="s">
        <v>74</v>
      </c>
      <c r="F6523" t="s">
        <v>75</v>
      </c>
      <c r="G6523" t="s">
        <v>41</v>
      </c>
      <c r="H6523" t="s">
        <v>38</v>
      </c>
      <c r="I6523" s="3">
        <v>54.999999999999993</v>
      </c>
      <c r="J6523" s="2">
        <v>400</v>
      </c>
      <c r="K6523" s="3">
        <f t="shared" si="101"/>
        <v>21999.999999999996</v>
      </c>
      <c r="L6523" s="3">
        <v>14300</v>
      </c>
    </row>
    <row r="6524" spans="1:12" x14ac:dyDescent="0.25">
      <c r="A6524" t="s">
        <v>36</v>
      </c>
      <c r="B6524">
        <v>1185732</v>
      </c>
      <c r="C6524" s="1">
        <v>44481</v>
      </c>
      <c r="D6524" t="s">
        <v>52</v>
      </c>
      <c r="E6524" t="s">
        <v>99</v>
      </c>
      <c r="F6524" t="s">
        <v>100</v>
      </c>
      <c r="G6524" t="s">
        <v>15</v>
      </c>
      <c r="H6524" t="s">
        <v>38</v>
      </c>
      <c r="I6524" s="3">
        <v>40</v>
      </c>
      <c r="J6524" s="2">
        <v>450</v>
      </c>
      <c r="K6524" s="3">
        <f t="shared" si="101"/>
        <v>18000</v>
      </c>
      <c r="L6524" s="3">
        <v>11700</v>
      </c>
    </row>
    <row r="6525" spans="1:12" x14ac:dyDescent="0.25">
      <c r="A6525" t="s">
        <v>27</v>
      </c>
      <c r="B6525">
        <v>1185732</v>
      </c>
      <c r="C6525" s="1">
        <v>44481</v>
      </c>
      <c r="D6525" t="s">
        <v>12</v>
      </c>
      <c r="E6525" t="s">
        <v>62</v>
      </c>
      <c r="F6525" t="s">
        <v>63</v>
      </c>
      <c r="G6525" t="s">
        <v>18</v>
      </c>
      <c r="H6525" t="s">
        <v>35</v>
      </c>
      <c r="I6525" s="3">
        <v>45.000000000000007</v>
      </c>
      <c r="J6525" s="2">
        <v>500</v>
      </c>
      <c r="K6525" s="3">
        <f t="shared" si="101"/>
        <v>22500.000000000004</v>
      </c>
      <c r="L6525" s="3">
        <v>14625.000000000004</v>
      </c>
    </row>
    <row r="6526" spans="1:12" x14ac:dyDescent="0.25">
      <c r="A6526" t="s">
        <v>27</v>
      </c>
      <c r="B6526">
        <v>1185732</v>
      </c>
      <c r="C6526" s="1">
        <v>44481</v>
      </c>
      <c r="D6526" t="s">
        <v>12</v>
      </c>
      <c r="E6526" t="s">
        <v>62</v>
      </c>
      <c r="F6526" t="s">
        <v>63</v>
      </c>
      <c r="G6526" t="s">
        <v>18</v>
      </c>
      <c r="H6526" t="s">
        <v>37</v>
      </c>
      <c r="I6526" s="3">
        <v>45.000000000000007</v>
      </c>
      <c r="J6526" s="2">
        <v>475</v>
      </c>
      <c r="K6526" s="3">
        <f t="shared" si="101"/>
        <v>21375.000000000004</v>
      </c>
      <c r="L6526" s="3">
        <v>13893.750000000004</v>
      </c>
    </row>
    <row r="6527" spans="1:12" x14ac:dyDescent="0.25">
      <c r="A6527" t="s">
        <v>19</v>
      </c>
      <c r="B6527">
        <v>1185732</v>
      </c>
      <c r="C6527" s="1">
        <v>44481</v>
      </c>
      <c r="D6527" t="s">
        <v>57</v>
      </c>
      <c r="E6527" t="s">
        <v>74</v>
      </c>
      <c r="F6527" t="s">
        <v>75</v>
      </c>
      <c r="G6527" t="s">
        <v>41</v>
      </c>
      <c r="H6527" t="s">
        <v>22</v>
      </c>
      <c r="I6527" s="3">
        <v>54.999999999999993</v>
      </c>
      <c r="J6527" s="2">
        <v>125</v>
      </c>
      <c r="K6527" s="3">
        <f t="shared" si="101"/>
        <v>6874.9999999999991</v>
      </c>
      <c r="L6527" s="3">
        <v>4468.7499999999991</v>
      </c>
    </row>
    <row r="6528" spans="1:12" x14ac:dyDescent="0.25">
      <c r="A6528" t="s">
        <v>36</v>
      </c>
      <c r="B6528">
        <v>1185732</v>
      </c>
      <c r="C6528" s="1">
        <v>44481</v>
      </c>
      <c r="D6528" t="s">
        <v>29</v>
      </c>
      <c r="E6528" t="s">
        <v>80</v>
      </c>
      <c r="F6528" t="s">
        <v>81</v>
      </c>
      <c r="G6528" t="s">
        <v>18</v>
      </c>
      <c r="H6528" t="s">
        <v>35</v>
      </c>
      <c r="I6528" s="3">
        <v>60.000000000000007</v>
      </c>
      <c r="J6528" s="2">
        <v>200</v>
      </c>
      <c r="K6528" s="3">
        <f t="shared" si="101"/>
        <v>12000.000000000002</v>
      </c>
      <c r="L6528" s="3">
        <v>7800.0000000000018</v>
      </c>
    </row>
    <row r="6529" spans="1:12" x14ac:dyDescent="0.25">
      <c r="A6529" t="s">
        <v>36</v>
      </c>
      <c r="B6529">
        <v>1185732</v>
      </c>
      <c r="C6529" s="1">
        <v>44481</v>
      </c>
      <c r="D6529" t="s">
        <v>29</v>
      </c>
      <c r="E6529" t="s">
        <v>80</v>
      </c>
      <c r="F6529" t="s">
        <v>81</v>
      </c>
      <c r="G6529" t="s">
        <v>18</v>
      </c>
      <c r="H6529" t="s">
        <v>37</v>
      </c>
      <c r="I6529" s="3">
        <v>60.000000000000007</v>
      </c>
      <c r="J6529" s="2">
        <v>175</v>
      </c>
      <c r="K6529" s="3">
        <f t="shared" si="101"/>
        <v>10500.000000000002</v>
      </c>
      <c r="L6529" s="3">
        <v>6825.0000000000018</v>
      </c>
    </row>
    <row r="6530" spans="1:12" x14ac:dyDescent="0.25">
      <c r="A6530" t="s">
        <v>36</v>
      </c>
      <c r="B6530">
        <v>1185732</v>
      </c>
      <c r="C6530" s="1">
        <v>44481</v>
      </c>
      <c r="D6530" t="s">
        <v>29</v>
      </c>
      <c r="E6530" t="s">
        <v>80</v>
      </c>
      <c r="F6530" t="s">
        <v>81</v>
      </c>
      <c r="G6530" t="s">
        <v>18</v>
      </c>
      <c r="H6530" t="s">
        <v>22</v>
      </c>
      <c r="I6530" s="3">
        <v>70</v>
      </c>
      <c r="J6530" s="2">
        <v>175</v>
      </c>
      <c r="K6530" s="3">
        <f t="shared" si="101"/>
        <v>12250</v>
      </c>
      <c r="L6530" s="3">
        <v>7962.5</v>
      </c>
    </row>
    <row r="6531" spans="1:12" x14ac:dyDescent="0.25">
      <c r="A6531" t="s">
        <v>26</v>
      </c>
      <c r="B6531">
        <v>1197831</v>
      </c>
      <c r="C6531" s="1">
        <v>44481</v>
      </c>
      <c r="D6531" t="s">
        <v>52</v>
      </c>
      <c r="E6531" t="s">
        <v>53</v>
      </c>
      <c r="F6531" t="s">
        <v>54</v>
      </c>
      <c r="G6531" t="s">
        <v>15</v>
      </c>
      <c r="H6531" t="s">
        <v>35</v>
      </c>
      <c r="I6531" s="3">
        <v>65</v>
      </c>
      <c r="J6531" s="2">
        <v>650</v>
      </c>
      <c r="K6531" s="3">
        <f t="shared" ref="K6531:K6594" si="102">I6531*J6531</f>
        <v>42250</v>
      </c>
      <c r="L6531" s="3">
        <v>25350</v>
      </c>
    </row>
    <row r="6532" spans="1:12" x14ac:dyDescent="0.25">
      <c r="A6532" t="s">
        <v>11</v>
      </c>
      <c r="B6532">
        <v>1185732</v>
      </c>
      <c r="C6532" s="1">
        <v>44481</v>
      </c>
      <c r="D6532" t="s">
        <v>29</v>
      </c>
      <c r="E6532" t="s">
        <v>80</v>
      </c>
      <c r="F6532" t="s">
        <v>81</v>
      </c>
      <c r="G6532" t="s">
        <v>18</v>
      </c>
      <c r="H6532" t="s">
        <v>16</v>
      </c>
      <c r="I6532" s="3">
        <v>75</v>
      </c>
      <c r="J6532" s="2">
        <v>300</v>
      </c>
      <c r="K6532" s="3">
        <f t="shared" si="102"/>
        <v>22500</v>
      </c>
      <c r="L6532" s="3">
        <v>13500</v>
      </c>
    </row>
    <row r="6533" spans="1:12" x14ac:dyDescent="0.25">
      <c r="A6533" t="s">
        <v>26</v>
      </c>
      <c r="B6533">
        <v>1185732</v>
      </c>
      <c r="C6533" s="1">
        <v>44481</v>
      </c>
      <c r="D6533" t="s">
        <v>57</v>
      </c>
      <c r="E6533" t="s">
        <v>74</v>
      </c>
      <c r="F6533" t="s">
        <v>75</v>
      </c>
      <c r="G6533" t="s">
        <v>41</v>
      </c>
      <c r="H6533" t="s">
        <v>16</v>
      </c>
      <c r="I6533" s="3">
        <v>59.999999999999986</v>
      </c>
      <c r="J6533" s="2">
        <v>250</v>
      </c>
      <c r="K6533" s="3">
        <f t="shared" si="102"/>
        <v>14999.999999999996</v>
      </c>
      <c r="L6533" s="3">
        <v>8999.9999999999964</v>
      </c>
    </row>
    <row r="6534" spans="1:12" x14ac:dyDescent="0.25">
      <c r="A6534" t="s">
        <v>36</v>
      </c>
      <c r="B6534">
        <v>1185732</v>
      </c>
      <c r="C6534" s="1">
        <v>44481</v>
      </c>
      <c r="D6534" t="s">
        <v>29</v>
      </c>
      <c r="E6534" t="s">
        <v>80</v>
      </c>
      <c r="F6534" t="s">
        <v>81</v>
      </c>
      <c r="G6534" t="s">
        <v>18</v>
      </c>
      <c r="H6534" t="s">
        <v>38</v>
      </c>
      <c r="I6534" s="3">
        <v>65</v>
      </c>
      <c r="J6534" s="2">
        <v>475</v>
      </c>
      <c r="K6534" s="3">
        <f t="shared" si="102"/>
        <v>30875</v>
      </c>
      <c r="L6534" s="3">
        <v>16981.25</v>
      </c>
    </row>
    <row r="6535" spans="1:12" x14ac:dyDescent="0.25">
      <c r="A6535" t="s">
        <v>36</v>
      </c>
      <c r="B6535">
        <v>1185732</v>
      </c>
      <c r="C6535" s="1">
        <v>44481</v>
      </c>
      <c r="D6535" t="s">
        <v>29</v>
      </c>
      <c r="E6535" t="s">
        <v>80</v>
      </c>
      <c r="F6535" t="s">
        <v>81</v>
      </c>
      <c r="G6535" t="s">
        <v>18</v>
      </c>
      <c r="H6535" t="s">
        <v>17</v>
      </c>
      <c r="I6535" s="3">
        <v>60.000000000000007</v>
      </c>
      <c r="J6535" s="2">
        <v>300</v>
      </c>
      <c r="K6535" s="3">
        <f t="shared" si="102"/>
        <v>18000.000000000004</v>
      </c>
      <c r="L6535" s="3">
        <v>9900.0000000000018</v>
      </c>
    </row>
    <row r="6536" spans="1:12" x14ac:dyDescent="0.25">
      <c r="A6536" t="s">
        <v>27</v>
      </c>
      <c r="B6536">
        <v>1185732</v>
      </c>
      <c r="C6536" s="1">
        <v>44481</v>
      </c>
      <c r="D6536" t="s">
        <v>12</v>
      </c>
      <c r="E6536" t="s">
        <v>62</v>
      </c>
      <c r="F6536" t="s">
        <v>63</v>
      </c>
      <c r="G6536" t="s">
        <v>18</v>
      </c>
      <c r="H6536" t="s">
        <v>38</v>
      </c>
      <c r="I6536" s="3">
        <v>55.000000000000007</v>
      </c>
      <c r="J6536" s="2">
        <v>775</v>
      </c>
      <c r="K6536" s="3">
        <f t="shared" si="102"/>
        <v>42625.000000000007</v>
      </c>
      <c r="L6536" s="3">
        <v>21312.500000000004</v>
      </c>
    </row>
    <row r="6537" spans="1:12" x14ac:dyDescent="0.25">
      <c r="A6537" t="s">
        <v>27</v>
      </c>
      <c r="B6537">
        <v>1185732</v>
      </c>
      <c r="C6537" s="1">
        <v>44481</v>
      </c>
      <c r="D6537" t="s">
        <v>12</v>
      </c>
      <c r="E6537" t="s">
        <v>62</v>
      </c>
      <c r="F6537" t="s">
        <v>63</v>
      </c>
      <c r="G6537" t="s">
        <v>41</v>
      </c>
      <c r="H6537" t="s">
        <v>16</v>
      </c>
      <c r="I6537" s="3">
        <v>55</v>
      </c>
      <c r="J6537" s="2">
        <v>150</v>
      </c>
      <c r="K6537" s="3">
        <f t="shared" si="102"/>
        <v>8250</v>
      </c>
      <c r="L6537" s="3">
        <v>5197.5</v>
      </c>
    </row>
    <row r="6538" spans="1:12" x14ac:dyDescent="0.25">
      <c r="A6538" t="s">
        <v>36</v>
      </c>
      <c r="B6538">
        <v>1185732</v>
      </c>
      <c r="C6538" s="1">
        <v>44481</v>
      </c>
      <c r="D6538" t="s">
        <v>29</v>
      </c>
      <c r="E6538" t="s">
        <v>80</v>
      </c>
      <c r="F6538" t="s">
        <v>81</v>
      </c>
      <c r="G6538" t="s">
        <v>15</v>
      </c>
      <c r="H6538" t="s">
        <v>35</v>
      </c>
      <c r="I6538" s="3">
        <v>40</v>
      </c>
      <c r="J6538" s="2">
        <v>66</v>
      </c>
      <c r="K6538" s="3">
        <f t="shared" si="102"/>
        <v>2640</v>
      </c>
      <c r="L6538" s="3">
        <v>1663.2</v>
      </c>
    </row>
    <row r="6539" spans="1:12" x14ac:dyDescent="0.25">
      <c r="A6539" t="s">
        <v>36</v>
      </c>
      <c r="B6539">
        <v>1185732</v>
      </c>
      <c r="C6539" s="1">
        <v>44481</v>
      </c>
      <c r="D6539" t="s">
        <v>29</v>
      </c>
      <c r="E6539" t="s">
        <v>80</v>
      </c>
      <c r="F6539" t="s">
        <v>81</v>
      </c>
      <c r="G6539" t="s">
        <v>15</v>
      </c>
      <c r="H6539" t="s">
        <v>37</v>
      </c>
      <c r="I6539" s="3">
        <v>46</v>
      </c>
      <c r="J6539" s="2">
        <v>61</v>
      </c>
      <c r="K6539" s="3">
        <f t="shared" si="102"/>
        <v>2806</v>
      </c>
      <c r="L6539" s="3">
        <v>1767.78</v>
      </c>
    </row>
    <row r="6540" spans="1:12" x14ac:dyDescent="0.25">
      <c r="A6540" t="s">
        <v>36</v>
      </c>
      <c r="B6540">
        <v>1185732</v>
      </c>
      <c r="C6540" s="1">
        <v>44481</v>
      </c>
      <c r="D6540" t="s">
        <v>29</v>
      </c>
      <c r="E6540" t="s">
        <v>80</v>
      </c>
      <c r="F6540" t="s">
        <v>81</v>
      </c>
      <c r="G6540" t="s">
        <v>15</v>
      </c>
      <c r="H6540" t="s">
        <v>22</v>
      </c>
      <c r="I6540" s="3">
        <v>55</v>
      </c>
      <c r="J6540" s="2">
        <v>58</v>
      </c>
      <c r="K6540" s="3">
        <f t="shared" si="102"/>
        <v>3190</v>
      </c>
      <c r="L6540" s="3">
        <v>2009.7</v>
      </c>
    </row>
    <row r="6541" spans="1:12" x14ac:dyDescent="0.25">
      <c r="A6541" t="s">
        <v>36</v>
      </c>
      <c r="B6541">
        <v>1185732</v>
      </c>
      <c r="C6541" s="1">
        <v>44481</v>
      </c>
      <c r="D6541" t="s">
        <v>52</v>
      </c>
      <c r="E6541" t="s">
        <v>99</v>
      </c>
      <c r="F6541" t="s">
        <v>100</v>
      </c>
      <c r="G6541" t="s">
        <v>15</v>
      </c>
      <c r="H6541" t="s">
        <v>38</v>
      </c>
      <c r="I6541" s="3">
        <v>27</v>
      </c>
      <c r="J6541" s="2">
        <v>140</v>
      </c>
      <c r="K6541" s="3">
        <f t="shared" si="102"/>
        <v>3780</v>
      </c>
      <c r="L6541" s="3">
        <v>2305.8000000000002</v>
      </c>
    </row>
    <row r="6542" spans="1:12" x14ac:dyDescent="0.25">
      <c r="A6542" t="s">
        <v>27</v>
      </c>
      <c r="B6542">
        <v>1185732</v>
      </c>
      <c r="C6542" s="1">
        <v>44481</v>
      </c>
      <c r="D6542" t="s">
        <v>12</v>
      </c>
      <c r="E6542" t="s">
        <v>62</v>
      </c>
      <c r="F6542" t="s">
        <v>63</v>
      </c>
      <c r="G6542" t="s">
        <v>41</v>
      </c>
      <c r="H6542" t="s">
        <v>17</v>
      </c>
      <c r="I6542" s="3">
        <v>44</v>
      </c>
      <c r="J6542" s="2">
        <v>174</v>
      </c>
      <c r="K6542" s="3">
        <f t="shared" si="102"/>
        <v>7656</v>
      </c>
      <c r="L6542" s="3">
        <v>4593.6000000000004</v>
      </c>
    </row>
    <row r="6543" spans="1:12" x14ac:dyDescent="0.25">
      <c r="A6543" t="s">
        <v>19</v>
      </c>
      <c r="B6543">
        <v>1185732</v>
      </c>
      <c r="C6543" s="1">
        <v>44481</v>
      </c>
      <c r="D6543" t="s">
        <v>57</v>
      </c>
      <c r="E6543" t="s">
        <v>74</v>
      </c>
      <c r="F6543" t="s">
        <v>75</v>
      </c>
      <c r="G6543" t="s">
        <v>41</v>
      </c>
      <c r="H6543" t="s">
        <v>35</v>
      </c>
      <c r="I6543" s="3">
        <v>43</v>
      </c>
      <c r="J6543" s="2">
        <v>42</v>
      </c>
      <c r="K6543" s="3">
        <f t="shared" si="102"/>
        <v>1806</v>
      </c>
      <c r="L6543" s="3">
        <v>1083.5999999999999</v>
      </c>
    </row>
    <row r="6544" spans="1:12" x14ac:dyDescent="0.25">
      <c r="A6544" t="s">
        <v>19</v>
      </c>
      <c r="B6544">
        <v>1185732</v>
      </c>
      <c r="C6544" s="1">
        <v>44481</v>
      </c>
      <c r="D6544" t="s">
        <v>57</v>
      </c>
      <c r="E6544" t="s">
        <v>74</v>
      </c>
      <c r="F6544" t="s">
        <v>75</v>
      </c>
      <c r="G6544" t="s">
        <v>41</v>
      </c>
      <c r="H6544" t="s">
        <v>17</v>
      </c>
      <c r="I6544" s="3">
        <v>41</v>
      </c>
      <c r="J6544" s="2">
        <v>75</v>
      </c>
      <c r="K6544" s="3">
        <f t="shared" si="102"/>
        <v>3075</v>
      </c>
      <c r="L6544" s="3">
        <v>1783.5</v>
      </c>
    </row>
    <row r="6545" spans="1:12" x14ac:dyDescent="0.25">
      <c r="A6545" t="s">
        <v>27</v>
      </c>
      <c r="B6545">
        <v>1185732</v>
      </c>
      <c r="C6545" s="1">
        <v>44481</v>
      </c>
      <c r="D6545" t="s">
        <v>12</v>
      </c>
      <c r="E6545" t="s">
        <v>62</v>
      </c>
      <c r="F6545" t="s">
        <v>63</v>
      </c>
      <c r="G6545" t="s">
        <v>41</v>
      </c>
      <c r="H6545" t="s">
        <v>22</v>
      </c>
      <c r="I6545" s="3">
        <v>54</v>
      </c>
      <c r="J6545" s="2">
        <v>128</v>
      </c>
      <c r="K6545" s="3">
        <f t="shared" si="102"/>
        <v>6912</v>
      </c>
      <c r="L6545" s="3">
        <v>3870.72</v>
      </c>
    </row>
    <row r="6546" spans="1:12" x14ac:dyDescent="0.25">
      <c r="A6546" t="s">
        <v>26</v>
      </c>
      <c r="B6546">
        <v>1197831</v>
      </c>
      <c r="C6546" s="1">
        <v>44481</v>
      </c>
      <c r="D6546" t="s">
        <v>52</v>
      </c>
      <c r="E6546" t="s">
        <v>53</v>
      </c>
      <c r="F6546" t="s">
        <v>54</v>
      </c>
      <c r="G6546" t="s">
        <v>15</v>
      </c>
      <c r="H6546" t="s">
        <v>35</v>
      </c>
      <c r="I6546" s="3">
        <v>51</v>
      </c>
      <c r="J6546" s="2">
        <v>228</v>
      </c>
      <c r="K6546" s="3">
        <f t="shared" si="102"/>
        <v>11628</v>
      </c>
      <c r="L6546" s="3">
        <v>6511.68</v>
      </c>
    </row>
    <row r="6547" spans="1:12" x14ac:dyDescent="0.25">
      <c r="A6547" t="s">
        <v>19</v>
      </c>
      <c r="B6547">
        <v>1185732</v>
      </c>
      <c r="C6547" s="1">
        <v>44481</v>
      </c>
      <c r="D6547" t="s">
        <v>57</v>
      </c>
      <c r="E6547" t="s">
        <v>74</v>
      </c>
      <c r="F6547" t="s">
        <v>75</v>
      </c>
      <c r="G6547" t="s">
        <v>41</v>
      </c>
      <c r="H6547" t="s">
        <v>37</v>
      </c>
      <c r="I6547" s="3">
        <v>43</v>
      </c>
      <c r="J6547" s="2">
        <v>36</v>
      </c>
      <c r="K6547" s="3">
        <f t="shared" si="102"/>
        <v>1548</v>
      </c>
      <c r="L6547" s="3">
        <v>851.40000000000009</v>
      </c>
    </row>
    <row r="6548" spans="1:12" x14ac:dyDescent="0.25">
      <c r="A6548" t="s">
        <v>27</v>
      </c>
      <c r="B6548">
        <v>1185732</v>
      </c>
      <c r="C6548" s="1">
        <v>44481</v>
      </c>
      <c r="D6548" t="s">
        <v>12</v>
      </c>
      <c r="E6548" t="s">
        <v>62</v>
      </c>
      <c r="F6548" t="s">
        <v>63</v>
      </c>
      <c r="G6548" t="s">
        <v>41</v>
      </c>
      <c r="H6548" t="s">
        <v>37</v>
      </c>
      <c r="I6548" s="3">
        <v>41</v>
      </c>
      <c r="J6548" s="2">
        <v>119</v>
      </c>
      <c r="K6548" s="3">
        <f t="shared" si="102"/>
        <v>4879</v>
      </c>
      <c r="L6548" s="3">
        <v>2634.6600000000003</v>
      </c>
    </row>
    <row r="6549" spans="1:12" x14ac:dyDescent="0.25">
      <c r="A6549" t="s">
        <v>19</v>
      </c>
      <c r="B6549">
        <v>1185732</v>
      </c>
      <c r="C6549" s="1">
        <v>44481</v>
      </c>
      <c r="D6549" t="s">
        <v>57</v>
      </c>
      <c r="E6549" t="s">
        <v>74</v>
      </c>
      <c r="F6549" t="s">
        <v>75</v>
      </c>
      <c r="G6549" t="s">
        <v>41</v>
      </c>
      <c r="H6549" t="s">
        <v>38</v>
      </c>
      <c r="I6549" s="3">
        <v>54</v>
      </c>
      <c r="J6549" s="2">
        <v>104</v>
      </c>
      <c r="K6549" s="3">
        <f t="shared" si="102"/>
        <v>5616</v>
      </c>
      <c r="L6549" s="3">
        <v>3032.6400000000003</v>
      </c>
    </row>
    <row r="6550" spans="1:12" x14ac:dyDescent="0.25">
      <c r="A6550" t="s">
        <v>11</v>
      </c>
      <c r="B6550">
        <v>1185732</v>
      </c>
      <c r="C6550" s="1">
        <v>44481</v>
      </c>
      <c r="D6550" t="s">
        <v>29</v>
      </c>
      <c r="E6550" t="s">
        <v>80</v>
      </c>
      <c r="F6550" t="s">
        <v>81</v>
      </c>
      <c r="G6550" t="s">
        <v>15</v>
      </c>
      <c r="H6550" t="s">
        <v>16</v>
      </c>
      <c r="I6550" s="3">
        <v>54</v>
      </c>
      <c r="J6550" s="2">
        <v>90</v>
      </c>
      <c r="K6550" s="3">
        <f t="shared" si="102"/>
        <v>4860</v>
      </c>
      <c r="L6550" s="3">
        <v>2624.4</v>
      </c>
    </row>
    <row r="6551" spans="1:12" x14ac:dyDescent="0.25">
      <c r="A6551" t="s">
        <v>27</v>
      </c>
      <c r="B6551">
        <v>1185732</v>
      </c>
      <c r="C6551" s="1">
        <v>44481</v>
      </c>
      <c r="D6551" t="s">
        <v>12</v>
      </c>
      <c r="E6551" t="s">
        <v>62</v>
      </c>
      <c r="F6551" t="s">
        <v>63</v>
      </c>
      <c r="G6551" t="s">
        <v>41</v>
      </c>
      <c r="H6551" t="s">
        <v>35</v>
      </c>
      <c r="I6551" s="3">
        <v>42</v>
      </c>
      <c r="J6551" s="2">
        <v>125</v>
      </c>
      <c r="K6551" s="3">
        <f t="shared" si="102"/>
        <v>5250</v>
      </c>
      <c r="L6551" s="3">
        <v>2835</v>
      </c>
    </row>
    <row r="6552" spans="1:12" x14ac:dyDescent="0.25">
      <c r="A6552" t="s">
        <v>19</v>
      </c>
      <c r="B6552">
        <v>1185732</v>
      </c>
      <c r="C6552" s="1">
        <v>44481</v>
      </c>
      <c r="D6552" t="s">
        <v>57</v>
      </c>
      <c r="E6552" t="s">
        <v>74</v>
      </c>
      <c r="F6552" t="s">
        <v>75</v>
      </c>
      <c r="G6552" t="s">
        <v>41</v>
      </c>
      <c r="H6552" t="s">
        <v>22</v>
      </c>
      <c r="I6552" s="3">
        <v>54</v>
      </c>
      <c r="J6552" s="2">
        <v>38</v>
      </c>
      <c r="K6552" s="3">
        <f t="shared" si="102"/>
        <v>2052</v>
      </c>
      <c r="L6552" s="3">
        <v>1087.56</v>
      </c>
    </row>
    <row r="6553" spans="1:12" x14ac:dyDescent="0.25">
      <c r="A6553" t="s">
        <v>36</v>
      </c>
      <c r="B6553">
        <v>1185732</v>
      </c>
      <c r="C6553" s="1">
        <v>44481</v>
      </c>
      <c r="D6553" t="s">
        <v>29</v>
      </c>
      <c r="E6553" t="s">
        <v>80</v>
      </c>
      <c r="F6553" t="s">
        <v>81</v>
      </c>
      <c r="G6553" t="s">
        <v>15</v>
      </c>
      <c r="H6553" t="s">
        <v>38</v>
      </c>
      <c r="I6553" s="3">
        <v>44</v>
      </c>
      <c r="J6553" s="2">
        <v>157</v>
      </c>
      <c r="K6553" s="3">
        <f t="shared" si="102"/>
        <v>6908</v>
      </c>
      <c r="L6553" s="3">
        <v>3661.24</v>
      </c>
    </row>
    <row r="6554" spans="1:12" x14ac:dyDescent="0.25">
      <c r="A6554" t="s">
        <v>36</v>
      </c>
      <c r="B6554">
        <v>1185732</v>
      </c>
      <c r="C6554" s="1">
        <v>44481</v>
      </c>
      <c r="D6554" t="s">
        <v>29</v>
      </c>
      <c r="E6554" t="s">
        <v>80</v>
      </c>
      <c r="F6554" t="s">
        <v>81</v>
      </c>
      <c r="G6554" t="s">
        <v>41</v>
      </c>
      <c r="H6554" t="s">
        <v>37</v>
      </c>
      <c r="I6554" s="3">
        <v>55</v>
      </c>
      <c r="J6554" s="2">
        <v>46</v>
      </c>
      <c r="K6554" s="3">
        <f t="shared" si="102"/>
        <v>2530</v>
      </c>
      <c r="L6554" s="3">
        <v>1315.6000000000001</v>
      </c>
    </row>
    <row r="6555" spans="1:12" x14ac:dyDescent="0.25">
      <c r="A6555" t="s">
        <v>36</v>
      </c>
      <c r="B6555">
        <v>1185732</v>
      </c>
      <c r="C6555" s="1">
        <v>44481</v>
      </c>
      <c r="D6555" t="s">
        <v>29</v>
      </c>
      <c r="E6555" t="s">
        <v>80</v>
      </c>
      <c r="F6555" t="s">
        <v>81</v>
      </c>
      <c r="G6555" t="s">
        <v>41</v>
      </c>
      <c r="H6555" t="s">
        <v>22</v>
      </c>
      <c r="I6555" s="3">
        <v>66</v>
      </c>
      <c r="J6555" s="2">
        <v>51</v>
      </c>
      <c r="K6555" s="3">
        <f t="shared" si="102"/>
        <v>3366</v>
      </c>
      <c r="L6555" s="3">
        <v>1750.3200000000002</v>
      </c>
    </row>
    <row r="6556" spans="1:12" x14ac:dyDescent="0.25">
      <c r="A6556" t="s">
        <v>36</v>
      </c>
      <c r="B6556">
        <v>1185732</v>
      </c>
      <c r="C6556" s="1">
        <v>44481</v>
      </c>
      <c r="D6556" t="s">
        <v>29</v>
      </c>
      <c r="E6556" t="s">
        <v>80</v>
      </c>
      <c r="F6556" t="s">
        <v>81</v>
      </c>
      <c r="G6556" t="s">
        <v>15</v>
      </c>
      <c r="H6556" t="s">
        <v>17</v>
      </c>
      <c r="I6556" s="3">
        <v>44</v>
      </c>
      <c r="J6556" s="2">
        <v>99</v>
      </c>
      <c r="K6556" s="3">
        <f t="shared" si="102"/>
        <v>4356</v>
      </c>
      <c r="L6556" s="3">
        <v>2221.56</v>
      </c>
    </row>
    <row r="6557" spans="1:12" x14ac:dyDescent="0.25">
      <c r="A6557" t="s">
        <v>36</v>
      </c>
      <c r="B6557">
        <v>1185732</v>
      </c>
      <c r="C6557" s="1">
        <v>44481</v>
      </c>
      <c r="D6557" t="s">
        <v>52</v>
      </c>
      <c r="E6557" t="s">
        <v>99</v>
      </c>
      <c r="F6557" t="s">
        <v>100</v>
      </c>
      <c r="G6557" t="s">
        <v>41</v>
      </c>
      <c r="H6557" t="s">
        <v>38</v>
      </c>
      <c r="I6557" s="3">
        <v>38</v>
      </c>
      <c r="J6557" s="2">
        <v>117</v>
      </c>
      <c r="K6557" s="3">
        <f t="shared" si="102"/>
        <v>4446</v>
      </c>
      <c r="L6557" s="3">
        <v>2223</v>
      </c>
    </row>
    <row r="6558" spans="1:12" x14ac:dyDescent="0.25">
      <c r="A6558" t="s">
        <v>36</v>
      </c>
      <c r="B6558">
        <v>1185732</v>
      </c>
      <c r="C6558" s="1">
        <v>44481</v>
      </c>
      <c r="D6558" t="s">
        <v>29</v>
      </c>
      <c r="E6558" t="s">
        <v>80</v>
      </c>
      <c r="F6558" t="s">
        <v>81</v>
      </c>
      <c r="G6558" t="s">
        <v>41</v>
      </c>
      <c r="H6558" t="s">
        <v>35</v>
      </c>
      <c r="I6558" s="3">
        <v>59</v>
      </c>
      <c r="J6558" s="2">
        <v>54</v>
      </c>
      <c r="K6558" s="3">
        <f t="shared" si="102"/>
        <v>3186</v>
      </c>
      <c r="L6558" s="3">
        <v>1593</v>
      </c>
    </row>
    <row r="6559" spans="1:12" x14ac:dyDescent="0.25">
      <c r="A6559" t="s">
        <v>11</v>
      </c>
      <c r="B6559">
        <v>1185732</v>
      </c>
      <c r="C6559" s="1">
        <v>44481</v>
      </c>
      <c r="D6559" t="s">
        <v>29</v>
      </c>
      <c r="E6559" t="s">
        <v>80</v>
      </c>
      <c r="F6559" t="s">
        <v>81</v>
      </c>
      <c r="G6559" t="s">
        <v>41</v>
      </c>
      <c r="H6559" t="s">
        <v>16</v>
      </c>
      <c r="I6559" s="3">
        <v>71</v>
      </c>
      <c r="J6559" s="2">
        <v>81</v>
      </c>
      <c r="K6559" s="3">
        <f t="shared" si="102"/>
        <v>5751</v>
      </c>
      <c r="L6559" s="3">
        <v>2702.97</v>
      </c>
    </row>
    <row r="6560" spans="1:12" x14ac:dyDescent="0.25">
      <c r="A6560" t="s">
        <v>26</v>
      </c>
      <c r="B6560">
        <v>1197831</v>
      </c>
      <c r="C6560" s="1">
        <v>44481</v>
      </c>
      <c r="D6560" t="s">
        <v>52</v>
      </c>
      <c r="E6560" t="s">
        <v>53</v>
      </c>
      <c r="F6560" t="s">
        <v>54</v>
      </c>
      <c r="G6560" t="s">
        <v>41</v>
      </c>
      <c r="H6560" t="s">
        <v>35</v>
      </c>
      <c r="I6560" s="3">
        <v>63</v>
      </c>
      <c r="J6560" s="2">
        <v>176</v>
      </c>
      <c r="K6560" s="3">
        <f t="shared" si="102"/>
        <v>11088</v>
      </c>
      <c r="L6560" s="3">
        <v>4989.6000000000004</v>
      </c>
    </row>
    <row r="6561" spans="1:12" x14ac:dyDescent="0.25">
      <c r="A6561" t="s">
        <v>26</v>
      </c>
      <c r="B6561">
        <v>1185732</v>
      </c>
      <c r="C6561" s="1">
        <v>44481</v>
      </c>
      <c r="D6561" t="s">
        <v>57</v>
      </c>
      <c r="E6561" t="s">
        <v>74</v>
      </c>
      <c r="F6561" t="s">
        <v>75</v>
      </c>
      <c r="G6561" t="s">
        <v>41</v>
      </c>
      <c r="H6561" t="s">
        <v>16</v>
      </c>
      <c r="I6561" s="3">
        <v>55</v>
      </c>
      <c r="J6561" s="2">
        <v>70</v>
      </c>
      <c r="K6561" s="3">
        <f t="shared" si="102"/>
        <v>3850</v>
      </c>
      <c r="L6561" s="3">
        <v>1732.5</v>
      </c>
    </row>
    <row r="6562" spans="1:12" x14ac:dyDescent="0.25">
      <c r="A6562" t="s">
        <v>36</v>
      </c>
      <c r="B6562">
        <v>1185732</v>
      </c>
      <c r="C6562" s="1">
        <v>44481</v>
      </c>
      <c r="D6562" t="s">
        <v>29</v>
      </c>
      <c r="E6562" t="s">
        <v>80</v>
      </c>
      <c r="F6562" t="s">
        <v>81</v>
      </c>
      <c r="G6562" t="s">
        <v>41</v>
      </c>
      <c r="H6562" t="s">
        <v>17</v>
      </c>
      <c r="I6562" s="3">
        <v>54</v>
      </c>
      <c r="J6562" s="2">
        <v>75</v>
      </c>
      <c r="K6562" s="3">
        <f t="shared" si="102"/>
        <v>4050</v>
      </c>
      <c r="L6562" s="3">
        <v>1660.4999999999995</v>
      </c>
    </row>
    <row r="6563" spans="1:12" x14ac:dyDescent="0.25">
      <c r="A6563" t="s">
        <v>36</v>
      </c>
      <c r="B6563">
        <v>1185732</v>
      </c>
      <c r="C6563" s="1">
        <v>44481</v>
      </c>
      <c r="D6563" t="s">
        <v>29</v>
      </c>
      <c r="E6563" t="s">
        <v>80</v>
      </c>
      <c r="F6563" t="s">
        <v>81</v>
      </c>
      <c r="G6563" t="s">
        <v>41</v>
      </c>
      <c r="H6563" t="s">
        <v>38</v>
      </c>
      <c r="I6563" s="3">
        <v>62</v>
      </c>
      <c r="J6563" s="2">
        <v>133</v>
      </c>
      <c r="K6563" s="3">
        <f t="shared" si="102"/>
        <v>8246</v>
      </c>
      <c r="L6563" s="3">
        <v>3298.4000000000005</v>
      </c>
    </row>
    <row r="6564" spans="1:12" x14ac:dyDescent="0.25">
      <c r="A6564" t="s">
        <v>27</v>
      </c>
      <c r="B6564">
        <v>1185732</v>
      </c>
      <c r="C6564" s="1">
        <v>44481</v>
      </c>
      <c r="D6564" t="s">
        <v>12</v>
      </c>
      <c r="E6564" t="s">
        <v>62</v>
      </c>
      <c r="F6564" t="s">
        <v>63</v>
      </c>
      <c r="G6564" t="s">
        <v>41</v>
      </c>
      <c r="H6564" t="s">
        <v>38</v>
      </c>
      <c r="I6564" s="3">
        <v>50</v>
      </c>
      <c r="J6564" s="2">
        <v>202</v>
      </c>
      <c r="K6564" s="3">
        <f t="shared" si="102"/>
        <v>10100</v>
      </c>
      <c r="L6564" s="3">
        <v>3636</v>
      </c>
    </row>
    <row r="6565" spans="1:12" x14ac:dyDescent="0.25">
      <c r="A6565" t="s">
        <v>26</v>
      </c>
      <c r="B6565">
        <v>1128299</v>
      </c>
      <c r="C6565" s="1">
        <v>44482</v>
      </c>
      <c r="D6565" t="s">
        <v>32</v>
      </c>
      <c r="E6565" t="s">
        <v>44</v>
      </c>
      <c r="F6565" t="s">
        <v>45</v>
      </c>
      <c r="G6565" t="s">
        <v>41</v>
      </c>
      <c r="H6565" t="s">
        <v>16</v>
      </c>
      <c r="I6565" s="3">
        <v>70</v>
      </c>
      <c r="J6565" s="2">
        <v>350</v>
      </c>
      <c r="K6565" s="3">
        <f t="shared" si="102"/>
        <v>24500</v>
      </c>
      <c r="L6565" s="3">
        <v>18375</v>
      </c>
    </row>
    <row r="6566" spans="1:12" x14ac:dyDescent="0.25">
      <c r="A6566" t="s">
        <v>26</v>
      </c>
      <c r="B6566">
        <v>1128299</v>
      </c>
      <c r="C6566" s="1">
        <v>44482</v>
      </c>
      <c r="D6566" t="s">
        <v>32</v>
      </c>
      <c r="E6566" t="s">
        <v>44</v>
      </c>
      <c r="F6566" t="s">
        <v>45</v>
      </c>
      <c r="G6566" t="s">
        <v>41</v>
      </c>
      <c r="H6566" t="s">
        <v>35</v>
      </c>
      <c r="I6566" s="3">
        <v>45.000000000000014</v>
      </c>
      <c r="J6566" s="2">
        <v>350</v>
      </c>
      <c r="K6566" s="3">
        <f t="shared" si="102"/>
        <v>15750.000000000005</v>
      </c>
      <c r="L6566" s="3">
        <v>10237.500000000004</v>
      </c>
    </row>
    <row r="6567" spans="1:12" x14ac:dyDescent="0.25">
      <c r="A6567" t="s">
        <v>26</v>
      </c>
      <c r="B6567">
        <v>1128299</v>
      </c>
      <c r="C6567" s="1">
        <v>44482</v>
      </c>
      <c r="D6567" t="s">
        <v>32</v>
      </c>
      <c r="E6567" t="s">
        <v>44</v>
      </c>
      <c r="F6567" t="s">
        <v>45</v>
      </c>
      <c r="G6567" t="s">
        <v>41</v>
      </c>
      <c r="H6567" t="s">
        <v>22</v>
      </c>
      <c r="I6567" s="3">
        <v>55.000000000000007</v>
      </c>
      <c r="J6567" s="2">
        <v>300</v>
      </c>
      <c r="K6567" s="3">
        <f t="shared" si="102"/>
        <v>16500.000000000004</v>
      </c>
      <c r="L6567" s="3">
        <v>10725.000000000004</v>
      </c>
    </row>
    <row r="6568" spans="1:12" x14ac:dyDescent="0.25">
      <c r="A6568" t="s">
        <v>36</v>
      </c>
      <c r="B6568">
        <v>1185732</v>
      </c>
      <c r="C6568" s="1">
        <v>44482</v>
      </c>
      <c r="D6568" t="s">
        <v>52</v>
      </c>
      <c r="E6568" t="s">
        <v>99</v>
      </c>
      <c r="F6568" t="s">
        <v>100</v>
      </c>
      <c r="G6568" t="s">
        <v>15</v>
      </c>
      <c r="H6568" t="s">
        <v>17</v>
      </c>
      <c r="I6568" s="3">
        <v>40</v>
      </c>
      <c r="J6568" s="2">
        <v>250</v>
      </c>
      <c r="K6568" s="3">
        <f t="shared" si="102"/>
        <v>10000</v>
      </c>
      <c r="L6568" s="3">
        <v>6500</v>
      </c>
    </row>
    <row r="6569" spans="1:12" x14ac:dyDescent="0.25">
      <c r="A6569" t="s">
        <v>26</v>
      </c>
      <c r="B6569">
        <v>1128299</v>
      </c>
      <c r="C6569" s="1">
        <v>44482</v>
      </c>
      <c r="D6569" t="s">
        <v>32</v>
      </c>
      <c r="E6569" t="s">
        <v>44</v>
      </c>
      <c r="F6569" t="s">
        <v>45</v>
      </c>
      <c r="G6569" t="s">
        <v>41</v>
      </c>
      <c r="H6569" t="s">
        <v>38</v>
      </c>
      <c r="I6569" s="3">
        <v>45.000000000000014</v>
      </c>
      <c r="J6569" s="2">
        <v>525</v>
      </c>
      <c r="K6569" s="3">
        <f t="shared" si="102"/>
        <v>23625.000000000007</v>
      </c>
      <c r="L6569" s="3">
        <v>14175.000000000005</v>
      </c>
    </row>
    <row r="6570" spans="1:12" x14ac:dyDescent="0.25">
      <c r="A6570" t="s">
        <v>26</v>
      </c>
      <c r="B6570">
        <v>1128299</v>
      </c>
      <c r="C6570" s="1">
        <v>44482</v>
      </c>
      <c r="D6570" t="s">
        <v>32</v>
      </c>
      <c r="E6570" t="s">
        <v>44</v>
      </c>
      <c r="F6570" t="s">
        <v>45</v>
      </c>
      <c r="G6570" t="s">
        <v>41</v>
      </c>
      <c r="H6570" t="s">
        <v>17</v>
      </c>
      <c r="I6570" s="3">
        <v>50.000000000000014</v>
      </c>
      <c r="J6570" s="2">
        <v>525</v>
      </c>
      <c r="K6570" s="3">
        <f t="shared" si="102"/>
        <v>26250.000000000007</v>
      </c>
      <c r="L6570" s="3">
        <v>15750.000000000004</v>
      </c>
    </row>
    <row r="6571" spans="1:12" x14ac:dyDescent="0.25">
      <c r="A6571" t="s">
        <v>26</v>
      </c>
      <c r="B6571">
        <v>1128299</v>
      </c>
      <c r="C6571" s="1">
        <v>44482</v>
      </c>
      <c r="D6571" t="s">
        <v>32</v>
      </c>
      <c r="E6571" t="s">
        <v>44</v>
      </c>
      <c r="F6571" t="s">
        <v>45</v>
      </c>
      <c r="G6571" t="s">
        <v>41</v>
      </c>
      <c r="H6571" t="s">
        <v>37</v>
      </c>
      <c r="I6571" s="3">
        <v>45.000000000000014</v>
      </c>
      <c r="J6571" s="2">
        <v>325</v>
      </c>
      <c r="K6571" s="3">
        <f t="shared" si="102"/>
        <v>14625.000000000005</v>
      </c>
      <c r="L6571" s="3">
        <v>8775.0000000000036</v>
      </c>
    </row>
    <row r="6572" spans="1:12" x14ac:dyDescent="0.25">
      <c r="A6572" t="s">
        <v>26</v>
      </c>
      <c r="B6572">
        <v>1197831</v>
      </c>
      <c r="C6572" s="1">
        <v>44482</v>
      </c>
      <c r="D6572" t="s">
        <v>52</v>
      </c>
      <c r="E6572" t="s">
        <v>53</v>
      </c>
      <c r="F6572" t="s">
        <v>54</v>
      </c>
      <c r="G6572" t="s">
        <v>15</v>
      </c>
      <c r="H6572" t="s">
        <v>37</v>
      </c>
      <c r="I6572" s="3">
        <v>65</v>
      </c>
      <c r="J6572" s="2">
        <v>500</v>
      </c>
      <c r="K6572" s="3">
        <f t="shared" si="102"/>
        <v>32500</v>
      </c>
      <c r="L6572" s="3">
        <v>16250</v>
      </c>
    </row>
    <row r="6573" spans="1:12" x14ac:dyDescent="0.25">
      <c r="A6573" t="s">
        <v>26</v>
      </c>
      <c r="B6573">
        <v>1128299</v>
      </c>
      <c r="C6573" s="1">
        <v>44482</v>
      </c>
      <c r="D6573" t="s">
        <v>32</v>
      </c>
      <c r="E6573" t="s">
        <v>44</v>
      </c>
      <c r="F6573" t="s">
        <v>45</v>
      </c>
      <c r="G6573" t="s">
        <v>15</v>
      </c>
      <c r="H6573" t="s">
        <v>16</v>
      </c>
      <c r="I6573" s="3">
        <v>46</v>
      </c>
      <c r="J6573" s="2">
        <v>109</v>
      </c>
      <c r="K6573" s="3">
        <f t="shared" si="102"/>
        <v>5014</v>
      </c>
      <c r="L6573" s="3">
        <v>3459.66</v>
      </c>
    </row>
    <row r="6574" spans="1:12" x14ac:dyDescent="0.25">
      <c r="A6574" t="s">
        <v>26</v>
      </c>
      <c r="B6574">
        <v>1128299</v>
      </c>
      <c r="C6574" s="1">
        <v>44482</v>
      </c>
      <c r="D6574" t="s">
        <v>32</v>
      </c>
      <c r="E6574" t="s">
        <v>44</v>
      </c>
      <c r="F6574" t="s">
        <v>45</v>
      </c>
      <c r="G6574" t="s">
        <v>15</v>
      </c>
      <c r="H6574" t="s">
        <v>35</v>
      </c>
      <c r="I6574" s="3">
        <v>32</v>
      </c>
      <c r="J6574" s="2">
        <v>123</v>
      </c>
      <c r="K6574" s="3">
        <f t="shared" si="102"/>
        <v>3936</v>
      </c>
      <c r="L6574" s="3">
        <v>2440.3199999999997</v>
      </c>
    </row>
    <row r="6575" spans="1:12" x14ac:dyDescent="0.25">
      <c r="A6575" t="s">
        <v>26</v>
      </c>
      <c r="B6575">
        <v>1128299</v>
      </c>
      <c r="C6575" s="1">
        <v>44482</v>
      </c>
      <c r="D6575" t="s">
        <v>32</v>
      </c>
      <c r="E6575" t="s">
        <v>44</v>
      </c>
      <c r="F6575" t="s">
        <v>45</v>
      </c>
      <c r="G6575" t="s">
        <v>41</v>
      </c>
      <c r="H6575" t="s">
        <v>16</v>
      </c>
      <c r="I6575" s="3">
        <v>64</v>
      </c>
      <c r="J6575" s="2">
        <v>102</v>
      </c>
      <c r="K6575" s="3">
        <f t="shared" si="102"/>
        <v>6528</v>
      </c>
      <c r="L6575" s="3">
        <v>3982.08</v>
      </c>
    </row>
    <row r="6576" spans="1:12" x14ac:dyDescent="0.25">
      <c r="A6576" t="s">
        <v>26</v>
      </c>
      <c r="B6576">
        <v>1128299</v>
      </c>
      <c r="C6576" s="1">
        <v>44482</v>
      </c>
      <c r="D6576" t="s">
        <v>32</v>
      </c>
      <c r="E6576" t="s">
        <v>44</v>
      </c>
      <c r="F6576" t="s">
        <v>45</v>
      </c>
      <c r="G6576" t="s">
        <v>15</v>
      </c>
      <c r="H6576" t="s">
        <v>22</v>
      </c>
      <c r="I6576" s="3">
        <v>41</v>
      </c>
      <c r="J6576" s="2">
        <v>102</v>
      </c>
      <c r="K6576" s="3">
        <f t="shared" si="102"/>
        <v>4182</v>
      </c>
      <c r="L6576" s="3">
        <v>2509.1999999999998</v>
      </c>
    </row>
    <row r="6577" spans="1:12" x14ac:dyDescent="0.25">
      <c r="A6577" t="s">
        <v>36</v>
      </c>
      <c r="B6577">
        <v>1185732</v>
      </c>
      <c r="C6577" s="1">
        <v>44482</v>
      </c>
      <c r="D6577" t="s">
        <v>52</v>
      </c>
      <c r="E6577" t="s">
        <v>99</v>
      </c>
      <c r="F6577" t="s">
        <v>100</v>
      </c>
      <c r="G6577" t="s">
        <v>15</v>
      </c>
      <c r="H6577" t="s">
        <v>17</v>
      </c>
      <c r="I6577" s="3">
        <v>30</v>
      </c>
      <c r="J6577" s="2">
        <v>88</v>
      </c>
      <c r="K6577" s="3">
        <f t="shared" si="102"/>
        <v>2640</v>
      </c>
      <c r="L6577" s="3">
        <v>1557.6000000000001</v>
      </c>
    </row>
    <row r="6578" spans="1:12" x14ac:dyDescent="0.25">
      <c r="A6578" t="s">
        <v>26</v>
      </c>
      <c r="B6578">
        <v>1128299</v>
      </c>
      <c r="C6578" s="1">
        <v>44482</v>
      </c>
      <c r="D6578" t="s">
        <v>32</v>
      </c>
      <c r="E6578" t="s">
        <v>44</v>
      </c>
      <c r="F6578" t="s">
        <v>45</v>
      </c>
      <c r="G6578" t="s">
        <v>15</v>
      </c>
      <c r="H6578" t="s">
        <v>17</v>
      </c>
      <c r="I6578" s="3">
        <v>34</v>
      </c>
      <c r="J6578" s="2">
        <v>173</v>
      </c>
      <c r="K6578" s="3">
        <f t="shared" si="102"/>
        <v>5882</v>
      </c>
      <c r="L6578" s="3">
        <v>3411.56</v>
      </c>
    </row>
    <row r="6579" spans="1:12" x14ac:dyDescent="0.25">
      <c r="A6579" t="s">
        <v>26</v>
      </c>
      <c r="B6579">
        <v>1128299</v>
      </c>
      <c r="C6579" s="1">
        <v>44482</v>
      </c>
      <c r="D6579" t="s">
        <v>32</v>
      </c>
      <c r="E6579" t="s">
        <v>44</v>
      </c>
      <c r="F6579" t="s">
        <v>45</v>
      </c>
      <c r="G6579" t="s">
        <v>15</v>
      </c>
      <c r="H6579" t="s">
        <v>37</v>
      </c>
      <c r="I6579" s="3">
        <v>32</v>
      </c>
      <c r="J6579" s="2">
        <v>114</v>
      </c>
      <c r="K6579" s="3">
        <f t="shared" si="102"/>
        <v>3648</v>
      </c>
      <c r="L6579" s="3">
        <v>2042.8799999999999</v>
      </c>
    </row>
    <row r="6580" spans="1:12" x14ac:dyDescent="0.25">
      <c r="A6580" t="s">
        <v>36</v>
      </c>
      <c r="B6580">
        <v>1185732</v>
      </c>
      <c r="C6580" s="1">
        <v>44482</v>
      </c>
      <c r="D6580" t="s">
        <v>52</v>
      </c>
      <c r="E6580" t="s">
        <v>99</v>
      </c>
      <c r="F6580" t="s">
        <v>100</v>
      </c>
      <c r="G6580" t="s">
        <v>41</v>
      </c>
      <c r="H6580" t="s">
        <v>17</v>
      </c>
      <c r="I6580" s="3">
        <v>38</v>
      </c>
      <c r="J6580" s="2">
        <v>75</v>
      </c>
      <c r="K6580" s="3">
        <f t="shared" si="102"/>
        <v>2850</v>
      </c>
      <c r="L6580" s="3">
        <v>1539</v>
      </c>
    </row>
    <row r="6581" spans="1:12" x14ac:dyDescent="0.25">
      <c r="A6581" t="s">
        <v>26</v>
      </c>
      <c r="B6581">
        <v>1128299</v>
      </c>
      <c r="C6581" s="1">
        <v>44482</v>
      </c>
      <c r="D6581" t="s">
        <v>32</v>
      </c>
      <c r="E6581" t="s">
        <v>44</v>
      </c>
      <c r="F6581" t="s">
        <v>45</v>
      </c>
      <c r="G6581" t="s">
        <v>41</v>
      </c>
      <c r="H6581" t="s">
        <v>22</v>
      </c>
      <c r="I6581" s="3">
        <v>50</v>
      </c>
      <c r="J6581" s="2">
        <v>90</v>
      </c>
      <c r="K6581" s="3">
        <f t="shared" si="102"/>
        <v>4500</v>
      </c>
      <c r="L6581" s="3">
        <v>2430</v>
      </c>
    </row>
    <row r="6582" spans="1:12" x14ac:dyDescent="0.25">
      <c r="A6582" t="s">
        <v>26</v>
      </c>
      <c r="B6582">
        <v>1128299</v>
      </c>
      <c r="C6582" s="1">
        <v>44482</v>
      </c>
      <c r="D6582" t="s">
        <v>32</v>
      </c>
      <c r="E6582" t="s">
        <v>44</v>
      </c>
      <c r="F6582" t="s">
        <v>45</v>
      </c>
      <c r="G6582" t="s">
        <v>15</v>
      </c>
      <c r="H6582" t="s">
        <v>38</v>
      </c>
      <c r="I6582" s="3">
        <v>34</v>
      </c>
      <c r="J6582" s="2">
        <v>173</v>
      </c>
      <c r="K6582" s="3">
        <f t="shared" si="102"/>
        <v>5882</v>
      </c>
      <c r="L6582" s="3">
        <v>3176.2799999999997</v>
      </c>
    </row>
    <row r="6583" spans="1:12" x14ac:dyDescent="0.25">
      <c r="A6583" t="s">
        <v>26</v>
      </c>
      <c r="B6583">
        <v>1128299</v>
      </c>
      <c r="C6583" s="1">
        <v>44482</v>
      </c>
      <c r="D6583" t="s">
        <v>32</v>
      </c>
      <c r="E6583" t="s">
        <v>44</v>
      </c>
      <c r="F6583" t="s">
        <v>45</v>
      </c>
      <c r="G6583" t="s">
        <v>41</v>
      </c>
      <c r="H6583" t="s">
        <v>35</v>
      </c>
      <c r="I6583" s="3">
        <v>42</v>
      </c>
      <c r="J6583" s="2">
        <v>105</v>
      </c>
      <c r="K6583" s="3">
        <f t="shared" si="102"/>
        <v>4410</v>
      </c>
      <c r="L6583" s="3">
        <v>2337.3000000000002</v>
      </c>
    </row>
    <row r="6584" spans="1:12" x14ac:dyDescent="0.25">
      <c r="A6584" t="s">
        <v>26</v>
      </c>
      <c r="B6584">
        <v>1128299</v>
      </c>
      <c r="C6584" s="1">
        <v>44482</v>
      </c>
      <c r="D6584" t="s">
        <v>32</v>
      </c>
      <c r="E6584" t="s">
        <v>44</v>
      </c>
      <c r="F6584" t="s">
        <v>45</v>
      </c>
      <c r="G6584" t="s">
        <v>41</v>
      </c>
      <c r="H6584" t="s">
        <v>37</v>
      </c>
      <c r="I6584" s="3">
        <v>44</v>
      </c>
      <c r="J6584" s="2">
        <v>88</v>
      </c>
      <c r="K6584" s="3">
        <f t="shared" si="102"/>
        <v>3872</v>
      </c>
      <c r="L6584" s="3">
        <v>1936</v>
      </c>
    </row>
    <row r="6585" spans="1:12" x14ac:dyDescent="0.25">
      <c r="A6585" t="s">
        <v>26</v>
      </c>
      <c r="B6585">
        <v>1128299</v>
      </c>
      <c r="C6585" s="1">
        <v>44482</v>
      </c>
      <c r="D6585" t="s">
        <v>32</v>
      </c>
      <c r="E6585" t="s">
        <v>44</v>
      </c>
      <c r="F6585" t="s">
        <v>45</v>
      </c>
      <c r="G6585" t="s">
        <v>41</v>
      </c>
      <c r="H6585" t="s">
        <v>38</v>
      </c>
      <c r="I6585" s="3">
        <v>42</v>
      </c>
      <c r="J6585" s="2">
        <v>131</v>
      </c>
      <c r="K6585" s="3">
        <f t="shared" si="102"/>
        <v>5502</v>
      </c>
      <c r="L6585" s="3">
        <v>2695.98</v>
      </c>
    </row>
    <row r="6586" spans="1:12" x14ac:dyDescent="0.25">
      <c r="A6586" t="s">
        <v>26</v>
      </c>
      <c r="B6586">
        <v>1128299</v>
      </c>
      <c r="C6586" s="1">
        <v>44482</v>
      </c>
      <c r="D6586" t="s">
        <v>32</v>
      </c>
      <c r="E6586" t="s">
        <v>44</v>
      </c>
      <c r="F6586" t="s">
        <v>45</v>
      </c>
      <c r="G6586" t="s">
        <v>41</v>
      </c>
      <c r="H6586" t="s">
        <v>17</v>
      </c>
      <c r="I6586" s="3">
        <v>47</v>
      </c>
      <c r="J6586" s="2">
        <v>142</v>
      </c>
      <c r="K6586" s="3">
        <f t="shared" si="102"/>
        <v>6674</v>
      </c>
      <c r="L6586" s="3">
        <v>3203.52</v>
      </c>
    </row>
    <row r="6587" spans="1:12" x14ac:dyDescent="0.25">
      <c r="A6587" t="s">
        <v>26</v>
      </c>
      <c r="B6587">
        <v>1197831</v>
      </c>
      <c r="C6587" s="1">
        <v>44482</v>
      </c>
      <c r="D6587" t="s">
        <v>52</v>
      </c>
      <c r="E6587" t="s">
        <v>53</v>
      </c>
      <c r="F6587" t="s">
        <v>54</v>
      </c>
      <c r="G6587" t="s">
        <v>15</v>
      </c>
      <c r="H6587" t="s">
        <v>37</v>
      </c>
      <c r="I6587" s="3">
        <v>50</v>
      </c>
      <c r="J6587" s="2">
        <v>160</v>
      </c>
      <c r="K6587" s="3">
        <f t="shared" si="102"/>
        <v>8000</v>
      </c>
      <c r="L6587" s="3">
        <v>3840</v>
      </c>
    </row>
    <row r="6588" spans="1:12" x14ac:dyDescent="0.25">
      <c r="A6588" t="s">
        <v>26</v>
      </c>
      <c r="B6588">
        <v>1197831</v>
      </c>
      <c r="C6588" s="1">
        <v>44482</v>
      </c>
      <c r="D6588" t="s">
        <v>52</v>
      </c>
      <c r="E6588" t="s">
        <v>53</v>
      </c>
      <c r="F6588" t="s">
        <v>54</v>
      </c>
      <c r="G6588" t="s">
        <v>41</v>
      </c>
      <c r="H6588" t="s">
        <v>37</v>
      </c>
      <c r="I6588" s="3">
        <v>59</v>
      </c>
      <c r="J6588" s="2">
        <v>145</v>
      </c>
      <c r="K6588" s="3">
        <f t="shared" si="102"/>
        <v>8555</v>
      </c>
      <c r="L6588" s="3">
        <v>3250.8999999999996</v>
      </c>
    </row>
    <row r="6589" spans="1:12" x14ac:dyDescent="0.25">
      <c r="A6589" t="s">
        <v>27</v>
      </c>
      <c r="B6589">
        <v>1197831</v>
      </c>
      <c r="C6589" s="1">
        <v>44483</v>
      </c>
      <c r="D6589" t="s">
        <v>57</v>
      </c>
      <c r="E6589" t="s">
        <v>72</v>
      </c>
      <c r="F6589" t="s">
        <v>73</v>
      </c>
      <c r="G6589" t="s">
        <v>41</v>
      </c>
      <c r="H6589" t="s">
        <v>17</v>
      </c>
      <c r="I6589" s="3">
        <v>20.000000000000011</v>
      </c>
      <c r="J6589" s="2">
        <v>325</v>
      </c>
      <c r="K6589" s="3">
        <f t="shared" si="102"/>
        <v>6500.0000000000036</v>
      </c>
      <c r="L6589" s="3">
        <v>4225.0000000000027</v>
      </c>
    </row>
    <row r="6590" spans="1:12" x14ac:dyDescent="0.25">
      <c r="A6590" t="s">
        <v>27</v>
      </c>
      <c r="B6590">
        <v>1197831</v>
      </c>
      <c r="C6590" s="1">
        <v>44483</v>
      </c>
      <c r="D6590" t="s">
        <v>57</v>
      </c>
      <c r="E6590" t="s">
        <v>72</v>
      </c>
      <c r="F6590" t="s">
        <v>73</v>
      </c>
      <c r="G6590" t="s">
        <v>41</v>
      </c>
      <c r="H6590" t="s">
        <v>38</v>
      </c>
      <c r="I6590" s="3">
        <v>30.000000000000011</v>
      </c>
      <c r="J6590" s="2">
        <v>500</v>
      </c>
      <c r="K6590" s="3">
        <f t="shared" si="102"/>
        <v>15000.000000000005</v>
      </c>
      <c r="L6590" s="3">
        <v>9750.0000000000036</v>
      </c>
    </row>
    <row r="6591" spans="1:12" x14ac:dyDescent="0.25">
      <c r="A6591" t="s">
        <v>27</v>
      </c>
      <c r="B6591">
        <v>1197831</v>
      </c>
      <c r="C6591" s="1">
        <v>44483</v>
      </c>
      <c r="D6591" t="s">
        <v>57</v>
      </c>
      <c r="E6591" t="s">
        <v>72</v>
      </c>
      <c r="F6591" t="s">
        <v>73</v>
      </c>
      <c r="G6591" t="s">
        <v>41</v>
      </c>
      <c r="H6591" t="s">
        <v>37</v>
      </c>
      <c r="I6591" s="3">
        <v>20.000000000000011</v>
      </c>
      <c r="J6591" s="2">
        <v>175</v>
      </c>
      <c r="K6591" s="3">
        <f t="shared" si="102"/>
        <v>3500.0000000000018</v>
      </c>
      <c r="L6591" s="3">
        <v>2275.0000000000014</v>
      </c>
    </row>
    <row r="6592" spans="1:12" x14ac:dyDescent="0.25">
      <c r="A6592" t="s">
        <v>27</v>
      </c>
      <c r="B6592">
        <v>1197831</v>
      </c>
      <c r="C6592" s="1">
        <v>44483</v>
      </c>
      <c r="D6592" t="s">
        <v>57</v>
      </c>
      <c r="E6592" t="s">
        <v>72</v>
      </c>
      <c r="F6592" t="s">
        <v>73</v>
      </c>
      <c r="G6592" t="s">
        <v>41</v>
      </c>
      <c r="H6592" t="s">
        <v>22</v>
      </c>
      <c r="I6592" s="3">
        <v>30.000000000000011</v>
      </c>
      <c r="J6592" s="2">
        <v>175</v>
      </c>
      <c r="K6592" s="3">
        <f t="shared" si="102"/>
        <v>5250.0000000000018</v>
      </c>
      <c r="L6592" s="3">
        <v>3412.5000000000014</v>
      </c>
    </row>
    <row r="6593" spans="1:12" x14ac:dyDescent="0.25">
      <c r="A6593" t="s">
        <v>19</v>
      </c>
      <c r="B6593">
        <v>1197831</v>
      </c>
      <c r="C6593" s="1">
        <v>44483</v>
      </c>
      <c r="D6593" t="s">
        <v>57</v>
      </c>
      <c r="E6593" t="s">
        <v>72</v>
      </c>
      <c r="F6593" t="s">
        <v>73</v>
      </c>
      <c r="G6593" t="s">
        <v>41</v>
      </c>
      <c r="H6593" t="s">
        <v>16</v>
      </c>
      <c r="I6593" s="3">
        <v>30.000000000000004</v>
      </c>
      <c r="J6593" s="2">
        <v>300</v>
      </c>
      <c r="K6593" s="3">
        <f t="shared" si="102"/>
        <v>9000.0000000000018</v>
      </c>
      <c r="L6593" s="3">
        <v>5850.0000000000018</v>
      </c>
    </row>
    <row r="6594" spans="1:12" x14ac:dyDescent="0.25">
      <c r="A6594" t="s">
        <v>26</v>
      </c>
      <c r="B6594">
        <v>1197831</v>
      </c>
      <c r="C6594" s="1">
        <v>44483</v>
      </c>
      <c r="D6594" t="s">
        <v>52</v>
      </c>
      <c r="E6594" t="s">
        <v>53</v>
      </c>
      <c r="F6594" t="s">
        <v>54</v>
      </c>
      <c r="G6594" t="s">
        <v>15</v>
      </c>
      <c r="H6594" t="s">
        <v>22</v>
      </c>
      <c r="I6594" s="3">
        <v>60</v>
      </c>
      <c r="J6594" s="2">
        <v>475</v>
      </c>
      <c r="K6594" s="3">
        <f t="shared" si="102"/>
        <v>28500</v>
      </c>
      <c r="L6594" s="3">
        <v>18525</v>
      </c>
    </row>
    <row r="6595" spans="1:12" x14ac:dyDescent="0.25">
      <c r="A6595" t="s">
        <v>27</v>
      </c>
      <c r="B6595">
        <v>1197831</v>
      </c>
      <c r="C6595" s="1">
        <v>44483</v>
      </c>
      <c r="D6595" t="s">
        <v>57</v>
      </c>
      <c r="E6595" t="s">
        <v>72</v>
      </c>
      <c r="F6595" t="s">
        <v>73</v>
      </c>
      <c r="G6595" t="s">
        <v>41</v>
      </c>
      <c r="H6595" t="s">
        <v>35</v>
      </c>
      <c r="I6595" s="3">
        <v>20.000000000000011</v>
      </c>
      <c r="J6595" s="2">
        <v>200</v>
      </c>
      <c r="K6595" s="3">
        <f t="shared" ref="K6595:K6658" si="103">I6595*J6595</f>
        <v>4000.0000000000023</v>
      </c>
      <c r="L6595" s="3">
        <v>2600.0000000000014</v>
      </c>
    </row>
    <row r="6596" spans="1:12" x14ac:dyDescent="0.25">
      <c r="A6596" t="s">
        <v>36</v>
      </c>
      <c r="B6596">
        <v>1185732</v>
      </c>
      <c r="C6596" s="1">
        <v>44483</v>
      </c>
      <c r="D6596" t="s">
        <v>52</v>
      </c>
      <c r="E6596" t="s">
        <v>99</v>
      </c>
      <c r="F6596" t="s">
        <v>100</v>
      </c>
      <c r="G6596" t="s">
        <v>15</v>
      </c>
      <c r="H6596" t="s">
        <v>35</v>
      </c>
      <c r="I6596" s="3">
        <v>30.000000000000004</v>
      </c>
      <c r="J6596" s="2">
        <v>250</v>
      </c>
      <c r="K6596" s="3">
        <f t="shared" si="103"/>
        <v>7500.0000000000009</v>
      </c>
      <c r="L6596" s="3">
        <v>4500.0000000000018</v>
      </c>
    </row>
    <row r="6597" spans="1:12" x14ac:dyDescent="0.25">
      <c r="A6597" t="s">
        <v>26</v>
      </c>
      <c r="B6597">
        <v>1197831</v>
      </c>
      <c r="C6597" s="1">
        <v>44483</v>
      </c>
      <c r="D6597" t="s">
        <v>52</v>
      </c>
      <c r="E6597" t="s">
        <v>53</v>
      </c>
      <c r="F6597" t="s">
        <v>54</v>
      </c>
      <c r="G6597" t="s">
        <v>15</v>
      </c>
      <c r="H6597" t="s">
        <v>22</v>
      </c>
      <c r="I6597" s="3">
        <v>46</v>
      </c>
      <c r="J6597" s="2">
        <v>162</v>
      </c>
      <c r="K6597" s="3">
        <f t="shared" si="103"/>
        <v>7452</v>
      </c>
      <c r="L6597" s="3">
        <v>4545.72</v>
      </c>
    </row>
    <row r="6598" spans="1:12" x14ac:dyDescent="0.25">
      <c r="A6598" t="s">
        <v>36</v>
      </c>
      <c r="B6598">
        <v>1185732</v>
      </c>
      <c r="C6598" s="1">
        <v>44483</v>
      </c>
      <c r="D6598" t="s">
        <v>52</v>
      </c>
      <c r="E6598" t="s">
        <v>99</v>
      </c>
      <c r="F6598" t="s">
        <v>100</v>
      </c>
      <c r="G6598" t="s">
        <v>15</v>
      </c>
      <c r="H6598" t="s">
        <v>35</v>
      </c>
      <c r="I6598" s="3">
        <v>23</v>
      </c>
      <c r="J6598" s="2">
        <v>83</v>
      </c>
      <c r="K6598" s="3">
        <f t="shared" si="103"/>
        <v>1909</v>
      </c>
      <c r="L6598" s="3">
        <v>1107.22</v>
      </c>
    </row>
    <row r="6599" spans="1:12" x14ac:dyDescent="0.25">
      <c r="A6599" t="s">
        <v>27</v>
      </c>
      <c r="B6599">
        <v>1197831</v>
      </c>
      <c r="C6599" s="1">
        <v>44483</v>
      </c>
      <c r="D6599" t="s">
        <v>57</v>
      </c>
      <c r="E6599" t="s">
        <v>72</v>
      </c>
      <c r="F6599" t="s">
        <v>73</v>
      </c>
      <c r="G6599" t="s">
        <v>41</v>
      </c>
      <c r="H6599" t="s">
        <v>17</v>
      </c>
      <c r="I6599" s="3">
        <v>19</v>
      </c>
      <c r="J6599" s="2">
        <v>85</v>
      </c>
      <c r="K6599" s="3">
        <f t="shared" si="103"/>
        <v>1615</v>
      </c>
      <c r="L6599" s="3">
        <v>872.1</v>
      </c>
    </row>
    <row r="6600" spans="1:12" x14ac:dyDescent="0.25">
      <c r="A6600" t="s">
        <v>27</v>
      </c>
      <c r="B6600">
        <v>1197831</v>
      </c>
      <c r="C6600" s="1">
        <v>44483</v>
      </c>
      <c r="D6600" t="s">
        <v>57</v>
      </c>
      <c r="E6600" t="s">
        <v>72</v>
      </c>
      <c r="F6600" t="s">
        <v>73</v>
      </c>
      <c r="G6600" t="s">
        <v>41</v>
      </c>
      <c r="H6600" t="s">
        <v>38</v>
      </c>
      <c r="I6600" s="3">
        <v>29</v>
      </c>
      <c r="J6600" s="2">
        <v>145</v>
      </c>
      <c r="K6600" s="3">
        <f t="shared" si="103"/>
        <v>4205</v>
      </c>
      <c r="L6600" s="3">
        <v>2270.6999999999998</v>
      </c>
    </row>
    <row r="6601" spans="1:12" x14ac:dyDescent="0.25">
      <c r="A6601" t="s">
        <v>27</v>
      </c>
      <c r="B6601">
        <v>1197831</v>
      </c>
      <c r="C6601" s="1">
        <v>44483</v>
      </c>
      <c r="D6601" t="s">
        <v>57</v>
      </c>
      <c r="E6601" t="s">
        <v>72</v>
      </c>
      <c r="F6601" t="s">
        <v>73</v>
      </c>
      <c r="G6601" t="s">
        <v>41</v>
      </c>
      <c r="H6601" t="s">
        <v>35</v>
      </c>
      <c r="I6601" s="3">
        <v>19</v>
      </c>
      <c r="J6601" s="2">
        <v>60</v>
      </c>
      <c r="K6601" s="3">
        <f t="shared" si="103"/>
        <v>1140</v>
      </c>
      <c r="L6601" s="3">
        <v>604.20000000000005</v>
      </c>
    </row>
    <row r="6602" spans="1:12" x14ac:dyDescent="0.25">
      <c r="A6602" t="s">
        <v>26</v>
      </c>
      <c r="B6602">
        <v>1197831</v>
      </c>
      <c r="C6602" s="1">
        <v>44483</v>
      </c>
      <c r="D6602" t="s">
        <v>52</v>
      </c>
      <c r="E6602" t="s">
        <v>53</v>
      </c>
      <c r="F6602" t="s">
        <v>54</v>
      </c>
      <c r="G6602" t="s">
        <v>41</v>
      </c>
      <c r="H6602" t="s">
        <v>22</v>
      </c>
      <c r="I6602" s="3">
        <v>56</v>
      </c>
      <c r="J6602" s="2">
        <v>138</v>
      </c>
      <c r="K6602" s="3">
        <f t="shared" si="103"/>
        <v>7728</v>
      </c>
      <c r="L6602" s="3">
        <v>4018.56</v>
      </c>
    </row>
    <row r="6603" spans="1:12" x14ac:dyDescent="0.25">
      <c r="A6603" t="s">
        <v>27</v>
      </c>
      <c r="B6603">
        <v>1197831</v>
      </c>
      <c r="C6603" s="1">
        <v>44483</v>
      </c>
      <c r="D6603" t="s">
        <v>57</v>
      </c>
      <c r="E6603" t="s">
        <v>72</v>
      </c>
      <c r="F6603" t="s">
        <v>73</v>
      </c>
      <c r="G6603" t="s">
        <v>41</v>
      </c>
      <c r="H6603" t="s">
        <v>37</v>
      </c>
      <c r="I6603" s="3">
        <v>19</v>
      </c>
      <c r="J6603" s="2">
        <v>47</v>
      </c>
      <c r="K6603" s="3">
        <f t="shared" si="103"/>
        <v>893</v>
      </c>
      <c r="L6603" s="3">
        <v>464.36</v>
      </c>
    </row>
    <row r="6604" spans="1:12" x14ac:dyDescent="0.25">
      <c r="A6604" t="s">
        <v>19</v>
      </c>
      <c r="B6604">
        <v>1197831</v>
      </c>
      <c r="C6604" s="1">
        <v>44483</v>
      </c>
      <c r="D6604" t="s">
        <v>57</v>
      </c>
      <c r="E6604" t="s">
        <v>72</v>
      </c>
      <c r="F6604" t="s">
        <v>73</v>
      </c>
      <c r="G6604" t="s">
        <v>41</v>
      </c>
      <c r="H6604" t="s">
        <v>16</v>
      </c>
      <c r="I6604" s="3">
        <v>28</v>
      </c>
      <c r="J6604" s="2">
        <v>90</v>
      </c>
      <c r="K6604" s="3">
        <f t="shared" si="103"/>
        <v>2520</v>
      </c>
      <c r="L6604" s="3">
        <v>1310.4000000000001</v>
      </c>
    </row>
    <row r="6605" spans="1:12" x14ac:dyDescent="0.25">
      <c r="A6605" t="s">
        <v>27</v>
      </c>
      <c r="B6605">
        <v>1197831</v>
      </c>
      <c r="C6605" s="1">
        <v>44483</v>
      </c>
      <c r="D6605" t="s">
        <v>57</v>
      </c>
      <c r="E6605" t="s">
        <v>72</v>
      </c>
      <c r="F6605" t="s">
        <v>73</v>
      </c>
      <c r="G6605" t="s">
        <v>41</v>
      </c>
      <c r="H6605" t="s">
        <v>22</v>
      </c>
      <c r="I6605" s="3">
        <v>29</v>
      </c>
      <c r="J6605" s="2">
        <v>46</v>
      </c>
      <c r="K6605" s="3">
        <f t="shared" si="103"/>
        <v>1334</v>
      </c>
      <c r="L6605" s="3">
        <v>680.34</v>
      </c>
    </row>
    <row r="6606" spans="1:12" x14ac:dyDescent="0.25">
      <c r="A6606" t="s">
        <v>36</v>
      </c>
      <c r="B6606">
        <v>1185732</v>
      </c>
      <c r="C6606" s="1">
        <v>44483</v>
      </c>
      <c r="D6606" t="s">
        <v>52</v>
      </c>
      <c r="E6606" t="s">
        <v>99</v>
      </c>
      <c r="F6606" t="s">
        <v>100</v>
      </c>
      <c r="G6606" t="s">
        <v>41</v>
      </c>
      <c r="H6606" t="s">
        <v>35</v>
      </c>
      <c r="I6606" s="3">
        <v>28</v>
      </c>
      <c r="J6606" s="2">
        <v>63</v>
      </c>
      <c r="K6606" s="3">
        <f t="shared" si="103"/>
        <v>1764</v>
      </c>
      <c r="L6606" s="3">
        <v>846.71999999999991</v>
      </c>
    </row>
    <row r="6607" spans="1:12" x14ac:dyDescent="0.25">
      <c r="A6607" t="s">
        <v>26</v>
      </c>
      <c r="B6607">
        <v>1185732</v>
      </c>
      <c r="C6607" s="1">
        <v>44484</v>
      </c>
      <c r="D6607" t="s">
        <v>29</v>
      </c>
      <c r="E6607" t="s">
        <v>50</v>
      </c>
      <c r="F6607" t="s">
        <v>51</v>
      </c>
      <c r="G6607" t="s">
        <v>18</v>
      </c>
      <c r="H6607" t="s">
        <v>35</v>
      </c>
      <c r="I6607" s="3">
        <v>55.000000000000007</v>
      </c>
      <c r="J6607" s="2">
        <v>125</v>
      </c>
      <c r="K6607" s="3">
        <f t="shared" si="103"/>
        <v>6875.0000000000009</v>
      </c>
      <c r="L6607" s="3">
        <v>5156.2500000000018</v>
      </c>
    </row>
    <row r="6608" spans="1:12" x14ac:dyDescent="0.25">
      <c r="A6608" t="s">
        <v>26</v>
      </c>
      <c r="B6608">
        <v>1185732</v>
      </c>
      <c r="C6608" s="1">
        <v>44484</v>
      </c>
      <c r="D6608" t="s">
        <v>29</v>
      </c>
      <c r="E6608" t="s">
        <v>50</v>
      </c>
      <c r="F6608" t="s">
        <v>51</v>
      </c>
      <c r="G6608" t="s">
        <v>18</v>
      </c>
      <c r="H6608" t="s">
        <v>37</v>
      </c>
      <c r="I6608" s="3">
        <v>55.000000000000007</v>
      </c>
      <c r="J6608" s="2">
        <v>100</v>
      </c>
      <c r="K6608" s="3">
        <f t="shared" si="103"/>
        <v>5500.0000000000009</v>
      </c>
      <c r="L6608" s="3">
        <v>4125.0000000000009</v>
      </c>
    </row>
    <row r="6609" spans="1:12" x14ac:dyDescent="0.25">
      <c r="A6609" t="s">
        <v>26</v>
      </c>
      <c r="B6609">
        <v>1185732</v>
      </c>
      <c r="C6609" s="1">
        <v>44484</v>
      </c>
      <c r="D6609" t="s">
        <v>29</v>
      </c>
      <c r="E6609" t="s">
        <v>50</v>
      </c>
      <c r="F6609" t="s">
        <v>51</v>
      </c>
      <c r="G6609" t="s">
        <v>18</v>
      </c>
      <c r="H6609" t="s">
        <v>22</v>
      </c>
      <c r="I6609" s="3">
        <v>65</v>
      </c>
      <c r="J6609" s="2">
        <v>100</v>
      </c>
      <c r="K6609" s="3">
        <f t="shared" si="103"/>
        <v>6500</v>
      </c>
      <c r="L6609" s="3">
        <v>4875</v>
      </c>
    </row>
    <row r="6610" spans="1:12" x14ac:dyDescent="0.25">
      <c r="A6610" t="s">
        <v>36</v>
      </c>
      <c r="B6610">
        <v>1185732</v>
      </c>
      <c r="C6610" s="1">
        <v>44484</v>
      </c>
      <c r="D6610" t="s">
        <v>52</v>
      </c>
      <c r="E6610" t="s">
        <v>99</v>
      </c>
      <c r="F6610" t="s">
        <v>100</v>
      </c>
      <c r="G6610" t="s">
        <v>15</v>
      </c>
      <c r="H6610" t="s">
        <v>37</v>
      </c>
      <c r="I6610" s="3">
        <v>35</v>
      </c>
      <c r="J6610" s="2">
        <v>100</v>
      </c>
      <c r="K6610" s="3">
        <f t="shared" si="103"/>
        <v>3500</v>
      </c>
      <c r="L6610" s="3">
        <v>2450</v>
      </c>
    </row>
    <row r="6611" spans="1:12" x14ac:dyDescent="0.25">
      <c r="A6611" t="s">
        <v>19</v>
      </c>
      <c r="B6611">
        <v>1185732</v>
      </c>
      <c r="C6611" s="1">
        <v>44484</v>
      </c>
      <c r="D6611" t="s">
        <v>29</v>
      </c>
      <c r="E6611" t="s">
        <v>89</v>
      </c>
      <c r="F6611" t="s">
        <v>90</v>
      </c>
      <c r="G6611" t="s">
        <v>18</v>
      </c>
      <c r="H6611" t="s">
        <v>22</v>
      </c>
      <c r="I6611" s="3">
        <v>65</v>
      </c>
      <c r="J6611" s="2">
        <v>175</v>
      </c>
      <c r="K6611" s="3">
        <f t="shared" si="103"/>
        <v>11375</v>
      </c>
      <c r="L6611" s="3">
        <v>7962.5</v>
      </c>
    </row>
    <row r="6612" spans="1:12" x14ac:dyDescent="0.25">
      <c r="A6612" t="s">
        <v>26</v>
      </c>
      <c r="B6612">
        <v>1185732</v>
      </c>
      <c r="C6612" s="1">
        <v>44484</v>
      </c>
      <c r="D6612" t="s">
        <v>29</v>
      </c>
      <c r="E6612" t="s">
        <v>50</v>
      </c>
      <c r="F6612" t="s">
        <v>51</v>
      </c>
      <c r="G6612" t="s">
        <v>18</v>
      </c>
      <c r="H6612" t="s">
        <v>38</v>
      </c>
      <c r="I6612" s="3">
        <v>60</v>
      </c>
      <c r="J6612" s="2">
        <v>400</v>
      </c>
      <c r="K6612" s="3">
        <f t="shared" si="103"/>
        <v>24000</v>
      </c>
      <c r="L6612" s="3">
        <v>16800</v>
      </c>
    </row>
    <row r="6613" spans="1:12" x14ac:dyDescent="0.25">
      <c r="A6613" t="s">
        <v>26</v>
      </c>
      <c r="B6613">
        <v>1185732</v>
      </c>
      <c r="C6613" s="1">
        <v>44484</v>
      </c>
      <c r="D6613" t="s">
        <v>29</v>
      </c>
      <c r="E6613" t="s">
        <v>50</v>
      </c>
      <c r="F6613" t="s">
        <v>51</v>
      </c>
      <c r="G6613" t="s">
        <v>18</v>
      </c>
      <c r="H6613" t="s">
        <v>17</v>
      </c>
      <c r="I6613" s="3">
        <v>55.000000000000007</v>
      </c>
      <c r="J6613" s="2">
        <v>225</v>
      </c>
      <c r="K6613" s="3">
        <f t="shared" si="103"/>
        <v>12375.000000000002</v>
      </c>
      <c r="L6613" s="3">
        <v>8662.5000000000018</v>
      </c>
    </row>
    <row r="6614" spans="1:12" x14ac:dyDescent="0.25">
      <c r="A6614" t="s">
        <v>36</v>
      </c>
      <c r="B6614">
        <v>1185732</v>
      </c>
      <c r="C6614" s="1">
        <v>44484</v>
      </c>
      <c r="D6614" t="s">
        <v>29</v>
      </c>
      <c r="E6614" t="s">
        <v>50</v>
      </c>
      <c r="F6614" t="s">
        <v>51</v>
      </c>
      <c r="G6614" t="s">
        <v>18</v>
      </c>
      <c r="H6614" t="s">
        <v>16</v>
      </c>
      <c r="I6614" s="3">
        <v>70</v>
      </c>
      <c r="J6614" s="2">
        <v>225</v>
      </c>
      <c r="K6614" s="3">
        <f t="shared" si="103"/>
        <v>15750</v>
      </c>
      <c r="L6614" s="3">
        <v>11025</v>
      </c>
    </row>
    <row r="6615" spans="1:12" x14ac:dyDescent="0.25">
      <c r="A6615" t="s">
        <v>19</v>
      </c>
      <c r="B6615">
        <v>1185732</v>
      </c>
      <c r="C6615" s="1">
        <v>44484</v>
      </c>
      <c r="D6615" t="s">
        <v>29</v>
      </c>
      <c r="E6615" t="s">
        <v>89</v>
      </c>
      <c r="F6615" t="s">
        <v>90</v>
      </c>
      <c r="G6615" t="s">
        <v>18</v>
      </c>
      <c r="H6615" t="s">
        <v>17</v>
      </c>
      <c r="I6615" s="3">
        <v>55.000000000000007</v>
      </c>
      <c r="J6615" s="2">
        <v>300</v>
      </c>
      <c r="K6615" s="3">
        <f t="shared" si="103"/>
        <v>16500.000000000004</v>
      </c>
      <c r="L6615" s="3">
        <v>10725.000000000004</v>
      </c>
    </row>
    <row r="6616" spans="1:12" x14ac:dyDescent="0.25">
      <c r="A6616" t="s">
        <v>19</v>
      </c>
      <c r="B6616">
        <v>1185732</v>
      </c>
      <c r="C6616" s="1">
        <v>44484</v>
      </c>
      <c r="D6616" t="s">
        <v>29</v>
      </c>
      <c r="E6616" t="s">
        <v>89</v>
      </c>
      <c r="F6616" t="s">
        <v>90</v>
      </c>
      <c r="G6616" t="s">
        <v>18</v>
      </c>
      <c r="H6616" t="s">
        <v>38</v>
      </c>
      <c r="I6616" s="3">
        <v>60</v>
      </c>
      <c r="J6616" s="2">
        <v>475</v>
      </c>
      <c r="K6616" s="3">
        <f t="shared" si="103"/>
        <v>28500</v>
      </c>
      <c r="L6616" s="3">
        <v>18525</v>
      </c>
    </row>
    <row r="6617" spans="1:12" x14ac:dyDescent="0.25">
      <c r="A6617" t="s">
        <v>19</v>
      </c>
      <c r="B6617">
        <v>1185732</v>
      </c>
      <c r="C6617" s="1">
        <v>44484</v>
      </c>
      <c r="D6617" t="s">
        <v>29</v>
      </c>
      <c r="E6617" t="s">
        <v>89</v>
      </c>
      <c r="F6617" t="s">
        <v>90</v>
      </c>
      <c r="G6617" t="s">
        <v>18</v>
      </c>
      <c r="H6617" t="s">
        <v>37</v>
      </c>
      <c r="I6617" s="3">
        <v>55.000000000000007</v>
      </c>
      <c r="J6617" s="2">
        <v>175</v>
      </c>
      <c r="K6617" s="3">
        <f t="shared" si="103"/>
        <v>9625.0000000000018</v>
      </c>
      <c r="L6617" s="3">
        <v>5775.0000000000009</v>
      </c>
    </row>
    <row r="6618" spans="1:12" x14ac:dyDescent="0.25">
      <c r="A6618" t="s">
        <v>27</v>
      </c>
      <c r="B6618">
        <v>1185732</v>
      </c>
      <c r="C6618" s="1">
        <v>44484</v>
      </c>
      <c r="D6618" t="s">
        <v>29</v>
      </c>
      <c r="E6618" t="s">
        <v>89</v>
      </c>
      <c r="F6618" t="s">
        <v>90</v>
      </c>
      <c r="G6618" t="s">
        <v>18</v>
      </c>
      <c r="H6618" t="s">
        <v>16</v>
      </c>
      <c r="I6618" s="3">
        <v>70</v>
      </c>
      <c r="J6618" s="2">
        <v>300</v>
      </c>
      <c r="K6618" s="3">
        <f t="shared" si="103"/>
        <v>21000</v>
      </c>
      <c r="L6618" s="3">
        <v>12600</v>
      </c>
    </row>
    <row r="6619" spans="1:12" x14ac:dyDescent="0.25">
      <c r="A6619" t="s">
        <v>19</v>
      </c>
      <c r="B6619">
        <v>1185732</v>
      </c>
      <c r="C6619" s="1">
        <v>44484</v>
      </c>
      <c r="D6619" t="s">
        <v>29</v>
      </c>
      <c r="E6619" t="s">
        <v>89</v>
      </c>
      <c r="F6619" t="s">
        <v>90</v>
      </c>
      <c r="G6619" t="s">
        <v>18</v>
      </c>
      <c r="H6619" t="s">
        <v>35</v>
      </c>
      <c r="I6619" s="3">
        <v>55.000000000000007</v>
      </c>
      <c r="J6619" s="2">
        <v>200</v>
      </c>
      <c r="K6619" s="3">
        <f t="shared" si="103"/>
        <v>11000.000000000002</v>
      </c>
      <c r="L6619" s="3">
        <v>6600</v>
      </c>
    </row>
    <row r="6620" spans="1:12" x14ac:dyDescent="0.25">
      <c r="A6620" t="s">
        <v>26</v>
      </c>
      <c r="B6620">
        <v>1197831</v>
      </c>
      <c r="C6620" s="1">
        <v>44484</v>
      </c>
      <c r="D6620" t="s">
        <v>52</v>
      </c>
      <c r="E6620" t="s">
        <v>53</v>
      </c>
      <c r="F6620" t="s">
        <v>54</v>
      </c>
      <c r="G6620" t="s">
        <v>15</v>
      </c>
      <c r="H6620" t="s">
        <v>16</v>
      </c>
      <c r="I6620" s="3">
        <v>70</v>
      </c>
      <c r="J6620" s="2">
        <v>675</v>
      </c>
      <c r="K6620" s="3">
        <f t="shared" si="103"/>
        <v>47250</v>
      </c>
      <c r="L6620" s="3">
        <v>21262.499999999996</v>
      </c>
    </row>
    <row r="6621" spans="1:12" x14ac:dyDescent="0.25">
      <c r="A6621" t="s">
        <v>26</v>
      </c>
      <c r="B6621">
        <v>1185732</v>
      </c>
      <c r="C6621" s="1">
        <v>44484</v>
      </c>
      <c r="D6621" t="s">
        <v>29</v>
      </c>
      <c r="E6621" t="s">
        <v>50</v>
      </c>
      <c r="F6621" t="s">
        <v>51</v>
      </c>
      <c r="G6621" t="s">
        <v>15</v>
      </c>
      <c r="H6621" t="s">
        <v>37</v>
      </c>
      <c r="I6621" s="3">
        <v>38</v>
      </c>
      <c r="J6621" s="2">
        <v>32</v>
      </c>
      <c r="K6621" s="3">
        <f t="shared" si="103"/>
        <v>1216</v>
      </c>
      <c r="L6621" s="3">
        <v>887.68</v>
      </c>
    </row>
    <row r="6622" spans="1:12" x14ac:dyDescent="0.25">
      <c r="A6622" t="s">
        <v>26</v>
      </c>
      <c r="B6622">
        <v>1185732</v>
      </c>
      <c r="C6622" s="1">
        <v>44484</v>
      </c>
      <c r="D6622" t="s">
        <v>29</v>
      </c>
      <c r="E6622" t="s">
        <v>50</v>
      </c>
      <c r="F6622" t="s">
        <v>51</v>
      </c>
      <c r="G6622" t="s">
        <v>15</v>
      </c>
      <c r="H6622" t="s">
        <v>22</v>
      </c>
      <c r="I6622" s="3">
        <v>51</v>
      </c>
      <c r="J6622" s="2">
        <v>34</v>
      </c>
      <c r="K6622" s="3">
        <f t="shared" si="103"/>
        <v>1734</v>
      </c>
      <c r="L6622" s="3">
        <v>1248.48</v>
      </c>
    </row>
    <row r="6623" spans="1:12" x14ac:dyDescent="0.25">
      <c r="A6623" t="s">
        <v>26</v>
      </c>
      <c r="B6623">
        <v>1185732</v>
      </c>
      <c r="C6623" s="1">
        <v>44484</v>
      </c>
      <c r="D6623" t="s">
        <v>29</v>
      </c>
      <c r="E6623" t="s">
        <v>50</v>
      </c>
      <c r="F6623" t="s">
        <v>51</v>
      </c>
      <c r="G6623" t="s">
        <v>15</v>
      </c>
      <c r="H6623" t="s">
        <v>35</v>
      </c>
      <c r="I6623" s="3">
        <v>41</v>
      </c>
      <c r="J6623" s="2">
        <v>38</v>
      </c>
      <c r="K6623" s="3">
        <f t="shared" si="103"/>
        <v>1558</v>
      </c>
      <c r="L6623" s="3">
        <v>1090.5999999999999</v>
      </c>
    </row>
    <row r="6624" spans="1:12" x14ac:dyDescent="0.25">
      <c r="A6624" t="s">
        <v>26</v>
      </c>
      <c r="B6624">
        <v>1185732</v>
      </c>
      <c r="C6624" s="1">
        <v>44484</v>
      </c>
      <c r="D6624" t="s">
        <v>29</v>
      </c>
      <c r="E6624" t="s">
        <v>50</v>
      </c>
      <c r="F6624" t="s">
        <v>51</v>
      </c>
      <c r="G6624" t="s">
        <v>15</v>
      </c>
      <c r="H6624" t="s">
        <v>38</v>
      </c>
      <c r="I6624" s="3">
        <v>40</v>
      </c>
      <c r="J6624" s="2">
        <v>132</v>
      </c>
      <c r="K6624" s="3">
        <f t="shared" si="103"/>
        <v>5280</v>
      </c>
      <c r="L6624" s="3">
        <v>3537.6000000000004</v>
      </c>
    </row>
    <row r="6625" spans="1:12" x14ac:dyDescent="0.25">
      <c r="A6625" t="s">
        <v>36</v>
      </c>
      <c r="B6625">
        <v>1185732</v>
      </c>
      <c r="C6625" s="1">
        <v>44484</v>
      </c>
      <c r="D6625" t="s">
        <v>52</v>
      </c>
      <c r="E6625" t="s">
        <v>99</v>
      </c>
      <c r="F6625" t="s">
        <v>100</v>
      </c>
      <c r="G6625" t="s">
        <v>15</v>
      </c>
      <c r="H6625" t="s">
        <v>37</v>
      </c>
      <c r="I6625" s="3">
        <v>25</v>
      </c>
      <c r="J6625" s="2">
        <v>30</v>
      </c>
      <c r="K6625" s="3">
        <f t="shared" si="103"/>
        <v>750</v>
      </c>
      <c r="L6625" s="3">
        <v>502.5</v>
      </c>
    </row>
    <row r="6626" spans="1:12" x14ac:dyDescent="0.25">
      <c r="A6626" t="s">
        <v>26</v>
      </c>
      <c r="B6626">
        <v>1185732</v>
      </c>
      <c r="C6626" s="1">
        <v>44484</v>
      </c>
      <c r="D6626" t="s">
        <v>29</v>
      </c>
      <c r="E6626" t="s">
        <v>50</v>
      </c>
      <c r="F6626" t="s">
        <v>51</v>
      </c>
      <c r="G6626" t="s">
        <v>41</v>
      </c>
      <c r="H6626" t="s">
        <v>35</v>
      </c>
      <c r="I6626" s="3">
        <v>53</v>
      </c>
      <c r="J6626" s="2">
        <v>34</v>
      </c>
      <c r="K6626" s="3">
        <f t="shared" si="103"/>
        <v>1802</v>
      </c>
      <c r="L6626" s="3">
        <v>1171.3000000000002</v>
      </c>
    </row>
    <row r="6627" spans="1:12" x14ac:dyDescent="0.25">
      <c r="A6627" t="s">
        <v>26</v>
      </c>
      <c r="B6627">
        <v>1185732</v>
      </c>
      <c r="C6627" s="1">
        <v>44484</v>
      </c>
      <c r="D6627" t="s">
        <v>29</v>
      </c>
      <c r="E6627" t="s">
        <v>50</v>
      </c>
      <c r="F6627" t="s">
        <v>51</v>
      </c>
      <c r="G6627" t="s">
        <v>15</v>
      </c>
      <c r="H6627" t="s">
        <v>17</v>
      </c>
      <c r="I6627" s="3">
        <v>37</v>
      </c>
      <c r="J6627" s="2">
        <v>68</v>
      </c>
      <c r="K6627" s="3">
        <f t="shared" si="103"/>
        <v>2516</v>
      </c>
      <c r="L6627" s="3">
        <v>1635.4</v>
      </c>
    </row>
    <row r="6628" spans="1:12" x14ac:dyDescent="0.25">
      <c r="A6628" t="s">
        <v>26</v>
      </c>
      <c r="B6628">
        <v>1185732</v>
      </c>
      <c r="C6628" s="1">
        <v>44484</v>
      </c>
      <c r="D6628" t="s">
        <v>29</v>
      </c>
      <c r="E6628" t="s">
        <v>50</v>
      </c>
      <c r="F6628" t="s">
        <v>51</v>
      </c>
      <c r="G6628" t="s">
        <v>41</v>
      </c>
      <c r="H6628" t="s">
        <v>22</v>
      </c>
      <c r="I6628" s="3">
        <v>62</v>
      </c>
      <c r="J6628" s="2">
        <v>27</v>
      </c>
      <c r="K6628" s="3">
        <f t="shared" si="103"/>
        <v>1674</v>
      </c>
      <c r="L6628" s="3">
        <v>1088.0999999999999</v>
      </c>
    </row>
    <row r="6629" spans="1:12" x14ac:dyDescent="0.25">
      <c r="A6629" t="s">
        <v>36</v>
      </c>
      <c r="B6629">
        <v>1185732</v>
      </c>
      <c r="C6629" s="1">
        <v>44484</v>
      </c>
      <c r="D6629" t="s">
        <v>29</v>
      </c>
      <c r="E6629" t="s">
        <v>50</v>
      </c>
      <c r="F6629" t="s">
        <v>51</v>
      </c>
      <c r="G6629" t="s">
        <v>15</v>
      </c>
      <c r="H6629" t="s">
        <v>16</v>
      </c>
      <c r="I6629" s="3">
        <v>51</v>
      </c>
      <c r="J6629" s="2">
        <v>68</v>
      </c>
      <c r="K6629" s="3">
        <f t="shared" si="103"/>
        <v>3468</v>
      </c>
      <c r="L6629" s="3">
        <v>2254.1999999999998</v>
      </c>
    </row>
    <row r="6630" spans="1:12" x14ac:dyDescent="0.25">
      <c r="A6630" t="s">
        <v>26</v>
      </c>
      <c r="B6630">
        <v>1185732</v>
      </c>
      <c r="C6630" s="1">
        <v>44484</v>
      </c>
      <c r="D6630" t="s">
        <v>29</v>
      </c>
      <c r="E6630" t="s">
        <v>50</v>
      </c>
      <c r="F6630" t="s">
        <v>51</v>
      </c>
      <c r="G6630" t="s">
        <v>41</v>
      </c>
      <c r="H6630" t="s">
        <v>37</v>
      </c>
      <c r="I6630" s="3">
        <v>54</v>
      </c>
      <c r="J6630" s="2">
        <v>27</v>
      </c>
      <c r="K6630" s="3">
        <f t="shared" si="103"/>
        <v>1458</v>
      </c>
      <c r="L6630" s="3">
        <v>903.96</v>
      </c>
    </row>
    <row r="6631" spans="1:12" x14ac:dyDescent="0.25">
      <c r="A6631" t="s">
        <v>19</v>
      </c>
      <c r="B6631">
        <v>1185732</v>
      </c>
      <c r="C6631" s="1">
        <v>44484</v>
      </c>
      <c r="D6631" t="s">
        <v>29</v>
      </c>
      <c r="E6631" t="s">
        <v>89</v>
      </c>
      <c r="F6631" t="s">
        <v>90</v>
      </c>
      <c r="G6631" t="s">
        <v>41</v>
      </c>
      <c r="H6631" t="s">
        <v>22</v>
      </c>
      <c r="I6631" s="3">
        <v>62</v>
      </c>
      <c r="J6631" s="2">
        <v>49</v>
      </c>
      <c r="K6631" s="3">
        <f t="shared" si="103"/>
        <v>3038</v>
      </c>
      <c r="L6631" s="3">
        <v>1822.8</v>
      </c>
    </row>
    <row r="6632" spans="1:12" x14ac:dyDescent="0.25">
      <c r="A6632" t="s">
        <v>36</v>
      </c>
      <c r="B6632">
        <v>1185732</v>
      </c>
      <c r="C6632" s="1">
        <v>44484</v>
      </c>
      <c r="D6632" t="s">
        <v>52</v>
      </c>
      <c r="E6632" t="s">
        <v>99</v>
      </c>
      <c r="F6632" t="s">
        <v>100</v>
      </c>
      <c r="G6632" t="s">
        <v>41</v>
      </c>
      <c r="H6632" t="s">
        <v>37</v>
      </c>
      <c r="I6632" s="3">
        <v>34</v>
      </c>
      <c r="J6632" s="2">
        <v>28</v>
      </c>
      <c r="K6632" s="3">
        <f t="shared" si="103"/>
        <v>952</v>
      </c>
      <c r="L6632" s="3">
        <v>561.68000000000006</v>
      </c>
    </row>
    <row r="6633" spans="1:12" x14ac:dyDescent="0.25">
      <c r="A6633" t="s">
        <v>36</v>
      </c>
      <c r="B6633">
        <v>1185732</v>
      </c>
      <c r="C6633" s="1">
        <v>44484</v>
      </c>
      <c r="D6633" t="s">
        <v>29</v>
      </c>
      <c r="E6633" t="s">
        <v>50</v>
      </c>
      <c r="F6633" t="s">
        <v>51</v>
      </c>
      <c r="G6633" t="s">
        <v>41</v>
      </c>
      <c r="H6633" t="s">
        <v>16</v>
      </c>
      <c r="I6633" s="3">
        <v>66</v>
      </c>
      <c r="J6633" s="2">
        <v>65</v>
      </c>
      <c r="K6633" s="3">
        <f t="shared" si="103"/>
        <v>4290</v>
      </c>
      <c r="L6633" s="3">
        <v>2402.4</v>
      </c>
    </row>
    <row r="6634" spans="1:12" x14ac:dyDescent="0.25">
      <c r="A6634" t="s">
        <v>19</v>
      </c>
      <c r="B6634">
        <v>1185732</v>
      </c>
      <c r="C6634" s="1">
        <v>44484</v>
      </c>
      <c r="D6634" t="s">
        <v>29</v>
      </c>
      <c r="E6634" t="s">
        <v>89</v>
      </c>
      <c r="F6634" t="s">
        <v>90</v>
      </c>
      <c r="G6634" t="s">
        <v>41</v>
      </c>
      <c r="H6634" t="s">
        <v>38</v>
      </c>
      <c r="I6634" s="3">
        <v>56</v>
      </c>
      <c r="J6634" s="2">
        <v>128</v>
      </c>
      <c r="K6634" s="3">
        <f t="shared" si="103"/>
        <v>7168</v>
      </c>
      <c r="L6634" s="3">
        <v>3942.4000000000005</v>
      </c>
    </row>
    <row r="6635" spans="1:12" x14ac:dyDescent="0.25">
      <c r="A6635" t="s">
        <v>26</v>
      </c>
      <c r="B6635">
        <v>1185732</v>
      </c>
      <c r="C6635" s="1">
        <v>44484</v>
      </c>
      <c r="D6635" t="s">
        <v>29</v>
      </c>
      <c r="E6635" t="s">
        <v>50</v>
      </c>
      <c r="F6635" t="s">
        <v>51</v>
      </c>
      <c r="G6635" t="s">
        <v>41</v>
      </c>
      <c r="H6635" t="s">
        <v>38</v>
      </c>
      <c r="I6635" s="3">
        <v>57</v>
      </c>
      <c r="J6635" s="2">
        <v>120</v>
      </c>
      <c r="K6635" s="3">
        <f t="shared" si="103"/>
        <v>6840</v>
      </c>
      <c r="L6635" s="3">
        <v>3762.0000000000005</v>
      </c>
    </row>
    <row r="6636" spans="1:12" x14ac:dyDescent="0.25">
      <c r="A6636" t="s">
        <v>26</v>
      </c>
      <c r="B6636">
        <v>1185732</v>
      </c>
      <c r="C6636" s="1">
        <v>44484</v>
      </c>
      <c r="D6636" t="s">
        <v>29</v>
      </c>
      <c r="E6636" t="s">
        <v>50</v>
      </c>
      <c r="F6636" t="s">
        <v>51</v>
      </c>
      <c r="G6636" t="s">
        <v>41</v>
      </c>
      <c r="H6636" t="s">
        <v>17</v>
      </c>
      <c r="I6636" s="3">
        <v>53</v>
      </c>
      <c r="J6636" s="2">
        <v>56</v>
      </c>
      <c r="K6636" s="3">
        <f t="shared" si="103"/>
        <v>2968</v>
      </c>
      <c r="L6636" s="3">
        <v>1632.4</v>
      </c>
    </row>
    <row r="6637" spans="1:12" x14ac:dyDescent="0.25">
      <c r="A6637" t="s">
        <v>19</v>
      </c>
      <c r="B6637">
        <v>1185732</v>
      </c>
      <c r="C6637" s="1">
        <v>44484</v>
      </c>
      <c r="D6637" t="s">
        <v>29</v>
      </c>
      <c r="E6637" t="s">
        <v>89</v>
      </c>
      <c r="F6637" t="s">
        <v>90</v>
      </c>
      <c r="G6637" t="s">
        <v>41</v>
      </c>
      <c r="H6637" t="s">
        <v>17</v>
      </c>
      <c r="I6637" s="3">
        <v>51</v>
      </c>
      <c r="J6637" s="2">
        <v>90</v>
      </c>
      <c r="K6637" s="3">
        <f t="shared" si="103"/>
        <v>4590</v>
      </c>
      <c r="L6637" s="3">
        <v>2478.6000000000004</v>
      </c>
    </row>
    <row r="6638" spans="1:12" x14ac:dyDescent="0.25">
      <c r="A6638" t="s">
        <v>19</v>
      </c>
      <c r="B6638">
        <v>1185732</v>
      </c>
      <c r="C6638" s="1">
        <v>44484</v>
      </c>
      <c r="D6638" t="s">
        <v>29</v>
      </c>
      <c r="E6638" t="s">
        <v>89</v>
      </c>
      <c r="F6638" t="s">
        <v>90</v>
      </c>
      <c r="G6638" t="s">
        <v>41</v>
      </c>
      <c r="H6638" t="s">
        <v>37</v>
      </c>
      <c r="I6638" s="3">
        <v>52</v>
      </c>
      <c r="J6638" s="2">
        <v>44</v>
      </c>
      <c r="K6638" s="3">
        <f t="shared" si="103"/>
        <v>2288</v>
      </c>
      <c r="L6638" s="3">
        <v>1144</v>
      </c>
    </row>
    <row r="6639" spans="1:12" x14ac:dyDescent="0.25">
      <c r="A6639" t="s">
        <v>19</v>
      </c>
      <c r="B6639">
        <v>1185732</v>
      </c>
      <c r="C6639" s="1">
        <v>44484</v>
      </c>
      <c r="D6639" t="s">
        <v>29</v>
      </c>
      <c r="E6639" t="s">
        <v>89</v>
      </c>
      <c r="F6639" t="s">
        <v>90</v>
      </c>
      <c r="G6639" t="s">
        <v>41</v>
      </c>
      <c r="H6639" t="s">
        <v>35</v>
      </c>
      <c r="I6639" s="3">
        <v>50</v>
      </c>
      <c r="J6639" s="2">
        <v>52</v>
      </c>
      <c r="K6639" s="3">
        <f t="shared" si="103"/>
        <v>2600</v>
      </c>
      <c r="L6639" s="3">
        <v>1169.9999999999998</v>
      </c>
    </row>
    <row r="6640" spans="1:12" x14ac:dyDescent="0.25">
      <c r="A6640" t="s">
        <v>27</v>
      </c>
      <c r="B6640">
        <v>1185732</v>
      </c>
      <c r="C6640" s="1">
        <v>44484</v>
      </c>
      <c r="D6640" t="s">
        <v>29</v>
      </c>
      <c r="E6640" t="s">
        <v>89</v>
      </c>
      <c r="F6640" t="s">
        <v>90</v>
      </c>
      <c r="G6640" t="s">
        <v>41</v>
      </c>
      <c r="H6640" t="s">
        <v>16</v>
      </c>
      <c r="I6640" s="3">
        <v>63</v>
      </c>
      <c r="J6640" s="2">
        <v>78</v>
      </c>
      <c r="K6640" s="3">
        <f t="shared" si="103"/>
        <v>4914</v>
      </c>
      <c r="L6640" s="3">
        <v>2211.2999999999997</v>
      </c>
    </row>
    <row r="6641" spans="1:12" x14ac:dyDescent="0.25">
      <c r="A6641" t="s">
        <v>26</v>
      </c>
      <c r="B6641">
        <v>1197831</v>
      </c>
      <c r="C6641" s="1">
        <v>44484</v>
      </c>
      <c r="D6641" t="s">
        <v>52</v>
      </c>
      <c r="E6641" t="s">
        <v>53</v>
      </c>
      <c r="F6641" t="s">
        <v>54</v>
      </c>
      <c r="G6641" t="s">
        <v>15</v>
      </c>
      <c r="H6641" t="s">
        <v>16</v>
      </c>
      <c r="I6641" s="3">
        <v>51</v>
      </c>
      <c r="J6641" s="2">
        <v>236</v>
      </c>
      <c r="K6641" s="3">
        <f t="shared" si="103"/>
        <v>12036</v>
      </c>
      <c r="L6641" s="3">
        <v>4694.0399999999991</v>
      </c>
    </row>
    <row r="6642" spans="1:12" x14ac:dyDescent="0.25">
      <c r="A6642" t="s">
        <v>26</v>
      </c>
      <c r="B6642">
        <v>1197831</v>
      </c>
      <c r="C6642" s="1">
        <v>44484</v>
      </c>
      <c r="D6642" t="s">
        <v>52</v>
      </c>
      <c r="E6642" t="s">
        <v>53</v>
      </c>
      <c r="F6642" t="s">
        <v>54</v>
      </c>
      <c r="G6642" t="s">
        <v>41</v>
      </c>
      <c r="H6642" t="s">
        <v>16</v>
      </c>
      <c r="I6642" s="3">
        <v>67</v>
      </c>
      <c r="J6642" s="2">
        <v>176</v>
      </c>
      <c r="K6642" s="3">
        <f t="shared" si="103"/>
        <v>11792</v>
      </c>
      <c r="L6642" s="3">
        <v>4127.2</v>
      </c>
    </row>
    <row r="6643" spans="1:12" x14ac:dyDescent="0.25">
      <c r="A6643" t="s">
        <v>36</v>
      </c>
      <c r="B6643">
        <v>1185732</v>
      </c>
      <c r="C6643" s="1">
        <v>44485</v>
      </c>
      <c r="D6643" t="s">
        <v>29</v>
      </c>
      <c r="E6643" t="s">
        <v>30</v>
      </c>
      <c r="F6643" t="s">
        <v>31</v>
      </c>
      <c r="G6643" t="s">
        <v>15</v>
      </c>
      <c r="H6643" t="s">
        <v>22</v>
      </c>
      <c r="I6643" s="3">
        <v>50</v>
      </c>
      <c r="J6643" s="2">
        <v>150</v>
      </c>
      <c r="K6643" s="3">
        <f t="shared" si="103"/>
        <v>7500</v>
      </c>
      <c r="L6643" s="3">
        <v>5625</v>
      </c>
    </row>
    <row r="6644" spans="1:12" x14ac:dyDescent="0.25">
      <c r="A6644" t="s">
        <v>26</v>
      </c>
      <c r="B6644">
        <v>1197831</v>
      </c>
      <c r="C6644" s="1">
        <v>44485</v>
      </c>
      <c r="D6644" t="s">
        <v>52</v>
      </c>
      <c r="E6644" t="s">
        <v>53</v>
      </c>
      <c r="F6644" t="s">
        <v>54</v>
      </c>
      <c r="G6644" t="s">
        <v>15</v>
      </c>
      <c r="H6644" t="s">
        <v>38</v>
      </c>
      <c r="I6644" s="3">
        <v>60</v>
      </c>
      <c r="J6644" s="2">
        <v>825</v>
      </c>
      <c r="K6644" s="3">
        <f t="shared" si="103"/>
        <v>49500</v>
      </c>
      <c r="L6644" s="3">
        <v>29700</v>
      </c>
    </row>
    <row r="6645" spans="1:12" x14ac:dyDescent="0.25">
      <c r="A6645" t="s">
        <v>36</v>
      </c>
      <c r="B6645">
        <v>1185732</v>
      </c>
      <c r="C6645" s="1">
        <v>44485</v>
      </c>
      <c r="D6645" t="s">
        <v>29</v>
      </c>
      <c r="E6645" t="s">
        <v>30</v>
      </c>
      <c r="F6645" t="s">
        <v>31</v>
      </c>
      <c r="G6645" t="s">
        <v>41</v>
      </c>
      <c r="H6645" t="s">
        <v>22</v>
      </c>
      <c r="I6645" s="3">
        <v>47</v>
      </c>
      <c r="J6645" s="2">
        <v>42</v>
      </c>
      <c r="K6645" s="3">
        <f t="shared" si="103"/>
        <v>1974</v>
      </c>
      <c r="L6645" s="3">
        <v>1204.1399999999999</v>
      </c>
    </row>
    <row r="6646" spans="1:12" x14ac:dyDescent="0.25">
      <c r="A6646" t="s">
        <v>26</v>
      </c>
      <c r="B6646">
        <v>1197831</v>
      </c>
      <c r="C6646" s="1">
        <v>44485</v>
      </c>
      <c r="D6646" t="s">
        <v>52</v>
      </c>
      <c r="E6646" t="s">
        <v>53</v>
      </c>
      <c r="F6646" t="s">
        <v>54</v>
      </c>
      <c r="G6646" t="s">
        <v>15</v>
      </c>
      <c r="H6646" t="s">
        <v>38</v>
      </c>
      <c r="I6646" s="3">
        <v>46</v>
      </c>
      <c r="J6646" s="2">
        <v>281</v>
      </c>
      <c r="K6646" s="3">
        <f t="shared" si="103"/>
        <v>12926</v>
      </c>
      <c r="L6646" s="3">
        <v>6850.7800000000007</v>
      </c>
    </row>
    <row r="6647" spans="1:12" x14ac:dyDescent="0.25">
      <c r="A6647" t="s">
        <v>26</v>
      </c>
      <c r="B6647">
        <v>1197831</v>
      </c>
      <c r="C6647" s="1">
        <v>44485</v>
      </c>
      <c r="D6647" t="s">
        <v>52</v>
      </c>
      <c r="E6647" t="s">
        <v>53</v>
      </c>
      <c r="F6647" t="s">
        <v>54</v>
      </c>
      <c r="G6647" t="s">
        <v>41</v>
      </c>
      <c r="H6647" t="s">
        <v>38</v>
      </c>
      <c r="I6647" s="3">
        <v>59</v>
      </c>
      <c r="J6647" s="2">
        <v>223</v>
      </c>
      <c r="K6647" s="3">
        <f t="shared" si="103"/>
        <v>13157</v>
      </c>
      <c r="L6647" s="3">
        <v>6052.2199999999993</v>
      </c>
    </row>
    <row r="6648" spans="1:12" x14ac:dyDescent="0.25">
      <c r="A6648" t="s">
        <v>23</v>
      </c>
      <c r="B6648">
        <v>1128299</v>
      </c>
      <c r="C6648" s="1">
        <v>44486</v>
      </c>
      <c r="D6648" t="s">
        <v>32</v>
      </c>
      <c r="E6648" t="s">
        <v>33</v>
      </c>
      <c r="F6648" t="s">
        <v>34</v>
      </c>
      <c r="G6648" t="s">
        <v>18</v>
      </c>
      <c r="H6648" t="s">
        <v>22</v>
      </c>
      <c r="I6648" s="3">
        <v>65</v>
      </c>
      <c r="J6648" s="2">
        <v>350</v>
      </c>
      <c r="K6648" s="3">
        <f t="shared" si="103"/>
        <v>22750</v>
      </c>
      <c r="L6648" s="3">
        <v>18200</v>
      </c>
    </row>
    <row r="6649" spans="1:12" x14ac:dyDescent="0.25">
      <c r="A6649" t="s">
        <v>23</v>
      </c>
      <c r="B6649">
        <v>1128299</v>
      </c>
      <c r="C6649" s="1">
        <v>44486</v>
      </c>
      <c r="D6649" t="s">
        <v>32</v>
      </c>
      <c r="E6649" t="s">
        <v>33</v>
      </c>
      <c r="F6649" t="s">
        <v>34</v>
      </c>
      <c r="G6649" t="s">
        <v>18</v>
      </c>
      <c r="H6649" t="s">
        <v>17</v>
      </c>
      <c r="I6649" s="3">
        <v>65.000000000000014</v>
      </c>
      <c r="J6649" s="2">
        <v>575</v>
      </c>
      <c r="K6649" s="3">
        <f t="shared" si="103"/>
        <v>37375.000000000007</v>
      </c>
      <c r="L6649" s="3">
        <v>28031.250000000007</v>
      </c>
    </row>
    <row r="6650" spans="1:12" x14ac:dyDescent="0.25">
      <c r="A6650" t="s">
        <v>23</v>
      </c>
      <c r="B6650">
        <v>1128299</v>
      </c>
      <c r="C6650" s="1">
        <v>44486</v>
      </c>
      <c r="D6650" t="s">
        <v>32</v>
      </c>
      <c r="E6650" t="s">
        <v>33</v>
      </c>
      <c r="F6650" t="s">
        <v>34</v>
      </c>
      <c r="G6650" t="s">
        <v>18</v>
      </c>
      <c r="H6650" t="s">
        <v>38</v>
      </c>
      <c r="I6650" s="3">
        <v>50</v>
      </c>
      <c r="J6650" s="2">
        <v>400</v>
      </c>
      <c r="K6650" s="3">
        <f t="shared" si="103"/>
        <v>20000</v>
      </c>
      <c r="L6650" s="3">
        <v>14000</v>
      </c>
    </row>
    <row r="6651" spans="1:12" x14ac:dyDescent="0.25">
      <c r="A6651" t="s">
        <v>23</v>
      </c>
      <c r="B6651">
        <v>1128299</v>
      </c>
      <c r="C6651" s="1">
        <v>44486</v>
      </c>
      <c r="D6651" t="s">
        <v>32</v>
      </c>
      <c r="E6651" t="s">
        <v>33</v>
      </c>
      <c r="F6651" t="s">
        <v>34</v>
      </c>
      <c r="G6651" t="s">
        <v>18</v>
      </c>
      <c r="H6651" t="s">
        <v>35</v>
      </c>
      <c r="I6651" s="3">
        <v>60.000000000000007</v>
      </c>
      <c r="J6651" s="2">
        <v>400</v>
      </c>
      <c r="K6651" s="3">
        <f t="shared" si="103"/>
        <v>24000.000000000004</v>
      </c>
      <c r="L6651" s="3">
        <v>16800.000000000004</v>
      </c>
    </row>
    <row r="6652" spans="1:12" x14ac:dyDescent="0.25">
      <c r="A6652" t="s">
        <v>23</v>
      </c>
      <c r="B6652">
        <v>1128299</v>
      </c>
      <c r="C6652" s="1">
        <v>44486</v>
      </c>
      <c r="D6652" t="s">
        <v>32</v>
      </c>
      <c r="E6652" t="s">
        <v>33</v>
      </c>
      <c r="F6652" t="s">
        <v>34</v>
      </c>
      <c r="G6652" t="s">
        <v>18</v>
      </c>
      <c r="H6652" t="s">
        <v>37</v>
      </c>
      <c r="I6652" s="3">
        <v>55.000000000000007</v>
      </c>
      <c r="J6652" s="2">
        <v>375</v>
      </c>
      <c r="K6652" s="3">
        <f t="shared" si="103"/>
        <v>20625.000000000004</v>
      </c>
      <c r="L6652" s="3">
        <v>14437.500000000004</v>
      </c>
    </row>
    <row r="6653" spans="1:12" x14ac:dyDescent="0.25">
      <c r="A6653" t="s">
        <v>26</v>
      </c>
      <c r="B6653">
        <v>1185732</v>
      </c>
      <c r="C6653" s="1">
        <v>44486</v>
      </c>
      <c r="D6653" t="s">
        <v>57</v>
      </c>
      <c r="E6653" t="s">
        <v>70</v>
      </c>
      <c r="F6653" t="s">
        <v>71</v>
      </c>
      <c r="G6653" t="s">
        <v>18</v>
      </c>
      <c r="H6653" t="s">
        <v>35</v>
      </c>
      <c r="I6653" s="3">
        <v>40.000000000000014</v>
      </c>
      <c r="J6653" s="2">
        <v>425</v>
      </c>
      <c r="K6653" s="3">
        <f t="shared" si="103"/>
        <v>17000.000000000007</v>
      </c>
      <c r="L6653" s="3">
        <v>11900.000000000004</v>
      </c>
    </row>
    <row r="6654" spans="1:12" x14ac:dyDescent="0.25">
      <c r="A6654" t="s">
        <v>26</v>
      </c>
      <c r="B6654">
        <v>1185732</v>
      </c>
      <c r="C6654" s="1">
        <v>44486</v>
      </c>
      <c r="D6654" t="s">
        <v>57</v>
      </c>
      <c r="E6654" t="s">
        <v>70</v>
      </c>
      <c r="F6654" t="s">
        <v>71</v>
      </c>
      <c r="G6654" t="s">
        <v>18</v>
      </c>
      <c r="H6654" t="s">
        <v>37</v>
      </c>
      <c r="I6654" s="3">
        <v>40.000000000000014</v>
      </c>
      <c r="J6654" s="2">
        <v>400</v>
      </c>
      <c r="K6654" s="3">
        <f t="shared" si="103"/>
        <v>16000.000000000005</v>
      </c>
      <c r="L6654" s="3">
        <v>10400.000000000004</v>
      </c>
    </row>
    <row r="6655" spans="1:12" x14ac:dyDescent="0.25">
      <c r="A6655" t="s">
        <v>11</v>
      </c>
      <c r="B6655">
        <v>1128299</v>
      </c>
      <c r="C6655" s="1">
        <v>44486</v>
      </c>
      <c r="D6655" t="s">
        <v>52</v>
      </c>
      <c r="E6655" t="s">
        <v>64</v>
      </c>
      <c r="F6655" t="s">
        <v>65</v>
      </c>
      <c r="G6655" t="s">
        <v>41</v>
      </c>
      <c r="H6655" t="s">
        <v>16</v>
      </c>
      <c r="I6655" s="3">
        <v>55.000000000000007</v>
      </c>
      <c r="J6655" s="2">
        <v>400</v>
      </c>
      <c r="K6655" s="3">
        <f t="shared" si="103"/>
        <v>22000.000000000004</v>
      </c>
      <c r="L6655" s="3">
        <v>14300.000000000004</v>
      </c>
    </row>
    <row r="6656" spans="1:12" x14ac:dyDescent="0.25">
      <c r="A6656" t="s">
        <v>11</v>
      </c>
      <c r="B6656">
        <v>1128299</v>
      </c>
      <c r="C6656" s="1">
        <v>44486</v>
      </c>
      <c r="D6656" t="s">
        <v>52</v>
      </c>
      <c r="E6656" t="s">
        <v>64</v>
      </c>
      <c r="F6656" t="s">
        <v>65</v>
      </c>
      <c r="G6656" t="s">
        <v>41</v>
      </c>
      <c r="H6656" t="s">
        <v>37</v>
      </c>
      <c r="I6656" s="3">
        <v>40.000000000000007</v>
      </c>
      <c r="J6656" s="2">
        <v>375</v>
      </c>
      <c r="K6656" s="3">
        <f t="shared" si="103"/>
        <v>15000.000000000002</v>
      </c>
      <c r="L6656" s="3">
        <v>9000.0000000000036</v>
      </c>
    </row>
    <row r="6657" spans="1:12" x14ac:dyDescent="0.25">
      <c r="A6657" t="s">
        <v>26</v>
      </c>
      <c r="B6657">
        <v>1185732</v>
      </c>
      <c r="C6657" s="1">
        <v>44486</v>
      </c>
      <c r="D6657" t="s">
        <v>57</v>
      </c>
      <c r="E6657" t="s">
        <v>70</v>
      </c>
      <c r="F6657" t="s">
        <v>71</v>
      </c>
      <c r="G6657" t="s">
        <v>18</v>
      </c>
      <c r="H6657" t="s">
        <v>17</v>
      </c>
      <c r="I6657" s="3">
        <v>40.000000000000014</v>
      </c>
      <c r="J6657" s="2">
        <v>575</v>
      </c>
      <c r="K6657" s="3">
        <f t="shared" si="103"/>
        <v>23000.000000000007</v>
      </c>
      <c r="L6657" s="3">
        <v>13800.000000000005</v>
      </c>
    </row>
    <row r="6658" spans="1:12" x14ac:dyDescent="0.25">
      <c r="A6658" t="s">
        <v>11</v>
      </c>
      <c r="B6658">
        <v>1128299</v>
      </c>
      <c r="C6658" s="1">
        <v>44486</v>
      </c>
      <c r="D6658" t="s">
        <v>52</v>
      </c>
      <c r="E6658" t="s">
        <v>64</v>
      </c>
      <c r="F6658" t="s">
        <v>65</v>
      </c>
      <c r="G6658" t="s">
        <v>41</v>
      </c>
      <c r="H6658" t="s">
        <v>17</v>
      </c>
      <c r="I6658" s="3">
        <v>50.000000000000014</v>
      </c>
      <c r="J6658" s="2">
        <v>575</v>
      </c>
      <c r="K6658" s="3">
        <f t="shared" si="103"/>
        <v>28750.000000000007</v>
      </c>
      <c r="L6658" s="3">
        <v>17250.000000000007</v>
      </c>
    </row>
    <row r="6659" spans="1:12" x14ac:dyDescent="0.25">
      <c r="A6659" t="s">
        <v>26</v>
      </c>
      <c r="B6659">
        <v>1197831</v>
      </c>
      <c r="C6659" s="1">
        <v>44486</v>
      </c>
      <c r="D6659" t="s">
        <v>52</v>
      </c>
      <c r="E6659" t="s">
        <v>53</v>
      </c>
      <c r="F6659" t="s">
        <v>54</v>
      </c>
      <c r="G6659" t="s">
        <v>15</v>
      </c>
      <c r="H6659" t="s">
        <v>17</v>
      </c>
      <c r="I6659" s="3">
        <v>60</v>
      </c>
      <c r="J6659" s="2">
        <v>825</v>
      </c>
      <c r="K6659" s="3">
        <f t="shared" ref="K6659:K6722" si="104">I6659*J6659</f>
        <v>49500</v>
      </c>
      <c r="L6659" s="3">
        <v>29700</v>
      </c>
    </row>
    <row r="6660" spans="1:12" x14ac:dyDescent="0.25">
      <c r="A6660" t="s">
        <v>36</v>
      </c>
      <c r="B6660">
        <v>1185732</v>
      </c>
      <c r="C6660" s="1">
        <v>44486</v>
      </c>
      <c r="D6660" t="s">
        <v>29</v>
      </c>
      <c r="E6660" t="s">
        <v>30</v>
      </c>
      <c r="F6660" t="s">
        <v>31</v>
      </c>
      <c r="G6660" t="s">
        <v>15</v>
      </c>
      <c r="H6660" t="s">
        <v>16</v>
      </c>
      <c r="I6660" s="3">
        <v>40</v>
      </c>
      <c r="J6660" s="2">
        <v>250</v>
      </c>
      <c r="K6660" s="3">
        <f t="shared" si="104"/>
        <v>10000</v>
      </c>
      <c r="L6660" s="3">
        <v>6000</v>
      </c>
    </row>
    <row r="6661" spans="1:12" x14ac:dyDescent="0.25">
      <c r="A6661" t="s">
        <v>26</v>
      </c>
      <c r="B6661">
        <v>1185732</v>
      </c>
      <c r="C6661" s="1">
        <v>44486</v>
      </c>
      <c r="D6661" t="s">
        <v>57</v>
      </c>
      <c r="E6661" t="s">
        <v>70</v>
      </c>
      <c r="F6661" t="s">
        <v>71</v>
      </c>
      <c r="G6661" t="s">
        <v>18</v>
      </c>
      <c r="H6661" t="s">
        <v>22</v>
      </c>
      <c r="I6661" s="3">
        <v>50.000000000000014</v>
      </c>
      <c r="J6661" s="2">
        <v>400</v>
      </c>
      <c r="K6661" s="3">
        <f t="shared" si="104"/>
        <v>20000.000000000007</v>
      </c>
      <c r="L6661" s="3">
        <v>12000.000000000004</v>
      </c>
    </row>
    <row r="6662" spans="1:12" x14ac:dyDescent="0.25">
      <c r="A6662" t="s">
        <v>11</v>
      </c>
      <c r="B6662">
        <v>1128299</v>
      </c>
      <c r="C6662" s="1">
        <v>44486</v>
      </c>
      <c r="D6662" t="s">
        <v>52</v>
      </c>
      <c r="E6662" t="s">
        <v>64</v>
      </c>
      <c r="F6662" t="s">
        <v>65</v>
      </c>
      <c r="G6662" t="s">
        <v>41</v>
      </c>
      <c r="H6662" t="s">
        <v>38</v>
      </c>
      <c r="I6662" s="3">
        <v>35</v>
      </c>
      <c r="J6662" s="2">
        <v>400</v>
      </c>
      <c r="K6662" s="3">
        <f t="shared" si="104"/>
        <v>14000</v>
      </c>
      <c r="L6662" s="3">
        <v>8400</v>
      </c>
    </row>
    <row r="6663" spans="1:12" x14ac:dyDescent="0.25">
      <c r="A6663" t="s">
        <v>11</v>
      </c>
      <c r="B6663">
        <v>1128299</v>
      </c>
      <c r="C6663" s="1">
        <v>44486</v>
      </c>
      <c r="D6663" t="s">
        <v>52</v>
      </c>
      <c r="E6663" t="s">
        <v>64</v>
      </c>
      <c r="F6663" t="s">
        <v>65</v>
      </c>
      <c r="G6663" t="s">
        <v>41</v>
      </c>
      <c r="H6663" t="s">
        <v>35</v>
      </c>
      <c r="I6663" s="3">
        <v>45.000000000000014</v>
      </c>
      <c r="J6663" s="2">
        <v>400</v>
      </c>
      <c r="K6663" s="3">
        <f t="shared" si="104"/>
        <v>18000.000000000007</v>
      </c>
      <c r="L6663" s="3">
        <v>10800.000000000004</v>
      </c>
    </row>
    <row r="6664" spans="1:12" x14ac:dyDescent="0.25">
      <c r="A6664" t="s">
        <v>11</v>
      </c>
      <c r="B6664">
        <v>1185732</v>
      </c>
      <c r="C6664" s="1">
        <v>44486</v>
      </c>
      <c r="D6664" t="s">
        <v>29</v>
      </c>
      <c r="E6664" t="s">
        <v>105</v>
      </c>
      <c r="F6664" t="s">
        <v>47</v>
      </c>
      <c r="G6664" t="s">
        <v>18</v>
      </c>
      <c r="H6664" t="s">
        <v>38</v>
      </c>
      <c r="I6664" s="3">
        <v>44.999999999999993</v>
      </c>
      <c r="J6664" s="2">
        <v>425</v>
      </c>
      <c r="K6664" s="3">
        <f t="shared" si="104"/>
        <v>19124.999999999996</v>
      </c>
      <c r="L6664" s="3">
        <v>11474.999999999998</v>
      </c>
    </row>
    <row r="6665" spans="1:12" x14ac:dyDescent="0.25">
      <c r="A6665" t="s">
        <v>11</v>
      </c>
      <c r="B6665">
        <v>1185732</v>
      </c>
      <c r="C6665" s="1">
        <v>44486</v>
      </c>
      <c r="D6665" t="s">
        <v>29</v>
      </c>
      <c r="E6665" t="s">
        <v>105</v>
      </c>
      <c r="F6665" t="s">
        <v>47</v>
      </c>
      <c r="G6665" t="s">
        <v>18</v>
      </c>
      <c r="H6665" t="s">
        <v>17</v>
      </c>
      <c r="I6665" s="3">
        <v>35</v>
      </c>
      <c r="J6665" s="2">
        <v>275</v>
      </c>
      <c r="K6665" s="3">
        <f t="shared" si="104"/>
        <v>9625</v>
      </c>
      <c r="L6665" s="3">
        <v>5775</v>
      </c>
    </row>
    <row r="6666" spans="1:12" x14ac:dyDescent="0.25">
      <c r="A6666" t="s">
        <v>11</v>
      </c>
      <c r="B6666">
        <v>1185732</v>
      </c>
      <c r="C6666" s="1">
        <v>44486</v>
      </c>
      <c r="D6666" t="s">
        <v>29</v>
      </c>
      <c r="E6666" t="s">
        <v>105</v>
      </c>
      <c r="F6666" t="s">
        <v>47</v>
      </c>
      <c r="G6666" t="s">
        <v>18</v>
      </c>
      <c r="H6666" t="s">
        <v>35</v>
      </c>
      <c r="I6666" s="3">
        <v>35</v>
      </c>
      <c r="J6666" s="2">
        <v>175</v>
      </c>
      <c r="K6666" s="3">
        <f t="shared" si="104"/>
        <v>6125</v>
      </c>
      <c r="L6666" s="3">
        <v>3675</v>
      </c>
    </row>
    <row r="6667" spans="1:12" x14ac:dyDescent="0.25">
      <c r="A6667" t="s">
        <v>11</v>
      </c>
      <c r="B6667">
        <v>1185732</v>
      </c>
      <c r="C6667" s="1">
        <v>44486</v>
      </c>
      <c r="D6667" t="s">
        <v>29</v>
      </c>
      <c r="E6667" t="s">
        <v>105</v>
      </c>
      <c r="F6667" t="s">
        <v>47</v>
      </c>
      <c r="G6667" t="s">
        <v>18</v>
      </c>
      <c r="H6667" t="s">
        <v>37</v>
      </c>
      <c r="I6667" s="3">
        <v>35</v>
      </c>
      <c r="J6667" s="2">
        <v>175</v>
      </c>
      <c r="K6667" s="3">
        <f t="shared" si="104"/>
        <v>6125</v>
      </c>
      <c r="L6667" s="3">
        <v>3675</v>
      </c>
    </row>
    <row r="6668" spans="1:12" x14ac:dyDescent="0.25">
      <c r="A6668" t="s">
        <v>11</v>
      </c>
      <c r="B6668">
        <v>1185732</v>
      </c>
      <c r="C6668" s="1">
        <v>44486</v>
      </c>
      <c r="D6668" t="s">
        <v>29</v>
      </c>
      <c r="E6668" t="s">
        <v>105</v>
      </c>
      <c r="F6668" t="s">
        <v>47</v>
      </c>
      <c r="G6668" t="s">
        <v>18</v>
      </c>
      <c r="H6668" t="s">
        <v>22</v>
      </c>
      <c r="I6668" s="3">
        <v>44.999999999999993</v>
      </c>
      <c r="J6668" s="2">
        <v>175</v>
      </c>
      <c r="K6668" s="3">
        <f t="shared" si="104"/>
        <v>7874.9999999999991</v>
      </c>
      <c r="L6668" s="3">
        <v>4724.9999999999982</v>
      </c>
    </row>
    <row r="6669" spans="1:12" x14ac:dyDescent="0.25">
      <c r="A6669" t="s">
        <v>19</v>
      </c>
      <c r="B6669">
        <v>1185732</v>
      </c>
      <c r="C6669" s="1">
        <v>44486</v>
      </c>
      <c r="D6669" t="s">
        <v>29</v>
      </c>
      <c r="E6669" t="s">
        <v>105</v>
      </c>
      <c r="F6669" t="s">
        <v>47</v>
      </c>
      <c r="G6669" t="s">
        <v>18</v>
      </c>
      <c r="H6669" t="s">
        <v>16</v>
      </c>
      <c r="I6669" s="3">
        <v>49.999999999999986</v>
      </c>
      <c r="J6669" s="2">
        <v>300</v>
      </c>
      <c r="K6669" s="3">
        <f t="shared" si="104"/>
        <v>14999.999999999996</v>
      </c>
      <c r="L6669" s="3">
        <v>8999.9999999999964</v>
      </c>
    </row>
    <row r="6670" spans="1:12" x14ac:dyDescent="0.25">
      <c r="A6670" t="s">
        <v>23</v>
      </c>
      <c r="B6670">
        <v>1128299</v>
      </c>
      <c r="C6670" s="1">
        <v>44486</v>
      </c>
      <c r="D6670" t="s">
        <v>32</v>
      </c>
      <c r="E6670" t="s">
        <v>33</v>
      </c>
      <c r="F6670" t="s">
        <v>34</v>
      </c>
      <c r="G6670" t="s">
        <v>18</v>
      </c>
      <c r="H6670" t="s">
        <v>16</v>
      </c>
      <c r="I6670" s="3">
        <v>70</v>
      </c>
      <c r="J6670" s="2">
        <v>400</v>
      </c>
      <c r="K6670" s="3">
        <f t="shared" si="104"/>
        <v>28000</v>
      </c>
      <c r="L6670" s="3">
        <v>15400</v>
      </c>
    </row>
    <row r="6671" spans="1:12" x14ac:dyDescent="0.25">
      <c r="A6671" t="s">
        <v>11</v>
      </c>
      <c r="B6671">
        <v>1128299</v>
      </c>
      <c r="C6671" s="1">
        <v>44486</v>
      </c>
      <c r="D6671" t="s">
        <v>52</v>
      </c>
      <c r="E6671" t="s">
        <v>64</v>
      </c>
      <c r="F6671" t="s">
        <v>65</v>
      </c>
      <c r="G6671" t="s">
        <v>41</v>
      </c>
      <c r="H6671" t="s">
        <v>22</v>
      </c>
      <c r="I6671" s="3">
        <v>50</v>
      </c>
      <c r="J6671" s="2">
        <v>350</v>
      </c>
      <c r="K6671" s="3">
        <f t="shared" si="104"/>
        <v>17500</v>
      </c>
      <c r="L6671" s="3">
        <v>9625</v>
      </c>
    </row>
    <row r="6672" spans="1:12" x14ac:dyDescent="0.25">
      <c r="A6672" t="s">
        <v>26</v>
      </c>
      <c r="B6672">
        <v>1185732</v>
      </c>
      <c r="C6672" s="1">
        <v>44486</v>
      </c>
      <c r="D6672" t="s">
        <v>57</v>
      </c>
      <c r="E6672" t="s">
        <v>70</v>
      </c>
      <c r="F6672" t="s">
        <v>71</v>
      </c>
      <c r="G6672" t="s">
        <v>18</v>
      </c>
      <c r="H6672" t="s">
        <v>38</v>
      </c>
      <c r="I6672" s="3">
        <v>50.000000000000014</v>
      </c>
      <c r="J6672" s="2">
        <v>750</v>
      </c>
      <c r="K6672" s="3">
        <f t="shared" si="104"/>
        <v>37500.000000000007</v>
      </c>
      <c r="L6672" s="3">
        <v>18750.000000000007</v>
      </c>
    </row>
    <row r="6673" spans="1:12" x14ac:dyDescent="0.25">
      <c r="A6673" t="s">
        <v>26</v>
      </c>
      <c r="B6673">
        <v>1185732</v>
      </c>
      <c r="C6673" s="1">
        <v>44486</v>
      </c>
      <c r="D6673" t="s">
        <v>57</v>
      </c>
      <c r="E6673" t="s">
        <v>70</v>
      </c>
      <c r="F6673" t="s">
        <v>71</v>
      </c>
      <c r="G6673" t="s">
        <v>18</v>
      </c>
      <c r="H6673" t="s">
        <v>16</v>
      </c>
      <c r="I6673" s="3">
        <v>55.000000000000007</v>
      </c>
      <c r="J6673" s="2">
        <v>525</v>
      </c>
      <c r="K6673" s="3">
        <f t="shared" si="104"/>
        <v>28875.000000000004</v>
      </c>
      <c r="L6673" s="3">
        <v>12993.75</v>
      </c>
    </row>
    <row r="6674" spans="1:12" x14ac:dyDescent="0.25">
      <c r="A6674" t="s">
        <v>23</v>
      </c>
      <c r="B6674">
        <v>1128299</v>
      </c>
      <c r="C6674" s="1">
        <v>44486</v>
      </c>
      <c r="D6674" t="s">
        <v>32</v>
      </c>
      <c r="E6674" t="s">
        <v>33</v>
      </c>
      <c r="F6674" t="s">
        <v>34</v>
      </c>
      <c r="G6674" t="s">
        <v>15</v>
      </c>
      <c r="H6674" t="s">
        <v>22</v>
      </c>
      <c r="I6674" s="3">
        <v>47</v>
      </c>
      <c r="J6674" s="2">
        <v>116</v>
      </c>
      <c r="K6674" s="3">
        <f t="shared" si="104"/>
        <v>5452</v>
      </c>
      <c r="L6674" s="3">
        <v>4252.5599999999995</v>
      </c>
    </row>
    <row r="6675" spans="1:12" x14ac:dyDescent="0.25">
      <c r="A6675" t="s">
        <v>23</v>
      </c>
      <c r="B6675">
        <v>1128299</v>
      </c>
      <c r="C6675" s="1">
        <v>44486</v>
      </c>
      <c r="D6675" t="s">
        <v>32</v>
      </c>
      <c r="E6675" t="s">
        <v>33</v>
      </c>
      <c r="F6675" t="s">
        <v>34</v>
      </c>
      <c r="G6675" t="s">
        <v>15</v>
      </c>
      <c r="H6675" t="s">
        <v>17</v>
      </c>
      <c r="I6675" s="3">
        <v>43</v>
      </c>
      <c r="J6675" s="2">
        <v>190</v>
      </c>
      <c r="K6675" s="3">
        <f t="shared" si="104"/>
        <v>8170</v>
      </c>
      <c r="L6675" s="3">
        <v>5800.7000000000007</v>
      </c>
    </row>
    <row r="6676" spans="1:12" x14ac:dyDescent="0.25">
      <c r="A6676" t="s">
        <v>23</v>
      </c>
      <c r="B6676">
        <v>1128299</v>
      </c>
      <c r="C6676" s="1">
        <v>44486</v>
      </c>
      <c r="D6676" t="s">
        <v>32</v>
      </c>
      <c r="E6676" t="s">
        <v>33</v>
      </c>
      <c r="F6676" t="s">
        <v>34</v>
      </c>
      <c r="G6676" t="s">
        <v>41</v>
      </c>
      <c r="H6676" t="s">
        <v>22</v>
      </c>
      <c r="I6676" s="3">
        <v>59</v>
      </c>
      <c r="J6676" s="2">
        <v>98</v>
      </c>
      <c r="K6676" s="3">
        <f t="shared" si="104"/>
        <v>5782</v>
      </c>
      <c r="L6676" s="3">
        <v>3989.58</v>
      </c>
    </row>
    <row r="6677" spans="1:12" x14ac:dyDescent="0.25">
      <c r="A6677" t="s">
        <v>23</v>
      </c>
      <c r="B6677">
        <v>1128299</v>
      </c>
      <c r="C6677" s="1">
        <v>44486</v>
      </c>
      <c r="D6677" t="s">
        <v>32</v>
      </c>
      <c r="E6677" t="s">
        <v>33</v>
      </c>
      <c r="F6677" t="s">
        <v>34</v>
      </c>
      <c r="G6677" t="s">
        <v>15</v>
      </c>
      <c r="H6677" t="s">
        <v>35</v>
      </c>
      <c r="I6677" s="3">
        <v>43</v>
      </c>
      <c r="J6677" s="2">
        <v>128</v>
      </c>
      <c r="K6677" s="3">
        <f t="shared" si="104"/>
        <v>5504</v>
      </c>
      <c r="L6677" s="3">
        <v>3632.6400000000003</v>
      </c>
    </row>
    <row r="6678" spans="1:12" x14ac:dyDescent="0.25">
      <c r="A6678" t="s">
        <v>23</v>
      </c>
      <c r="B6678">
        <v>1128299</v>
      </c>
      <c r="C6678" s="1">
        <v>44486</v>
      </c>
      <c r="D6678" t="s">
        <v>32</v>
      </c>
      <c r="E6678" t="s">
        <v>33</v>
      </c>
      <c r="F6678" t="s">
        <v>34</v>
      </c>
      <c r="G6678" t="s">
        <v>15</v>
      </c>
      <c r="H6678" t="s">
        <v>37</v>
      </c>
      <c r="I6678" s="3">
        <v>40</v>
      </c>
      <c r="J6678" s="2">
        <v>120</v>
      </c>
      <c r="K6678" s="3">
        <f t="shared" si="104"/>
        <v>4800</v>
      </c>
      <c r="L6678" s="3">
        <v>3120</v>
      </c>
    </row>
    <row r="6679" spans="1:12" x14ac:dyDescent="0.25">
      <c r="A6679" t="s">
        <v>23</v>
      </c>
      <c r="B6679">
        <v>1128299</v>
      </c>
      <c r="C6679" s="1">
        <v>44486</v>
      </c>
      <c r="D6679" t="s">
        <v>32</v>
      </c>
      <c r="E6679" t="s">
        <v>33</v>
      </c>
      <c r="F6679" t="s">
        <v>34</v>
      </c>
      <c r="G6679" t="s">
        <v>15</v>
      </c>
      <c r="H6679" t="s">
        <v>38</v>
      </c>
      <c r="I6679" s="3">
        <v>39</v>
      </c>
      <c r="J6679" s="2">
        <v>140</v>
      </c>
      <c r="K6679" s="3">
        <f t="shared" si="104"/>
        <v>5460</v>
      </c>
      <c r="L6679" s="3">
        <v>3439.8</v>
      </c>
    </row>
    <row r="6680" spans="1:12" x14ac:dyDescent="0.25">
      <c r="A6680" t="s">
        <v>23</v>
      </c>
      <c r="B6680">
        <v>1128299</v>
      </c>
      <c r="C6680" s="1">
        <v>44486</v>
      </c>
      <c r="D6680" t="s">
        <v>32</v>
      </c>
      <c r="E6680" t="s">
        <v>33</v>
      </c>
      <c r="F6680" t="s">
        <v>34</v>
      </c>
      <c r="G6680" t="s">
        <v>41</v>
      </c>
      <c r="H6680" t="s">
        <v>17</v>
      </c>
      <c r="I6680" s="3">
        <v>59</v>
      </c>
      <c r="J6680" s="2">
        <v>144</v>
      </c>
      <c r="K6680" s="3">
        <f t="shared" si="104"/>
        <v>8496</v>
      </c>
      <c r="L6680" s="3">
        <v>5267.52</v>
      </c>
    </row>
    <row r="6681" spans="1:12" x14ac:dyDescent="0.25">
      <c r="A6681" t="s">
        <v>11</v>
      </c>
      <c r="B6681">
        <v>1128299</v>
      </c>
      <c r="C6681" s="1">
        <v>44486</v>
      </c>
      <c r="D6681" t="s">
        <v>52</v>
      </c>
      <c r="E6681" t="s">
        <v>64</v>
      </c>
      <c r="F6681" t="s">
        <v>65</v>
      </c>
      <c r="G6681" t="s">
        <v>15</v>
      </c>
      <c r="H6681" t="s">
        <v>16</v>
      </c>
      <c r="I6681" s="3">
        <v>44</v>
      </c>
      <c r="J6681" s="2">
        <v>140</v>
      </c>
      <c r="K6681" s="3">
        <f t="shared" si="104"/>
        <v>6160</v>
      </c>
      <c r="L6681" s="3">
        <v>3696</v>
      </c>
    </row>
    <row r="6682" spans="1:12" x14ac:dyDescent="0.25">
      <c r="A6682" t="s">
        <v>23</v>
      </c>
      <c r="B6682">
        <v>1128299</v>
      </c>
      <c r="C6682" s="1">
        <v>44486</v>
      </c>
      <c r="D6682" t="s">
        <v>32</v>
      </c>
      <c r="E6682" t="s">
        <v>33</v>
      </c>
      <c r="F6682" t="s">
        <v>34</v>
      </c>
      <c r="G6682" t="s">
        <v>41</v>
      </c>
      <c r="H6682" t="s">
        <v>35</v>
      </c>
      <c r="I6682" s="3">
        <v>55</v>
      </c>
      <c r="J6682" s="2">
        <v>112</v>
      </c>
      <c r="K6682" s="3">
        <f t="shared" si="104"/>
        <v>6160</v>
      </c>
      <c r="L6682" s="3">
        <v>3634.4</v>
      </c>
    </row>
    <row r="6683" spans="1:12" x14ac:dyDescent="0.25">
      <c r="A6683" t="s">
        <v>23</v>
      </c>
      <c r="B6683">
        <v>1128299</v>
      </c>
      <c r="C6683" s="1">
        <v>44486</v>
      </c>
      <c r="D6683" t="s">
        <v>32</v>
      </c>
      <c r="E6683" t="s">
        <v>33</v>
      </c>
      <c r="F6683" t="s">
        <v>34</v>
      </c>
      <c r="G6683" t="s">
        <v>41</v>
      </c>
      <c r="H6683" t="s">
        <v>37</v>
      </c>
      <c r="I6683" s="3">
        <v>51</v>
      </c>
      <c r="J6683" s="2">
        <v>113</v>
      </c>
      <c r="K6683" s="3">
        <f t="shared" si="104"/>
        <v>5763</v>
      </c>
      <c r="L6683" s="3">
        <v>3400.17</v>
      </c>
    </row>
    <row r="6684" spans="1:12" x14ac:dyDescent="0.25">
      <c r="A6684" t="s">
        <v>26</v>
      </c>
      <c r="B6684">
        <v>1197831</v>
      </c>
      <c r="C6684" s="1">
        <v>44486</v>
      </c>
      <c r="D6684" t="s">
        <v>52</v>
      </c>
      <c r="E6684" t="s">
        <v>53</v>
      </c>
      <c r="F6684" t="s">
        <v>54</v>
      </c>
      <c r="G6684" t="s">
        <v>15</v>
      </c>
      <c r="H6684" t="s">
        <v>17</v>
      </c>
      <c r="I6684" s="3">
        <v>39</v>
      </c>
      <c r="J6684" s="2">
        <v>248</v>
      </c>
      <c r="K6684" s="3">
        <f t="shared" si="104"/>
        <v>9672</v>
      </c>
      <c r="L6684" s="3">
        <v>5609.76</v>
      </c>
    </row>
    <row r="6685" spans="1:12" x14ac:dyDescent="0.25">
      <c r="A6685" t="s">
        <v>11</v>
      </c>
      <c r="B6685">
        <v>1128299</v>
      </c>
      <c r="C6685" s="1">
        <v>44486</v>
      </c>
      <c r="D6685" t="s">
        <v>52</v>
      </c>
      <c r="E6685" t="s">
        <v>64</v>
      </c>
      <c r="F6685" t="s">
        <v>65</v>
      </c>
      <c r="G6685" t="s">
        <v>15</v>
      </c>
      <c r="H6685" t="s">
        <v>37</v>
      </c>
      <c r="I6685" s="3">
        <v>31</v>
      </c>
      <c r="J6685" s="2">
        <v>120</v>
      </c>
      <c r="K6685" s="3">
        <f t="shared" si="104"/>
        <v>3720</v>
      </c>
      <c r="L6685" s="3">
        <v>2120.4000000000005</v>
      </c>
    </row>
    <row r="6686" spans="1:12" x14ac:dyDescent="0.25">
      <c r="A6686" t="s">
        <v>11</v>
      </c>
      <c r="B6686">
        <v>1128299</v>
      </c>
      <c r="C6686" s="1">
        <v>44486</v>
      </c>
      <c r="D6686" t="s">
        <v>52</v>
      </c>
      <c r="E6686" t="s">
        <v>64</v>
      </c>
      <c r="F6686" t="s">
        <v>65</v>
      </c>
      <c r="G6686" t="s">
        <v>15</v>
      </c>
      <c r="H6686" t="s">
        <v>38</v>
      </c>
      <c r="I6686" s="3">
        <v>25</v>
      </c>
      <c r="J6686" s="2">
        <v>124</v>
      </c>
      <c r="K6686" s="3">
        <f t="shared" si="104"/>
        <v>3100</v>
      </c>
      <c r="L6686" s="3">
        <v>1767.0000000000002</v>
      </c>
    </row>
    <row r="6687" spans="1:12" x14ac:dyDescent="0.25">
      <c r="A6687" t="s">
        <v>23</v>
      </c>
      <c r="B6687">
        <v>1128299</v>
      </c>
      <c r="C6687" s="1">
        <v>44486</v>
      </c>
      <c r="D6687" t="s">
        <v>32</v>
      </c>
      <c r="E6687" t="s">
        <v>33</v>
      </c>
      <c r="F6687" t="s">
        <v>34</v>
      </c>
      <c r="G6687" t="s">
        <v>41</v>
      </c>
      <c r="H6687" t="s">
        <v>38</v>
      </c>
      <c r="I6687" s="3">
        <v>47</v>
      </c>
      <c r="J6687" s="2">
        <v>100</v>
      </c>
      <c r="K6687" s="3">
        <f t="shared" si="104"/>
        <v>4700</v>
      </c>
      <c r="L6687" s="3">
        <v>2632</v>
      </c>
    </row>
    <row r="6688" spans="1:12" x14ac:dyDescent="0.25">
      <c r="A6688" t="s">
        <v>26</v>
      </c>
      <c r="B6688">
        <v>1185732</v>
      </c>
      <c r="C6688" s="1">
        <v>44486</v>
      </c>
      <c r="D6688" t="s">
        <v>57</v>
      </c>
      <c r="E6688" t="s">
        <v>70</v>
      </c>
      <c r="F6688" t="s">
        <v>71</v>
      </c>
      <c r="G6688" t="s">
        <v>41</v>
      </c>
      <c r="H6688" t="s">
        <v>35</v>
      </c>
      <c r="I6688" s="3">
        <v>37</v>
      </c>
      <c r="J6688" s="2">
        <v>123</v>
      </c>
      <c r="K6688" s="3">
        <f t="shared" si="104"/>
        <v>4551</v>
      </c>
      <c r="L6688" s="3">
        <v>2503.0500000000002</v>
      </c>
    </row>
    <row r="6689" spans="1:12" x14ac:dyDescent="0.25">
      <c r="A6689" t="s">
        <v>11</v>
      </c>
      <c r="B6689">
        <v>1128299</v>
      </c>
      <c r="C6689" s="1">
        <v>44486</v>
      </c>
      <c r="D6689" t="s">
        <v>52</v>
      </c>
      <c r="E6689" t="s">
        <v>64</v>
      </c>
      <c r="F6689" t="s">
        <v>65</v>
      </c>
      <c r="G6689" t="s">
        <v>15</v>
      </c>
      <c r="H6689" t="s">
        <v>17</v>
      </c>
      <c r="I6689" s="3">
        <v>34</v>
      </c>
      <c r="J6689" s="2">
        <v>184</v>
      </c>
      <c r="K6689" s="3">
        <f t="shared" si="104"/>
        <v>6256</v>
      </c>
      <c r="L6689" s="3">
        <v>3440.8</v>
      </c>
    </row>
    <row r="6690" spans="1:12" x14ac:dyDescent="0.25">
      <c r="A6690" t="s">
        <v>11</v>
      </c>
      <c r="B6690">
        <v>1128299</v>
      </c>
      <c r="C6690" s="1">
        <v>44486</v>
      </c>
      <c r="D6690" t="s">
        <v>52</v>
      </c>
      <c r="E6690" t="s">
        <v>64</v>
      </c>
      <c r="F6690" t="s">
        <v>65</v>
      </c>
      <c r="G6690" t="s">
        <v>15</v>
      </c>
      <c r="H6690" t="s">
        <v>35</v>
      </c>
      <c r="I6690" s="3">
        <v>33</v>
      </c>
      <c r="J6690" s="2">
        <v>128</v>
      </c>
      <c r="K6690" s="3">
        <f t="shared" si="104"/>
        <v>4224</v>
      </c>
      <c r="L6690" s="3">
        <v>2323.2000000000003</v>
      </c>
    </row>
    <row r="6691" spans="1:12" x14ac:dyDescent="0.25">
      <c r="A6691" t="s">
        <v>11</v>
      </c>
      <c r="B6691">
        <v>1128299</v>
      </c>
      <c r="C6691" s="1">
        <v>44486</v>
      </c>
      <c r="D6691" t="s">
        <v>52</v>
      </c>
      <c r="E6691" t="s">
        <v>64</v>
      </c>
      <c r="F6691" t="s">
        <v>65</v>
      </c>
      <c r="G6691" t="s">
        <v>41</v>
      </c>
      <c r="H6691" t="s">
        <v>16</v>
      </c>
      <c r="I6691" s="3">
        <v>50</v>
      </c>
      <c r="J6691" s="2">
        <v>108</v>
      </c>
      <c r="K6691" s="3">
        <f t="shared" si="104"/>
        <v>5400</v>
      </c>
      <c r="L6691" s="3">
        <v>2862</v>
      </c>
    </row>
    <row r="6692" spans="1:12" x14ac:dyDescent="0.25">
      <c r="A6692" t="s">
        <v>11</v>
      </c>
      <c r="B6692">
        <v>1128299</v>
      </c>
      <c r="C6692" s="1">
        <v>44486</v>
      </c>
      <c r="D6692" t="s">
        <v>52</v>
      </c>
      <c r="E6692" t="s">
        <v>64</v>
      </c>
      <c r="F6692" t="s">
        <v>65</v>
      </c>
      <c r="G6692" t="s">
        <v>15</v>
      </c>
      <c r="H6692" t="s">
        <v>22</v>
      </c>
      <c r="I6692" s="3">
        <v>39</v>
      </c>
      <c r="J6692" s="2">
        <v>112</v>
      </c>
      <c r="K6692" s="3">
        <f t="shared" si="104"/>
        <v>4368</v>
      </c>
      <c r="L6692" s="3">
        <v>2271.36</v>
      </c>
    </row>
    <row r="6693" spans="1:12" x14ac:dyDescent="0.25">
      <c r="A6693" t="s">
        <v>26</v>
      </c>
      <c r="B6693">
        <v>1185732</v>
      </c>
      <c r="C6693" s="1">
        <v>44486</v>
      </c>
      <c r="D6693" t="s">
        <v>57</v>
      </c>
      <c r="E6693" t="s">
        <v>70</v>
      </c>
      <c r="F6693" t="s">
        <v>71</v>
      </c>
      <c r="G6693" t="s">
        <v>41</v>
      </c>
      <c r="H6693" t="s">
        <v>37</v>
      </c>
      <c r="I6693" s="3">
        <v>38</v>
      </c>
      <c r="J6693" s="2">
        <v>116</v>
      </c>
      <c r="K6693" s="3">
        <f t="shared" si="104"/>
        <v>4408</v>
      </c>
      <c r="L6693" s="3">
        <v>2204</v>
      </c>
    </row>
    <row r="6694" spans="1:12" x14ac:dyDescent="0.25">
      <c r="A6694" t="s">
        <v>11</v>
      </c>
      <c r="B6694">
        <v>1128299</v>
      </c>
      <c r="C6694" s="1">
        <v>44486</v>
      </c>
      <c r="D6694" t="s">
        <v>52</v>
      </c>
      <c r="E6694" t="s">
        <v>64</v>
      </c>
      <c r="F6694" t="s">
        <v>65</v>
      </c>
      <c r="G6694" t="s">
        <v>41</v>
      </c>
      <c r="H6694" t="s">
        <v>35</v>
      </c>
      <c r="I6694" s="3">
        <v>42</v>
      </c>
      <c r="J6694" s="2">
        <v>100</v>
      </c>
      <c r="K6694" s="3">
        <f t="shared" si="104"/>
        <v>4200</v>
      </c>
      <c r="L6694" s="3">
        <v>2100</v>
      </c>
    </row>
    <row r="6695" spans="1:12" x14ac:dyDescent="0.25">
      <c r="A6695" t="s">
        <v>11</v>
      </c>
      <c r="B6695">
        <v>1128299</v>
      </c>
      <c r="C6695" s="1">
        <v>44486</v>
      </c>
      <c r="D6695" t="s">
        <v>52</v>
      </c>
      <c r="E6695" t="s">
        <v>64</v>
      </c>
      <c r="F6695" t="s">
        <v>65</v>
      </c>
      <c r="G6695" t="s">
        <v>41</v>
      </c>
      <c r="H6695" t="s">
        <v>37</v>
      </c>
      <c r="I6695" s="3">
        <v>36</v>
      </c>
      <c r="J6695" s="2">
        <v>105</v>
      </c>
      <c r="K6695" s="3">
        <f t="shared" si="104"/>
        <v>3780</v>
      </c>
      <c r="L6695" s="3">
        <v>1890</v>
      </c>
    </row>
    <row r="6696" spans="1:12" x14ac:dyDescent="0.25">
      <c r="A6696" t="s">
        <v>19</v>
      </c>
      <c r="B6696">
        <v>1185732</v>
      </c>
      <c r="C6696" s="1">
        <v>44486</v>
      </c>
      <c r="D6696" t="s">
        <v>29</v>
      </c>
      <c r="E6696" t="s">
        <v>105</v>
      </c>
      <c r="F6696" t="s">
        <v>47</v>
      </c>
      <c r="G6696" t="s">
        <v>41</v>
      </c>
      <c r="H6696" t="s">
        <v>16</v>
      </c>
      <c r="I6696" s="3">
        <v>47</v>
      </c>
      <c r="J6696" s="2">
        <v>84</v>
      </c>
      <c r="K6696" s="3">
        <f t="shared" si="104"/>
        <v>3948</v>
      </c>
      <c r="L6696" s="3">
        <v>1974</v>
      </c>
    </row>
    <row r="6697" spans="1:12" x14ac:dyDescent="0.25">
      <c r="A6697" t="s">
        <v>26</v>
      </c>
      <c r="B6697">
        <v>1185732</v>
      </c>
      <c r="C6697" s="1">
        <v>44486</v>
      </c>
      <c r="D6697" t="s">
        <v>57</v>
      </c>
      <c r="E6697" t="s">
        <v>70</v>
      </c>
      <c r="F6697" t="s">
        <v>71</v>
      </c>
      <c r="G6697" t="s">
        <v>41</v>
      </c>
      <c r="H6697" t="s">
        <v>17</v>
      </c>
      <c r="I6697" s="3">
        <v>37</v>
      </c>
      <c r="J6697" s="2">
        <v>167</v>
      </c>
      <c r="K6697" s="3">
        <f t="shared" si="104"/>
        <v>6179</v>
      </c>
      <c r="L6697" s="3">
        <v>3027.71</v>
      </c>
    </row>
    <row r="6698" spans="1:12" x14ac:dyDescent="0.25">
      <c r="A6698" t="s">
        <v>26</v>
      </c>
      <c r="B6698">
        <v>1197831</v>
      </c>
      <c r="C6698" s="1">
        <v>44486</v>
      </c>
      <c r="D6698" t="s">
        <v>52</v>
      </c>
      <c r="E6698" t="s">
        <v>53</v>
      </c>
      <c r="F6698" t="s">
        <v>54</v>
      </c>
      <c r="G6698" t="s">
        <v>41</v>
      </c>
      <c r="H6698" t="s">
        <v>17</v>
      </c>
      <c r="I6698" s="3">
        <v>56</v>
      </c>
      <c r="J6698" s="2">
        <v>231</v>
      </c>
      <c r="K6698" s="3">
        <f t="shared" si="104"/>
        <v>12936</v>
      </c>
      <c r="L6698" s="3">
        <v>6209.28</v>
      </c>
    </row>
    <row r="6699" spans="1:12" x14ac:dyDescent="0.25">
      <c r="A6699" t="s">
        <v>36</v>
      </c>
      <c r="B6699">
        <v>1185732</v>
      </c>
      <c r="C6699" s="1">
        <v>44486</v>
      </c>
      <c r="D6699" t="s">
        <v>29</v>
      </c>
      <c r="E6699" t="s">
        <v>30</v>
      </c>
      <c r="F6699" t="s">
        <v>31</v>
      </c>
      <c r="G6699" t="s">
        <v>41</v>
      </c>
      <c r="H6699" t="s">
        <v>16</v>
      </c>
      <c r="I6699" s="3">
        <v>38</v>
      </c>
      <c r="J6699" s="2">
        <v>68</v>
      </c>
      <c r="K6699" s="3">
        <f t="shared" si="104"/>
        <v>2584</v>
      </c>
      <c r="L6699" s="3">
        <v>1240.32</v>
      </c>
    </row>
    <row r="6700" spans="1:12" x14ac:dyDescent="0.25">
      <c r="A6700" t="s">
        <v>11</v>
      </c>
      <c r="B6700">
        <v>1185732</v>
      </c>
      <c r="C6700" s="1">
        <v>44486</v>
      </c>
      <c r="D6700" t="s">
        <v>29</v>
      </c>
      <c r="E6700" t="s">
        <v>105</v>
      </c>
      <c r="F6700" t="s">
        <v>47</v>
      </c>
      <c r="G6700" t="s">
        <v>41</v>
      </c>
      <c r="H6700" t="s">
        <v>17</v>
      </c>
      <c r="I6700" s="3">
        <v>32</v>
      </c>
      <c r="J6700" s="2">
        <v>80</v>
      </c>
      <c r="K6700" s="3">
        <f t="shared" si="104"/>
        <v>2560</v>
      </c>
      <c r="L6700" s="3">
        <v>1228.8</v>
      </c>
    </row>
    <row r="6701" spans="1:12" x14ac:dyDescent="0.25">
      <c r="A6701" t="s">
        <v>23</v>
      </c>
      <c r="B6701">
        <v>1128299</v>
      </c>
      <c r="C6701" s="1">
        <v>44486</v>
      </c>
      <c r="D6701" t="s">
        <v>32</v>
      </c>
      <c r="E6701" t="s">
        <v>33</v>
      </c>
      <c r="F6701" t="s">
        <v>34</v>
      </c>
      <c r="G6701" t="s">
        <v>15</v>
      </c>
      <c r="H6701" t="s">
        <v>16</v>
      </c>
      <c r="I6701" s="3">
        <v>53</v>
      </c>
      <c r="J6701" s="2">
        <v>140</v>
      </c>
      <c r="K6701" s="3">
        <f t="shared" si="104"/>
        <v>7420</v>
      </c>
      <c r="L6701" s="3">
        <v>3561.6</v>
      </c>
    </row>
    <row r="6702" spans="1:12" x14ac:dyDescent="0.25">
      <c r="A6702" t="s">
        <v>11</v>
      </c>
      <c r="B6702">
        <v>1185732</v>
      </c>
      <c r="C6702" s="1">
        <v>44486</v>
      </c>
      <c r="D6702" t="s">
        <v>29</v>
      </c>
      <c r="E6702" t="s">
        <v>105</v>
      </c>
      <c r="F6702" t="s">
        <v>47</v>
      </c>
      <c r="G6702" t="s">
        <v>41</v>
      </c>
      <c r="H6702" t="s">
        <v>35</v>
      </c>
      <c r="I6702" s="3">
        <v>33</v>
      </c>
      <c r="J6702" s="2">
        <v>44</v>
      </c>
      <c r="K6702" s="3">
        <f t="shared" si="104"/>
        <v>1452</v>
      </c>
      <c r="L6702" s="3">
        <v>682.43999999999994</v>
      </c>
    </row>
    <row r="6703" spans="1:12" x14ac:dyDescent="0.25">
      <c r="A6703" t="s">
        <v>11</v>
      </c>
      <c r="B6703">
        <v>1185732</v>
      </c>
      <c r="C6703" s="1">
        <v>44486</v>
      </c>
      <c r="D6703" t="s">
        <v>29</v>
      </c>
      <c r="E6703" t="s">
        <v>105</v>
      </c>
      <c r="F6703" t="s">
        <v>47</v>
      </c>
      <c r="G6703" t="s">
        <v>41</v>
      </c>
      <c r="H6703" t="s">
        <v>37</v>
      </c>
      <c r="I6703" s="3">
        <v>32</v>
      </c>
      <c r="J6703" s="2">
        <v>47</v>
      </c>
      <c r="K6703" s="3">
        <f t="shared" si="104"/>
        <v>1504</v>
      </c>
      <c r="L6703" s="3">
        <v>706.88</v>
      </c>
    </row>
    <row r="6704" spans="1:12" x14ac:dyDescent="0.25">
      <c r="A6704" t="s">
        <v>11</v>
      </c>
      <c r="B6704">
        <v>1128299</v>
      </c>
      <c r="C6704" s="1">
        <v>44486</v>
      </c>
      <c r="D6704" t="s">
        <v>52</v>
      </c>
      <c r="E6704" t="s">
        <v>64</v>
      </c>
      <c r="F6704" t="s">
        <v>65</v>
      </c>
      <c r="G6704" t="s">
        <v>41</v>
      </c>
      <c r="H6704" t="s">
        <v>38</v>
      </c>
      <c r="I6704" s="3">
        <v>34</v>
      </c>
      <c r="J6704" s="2">
        <v>112</v>
      </c>
      <c r="K6704" s="3">
        <f t="shared" si="104"/>
        <v>3808</v>
      </c>
      <c r="L6704" s="3">
        <v>1751.6799999999998</v>
      </c>
    </row>
    <row r="6705" spans="1:12" x14ac:dyDescent="0.25">
      <c r="A6705" t="s">
        <v>11</v>
      </c>
      <c r="B6705">
        <v>1185732</v>
      </c>
      <c r="C6705" s="1">
        <v>44486</v>
      </c>
      <c r="D6705" t="s">
        <v>29</v>
      </c>
      <c r="E6705" t="s">
        <v>105</v>
      </c>
      <c r="F6705" t="s">
        <v>47</v>
      </c>
      <c r="G6705" t="s">
        <v>41</v>
      </c>
      <c r="H6705" t="s">
        <v>38</v>
      </c>
      <c r="I6705" s="3">
        <v>41</v>
      </c>
      <c r="J6705" s="2">
        <v>115</v>
      </c>
      <c r="K6705" s="3">
        <f t="shared" si="104"/>
        <v>4715</v>
      </c>
      <c r="L6705" s="3">
        <v>2168.8999999999996</v>
      </c>
    </row>
    <row r="6706" spans="1:12" x14ac:dyDescent="0.25">
      <c r="A6706" t="s">
        <v>26</v>
      </c>
      <c r="B6706">
        <v>1185732</v>
      </c>
      <c r="C6706" s="1">
        <v>44486</v>
      </c>
      <c r="D6706" t="s">
        <v>57</v>
      </c>
      <c r="E6706" t="s">
        <v>70</v>
      </c>
      <c r="F6706" t="s">
        <v>71</v>
      </c>
      <c r="G6706" t="s">
        <v>41</v>
      </c>
      <c r="H6706" t="s">
        <v>22</v>
      </c>
      <c r="I6706" s="3">
        <v>48</v>
      </c>
      <c r="J6706" s="2">
        <v>112</v>
      </c>
      <c r="K6706" s="3">
        <f t="shared" si="104"/>
        <v>5376</v>
      </c>
      <c r="L6706" s="3">
        <v>2419.2000000000003</v>
      </c>
    </row>
    <row r="6707" spans="1:12" x14ac:dyDescent="0.25">
      <c r="A6707" t="s">
        <v>11</v>
      </c>
      <c r="B6707">
        <v>1128299</v>
      </c>
      <c r="C6707" s="1">
        <v>44486</v>
      </c>
      <c r="D6707" t="s">
        <v>52</v>
      </c>
      <c r="E6707" t="s">
        <v>64</v>
      </c>
      <c r="F6707" t="s">
        <v>65</v>
      </c>
      <c r="G6707" t="s">
        <v>41</v>
      </c>
      <c r="H6707" t="s">
        <v>17</v>
      </c>
      <c r="I6707" s="3">
        <v>45</v>
      </c>
      <c r="J6707" s="2">
        <v>155</v>
      </c>
      <c r="K6707" s="3">
        <f t="shared" si="104"/>
        <v>6975</v>
      </c>
      <c r="L6707" s="3">
        <v>3138.7500000000005</v>
      </c>
    </row>
    <row r="6708" spans="1:12" x14ac:dyDescent="0.25">
      <c r="A6708" t="s">
        <v>11</v>
      </c>
      <c r="B6708">
        <v>1185732</v>
      </c>
      <c r="C6708" s="1">
        <v>44486</v>
      </c>
      <c r="D6708" t="s">
        <v>29</v>
      </c>
      <c r="E6708" t="s">
        <v>105</v>
      </c>
      <c r="F6708" t="s">
        <v>47</v>
      </c>
      <c r="G6708" t="s">
        <v>41</v>
      </c>
      <c r="H6708" t="s">
        <v>22</v>
      </c>
      <c r="I6708" s="3">
        <v>41</v>
      </c>
      <c r="J6708" s="2">
        <v>53</v>
      </c>
      <c r="K6708" s="3">
        <f t="shared" si="104"/>
        <v>2173</v>
      </c>
      <c r="L6708" s="3">
        <v>977.84999999999991</v>
      </c>
    </row>
    <row r="6709" spans="1:12" x14ac:dyDescent="0.25">
      <c r="A6709" t="s">
        <v>23</v>
      </c>
      <c r="B6709">
        <v>1128299</v>
      </c>
      <c r="C6709" s="1">
        <v>44486</v>
      </c>
      <c r="D6709" t="s">
        <v>32</v>
      </c>
      <c r="E6709" t="s">
        <v>33</v>
      </c>
      <c r="F6709" t="s">
        <v>34</v>
      </c>
      <c r="G6709" t="s">
        <v>41</v>
      </c>
      <c r="H6709" t="s">
        <v>16</v>
      </c>
      <c r="I6709" s="3">
        <v>65</v>
      </c>
      <c r="J6709" s="2">
        <v>104</v>
      </c>
      <c r="K6709" s="3">
        <f t="shared" si="104"/>
        <v>6760</v>
      </c>
      <c r="L6709" s="3">
        <v>2839.1999999999994</v>
      </c>
    </row>
    <row r="6710" spans="1:12" x14ac:dyDescent="0.25">
      <c r="A6710" t="s">
        <v>11</v>
      </c>
      <c r="B6710">
        <v>1128299</v>
      </c>
      <c r="C6710" s="1">
        <v>44486</v>
      </c>
      <c r="D6710" t="s">
        <v>52</v>
      </c>
      <c r="E6710" t="s">
        <v>64</v>
      </c>
      <c r="F6710" t="s">
        <v>65</v>
      </c>
      <c r="G6710" t="s">
        <v>41</v>
      </c>
      <c r="H6710" t="s">
        <v>22</v>
      </c>
      <c r="I6710" s="3">
        <v>47</v>
      </c>
      <c r="J6710" s="2">
        <v>95</v>
      </c>
      <c r="K6710" s="3">
        <f t="shared" si="104"/>
        <v>4465</v>
      </c>
      <c r="L6710" s="3">
        <v>1830.6499999999996</v>
      </c>
    </row>
    <row r="6711" spans="1:12" x14ac:dyDescent="0.25">
      <c r="A6711" t="s">
        <v>26</v>
      </c>
      <c r="B6711">
        <v>1185732</v>
      </c>
      <c r="C6711" s="1">
        <v>44486</v>
      </c>
      <c r="D6711" t="s">
        <v>57</v>
      </c>
      <c r="E6711" t="s">
        <v>70</v>
      </c>
      <c r="F6711" t="s">
        <v>71</v>
      </c>
      <c r="G6711" t="s">
        <v>41</v>
      </c>
      <c r="H6711" t="s">
        <v>38</v>
      </c>
      <c r="I6711" s="3">
        <v>49</v>
      </c>
      <c r="J6711" s="2">
        <v>225</v>
      </c>
      <c r="K6711" s="3">
        <f t="shared" si="104"/>
        <v>11025</v>
      </c>
      <c r="L6711" s="3">
        <v>4299.75</v>
      </c>
    </row>
    <row r="6712" spans="1:12" x14ac:dyDescent="0.25">
      <c r="A6712" t="s">
        <v>26</v>
      </c>
      <c r="B6712">
        <v>1185732</v>
      </c>
      <c r="C6712" s="1">
        <v>44486</v>
      </c>
      <c r="D6712" t="s">
        <v>57</v>
      </c>
      <c r="E6712" t="s">
        <v>70</v>
      </c>
      <c r="F6712" t="s">
        <v>71</v>
      </c>
      <c r="G6712" t="s">
        <v>41</v>
      </c>
      <c r="H6712" t="s">
        <v>16</v>
      </c>
      <c r="I6712" s="3">
        <v>52</v>
      </c>
      <c r="J6712" s="2">
        <v>137</v>
      </c>
      <c r="K6712" s="3">
        <f t="shared" si="104"/>
        <v>7124</v>
      </c>
      <c r="L6712" s="3">
        <v>2137.1999999999998</v>
      </c>
    </row>
    <row r="6713" spans="1:12" x14ac:dyDescent="0.25">
      <c r="A6713" t="s">
        <v>23</v>
      </c>
      <c r="B6713">
        <v>1185732</v>
      </c>
      <c r="C6713" s="1">
        <v>44487</v>
      </c>
      <c r="D6713" t="s">
        <v>52</v>
      </c>
      <c r="E6713" t="s">
        <v>112</v>
      </c>
      <c r="F6713" t="s">
        <v>113</v>
      </c>
      <c r="G6713" t="s">
        <v>41</v>
      </c>
      <c r="H6713" t="s">
        <v>22</v>
      </c>
      <c r="I6713" s="3">
        <v>35.000000000000007</v>
      </c>
      <c r="J6713" s="2">
        <v>350</v>
      </c>
      <c r="K6713" s="3">
        <f t="shared" si="104"/>
        <v>12250.000000000002</v>
      </c>
      <c r="L6713" s="3">
        <v>7962.5000000000027</v>
      </c>
    </row>
    <row r="6714" spans="1:12" x14ac:dyDescent="0.25">
      <c r="A6714" t="s">
        <v>23</v>
      </c>
      <c r="B6714">
        <v>1185732</v>
      </c>
      <c r="C6714" s="1">
        <v>44487</v>
      </c>
      <c r="D6714" t="s">
        <v>52</v>
      </c>
      <c r="E6714" t="s">
        <v>112</v>
      </c>
      <c r="F6714" t="s">
        <v>113</v>
      </c>
      <c r="G6714" t="s">
        <v>41</v>
      </c>
      <c r="H6714" t="s">
        <v>17</v>
      </c>
      <c r="I6714" s="3">
        <v>25.000000000000011</v>
      </c>
      <c r="J6714" s="2">
        <v>500</v>
      </c>
      <c r="K6714" s="3">
        <f t="shared" si="104"/>
        <v>12500.000000000005</v>
      </c>
      <c r="L6714" s="3">
        <v>8125.0000000000045</v>
      </c>
    </row>
    <row r="6715" spans="1:12" x14ac:dyDescent="0.25">
      <c r="A6715" t="s">
        <v>36</v>
      </c>
      <c r="B6715">
        <v>1185732</v>
      </c>
      <c r="C6715" s="1">
        <v>44487</v>
      </c>
      <c r="D6715" t="s">
        <v>29</v>
      </c>
      <c r="E6715" t="s">
        <v>30</v>
      </c>
      <c r="F6715" t="s">
        <v>31</v>
      </c>
      <c r="G6715" t="s">
        <v>15</v>
      </c>
      <c r="H6715" t="s">
        <v>38</v>
      </c>
      <c r="I6715" s="3">
        <v>40</v>
      </c>
      <c r="J6715" s="2">
        <v>500</v>
      </c>
      <c r="K6715" s="3">
        <f t="shared" si="104"/>
        <v>20000</v>
      </c>
      <c r="L6715" s="3">
        <v>13000</v>
      </c>
    </row>
    <row r="6716" spans="1:12" x14ac:dyDescent="0.25">
      <c r="A6716" t="s">
        <v>19</v>
      </c>
      <c r="B6716">
        <v>1185732</v>
      </c>
      <c r="C6716" s="1">
        <v>44487</v>
      </c>
      <c r="D6716" t="s">
        <v>57</v>
      </c>
      <c r="E6716" t="s">
        <v>106</v>
      </c>
      <c r="F6716" t="s">
        <v>107</v>
      </c>
      <c r="G6716" t="s">
        <v>18</v>
      </c>
      <c r="H6716" t="s">
        <v>17</v>
      </c>
      <c r="I6716" s="3">
        <v>25</v>
      </c>
      <c r="J6716" s="2">
        <v>350</v>
      </c>
      <c r="K6716" s="3">
        <f t="shared" si="104"/>
        <v>8750</v>
      </c>
      <c r="L6716" s="3">
        <v>5687.5</v>
      </c>
    </row>
    <row r="6717" spans="1:12" x14ac:dyDescent="0.25">
      <c r="A6717" t="s">
        <v>19</v>
      </c>
      <c r="B6717">
        <v>1185732</v>
      </c>
      <c r="C6717" s="1">
        <v>44487</v>
      </c>
      <c r="D6717" t="s">
        <v>57</v>
      </c>
      <c r="E6717" t="s">
        <v>106</v>
      </c>
      <c r="F6717" t="s">
        <v>107</v>
      </c>
      <c r="G6717" t="s">
        <v>18</v>
      </c>
      <c r="H6717" t="s">
        <v>35</v>
      </c>
      <c r="I6717" s="3">
        <v>25</v>
      </c>
      <c r="J6717" s="2">
        <v>250</v>
      </c>
      <c r="K6717" s="3">
        <f t="shared" si="104"/>
        <v>6250</v>
      </c>
      <c r="L6717" s="3">
        <v>4062.5</v>
      </c>
    </row>
    <row r="6718" spans="1:12" x14ac:dyDescent="0.25">
      <c r="A6718" t="s">
        <v>19</v>
      </c>
      <c r="B6718">
        <v>1185732</v>
      </c>
      <c r="C6718" s="1">
        <v>44487</v>
      </c>
      <c r="D6718" t="s">
        <v>57</v>
      </c>
      <c r="E6718" t="s">
        <v>106</v>
      </c>
      <c r="F6718" t="s">
        <v>107</v>
      </c>
      <c r="G6718" t="s">
        <v>18</v>
      </c>
      <c r="H6718" t="s">
        <v>22</v>
      </c>
      <c r="I6718" s="3">
        <v>35</v>
      </c>
      <c r="J6718" s="2">
        <v>225</v>
      </c>
      <c r="K6718" s="3">
        <f t="shared" si="104"/>
        <v>7875</v>
      </c>
      <c r="L6718" s="3">
        <v>5118.75</v>
      </c>
    </row>
    <row r="6719" spans="1:12" x14ac:dyDescent="0.25">
      <c r="A6719" t="s">
        <v>23</v>
      </c>
      <c r="B6719">
        <v>1185732</v>
      </c>
      <c r="C6719" s="1">
        <v>44487</v>
      </c>
      <c r="D6719" t="s">
        <v>52</v>
      </c>
      <c r="E6719" t="s">
        <v>112</v>
      </c>
      <c r="F6719" t="s">
        <v>113</v>
      </c>
      <c r="G6719" t="s">
        <v>41</v>
      </c>
      <c r="H6719" t="s">
        <v>38</v>
      </c>
      <c r="I6719" s="3">
        <v>35.000000000000007</v>
      </c>
      <c r="J6719" s="2">
        <v>675</v>
      </c>
      <c r="K6719" s="3">
        <f t="shared" si="104"/>
        <v>23625.000000000004</v>
      </c>
      <c r="L6719" s="3">
        <v>14175.000000000004</v>
      </c>
    </row>
    <row r="6720" spans="1:12" x14ac:dyDescent="0.25">
      <c r="A6720" t="s">
        <v>26</v>
      </c>
      <c r="B6720">
        <v>1197831</v>
      </c>
      <c r="C6720" s="1">
        <v>44487</v>
      </c>
      <c r="D6720" t="s">
        <v>52</v>
      </c>
      <c r="E6720" t="s">
        <v>53</v>
      </c>
      <c r="F6720" t="s">
        <v>54</v>
      </c>
      <c r="G6720" t="s">
        <v>15</v>
      </c>
      <c r="H6720" t="s">
        <v>35</v>
      </c>
      <c r="I6720" s="3">
        <v>65</v>
      </c>
      <c r="J6720" s="2">
        <v>725</v>
      </c>
      <c r="K6720" s="3">
        <f t="shared" si="104"/>
        <v>47125</v>
      </c>
      <c r="L6720" s="3">
        <v>28275</v>
      </c>
    </row>
    <row r="6721" spans="1:12" x14ac:dyDescent="0.25">
      <c r="A6721" t="s">
        <v>19</v>
      </c>
      <c r="B6721">
        <v>1185732</v>
      </c>
      <c r="C6721" s="1">
        <v>44487</v>
      </c>
      <c r="D6721" t="s">
        <v>57</v>
      </c>
      <c r="E6721" t="s">
        <v>106</v>
      </c>
      <c r="F6721" t="s">
        <v>107</v>
      </c>
      <c r="G6721" t="s">
        <v>18</v>
      </c>
      <c r="H6721" t="s">
        <v>38</v>
      </c>
      <c r="I6721" s="3">
        <v>35</v>
      </c>
      <c r="J6721" s="2">
        <v>525</v>
      </c>
      <c r="K6721" s="3">
        <f t="shared" si="104"/>
        <v>18375</v>
      </c>
      <c r="L6721" s="3">
        <v>11025</v>
      </c>
    </row>
    <row r="6722" spans="1:12" x14ac:dyDescent="0.25">
      <c r="A6722" t="s">
        <v>19</v>
      </c>
      <c r="B6722">
        <v>1185732</v>
      </c>
      <c r="C6722" s="1">
        <v>44487</v>
      </c>
      <c r="D6722" t="s">
        <v>57</v>
      </c>
      <c r="E6722" t="s">
        <v>106</v>
      </c>
      <c r="F6722" t="s">
        <v>107</v>
      </c>
      <c r="G6722" t="s">
        <v>18</v>
      </c>
      <c r="H6722" t="s">
        <v>37</v>
      </c>
      <c r="I6722" s="3">
        <v>25</v>
      </c>
      <c r="J6722" s="2">
        <v>225</v>
      </c>
      <c r="K6722" s="3">
        <f t="shared" si="104"/>
        <v>5625</v>
      </c>
      <c r="L6722" s="3">
        <v>3375</v>
      </c>
    </row>
    <row r="6723" spans="1:12" x14ac:dyDescent="0.25">
      <c r="A6723" t="s">
        <v>23</v>
      </c>
      <c r="B6723">
        <v>1185732</v>
      </c>
      <c r="C6723" s="1">
        <v>44487</v>
      </c>
      <c r="D6723" t="s">
        <v>52</v>
      </c>
      <c r="E6723" t="s">
        <v>112</v>
      </c>
      <c r="F6723" t="s">
        <v>113</v>
      </c>
      <c r="G6723" t="s">
        <v>41</v>
      </c>
      <c r="H6723" t="s">
        <v>35</v>
      </c>
      <c r="I6723" s="3">
        <v>25.000000000000011</v>
      </c>
      <c r="J6723" s="2">
        <v>375</v>
      </c>
      <c r="K6723" s="3">
        <f t="shared" ref="K6723:K6786" si="105">I6723*J6723</f>
        <v>9375.0000000000036</v>
      </c>
      <c r="L6723" s="3">
        <v>5625.0000000000018</v>
      </c>
    </row>
    <row r="6724" spans="1:12" x14ac:dyDescent="0.25">
      <c r="A6724" t="s">
        <v>23</v>
      </c>
      <c r="B6724">
        <v>1185732</v>
      </c>
      <c r="C6724" s="1">
        <v>44487</v>
      </c>
      <c r="D6724" t="s">
        <v>52</v>
      </c>
      <c r="E6724" t="s">
        <v>112</v>
      </c>
      <c r="F6724" t="s">
        <v>113</v>
      </c>
      <c r="G6724" t="s">
        <v>41</v>
      </c>
      <c r="H6724" t="s">
        <v>37</v>
      </c>
      <c r="I6724" s="3">
        <v>25.000000000000011</v>
      </c>
      <c r="J6724" s="2">
        <v>350</v>
      </c>
      <c r="K6724" s="3">
        <f t="shared" si="105"/>
        <v>8750.0000000000036</v>
      </c>
      <c r="L6724" s="3">
        <v>5250.0000000000018</v>
      </c>
    </row>
    <row r="6725" spans="1:12" x14ac:dyDescent="0.25">
      <c r="A6725" t="s">
        <v>26</v>
      </c>
      <c r="B6725">
        <v>1185732</v>
      </c>
      <c r="C6725" s="1">
        <v>44487</v>
      </c>
      <c r="D6725" t="s">
        <v>52</v>
      </c>
      <c r="E6725" t="s">
        <v>112</v>
      </c>
      <c r="F6725" t="s">
        <v>113</v>
      </c>
      <c r="G6725" t="s">
        <v>41</v>
      </c>
      <c r="H6725" t="s">
        <v>16</v>
      </c>
      <c r="I6725" s="3">
        <v>35</v>
      </c>
      <c r="J6725" s="2">
        <v>475</v>
      </c>
      <c r="K6725" s="3">
        <f t="shared" si="105"/>
        <v>16625</v>
      </c>
      <c r="L6725" s="3">
        <v>8312.5</v>
      </c>
    </row>
    <row r="6726" spans="1:12" x14ac:dyDescent="0.25">
      <c r="A6726" t="s">
        <v>19</v>
      </c>
      <c r="B6726">
        <v>1185732</v>
      </c>
      <c r="C6726" s="1">
        <v>44487</v>
      </c>
      <c r="D6726" t="s">
        <v>57</v>
      </c>
      <c r="E6726" t="s">
        <v>106</v>
      </c>
      <c r="F6726" t="s">
        <v>107</v>
      </c>
      <c r="G6726" t="s">
        <v>18</v>
      </c>
      <c r="H6726" t="s">
        <v>16</v>
      </c>
      <c r="I6726" s="3">
        <v>39.999999999999993</v>
      </c>
      <c r="J6726" s="2">
        <v>350</v>
      </c>
      <c r="K6726" s="3">
        <f t="shared" si="105"/>
        <v>13999.999999999998</v>
      </c>
      <c r="L6726" s="3">
        <v>6999.9999999999982</v>
      </c>
    </row>
    <row r="6727" spans="1:12" x14ac:dyDescent="0.25">
      <c r="A6727" t="s">
        <v>23</v>
      </c>
      <c r="B6727">
        <v>1185732</v>
      </c>
      <c r="C6727" s="1">
        <v>44487</v>
      </c>
      <c r="D6727" t="s">
        <v>52</v>
      </c>
      <c r="E6727" t="s">
        <v>112</v>
      </c>
      <c r="F6727" t="s">
        <v>113</v>
      </c>
      <c r="G6727" t="s">
        <v>15</v>
      </c>
      <c r="H6727" t="s">
        <v>17</v>
      </c>
      <c r="I6727" s="3">
        <v>17</v>
      </c>
      <c r="J6727" s="2">
        <v>165</v>
      </c>
      <c r="K6727" s="3">
        <f t="shared" si="105"/>
        <v>2805</v>
      </c>
      <c r="L6727" s="3">
        <v>1767.15</v>
      </c>
    </row>
    <row r="6728" spans="1:12" x14ac:dyDescent="0.25">
      <c r="A6728" t="s">
        <v>23</v>
      </c>
      <c r="B6728">
        <v>1185732</v>
      </c>
      <c r="C6728" s="1">
        <v>44487</v>
      </c>
      <c r="D6728" t="s">
        <v>52</v>
      </c>
      <c r="E6728" t="s">
        <v>112</v>
      </c>
      <c r="F6728" t="s">
        <v>113</v>
      </c>
      <c r="G6728" t="s">
        <v>15</v>
      </c>
      <c r="H6728" t="s">
        <v>22</v>
      </c>
      <c r="I6728" s="3">
        <v>25</v>
      </c>
      <c r="J6728" s="2">
        <v>105</v>
      </c>
      <c r="K6728" s="3">
        <f t="shared" si="105"/>
        <v>2625</v>
      </c>
      <c r="L6728" s="3">
        <v>1522.5</v>
      </c>
    </row>
    <row r="6729" spans="1:12" x14ac:dyDescent="0.25">
      <c r="A6729" t="s">
        <v>26</v>
      </c>
      <c r="B6729">
        <v>1197831</v>
      </c>
      <c r="C6729" s="1">
        <v>44487</v>
      </c>
      <c r="D6729" t="s">
        <v>52</v>
      </c>
      <c r="E6729" t="s">
        <v>53</v>
      </c>
      <c r="F6729" t="s">
        <v>54</v>
      </c>
      <c r="G6729" t="s">
        <v>15</v>
      </c>
      <c r="H6729" t="s">
        <v>35</v>
      </c>
      <c r="I6729" s="3">
        <v>46</v>
      </c>
      <c r="J6729" s="2">
        <v>239</v>
      </c>
      <c r="K6729" s="3">
        <f t="shared" si="105"/>
        <v>10994</v>
      </c>
      <c r="L6729" s="3">
        <v>6156.64</v>
      </c>
    </row>
    <row r="6730" spans="1:12" x14ac:dyDescent="0.25">
      <c r="A6730" t="s">
        <v>23</v>
      </c>
      <c r="B6730">
        <v>1185732</v>
      </c>
      <c r="C6730" s="1">
        <v>44487</v>
      </c>
      <c r="D6730" t="s">
        <v>52</v>
      </c>
      <c r="E6730" t="s">
        <v>112</v>
      </c>
      <c r="F6730" t="s">
        <v>113</v>
      </c>
      <c r="G6730" t="s">
        <v>41</v>
      </c>
      <c r="H6730" t="s">
        <v>17</v>
      </c>
      <c r="I6730" s="3">
        <v>25</v>
      </c>
      <c r="J6730" s="2">
        <v>145</v>
      </c>
      <c r="K6730" s="3">
        <f t="shared" si="105"/>
        <v>3625</v>
      </c>
      <c r="L6730" s="3">
        <v>1993.7500000000002</v>
      </c>
    </row>
    <row r="6731" spans="1:12" x14ac:dyDescent="0.25">
      <c r="A6731" t="s">
        <v>23</v>
      </c>
      <c r="B6731">
        <v>1185732</v>
      </c>
      <c r="C6731" s="1">
        <v>44487</v>
      </c>
      <c r="D6731" t="s">
        <v>52</v>
      </c>
      <c r="E6731" t="s">
        <v>112</v>
      </c>
      <c r="F6731" t="s">
        <v>113</v>
      </c>
      <c r="G6731" t="s">
        <v>15</v>
      </c>
      <c r="H6731" t="s">
        <v>37</v>
      </c>
      <c r="I6731" s="3">
        <v>20</v>
      </c>
      <c r="J6731" s="2">
        <v>109</v>
      </c>
      <c r="K6731" s="3">
        <f t="shared" si="105"/>
        <v>2180</v>
      </c>
      <c r="L6731" s="3">
        <v>1199</v>
      </c>
    </row>
    <row r="6732" spans="1:12" x14ac:dyDescent="0.25">
      <c r="A6732" t="s">
        <v>23</v>
      </c>
      <c r="B6732">
        <v>1185732</v>
      </c>
      <c r="C6732" s="1">
        <v>44487</v>
      </c>
      <c r="D6732" t="s">
        <v>52</v>
      </c>
      <c r="E6732" t="s">
        <v>112</v>
      </c>
      <c r="F6732" t="s">
        <v>113</v>
      </c>
      <c r="G6732" t="s">
        <v>15</v>
      </c>
      <c r="H6732" t="s">
        <v>38</v>
      </c>
      <c r="I6732" s="3">
        <v>24</v>
      </c>
      <c r="J6732" s="2">
        <v>216</v>
      </c>
      <c r="K6732" s="3">
        <f t="shared" si="105"/>
        <v>5184</v>
      </c>
      <c r="L6732" s="3">
        <v>2799.3599999999997</v>
      </c>
    </row>
    <row r="6733" spans="1:12" x14ac:dyDescent="0.25">
      <c r="A6733" t="s">
        <v>19</v>
      </c>
      <c r="B6733">
        <v>1185732</v>
      </c>
      <c r="C6733" s="1">
        <v>44487</v>
      </c>
      <c r="D6733" t="s">
        <v>57</v>
      </c>
      <c r="E6733" t="s">
        <v>106</v>
      </c>
      <c r="F6733" t="s">
        <v>107</v>
      </c>
      <c r="G6733" t="s">
        <v>41</v>
      </c>
      <c r="H6733" t="s">
        <v>22</v>
      </c>
      <c r="I6733" s="3">
        <v>32</v>
      </c>
      <c r="J6733" s="2">
        <v>68</v>
      </c>
      <c r="K6733" s="3">
        <f t="shared" si="105"/>
        <v>2176</v>
      </c>
      <c r="L6733" s="3">
        <v>1153.2800000000002</v>
      </c>
    </row>
    <row r="6734" spans="1:12" x14ac:dyDescent="0.25">
      <c r="A6734" t="s">
        <v>23</v>
      </c>
      <c r="B6734">
        <v>1185732</v>
      </c>
      <c r="C6734" s="1">
        <v>44487</v>
      </c>
      <c r="D6734" t="s">
        <v>52</v>
      </c>
      <c r="E6734" t="s">
        <v>112</v>
      </c>
      <c r="F6734" t="s">
        <v>113</v>
      </c>
      <c r="G6734" t="s">
        <v>15</v>
      </c>
      <c r="H6734" t="s">
        <v>35</v>
      </c>
      <c r="I6734" s="3">
        <v>19</v>
      </c>
      <c r="J6734" s="2">
        <v>120</v>
      </c>
      <c r="K6734" s="3">
        <f t="shared" si="105"/>
        <v>2280</v>
      </c>
      <c r="L6734" s="3">
        <v>1208.3999999999999</v>
      </c>
    </row>
    <row r="6735" spans="1:12" x14ac:dyDescent="0.25">
      <c r="A6735" t="s">
        <v>19</v>
      </c>
      <c r="B6735">
        <v>1185732</v>
      </c>
      <c r="C6735" s="1">
        <v>44487</v>
      </c>
      <c r="D6735" t="s">
        <v>57</v>
      </c>
      <c r="E6735" t="s">
        <v>106</v>
      </c>
      <c r="F6735" t="s">
        <v>107</v>
      </c>
      <c r="G6735" t="s">
        <v>41</v>
      </c>
      <c r="H6735" t="s">
        <v>35</v>
      </c>
      <c r="I6735" s="3">
        <v>23</v>
      </c>
      <c r="J6735" s="2">
        <v>73</v>
      </c>
      <c r="K6735" s="3">
        <f t="shared" si="105"/>
        <v>1679</v>
      </c>
      <c r="L6735" s="3">
        <v>873.08</v>
      </c>
    </row>
    <row r="6736" spans="1:12" x14ac:dyDescent="0.25">
      <c r="A6736" t="s">
        <v>36</v>
      </c>
      <c r="B6736">
        <v>1185732</v>
      </c>
      <c r="C6736" s="1">
        <v>44487</v>
      </c>
      <c r="D6736" t="s">
        <v>29</v>
      </c>
      <c r="E6736" t="s">
        <v>30</v>
      </c>
      <c r="F6736" t="s">
        <v>31</v>
      </c>
      <c r="G6736" t="s">
        <v>41</v>
      </c>
      <c r="H6736" t="s">
        <v>38</v>
      </c>
      <c r="I6736" s="3">
        <v>38</v>
      </c>
      <c r="J6736" s="2">
        <v>140</v>
      </c>
      <c r="K6736" s="3">
        <f t="shared" si="105"/>
        <v>5320</v>
      </c>
      <c r="L6736" s="3">
        <v>2713.2000000000003</v>
      </c>
    </row>
    <row r="6737" spans="1:12" x14ac:dyDescent="0.25">
      <c r="A6737" t="s">
        <v>19</v>
      </c>
      <c r="B6737">
        <v>1185732</v>
      </c>
      <c r="C6737" s="1">
        <v>44487</v>
      </c>
      <c r="D6737" t="s">
        <v>57</v>
      </c>
      <c r="E6737" t="s">
        <v>106</v>
      </c>
      <c r="F6737" t="s">
        <v>107</v>
      </c>
      <c r="G6737" t="s">
        <v>41</v>
      </c>
      <c r="H6737" t="s">
        <v>17</v>
      </c>
      <c r="I6737" s="3">
        <v>24</v>
      </c>
      <c r="J6737" s="2">
        <v>91</v>
      </c>
      <c r="K6737" s="3">
        <f t="shared" si="105"/>
        <v>2184</v>
      </c>
      <c r="L6737" s="3">
        <v>1092</v>
      </c>
    </row>
    <row r="6738" spans="1:12" x14ac:dyDescent="0.25">
      <c r="A6738" t="s">
        <v>19</v>
      </c>
      <c r="B6738">
        <v>1185732</v>
      </c>
      <c r="C6738" s="1">
        <v>44487</v>
      </c>
      <c r="D6738" t="s">
        <v>57</v>
      </c>
      <c r="E6738" t="s">
        <v>106</v>
      </c>
      <c r="F6738" t="s">
        <v>107</v>
      </c>
      <c r="G6738" t="s">
        <v>41</v>
      </c>
      <c r="H6738" t="s">
        <v>37</v>
      </c>
      <c r="I6738" s="3">
        <v>23</v>
      </c>
      <c r="J6738" s="2">
        <v>59</v>
      </c>
      <c r="K6738" s="3">
        <f t="shared" si="105"/>
        <v>1357</v>
      </c>
      <c r="L6738" s="3">
        <v>678.5</v>
      </c>
    </row>
    <row r="6739" spans="1:12" x14ac:dyDescent="0.25">
      <c r="A6739" t="s">
        <v>23</v>
      </c>
      <c r="B6739">
        <v>1185732</v>
      </c>
      <c r="C6739" s="1">
        <v>44487</v>
      </c>
      <c r="D6739" t="s">
        <v>52</v>
      </c>
      <c r="E6739" t="s">
        <v>112</v>
      </c>
      <c r="F6739" t="s">
        <v>113</v>
      </c>
      <c r="G6739" t="s">
        <v>41</v>
      </c>
      <c r="H6739" t="s">
        <v>37</v>
      </c>
      <c r="I6739" s="3">
        <v>23</v>
      </c>
      <c r="J6739" s="2">
        <v>105</v>
      </c>
      <c r="K6739" s="3">
        <f t="shared" si="105"/>
        <v>2415</v>
      </c>
      <c r="L6739" s="3">
        <v>1207.5</v>
      </c>
    </row>
    <row r="6740" spans="1:12" x14ac:dyDescent="0.25">
      <c r="A6740" t="s">
        <v>23</v>
      </c>
      <c r="B6740">
        <v>1185732</v>
      </c>
      <c r="C6740" s="1">
        <v>44487</v>
      </c>
      <c r="D6740" t="s">
        <v>52</v>
      </c>
      <c r="E6740" t="s">
        <v>112</v>
      </c>
      <c r="F6740" t="s">
        <v>113</v>
      </c>
      <c r="G6740" t="s">
        <v>41</v>
      </c>
      <c r="H6740" t="s">
        <v>22</v>
      </c>
      <c r="I6740" s="3">
        <v>32</v>
      </c>
      <c r="J6740" s="2">
        <v>98</v>
      </c>
      <c r="K6740" s="3">
        <f t="shared" si="105"/>
        <v>3136</v>
      </c>
      <c r="L6740" s="3">
        <v>1568</v>
      </c>
    </row>
    <row r="6741" spans="1:12" x14ac:dyDescent="0.25">
      <c r="A6741" t="s">
        <v>19</v>
      </c>
      <c r="B6741">
        <v>1185732</v>
      </c>
      <c r="C6741" s="1">
        <v>44487</v>
      </c>
      <c r="D6741" t="s">
        <v>57</v>
      </c>
      <c r="E6741" t="s">
        <v>106</v>
      </c>
      <c r="F6741" t="s">
        <v>107</v>
      </c>
      <c r="G6741" t="s">
        <v>41</v>
      </c>
      <c r="H6741" t="s">
        <v>38</v>
      </c>
      <c r="I6741" s="3">
        <v>34</v>
      </c>
      <c r="J6741" s="2">
        <v>131</v>
      </c>
      <c r="K6741" s="3">
        <f t="shared" si="105"/>
        <v>4454</v>
      </c>
      <c r="L6741" s="3">
        <v>2182.46</v>
      </c>
    </row>
    <row r="6742" spans="1:12" x14ac:dyDescent="0.25">
      <c r="A6742" t="s">
        <v>26</v>
      </c>
      <c r="B6742">
        <v>1197831</v>
      </c>
      <c r="C6742" s="1">
        <v>44487</v>
      </c>
      <c r="D6742" t="s">
        <v>52</v>
      </c>
      <c r="E6742" t="s">
        <v>53</v>
      </c>
      <c r="F6742" t="s">
        <v>54</v>
      </c>
      <c r="G6742" t="s">
        <v>41</v>
      </c>
      <c r="H6742" t="s">
        <v>35</v>
      </c>
      <c r="I6742" s="3">
        <v>62</v>
      </c>
      <c r="J6742" s="2">
        <v>189</v>
      </c>
      <c r="K6742" s="3">
        <f t="shared" si="105"/>
        <v>11718</v>
      </c>
      <c r="L6742" s="3">
        <v>5390.28</v>
      </c>
    </row>
    <row r="6743" spans="1:12" x14ac:dyDescent="0.25">
      <c r="A6743" t="s">
        <v>23</v>
      </c>
      <c r="B6743">
        <v>1185732</v>
      </c>
      <c r="C6743" s="1">
        <v>44487</v>
      </c>
      <c r="D6743" t="s">
        <v>52</v>
      </c>
      <c r="E6743" t="s">
        <v>112</v>
      </c>
      <c r="F6743" t="s">
        <v>113</v>
      </c>
      <c r="G6743" t="s">
        <v>41</v>
      </c>
      <c r="H6743" t="s">
        <v>38</v>
      </c>
      <c r="I6743" s="3">
        <v>32</v>
      </c>
      <c r="J6743" s="2">
        <v>176</v>
      </c>
      <c r="K6743" s="3">
        <f t="shared" si="105"/>
        <v>5632</v>
      </c>
      <c r="L6743" s="3">
        <v>2590.7199999999998</v>
      </c>
    </row>
    <row r="6744" spans="1:12" x14ac:dyDescent="0.25">
      <c r="A6744" t="s">
        <v>23</v>
      </c>
      <c r="B6744">
        <v>1185732</v>
      </c>
      <c r="C6744" s="1">
        <v>44487</v>
      </c>
      <c r="D6744" t="s">
        <v>52</v>
      </c>
      <c r="E6744" t="s">
        <v>112</v>
      </c>
      <c r="F6744" t="s">
        <v>113</v>
      </c>
      <c r="G6744" t="s">
        <v>41</v>
      </c>
      <c r="H6744" t="s">
        <v>35</v>
      </c>
      <c r="I6744" s="3">
        <v>24</v>
      </c>
      <c r="J6744" s="2">
        <v>98</v>
      </c>
      <c r="K6744" s="3">
        <f t="shared" si="105"/>
        <v>2352</v>
      </c>
      <c r="L6744" s="3">
        <v>1081.9199999999998</v>
      </c>
    </row>
    <row r="6745" spans="1:12" x14ac:dyDescent="0.25">
      <c r="A6745" t="s">
        <v>26</v>
      </c>
      <c r="B6745">
        <v>1185732</v>
      </c>
      <c r="C6745" s="1">
        <v>44487</v>
      </c>
      <c r="D6745" t="s">
        <v>52</v>
      </c>
      <c r="E6745" t="s">
        <v>112</v>
      </c>
      <c r="F6745" t="s">
        <v>113</v>
      </c>
      <c r="G6745" t="s">
        <v>15</v>
      </c>
      <c r="H6745" t="s">
        <v>16</v>
      </c>
      <c r="I6745" s="3">
        <v>27</v>
      </c>
      <c r="J6745" s="2">
        <v>162</v>
      </c>
      <c r="K6745" s="3">
        <f t="shared" si="105"/>
        <v>4374</v>
      </c>
      <c r="L6745" s="3">
        <v>2012.04</v>
      </c>
    </row>
    <row r="6746" spans="1:12" x14ac:dyDescent="0.25">
      <c r="A6746" t="s">
        <v>19</v>
      </c>
      <c r="B6746">
        <v>1185732</v>
      </c>
      <c r="C6746" s="1">
        <v>44487</v>
      </c>
      <c r="D6746" t="s">
        <v>57</v>
      </c>
      <c r="E6746" t="s">
        <v>106</v>
      </c>
      <c r="F6746" t="s">
        <v>107</v>
      </c>
      <c r="G6746" t="s">
        <v>41</v>
      </c>
      <c r="H6746" t="s">
        <v>16</v>
      </c>
      <c r="I6746" s="3">
        <v>38</v>
      </c>
      <c r="J6746" s="2">
        <v>88</v>
      </c>
      <c r="K6746" s="3">
        <f t="shared" si="105"/>
        <v>3344</v>
      </c>
      <c r="L6746" s="3">
        <v>1203.8400000000001</v>
      </c>
    </row>
    <row r="6747" spans="1:12" x14ac:dyDescent="0.25">
      <c r="A6747" t="s">
        <v>26</v>
      </c>
      <c r="B6747">
        <v>1185732</v>
      </c>
      <c r="C6747" s="1">
        <v>44487</v>
      </c>
      <c r="D6747" t="s">
        <v>52</v>
      </c>
      <c r="E6747" t="s">
        <v>112</v>
      </c>
      <c r="F6747" t="s">
        <v>113</v>
      </c>
      <c r="G6747" t="s">
        <v>41</v>
      </c>
      <c r="H6747" t="s">
        <v>16</v>
      </c>
      <c r="I6747" s="3">
        <v>33</v>
      </c>
      <c r="J6747" s="2">
        <v>124</v>
      </c>
      <c r="K6747" s="3">
        <f t="shared" si="105"/>
        <v>4092</v>
      </c>
      <c r="L6747" s="3">
        <v>1473.12</v>
      </c>
    </row>
    <row r="6748" spans="1:12" x14ac:dyDescent="0.25">
      <c r="A6748" t="s">
        <v>36</v>
      </c>
      <c r="B6748">
        <v>1185732</v>
      </c>
      <c r="C6748" s="1">
        <v>44488</v>
      </c>
      <c r="D6748" t="s">
        <v>29</v>
      </c>
      <c r="E6748" t="s">
        <v>30</v>
      </c>
      <c r="F6748" t="s">
        <v>31</v>
      </c>
      <c r="G6748" t="s">
        <v>15</v>
      </c>
      <c r="H6748" t="s">
        <v>22</v>
      </c>
      <c r="I6748" s="3">
        <v>65</v>
      </c>
      <c r="J6748" s="2">
        <v>100</v>
      </c>
      <c r="K6748" s="3">
        <f t="shared" si="105"/>
        <v>6500</v>
      </c>
      <c r="L6748" s="3">
        <v>4875</v>
      </c>
    </row>
    <row r="6749" spans="1:12" x14ac:dyDescent="0.25">
      <c r="A6749" t="s">
        <v>19</v>
      </c>
      <c r="B6749">
        <v>1185732</v>
      </c>
      <c r="C6749" s="1">
        <v>44488</v>
      </c>
      <c r="D6749" t="s">
        <v>29</v>
      </c>
      <c r="E6749" t="s">
        <v>68</v>
      </c>
      <c r="F6749" t="s">
        <v>69</v>
      </c>
      <c r="G6749" t="s">
        <v>15</v>
      </c>
      <c r="H6749" t="s">
        <v>37</v>
      </c>
      <c r="I6749" s="3">
        <v>65.000000000000014</v>
      </c>
      <c r="J6749" s="2">
        <v>175</v>
      </c>
      <c r="K6749" s="3">
        <f t="shared" si="105"/>
        <v>11375.000000000002</v>
      </c>
      <c r="L6749" s="3">
        <v>7962.5000000000027</v>
      </c>
    </row>
    <row r="6750" spans="1:12" x14ac:dyDescent="0.25">
      <c r="A6750" t="s">
        <v>19</v>
      </c>
      <c r="B6750">
        <v>1185732</v>
      </c>
      <c r="C6750" s="1">
        <v>44488</v>
      </c>
      <c r="D6750" t="s">
        <v>29</v>
      </c>
      <c r="E6750" t="s">
        <v>68</v>
      </c>
      <c r="F6750" t="s">
        <v>69</v>
      </c>
      <c r="G6750" t="s">
        <v>15</v>
      </c>
      <c r="H6750" t="s">
        <v>22</v>
      </c>
      <c r="I6750" s="3">
        <v>75.000000000000014</v>
      </c>
      <c r="J6750" s="2">
        <v>175</v>
      </c>
      <c r="K6750" s="3">
        <f t="shared" si="105"/>
        <v>13125.000000000002</v>
      </c>
      <c r="L6750" s="3">
        <v>9187.5000000000036</v>
      </c>
    </row>
    <row r="6751" spans="1:12" x14ac:dyDescent="0.25">
      <c r="A6751" t="s">
        <v>19</v>
      </c>
      <c r="B6751">
        <v>1185732</v>
      </c>
      <c r="C6751" s="1">
        <v>44488</v>
      </c>
      <c r="D6751" t="s">
        <v>29</v>
      </c>
      <c r="E6751" t="s">
        <v>68</v>
      </c>
      <c r="F6751" t="s">
        <v>69</v>
      </c>
      <c r="G6751" t="s">
        <v>15</v>
      </c>
      <c r="H6751" t="s">
        <v>35</v>
      </c>
      <c r="I6751" s="3">
        <v>65.000000000000014</v>
      </c>
      <c r="J6751" s="2">
        <v>200</v>
      </c>
      <c r="K6751" s="3">
        <f t="shared" si="105"/>
        <v>13000.000000000004</v>
      </c>
      <c r="L6751" s="3">
        <v>9100.0000000000036</v>
      </c>
    </row>
    <row r="6752" spans="1:12" x14ac:dyDescent="0.25">
      <c r="A6752" t="s">
        <v>36</v>
      </c>
      <c r="B6752">
        <v>1185732</v>
      </c>
      <c r="C6752" s="1">
        <v>44488</v>
      </c>
      <c r="D6752" t="s">
        <v>29</v>
      </c>
      <c r="E6752" t="s">
        <v>30</v>
      </c>
      <c r="F6752" t="s">
        <v>31</v>
      </c>
      <c r="G6752" t="s">
        <v>15</v>
      </c>
      <c r="H6752" t="s">
        <v>37</v>
      </c>
      <c r="I6752" s="3">
        <v>55.000000000000007</v>
      </c>
      <c r="J6752" s="2">
        <v>100</v>
      </c>
      <c r="K6752" s="3">
        <f t="shared" si="105"/>
        <v>5500.0000000000009</v>
      </c>
      <c r="L6752" s="3">
        <v>3850.0000000000009</v>
      </c>
    </row>
    <row r="6753" spans="1:12" x14ac:dyDescent="0.25">
      <c r="A6753" t="s">
        <v>36</v>
      </c>
      <c r="B6753">
        <v>1185732</v>
      </c>
      <c r="C6753" s="1">
        <v>44488</v>
      </c>
      <c r="D6753" t="s">
        <v>29</v>
      </c>
      <c r="E6753" t="s">
        <v>30</v>
      </c>
      <c r="F6753" t="s">
        <v>31</v>
      </c>
      <c r="G6753" t="s">
        <v>15</v>
      </c>
      <c r="H6753" t="s">
        <v>17</v>
      </c>
      <c r="I6753" s="3">
        <v>40</v>
      </c>
      <c r="J6753" s="2">
        <v>150</v>
      </c>
      <c r="K6753" s="3">
        <f t="shared" si="105"/>
        <v>6000</v>
      </c>
      <c r="L6753" s="3">
        <v>3900</v>
      </c>
    </row>
    <row r="6754" spans="1:12" x14ac:dyDescent="0.25">
      <c r="A6754" t="s">
        <v>36</v>
      </c>
      <c r="B6754">
        <v>1185732</v>
      </c>
      <c r="C6754" s="1">
        <v>44488</v>
      </c>
      <c r="D6754" t="s">
        <v>29</v>
      </c>
      <c r="E6754" t="s">
        <v>30</v>
      </c>
      <c r="F6754" t="s">
        <v>31</v>
      </c>
      <c r="G6754" t="s">
        <v>15</v>
      </c>
      <c r="H6754" t="s">
        <v>38</v>
      </c>
      <c r="I6754" s="3">
        <v>60</v>
      </c>
      <c r="J6754" s="2">
        <v>400</v>
      </c>
      <c r="K6754" s="3">
        <f t="shared" si="105"/>
        <v>24000</v>
      </c>
      <c r="L6754" s="3">
        <v>15600</v>
      </c>
    </row>
    <row r="6755" spans="1:12" x14ac:dyDescent="0.25">
      <c r="A6755" t="s">
        <v>36</v>
      </c>
      <c r="B6755">
        <v>1185732</v>
      </c>
      <c r="C6755" s="1">
        <v>44488</v>
      </c>
      <c r="D6755" t="s">
        <v>29</v>
      </c>
      <c r="E6755" t="s">
        <v>30</v>
      </c>
      <c r="F6755" t="s">
        <v>31</v>
      </c>
      <c r="G6755" t="s">
        <v>15</v>
      </c>
      <c r="H6755" t="s">
        <v>17</v>
      </c>
      <c r="I6755" s="3">
        <v>55.000000000000007</v>
      </c>
      <c r="J6755" s="2">
        <v>225</v>
      </c>
      <c r="K6755" s="3">
        <f t="shared" si="105"/>
        <v>12375.000000000002</v>
      </c>
      <c r="L6755" s="3">
        <v>8043.7500000000018</v>
      </c>
    </row>
    <row r="6756" spans="1:12" x14ac:dyDescent="0.25">
      <c r="A6756" t="s">
        <v>19</v>
      </c>
      <c r="B6756">
        <v>1185732</v>
      </c>
      <c r="C6756" s="1">
        <v>44488</v>
      </c>
      <c r="D6756" t="s">
        <v>29</v>
      </c>
      <c r="E6756" t="s">
        <v>68</v>
      </c>
      <c r="F6756" t="s">
        <v>69</v>
      </c>
      <c r="G6756" t="s">
        <v>15</v>
      </c>
      <c r="H6756" t="s">
        <v>16</v>
      </c>
      <c r="I6756" s="3">
        <v>80</v>
      </c>
      <c r="J6756" s="2">
        <v>300</v>
      </c>
      <c r="K6756" s="3">
        <f t="shared" si="105"/>
        <v>24000</v>
      </c>
      <c r="L6756" s="3">
        <v>15600</v>
      </c>
    </row>
    <row r="6757" spans="1:12" x14ac:dyDescent="0.25">
      <c r="A6757" t="s">
        <v>36</v>
      </c>
      <c r="B6757">
        <v>1185732</v>
      </c>
      <c r="C6757" s="1">
        <v>44488</v>
      </c>
      <c r="D6757" t="s">
        <v>29</v>
      </c>
      <c r="E6757" t="s">
        <v>30</v>
      </c>
      <c r="F6757" t="s">
        <v>31</v>
      </c>
      <c r="G6757" t="s">
        <v>15</v>
      </c>
      <c r="H6757" t="s">
        <v>35</v>
      </c>
      <c r="I6757" s="3">
        <v>55.000000000000007</v>
      </c>
      <c r="J6757" s="2">
        <v>125</v>
      </c>
      <c r="K6757" s="3">
        <f t="shared" si="105"/>
        <v>6875.0000000000009</v>
      </c>
      <c r="L6757" s="3">
        <v>4125.0000000000018</v>
      </c>
    </row>
    <row r="6758" spans="1:12" x14ac:dyDescent="0.25">
      <c r="A6758" t="s">
        <v>36</v>
      </c>
      <c r="B6758">
        <v>1185732</v>
      </c>
      <c r="C6758" s="1">
        <v>44488</v>
      </c>
      <c r="D6758" t="s">
        <v>29</v>
      </c>
      <c r="E6758" t="s">
        <v>30</v>
      </c>
      <c r="F6758" t="s">
        <v>31</v>
      </c>
      <c r="G6758" t="s">
        <v>15</v>
      </c>
      <c r="H6758" t="s">
        <v>16</v>
      </c>
      <c r="I6758" s="3">
        <v>70</v>
      </c>
      <c r="J6758" s="2">
        <v>225</v>
      </c>
      <c r="K6758" s="3">
        <f t="shared" si="105"/>
        <v>15750</v>
      </c>
      <c r="L6758" s="3">
        <v>9450</v>
      </c>
    </row>
    <row r="6759" spans="1:12" x14ac:dyDescent="0.25">
      <c r="A6759" t="s">
        <v>19</v>
      </c>
      <c r="B6759">
        <v>1185732</v>
      </c>
      <c r="C6759" s="1">
        <v>44488</v>
      </c>
      <c r="D6759" t="s">
        <v>29</v>
      </c>
      <c r="E6759" t="s">
        <v>68</v>
      </c>
      <c r="F6759" t="s">
        <v>69</v>
      </c>
      <c r="G6759" t="s">
        <v>15</v>
      </c>
      <c r="H6759" t="s">
        <v>38</v>
      </c>
      <c r="I6759" s="3">
        <v>70</v>
      </c>
      <c r="J6759" s="2">
        <v>475</v>
      </c>
      <c r="K6759" s="3">
        <f t="shared" si="105"/>
        <v>33250</v>
      </c>
      <c r="L6759" s="3">
        <v>19950</v>
      </c>
    </row>
    <row r="6760" spans="1:12" x14ac:dyDescent="0.25">
      <c r="A6760" t="s">
        <v>19</v>
      </c>
      <c r="B6760">
        <v>1185732</v>
      </c>
      <c r="C6760" s="1">
        <v>44488</v>
      </c>
      <c r="D6760" t="s">
        <v>29</v>
      </c>
      <c r="E6760" t="s">
        <v>68</v>
      </c>
      <c r="F6760" t="s">
        <v>69</v>
      </c>
      <c r="G6760" t="s">
        <v>15</v>
      </c>
      <c r="H6760" t="s">
        <v>17</v>
      </c>
      <c r="I6760" s="3">
        <v>65.000000000000014</v>
      </c>
      <c r="J6760" s="2">
        <v>300</v>
      </c>
      <c r="K6760" s="3">
        <f t="shared" si="105"/>
        <v>19500.000000000004</v>
      </c>
      <c r="L6760" s="3">
        <v>11700.000000000002</v>
      </c>
    </row>
    <row r="6761" spans="1:12" x14ac:dyDescent="0.25">
      <c r="A6761" t="s">
        <v>26</v>
      </c>
      <c r="B6761">
        <v>1197831</v>
      </c>
      <c r="C6761" s="1">
        <v>44488</v>
      </c>
      <c r="D6761" t="s">
        <v>52</v>
      </c>
      <c r="E6761" t="s">
        <v>53</v>
      </c>
      <c r="F6761" t="s">
        <v>54</v>
      </c>
      <c r="G6761" t="s">
        <v>15</v>
      </c>
      <c r="H6761" t="s">
        <v>37</v>
      </c>
      <c r="I6761" s="3">
        <v>65</v>
      </c>
      <c r="J6761" s="2">
        <v>575</v>
      </c>
      <c r="K6761" s="3">
        <f t="shared" si="105"/>
        <v>37375</v>
      </c>
      <c r="L6761" s="3">
        <v>18687.5</v>
      </c>
    </row>
    <row r="6762" spans="1:12" x14ac:dyDescent="0.25">
      <c r="A6762" t="s">
        <v>19</v>
      </c>
      <c r="B6762">
        <v>1185732</v>
      </c>
      <c r="C6762" s="1">
        <v>44488</v>
      </c>
      <c r="D6762" t="s">
        <v>29</v>
      </c>
      <c r="E6762" t="s">
        <v>68</v>
      </c>
      <c r="F6762" t="s">
        <v>69</v>
      </c>
      <c r="G6762" t="s">
        <v>15</v>
      </c>
      <c r="H6762" t="s">
        <v>22</v>
      </c>
      <c r="I6762" s="3">
        <v>50</v>
      </c>
      <c r="J6762" s="2">
        <v>58</v>
      </c>
      <c r="K6762" s="3">
        <f t="shared" si="105"/>
        <v>2900</v>
      </c>
      <c r="L6762" s="3">
        <v>1972</v>
      </c>
    </row>
    <row r="6763" spans="1:12" x14ac:dyDescent="0.25">
      <c r="A6763" t="s">
        <v>19</v>
      </c>
      <c r="B6763">
        <v>1185732</v>
      </c>
      <c r="C6763" s="1">
        <v>44488</v>
      </c>
      <c r="D6763" t="s">
        <v>29</v>
      </c>
      <c r="E6763" t="s">
        <v>68</v>
      </c>
      <c r="F6763" t="s">
        <v>69</v>
      </c>
      <c r="G6763" t="s">
        <v>15</v>
      </c>
      <c r="H6763" t="s">
        <v>37</v>
      </c>
      <c r="I6763" s="3">
        <v>44</v>
      </c>
      <c r="J6763" s="2">
        <v>61</v>
      </c>
      <c r="K6763" s="3">
        <f t="shared" si="105"/>
        <v>2684</v>
      </c>
      <c r="L6763" s="3">
        <v>1825.12</v>
      </c>
    </row>
    <row r="6764" spans="1:12" x14ac:dyDescent="0.25">
      <c r="A6764" t="s">
        <v>19</v>
      </c>
      <c r="B6764">
        <v>1185732</v>
      </c>
      <c r="C6764" s="1">
        <v>44488</v>
      </c>
      <c r="D6764" t="s">
        <v>29</v>
      </c>
      <c r="E6764" t="s">
        <v>68</v>
      </c>
      <c r="F6764" t="s">
        <v>69</v>
      </c>
      <c r="G6764" t="s">
        <v>15</v>
      </c>
      <c r="H6764" t="s">
        <v>35</v>
      </c>
      <c r="I6764" s="3">
        <v>52</v>
      </c>
      <c r="J6764" s="2">
        <v>60</v>
      </c>
      <c r="K6764" s="3">
        <f t="shared" si="105"/>
        <v>3120</v>
      </c>
      <c r="L6764" s="3">
        <v>2090.4</v>
      </c>
    </row>
    <row r="6765" spans="1:12" x14ac:dyDescent="0.25">
      <c r="A6765" t="s">
        <v>36</v>
      </c>
      <c r="B6765">
        <v>1185732</v>
      </c>
      <c r="C6765" s="1">
        <v>44488</v>
      </c>
      <c r="D6765" t="s">
        <v>29</v>
      </c>
      <c r="E6765" t="s">
        <v>30</v>
      </c>
      <c r="F6765" t="s">
        <v>31</v>
      </c>
      <c r="G6765" t="s">
        <v>41</v>
      </c>
      <c r="H6765" t="s">
        <v>22</v>
      </c>
      <c r="I6765" s="3">
        <v>61</v>
      </c>
      <c r="J6765" s="2">
        <v>27</v>
      </c>
      <c r="K6765" s="3">
        <f t="shared" si="105"/>
        <v>1647</v>
      </c>
      <c r="L6765" s="3">
        <v>1021.14</v>
      </c>
    </row>
    <row r="6766" spans="1:12" x14ac:dyDescent="0.25">
      <c r="A6766" t="s">
        <v>19</v>
      </c>
      <c r="B6766">
        <v>1185732</v>
      </c>
      <c r="C6766" s="1">
        <v>44488</v>
      </c>
      <c r="D6766" t="s">
        <v>29</v>
      </c>
      <c r="E6766" t="s">
        <v>68</v>
      </c>
      <c r="F6766" t="s">
        <v>69</v>
      </c>
      <c r="G6766" t="s">
        <v>15</v>
      </c>
      <c r="H6766" t="s">
        <v>16</v>
      </c>
      <c r="I6766" s="3">
        <v>64</v>
      </c>
      <c r="J6766" s="2">
        <v>90</v>
      </c>
      <c r="K6766" s="3">
        <f t="shared" si="105"/>
        <v>5760</v>
      </c>
      <c r="L6766" s="3">
        <v>3513.6000000000004</v>
      </c>
    </row>
    <row r="6767" spans="1:12" x14ac:dyDescent="0.25">
      <c r="A6767" t="s">
        <v>36</v>
      </c>
      <c r="B6767">
        <v>1185732</v>
      </c>
      <c r="C6767" s="1">
        <v>44488</v>
      </c>
      <c r="D6767" t="s">
        <v>29</v>
      </c>
      <c r="E6767" t="s">
        <v>30</v>
      </c>
      <c r="F6767" t="s">
        <v>31</v>
      </c>
      <c r="G6767" t="s">
        <v>41</v>
      </c>
      <c r="H6767" t="s">
        <v>37</v>
      </c>
      <c r="I6767" s="3">
        <v>50</v>
      </c>
      <c r="J6767" s="2">
        <v>26</v>
      </c>
      <c r="K6767" s="3">
        <f t="shared" si="105"/>
        <v>1300</v>
      </c>
      <c r="L6767" s="3">
        <v>780</v>
      </c>
    </row>
    <row r="6768" spans="1:12" x14ac:dyDescent="0.25">
      <c r="A6768" t="s">
        <v>19</v>
      </c>
      <c r="B6768">
        <v>1185732</v>
      </c>
      <c r="C6768" s="1">
        <v>44488</v>
      </c>
      <c r="D6768" t="s">
        <v>29</v>
      </c>
      <c r="E6768" t="s">
        <v>68</v>
      </c>
      <c r="F6768" t="s">
        <v>69</v>
      </c>
      <c r="G6768" t="s">
        <v>15</v>
      </c>
      <c r="H6768" t="s">
        <v>38</v>
      </c>
      <c r="I6768" s="3">
        <v>52</v>
      </c>
      <c r="J6768" s="2">
        <v>162</v>
      </c>
      <c r="K6768" s="3">
        <f t="shared" si="105"/>
        <v>8424</v>
      </c>
      <c r="L6768" s="3">
        <v>4885.92</v>
      </c>
    </row>
    <row r="6769" spans="1:12" x14ac:dyDescent="0.25">
      <c r="A6769" t="s">
        <v>19</v>
      </c>
      <c r="B6769">
        <v>1185732</v>
      </c>
      <c r="C6769" s="1">
        <v>44488</v>
      </c>
      <c r="D6769" t="s">
        <v>29</v>
      </c>
      <c r="E6769" t="s">
        <v>68</v>
      </c>
      <c r="F6769" t="s">
        <v>69</v>
      </c>
      <c r="G6769" t="s">
        <v>41</v>
      </c>
      <c r="H6769" t="s">
        <v>22</v>
      </c>
      <c r="I6769" s="3">
        <v>71</v>
      </c>
      <c r="J6769" s="2">
        <v>46</v>
      </c>
      <c r="K6769" s="3">
        <f t="shared" si="105"/>
        <v>3266</v>
      </c>
      <c r="L6769" s="3">
        <v>1861.6200000000001</v>
      </c>
    </row>
    <row r="6770" spans="1:12" x14ac:dyDescent="0.25">
      <c r="A6770" t="s">
        <v>19</v>
      </c>
      <c r="B6770">
        <v>1185732</v>
      </c>
      <c r="C6770" s="1">
        <v>44488</v>
      </c>
      <c r="D6770" t="s">
        <v>29</v>
      </c>
      <c r="E6770" t="s">
        <v>68</v>
      </c>
      <c r="F6770" t="s">
        <v>69</v>
      </c>
      <c r="G6770" t="s">
        <v>41</v>
      </c>
      <c r="H6770" t="s">
        <v>37</v>
      </c>
      <c r="I6770" s="3">
        <v>62</v>
      </c>
      <c r="J6770" s="2">
        <v>47</v>
      </c>
      <c r="K6770" s="3">
        <f t="shared" si="105"/>
        <v>2914</v>
      </c>
      <c r="L6770" s="3">
        <v>1660.98</v>
      </c>
    </row>
    <row r="6771" spans="1:12" x14ac:dyDescent="0.25">
      <c r="A6771" t="s">
        <v>19</v>
      </c>
      <c r="B6771">
        <v>1185732</v>
      </c>
      <c r="C6771" s="1">
        <v>44488</v>
      </c>
      <c r="D6771" t="s">
        <v>29</v>
      </c>
      <c r="E6771" t="s">
        <v>68</v>
      </c>
      <c r="F6771" t="s">
        <v>69</v>
      </c>
      <c r="G6771" t="s">
        <v>41</v>
      </c>
      <c r="H6771" t="s">
        <v>35</v>
      </c>
      <c r="I6771" s="3">
        <v>59</v>
      </c>
      <c r="J6771" s="2">
        <v>54</v>
      </c>
      <c r="K6771" s="3">
        <f t="shared" si="105"/>
        <v>3186</v>
      </c>
      <c r="L6771" s="3">
        <v>1784.16</v>
      </c>
    </row>
    <row r="6772" spans="1:12" x14ac:dyDescent="0.25">
      <c r="A6772" t="s">
        <v>19</v>
      </c>
      <c r="B6772">
        <v>1185732</v>
      </c>
      <c r="C6772" s="1">
        <v>44488</v>
      </c>
      <c r="D6772" t="s">
        <v>29</v>
      </c>
      <c r="E6772" t="s">
        <v>68</v>
      </c>
      <c r="F6772" t="s">
        <v>69</v>
      </c>
      <c r="G6772" t="s">
        <v>15</v>
      </c>
      <c r="H6772" t="s">
        <v>17</v>
      </c>
      <c r="I6772" s="3">
        <v>44</v>
      </c>
      <c r="J6772" s="2">
        <v>99</v>
      </c>
      <c r="K6772" s="3">
        <f t="shared" si="105"/>
        <v>4356</v>
      </c>
      <c r="L6772" s="3">
        <v>2439.3599999999997</v>
      </c>
    </row>
    <row r="6773" spans="1:12" x14ac:dyDescent="0.25">
      <c r="A6773" t="s">
        <v>36</v>
      </c>
      <c r="B6773">
        <v>1185732</v>
      </c>
      <c r="C6773" s="1">
        <v>44488</v>
      </c>
      <c r="D6773" t="s">
        <v>29</v>
      </c>
      <c r="E6773" t="s">
        <v>30</v>
      </c>
      <c r="F6773" t="s">
        <v>31</v>
      </c>
      <c r="G6773" t="s">
        <v>41</v>
      </c>
      <c r="H6773" t="s">
        <v>17</v>
      </c>
      <c r="I6773" s="3">
        <v>38</v>
      </c>
      <c r="J6773" s="2">
        <v>45</v>
      </c>
      <c r="K6773" s="3">
        <f t="shared" si="105"/>
        <v>1710</v>
      </c>
      <c r="L6773" s="3">
        <v>906.30000000000007</v>
      </c>
    </row>
    <row r="6774" spans="1:12" x14ac:dyDescent="0.25">
      <c r="A6774" t="s">
        <v>19</v>
      </c>
      <c r="B6774">
        <v>1185732</v>
      </c>
      <c r="C6774" s="1">
        <v>44488</v>
      </c>
      <c r="D6774" t="s">
        <v>29</v>
      </c>
      <c r="E6774" t="s">
        <v>68</v>
      </c>
      <c r="F6774" t="s">
        <v>69</v>
      </c>
      <c r="G6774" t="s">
        <v>41</v>
      </c>
      <c r="H6774" t="s">
        <v>16</v>
      </c>
      <c r="I6774" s="3">
        <v>72</v>
      </c>
      <c r="J6774" s="2">
        <v>81</v>
      </c>
      <c r="K6774" s="3">
        <f t="shared" si="105"/>
        <v>5832</v>
      </c>
      <c r="L6774" s="3">
        <v>3032.6400000000003</v>
      </c>
    </row>
    <row r="6775" spans="1:12" x14ac:dyDescent="0.25">
      <c r="A6775" t="s">
        <v>36</v>
      </c>
      <c r="B6775">
        <v>1185732</v>
      </c>
      <c r="C6775" s="1">
        <v>44488</v>
      </c>
      <c r="D6775" t="s">
        <v>29</v>
      </c>
      <c r="E6775" t="s">
        <v>30</v>
      </c>
      <c r="F6775" t="s">
        <v>31</v>
      </c>
      <c r="G6775" t="s">
        <v>41</v>
      </c>
      <c r="H6775" t="s">
        <v>17</v>
      </c>
      <c r="I6775" s="3">
        <v>54</v>
      </c>
      <c r="J6775" s="2">
        <v>59</v>
      </c>
      <c r="K6775" s="3">
        <f t="shared" si="105"/>
        <v>3186</v>
      </c>
      <c r="L6775" s="3">
        <v>1624.8600000000001</v>
      </c>
    </row>
    <row r="6776" spans="1:12" x14ac:dyDescent="0.25">
      <c r="A6776" t="s">
        <v>36</v>
      </c>
      <c r="B6776">
        <v>1185732</v>
      </c>
      <c r="C6776" s="1">
        <v>44488</v>
      </c>
      <c r="D6776" t="s">
        <v>29</v>
      </c>
      <c r="E6776" t="s">
        <v>30</v>
      </c>
      <c r="F6776" t="s">
        <v>31</v>
      </c>
      <c r="G6776" t="s">
        <v>41</v>
      </c>
      <c r="H6776" t="s">
        <v>38</v>
      </c>
      <c r="I6776" s="3">
        <v>55</v>
      </c>
      <c r="J6776" s="2">
        <v>120</v>
      </c>
      <c r="K6776" s="3">
        <f t="shared" si="105"/>
        <v>6600</v>
      </c>
      <c r="L6776" s="3">
        <v>3300</v>
      </c>
    </row>
    <row r="6777" spans="1:12" x14ac:dyDescent="0.25">
      <c r="A6777" t="s">
        <v>36</v>
      </c>
      <c r="B6777">
        <v>1185732</v>
      </c>
      <c r="C6777" s="1">
        <v>44488</v>
      </c>
      <c r="D6777" t="s">
        <v>29</v>
      </c>
      <c r="E6777" t="s">
        <v>30</v>
      </c>
      <c r="F6777" t="s">
        <v>31</v>
      </c>
      <c r="G6777" t="s">
        <v>41</v>
      </c>
      <c r="H6777" t="s">
        <v>16</v>
      </c>
      <c r="I6777" s="3">
        <v>68</v>
      </c>
      <c r="J6777" s="2">
        <v>56</v>
      </c>
      <c r="K6777" s="3">
        <f t="shared" si="105"/>
        <v>3808</v>
      </c>
      <c r="L6777" s="3">
        <v>1789.76</v>
      </c>
    </row>
    <row r="6778" spans="1:12" x14ac:dyDescent="0.25">
      <c r="A6778" t="s">
        <v>19</v>
      </c>
      <c r="B6778">
        <v>1185732</v>
      </c>
      <c r="C6778" s="1">
        <v>44488</v>
      </c>
      <c r="D6778" t="s">
        <v>29</v>
      </c>
      <c r="E6778" t="s">
        <v>68</v>
      </c>
      <c r="F6778" t="s">
        <v>69</v>
      </c>
      <c r="G6778" t="s">
        <v>41</v>
      </c>
      <c r="H6778" t="s">
        <v>38</v>
      </c>
      <c r="I6778" s="3">
        <v>64</v>
      </c>
      <c r="J6778" s="2">
        <v>119</v>
      </c>
      <c r="K6778" s="3">
        <f t="shared" si="105"/>
        <v>7616</v>
      </c>
      <c r="L6778" s="3">
        <v>3579.52</v>
      </c>
    </row>
    <row r="6779" spans="1:12" x14ac:dyDescent="0.25">
      <c r="A6779" t="s">
        <v>19</v>
      </c>
      <c r="B6779">
        <v>1185732</v>
      </c>
      <c r="C6779" s="1">
        <v>44488</v>
      </c>
      <c r="D6779" t="s">
        <v>29</v>
      </c>
      <c r="E6779" t="s">
        <v>68</v>
      </c>
      <c r="F6779" t="s">
        <v>69</v>
      </c>
      <c r="G6779" t="s">
        <v>41</v>
      </c>
      <c r="H6779" t="s">
        <v>17</v>
      </c>
      <c r="I6779" s="3">
        <v>62</v>
      </c>
      <c r="J6779" s="2">
        <v>84</v>
      </c>
      <c r="K6779" s="3">
        <f t="shared" si="105"/>
        <v>5208</v>
      </c>
      <c r="L6779" s="3">
        <v>2447.7599999999998</v>
      </c>
    </row>
    <row r="6780" spans="1:12" x14ac:dyDescent="0.25">
      <c r="A6780" t="s">
        <v>36</v>
      </c>
      <c r="B6780">
        <v>1185732</v>
      </c>
      <c r="C6780" s="1">
        <v>44488</v>
      </c>
      <c r="D6780" t="s">
        <v>29</v>
      </c>
      <c r="E6780" t="s">
        <v>30</v>
      </c>
      <c r="F6780" t="s">
        <v>31</v>
      </c>
      <c r="G6780" t="s">
        <v>41</v>
      </c>
      <c r="H6780" t="s">
        <v>35</v>
      </c>
      <c r="I6780" s="3">
        <v>52</v>
      </c>
      <c r="J6780" s="2">
        <v>31</v>
      </c>
      <c r="K6780" s="3">
        <f t="shared" si="105"/>
        <v>1612</v>
      </c>
      <c r="L6780" s="3">
        <v>725.40000000000009</v>
      </c>
    </row>
    <row r="6781" spans="1:12" x14ac:dyDescent="0.25">
      <c r="A6781" t="s">
        <v>26</v>
      </c>
      <c r="B6781">
        <v>1197831</v>
      </c>
      <c r="C6781" s="1">
        <v>44488</v>
      </c>
      <c r="D6781" t="s">
        <v>52</v>
      </c>
      <c r="E6781" t="s">
        <v>53</v>
      </c>
      <c r="F6781" t="s">
        <v>54</v>
      </c>
      <c r="G6781" t="s">
        <v>15</v>
      </c>
      <c r="H6781" t="s">
        <v>37</v>
      </c>
      <c r="I6781" s="3">
        <v>44</v>
      </c>
      <c r="J6781" s="2">
        <v>190</v>
      </c>
      <c r="K6781" s="3">
        <f t="shared" si="105"/>
        <v>8360</v>
      </c>
      <c r="L6781" s="3">
        <v>3678.3999999999996</v>
      </c>
    </row>
    <row r="6782" spans="1:12" x14ac:dyDescent="0.25">
      <c r="A6782" t="s">
        <v>26</v>
      </c>
      <c r="B6782">
        <v>1197831</v>
      </c>
      <c r="C6782" s="1">
        <v>44488</v>
      </c>
      <c r="D6782" t="s">
        <v>52</v>
      </c>
      <c r="E6782" t="s">
        <v>53</v>
      </c>
      <c r="F6782" t="s">
        <v>54</v>
      </c>
      <c r="G6782" t="s">
        <v>41</v>
      </c>
      <c r="H6782" t="s">
        <v>37</v>
      </c>
      <c r="I6782" s="3">
        <v>59</v>
      </c>
      <c r="J6782" s="2">
        <v>173</v>
      </c>
      <c r="K6782" s="3">
        <f t="shared" si="105"/>
        <v>10207</v>
      </c>
      <c r="L6782" s="3">
        <v>3878.66</v>
      </c>
    </row>
    <row r="6783" spans="1:12" x14ac:dyDescent="0.25">
      <c r="A6783" t="s">
        <v>26</v>
      </c>
      <c r="B6783">
        <v>1197831</v>
      </c>
      <c r="C6783" s="1">
        <v>44489</v>
      </c>
      <c r="D6783" t="s">
        <v>52</v>
      </c>
      <c r="E6783" t="s">
        <v>53</v>
      </c>
      <c r="F6783" t="s">
        <v>54</v>
      </c>
      <c r="G6783" t="s">
        <v>15</v>
      </c>
      <c r="H6783" t="s">
        <v>22</v>
      </c>
      <c r="I6783" s="3">
        <v>60</v>
      </c>
      <c r="J6783" s="2">
        <v>525</v>
      </c>
      <c r="K6783" s="3">
        <f t="shared" si="105"/>
        <v>31500</v>
      </c>
      <c r="L6783" s="3">
        <v>20475</v>
      </c>
    </row>
    <row r="6784" spans="1:12" x14ac:dyDescent="0.25">
      <c r="A6784" t="s">
        <v>36</v>
      </c>
      <c r="B6784">
        <v>1185732</v>
      </c>
      <c r="C6784" s="1">
        <v>44489</v>
      </c>
      <c r="D6784" t="s">
        <v>29</v>
      </c>
      <c r="E6784" t="s">
        <v>30</v>
      </c>
      <c r="F6784" t="s">
        <v>31</v>
      </c>
      <c r="G6784" t="s">
        <v>15</v>
      </c>
      <c r="H6784" t="s">
        <v>35</v>
      </c>
      <c r="I6784" s="3">
        <v>30.000000000000004</v>
      </c>
      <c r="J6784" s="2">
        <v>200</v>
      </c>
      <c r="K6784" s="3">
        <f t="shared" si="105"/>
        <v>6000.0000000000009</v>
      </c>
      <c r="L6784" s="3">
        <v>3600.0000000000009</v>
      </c>
    </row>
    <row r="6785" spans="1:12" x14ac:dyDescent="0.25">
      <c r="A6785" t="s">
        <v>26</v>
      </c>
      <c r="B6785">
        <v>1197831</v>
      </c>
      <c r="C6785" s="1">
        <v>44489</v>
      </c>
      <c r="D6785" t="s">
        <v>52</v>
      </c>
      <c r="E6785" t="s">
        <v>53</v>
      </c>
      <c r="F6785" t="s">
        <v>54</v>
      </c>
      <c r="G6785" t="s">
        <v>15</v>
      </c>
      <c r="H6785" t="s">
        <v>22</v>
      </c>
      <c r="I6785" s="3">
        <v>47</v>
      </c>
      <c r="J6785" s="2">
        <v>168</v>
      </c>
      <c r="K6785" s="3">
        <f t="shared" si="105"/>
        <v>7896</v>
      </c>
      <c r="L6785" s="3">
        <v>4974.4799999999996</v>
      </c>
    </row>
    <row r="6786" spans="1:12" x14ac:dyDescent="0.25">
      <c r="A6786" t="s">
        <v>26</v>
      </c>
      <c r="B6786">
        <v>1197831</v>
      </c>
      <c r="C6786" s="1">
        <v>44489</v>
      </c>
      <c r="D6786" t="s">
        <v>52</v>
      </c>
      <c r="E6786" t="s">
        <v>53</v>
      </c>
      <c r="F6786" t="s">
        <v>54</v>
      </c>
      <c r="G6786" t="s">
        <v>41</v>
      </c>
      <c r="H6786" t="s">
        <v>22</v>
      </c>
      <c r="I6786" s="3">
        <v>58</v>
      </c>
      <c r="J6786" s="2">
        <v>158</v>
      </c>
      <c r="K6786" s="3">
        <f t="shared" si="105"/>
        <v>9164</v>
      </c>
      <c r="L6786" s="3">
        <v>4582</v>
      </c>
    </row>
    <row r="6787" spans="1:12" x14ac:dyDescent="0.25">
      <c r="A6787" t="s">
        <v>36</v>
      </c>
      <c r="B6787">
        <v>1185732</v>
      </c>
      <c r="C6787" s="1">
        <v>44489</v>
      </c>
      <c r="D6787" t="s">
        <v>29</v>
      </c>
      <c r="E6787" t="s">
        <v>30</v>
      </c>
      <c r="F6787" t="s">
        <v>31</v>
      </c>
      <c r="G6787" t="s">
        <v>41</v>
      </c>
      <c r="H6787" t="s">
        <v>35</v>
      </c>
      <c r="I6787" s="3">
        <v>29</v>
      </c>
      <c r="J6787" s="2">
        <v>60</v>
      </c>
      <c r="K6787" s="3">
        <f t="shared" ref="K6787:K6850" si="106">I6787*J6787</f>
        <v>1740</v>
      </c>
      <c r="L6787" s="3">
        <v>817.8</v>
      </c>
    </row>
    <row r="6788" spans="1:12" x14ac:dyDescent="0.25">
      <c r="A6788" t="s">
        <v>36</v>
      </c>
      <c r="B6788">
        <v>1185732</v>
      </c>
      <c r="C6788" s="1">
        <v>44490</v>
      </c>
      <c r="D6788" t="s">
        <v>29</v>
      </c>
      <c r="E6788" t="s">
        <v>30</v>
      </c>
      <c r="F6788" t="s">
        <v>31</v>
      </c>
      <c r="G6788" t="s">
        <v>15</v>
      </c>
      <c r="H6788" t="s">
        <v>37</v>
      </c>
      <c r="I6788" s="3">
        <v>35</v>
      </c>
      <c r="J6788" s="2">
        <v>75</v>
      </c>
      <c r="K6788" s="3">
        <f t="shared" si="106"/>
        <v>2625</v>
      </c>
      <c r="L6788" s="3">
        <v>1837.5</v>
      </c>
    </row>
    <row r="6789" spans="1:12" x14ac:dyDescent="0.25">
      <c r="A6789" t="s">
        <v>23</v>
      </c>
      <c r="B6789">
        <v>1197831</v>
      </c>
      <c r="C6789" s="1">
        <v>44490</v>
      </c>
      <c r="D6789" t="s">
        <v>52</v>
      </c>
      <c r="E6789" t="s">
        <v>114</v>
      </c>
      <c r="F6789" t="s">
        <v>115</v>
      </c>
      <c r="G6789" t="s">
        <v>41</v>
      </c>
      <c r="H6789" t="s">
        <v>17</v>
      </c>
      <c r="I6789" s="3">
        <v>20.000000000000011</v>
      </c>
      <c r="J6789" s="2">
        <v>425</v>
      </c>
      <c r="K6789" s="3">
        <f t="shared" si="106"/>
        <v>8500.0000000000036</v>
      </c>
      <c r="L6789" s="3">
        <v>5525.0000000000027</v>
      </c>
    </row>
    <row r="6790" spans="1:12" x14ac:dyDescent="0.25">
      <c r="A6790" t="s">
        <v>11</v>
      </c>
      <c r="B6790">
        <v>1197831</v>
      </c>
      <c r="C6790" s="1">
        <v>44490</v>
      </c>
      <c r="D6790" t="s">
        <v>52</v>
      </c>
      <c r="E6790" t="s">
        <v>116</v>
      </c>
      <c r="F6790" t="s">
        <v>117</v>
      </c>
      <c r="G6790" t="s">
        <v>41</v>
      </c>
      <c r="H6790" t="s">
        <v>17</v>
      </c>
      <c r="I6790" s="3">
        <v>20.000000000000011</v>
      </c>
      <c r="J6790" s="2">
        <v>350</v>
      </c>
      <c r="K6790" s="3">
        <f t="shared" si="106"/>
        <v>7000.0000000000036</v>
      </c>
      <c r="L6790" s="3">
        <v>4550.0000000000027</v>
      </c>
    </row>
    <row r="6791" spans="1:12" x14ac:dyDescent="0.25">
      <c r="A6791" t="s">
        <v>11</v>
      </c>
      <c r="B6791">
        <v>1197831</v>
      </c>
      <c r="C6791" s="1">
        <v>44490</v>
      </c>
      <c r="D6791" t="s">
        <v>52</v>
      </c>
      <c r="E6791" t="s">
        <v>116</v>
      </c>
      <c r="F6791" t="s">
        <v>117</v>
      </c>
      <c r="G6791" t="s">
        <v>41</v>
      </c>
      <c r="H6791" t="s">
        <v>22</v>
      </c>
      <c r="I6791" s="3">
        <v>30.000000000000011</v>
      </c>
      <c r="J6791" s="2">
        <v>200</v>
      </c>
      <c r="K6791" s="3">
        <f t="shared" si="106"/>
        <v>6000.0000000000018</v>
      </c>
      <c r="L6791" s="3">
        <v>3900.0000000000014</v>
      </c>
    </row>
    <row r="6792" spans="1:12" x14ac:dyDescent="0.25">
      <c r="A6792" t="s">
        <v>23</v>
      </c>
      <c r="B6792">
        <v>1197831</v>
      </c>
      <c r="C6792" s="1">
        <v>44490</v>
      </c>
      <c r="D6792" t="s">
        <v>52</v>
      </c>
      <c r="E6792" t="s">
        <v>114</v>
      </c>
      <c r="F6792" t="s">
        <v>115</v>
      </c>
      <c r="G6792" t="s">
        <v>41</v>
      </c>
      <c r="H6792" t="s">
        <v>22</v>
      </c>
      <c r="I6792" s="3">
        <v>30.000000000000011</v>
      </c>
      <c r="J6792" s="2">
        <v>275</v>
      </c>
      <c r="K6792" s="3">
        <f t="shared" si="106"/>
        <v>8250.0000000000036</v>
      </c>
      <c r="L6792" s="3">
        <v>5362.5000000000018</v>
      </c>
    </row>
    <row r="6793" spans="1:12" x14ac:dyDescent="0.25">
      <c r="A6793" t="s">
        <v>23</v>
      </c>
      <c r="B6793">
        <v>1197831</v>
      </c>
      <c r="C6793" s="1">
        <v>44490</v>
      </c>
      <c r="D6793" t="s">
        <v>52</v>
      </c>
      <c r="E6793" t="s">
        <v>114</v>
      </c>
      <c r="F6793" t="s">
        <v>115</v>
      </c>
      <c r="G6793" t="s">
        <v>41</v>
      </c>
      <c r="H6793" t="s">
        <v>38</v>
      </c>
      <c r="I6793" s="3">
        <v>30.000000000000011</v>
      </c>
      <c r="J6793" s="2">
        <v>600</v>
      </c>
      <c r="K6793" s="3">
        <f t="shared" si="106"/>
        <v>18000.000000000007</v>
      </c>
      <c r="L6793" s="3">
        <v>10800.000000000004</v>
      </c>
    </row>
    <row r="6794" spans="1:12" x14ac:dyDescent="0.25">
      <c r="A6794" t="s">
        <v>11</v>
      </c>
      <c r="B6794">
        <v>1197831</v>
      </c>
      <c r="C6794" s="1">
        <v>44490</v>
      </c>
      <c r="D6794" t="s">
        <v>52</v>
      </c>
      <c r="E6794" t="s">
        <v>116</v>
      </c>
      <c r="F6794" t="s">
        <v>117</v>
      </c>
      <c r="G6794" t="s">
        <v>41</v>
      </c>
      <c r="H6794" t="s">
        <v>38</v>
      </c>
      <c r="I6794" s="3">
        <v>30.000000000000011</v>
      </c>
      <c r="J6794" s="2">
        <v>525</v>
      </c>
      <c r="K6794" s="3">
        <f t="shared" si="106"/>
        <v>15750.000000000005</v>
      </c>
      <c r="L6794" s="3">
        <v>9450.0000000000036</v>
      </c>
    </row>
    <row r="6795" spans="1:12" x14ac:dyDescent="0.25">
      <c r="A6795" t="s">
        <v>11</v>
      </c>
      <c r="B6795">
        <v>1197831</v>
      </c>
      <c r="C6795" s="1">
        <v>44490</v>
      </c>
      <c r="D6795" t="s">
        <v>52</v>
      </c>
      <c r="E6795" t="s">
        <v>116</v>
      </c>
      <c r="F6795" t="s">
        <v>117</v>
      </c>
      <c r="G6795" t="s">
        <v>41</v>
      </c>
      <c r="H6795" t="s">
        <v>37</v>
      </c>
      <c r="I6795" s="3">
        <v>20.000000000000011</v>
      </c>
      <c r="J6795" s="2">
        <v>200</v>
      </c>
      <c r="K6795" s="3">
        <f t="shared" si="106"/>
        <v>4000.0000000000023</v>
      </c>
      <c r="L6795" s="3">
        <v>2400.0000000000014</v>
      </c>
    </row>
    <row r="6796" spans="1:12" x14ac:dyDescent="0.25">
      <c r="A6796" t="s">
        <v>27</v>
      </c>
      <c r="B6796">
        <v>1197831</v>
      </c>
      <c r="C6796" s="1">
        <v>44490</v>
      </c>
      <c r="D6796" t="s">
        <v>52</v>
      </c>
      <c r="E6796" t="s">
        <v>116</v>
      </c>
      <c r="F6796" t="s">
        <v>117</v>
      </c>
      <c r="G6796" t="s">
        <v>41</v>
      </c>
      <c r="H6796" t="s">
        <v>16</v>
      </c>
      <c r="I6796" s="3">
        <v>30.000000000000004</v>
      </c>
      <c r="J6796" s="2">
        <v>325</v>
      </c>
      <c r="K6796" s="3">
        <f t="shared" si="106"/>
        <v>9750.0000000000018</v>
      </c>
      <c r="L6796" s="3">
        <v>5850.0000000000009</v>
      </c>
    </row>
    <row r="6797" spans="1:12" x14ac:dyDescent="0.25">
      <c r="A6797" t="s">
        <v>23</v>
      </c>
      <c r="B6797">
        <v>1197831</v>
      </c>
      <c r="C6797" s="1">
        <v>44490</v>
      </c>
      <c r="D6797" t="s">
        <v>52</v>
      </c>
      <c r="E6797" t="s">
        <v>114</v>
      </c>
      <c r="F6797" t="s">
        <v>115</v>
      </c>
      <c r="G6797" t="s">
        <v>41</v>
      </c>
      <c r="H6797" t="s">
        <v>35</v>
      </c>
      <c r="I6797" s="3">
        <v>20.000000000000011</v>
      </c>
      <c r="J6797" s="2">
        <v>300</v>
      </c>
      <c r="K6797" s="3">
        <f t="shared" si="106"/>
        <v>6000.0000000000036</v>
      </c>
      <c r="L6797" s="3">
        <v>3600.0000000000014</v>
      </c>
    </row>
    <row r="6798" spans="1:12" x14ac:dyDescent="0.25">
      <c r="A6798" t="s">
        <v>23</v>
      </c>
      <c r="B6798">
        <v>1197831</v>
      </c>
      <c r="C6798" s="1">
        <v>44490</v>
      </c>
      <c r="D6798" t="s">
        <v>52</v>
      </c>
      <c r="E6798" t="s">
        <v>114</v>
      </c>
      <c r="F6798" t="s">
        <v>115</v>
      </c>
      <c r="G6798" t="s">
        <v>41</v>
      </c>
      <c r="H6798" t="s">
        <v>37</v>
      </c>
      <c r="I6798" s="3">
        <v>20.000000000000011</v>
      </c>
      <c r="J6798" s="2">
        <v>275</v>
      </c>
      <c r="K6798" s="3">
        <f t="shared" si="106"/>
        <v>5500.0000000000027</v>
      </c>
      <c r="L6798" s="3">
        <v>3300.0000000000014</v>
      </c>
    </row>
    <row r="6799" spans="1:12" x14ac:dyDescent="0.25">
      <c r="A6799" t="s">
        <v>11</v>
      </c>
      <c r="B6799">
        <v>1197831</v>
      </c>
      <c r="C6799" s="1">
        <v>44490</v>
      </c>
      <c r="D6799" t="s">
        <v>52</v>
      </c>
      <c r="E6799" t="s">
        <v>114</v>
      </c>
      <c r="F6799" t="s">
        <v>115</v>
      </c>
      <c r="G6799" t="s">
        <v>41</v>
      </c>
      <c r="H6799" t="s">
        <v>16</v>
      </c>
      <c r="I6799" s="3">
        <v>30.000000000000004</v>
      </c>
      <c r="J6799" s="2">
        <v>400</v>
      </c>
      <c r="K6799" s="3">
        <f t="shared" si="106"/>
        <v>12000.000000000002</v>
      </c>
      <c r="L6799" s="3">
        <v>7200</v>
      </c>
    </row>
    <row r="6800" spans="1:12" x14ac:dyDescent="0.25">
      <c r="A6800" t="s">
        <v>11</v>
      </c>
      <c r="B6800">
        <v>1197831</v>
      </c>
      <c r="C6800" s="1">
        <v>44490</v>
      </c>
      <c r="D6800" t="s">
        <v>52</v>
      </c>
      <c r="E6800" t="s">
        <v>116</v>
      </c>
      <c r="F6800" t="s">
        <v>117</v>
      </c>
      <c r="G6800" t="s">
        <v>41</v>
      </c>
      <c r="H6800" t="s">
        <v>35</v>
      </c>
      <c r="I6800" s="3">
        <v>20.000000000000011</v>
      </c>
      <c r="J6800" s="2">
        <v>225</v>
      </c>
      <c r="K6800" s="3">
        <f t="shared" si="106"/>
        <v>4500.0000000000027</v>
      </c>
      <c r="L6800" s="3">
        <v>2700.0000000000009</v>
      </c>
    </row>
    <row r="6801" spans="1:12" x14ac:dyDescent="0.25">
      <c r="A6801" t="s">
        <v>26</v>
      </c>
      <c r="B6801">
        <v>1197831</v>
      </c>
      <c r="C6801" s="1">
        <v>44490</v>
      </c>
      <c r="D6801" t="s">
        <v>52</v>
      </c>
      <c r="E6801" t="s">
        <v>53</v>
      </c>
      <c r="F6801" t="s">
        <v>54</v>
      </c>
      <c r="G6801" t="s">
        <v>15</v>
      </c>
      <c r="H6801" t="s">
        <v>16</v>
      </c>
      <c r="I6801" s="3">
        <v>70</v>
      </c>
      <c r="J6801" s="2">
        <v>775</v>
      </c>
      <c r="K6801" s="3">
        <f t="shared" si="106"/>
        <v>54250</v>
      </c>
      <c r="L6801" s="3">
        <v>24412.5</v>
      </c>
    </row>
    <row r="6802" spans="1:12" x14ac:dyDescent="0.25">
      <c r="A6802" t="s">
        <v>23</v>
      </c>
      <c r="B6802">
        <v>1197831</v>
      </c>
      <c r="C6802" s="1">
        <v>44490</v>
      </c>
      <c r="D6802" t="s">
        <v>52</v>
      </c>
      <c r="E6802" t="s">
        <v>114</v>
      </c>
      <c r="F6802" t="s">
        <v>115</v>
      </c>
      <c r="G6802" t="s">
        <v>15</v>
      </c>
      <c r="H6802" t="s">
        <v>22</v>
      </c>
      <c r="I6802" s="3">
        <v>21</v>
      </c>
      <c r="J6802" s="2">
        <v>91</v>
      </c>
      <c r="K6802" s="3">
        <f t="shared" si="106"/>
        <v>1911</v>
      </c>
      <c r="L6802" s="3">
        <v>1203.93</v>
      </c>
    </row>
    <row r="6803" spans="1:12" x14ac:dyDescent="0.25">
      <c r="A6803" t="s">
        <v>11</v>
      </c>
      <c r="B6803">
        <v>1197831</v>
      </c>
      <c r="C6803" s="1">
        <v>44490</v>
      </c>
      <c r="D6803" t="s">
        <v>52</v>
      </c>
      <c r="E6803" t="s">
        <v>116</v>
      </c>
      <c r="F6803" t="s">
        <v>117</v>
      </c>
      <c r="G6803" t="s">
        <v>15</v>
      </c>
      <c r="H6803" t="s">
        <v>22</v>
      </c>
      <c r="I6803" s="3">
        <v>22</v>
      </c>
      <c r="J6803" s="2">
        <v>68</v>
      </c>
      <c r="K6803" s="3">
        <f t="shared" si="106"/>
        <v>1496</v>
      </c>
      <c r="L6803" s="3">
        <v>927.52</v>
      </c>
    </row>
    <row r="6804" spans="1:12" x14ac:dyDescent="0.25">
      <c r="A6804" t="s">
        <v>23</v>
      </c>
      <c r="B6804">
        <v>1197831</v>
      </c>
      <c r="C6804" s="1">
        <v>44490</v>
      </c>
      <c r="D6804" t="s">
        <v>52</v>
      </c>
      <c r="E6804" t="s">
        <v>114</v>
      </c>
      <c r="F6804" t="s">
        <v>115</v>
      </c>
      <c r="G6804" t="s">
        <v>15</v>
      </c>
      <c r="H6804" t="s">
        <v>17</v>
      </c>
      <c r="I6804" s="3">
        <v>14</v>
      </c>
      <c r="J6804" s="2">
        <v>132</v>
      </c>
      <c r="K6804" s="3">
        <f t="shared" si="106"/>
        <v>1848</v>
      </c>
      <c r="L6804" s="3">
        <v>1108.8000000000002</v>
      </c>
    </row>
    <row r="6805" spans="1:12" x14ac:dyDescent="0.25">
      <c r="A6805" t="s">
        <v>36</v>
      </c>
      <c r="B6805">
        <v>1185732</v>
      </c>
      <c r="C6805" s="1">
        <v>44490</v>
      </c>
      <c r="D6805" t="s">
        <v>29</v>
      </c>
      <c r="E6805" t="s">
        <v>30</v>
      </c>
      <c r="F6805" t="s">
        <v>31</v>
      </c>
      <c r="G6805" t="s">
        <v>41</v>
      </c>
      <c r="H6805" t="s">
        <v>37</v>
      </c>
      <c r="I6805" s="3">
        <v>34</v>
      </c>
      <c r="J6805" s="2">
        <v>19</v>
      </c>
      <c r="K6805" s="3">
        <f t="shared" si="106"/>
        <v>646</v>
      </c>
      <c r="L6805" s="3">
        <v>374.68</v>
      </c>
    </row>
    <row r="6806" spans="1:12" x14ac:dyDescent="0.25">
      <c r="A6806" t="s">
        <v>11</v>
      </c>
      <c r="B6806">
        <v>1197831</v>
      </c>
      <c r="C6806" s="1">
        <v>44490</v>
      </c>
      <c r="D6806" t="s">
        <v>52</v>
      </c>
      <c r="E6806" t="s">
        <v>116</v>
      </c>
      <c r="F6806" t="s">
        <v>117</v>
      </c>
      <c r="G6806" t="s">
        <v>15</v>
      </c>
      <c r="H6806" t="s">
        <v>17</v>
      </c>
      <c r="I6806" s="3">
        <v>14</v>
      </c>
      <c r="J6806" s="2">
        <v>112</v>
      </c>
      <c r="K6806" s="3">
        <f t="shared" si="106"/>
        <v>1568</v>
      </c>
      <c r="L6806" s="3">
        <v>909.44</v>
      </c>
    </row>
    <row r="6807" spans="1:12" x14ac:dyDescent="0.25">
      <c r="A6807" t="s">
        <v>11</v>
      </c>
      <c r="B6807">
        <v>1197831</v>
      </c>
      <c r="C6807" s="1">
        <v>44490</v>
      </c>
      <c r="D6807" t="s">
        <v>52</v>
      </c>
      <c r="E6807" t="s">
        <v>116</v>
      </c>
      <c r="F6807" t="s">
        <v>117</v>
      </c>
      <c r="G6807" t="s">
        <v>15</v>
      </c>
      <c r="H6807" t="s">
        <v>37</v>
      </c>
      <c r="I6807" s="3">
        <v>15</v>
      </c>
      <c r="J6807" s="2">
        <v>62</v>
      </c>
      <c r="K6807" s="3">
        <f t="shared" si="106"/>
        <v>930</v>
      </c>
      <c r="L6807" s="3">
        <v>539.4</v>
      </c>
    </row>
    <row r="6808" spans="1:12" x14ac:dyDescent="0.25">
      <c r="A6808" t="s">
        <v>11</v>
      </c>
      <c r="B6808">
        <v>1197831</v>
      </c>
      <c r="C6808" s="1">
        <v>44490</v>
      </c>
      <c r="D6808" t="s">
        <v>52</v>
      </c>
      <c r="E6808" t="s">
        <v>116</v>
      </c>
      <c r="F6808" t="s">
        <v>117</v>
      </c>
      <c r="G6808" t="s">
        <v>15</v>
      </c>
      <c r="H6808" t="s">
        <v>35</v>
      </c>
      <c r="I6808" s="3">
        <v>14</v>
      </c>
      <c r="J6808" s="2">
        <v>74</v>
      </c>
      <c r="K6808" s="3">
        <f t="shared" si="106"/>
        <v>1036</v>
      </c>
      <c r="L6808" s="3">
        <v>600.87999999999988</v>
      </c>
    </row>
    <row r="6809" spans="1:12" x14ac:dyDescent="0.25">
      <c r="A6809" t="s">
        <v>23</v>
      </c>
      <c r="B6809">
        <v>1197831</v>
      </c>
      <c r="C6809" s="1">
        <v>44490</v>
      </c>
      <c r="D6809" t="s">
        <v>52</v>
      </c>
      <c r="E6809" t="s">
        <v>114</v>
      </c>
      <c r="F6809" t="s">
        <v>115</v>
      </c>
      <c r="G6809" t="s">
        <v>41</v>
      </c>
      <c r="H6809" t="s">
        <v>17</v>
      </c>
      <c r="I6809" s="3">
        <v>19</v>
      </c>
      <c r="J6809" s="2">
        <v>106</v>
      </c>
      <c r="K6809" s="3">
        <f t="shared" si="106"/>
        <v>2014</v>
      </c>
      <c r="L6809" s="3">
        <v>1107.7</v>
      </c>
    </row>
    <row r="6810" spans="1:12" x14ac:dyDescent="0.25">
      <c r="A6810" t="s">
        <v>23</v>
      </c>
      <c r="B6810">
        <v>1197831</v>
      </c>
      <c r="C6810" s="1">
        <v>44490</v>
      </c>
      <c r="D6810" t="s">
        <v>52</v>
      </c>
      <c r="E6810" t="s">
        <v>114</v>
      </c>
      <c r="F6810" t="s">
        <v>115</v>
      </c>
      <c r="G6810" t="s">
        <v>15</v>
      </c>
      <c r="H6810" t="s">
        <v>38</v>
      </c>
      <c r="I6810" s="3">
        <v>21</v>
      </c>
      <c r="J6810" s="2">
        <v>180</v>
      </c>
      <c r="K6810" s="3">
        <f t="shared" si="106"/>
        <v>3780</v>
      </c>
      <c r="L6810" s="3">
        <v>2079</v>
      </c>
    </row>
    <row r="6811" spans="1:12" x14ac:dyDescent="0.25">
      <c r="A6811" t="s">
        <v>23</v>
      </c>
      <c r="B6811">
        <v>1197831</v>
      </c>
      <c r="C6811" s="1">
        <v>44490</v>
      </c>
      <c r="D6811" t="s">
        <v>52</v>
      </c>
      <c r="E6811" t="s">
        <v>114</v>
      </c>
      <c r="F6811" t="s">
        <v>115</v>
      </c>
      <c r="G6811" t="s">
        <v>15</v>
      </c>
      <c r="H6811" t="s">
        <v>37</v>
      </c>
      <c r="I6811" s="3">
        <v>15</v>
      </c>
      <c r="J6811" s="2">
        <v>94</v>
      </c>
      <c r="K6811" s="3">
        <f t="shared" si="106"/>
        <v>1410</v>
      </c>
      <c r="L6811" s="3">
        <v>775.5</v>
      </c>
    </row>
    <row r="6812" spans="1:12" x14ac:dyDescent="0.25">
      <c r="A6812" t="s">
        <v>11</v>
      </c>
      <c r="B6812">
        <v>1197831</v>
      </c>
      <c r="C6812" s="1">
        <v>44490</v>
      </c>
      <c r="D6812" t="s">
        <v>52</v>
      </c>
      <c r="E6812" t="s">
        <v>114</v>
      </c>
      <c r="F6812" t="s">
        <v>115</v>
      </c>
      <c r="G6812" t="s">
        <v>15</v>
      </c>
      <c r="H6812" t="s">
        <v>16</v>
      </c>
      <c r="I6812" s="3">
        <v>20</v>
      </c>
      <c r="J6812" s="2">
        <v>132</v>
      </c>
      <c r="K6812" s="3">
        <f t="shared" si="106"/>
        <v>2640</v>
      </c>
      <c r="L6812" s="3">
        <v>1452</v>
      </c>
    </row>
    <row r="6813" spans="1:12" x14ac:dyDescent="0.25">
      <c r="A6813" t="s">
        <v>11</v>
      </c>
      <c r="B6813">
        <v>1197831</v>
      </c>
      <c r="C6813" s="1">
        <v>44490</v>
      </c>
      <c r="D6813" t="s">
        <v>52</v>
      </c>
      <c r="E6813" t="s">
        <v>116</v>
      </c>
      <c r="F6813" t="s">
        <v>117</v>
      </c>
      <c r="G6813" t="s">
        <v>41</v>
      </c>
      <c r="H6813" t="s">
        <v>17</v>
      </c>
      <c r="I6813" s="3">
        <v>19</v>
      </c>
      <c r="J6813" s="2">
        <v>88</v>
      </c>
      <c r="K6813" s="3">
        <f t="shared" si="106"/>
        <v>1672</v>
      </c>
      <c r="L6813" s="3">
        <v>902.88000000000011</v>
      </c>
    </row>
    <row r="6814" spans="1:12" x14ac:dyDescent="0.25">
      <c r="A6814" t="s">
        <v>23</v>
      </c>
      <c r="B6814">
        <v>1197831</v>
      </c>
      <c r="C6814" s="1">
        <v>44490</v>
      </c>
      <c r="D6814" t="s">
        <v>52</v>
      </c>
      <c r="E6814" t="s">
        <v>114</v>
      </c>
      <c r="F6814" t="s">
        <v>115</v>
      </c>
      <c r="G6814" t="s">
        <v>15</v>
      </c>
      <c r="H6814" t="s">
        <v>35</v>
      </c>
      <c r="I6814" s="3">
        <v>16</v>
      </c>
      <c r="J6814" s="2">
        <v>99</v>
      </c>
      <c r="K6814" s="3">
        <f t="shared" si="106"/>
        <v>1584</v>
      </c>
      <c r="L6814" s="3">
        <v>855.36</v>
      </c>
    </row>
    <row r="6815" spans="1:12" x14ac:dyDescent="0.25">
      <c r="A6815" t="s">
        <v>23</v>
      </c>
      <c r="B6815">
        <v>1197831</v>
      </c>
      <c r="C6815" s="1">
        <v>44490</v>
      </c>
      <c r="D6815" t="s">
        <v>52</v>
      </c>
      <c r="E6815" t="s">
        <v>114</v>
      </c>
      <c r="F6815" t="s">
        <v>115</v>
      </c>
      <c r="G6815" t="s">
        <v>41</v>
      </c>
      <c r="H6815" t="s">
        <v>22</v>
      </c>
      <c r="I6815" s="3">
        <v>27</v>
      </c>
      <c r="J6815" s="2">
        <v>83</v>
      </c>
      <c r="K6815" s="3">
        <f t="shared" si="106"/>
        <v>2241</v>
      </c>
      <c r="L6815" s="3">
        <v>1187.73</v>
      </c>
    </row>
    <row r="6816" spans="1:12" x14ac:dyDescent="0.25">
      <c r="A6816" t="s">
        <v>11</v>
      </c>
      <c r="B6816">
        <v>1197831</v>
      </c>
      <c r="C6816" s="1">
        <v>44490</v>
      </c>
      <c r="D6816" t="s">
        <v>52</v>
      </c>
      <c r="E6816" t="s">
        <v>116</v>
      </c>
      <c r="F6816" t="s">
        <v>117</v>
      </c>
      <c r="G6816" t="s">
        <v>15</v>
      </c>
      <c r="H6816" t="s">
        <v>38</v>
      </c>
      <c r="I6816" s="3">
        <v>20</v>
      </c>
      <c r="J6816" s="2">
        <v>173</v>
      </c>
      <c r="K6816" s="3">
        <f t="shared" si="106"/>
        <v>3460</v>
      </c>
      <c r="L6816" s="3">
        <v>1833.8</v>
      </c>
    </row>
    <row r="6817" spans="1:12" x14ac:dyDescent="0.25">
      <c r="A6817" t="s">
        <v>27</v>
      </c>
      <c r="B6817">
        <v>1197831</v>
      </c>
      <c r="C6817" s="1">
        <v>44490</v>
      </c>
      <c r="D6817" t="s">
        <v>52</v>
      </c>
      <c r="E6817" t="s">
        <v>116</v>
      </c>
      <c r="F6817" t="s">
        <v>117</v>
      </c>
      <c r="G6817" t="s">
        <v>15</v>
      </c>
      <c r="H6817" t="s">
        <v>16</v>
      </c>
      <c r="I6817" s="3">
        <v>22</v>
      </c>
      <c r="J6817" s="2">
        <v>101</v>
      </c>
      <c r="K6817" s="3">
        <f t="shared" si="106"/>
        <v>2222</v>
      </c>
      <c r="L6817" s="3">
        <v>1177.6599999999999</v>
      </c>
    </row>
    <row r="6818" spans="1:12" x14ac:dyDescent="0.25">
      <c r="A6818" t="s">
        <v>11</v>
      </c>
      <c r="B6818">
        <v>1197831</v>
      </c>
      <c r="C6818" s="1">
        <v>44490</v>
      </c>
      <c r="D6818" t="s">
        <v>52</v>
      </c>
      <c r="E6818" t="s">
        <v>116</v>
      </c>
      <c r="F6818" t="s">
        <v>117</v>
      </c>
      <c r="G6818" t="s">
        <v>41</v>
      </c>
      <c r="H6818" t="s">
        <v>22</v>
      </c>
      <c r="I6818" s="3">
        <v>29</v>
      </c>
      <c r="J6818" s="2">
        <v>50</v>
      </c>
      <c r="K6818" s="3">
        <f t="shared" si="106"/>
        <v>1450</v>
      </c>
      <c r="L6818" s="3">
        <v>754</v>
      </c>
    </row>
    <row r="6819" spans="1:12" x14ac:dyDescent="0.25">
      <c r="A6819" t="s">
        <v>23</v>
      </c>
      <c r="B6819">
        <v>1197831</v>
      </c>
      <c r="C6819" s="1">
        <v>44490</v>
      </c>
      <c r="D6819" t="s">
        <v>52</v>
      </c>
      <c r="E6819" t="s">
        <v>114</v>
      </c>
      <c r="F6819" t="s">
        <v>115</v>
      </c>
      <c r="G6819" t="s">
        <v>41</v>
      </c>
      <c r="H6819" t="s">
        <v>38</v>
      </c>
      <c r="I6819" s="3">
        <v>27</v>
      </c>
      <c r="J6819" s="2">
        <v>150</v>
      </c>
      <c r="K6819" s="3">
        <f t="shared" si="106"/>
        <v>4050</v>
      </c>
      <c r="L6819" s="3">
        <v>2025</v>
      </c>
    </row>
    <row r="6820" spans="1:12" x14ac:dyDescent="0.25">
      <c r="A6820" t="s">
        <v>23</v>
      </c>
      <c r="B6820">
        <v>1197831</v>
      </c>
      <c r="C6820" s="1">
        <v>44490</v>
      </c>
      <c r="D6820" t="s">
        <v>52</v>
      </c>
      <c r="E6820" t="s">
        <v>114</v>
      </c>
      <c r="F6820" t="s">
        <v>115</v>
      </c>
      <c r="G6820" t="s">
        <v>41</v>
      </c>
      <c r="H6820" t="s">
        <v>35</v>
      </c>
      <c r="I6820" s="3">
        <v>19</v>
      </c>
      <c r="J6820" s="2">
        <v>78</v>
      </c>
      <c r="K6820" s="3">
        <f t="shared" si="106"/>
        <v>1482</v>
      </c>
      <c r="L6820" s="3">
        <v>741</v>
      </c>
    </row>
    <row r="6821" spans="1:12" x14ac:dyDescent="0.25">
      <c r="A6821" t="s">
        <v>11</v>
      </c>
      <c r="B6821">
        <v>1197831</v>
      </c>
      <c r="C6821" s="1">
        <v>44490</v>
      </c>
      <c r="D6821" t="s">
        <v>52</v>
      </c>
      <c r="E6821" t="s">
        <v>116</v>
      </c>
      <c r="F6821" t="s">
        <v>117</v>
      </c>
      <c r="G6821" t="s">
        <v>41</v>
      </c>
      <c r="H6821" t="s">
        <v>35</v>
      </c>
      <c r="I6821" s="3">
        <v>20</v>
      </c>
      <c r="J6821" s="2">
        <v>56</v>
      </c>
      <c r="K6821" s="3">
        <f t="shared" si="106"/>
        <v>1120</v>
      </c>
      <c r="L6821" s="3">
        <v>548.79999999999995</v>
      </c>
    </row>
    <row r="6822" spans="1:12" x14ac:dyDescent="0.25">
      <c r="A6822" t="s">
        <v>11</v>
      </c>
      <c r="B6822">
        <v>1197831</v>
      </c>
      <c r="C6822" s="1">
        <v>44490</v>
      </c>
      <c r="D6822" t="s">
        <v>52</v>
      </c>
      <c r="E6822" t="s">
        <v>116</v>
      </c>
      <c r="F6822" t="s">
        <v>117</v>
      </c>
      <c r="G6822" t="s">
        <v>41</v>
      </c>
      <c r="H6822" t="s">
        <v>37</v>
      </c>
      <c r="I6822" s="3">
        <v>18</v>
      </c>
      <c r="J6822" s="2">
        <v>52</v>
      </c>
      <c r="K6822" s="3">
        <f t="shared" si="106"/>
        <v>936</v>
      </c>
      <c r="L6822" s="3">
        <v>449.28</v>
      </c>
    </row>
    <row r="6823" spans="1:12" x14ac:dyDescent="0.25">
      <c r="A6823" t="s">
        <v>23</v>
      </c>
      <c r="B6823">
        <v>1197831</v>
      </c>
      <c r="C6823" s="1">
        <v>44490</v>
      </c>
      <c r="D6823" t="s">
        <v>52</v>
      </c>
      <c r="E6823" t="s">
        <v>114</v>
      </c>
      <c r="F6823" t="s">
        <v>115</v>
      </c>
      <c r="G6823" t="s">
        <v>41</v>
      </c>
      <c r="H6823" t="s">
        <v>37</v>
      </c>
      <c r="I6823" s="3">
        <v>19</v>
      </c>
      <c r="J6823" s="2">
        <v>72</v>
      </c>
      <c r="K6823" s="3">
        <f t="shared" si="106"/>
        <v>1368</v>
      </c>
      <c r="L6823" s="3">
        <v>642.95999999999992</v>
      </c>
    </row>
    <row r="6824" spans="1:12" x14ac:dyDescent="0.25">
      <c r="A6824" t="s">
        <v>11</v>
      </c>
      <c r="B6824">
        <v>1197831</v>
      </c>
      <c r="C6824" s="1">
        <v>44490</v>
      </c>
      <c r="D6824" t="s">
        <v>52</v>
      </c>
      <c r="E6824" t="s">
        <v>114</v>
      </c>
      <c r="F6824" t="s">
        <v>115</v>
      </c>
      <c r="G6824" t="s">
        <v>41</v>
      </c>
      <c r="H6824" t="s">
        <v>16</v>
      </c>
      <c r="I6824" s="3">
        <v>29</v>
      </c>
      <c r="J6824" s="2">
        <v>104</v>
      </c>
      <c r="K6824" s="3">
        <f t="shared" si="106"/>
        <v>3016</v>
      </c>
      <c r="L6824" s="3">
        <v>1417.52</v>
      </c>
    </row>
    <row r="6825" spans="1:12" x14ac:dyDescent="0.25">
      <c r="A6825" t="s">
        <v>11</v>
      </c>
      <c r="B6825">
        <v>1197831</v>
      </c>
      <c r="C6825" s="1">
        <v>44490</v>
      </c>
      <c r="D6825" t="s">
        <v>52</v>
      </c>
      <c r="E6825" t="s">
        <v>116</v>
      </c>
      <c r="F6825" t="s">
        <v>117</v>
      </c>
      <c r="G6825" t="s">
        <v>41</v>
      </c>
      <c r="H6825" t="s">
        <v>38</v>
      </c>
      <c r="I6825" s="3">
        <v>29</v>
      </c>
      <c r="J6825" s="2">
        <v>137</v>
      </c>
      <c r="K6825" s="3">
        <f t="shared" si="106"/>
        <v>3973</v>
      </c>
      <c r="L6825" s="3">
        <v>1827.58</v>
      </c>
    </row>
    <row r="6826" spans="1:12" x14ac:dyDescent="0.25">
      <c r="A6826" t="s">
        <v>27</v>
      </c>
      <c r="B6826">
        <v>1197831</v>
      </c>
      <c r="C6826" s="1">
        <v>44490</v>
      </c>
      <c r="D6826" t="s">
        <v>52</v>
      </c>
      <c r="E6826" t="s">
        <v>116</v>
      </c>
      <c r="F6826" t="s">
        <v>117</v>
      </c>
      <c r="G6826" t="s">
        <v>41</v>
      </c>
      <c r="H6826" t="s">
        <v>16</v>
      </c>
      <c r="I6826" s="3">
        <v>29</v>
      </c>
      <c r="J6826" s="2">
        <v>91</v>
      </c>
      <c r="K6826" s="3">
        <f t="shared" si="106"/>
        <v>2639</v>
      </c>
      <c r="L6826" s="3">
        <v>1187.55</v>
      </c>
    </row>
    <row r="6827" spans="1:12" x14ac:dyDescent="0.25">
      <c r="A6827" t="s">
        <v>26</v>
      </c>
      <c r="B6827">
        <v>1197831</v>
      </c>
      <c r="C6827" s="1">
        <v>44490</v>
      </c>
      <c r="D6827" t="s">
        <v>52</v>
      </c>
      <c r="E6827" t="s">
        <v>53</v>
      </c>
      <c r="F6827" t="s">
        <v>54</v>
      </c>
      <c r="G6827" t="s">
        <v>15</v>
      </c>
      <c r="H6827" t="s">
        <v>16</v>
      </c>
      <c r="I6827" s="3">
        <v>54</v>
      </c>
      <c r="J6827" s="2">
        <v>256</v>
      </c>
      <c r="K6827" s="3">
        <f t="shared" si="106"/>
        <v>13824</v>
      </c>
      <c r="L6827" s="3">
        <v>5529.5999999999985</v>
      </c>
    </row>
    <row r="6828" spans="1:12" x14ac:dyDescent="0.25">
      <c r="A6828" t="s">
        <v>26</v>
      </c>
      <c r="B6828">
        <v>1197831</v>
      </c>
      <c r="C6828" s="1">
        <v>44490</v>
      </c>
      <c r="D6828" t="s">
        <v>52</v>
      </c>
      <c r="E6828" t="s">
        <v>53</v>
      </c>
      <c r="F6828" t="s">
        <v>54</v>
      </c>
      <c r="G6828" t="s">
        <v>41</v>
      </c>
      <c r="H6828" t="s">
        <v>16</v>
      </c>
      <c r="I6828" s="3">
        <v>65</v>
      </c>
      <c r="J6828" s="2">
        <v>233</v>
      </c>
      <c r="K6828" s="3">
        <f t="shared" si="106"/>
        <v>15145</v>
      </c>
      <c r="L6828" s="3">
        <v>5149.2999999999993</v>
      </c>
    </row>
    <row r="6829" spans="1:12" x14ac:dyDescent="0.25">
      <c r="A6829" t="s">
        <v>36</v>
      </c>
      <c r="B6829">
        <v>1185732</v>
      </c>
      <c r="C6829" s="1">
        <v>44491</v>
      </c>
      <c r="D6829" t="s">
        <v>12</v>
      </c>
      <c r="E6829" t="s">
        <v>24</v>
      </c>
      <c r="F6829" t="s">
        <v>25</v>
      </c>
      <c r="G6829" t="s">
        <v>15</v>
      </c>
      <c r="H6829" t="s">
        <v>35</v>
      </c>
      <c r="I6829" s="3">
        <v>65.000000000000014</v>
      </c>
      <c r="J6829" s="2">
        <v>175</v>
      </c>
      <c r="K6829" s="3">
        <f t="shared" si="106"/>
        <v>11375.000000000002</v>
      </c>
      <c r="L6829" s="3">
        <v>8531.2500000000036</v>
      </c>
    </row>
    <row r="6830" spans="1:12" x14ac:dyDescent="0.25">
      <c r="A6830" t="s">
        <v>36</v>
      </c>
      <c r="B6830">
        <v>1185732</v>
      </c>
      <c r="C6830" s="1">
        <v>44491</v>
      </c>
      <c r="D6830" t="s">
        <v>29</v>
      </c>
      <c r="E6830" t="s">
        <v>30</v>
      </c>
      <c r="F6830" t="s">
        <v>31</v>
      </c>
      <c r="G6830" t="s">
        <v>15</v>
      </c>
      <c r="H6830" t="s">
        <v>22</v>
      </c>
      <c r="I6830" s="3">
        <v>50</v>
      </c>
      <c r="J6830" s="2">
        <v>150</v>
      </c>
      <c r="K6830" s="3">
        <f t="shared" si="106"/>
        <v>7500</v>
      </c>
      <c r="L6830" s="3">
        <v>5625</v>
      </c>
    </row>
    <row r="6831" spans="1:12" x14ac:dyDescent="0.25">
      <c r="A6831" t="s">
        <v>36</v>
      </c>
      <c r="B6831">
        <v>1185732</v>
      </c>
      <c r="C6831" s="1">
        <v>44491</v>
      </c>
      <c r="D6831" t="s">
        <v>12</v>
      </c>
      <c r="E6831" t="s">
        <v>24</v>
      </c>
      <c r="F6831" t="s">
        <v>25</v>
      </c>
      <c r="G6831" t="s">
        <v>15</v>
      </c>
      <c r="H6831" t="s">
        <v>37</v>
      </c>
      <c r="I6831" s="3">
        <v>65.000000000000014</v>
      </c>
      <c r="J6831" s="2">
        <v>150</v>
      </c>
      <c r="K6831" s="3">
        <f t="shared" si="106"/>
        <v>9750.0000000000018</v>
      </c>
      <c r="L6831" s="3">
        <v>7312.5000000000018</v>
      </c>
    </row>
    <row r="6832" spans="1:12" x14ac:dyDescent="0.25">
      <c r="A6832" t="s">
        <v>36</v>
      </c>
      <c r="B6832">
        <v>1185732</v>
      </c>
      <c r="C6832" s="1">
        <v>44491</v>
      </c>
      <c r="D6832" t="s">
        <v>12</v>
      </c>
      <c r="E6832" t="s">
        <v>24</v>
      </c>
      <c r="F6832" t="s">
        <v>25</v>
      </c>
      <c r="G6832" t="s">
        <v>15</v>
      </c>
      <c r="H6832" t="s">
        <v>22</v>
      </c>
      <c r="I6832" s="3">
        <v>75.000000000000014</v>
      </c>
      <c r="J6832" s="2">
        <v>150</v>
      </c>
      <c r="K6832" s="3">
        <f t="shared" si="106"/>
        <v>11250.000000000002</v>
      </c>
      <c r="L6832" s="3">
        <v>8437.5000000000018</v>
      </c>
    </row>
    <row r="6833" spans="1:12" x14ac:dyDescent="0.25">
      <c r="A6833" t="s">
        <v>36</v>
      </c>
      <c r="B6833">
        <v>1185732</v>
      </c>
      <c r="C6833" s="1">
        <v>44491</v>
      </c>
      <c r="D6833" t="s">
        <v>12</v>
      </c>
      <c r="E6833" t="s">
        <v>24</v>
      </c>
      <c r="F6833" t="s">
        <v>25</v>
      </c>
      <c r="G6833" t="s">
        <v>15</v>
      </c>
      <c r="H6833" t="s">
        <v>16</v>
      </c>
      <c r="I6833" s="3">
        <v>80</v>
      </c>
      <c r="J6833" s="2">
        <v>275</v>
      </c>
      <c r="K6833" s="3">
        <f t="shared" si="106"/>
        <v>22000</v>
      </c>
      <c r="L6833" s="3">
        <v>15400</v>
      </c>
    </row>
    <row r="6834" spans="1:12" x14ac:dyDescent="0.25">
      <c r="A6834" t="s">
        <v>19</v>
      </c>
      <c r="B6834">
        <v>1185732</v>
      </c>
      <c r="C6834" s="1">
        <v>44491</v>
      </c>
      <c r="D6834" t="s">
        <v>29</v>
      </c>
      <c r="E6834" t="s">
        <v>87</v>
      </c>
      <c r="F6834" t="s">
        <v>88</v>
      </c>
      <c r="G6834" t="s">
        <v>18</v>
      </c>
      <c r="H6834" t="s">
        <v>22</v>
      </c>
      <c r="I6834" s="3">
        <v>60</v>
      </c>
      <c r="J6834" s="2">
        <v>75</v>
      </c>
      <c r="K6834" s="3">
        <f t="shared" si="106"/>
        <v>4500</v>
      </c>
      <c r="L6834" s="3">
        <v>3150</v>
      </c>
    </row>
    <row r="6835" spans="1:12" x14ac:dyDescent="0.25">
      <c r="A6835" t="s">
        <v>19</v>
      </c>
      <c r="B6835">
        <v>1185732</v>
      </c>
      <c r="C6835" s="1">
        <v>44491</v>
      </c>
      <c r="D6835" t="s">
        <v>29</v>
      </c>
      <c r="E6835" t="s">
        <v>87</v>
      </c>
      <c r="F6835" t="s">
        <v>88</v>
      </c>
      <c r="G6835" t="s">
        <v>18</v>
      </c>
      <c r="H6835" t="s">
        <v>16</v>
      </c>
      <c r="I6835" s="3">
        <v>64.999999999999986</v>
      </c>
      <c r="J6835" s="2">
        <v>200</v>
      </c>
      <c r="K6835" s="3">
        <f t="shared" si="106"/>
        <v>12999.999999999996</v>
      </c>
      <c r="L6835" s="3">
        <v>9099.9999999999964</v>
      </c>
    </row>
    <row r="6836" spans="1:12" x14ac:dyDescent="0.25">
      <c r="A6836" t="s">
        <v>36</v>
      </c>
      <c r="B6836">
        <v>1185732</v>
      </c>
      <c r="C6836" s="1">
        <v>44491</v>
      </c>
      <c r="D6836" t="s">
        <v>12</v>
      </c>
      <c r="E6836" t="s">
        <v>24</v>
      </c>
      <c r="F6836" t="s">
        <v>25</v>
      </c>
      <c r="G6836" t="s">
        <v>15</v>
      </c>
      <c r="H6836" t="s">
        <v>38</v>
      </c>
      <c r="I6836" s="3">
        <v>70</v>
      </c>
      <c r="J6836" s="2">
        <v>450</v>
      </c>
      <c r="K6836" s="3">
        <f t="shared" si="106"/>
        <v>31500</v>
      </c>
      <c r="L6836" s="3">
        <v>20475</v>
      </c>
    </row>
    <row r="6837" spans="1:12" x14ac:dyDescent="0.25">
      <c r="A6837" t="s">
        <v>36</v>
      </c>
      <c r="B6837">
        <v>1185732</v>
      </c>
      <c r="C6837" s="1">
        <v>44491</v>
      </c>
      <c r="D6837" t="s">
        <v>12</v>
      </c>
      <c r="E6837" t="s">
        <v>24</v>
      </c>
      <c r="F6837" t="s">
        <v>25</v>
      </c>
      <c r="G6837" t="s">
        <v>15</v>
      </c>
      <c r="H6837" t="s">
        <v>17</v>
      </c>
      <c r="I6837" s="3">
        <v>65.000000000000014</v>
      </c>
      <c r="J6837" s="2">
        <v>275</v>
      </c>
      <c r="K6837" s="3">
        <f t="shared" si="106"/>
        <v>17875.000000000004</v>
      </c>
      <c r="L6837" s="3">
        <v>11618.750000000002</v>
      </c>
    </row>
    <row r="6838" spans="1:12" x14ac:dyDescent="0.25">
      <c r="A6838" t="s">
        <v>36</v>
      </c>
      <c r="B6838">
        <v>1185732</v>
      </c>
      <c r="C6838" s="1">
        <v>44491</v>
      </c>
      <c r="D6838" t="s">
        <v>32</v>
      </c>
      <c r="E6838" t="s">
        <v>120</v>
      </c>
      <c r="F6838" t="s">
        <v>121</v>
      </c>
      <c r="G6838" t="s">
        <v>41</v>
      </c>
      <c r="H6838" t="s">
        <v>17</v>
      </c>
      <c r="I6838" s="3">
        <v>45</v>
      </c>
      <c r="J6838" s="2">
        <v>275</v>
      </c>
      <c r="K6838" s="3">
        <f t="shared" si="106"/>
        <v>12375</v>
      </c>
      <c r="L6838" s="3">
        <v>8043.75</v>
      </c>
    </row>
    <row r="6839" spans="1:12" x14ac:dyDescent="0.25">
      <c r="A6839" t="s">
        <v>36</v>
      </c>
      <c r="B6839">
        <v>1185732</v>
      </c>
      <c r="C6839" s="1">
        <v>44491</v>
      </c>
      <c r="D6839" t="s">
        <v>32</v>
      </c>
      <c r="E6839" t="s">
        <v>120</v>
      </c>
      <c r="F6839" t="s">
        <v>121</v>
      </c>
      <c r="G6839" t="s">
        <v>41</v>
      </c>
      <c r="H6839" t="s">
        <v>22</v>
      </c>
      <c r="I6839" s="3">
        <v>54.999999999999993</v>
      </c>
      <c r="J6839" s="2">
        <v>150</v>
      </c>
      <c r="K6839" s="3">
        <f t="shared" si="106"/>
        <v>8249.9999999999982</v>
      </c>
      <c r="L6839" s="3">
        <v>5362.4999999999991</v>
      </c>
    </row>
    <row r="6840" spans="1:12" x14ac:dyDescent="0.25">
      <c r="A6840" t="s">
        <v>26</v>
      </c>
      <c r="B6840">
        <v>1185732</v>
      </c>
      <c r="C6840" s="1">
        <v>44491</v>
      </c>
      <c r="D6840" t="s">
        <v>29</v>
      </c>
      <c r="E6840" t="s">
        <v>87</v>
      </c>
      <c r="F6840" t="s">
        <v>88</v>
      </c>
      <c r="G6840" t="s">
        <v>18</v>
      </c>
      <c r="H6840" t="s">
        <v>17</v>
      </c>
      <c r="I6840" s="3">
        <v>50</v>
      </c>
      <c r="J6840" s="2">
        <v>200</v>
      </c>
      <c r="K6840" s="3">
        <f t="shared" si="106"/>
        <v>10000</v>
      </c>
      <c r="L6840" s="3">
        <v>6500</v>
      </c>
    </row>
    <row r="6841" spans="1:12" x14ac:dyDescent="0.25">
      <c r="A6841" t="s">
        <v>26</v>
      </c>
      <c r="B6841">
        <v>1185732</v>
      </c>
      <c r="C6841" s="1">
        <v>44491</v>
      </c>
      <c r="D6841" t="s">
        <v>29</v>
      </c>
      <c r="E6841" t="s">
        <v>87</v>
      </c>
      <c r="F6841" t="s">
        <v>88</v>
      </c>
      <c r="G6841" t="s">
        <v>18</v>
      </c>
      <c r="H6841" t="s">
        <v>35</v>
      </c>
      <c r="I6841" s="3">
        <v>50</v>
      </c>
      <c r="J6841" s="2">
        <v>100</v>
      </c>
      <c r="K6841" s="3">
        <f t="shared" si="106"/>
        <v>5000</v>
      </c>
      <c r="L6841" s="3">
        <v>3250</v>
      </c>
    </row>
    <row r="6842" spans="1:12" x14ac:dyDescent="0.25">
      <c r="A6842" t="s">
        <v>19</v>
      </c>
      <c r="B6842">
        <v>1185732</v>
      </c>
      <c r="C6842" s="1">
        <v>44491</v>
      </c>
      <c r="D6842" t="s">
        <v>29</v>
      </c>
      <c r="E6842" t="s">
        <v>87</v>
      </c>
      <c r="F6842" t="s">
        <v>88</v>
      </c>
      <c r="G6842" t="s">
        <v>18</v>
      </c>
      <c r="H6842" t="s">
        <v>37</v>
      </c>
      <c r="I6842" s="3">
        <v>50</v>
      </c>
      <c r="J6842" s="2">
        <v>75</v>
      </c>
      <c r="K6842" s="3">
        <f t="shared" si="106"/>
        <v>3750</v>
      </c>
      <c r="L6842" s="3">
        <v>2437.5</v>
      </c>
    </row>
    <row r="6843" spans="1:12" x14ac:dyDescent="0.25">
      <c r="A6843" t="s">
        <v>36</v>
      </c>
      <c r="B6843">
        <v>1185732</v>
      </c>
      <c r="C6843" s="1">
        <v>44491</v>
      </c>
      <c r="D6843" t="s">
        <v>32</v>
      </c>
      <c r="E6843" t="s">
        <v>120</v>
      </c>
      <c r="F6843" t="s">
        <v>121</v>
      </c>
      <c r="G6843" t="s">
        <v>41</v>
      </c>
      <c r="H6843" t="s">
        <v>38</v>
      </c>
      <c r="I6843" s="3">
        <v>54.999999999999993</v>
      </c>
      <c r="J6843" s="2">
        <v>450</v>
      </c>
      <c r="K6843" s="3">
        <f t="shared" si="106"/>
        <v>24749.999999999996</v>
      </c>
      <c r="L6843" s="3">
        <v>14849.999999999996</v>
      </c>
    </row>
    <row r="6844" spans="1:12" x14ac:dyDescent="0.25">
      <c r="A6844" t="s">
        <v>36</v>
      </c>
      <c r="B6844">
        <v>1185732</v>
      </c>
      <c r="C6844" s="1">
        <v>44491</v>
      </c>
      <c r="D6844" t="s">
        <v>32</v>
      </c>
      <c r="E6844" t="s">
        <v>120</v>
      </c>
      <c r="F6844" t="s">
        <v>121</v>
      </c>
      <c r="G6844" t="s">
        <v>41</v>
      </c>
      <c r="H6844" t="s">
        <v>35</v>
      </c>
      <c r="I6844" s="3">
        <v>45</v>
      </c>
      <c r="J6844" s="2">
        <v>175</v>
      </c>
      <c r="K6844" s="3">
        <f t="shared" si="106"/>
        <v>7875</v>
      </c>
      <c r="L6844" s="3">
        <v>4725</v>
      </c>
    </row>
    <row r="6845" spans="1:12" x14ac:dyDescent="0.25">
      <c r="A6845" t="s">
        <v>36</v>
      </c>
      <c r="B6845">
        <v>1185732</v>
      </c>
      <c r="C6845" s="1">
        <v>44491</v>
      </c>
      <c r="D6845" t="s">
        <v>32</v>
      </c>
      <c r="E6845" t="s">
        <v>120</v>
      </c>
      <c r="F6845" t="s">
        <v>121</v>
      </c>
      <c r="G6845" t="s">
        <v>41</v>
      </c>
      <c r="H6845" t="s">
        <v>37</v>
      </c>
      <c r="I6845" s="3">
        <v>45</v>
      </c>
      <c r="J6845" s="2">
        <v>150</v>
      </c>
      <c r="K6845" s="3">
        <f t="shared" si="106"/>
        <v>6750</v>
      </c>
      <c r="L6845" s="3">
        <v>4050</v>
      </c>
    </row>
    <row r="6846" spans="1:12" x14ac:dyDescent="0.25">
      <c r="A6846" t="s">
        <v>36</v>
      </c>
      <c r="B6846">
        <v>1185732</v>
      </c>
      <c r="C6846" s="1">
        <v>44491</v>
      </c>
      <c r="D6846" t="s">
        <v>32</v>
      </c>
      <c r="E6846" t="s">
        <v>120</v>
      </c>
      <c r="F6846" t="s">
        <v>121</v>
      </c>
      <c r="G6846" t="s">
        <v>41</v>
      </c>
      <c r="H6846" t="s">
        <v>16</v>
      </c>
      <c r="I6846" s="3">
        <v>54.999999999999993</v>
      </c>
      <c r="J6846" s="2">
        <v>275</v>
      </c>
      <c r="K6846" s="3">
        <f t="shared" si="106"/>
        <v>15124.999999999998</v>
      </c>
      <c r="L6846" s="3">
        <v>9074.9999999999964</v>
      </c>
    </row>
    <row r="6847" spans="1:12" x14ac:dyDescent="0.25">
      <c r="A6847" t="s">
        <v>26</v>
      </c>
      <c r="B6847">
        <v>1185732</v>
      </c>
      <c r="C6847" s="1">
        <v>44491</v>
      </c>
      <c r="D6847" t="s">
        <v>29</v>
      </c>
      <c r="E6847" t="s">
        <v>87</v>
      </c>
      <c r="F6847" t="s">
        <v>88</v>
      </c>
      <c r="G6847" t="s">
        <v>18</v>
      </c>
      <c r="H6847" t="s">
        <v>38</v>
      </c>
      <c r="I6847" s="3">
        <v>54.999999999999993</v>
      </c>
      <c r="J6847" s="2">
        <v>375</v>
      </c>
      <c r="K6847" s="3">
        <f t="shared" si="106"/>
        <v>20624.999999999996</v>
      </c>
      <c r="L6847" s="3">
        <v>12374.999999999996</v>
      </c>
    </row>
    <row r="6848" spans="1:12" x14ac:dyDescent="0.25">
      <c r="A6848" t="s">
        <v>19</v>
      </c>
      <c r="B6848">
        <v>1185732</v>
      </c>
      <c r="C6848" s="1">
        <v>44491</v>
      </c>
      <c r="D6848" t="s">
        <v>52</v>
      </c>
      <c r="E6848" t="s">
        <v>53</v>
      </c>
      <c r="F6848" t="s">
        <v>54</v>
      </c>
      <c r="G6848" t="s">
        <v>15</v>
      </c>
      <c r="H6848" t="s">
        <v>38</v>
      </c>
      <c r="I6848" s="3">
        <v>45</v>
      </c>
      <c r="J6848" s="2">
        <v>425</v>
      </c>
      <c r="K6848" s="3">
        <f t="shared" si="106"/>
        <v>19125</v>
      </c>
      <c r="L6848" s="3">
        <v>8606.2499999999982</v>
      </c>
    </row>
    <row r="6849" spans="1:12" x14ac:dyDescent="0.25">
      <c r="A6849" t="s">
        <v>36</v>
      </c>
      <c r="B6849">
        <v>1185732</v>
      </c>
      <c r="C6849" s="1">
        <v>44491</v>
      </c>
      <c r="D6849" t="s">
        <v>12</v>
      </c>
      <c r="E6849" t="s">
        <v>24</v>
      </c>
      <c r="F6849" t="s">
        <v>25</v>
      </c>
      <c r="G6849" t="s">
        <v>41</v>
      </c>
      <c r="H6849" t="s">
        <v>22</v>
      </c>
      <c r="I6849" s="3">
        <v>71</v>
      </c>
      <c r="J6849" s="2">
        <v>44</v>
      </c>
      <c r="K6849" s="3">
        <f t="shared" si="106"/>
        <v>3124</v>
      </c>
      <c r="L6849" s="3">
        <v>2030.6000000000001</v>
      </c>
    </row>
    <row r="6850" spans="1:12" x14ac:dyDescent="0.25">
      <c r="A6850" t="s">
        <v>36</v>
      </c>
      <c r="B6850">
        <v>1185732</v>
      </c>
      <c r="C6850" s="1">
        <v>44491</v>
      </c>
      <c r="D6850" t="s">
        <v>12</v>
      </c>
      <c r="E6850" t="s">
        <v>24</v>
      </c>
      <c r="F6850" t="s">
        <v>25</v>
      </c>
      <c r="G6850" t="s">
        <v>41</v>
      </c>
      <c r="H6850" t="s">
        <v>37</v>
      </c>
      <c r="I6850" s="3">
        <v>59</v>
      </c>
      <c r="J6850" s="2">
        <v>42</v>
      </c>
      <c r="K6850" s="3">
        <f t="shared" si="106"/>
        <v>2478</v>
      </c>
      <c r="L6850" s="3">
        <v>1585.92</v>
      </c>
    </row>
    <row r="6851" spans="1:12" x14ac:dyDescent="0.25">
      <c r="A6851" t="s">
        <v>36</v>
      </c>
      <c r="B6851">
        <v>1185732</v>
      </c>
      <c r="C6851" s="1">
        <v>44491</v>
      </c>
      <c r="D6851" t="s">
        <v>29</v>
      </c>
      <c r="E6851" t="s">
        <v>30</v>
      </c>
      <c r="F6851" t="s">
        <v>31</v>
      </c>
      <c r="G6851" t="s">
        <v>41</v>
      </c>
      <c r="H6851" t="s">
        <v>22</v>
      </c>
      <c r="I6851" s="3">
        <v>46</v>
      </c>
      <c r="J6851" s="2">
        <v>45</v>
      </c>
      <c r="K6851" s="3">
        <f t="shared" ref="K6851:K6914" si="107">I6851*J6851</f>
        <v>2070</v>
      </c>
      <c r="L6851" s="3">
        <v>1262.6999999999998</v>
      </c>
    </row>
    <row r="6852" spans="1:12" x14ac:dyDescent="0.25">
      <c r="A6852" t="s">
        <v>36</v>
      </c>
      <c r="B6852">
        <v>1185732</v>
      </c>
      <c r="C6852" s="1">
        <v>44491</v>
      </c>
      <c r="D6852" t="s">
        <v>12</v>
      </c>
      <c r="E6852" t="s">
        <v>24</v>
      </c>
      <c r="F6852" t="s">
        <v>25</v>
      </c>
      <c r="G6852" t="s">
        <v>41</v>
      </c>
      <c r="H6852" t="s">
        <v>16</v>
      </c>
      <c r="I6852" s="3">
        <v>73</v>
      </c>
      <c r="J6852" s="2">
        <v>83</v>
      </c>
      <c r="K6852" s="3">
        <f t="shared" si="107"/>
        <v>6059</v>
      </c>
      <c r="L6852" s="3">
        <v>3635.4</v>
      </c>
    </row>
    <row r="6853" spans="1:12" x14ac:dyDescent="0.25">
      <c r="A6853" t="s">
        <v>19</v>
      </c>
      <c r="B6853">
        <v>1185732</v>
      </c>
      <c r="C6853" s="1">
        <v>44491</v>
      </c>
      <c r="D6853" t="s">
        <v>29</v>
      </c>
      <c r="E6853" t="s">
        <v>87</v>
      </c>
      <c r="F6853" t="s">
        <v>88</v>
      </c>
      <c r="G6853" t="s">
        <v>41</v>
      </c>
      <c r="H6853" t="s">
        <v>22</v>
      </c>
      <c r="I6853" s="3">
        <v>56</v>
      </c>
      <c r="J6853" s="2">
        <v>20</v>
      </c>
      <c r="K6853" s="3">
        <f t="shared" si="107"/>
        <v>1120</v>
      </c>
      <c r="L6853" s="3">
        <v>672</v>
      </c>
    </row>
    <row r="6854" spans="1:12" x14ac:dyDescent="0.25">
      <c r="A6854" t="s">
        <v>19</v>
      </c>
      <c r="B6854">
        <v>1185732</v>
      </c>
      <c r="C6854" s="1">
        <v>44491</v>
      </c>
      <c r="D6854" t="s">
        <v>29</v>
      </c>
      <c r="E6854" t="s">
        <v>87</v>
      </c>
      <c r="F6854" t="s">
        <v>88</v>
      </c>
      <c r="G6854" t="s">
        <v>41</v>
      </c>
      <c r="H6854" t="s">
        <v>16</v>
      </c>
      <c r="I6854" s="3">
        <v>60</v>
      </c>
      <c r="J6854" s="2">
        <v>52</v>
      </c>
      <c r="K6854" s="3">
        <f t="shared" si="107"/>
        <v>3120</v>
      </c>
      <c r="L6854" s="3">
        <v>1872</v>
      </c>
    </row>
    <row r="6855" spans="1:12" x14ac:dyDescent="0.25">
      <c r="A6855" t="s">
        <v>36</v>
      </c>
      <c r="B6855">
        <v>1185732</v>
      </c>
      <c r="C6855" s="1">
        <v>44491</v>
      </c>
      <c r="D6855" t="s">
        <v>12</v>
      </c>
      <c r="E6855" t="s">
        <v>24</v>
      </c>
      <c r="F6855" t="s">
        <v>25</v>
      </c>
      <c r="G6855" t="s">
        <v>41</v>
      </c>
      <c r="H6855" t="s">
        <v>35</v>
      </c>
      <c r="I6855" s="3">
        <v>59</v>
      </c>
      <c r="J6855" s="2">
        <v>46</v>
      </c>
      <c r="K6855" s="3">
        <f t="shared" si="107"/>
        <v>2714</v>
      </c>
      <c r="L6855" s="3">
        <v>1628.3999999999999</v>
      </c>
    </row>
    <row r="6856" spans="1:12" x14ac:dyDescent="0.25">
      <c r="A6856" t="s">
        <v>26</v>
      </c>
      <c r="B6856">
        <v>1185732</v>
      </c>
      <c r="C6856" s="1">
        <v>44491</v>
      </c>
      <c r="D6856" t="s">
        <v>29</v>
      </c>
      <c r="E6856" t="s">
        <v>87</v>
      </c>
      <c r="F6856" t="s">
        <v>88</v>
      </c>
      <c r="G6856" t="s">
        <v>41</v>
      </c>
      <c r="H6856" t="s">
        <v>17</v>
      </c>
      <c r="I6856" s="3">
        <v>48</v>
      </c>
      <c r="J6856" s="2">
        <v>58</v>
      </c>
      <c r="K6856" s="3">
        <f t="shared" si="107"/>
        <v>2784</v>
      </c>
      <c r="L6856" s="3">
        <v>1503.3600000000001</v>
      </c>
    </row>
    <row r="6857" spans="1:12" x14ac:dyDescent="0.25">
      <c r="A6857" t="s">
        <v>26</v>
      </c>
      <c r="B6857">
        <v>1185732</v>
      </c>
      <c r="C6857" s="1">
        <v>44491</v>
      </c>
      <c r="D6857" t="s">
        <v>29</v>
      </c>
      <c r="E6857" t="s">
        <v>87</v>
      </c>
      <c r="F6857" t="s">
        <v>88</v>
      </c>
      <c r="G6857" t="s">
        <v>41</v>
      </c>
      <c r="H6857" t="s">
        <v>35</v>
      </c>
      <c r="I6857" s="3">
        <v>49</v>
      </c>
      <c r="J6857" s="2">
        <v>25</v>
      </c>
      <c r="K6857" s="3">
        <f t="shared" si="107"/>
        <v>1225</v>
      </c>
      <c r="L6857" s="3">
        <v>661.5</v>
      </c>
    </row>
    <row r="6858" spans="1:12" x14ac:dyDescent="0.25">
      <c r="A6858" t="s">
        <v>36</v>
      </c>
      <c r="B6858">
        <v>1185732</v>
      </c>
      <c r="C6858" s="1">
        <v>44491</v>
      </c>
      <c r="D6858" t="s">
        <v>12</v>
      </c>
      <c r="E6858" t="s">
        <v>24</v>
      </c>
      <c r="F6858" t="s">
        <v>25</v>
      </c>
      <c r="G6858" t="s">
        <v>41</v>
      </c>
      <c r="H6858" t="s">
        <v>38</v>
      </c>
      <c r="I6858" s="3">
        <v>68</v>
      </c>
      <c r="J6858" s="2">
        <v>113</v>
      </c>
      <c r="K6858" s="3">
        <f t="shared" si="107"/>
        <v>7684</v>
      </c>
      <c r="L6858" s="3">
        <v>4072.52</v>
      </c>
    </row>
    <row r="6859" spans="1:12" x14ac:dyDescent="0.25">
      <c r="A6859" t="s">
        <v>36</v>
      </c>
      <c r="B6859">
        <v>1185732</v>
      </c>
      <c r="C6859" s="1">
        <v>44491</v>
      </c>
      <c r="D6859" t="s">
        <v>12</v>
      </c>
      <c r="E6859" t="s">
        <v>24</v>
      </c>
      <c r="F6859" t="s">
        <v>25</v>
      </c>
      <c r="G6859" t="s">
        <v>41</v>
      </c>
      <c r="H6859" t="s">
        <v>17</v>
      </c>
      <c r="I6859" s="3">
        <v>60</v>
      </c>
      <c r="J6859" s="2">
        <v>77</v>
      </c>
      <c r="K6859" s="3">
        <f t="shared" si="107"/>
        <v>4620</v>
      </c>
      <c r="L6859" s="3">
        <v>2402.3999999999996</v>
      </c>
    </row>
    <row r="6860" spans="1:12" x14ac:dyDescent="0.25">
      <c r="A6860" t="s">
        <v>36</v>
      </c>
      <c r="B6860">
        <v>1185732</v>
      </c>
      <c r="C6860" s="1">
        <v>44491</v>
      </c>
      <c r="D6860" t="s">
        <v>32</v>
      </c>
      <c r="E6860" t="s">
        <v>120</v>
      </c>
      <c r="F6860" t="s">
        <v>121</v>
      </c>
      <c r="G6860" t="s">
        <v>41</v>
      </c>
      <c r="H6860" t="s">
        <v>22</v>
      </c>
      <c r="I6860" s="3">
        <v>53</v>
      </c>
      <c r="J6860" s="2">
        <v>41</v>
      </c>
      <c r="K6860" s="3">
        <f t="shared" si="107"/>
        <v>2173</v>
      </c>
      <c r="L6860" s="3">
        <v>1108.23</v>
      </c>
    </row>
    <row r="6861" spans="1:12" x14ac:dyDescent="0.25">
      <c r="A6861" t="s">
        <v>36</v>
      </c>
      <c r="B6861">
        <v>1185732</v>
      </c>
      <c r="C6861" s="1">
        <v>44491</v>
      </c>
      <c r="D6861" t="s">
        <v>32</v>
      </c>
      <c r="E6861" t="s">
        <v>120</v>
      </c>
      <c r="F6861" t="s">
        <v>121</v>
      </c>
      <c r="G6861" t="s">
        <v>41</v>
      </c>
      <c r="H6861" t="s">
        <v>17</v>
      </c>
      <c r="I6861" s="3">
        <v>41</v>
      </c>
      <c r="J6861" s="2">
        <v>83</v>
      </c>
      <c r="K6861" s="3">
        <f t="shared" si="107"/>
        <v>3403</v>
      </c>
      <c r="L6861" s="3">
        <v>1701.5</v>
      </c>
    </row>
    <row r="6862" spans="1:12" x14ac:dyDescent="0.25">
      <c r="A6862" t="s">
        <v>36</v>
      </c>
      <c r="B6862">
        <v>1185732</v>
      </c>
      <c r="C6862" s="1">
        <v>44491</v>
      </c>
      <c r="D6862" t="s">
        <v>32</v>
      </c>
      <c r="E6862" t="s">
        <v>120</v>
      </c>
      <c r="F6862" t="s">
        <v>121</v>
      </c>
      <c r="G6862" t="s">
        <v>41</v>
      </c>
      <c r="H6862" t="s">
        <v>16</v>
      </c>
      <c r="I6862" s="3">
        <v>53</v>
      </c>
      <c r="J6862" s="2">
        <v>83</v>
      </c>
      <c r="K6862" s="3">
        <f t="shared" si="107"/>
        <v>4399</v>
      </c>
      <c r="L6862" s="3">
        <v>2199.5</v>
      </c>
    </row>
    <row r="6863" spans="1:12" x14ac:dyDescent="0.25">
      <c r="A6863" t="s">
        <v>19</v>
      </c>
      <c r="B6863">
        <v>1185732</v>
      </c>
      <c r="C6863" s="1">
        <v>44491</v>
      </c>
      <c r="D6863" t="s">
        <v>29</v>
      </c>
      <c r="E6863" t="s">
        <v>87</v>
      </c>
      <c r="F6863" t="s">
        <v>88</v>
      </c>
      <c r="G6863" t="s">
        <v>41</v>
      </c>
      <c r="H6863" t="s">
        <v>37</v>
      </c>
      <c r="I6863" s="3">
        <v>49</v>
      </c>
      <c r="J6863" s="2">
        <v>21</v>
      </c>
      <c r="K6863" s="3">
        <f t="shared" si="107"/>
        <v>1029</v>
      </c>
      <c r="L6863" s="3">
        <v>514.5</v>
      </c>
    </row>
    <row r="6864" spans="1:12" x14ac:dyDescent="0.25">
      <c r="A6864" t="s">
        <v>36</v>
      </c>
      <c r="B6864">
        <v>1185732</v>
      </c>
      <c r="C6864" s="1">
        <v>44491</v>
      </c>
      <c r="D6864" t="s">
        <v>32</v>
      </c>
      <c r="E6864" t="s">
        <v>120</v>
      </c>
      <c r="F6864" t="s">
        <v>121</v>
      </c>
      <c r="G6864" t="s">
        <v>41</v>
      </c>
      <c r="H6864" t="s">
        <v>37</v>
      </c>
      <c r="I6864" s="3">
        <v>41</v>
      </c>
      <c r="J6864" s="2">
        <v>42</v>
      </c>
      <c r="K6864" s="3">
        <f t="shared" si="107"/>
        <v>1722</v>
      </c>
      <c r="L6864" s="3">
        <v>826.56</v>
      </c>
    </row>
    <row r="6865" spans="1:12" x14ac:dyDescent="0.25">
      <c r="A6865" t="s">
        <v>36</v>
      </c>
      <c r="B6865">
        <v>1185732</v>
      </c>
      <c r="C6865" s="1">
        <v>44491</v>
      </c>
      <c r="D6865" t="s">
        <v>32</v>
      </c>
      <c r="E6865" t="s">
        <v>120</v>
      </c>
      <c r="F6865" t="s">
        <v>121</v>
      </c>
      <c r="G6865" t="s">
        <v>41</v>
      </c>
      <c r="H6865" t="s">
        <v>35</v>
      </c>
      <c r="I6865" s="3">
        <v>43</v>
      </c>
      <c r="J6865" s="2">
        <v>47</v>
      </c>
      <c r="K6865" s="3">
        <f t="shared" si="107"/>
        <v>2021</v>
      </c>
      <c r="L6865" s="3">
        <v>929.65999999999985</v>
      </c>
    </row>
    <row r="6866" spans="1:12" x14ac:dyDescent="0.25">
      <c r="A6866" t="s">
        <v>26</v>
      </c>
      <c r="B6866">
        <v>1185732</v>
      </c>
      <c r="C6866" s="1">
        <v>44491</v>
      </c>
      <c r="D6866" t="s">
        <v>29</v>
      </c>
      <c r="E6866" t="s">
        <v>87</v>
      </c>
      <c r="F6866" t="s">
        <v>88</v>
      </c>
      <c r="G6866" t="s">
        <v>41</v>
      </c>
      <c r="H6866" t="s">
        <v>38</v>
      </c>
      <c r="I6866" s="3">
        <v>52</v>
      </c>
      <c r="J6866" s="2">
        <v>113</v>
      </c>
      <c r="K6866" s="3">
        <f t="shared" si="107"/>
        <v>5876</v>
      </c>
      <c r="L6866" s="3">
        <v>2702.9599999999996</v>
      </c>
    </row>
    <row r="6867" spans="1:12" x14ac:dyDescent="0.25">
      <c r="A6867" t="s">
        <v>36</v>
      </c>
      <c r="B6867">
        <v>1185732</v>
      </c>
      <c r="C6867" s="1">
        <v>44491</v>
      </c>
      <c r="D6867" t="s">
        <v>32</v>
      </c>
      <c r="E6867" t="s">
        <v>120</v>
      </c>
      <c r="F6867" t="s">
        <v>121</v>
      </c>
      <c r="G6867" t="s">
        <v>41</v>
      </c>
      <c r="H6867" t="s">
        <v>38</v>
      </c>
      <c r="I6867" s="3">
        <v>53</v>
      </c>
      <c r="J6867" s="2">
        <v>126</v>
      </c>
      <c r="K6867" s="3">
        <f t="shared" si="107"/>
        <v>6678</v>
      </c>
      <c r="L6867" s="3">
        <v>3005.1</v>
      </c>
    </row>
    <row r="6868" spans="1:12" x14ac:dyDescent="0.25">
      <c r="A6868" t="s">
        <v>19</v>
      </c>
      <c r="B6868">
        <v>1185732</v>
      </c>
      <c r="C6868" s="1">
        <v>44491</v>
      </c>
      <c r="D6868" t="s">
        <v>52</v>
      </c>
      <c r="E6868" t="s">
        <v>53</v>
      </c>
      <c r="F6868" t="s">
        <v>54</v>
      </c>
      <c r="G6868" t="s">
        <v>15</v>
      </c>
      <c r="H6868" t="s">
        <v>38</v>
      </c>
      <c r="I6868" s="3">
        <v>34</v>
      </c>
      <c r="J6868" s="2">
        <v>128</v>
      </c>
      <c r="K6868" s="3">
        <f t="shared" si="107"/>
        <v>4352</v>
      </c>
      <c r="L6868" s="3">
        <v>1653.7599999999993</v>
      </c>
    </row>
    <row r="6869" spans="1:12" x14ac:dyDescent="0.25">
      <c r="A6869" t="s">
        <v>19</v>
      </c>
      <c r="B6869">
        <v>1185732</v>
      </c>
      <c r="C6869" s="1">
        <v>44491</v>
      </c>
      <c r="D6869" t="s">
        <v>52</v>
      </c>
      <c r="E6869" t="s">
        <v>53</v>
      </c>
      <c r="F6869" t="s">
        <v>54</v>
      </c>
      <c r="G6869" t="s">
        <v>41</v>
      </c>
      <c r="H6869" t="s">
        <v>38</v>
      </c>
      <c r="I6869" s="3">
        <v>44</v>
      </c>
      <c r="J6869" s="2">
        <v>111</v>
      </c>
      <c r="K6869" s="3">
        <f t="shared" si="107"/>
        <v>4884</v>
      </c>
      <c r="L6869" s="3">
        <v>1465.1999999999998</v>
      </c>
    </row>
    <row r="6870" spans="1:12" x14ac:dyDescent="0.25">
      <c r="A6870" t="s">
        <v>19</v>
      </c>
      <c r="B6870">
        <v>1128299</v>
      </c>
      <c r="C6870" s="1">
        <v>44492</v>
      </c>
      <c r="D6870" t="s">
        <v>12</v>
      </c>
      <c r="E6870" t="s">
        <v>39</v>
      </c>
      <c r="F6870" t="s">
        <v>40</v>
      </c>
      <c r="G6870" t="s">
        <v>41</v>
      </c>
      <c r="H6870" t="s">
        <v>16</v>
      </c>
      <c r="I6870" s="3">
        <v>60.000000000000007</v>
      </c>
      <c r="J6870" s="2">
        <v>325</v>
      </c>
      <c r="K6870" s="3">
        <f t="shared" si="107"/>
        <v>19500.000000000004</v>
      </c>
      <c r="L6870" s="3">
        <v>14625.000000000004</v>
      </c>
    </row>
    <row r="6871" spans="1:12" x14ac:dyDescent="0.25">
      <c r="A6871" t="s">
        <v>19</v>
      </c>
      <c r="B6871">
        <v>1128299</v>
      </c>
      <c r="C6871" s="1">
        <v>44492</v>
      </c>
      <c r="D6871" t="s">
        <v>12</v>
      </c>
      <c r="E6871" t="s">
        <v>39</v>
      </c>
      <c r="F6871" t="s">
        <v>40</v>
      </c>
      <c r="G6871" t="s">
        <v>41</v>
      </c>
      <c r="H6871" t="s">
        <v>22</v>
      </c>
      <c r="I6871" s="3">
        <v>55.000000000000007</v>
      </c>
      <c r="J6871" s="2">
        <v>275</v>
      </c>
      <c r="K6871" s="3">
        <f t="shared" si="107"/>
        <v>15125.000000000002</v>
      </c>
      <c r="L6871" s="3">
        <v>10587.500000000004</v>
      </c>
    </row>
    <row r="6872" spans="1:12" x14ac:dyDescent="0.25">
      <c r="A6872" t="s">
        <v>19</v>
      </c>
      <c r="B6872">
        <v>1128299</v>
      </c>
      <c r="C6872" s="1">
        <v>44492</v>
      </c>
      <c r="D6872" t="s">
        <v>12</v>
      </c>
      <c r="E6872" t="s">
        <v>39</v>
      </c>
      <c r="F6872" t="s">
        <v>40</v>
      </c>
      <c r="G6872" t="s">
        <v>41</v>
      </c>
      <c r="H6872" t="s">
        <v>37</v>
      </c>
      <c r="I6872" s="3">
        <v>45.000000000000007</v>
      </c>
      <c r="J6872" s="2">
        <v>300</v>
      </c>
      <c r="K6872" s="3">
        <f t="shared" si="107"/>
        <v>13500.000000000002</v>
      </c>
      <c r="L6872" s="3">
        <v>8775.0000000000036</v>
      </c>
    </row>
    <row r="6873" spans="1:12" x14ac:dyDescent="0.25">
      <c r="A6873" t="s">
        <v>19</v>
      </c>
      <c r="B6873">
        <v>1128299</v>
      </c>
      <c r="C6873" s="1">
        <v>44492</v>
      </c>
      <c r="D6873" t="s">
        <v>12</v>
      </c>
      <c r="E6873" t="s">
        <v>39</v>
      </c>
      <c r="F6873" t="s">
        <v>40</v>
      </c>
      <c r="G6873" t="s">
        <v>41</v>
      </c>
      <c r="H6873" t="s">
        <v>35</v>
      </c>
      <c r="I6873" s="3">
        <v>45.000000000000007</v>
      </c>
      <c r="J6873" s="2">
        <v>325</v>
      </c>
      <c r="K6873" s="3">
        <f t="shared" si="107"/>
        <v>14625.000000000002</v>
      </c>
      <c r="L6873" s="3">
        <v>9506.2500000000036</v>
      </c>
    </row>
    <row r="6874" spans="1:12" x14ac:dyDescent="0.25">
      <c r="A6874" t="s">
        <v>19</v>
      </c>
      <c r="B6874">
        <v>1185732</v>
      </c>
      <c r="C6874" s="1">
        <v>44492</v>
      </c>
      <c r="D6874" t="s">
        <v>52</v>
      </c>
      <c r="E6874" t="s">
        <v>53</v>
      </c>
      <c r="F6874" t="s">
        <v>54</v>
      </c>
      <c r="G6874" t="s">
        <v>15</v>
      </c>
      <c r="H6874" t="s">
        <v>17</v>
      </c>
      <c r="I6874" s="3">
        <v>45</v>
      </c>
      <c r="J6874" s="2">
        <v>225</v>
      </c>
      <c r="K6874" s="3">
        <f t="shared" si="107"/>
        <v>10125</v>
      </c>
      <c r="L6874" s="3">
        <v>6581.25</v>
      </c>
    </row>
    <row r="6875" spans="1:12" x14ac:dyDescent="0.25">
      <c r="A6875" t="s">
        <v>19</v>
      </c>
      <c r="B6875">
        <v>1128299</v>
      </c>
      <c r="C6875" s="1">
        <v>44492</v>
      </c>
      <c r="D6875" t="s">
        <v>12</v>
      </c>
      <c r="E6875" t="s">
        <v>39</v>
      </c>
      <c r="F6875" t="s">
        <v>40</v>
      </c>
      <c r="G6875" t="s">
        <v>41</v>
      </c>
      <c r="H6875" t="s">
        <v>38</v>
      </c>
      <c r="I6875" s="3">
        <v>45.000000000000007</v>
      </c>
      <c r="J6875" s="2">
        <v>500</v>
      </c>
      <c r="K6875" s="3">
        <f t="shared" si="107"/>
        <v>22500.000000000004</v>
      </c>
      <c r="L6875" s="3">
        <v>14625.000000000004</v>
      </c>
    </row>
    <row r="6876" spans="1:12" x14ac:dyDescent="0.25">
      <c r="A6876" t="s">
        <v>36</v>
      </c>
      <c r="B6876">
        <v>1185732</v>
      </c>
      <c r="C6876" s="1">
        <v>44492</v>
      </c>
      <c r="D6876" t="s">
        <v>29</v>
      </c>
      <c r="E6876" t="s">
        <v>30</v>
      </c>
      <c r="F6876" t="s">
        <v>31</v>
      </c>
      <c r="G6876" t="s">
        <v>15</v>
      </c>
      <c r="H6876" t="s">
        <v>16</v>
      </c>
      <c r="I6876" s="3">
        <v>40</v>
      </c>
      <c r="J6876" s="2">
        <v>250</v>
      </c>
      <c r="K6876" s="3">
        <f t="shared" si="107"/>
        <v>10000</v>
      </c>
      <c r="L6876" s="3">
        <v>6000</v>
      </c>
    </row>
    <row r="6877" spans="1:12" x14ac:dyDescent="0.25">
      <c r="A6877" t="s">
        <v>19</v>
      </c>
      <c r="B6877">
        <v>1128299</v>
      </c>
      <c r="C6877" s="1">
        <v>44492</v>
      </c>
      <c r="D6877" t="s">
        <v>12</v>
      </c>
      <c r="E6877" t="s">
        <v>39</v>
      </c>
      <c r="F6877" t="s">
        <v>40</v>
      </c>
      <c r="G6877" t="s">
        <v>41</v>
      </c>
      <c r="H6877" t="s">
        <v>17</v>
      </c>
      <c r="I6877" s="3">
        <v>50.000000000000014</v>
      </c>
      <c r="J6877" s="2">
        <v>500</v>
      </c>
      <c r="K6877" s="3">
        <f t="shared" si="107"/>
        <v>25000.000000000007</v>
      </c>
      <c r="L6877" s="3">
        <v>15000.000000000004</v>
      </c>
    </row>
    <row r="6878" spans="1:12" x14ac:dyDescent="0.25">
      <c r="A6878" t="s">
        <v>19</v>
      </c>
      <c r="B6878">
        <v>1128299</v>
      </c>
      <c r="C6878" s="1">
        <v>44492</v>
      </c>
      <c r="D6878" t="s">
        <v>12</v>
      </c>
      <c r="E6878" t="s">
        <v>39</v>
      </c>
      <c r="F6878" t="s">
        <v>40</v>
      </c>
      <c r="G6878" t="s">
        <v>15</v>
      </c>
      <c r="H6878" t="s">
        <v>16</v>
      </c>
      <c r="I6878" s="3">
        <v>47</v>
      </c>
      <c r="J6878" s="2">
        <v>107</v>
      </c>
      <c r="K6878" s="3">
        <f t="shared" si="107"/>
        <v>5029</v>
      </c>
      <c r="L6878" s="3">
        <v>3570.59</v>
      </c>
    </row>
    <row r="6879" spans="1:12" x14ac:dyDescent="0.25">
      <c r="A6879" t="s">
        <v>19</v>
      </c>
      <c r="B6879">
        <v>1128299</v>
      </c>
      <c r="C6879" s="1">
        <v>44492</v>
      </c>
      <c r="D6879" t="s">
        <v>12</v>
      </c>
      <c r="E6879" t="s">
        <v>39</v>
      </c>
      <c r="F6879" t="s">
        <v>40</v>
      </c>
      <c r="G6879" t="s">
        <v>15</v>
      </c>
      <c r="H6879" t="s">
        <v>22</v>
      </c>
      <c r="I6879" s="3">
        <v>44</v>
      </c>
      <c r="J6879" s="2">
        <v>88</v>
      </c>
      <c r="K6879" s="3">
        <f t="shared" si="107"/>
        <v>3872</v>
      </c>
      <c r="L6879" s="3">
        <v>2439.36</v>
      </c>
    </row>
    <row r="6880" spans="1:12" x14ac:dyDescent="0.25">
      <c r="A6880" t="s">
        <v>19</v>
      </c>
      <c r="B6880">
        <v>1128299</v>
      </c>
      <c r="C6880" s="1">
        <v>44492</v>
      </c>
      <c r="D6880" t="s">
        <v>12</v>
      </c>
      <c r="E6880" t="s">
        <v>39</v>
      </c>
      <c r="F6880" t="s">
        <v>40</v>
      </c>
      <c r="G6880" t="s">
        <v>15</v>
      </c>
      <c r="H6880" t="s">
        <v>35</v>
      </c>
      <c r="I6880" s="3">
        <v>31</v>
      </c>
      <c r="J6880" s="2">
        <v>111</v>
      </c>
      <c r="K6880" s="3">
        <f t="shared" si="107"/>
        <v>3441</v>
      </c>
      <c r="L6880" s="3">
        <v>2167.83</v>
      </c>
    </row>
    <row r="6881" spans="1:12" x14ac:dyDescent="0.25">
      <c r="A6881" t="s">
        <v>19</v>
      </c>
      <c r="B6881">
        <v>1128299</v>
      </c>
      <c r="C6881" s="1">
        <v>44492</v>
      </c>
      <c r="D6881" t="s">
        <v>12</v>
      </c>
      <c r="E6881" t="s">
        <v>39</v>
      </c>
      <c r="F6881" t="s">
        <v>40</v>
      </c>
      <c r="G6881" t="s">
        <v>41</v>
      </c>
      <c r="H6881" t="s">
        <v>16</v>
      </c>
      <c r="I6881" s="3">
        <v>56</v>
      </c>
      <c r="J6881" s="2">
        <v>85</v>
      </c>
      <c r="K6881" s="3">
        <f t="shared" si="107"/>
        <v>4760</v>
      </c>
      <c r="L6881" s="3">
        <v>2951.2</v>
      </c>
    </row>
    <row r="6882" spans="1:12" x14ac:dyDescent="0.25">
      <c r="A6882" t="s">
        <v>19</v>
      </c>
      <c r="B6882">
        <v>1185732</v>
      </c>
      <c r="C6882" s="1">
        <v>44492</v>
      </c>
      <c r="D6882" t="s">
        <v>52</v>
      </c>
      <c r="E6882" t="s">
        <v>53</v>
      </c>
      <c r="F6882" t="s">
        <v>54</v>
      </c>
      <c r="G6882" t="s">
        <v>15</v>
      </c>
      <c r="H6882" t="s">
        <v>17</v>
      </c>
      <c r="I6882" s="3">
        <v>34</v>
      </c>
      <c r="J6882" s="2">
        <v>68</v>
      </c>
      <c r="K6882" s="3">
        <f t="shared" si="107"/>
        <v>2312</v>
      </c>
      <c r="L6882" s="3">
        <v>1410.3200000000002</v>
      </c>
    </row>
    <row r="6883" spans="1:12" x14ac:dyDescent="0.25">
      <c r="A6883" t="s">
        <v>19</v>
      </c>
      <c r="B6883">
        <v>1128299</v>
      </c>
      <c r="C6883" s="1">
        <v>44492</v>
      </c>
      <c r="D6883" t="s">
        <v>12</v>
      </c>
      <c r="E6883" t="s">
        <v>39</v>
      </c>
      <c r="F6883" t="s">
        <v>40</v>
      </c>
      <c r="G6883" t="s">
        <v>15</v>
      </c>
      <c r="H6883" t="s">
        <v>37</v>
      </c>
      <c r="I6883" s="3">
        <v>32</v>
      </c>
      <c r="J6883" s="2">
        <v>102</v>
      </c>
      <c r="K6883" s="3">
        <f t="shared" si="107"/>
        <v>3264</v>
      </c>
      <c r="L6883" s="3">
        <v>1991.0400000000002</v>
      </c>
    </row>
    <row r="6884" spans="1:12" x14ac:dyDescent="0.25">
      <c r="A6884" t="s">
        <v>19</v>
      </c>
      <c r="B6884">
        <v>1128299</v>
      </c>
      <c r="C6884" s="1">
        <v>44492</v>
      </c>
      <c r="D6884" t="s">
        <v>12</v>
      </c>
      <c r="E6884" t="s">
        <v>39</v>
      </c>
      <c r="F6884" t="s">
        <v>40</v>
      </c>
      <c r="G6884" t="s">
        <v>41</v>
      </c>
      <c r="H6884" t="s">
        <v>22</v>
      </c>
      <c r="I6884" s="3">
        <v>53</v>
      </c>
      <c r="J6884" s="2">
        <v>69</v>
      </c>
      <c r="K6884" s="3">
        <f t="shared" si="107"/>
        <v>3657</v>
      </c>
      <c r="L6884" s="3">
        <v>2194.1999999999998</v>
      </c>
    </row>
    <row r="6885" spans="1:12" x14ac:dyDescent="0.25">
      <c r="A6885" t="s">
        <v>19</v>
      </c>
      <c r="B6885">
        <v>1128299</v>
      </c>
      <c r="C6885" s="1">
        <v>44492</v>
      </c>
      <c r="D6885" t="s">
        <v>12</v>
      </c>
      <c r="E6885" t="s">
        <v>39</v>
      </c>
      <c r="F6885" t="s">
        <v>40</v>
      </c>
      <c r="G6885" t="s">
        <v>15</v>
      </c>
      <c r="H6885" t="s">
        <v>38</v>
      </c>
      <c r="I6885" s="3">
        <v>36</v>
      </c>
      <c r="J6885" s="2">
        <v>170</v>
      </c>
      <c r="K6885" s="3">
        <f t="shared" si="107"/>
        <v>6120</v>
      </c>
      <c r="L6885" s="3">
        <v>3549.6</v>
      </c>
    </row>
    <row r="6886" spans="1:12" x14ac:dyDescent="0.25">
      <c r="A6886" t="s">
        <v>19</v>
      </c>
      <c r="B6886">
        <v>1128299</v>
      </c>
      <c r="C6886" s="1">
        <v>44492</v>
      </c>
      <c r="D6886" t="s">
        <v>12</v>
      </c>
      <c r="E6886" t="s">
        <v>39</v>
      </c>
      <c r="F6886" t="s">
        <v>40</v>
      </c>
      <c r="G6886" t="s">
        <v>15</v>
      </c>
      <c r="H6886" t="s">
        <v>17</v>
      </c>
      <c r="I6886" s="3">
        <v>33</v>
      </c>
      <c r="J6886" s="2">
        <v>175</v>
      </c>
      <c r="K6886" s="3">
        <f t="shared" si="107"/>
        <v>5775</v>
      </c>
      <c r="L6886" s="3">
        <v>3349.4999999999995</v>
      </c>
    </row>
    <row r="6887" spans="1:12" x14ac:dyDescent="0.25">
      <c r="A6887" t="s">
        <v>19</v>
      </c>
      <c r="B6887">
        <v>1185732</v>
      </c>
      <c r="C6887" s="1">
        <v>44492</v>
      </c>
      <c r="D6887" t="s">
        <v>52</v>
      </c>
      <c r="E6887" t="s">
        <v>53</v>
      </c>
      <c r="F6887" t="s">
        <v>54</v>
      </c>
      <c r="G6887" t="s">
        <v>41</v>
      </c>
      <c r="H6887" t="s">
        <v>17</v>
      </c>
      <c r="I6887" s="3">
        <v>41</v>
      </c>
      <c r="J6887" s="2">
        <v>68</v>
      </c>
      <c r="K6887" s="3">
        <f t="shared" si="107"/>
        <v>2788</v>
      </c>
      <c r="L6887" s="3">
        <v>1477.64</v>
      </c>
    </row>
    <row r="6888" spans="1:12" x14ac:dyDescent="0.25">
      <c r="A6888" t="s">
        <v>19</v>
      </c>
      <c r="B6888">
        <v>1128299</v>
      </c>
      <c r="C6888" s="1">
        <v>44492</v>
      </c>
      <c r="D6888" t="s">
        <v>12</v>
      </c>
      <c r="E6888" t="s">
        <v>39</v>
      </c>
      <c r="F6888" t="s">
        <v>40</v>
      </c>
      <c r="G6888" t="s">
        <v>41</v>
      </c>
      <c r="H6888" t="s">
        <v>38</v>
      </c>
      <c r="I6888" s="3">
        <v>41</v>
      </c>
      <c r="J6888" s="2">
        <v>135</v>
      </c>
      <c r="K6888" s="3">
        <f t="shared" si="107"/>
        <v>5535</v>
      </c>
      <c r="L6888" s="3">
        <v>2878.2000000000003</v>
      </c>
    </row>
    <row r="6889" spans="1:12" x14ac:dyDescent="0.25">
      <c r="A6889" t="s">
        <v>19</v>
      </c>
      <c r="B6889">
        <v>1128299</v>
      </c>
      <c r="C6889" s="1">
        <v>44492</v>
      </c>
      <c r="D6889" t="s">
        <v>12</v>
      </c>
      <c r="E6889" t="s">
        <v>39</v>
      </c>
      <c r="F6889" t="s">
        <v>40</v>
      </c>
      <c r="G6889" t="s">
        <v>41</v>
      </c>
      <c r="H6889" t="s">
        <v>35</v>
      </c>
      <c r="I6889" s="3">
        <v>44</v>
      </c>
      <c r="J6889" s="2">
        <v>91</v>
      </c>
      <c r="K6889" s="3">
        <f t="shared" si="107"/>
        <v>4004</v>
      </c>
      <c r="L6889" s="3">
        <v>2082.08</v>
      </c>
    </row>
    <row r="6890" spans="1:12" x14ac:dyDescent="0.25">
      <c r="A6890" t="s">
        <v>19</v>
      </c>
      <c r="B6890">
        <v>1128299</v>
      </c>
      <c r="C6890" s="1">
        <v>44492</v>
      </c>
      <c r="D6890" t="s">
        <v>12</v>
      </c>
      <c r="E6890" t="s">
        <v>39</v>
      </c>
      <c r="F6890" t="s">
        <v>40</v>
      </c>
      <c r="G6890" t="s">
        <v>41</v>
      </c>
      <c r="H6890" t="s">
        <v>37</v>
      </c>
      <c r="I6890" s="3">
        <v>43</v>
      </c>
      <c r="J6890" s="2">
        <v>90</v>
      </c>
      <c r="K6890" s="3">
        <f t="shared" si="107"/>
        <v>3870</v>
      </c>
      <c r="L6890" s="3">
        <v>1973.7</v>
      </c>
    </row>
    <row r="6891" spans="1:12" x14ac:dyDescent="0.25">
      <c r="A6891" t="s">
        <v>36</v>
      </c>
      <c r="B6891">
        <v>1185732</v>
      </c>
      <c r="C6891" s="1">
        <v>44492</v>
      </c>
      <c r="D6891" t="s">
        <v>29</v>
      </c>
      <c r="E6891" t="s">
        <v>30</v>
      </c>
      <c r="F6891" t="s">
        <v>31</v>
      </c>
      <c r="G6891" t="s">
        <v>41</v>
      </c>
      <c r="H6891" t="s">
        <v>16</v>
      </c>
      <c r="I6891" s="3">
        <v>37</v>
      </c>
      <c r="J6891" s="2">
        <v>63</v>
      </c>
      <c r="K6891" s="3">
        <f t="shared" si="107"/>
        <v>2331</v>
      </c>
      <c r="L6891" s="3">
        <v>1142.19</v>
      </c>
    </row>
    <row r="6892" spans="1:12" x14ac:dyDescent="0.25">
      <c r="A6892" t="s">
        <v>19</v>
      </c>
      <c r="B6892">
        <v>1128299</v>
      </c>
      <c r="C6892" s="1">
        <v>44492</v>
      </c>
      <c r="D6892" t="s">
        <v>12</v>
      </c>
      <c r="E6892" t="s">
        <v>39</v>
      </c>
      <c r="F6892" t="s">
        <v>40</v>
      </c>
      <c r="G6892" t="s">
        <v>41</v>
      </c>
      <c r="H6892" t="s">
        <v>17</v>
      </c>
      <c r="I6892" s="3">
        <v>47</v>
      </c>
      <c r="J6892" s="2">
        <v>145</v>
      </c>
      <c r="K6892" s="3">
        <f t="shared" si="107"/>
        <v>6815</v>
      </c>
      <c r="L6892" s="3">
        <v>3203.0499999999997</v>
      </c>
    </row>
    <row r="6893" spans="1:12" x14ac:dyDescent="0.25">
      <c r="A6893" t="s">
        <v>19</v>
      </c>
      <c r="B6893">
        <v>1128299</v>
      </c>
      <c r="C6893" s="1">
        <v>44493</v>
      </c>
      <c r="D6893" t="s">
        <v>32</v>
      </c>
      <c r="E6893" t="s">
        <v>82</v>
      </c>
      <c r="F6893" t="s">
        <v>83</v>
      </c>
      <c r="G6893" t="s">
        <v>18</v>
      </c>
      <c r="H6893" t="s">
        <v>16</v>
      </c>
      <c r="I6893" s="3">
        <v>60.000000000000007</v>
      </c>
      <c r="J6893" s="2">
        <v>350</v>
      </c>
      <c r="K6893" s="3">
        <f t="shared" si="107"/>
        <v>21000.000000000004</v>
      </c>
      <c r="L6893" s="3">
        <v>14700.000000000004</v>
      </c>
    </row>
    <row r="6894" spans="1:12" x14ac:dyDescent="0.25">
      <c r="A6894" t="s">
        <v>11</v>
      </c>
      <c r="B6894">
        <v>1128299</v>
      </c>
      <c r="C6894" s="1">
        <v>44493</v>
      </c>
      <c r="D6894" t="s">
        <v>12</v>
      </c>
      <c r="E6894" t="s">
        <v>84</v>
      </c>
      <c r="F6894" t="s">
        <v>31</v>
      </c>
      <c r="G6894" t="s">
        <v>18</v>
      </c>
      <c r="H6894" t="s">
        <v>16</v>
      </c>
      <c r="I6894" s="3">
        <v>60.000000000000007</v>
      </c>
      <c r="J6894" s="2">
        <v>350</v>
      </c>
      <c r="K6894" s="3">
        <f t="shared" si="107"/>
        <v>21000.000000000004</v>
      </c>
      <c r="L6894" s="3">
        <v>14700.000000000004</v>
      </c>
    </row>
    <row r="6895" spans="1:12" x14ac:dyDescent="0.25">
      <c r="A6895" t="s">
        <v>19</v>
      </c>
      <c r="B6895">
        <v>1128299</v>
      </c>
      <c r="C6895" s="1">
        <v>44493</v>
      </c>
      <c r="D6895" t="s">
        <v>32</v>
      </c>
      <c r="E6895" t="s">
        <v>82</v>
      </c>
      <c r="F6895" t="s">
        <v>83</v>
      </c>
      <c r="G6895" t="s">
        <v>18</v>
      </c>
      <c r="H6895" t="s">
        <v>35</v>
      </c>
      <c r="I6895" s="3">
        <v>50.000000000000014</v>
      </c>
      <c r="J6895" s="2">
        <v>350</v>
      </c>
      <c r="K6895" s="3">
        <f t="shared" si="107"/>
        <v>17500.000000000004</v>
      </c>
      <c r="L6895" s="3">
        <v>11375.000000000004</v>
      </c>
    </row>
    <row r="6896" spans="1:12" x14ac:dyDescent="0.25">
      <c r="A6896" t="s">
        <v>11</v>
      </c>
      <c r="B6896">
        <v>1128299</v>
      </c>
      <c r="C6896" s="1">
        <v>44493</v>
      </c>
      <c r="D6896" t="s">
        <v>12</v>
      </c>
      <c r="E6896" t="s">
        <v>84</v>
      </c>
      <c r="F6896" t="s">
        <v>31</v>
      </c>
      <c r="G6896" t="s">
        <v>18</v>
      </c>
      <c r="H6896" t="s">
        <v>35</v>
      </c>
      <c r="I6896" s="3">
        <v>50.000000000000014</v>
      </c>
      <c r="J6896" s="2">
        <v>350</v>
      </c>
      <c r="K6896" s="3">
        <f t="shared" si="107"/>
        <v>17500.000000000004</v>
      </c>
      <c r="L6896" s="3">
        <v>11375.000000000004</v>
      </c>
    </row>
    <row r="6897" spans="1:12" x14ac:dyDescent="0.25">
      <c r="A6897" t="s">
        <v>19</v>
      </c>
      <c r="B6897">
        <v>1128299</v>
      </c>
      <c r="C6897" s="1">
        <v>44493</v>
      </c>
      <c r="D6897" t="s">
        <v>32</v>
      </c>
      <c r="E6897" t="s">
        <v>82</v>
      </c>
      <c r="F6897" t="s">
        <v>83</v>
      </c>
      <c r="G6897" t="s">
        <v>18</v>
      </c>
      <c r="H6897" t="s">
        <v>17</v>
      </c>
      <c r="I6897" s="3">
        <v>55.000000000000014</v>
      </c>
      <c r="J6897" s="2">
        <v>525</v>
      </c>
      <c r="K6897" s="3">
        <f t="shared" si="107"/>
        <v>28875.000000000007</v>
      </c>
      <c r="L6897" s="3">
        <v>18768.750000000007</v>
      </c>
    </row>
    <row r="6898" spans="1:12" x14ac:dyDescent="0.25">
      <c r="A6898" t="s">
        <v>19</v>
      </c>
      <c r="B6898">
        <v>1128299</v>
      </c>
      <c r="C6898" s="1">
        <v>44493</v>
      </c>
      <c r="D6898" t="s">
        <v>32</v>
      </c>
      <c r="E6898" t="s">
        <v>82</v>
      </c>
      <c r="F6898" t="s">
        <v>83</v>
      </c>
      <c r="G6898" t="s">
        <v>18</v>
      </c>
      <c r="H6898" t="s">
        <v>37</v>
      </c>
      <c r="I6898" s="3">
        <v>45.000000000000007</v>
      </c>
      <c r="J6898" s="2">
        <v>325</v>
      </c>
      <c r="K6898" s="3">
        <f t="shared" si="107"/>
        <v>14625.000000000002</v>
      </c>
      <c r="L6898" s="3">
        <v>9506.2500000000036</v>
      </c>
    </row>
    <row r="6899" spans="1:12" x14ac:dyDescent="0.25">
      <c r="A6899" t="s">
        <v>11</v>
      </c>
      <c r="B6899">
        <v>1128299</v>
      </c>
      <c r="C6899" s="1">
        <v>44493</v>
      </c>
      <c r="D6899" t="s">
        <v>12</v>
      </c>
      <c r="E6899" t="s">
        <v>84</v>
      </c>
      <c r="F6899" t="s">
        <v>31</v>
      </c>
      <c r="G6899" t="s">
        <v>18</v>
      </c>
      <c r="H6899" t="s">
        <v>17</v>
      </c>
      <c r="I6899" s="3">
        <v>55.000000000000014</v>
      </c>
      <c r="J6899" s="2">
        <v>525</v>
      </c>
      <c r="K6899" s="3">
        <f t="shared" si="107"/>
        <v>28875.000000000007</v>
      </c>
      <c r="L6899" s="3">
        <v>18768.750000000007</v>
      </c>
    </row>
    <row r="6900" spans="1:12" x14ac:dyDescent="0.25">
      <c r="A6900" t="s">
        <v>11</v>
      </c>
      <c r="B6900">
        <v>1128299</v>
      </c>
      <c r="C6900" s="1">
        <v>44493</v>
      </c>
      <c r="D6900" t="s">
        <v>12</v>
      </c>
      <c r="E6900" t="s">
        <v>84</v>
      </c>
      <c r="F6900" t="s">
        <v>31</v>
      </c>
      <c r="G6900" t="s">
        <v>18</v>
      </c>
      <c r="H6900" t="s">
        <v>37</v>
      </c>
      <c r="I6900" s="3">
        <v>45.000000000000007</v>
      </c>
      <c r="J6900" s="2">
        <v>325</v>
      </c>
      <c r="K6900" s="3">
        <f t="shared" si="107"/>
        <v>14625.000000000002</v>
      </c>
      <c r="L6900" s="3">
        <v>9506.2500000000036</v>
      </c>
    </row>
    <row r="6901" spans="1:12" x14ac:dyDescent="0.25">
      <c r="A6901" t="s">
        <v>36</v>
      </c>
      <c r="B6901">
        <v>1185732</v>
      </c>
      <c r="C6901" s="1">
        <v>44493</v>
      </c>
      <c r="D6901" t="s">
        <v>29</v>
      </c>
      <c r="E6901" t="s">
        <v>30</v>
      </c>
      <c r="F6901" t="s">
        <v>31</v>
      </c>
      <c r="G6901" t="s">
        <v>15</v>
      </c>
      <c r="H6901" t="s">
        <v>38</v>
      </c>
      <c r="I6901" s="3">
        <v>40</v>
      </c>
      <c r="J6901" s="2">
        <v>470</v>
      </c>
      <c r="K6901" s="3">
        <f t="shared" si="107"/>
        <v>18800</v>
      </c>
      <c r="L6901" s="3">
        <v>12220</v>
      </c>
    </row>
    <row r="6902" spans="1:12" x14ac:dyDescent="0.25">
      <c r="A6902" t="s">
        <v>19</v>
      </c>
      <c r="B6902">
        <v>1128299</v>
      </c>
      <c r="C6902" s="1">
        <v>44493</v>
      </c>
      <c r="D6902" t="s">
        <v>32</v>
      </c>
      <c r="E6902" t="s">
        <v>82</v>
      </c>
      <c r="F6902" t="s">
        <v>83</v>
      </c>
      <c r="G6902" t="s">
        <v>18</v>
      </c>
      <c r="H6902" t="s">
        <v>38</v>
      </c>
      <c r="I6902" s="3">
        <v>40</v>
      </c>
      <c r="J6902" s="2">
        <v>350</v>
      </c>
      <c r="K6902" s="3">
        <f t="shared" si="107"/>
        <v>14000</v>
      </c>
      <c r="L6902" s="3">
        <v>9100</v>
      </c>
    </row>
    <row r="6903" spans="1:12" x14ac:dyDescent="0.25">
      <c r="A6903" t="s">
        <v>11</v>
      </c>
      <c r="B6903">
        <v>1128299</v>
      </c>
      <c r="C6903" s="1">
        <v>44493</v>
      </c>
      <c r="D6903" t="s">
        <v>12</v>
      </c>
      <c r="E6903" t="s">
        <v>84</v>
      </c>
      <c r="F6903" t="s">
        <v>31</v>
      </c>
      <c r="G6903" t="s">
        <v>18</v>
      </c>
      <c r="H6903" t="s">
        <v>38</v>
      </c>
      <c r="I6903" s="3">
        <v>40</v>
      </c>
      <c r="J6903" s="2">
        <v>350</v>
      </c>
      <c r="K6903" s="3">
        <f t="shared" si="107"/>
        <v>14000</v>
      </c>
      <c r="L6903" s="3">
        <v>9100</v>
      </c>
    </row>
    <row r="6904" spans="1:12" x14ac:dyDescent="0.25">
      <c r="A6904" t="s">
        <v>19</v>
      </c>
      <c r="B6904">
        <v>1185732</v>
      </c>
      <c r="C6904" s="1">
        <v>44493</v>
      </c>
      <c r="D6904" t="s">
        <v>52</v>
      </c>
      <c r="E6904" t="s">
        <v>53</v>
      </c>
      <c r="F6904" t="s">
        <v>54</v>
      </c>
      <c r="G6904" t="s">
        <v>15</v>
      </c>
      <c r="H6904" t="s">
        <v>35</v>
      </c>
      <c r="I6904" s="3">
        <v>35</v>
      </c>
      <c r="J6904" s="2">
        <v>225</v>
      </c>
      <c r="K6904" s="3">
        <f t="shared" si="107"/>
        <v>7875</v>
      </c>
      <c r="L6904" s="3">
        <v>4725</v>
      </c>
    </row>
    <row r="6905" spans="1:12" x14ac:dyDescent="0.25">
      <c r="A6905" t="s">
        <v>19</v>
      </c>
      <c r="B6905">
        <v>1128299</v>
      </c>
      <c r="C6905" s="1">
        <v>44493</v>
      </c>
      <c r="D6905" t="s">
        <v>32</v>
      </c>
      <c r="E6905" t="s">
        <v>82</v>
      </c>
      <c r="F6905" t="s">
        <v>83</v>
      </c>
      <c r="G6905" t="s">
        <v>18</v>
      </c>
      <c r="H6905" t="s">
        <v>22</v>
      </c>
      <c r="I6905" s="3">
        <v>55.000000000000007</v>
      </c>
      <c r="J6905" s="2">
        <v>300</v>
      </c>
      <c r="K6905" s="3">
        <f t="shared" si="107"/>
        <v>16500.000000000004</v>
      </c>
      <c r="L6905" s="3">
        <v>9900.0000000000018</v>
      </c>
    </row>
    <row r="6906" spans="1:12" x14ac:dyDescent="0.25">
      <c r="A6906" t="s">
        <v>11</v>
      </c>
      <c r="B6906">
        <v>1128299</v>
      </c>
      <c r="C6906" s="1">
        <v>44493</v>
      </c>
      <c r="D6906" t="s">
        <v>12</v>
      </c>
      <c r="E6906" t="s">
        <v>84</v>
      </c>
      <c r="F6906" t="s">
        <v>31</v>
      </c>
      <c r="G6906" t="s">
        <v>18</v>
      </c>
      <c r="H6906" t="s">
        <v>22</v>
      </c>
      <c r="I6906" s="3">
        <v>55.000000000000007</v>
      </c>
      <c r="J6906" s="2">
        <v>300</v>
      </c>
      <c r="K6906" s="3">
        <f t="shared" si="107"/>
        <v>16500.000000000004</v>
      </c>
      <c r="L6906" s="3">
        <v>9900.0000000000018</v>
      </c>
    </row>
    <row r="6907" spans="1:12" x14ac:dyDescent="0.25">
      <c r="A6907" t="s">
        <v>19</v>
      </c>
      <c r="B6907">
        <v>1128299</v>
      </c>
      <c r="C6907" s="1">
        <v>44493</v>
      </c>
      <c r="D6907" t="s">
        <v>32</v>
      </c>
      <c r="E6907" t="s">
        <v>82</v>
      </c>
      <c r="F6907" t="s">
        <v>83</v>
      </c>
      <c r="G6907" t="s">
        <v>15</v>
      </c>
      <c r="H6907" t="s">
        <v>16</v>
      </c>
      <c r="I6907" s="3">
        <v>40</v>
      </c>
      <c r="J6907" s="2">
        <v>109</v>
      </c>
      <c r="K6907" s="3">
        <f t="shared" si="107"/>
        <v>4360</v>
      </c>
      <c r="L6907" s="3">
        <v>2964.8</v>
      </c>
    </row>
    <row r="6908" spans="1:12" x14ac:dyDescent="0.25">
      <c r="A6908" t="s">
        <v>19</v>
      </c>
      <c r="B6908">
        <v>1128299</v>
      </c>
      <c r="C6908" s="1">
        <v>44493</v>
      </c>
      <c r="D6908" t="s">
        <v>32</v>
      </c>
      <c r="E6908" t="s">
        <v>82</v>
      </c>
      <c r="F6908" t="s">
        <v>83</v>
      </c>
      <c r="G6908" t="s">
        <v>15</v>
      </c>
      <c r="H6908" t="s">
        <v>37</v>
      </c>
      <c r="I6908" s="3">
        <v>31</v>
      </c>
      <c r="J6908" s="2">
        <v>101</v>
      </c>
      <c r="K6908" s="3">
        <f t="shared" si="107"/>
        <v>3131</v>
      </c>
      <c r="L6908" s="3">
        <v>1972.53</v>
      </c>
    </row>
    <row r="6909" spans="1:12" x14ac:dyDescent="0.25">
      <c r="A6909" t="s">
        <v>11</v>
      </c>
      <c r="B6909">
        <v>1128299</v>
      </c>
      <c r="C6909" s="1">
        <v>44493</v>
      </c>
      <c r="D6909" t="s">
        <v>12</v>
      </c>
      <c r="E6909" t="s">
        <v>84</v>
      </c>
      <c r="F6909" t="s">
        <v>31</v>
      </c>
      <c r="G6909" t="s">
        <v>15</v>
      </c>
      <c r="H6909" t="s">
        <v>35</v>
      </c>
      <c r="I6909" s="3">
        <v>37</v>
      </c>
      <c r="J6909" s="2">
        <v>109</v>
      </c>
      <c r="K6909" s="3">
        <f t="shared" si="107"/>
        <v>4033</v>
      </c>
      <c r="L6909" s="3">
        <v>2540.79</v>
      </c>
    </row>
    <row r="6910" spans="1:12" x14ac:dyDescent="0.25">
      <c r="A6910" t="s">
        <v>11</v>
      </c>
      <c r="B6910">
        <v>1128299</v>
      </c>
      <c r="C6910" s="1">
        <v>44493</v>
      </c>
      <c r="D6910" t="s">
        <v>12</v>
      </c>
      <c r="E6910" t="s">
        <v>84</v>
      </c>
      <c r="F6910" t="s">
        <v>31</v>
      </c>
      <c r="G6910" t="s">
        <v>15</v>
      </c>
      <c r="H6910" t="s">
        <v>16</v>
      </c>
      <c r="I6910" s="3">
        <v>41</v>
      </c>
      <c r="J6910" s="2">
        <v>123</v>
      </c>
      <c r="K6910" s="3">
        <f t="shared" si="107"/>
        <v>5043</v>
      </c>
      <c r="L6910" s="3">
        <v>3177.09</v>
      </c>
    </row>
    <row r="6911" spans="1:12" x14ac:dyDescent="0.25">
      <c r="A6911" t="s">
        <v>11</v>
      </c>
      <c r="B6911">
        <v>1128299</v>
      </c>
      <c r="C6911" s="1">
        <v>44493</v>
      </c>
      <c r="D6911" t="s">
        <v>12</v>
      </c>
      <c r="E6911" t="s">
        <v>84</v>
      </c>
      <c r="F6911" t="s">
        <v>31</v>
      </c>
      <c r="G6911" t="s">
        <v>15</v>
      </c>
      <c r="H6911" t="s">
        <v>17</v>
      </c>
      <c r="I6911" s="3">
        <v>37</v>
      </c>
      <c r="J6911" s="2">
        <v>179</v>
      </c>
      <c r="K6911" s="3">
        <f t="shared" si="107"/>
        <v>6623</v>
      </c>
      <c r="L6911" s="3">
        <v>4106.26</v>
      </c>
    </row>
    <row r="6912" spans="1:12" x14ac:dyDescent="0.25">
      <c r="A6912" t="s">
        <v>19</v>
      </c>
      <c r="B6912">
        <v>1128299</v>
      </c>
      <c r="C6912" s="1">
        <v>44493</v>
      </c>
      <c r="D6912" t="s">
        <v>32</v>
      </c>
      <c r="E6912" t="s">
        <v>82</v>
      </c>
      <c r="F6912" t="s">
        <v>83</v>
      </c>
      <c r="G6912" t="s">
        <v>15</v>
      </c>
      <c r="H6912" t="s">
        <v>17</v>
      </c>
      <c r="I6912" s="3">
        <v>39</v>
      </c>
      <c r="J6912" s="2">
        <v>173</v>
      </c>
      <c r="K6912" s="3">
        <f t="shared" si="107"/>
        <v>6747</v>
      </c>
      <c r="L6912" s="3">
        <v>4183.1399999999994</v>
      </c>
    </row>
    <row r="6913" spans="1:12" x14ac:dyDescent="0.25">
      <c r="A6913" t="s">
        <v>11</v>
      </c>
      <c r="B6913">
        <v>1128299</v>
      </c>
      <c r="C6913" s="1">
        <v>44493</v>
      </c>
      <c r="D6913" t="s">
        <v>12</v>
      </c>
      <c r="E6913" t="s">
        <v>84</v>
      </c>
      <c r="F6913" t="s">
        <v>31</v>
      </c>
      <c r="G6913" t="s">
        <v>15</v>
      </c>
      <c r="H6913" t="s">
        <v>38</v>
      </c>
      <c r="I6913" s="3">
        <v>29</v>
      </c>
      <c r="J6913" s="2">
        <v>119</v>
      </c>
      <c r="K6913" s="3">
        <f t="shared" si="107"/>
        <v>3451</v>
      </c>
      <c r="L6913" s="3">
        <v>2105.11</v>
      </c>
    </row>
    <row r="6914" spans="1:12" x14ac:dyDescent="0.25">
      <c r="A6914" t="s">
        <v>11</v>
      </c>
      <c r="B6914">
        <v>1128299</v>
      </c>
      <c r="C6914" s="1">
        <v>44493</v>
      </c>
      <c r="D6914" t="s">
        <v>12</v>
      </c>
      <c r="E6914" t="s">
        <v>84</v>
      </c>
      <c r="F6914" t="s">
        <v>31</v>
      </c>
      <c r="G6914" t="s">
        <v>15</v>
      </c>
      <c r="H6914" t="s">
        <v>37</v>
      </c>
      <c r="I6914" s="3">
        <v>34</v>
      </c>
      <c r="J6914" s="2">
        <v>114</v>
      </c>
      <c r="K6914" s="3">
        <f t="shared" si="107"/>
        <v>3876</v>
      </c>
      <c r="L6914" s="3">
        <v>2364.36</v>
      </c>
    </row>
    <row r="6915" spans="1:12" x14ac:dyDescent="0.25">
      <c r="A6915" t="s">
        <v>19</v>
      </c>
      <c r="B6915">
        <v>1128299</v>
      </c>
      <c r="C6915" s="1">
        <v>44493</v>
      </c>
      <c r="D6915" t="s">
        <v>32</v>
      </c>
      <c r="E6915" t="s">
        <v>82</v>
      </c>
      <c r="F6915" t="s">
        <v>83</v>
      </c>
      <c r="G6915" t="s">
        <v>15</v>
      </c>
      <c r="H6915" t="s">
        <v>38</v>
      </c>
      <c r="I6915" s="3">
        <v>28</v>
      </c>
      <c r="J6915" s="2">
        <v>119</v>
      </c>
      <c r="K6915" s="3">
        <f t="shared" ref="K6915:K6978" si="108">I6915*J6915</f>
        <v>3332</v>
      </c>
      <c r="L6915" s="3">
        <v>1999.2</v>
      </c>
    </row>
    <row r="6916" spans="1:12" x14ac:dyDescent="0.25">
      <c r="A6916" t="s">
        <v>19</v>
      </c>
      <c r="B6916">
        <v>1185732</v>
      </c>
      <c r="C6916" s="1">
        <v>44493</v>
      </c>
      <c r="D6916" t="s">
        <v>52</v>
      </c>
      <c r="E6916" t="s">
        <v>53</v>
      </c>
      <c r="F6916" t="s">
        <v>54</v>
      </c>
      <c r="G6916" t="s">
        <v>15</v>
      </c>
      <c r="H6916" t="s">
        <v>35</v>
      </c>
      <c r="I6916" s="3">
        <v>28</v>
      </c>
      <c r="J6916" s="2">
        <v>72</v>
      </c>
      <c r="K6916" s="3">
        <f t="shared" si="108"/>
        <v>2016</v>
      </c>
      <c r="L6916" s="3">
        <v>1169.2800000000002</v>
      </c>
    </row>
    <row r="6917" spans="1:12" x14ac:dyDescent="0.25">
      <c r="A6917" t="s">
        <v>19</v>
      </c>
      <c r="B6917">
        <v>1128299</v>
      </c>
      <c r="C6917" s="1">
        <v>44493</v>
      </c>
      <c r="D6917" t="s">
        <v>32</v>
      </c>
      <c r="E6917" t="s">
        <v>82</v>
      </c>
      <c r="F6917" t="s">
        <v>83</v>
      </c>
      <c r="G6917" t="s">
        <v>15</v>
      </c>
      <c r="H6917" t="s">
        <v>35</v>
      </c>
      <c r="I6917" s="3">
        <v>39</v>
      </c>
      <c r="J6917" s="2">
        <v>119</v>
      </c>
      <c r="K6917" s="3">
        <f t="shared" si="108"/>
        <v>4641</v>
      </c>
      <c r="L6917" s="3">
        <v>2691.7799999999997</v>
      </c>
    </row>
    <row r="6918" spans="1:12" x14ac:dyDescent="0.25">
      <c r="A6918" t="s">
        <v>11</v>
      </c>
      <c r="B6918">
        <v>1128299</v>
      </c>
      <c r="C6918" s="1">
        <v>44493</v>
      </c>
      <c r="D6918" t="s">
        <v>12</v>
      </c>
      <c r="E6918" t="s">
        <v>84</v>
      </c>
      <c r="F6918" t="s">
        <v>31</v>
      </c>
      <c r="G6918" t="s">
        <v>41</v>
      </c>
      <c r="H6918" t="s">
        <v>16</v>
      </c>
      <c r="I6918" s="3">
        <v>58</v>
      </c>
      <c r="J6918" s="2">
        <v>105</v>
      </c>
      <c r="K6918" s="3">
        <f t="shared" si="108"/>
        <v>6090</v>
      </c>
      <c r="L6918" s="3">
        <v>3471.3</v>
      </c>
    </row>
    <row r="6919" spans="1:12" x14ac:dyDescent="0.25">
      <c r="A6919" t="s">
        <v>19</v>
      </c>
      <c r="B6919">
        <v>1128299</v>
      </c>
      <c r="C6919" s="1">
        <v>44493</v>
      </c>
      <c r="D6919" t="s">
        <v>32</v>
      </c>
      <c r="E6919" t="s">
        <v>82</v>
      </c>
      <c r="F6919" t="s">
        <v>83</v>
      </c>
      <c r="G6919" t="s">
        <v>41</v>
      </c>
      <c r="H6919" t="s">
        <v>16</v>
      </c>
      <c r="I6919" s="3">
        <v>59</v>
      </c>
      <c r="J6919" s="2">
        <v>102</v>
      </c>
      <c r="K6919" s="3">
        <f t="shared" si="108"/>
        <v>6018</v>
      </c>
      <c r="L6919" s="3">
        <v>3370.08</v>
      </c>
    </row>
    <row r="6920" spans="1:12" x14ac:dyDescent="0.25">
      <c r="A6920" t="s">
        <v>19</v>
      </c>
      <c r="B6920">
        <v>1128299</v>
      </c>
      <c r="C6920" s="1">
        <v>44493</v>
      </c>
      <c r="D6920" t="s">
        <v>32</v>
      </c>
      <c r="E6920" t="s">
        <v>82</v>
      </c>
      <c r="F6920" t="s">
        <v>83</v>
      </c>
      <c r="G6920" t="s">
        <v>41</v>
      </c>
      <c r="H6920" t="s">
        <v>38</v>
      </c>
      <c r="I6920" s="3">
        <v>38</v>
      </c>
      <c r="J6920" s="2">
        <v>102</v>
      </c>
      <c r="K6920" s="3">
        <f t="shared" si="108"/>
        <v>3876</v>
      </c>
      <c r="L6920" s="3">
        <v>2131.8000000000002</v>
      </c>
    </row>
    <row r="6921" spans="1:12" x14ac:dyDescent="0.25">
      <c r="A6921" t="s">
        <v>11</v>
      </c>
      <c r="B6921">
        <v>1128299</v>
      </c>
      <c r="C6921" s="1">
        <v>44493</v>
      </c>
      <c r="D6921" t="s">
        <v>12</v>
      </c>
      <c r="E6921" t="s">
        <v>84</v>
      </c>
      <c r="F6921" t="s">
        <v>31</v>
      </c>
      <c r="G6921" t="s">
        <v>15</v>
      </c>
      <c r="H6921" t="s">
        <v>22</v>
      </c>
      <c r="I6921" s="3">
        <v>40</v>
      </c>
      <c r="J6921" s="2">
        <v>93</v>
      </c>
      <c r="K6921" s="3">
        <f t="shared" si="108"/>
        <v>3720</v>
      </c>
      <c r="L6921" s="3">
        <v>2046</v>
      </c>
    </row>
    <row r="6922" spans="1:12" x14ac:dyDescent="0.25">
      <c r="A6922" t="s">
        <v>11</v>
      </c>
      <c r="B6922">
        <v>1128299</v>
      </c>
      <c r="C6922" s="1">
        <v>44493</v>
      </c>
      <c r="D6922" t="s">
        <v>12</v>
      </c>
      <c r="E6922" t="s">
        <v>84</v>
      </c>
      <c r="F6922" t="s">
        <v>31</v>
      </c>
      <c r="G6922" t="s">
        <v>41</v>
      </c>
      <c r="H6922" t="s">
        <v>17</v>
      </c>
      <c r="I6922" s="3">
        <v>50</v>
      </c>
      <c r="J6922" s="2">
        <v>142</v>
      </c>
      <c r="K6922" s="3">
        <f t="shared" si="108"/>
        <v>7100</v>
      </c>
      <c r="L6922" s="3">
        <v>3834.0000000000005</v>
      </c>
    </row>
    <row r="6923" spans="1:12" x14ac:dyDescent="0.25">
      <c r="A6923" t="s">
        <v>19</v>
      </c>
      <c r="B6923">
        <v>1128299</v>
      </c>
      <c r="C6923" s="1">
        <v>44493</v>
      </c>
      <c r="D6923" t="s">
        <v>32</v>
      </c>
      <c r="E6923" t="s">
        <v>82</v>
      </c>
      <c r="F6923" t="s">
        <v>83</v>
      </c>
      <c r="G6923" t="s">
        <v>41</v>
      </c>
      <c r="H6923" t="s">
        <v>35</v>
      </c>
      <c r="I6923" s="3">
        <v>46</v>
      </c>
      <c r="J6923" s="2">
        <v>95</v>
      </c>
      <c r="K6923" s="3">
        <f t="shared" si="108"/>
        <v>4370</v>
      </c>
      <c r="L6923" s="3">
        <v>2359.8000000000002</v>
      </c>
    </row>
    <row r="6924" spans="1:12" x14ac:dyDescent="0.25">
      <c r="A6924" t="s">
        <v>11</v>
      </c>
      <c r="B6924">
        <v>1128299</v>
      </c>
      <c r="C6924" s="1">
        <v>44493</v>
      </c>
      <c r="D6924" t="s">
        <v>12</v>
      </c>
      <c r="E6924" t="s">
        <v>84</v>
      </c>
      <c r="F6924" t="s">
        <v>31</v>
      </c>
      <c r="G6924" t="s">
        <v>41</v>
      </c>
      <c r="H6924" t="s">
        <v>38</v>
      </c>
      <c r="I6924" s="3">
        <v>38</v>
      </c>
      <c r="J6924" s="2">
        <v>102</v>
      </c>
      <c r="K6924" s="3">
        <f t="shared" si="108"/>
        <v>3876</v>
      </c>
      <c r="L6924" s="3">
        <v>2054.2800000000002</v>
      </c>
    </row>
    <row r="6925" spans="1:12" x14ac:dyDescent="0.25">
      <c r="A6925" t="s">
        <v>19</v>
      </c>
      <c r="B6925">
        <v>1128299</v>
      </c>
      <c r="C6925" s="1">
        <v>44493</v>
      </c>
      <c r="D6925" t="s">
        <v>32</v>
      </c>
      <c r="E6925" t="s">
        <v>82</v>
      </c>
      <c r="F6925" t="s">
        <v>83</v>
      </c>
      <c r="G6925" t="s">
        <v>15</v>
      </c>
      <c r="H6925" t="s">
        <v>22</v>
      </c>
      <c r="I6925" s="3">
        <v>42</v>
      </c>
      <c r="J6925" s="2">
        <v>105</v>
      </c>
      <c r="K6925" s="3">
        <f t="shared" si="108"/>
        <v>4410</v>
      </c>
      <c r="L6925" s="3">
        <v>2337.2999999999997</v>
      </c>
    </row>
    <row r="6926" spans="1:12" x14ac:dyDescent="0.25">
      <c r="A6926" t="s">
        <v>11</v>
      </c>
      <c r="B6926">
        <v>1128299</v>
      </c>
      <c r="C6926" s="1">
        <v>44493</v>
      </c>
      <c r="D6926" t="s">
        <v>12</v>
      </c>
      <c r="E6926" t="s">
        <v>84</v>
      </c>
      <c r="F6926" t="s">
        <v>31</v>
      </c>
      <c r="G6926" t="s">
        <v>41</v>
      </c>
      <c r="H6926" t="s">
        <v>37</v>
      </c>
      <c r="I6926" s="3">
        <v>44</v>
      </c>
      <c r="J6926" s="2">
        <v>81</v>
      </c>
      <c r="K6926" s="3">
        <f t="shared" si="108"/>
        <v>3564</v>
      </c>
      <c r="L6926" s="3">
        <v>1853.28</v>
      </c>
    </row>
    <row r="6927" spans="1:12" x14ac:dyDescent="0.25">
      <c r="A6927" t="s">
        <v>36</v>
      </c>
      <c r="B6927">
        <v>1185732</v>
      </c>
      <c r="C6927" s="1">
        <v>44493</v>
      </c>
      <c r="D6927" t="s">
        <v>29</v>
      </c>
      <c r="E6927" t="s">
        <v>30</v>
      </c>
      <c r="F6927" t="s">
        <v>31</v>
      </c>
      <c r="G6927" t="s">
        <v>41</v>
      </c>
      <c r="H6927" t="s">
        <v>38</v>
      </c>
      <c r="I6927" s="3">
        <v>39</v>
      </c>
      <c r="J6927" s="2">
        <v>127</v>
      </c>
      <c r="K6927" s="3">
        <f t="shared" si="108"/>
        <v>4953</v>
      </c>
      <c r="L6927" s="3">
        <v>2526.0300000000002</v>
      </c>
    </row>
    <row r="6928" spans="1:12" x14ac:dyDescent="0.25">
      <c r="A6928" t="s">
        <v>19</v>
      </c>
      <c r="B6928">
        <v>1128299</v>
      </c>
      <c r="C6928" s="1">
        <v>44493</v>
      </c>
      <c r="D6928" t="s">
        <v>32</v>
      </c>
      <c r="E6928" t="s">
        <v>82</v>
      </c>
      <c r="F6928" t="s">
        <v>83</v>
      </c>
      <c r="G6928" t="s">
        <v>41</v>
      </c>
      <c r="H6928" t="s">
        <v>37</v>
      </c>
      <c r="I6928" s="3">
        <v>41</v>
      </c>
      <c r="J6928" s="2">
        <v>98</v>
      </c>
      <c r="K6928" s="3">
        <f t="shared" si="108"/>
        <v>4018</v>
      </c>
      <c r="L6928" s="3">
        <v>2049.1800000000003</v>
      </c>
    </row>
    <row r="6929" spans="1:12" x14ac:dyDescent="0.25">
      <c r="A6929" t="s">
        <v>19</v>
      </c>
      <c r="B6929">
        <v>1128299</v>
      </c>
      <c r="C6929" s="1">
        <v>44493</v>
      </c>
      <c r="D6929" t="s">
        <v>32</v>
      </c>
      <c r="E6929" t="s">
        <v>82</v>
      </c>
      <c r="F6929" t="s">
        <v>83</v>
      </c>
      <c r="G6929" t="s">
        <v>41</v>
      </c>
      <c r="H6929" t="s">
        <v>17</v>
      </c>
      <c r="I6929" s="3">
        <v>51</v>
      </c>
      <c r="J6929" s="2">
        <v>142</v>
      </c>
      <c r="K6929" s="3">
        <f t="shared" si="108"/>
        <v>7242</v>
      </c>
      <c r="L6929" s="3">
        <v>3693.42</v>
      </c>
    </row>
    <row r="6930" spans="1:12" x14ac:dyDescent="0.25">
      <c r="A6930" t="s">
        <v>11</v>
      </c>
      <c r="B6930">
        <v>1128299</v>
      </c>
      <c r="C6930" s="1">
        <v>44493</v>
      </c>
      <c r="D6930" t="s">
        <v>12</v>
      </c>
      <c r="E6930" t="s">
        <v>84</v>
      </c>
      <c r="F6930" t="s">
        <v>31</v>
      </c>
      <c r="G6930" t="s">
        <v>41</v>
      </c>
      <c r="H6930" t="s">
        <v>35</v>
      </c>
      <c r="I6930" s="3">
        <v>46</v>
      </c>
      <c r="J6930" s="2">
        <v>91</v>
      </c>
      <c r="K6930" s="3">
        <f t="shared" si="108"/>
        <v>4186</v>
      </c>
      <c r="L6930" s="3">
        <v>2134.86</v>
      </c>
    </row>
    <row r="6931" spans="1:12" x14ac:dyDescent="0.25">
      <c r="A6931" t="s">
        <v>19</v>
      </c>
      <c r="B6931">
        <v>1185732</v>
      </c>
      <c r="C6931" s="1">
        <v>44493</v>
      </c>
      <c r="D6931" t="s">
        <v>52</v>
      </c>
      <c r="E6931" t="s">
        <v>53</v>
      </c>
      <c r="F6931" t="s">
        <v>54</v>
      </c>
      <c r="G6931" t="s">
        <v>41</v>
      </c>
      <c r="H6931" t="s">
        <v>35</v>
      </c>
      <c r="I6931" s="3">
        <v>33</v>
      </c>
      <c r="J6931" s="2">
        <v>56</v>
      </c>
      <c r="K6931" s="3">
        <f t="shared" si="108"/>
        <v>1848</v>
      </c>
      <c r="L6931" s="3">
        <v>905.52</v>
      </c>
    </row>
    <row r="6932" spans="1:12" x14ac:dyDescent="0.25">
      <c r="A6932" t="s">
        <v>19</v>
      </c>
      <c r="B6932">
        <v>1128299</v>
      </c>
      <c r="C6932" s="1">
        <v>44493</v>
      </c>
      <c r="D6932" t="s">
        <v>32</v>
      </c>
      <c r="E6932" t="s">
        <v>82</v>
      </c>
      <c r="F6932" t="s">
        <v>83</v>
      </c>
      <c r="G6932" t="s">
        <v>41</v>
      </c>
      <c r="H6932" t="s">
        <v>22</v>
      </c>
      <c r="I6932" s="3">
        <v>53</v>
      </c>
      <c r="J6932" s="2">
        <v>87</v>
      </c>
      <c r="K6932" s="3">
        <f t="shared" si="108"/>
        <v>4611</v>
      </c>
      <c r="L6932" s="3">
        <v>2121.06</v>
      </c>
    </row>
    <row r="6933" spans="1:12" x14ac:dyDescent="0.25">
      <c r="A6933" t="s">
        <v>11</v>
      </c>
      <c r="B6933">
        <v>1128299</v>
      </c>
      <c r="C6933" s="1">
        <v>44493</v>
      </c>
      <c r="D6933" t="s">
        <v>12</v>
      </c>
      <c r="E6933" t="s">
        <v>84</v>
      </c>
      <c r="F6933" t="s">
        <v>31</v>
      </c>
      <c r="G6933" t="s">
        <v>41</v>
      </c>
      <c r="H6933" t="s">
        <v>22</v>
      </c>
      <c r="I6933" s="3">
        <v>51</v>
      </c>
      <c r="J6933" s="2">
        <v>75</v>
      </c>
      <c r="K6933" s="3">
        <f t="shared" si="108"/>
        <v>3825</v>
      </c>
      <c r="L6933" s="3">
        <v>1759.5</v>
      </c>
    </row>
    <row r="6934" spans="1:12" x14ac:dyDescent="0.25">
      <c r="A6934" t="s">
        <v>36</v>
      </c>
      <c r="B6934">
        <v>1185732</v>
      </c>
      <c r="C6934" s="1">
        <v>44494</v>
      </c>
      <c r="D6934" t="s">
        <v>29</v>
      </c>
      <c r="E6934" t="s">
        <v>30</v>
      </c>
      <c r="F6934" t="s">
        <v>31</v>
      </c>
      <c r="G6934" t="s">
        <v>15</v>
      </c>
      <c r="H6934" t="s">
        <v>17</v>
      </c>
      <c r="I6934" s="3">
        <v>40</v>
      </c>
      <c r="J6934" s="2">
        <v>175</v>
      </c>
      <c r="K6934" s="3">
        <f t="shared" si="108"/>
        <v>7000</v>
      </c>
      <c r="L6934" s="3">
        <v>4550</v>
      </c>
    </row>
    <row r="6935" spans="1:12" x14ac:dyDescent="0.25">
      <c r="A6935" t="s">
        <v>19</v>
      </c>
      <c r="B6935">
        <v>1185732</v>
      </c>
      <c r="C6935" s="1">
        <v>44494</v>
      </c>
      <c r="D6935" t="s">
        <v>52</v>
      </c>
      <c r="E6935" t="s">
        <v>53</v>
      </c>
      <c r="F6935" t="s">
        <v>54</v>
      </c>
      <c r="G6935" t="s">
        <v>15</v>
      </c>
      <c r="H6935" t="s">
        <v>37</v>
      </c>
      <c r="I6935" s="3">
        <v>40</v>
      </c>
      <c r="J6935" s="2">
        <v>75</v>
      </c>
      <c r="K6935" s="3">
        <f t="shared" si="108"/>
        <v>3000</v>
      </c>
      <c r="L6935" s="3">
        <v>1800</v>
      </c>
    </row>
    <row r="6936" spans="1:12" x14ac:dyDescent="0.25">
      <c r="A6936" t="s">
        <v>19</v>
      </c>
      <c r="B6936">
        <v>1185732</v>
      </c>
      <c r="C6936" s="1">
        <v>44494</v>
      </c>
      <c r="D6936" t="s">
        <v>52</v>
      </c>
      <c r="E6936" t="s">
        <v>53</v>
      </c>
      <c r="F6936" t="s">
        <v>54</v>
      </c>
      <c r="G6936" t="s">
        <v>15</v>
      </c>
      <c r="H6936" t="s">
        <v>37</v>
      </c>
      <c r="I6936" s="3">
        <v>28</v>
      </c>
      <c r="J6936" s="2">
        <v>23</v>
      </c>
      <c r="K6936" s="3">
        <f t="shared" si="108"/>
        <v>644</v>
      </c>
      <c r="L6936" s="3">
        <v>367.08000000000004</v>
      </c>
    </row>
    <row r="6937" spans="1:12" x14ac:dyDescent="0.25">
      <c r="A6937" t="s">
        <v>36</v>
      </c>
      <c r="B6937">
        <v>1185732</v>
      </c>
      <c r="C6937" s="1">
        <v>44494</v>
      </c>
      <c r="D6937" t="s">
        <v>29</v>
      </c>
      <c r="E6937" t="s">
        <v>30</v>
      </c>
      <c r="F6937" t="s">
        <v>31</v>
      </c>
      <c r="G6937" t="s">
        <v>41</v>
      </c>
      <c r="H6937" t="s">
        <v>17</v>
      </c>
      <c r="I6937" s="3">
        <v>39</v>
      </c>
      <c r="J6937" s="2">
        <v>46</v>
      </c>
      <c r="K6937" s="3">
        <f t="shared" si="108"/>
        <v>1794</v>
      </c>
      <c r="L6937" s="3">
        <v>914.94</v>
      </c>
    </row>
    <row r="6938" spans="1:12" x14ac:dyDescent="0.25">
      <c r="A6938" t="s">
        <v>19</v>
      </c>
      <c r="B6938">
        <v>1185732</v>
      </c>
      <c r="C6938" s="1">
        <v>44494</v>
      </c>
      <c r="D6938" t="s">
        <v>52</v>
      </c>
      <c r="E6938" t="s">
        <v>53</v>
      </c>
      <c r="F6938" t="s">
        <v>54</v>
      </c>
      <c r="G6938" t="s">
        <v>41</v>
      </c>
      <c r="H6938" t="s">
        <v>37</v>
      </c>
      <c r="I6938" s="3">
        <v>38</v>
      </c>
      <c r="J6938" s="2">
        <v>19</v>
      </c>
      <c r="K6938" s="3">
        <f t="shared" si="108"/>
        <v>722</v>
      </c>
      <c r="L6938" s="3">
        <v>353.78</v>
      </c>
    </row>
    <row r="6939" spans="1:12" x14ac:dyDescent="0.25">
      <c r="A6939" t="s">
        <v>27</v>
      </c>
      <c r="B6939">
        <v>1128299</v>
      </c>
      <c r="C6939" s="1">
        <v>44495</v>
      </c>
      <c r="D6939" t="s">
        <v>12</v>
      </c>
      <c r="E6939" t="s">
        <v>42</v>
      </c>
      <c r="F6939" t="s">
        <v>43</v>
      </c>
      <c r="G6939" t="s">
        <v>41</v>
      </c>
      <c r="H6939" t="s">
        <v>16</v>
      </c>
      <c r="I6939" s="3">
        <v>75.000000000000014</v>
      </c>
      <c r="J6939" s="2">
        <v>375</v>
      </c>
      <c r="K6939" s="3">
        <f t="shared" si="108"/>
        <v>28125.000000000004</v>
      </c>
      <c r="L6939" s="3">
        <v>21093.750000000007</v>
      </c>
    </row>
    <row r="6940" spans="1:12" x14ac:dyDescent="0.25">
      <c r="A6940" t="s">
        <v>27</v>
      </c>
      <c r="B6940">
        <v>1128299</v>
      </c>
      <c r="C6940" s="1">
        <v>44495</v>
      </c>
      <c r="D6940" t="s">
        <v>12</v>
      </c>
      <c r="E6940" t="s">
        <v>42</v>
      </c>
      <c r="F6940" t="s">
        <v>43</v>
      </c>
      <c r="G6940" t="s">
        <v>41</v>
      </c>
      <c r="H6940" t="s">
        <v>22</v>
      </c>
      <c r="I6940" s="3">
        <v>60.000000000000007</v>
      </c>
      <c r="J6940" s="2">
        <v>325</v>
      </c>
      <c r="K6940" s="3">
        <f t="shared" si="108"/>
        <v>19500.000000000004</v>
      </c>
      <c r="L6940" s="3">
        <v>13650.000000000004</v>
      </c>
    </row>
    <row r="6941" spans="1:12" x14ac:dyDescent="0.25">
      <c r="A6941" t="s">
        <v>27</v>
      </c>
      <c r="B6941">
        <v>1128299</v>
      </c>
      <c r="C6941" s="1">
        <v>44495</v>
      </c>
      <c r="D6941" t="s">
        <v>12</v>
      </c>
      <c r="E6941" t="s">
        <v>42</v>
      </c>
      <c r="F6941" t="s">
        <v>43</v>
      </c>
      <c r="G6941" t="s">
        <v>41</v>
      </c>
      <c r="H6941" t="s">
        <v>37</v>
      </c>
      <c r="I6941" s="3">
        <v>50.000000000000014</v>
      </c>
      <c r="J6941" s="2">
        <v>350</v>
      </c>
      <c r="K6941" s="3">
        <f t="shared" si="108"/>
        <v>17500.000000000004</v>
      </c>
      <c r="L6941" s="3">
        <v>11375.000000000004</v>
      </c>
    </row>
    <row r="6942" spans="1:12" x14ac:dyDescent="0.25">
      <c r="A6942" t="s">
        <v>27</v>
      </c>
      <c r="B6942">
        <v>1128299</v>
      </c>
      <c r="C6942" s="1">
        <v>44495</v>
      </c>
      <c r="D6942" t="s">
        <v>12</v>
      </c>
      <c r="E6942" t="s">
        <v>42</v>
      </c>
      <c r="F6942" t="s">
        <v>43</v>
      </c>
      <c r="G6942" t="s">
        <v>41</v>
      </c>
      <c r="H6942" t="s">
        <v>38</v>
      </c>
      <c r="I6942" s="3">
        <v>50.000000000000014</v>
      </c>
      <c r="J6942" s="2">
        <v>550</v>
      </c>
      <c r="K6942" s="3">
        <f t="shared" si="108"/>
        <v>27500.000000000007</v>
      </c>
      <c r="L6942" s="3">
        <v>17875.000000000007</v>
      </c>
    </row>
    <row r="6943" spans="1:12" x14ac:dyDescent="0.25">
      <c r="A6943" t="s">
        <v>27</v>
      </c>
      <c r="B6943">
        <v>1128299</v>
      </c>
      <c r="C6943" s="1">
        <v>44495</v>
      </c>
      <c r="D6943" t="s">
        <v>12</v>
      </c>
      <c r="E6943" t="s">
        <v>42</v>
      </c>
      <c r="F6943" t="s">
        <v>43</v>
      </c>
      <c r="G6943" t="s">
        <v>41</v>
      </c>
      <c r="H6943" t="s">
        <v>35</v>
      </c>
      <c r="I6943" s="3">
        <v>50.000000000000014</v>
      </c>
      <c r="J6943" s="2">
        <v>375</v>
      </c>
      <c r="K6943" s="3">
        <f t="shared" si="108"/>
        <v>18750.000000000004</v>
      </c>
      <c r="L6943" s="3">
        <v>12187.500000000004</v>
      </c>
    </row>
    <row r="6944" spans="1:12" x14ac:dyDescent="0.25">
      <c r="A6944" t="s">
        <v>19</v>
      </c>
      <c r="B6944">
        <v>1185732</v>
      </c>
      <c r="C6944" s="1">
        <v>44495</v>
      </c>
      <c r="D6944" t="s">
        <v>29</v>
      </c>
      <c r="E6944" t="s">
        <v>55</v>
      </c>
      <c r="F6944" t="s">
        <v>56</v>
      </c>
      <c r="G6944" t="s">
        <v>15</v>
      </c>
      <c r="H6944" t="s">
        <v>22</v>
      </c>
      <c r="I6944" s="3">
        <v>54.999999999999993</v>
      </c>
      <c r="J6944" s="2">
        <v>125</v>
      </c>
      <c r="K6944" s="3">
        <f t="shared" si="108"/>
        <v>6874.9999999999991</v>
      </c>
      <c r="L6944" s="3">
        <v>4468.7499999999991</v>
      </c>
    </row>
    <row r="6945" spans="1:12" x14ac:dyDescent="0.25">
      <c r="A6945" t="s">
        <v>36</v>
      </c>
      <c r="B6945">
        <v>1185732</v>
      </c>
      <c r="C6945" s="1">
        <v>44495</v>
      </c>
      <c r="D6945" t="s">
        <v>29</v>
      </c>
      <c r="E6945" t="s">
        <v>30</v>
      </c>
      <c r="F6945" t="s">
        <v>31</v>
      </c>
      <c r="G6945" t="s">
        <v>15</v>
      </c>
      <c r="H6945" t="s">
        <v>35</v>
      </c>
      <c r="I6945" s="3">
        <v>30.000000000000004</v>
      </c>
      <c r="J6945" s="2">
        <v>200</v>
      </c>
      <c r="K6945" s="3">
        <f t="shared" si="108"/>
        <v>6000.0000000000009</v>
      </c>
      <c r="L6945" s="3">
        <v>3600.0000000000009</v>
      </c>
    </row>
    <row r="6946" spans="1:12" x14ac:dyDescent="0.25">
      <c r="A6946" t="s">
        <v>27</v>
      </c>
      <c r="B6946">
        <v>1128299</v>
      </c>
      <c r="C6946" s="1">
        <v>44495</v>
      </c>
      <c r="D6946" t="s">
        <v>12</v>
      </c>
      <c r="E6946" t="s">
        <v>42</v>
      </c>
      <c r="F6946" t="s">
        <v>43</v>
      </c>
      <c r="G6946" t="s">
        <v>41</v>
      </c>
      <c r="H6946" t="s">
        <v>17</v>
      </c>
      <c r="I6946" s="3">
        <v>55.000000000000014</v>
      </c>
      <c r="J6946" s="2">
        <v>550</v>
      </c>
      <c r="K6946" s="3">
        <f t="shared" si="108"/>
        <v>30250.000000000007</v>
      </c>
      <c r="L6946" s="3">
        <v>18150.000000000004</v>
      </c>
    </row>
    <row r="6947" spans="1:12" x14ac:dyDescent="0.25">
      <c r="A6947" t="s">
        <v>27</v>
      </c>
      <c r="B6947">
        <v>1128299</v>
      </c>
      <c r="C6947" s="1">
        <v>44495</v>
      </c>
      <c r="D6947" t="s">
        <v>12</v>
      </c>
      <c r="E6947" t="s">
        <v>42</v>
      </c>
      <c r="F6947" t="s">
        <v>43</v>
      </c>
      <c r="G6947" t="s">
        <v>15</v>
      </c>
      <c r="H6947" t="s">
        <v>16</v>
      </c>
      <c r="I6947" s="3">
        <v>57</v>
      </c>
      <c r="J6947" s="2">
        <v>131</v>
      </c>
      <c r="K6947" s="3">
        <f t="shared" si="108"/>
        <v>7467</v>
      </c>
      <c r="L6947" s="3">
        <v>5152.2299999999996</v>
      </c>
    </row>
    <row r="6948" spans="1:12" x14ac:dyDescent="0.25">
      <c r="A6948" t="s">
        <v>27</v>
      </c>
      <c r="B6948">
        <v>1128299</v>
      </c>
      <c r="C6948" s="1">
        <v>44495</v>
      </c>
      <c r="D6948" t="s">
        <v>12</v>
      </c>
      <c r="E6948" t="s">
        <v>42</v>
      </c>
      <c r="F6948" t="s">
        <v>43</v>
      </c>
      <c r="G6948" t="s">
        <v>15</v>
      </c>
      <c r="H6948" t="s">
        <v>22</v>
      </c>
      <c r="I6948" s="3">
        <v>41</v>
      </c>
      <c r="J6948" s="2">
        <v>114</v>
      </c>
      <c r="K6948" s="3">
        <f t="shared" si="108"/>
        <v>4674</v>
      </c>
      <c r="L6948" s="3">
        <v>3131.58</v>
      </c>
    </row>
    <row r="6949" spans="1:12" x14ac:dyDescent="0.25">
      <c r="A6949" t="s">
        <v>27</v>
      </c>
      <c r="B6949">
        <v>1128299</v>
      </c>
      <c r="C6949" s="1">
        <v>44495</v>
      </c>
      <c r="D6949" t="s">
        <v>12</v>
      </c>
      <c r="E6949" t="s">
        <v>42</v>
      </c>
      <c r="F6949" t="s">
        <v>43</v>
      </c>
      <c r="G6949" t="s">
        <v>15</v>
      </c>
      <c r="H6949" t="s">
        <v>38</v>
      </c>
      <c r="I6949" s="3">
        <v>35</v>
      </c>
      <c r="J6949" s="2">
        <v>171</v>
      </c>
      <c r="K6949" s="3">
        <f t="shared" si="108"/>
        <v>5985</v>
      </c>
      <c r="L6949" s="3">
        <v>3770.55</v>
      </c>
    </row>
    <row r="6950" spans="1:12" x14ac:dyDescent="0.25">
      <c r="A6950" t="s">
        <v>27</v>
      </c>
      <c r="B6950">
        <v>1128299</v>
      </c>
      <c r="C6950" s="1">
        <v>44495</v>
      </c>
      <c r="D6950" t="s">
        <v>12</v>
      </c>
      <c r="E6950" t="s">
        <v>42</v>
      </c>
      <c r="F6950" t="s">
        <v>43</v>
      </c>
      <c r="G6950" t="s">
        <v>41</v>
      </c>
      <c r="H6950" t="s">
        <v>16</v>
      </c>
      <c r="I6950" s="3">
        <v>68</v>
      </c>
      <c r="J6950" s="2">
        <v>105</v>
      </c>
      <c r="K6950" s="3">
        <f t="shared" si="108"/>
        <v>7140</v>
      </c>
      <c r="L6950" s="3">
        <v>4498.2</v>
      </c>
    </row>
    <row r="6951" spans="1:12" x14ac:dyDescent="0.25">
      <c r="A6951" t="s">
        <v>27</v>
      </c>
      <c r="B6951">
        <v>1128299</v>
      </c>
      <c r="C6951" s="1">
        <v>44495</v>
      </c>
      <c r="D6951" t="s">
        <v>12</v>
      </c>
      <c r="E6951" t="s">
        <v>42</v>
      </c>
      <c r="F6951" t="s">
        <v>43</v>
      </c>
      <c r="G6951" t="s">
        <v>15</v>
      </c>
      <c r="H6951" t="s">
        <v>35</v>
      </c>
      <c r="I6951" s="3">
        <v>34</v>
      </c>
      <c r="J6951" s="2">
        <v>120</v>
      </c>
      <c r="K6951" s="3">
        <f t="shared" si="108"/>
        <v>4080</v>
      </c>
      <c r="L6951" s="3">
        <v>2448</v>
      </c>
    </row>
    <row r="6952" spans="1:12" x14ac:dyDescent="0.25">
      <c r="A6952" t="s">
        <v>19</v>
      </c>
      <c r="B6952">
        <v>1185732</v>
      </c>
      <c r="C6952" s="1">
        <v>44495</v>
      </c>
      <c r="D6952" t="s">
        <v>29</v>
      </c>
      <c r="E6952" t="s">
        <v>55</v>
      </c>
      <c r="F6952" t="s">
        <v>56</v>
      </c>
      <c r="G6952" t="s">
        <v>15</v>
      </c>
      <c r="H6952" t="s">
        <v>22</v>
      </c>
      <c r="I6952" s="3">
        <v>42</v>
      </c>
      <c r="J6952" s="2">
        <v>41</v>
      </c>
      <c r="K6952" s="3">
        <f t="shared" si="108"/>
        <v>1722</v>
      </c>
      <c r="L6952" s="3">
        <v>1015.98</v>
      </c>
    </row>
    <row r="6953" spans="1:12" x14ac:dyDescent="0.25">
      <c r="A6953" t="s">
        <v>27</v>
      </c>
      <c r="B6953">
        <v>1128299</v>
      </c>
      <c r="C6953" s="1">
        <v>44495</v>
      </c>
      <c r="D6953" t="s">
        <v>12</v>
      </c>
      <c r="E6953" t="s">
        <v>42</v>
      </c>
      <c r="F6953" t="s">
        <v>43</v>
      </c>
      <c r="G6953" t="s">
        <v>15</v>
      </c>
      <c r="H6953" t="s">
        <v>37</v>
      </c>
      <c r="I6953" s="3">
        <v>35</v>
      </c>
      <c r="J6953" s="2">
        <v>112</v>
      </c>
      <c r="K6953" s="3">
        <f t="shared" si="108"/>
        <v>3920</v>
      </c>
      <c r="L6953" s="3">
        <v>2273.6000000000004</v>
      </c>
    </row>
    <row r="6954" spans="1:12" x14ac:dyDescent="0.25">
      <c r="A6954" t="s">
        <v>27</v>
      </c>
      <c r="B6954">
        <v>1128299</v>
      </c>
      <c r="C6954" s="1">
        <v>44495</v>
      </c>
      <c r="D6954" t="s">
        <v>12</v>
      </c>
      <c r="E6954" t="s">
        <v>42</v>
      </c>
      <c r="F6954" t="s">
        <v>43</v>
      </c>
      <c r="G6954" t="s">
        <v>15</v>
      </c>
      <c r="H6954" t="s">
        <v>17</v>
      </c>
      <c r="I6954" s="3">
        <v>38</v>
      </c>
      <c r="J6954" s="2">
        <v>182</v>
      </c>
      <c r="K6954" s="3">
        <f t="shared" si="108"/>
        <v>6916</v>
      </c>
      <c r="L6954" s="3">
        <v>3942.1199999999994</v>
      </c>
    </row>
    <row r="6955" spans="1:12" x14ac:dyDescent="0.25">
      <c r="A6955" t="s">
        <v>27</v>
      </c>
      <c r="B6955">
        <v>1128299</v>
      </c>
      <c r="C6955" s="1">
        <v>44495</v>
      </c>
      <c r="D6955" t="s">
        <v>12</v>
      </c>
      <c r="E6955" t="s">
        <v>42</v>
      </c>
      <c r="F6955" t="s">
        <v>43</v>
      </c>
      <c r="G6955" t="s">
        <v>41</v>
      </c>
      <c r="H6955" t="s">
        <v>22</v>
      </c>
      <c r="I6955" s="3">
        <v>56</v>
      </c>
      <c r="J6955" s="2">
        <v>91</v>
      </c>
      <c r="K6955" s="3">
        <f t="shared" si="108"/>
        <v>5096</v>
      </c>
      <c r="L6955" s="3">
        <v>2853.7599999999998</v>
      </c>
    </row>
    <row r="6956" spans="1:12" x14ac:dyDescent="0.25">
      <c r="A6956" t="s">
        <v>19</v>
      </c>
      <c r="B6956">
        <v>1185732</v>
      </c>
      <c r="C6956" s="1">
        <v>44495</v>
      </c>
      <c r="D6956" t="s">
        <v>29</v>
      </c>
      <c r="E6956" t="s">
        <v>55</v>
      </c>
      <c r="F6956" t="s">
        <v>56</v>
      </c>
      <c r="G6956" t="s">
        <v>41</v>
      </c>
      <c r="H6956" t="s">
        <v>22</v>
      </c>
      <c r="I6956" s="3">
        <v>54</v>
      </c>
      <c r="J6956" s="2">
        <v>36</v>
      </c>
      <c r="K6956" s="3">
        <f t="shared" si="108"/>
        <v>1944</v>
      </c>
      <c r="L6956" s="3">
        <v>1069.2</v>
      </c>
    </row>
    <row r="6957" spans="1:12" x14ac:dyDescent="0.25">
      <c r="A6957" t="s">
        <v>27</v>
      </c>
      <c r="B6957">
        <v>1128299</v>
      </c>
      <c r="C6957" s="1">
        <v>44495</v>
      </c>
      <c r="D6957" t="s">
        <v>12</v>
      </c>
      <c r="E6957" t="s">
        <v>42</v>
      </c>
      <c r="F6957" t="s">
        <v>43</v>
      </c>
      <c r="G6957" t="s">
        <v>41</v>
      </c>
      <c r="H6957" t="s">
        <v>35</v>
      </c>
      <c r="I6957" s="3">
        <v>48</v>
      </c>
      <c r="J6957" s="2">
        <v>105</v>
      </c>
      <c r="K6957" s="3">
        <f t="shared" si="108"/>
        <v>5040</v>
      </c>
      <c r="L6957" s="3">
        <v>2671.2000000000003</v>
      </c>
    </row>
    <row r="6958" spans="1:12" x14ac:dyDescent="0.25">
      <c r="A6958" t="s">
        <v>27</v>
      </c>
      <c r="B6958">
        <v>1128299</v>
      </c>
      <c r="C6958" s="1">
        <v>44495</v>
      </c>
      <c r="D6958" t="s">
        <v>12</v>
      </c>
      <c r="E6958" t="s">
        <v>42</v>
      </c>
      <c r="F6958" t="s">
        <v>43</v>
      </c>
      <c r="G6958" t="s">
        <v>41</v>
      </c>
      <c r="H6958" t="s">
        <v>37</v>
      </c>
      <c r="I6958" s="3">
        <v>46</v>
      </c>
      <c r="J6958" s="2">
        <v>95</v>
      </c>
      <c r="K6958" s="3">
        <f t="shared" si="108"/>
        <v>4370</v>
      </c>
      <c r="L6958" s="3">
        <v>2228.6999999999998</v>
      </c>
    </row>
    <row r="6959" spans="1:12" x14ac:dyDescent="0.25">
      <c r="A6959" t="s">
        <v>27</v>
      </c>
      <c r="B6959">
        <v>1128299</v>
      </c>
      <c r="C6959" s="1">
        <v>44495</v>
      </c>
      <c r="D6959" t="s">
        <v>12</v>
      </c>
      <c r="E6959" t="s">
        <v>42</v>
      </c>
      <c r="F6959" t="s">
        <v>43</v>
      </c>
      <c r="G6959" t="s">
        <v>41</v>
      </c>
      <c r="H6959" t="s">
        <v>38</v>
      </c>
      <c r="I6959" s="3">
        <v>48</v>
      </c>
      <c r="J6959" s="2">
        <v>165</v>
      </c>
      <c r="K6959" s="3">
        <f t="shared" si="108"/>
        <v>7920</v>
      </c>
      <c r="L6959" s="3">
        <v>3960</v>
      </c>
    </row>
    <row r="6960" spans="1:12" x14ac:dyDescent="0.25">
      <c r="A6960" t="s">
        <v>27</v>
      </c>
      <c r="B6960">
        <v>1128299</v>
      </c>
      <c r="C6960" s="1">
        <v>44495</v>
      </c>
      <c r="D6960" t="s">
        <v>12</v>
      </c>
      <c r="E6960" t="s">
        <v>42</v>
      </c>
      <c r="F6960" t="s">
        <v>43</v>
      </c>
      <c r="G6960" t="s">
        <v>41</v>
      </c>
      <c r="H6960" t="s">
        <v>17</v>
      </c>
      <c r="I6960" s="3">
        <v>50</v>
      </c>
      <c r="J6960" s="2">
        <v>149</v>
      </c>
      <c r="K6960" s="3">
        <f t="shared" si="108"/>
        <v>7450</v>
      </c>
      <c r="L6960" s="3">
        <v>3501.5</v>
      </c>
    </row>
    <row r="6961" spans="1:12" x14ac:dyDescent="0.25">
      <c r="A6961" t="s">
        <v>36</v>
      </c>
      <c r="B6961">
        <v>1185732</v>
      </c>
      <c r="C6961" s="1">
        <v>44495</v>
      </c>
      <c r="D6961" t="s">
        <v>29</v>
      </c>
      <c r="E6961" t="s">
        <v>30</v>
      </c>
      <c r="F6961" t="s">
        <v>31</v>
      </c>
      <c r="G6961" t="s">
        <v>41</v>
      </c>
      <c r="H6961" t="s">
        <v>35</v>
      </c>
      <c r="I6961" s="3">
        <v>27</v>
      </c>
      <c r="J6961" s="2">
        <v>52</v>
      </c>
      <c r="K6961" s="3">
        <f t="shared" si="108"/>
        <v>1404</v>
      </c>
      <c r="L6961" s="3">
        <v>631.80000000000007</v>
      </c>
    </row>
    <row r="6962" spans="1:12" x14ac:dyDescent="0.25">
      <c r="A6962" t="s">
        <v>19</v>
      </c>
      <c r="B6962">
        <v>1185732</v>
      </c>
      <c r="C6962" s="1">
        <v>44496</v>
      </c>
      <c r="D6962" t="s">
        <v>29</v>
      </c>
      <c r="E6962" t="s">
        <v>55</v>
      </c>
      <c r="F6962" t="s">
        <v>56</v>
      </c>
      <c r="G6962" t="s">
        <v>15</v>
      </c>
      <c r="H6962" t="s">
        <v>16</v>
      </c>
      <c r="I6962" s="3">
        <v>45</v>
      </c>
      <c r="J6962" s="2">
        <v>225</v>
      </c>
      <c r="K6962" s="3">
        <f t="shared" si="108"/>
        <v>10125</v>
      </c>
      <c r="L6962" s="3">
        <v>7087.5</v>
      </c>
    </row>
    <row r="6963" spans="1:12" x14ac:dyDescent="0.25">
      <c r="A6963" t="s">
        <v>36</v>
      </c>
      <c r="B6963">
        <v>1185732</v>
      </c>
      <c r="C6963" s="1">
        <v>44496</v>
      </c>
      <c r="D6963" t="s">
        <v>29</v>
      </c>
      <c r="E6963" t="s">
        <v>30</v>
      </c>
      <c r="F6963" t="s">
        <v>31</v>
      </c>
      <c r="G6963" t="s">
        <v>15</v>
      </c>
      <c r="H6963" t="s">
        <v>37</v>
      </c>
      <c r="I6963" s="3">
        <v>35</v>
      </c>
      <c r="J6963" s="2">
        <v>50</v>
      </c>
      <c r="K6963" s="3">
        <f t="shared" si="108"/>
        <v>1750</v>
      </c>
      <c r="L6963" s="3">
        <v>1225</v>
      </c>
    </row>
    <row r="6964" spans="1:12" x14ac:dyDescent="0.25">
      <c r="A6964" t="s">
        <v>19</v>
      </c>
      <c r="B6964">
        <v>1185732</v>
      </c>
      <c r="C6964" s="1">
        <v>44496</v>
      </c>
      <c r="D6964" t="s">
        <v>29</v>
      </c>
      <c r="E6964" t="s">
        <v>55</v>
      </c>
      <c r="F6964" t="s">
        <v>56</v>
      </c>
      <c r="G6964" t="s">
        <v>15</v>
      </c>
      <c r="H6964" t="s">
        <v>16</v>
      </c>
      <c r="I6964" s="3">
        <v>32</v>
      </c>
      <c r="J6964" s="2">
        <v>70</v>
      </c>
      <c r="K6964" s="3">
        <f t="shared" si="108"/>
        <v>2240</v>
      </c>
      <c r="L6964" s="3">
        <v>1478.4</v>
      </c>
    </row>
    <row r="6965" spans="1:12" x14ac:dyDescent="0.25">
      <c r="A6965" t="s">
        <v>36</v>
      </c>
      <c r="B6965">
        <v>1185732</v>
      </c>
      <c r="C6965" s="1">
        <v>44496</v>
      </c>
      <c r="D6965" t="s">
        <v>29</v>
      </c>
      <c r="E6965" t="s">
        <v>30</v>
      </c>
      <c r="F6965" t="s">
        <v>31</v>
      </c>
      <c r="G6965" t="s">
        <v>41</v>
      </c>
      <c r="H6965" t="s">
        <v>37</v>
      </c>
      <c r="I6965" s="3">
        <v>32</v>
      </c>
      <c r="J6965" s="2">
        <v>13</v>
      </c>
      <c r="K6965" s="3">
        <f t="shared" si="108"/>
        <v>416</v>
      </c>
      <c r="L6965" s="3">
        <v>249.6</v>
      </c>
    </row>
    <row r="6966" spans="1:12" x14ac:dyDescent="0.25">
      <c r="A6966" t="s">
        <v>19</v>
      </c>
      <c r="B6966">
        <v>1185732</v>
      </c>
      <c r="C6966" s="1">
        <v>44496</v>
      </c>
      <c r="D6966" t="s">
        <v>29</v>
      </c>
      <c r="E6966" t="s">
        <v>55</v>
      </c>
      <c r="F6966" t="s">
        <v>56</v>
      </c>
      <c r="G6966" t="s">
        <v>41</v>
      </c>
      <c r="H6966" t="s">
        <v>16</v>
      </c>
      <c r="I6966" s="3">
        <v>43</v>
      </c>
      <c r="J6966" s="2">
        <v>61</v>
      </c>
      <c r="K6966" s="3">
        <f t="shared" si="108"/>
        <v>2623</v>
      </c>
      <c r="L6966" s="3">
        <v>1468.8799999999999</v>
      </c>
    </row>
    <row r="6967" spans="1:12" x14ac:dyDescent="0.25">
      <c r="A6967" t="s">
        <v>36</v>
      </c>
      <c r="B6967">
        <v>1185732</v>
      </c>
      <c r="C6967" s="1">
        <v>44497</v>
      </c>
      <c r="D6967" t="s">
        <v>29</v>
      </c>
      <c r="E6967" t="s">
        <v>30</v>
      </c>
      <c r="F6967" t="s">
        <v>31</v>
      </c>
      <c r="G6967" t="s">
        <v>15</v>
      </c>
      <c r="H6967" t="s">
        <v>22</v>
      </c>
      <c r="I6967" s="3">
        <v>50</v>
      </c>
      <c r="J6967" s="2">
        <v>100</v>
      </c>
      <c r="K6967" s="3">
        <f t="shared" si="108"/>
        <v>5000</v>
      </c>
      <c r="L6967" s="3">
        <v>3750</v>
      </c>
    </row>
    <row r="6968" spans="1:12" x14ac:dyDescent="0.25">
      <c r="A6968" t="s">
        <v>19</v>
      </c>
      <c r="B6968">
        <v>1185732</v>
      </c>
      <c r="C6968" s="1">
        <v>44497</v>
      </c>
      <c r="D6968" t="s">
        <v>29</v>
      </c>
      <c r="E6968" t="s">
        <v>55</v>
      </c>
      <c r="F6968" t="s">
        <v>56</v>
      </c>
      <c r="G6968" t="s">
        <v>15</v>
      </c>
      <c r="H6968" t="s">
        <v>38</v>
      </c>
      <c r="I6968" s="3">
        <v>45</v>
      </c>
      <c r="J6968" s="2">
        <v>475</v>
      </c>
      <c r="K6968" s="3">
        <f t="shared" si="108"/>
        <v>21375</v>
      </c>
      <c r="L6968" s="3">
        <v>9618.7499999999982</v>
      </c>
    </row>
    <row r="6969" spans="1:12" x14ac:dyDescent="0.25">
      <c r="A6969" t="s">
        <v>36</v>
      </c>
      <c r="B6969">
        <v>1185732</v>
      </c>
      <c r="C6969" s="1">
        <v>44497</v>
      </c>
      <c r="D6969" t="s">
        <v>29</v>
      </c>
      <c r="E6969" t="s">
        <v>30</v>
      </c>
      <c r="F6969" t="s">
        <v>31</v>
      </c>
      <c r="G6969" t="s">
        <v>41</v>
      </c>
      <c r="H6969" t="s">
        <v>22</v>
      </c>
      <c r="I6969" s="3">
        <v>49</v>
      </c>
      <c r="J6969" s="2">
        <v>29</v>
      </c>
      <c r="K6969" s="3">
        <f t="shared" si="108"/>
        <v>1421</v>
      </c>
      <c r="L6969" s="3">
        <v>909.44</v>
      </c>
    </row>
    <row r="6970" spans="1:12" x14ac:dyDescent="0.25">
      <c r="A6970" t="s">
        <v>19</v>
      </c>
      <c r="B6970">
        <v>1185732</v>
      </c>
      <c r="C6970" s="1">
        <v>44497</v>
      </c>
      <c r="D6970" t="s">
        <v>29</v>
      </c>
      <c r="E6970" t="s">
        <v>55</v>
      </c>
      <c r="F6970" t="s">
        <v>56</v>
      </c>
      <c r="G6970" t="s">
        <v>15</v>
      </c>
      <c r="H6970" t="s">
        <v>38</v>
      </c>
      <c r="I6970" s="3">
        <v>32</v>
      </c>
      <c r="J6970" s="2">
        <v>166</v>
      </c>
      <c r="K6970" s="3">
        <f t="shared" si="108"/>
        <v>5312</v>
      </c>
      <c r="L6970" s="3">
        <v>2124.7999999999997</v>
      </c>
    </row>
    <row r="6971" spans="1:12" x14ac:dyDescent="0.25">
      <c r="A6971" t="s">
        <v>19</v>
      </c>
      <c r="B6971">
        <v>1185732</v>
      </c>
      <c r="C6971" s="1">
        <v>44497</v>
      </c>
      <c r="D6971" t="s">
        <v>29</v>
      </c>
      <c r="E6971" t="s">
        <v>55</v>
      </c>
      <c r="F6971" t="s">
        <v>56</v>
      </c>
      <c r="G6971" t="s">
        <v>41</v>
      </c>
      <c r="H6971" t="s">
        <v>38</v>
      </c>
      <c r="I6971" s="3">
        <v>42</v>
      </c>
      <c r="J6971" s="2">
        <v>119</v>
      </c>
      <c r="K6971" s="3">
        <f t="shared" si="108"/>
        <v>4998</v>
      </c>
      <c r="L6971" s="3">
        <v>1649.3399999999997</v>
      </c>
    </row>
    <row r="6972" spans="1:12" x14ac:dyDescent="0.25">
      <c r="A6972" t="s">
        <v>19</v>
      </c>
      <c r="B6972">
        <v>1185732</v>
      </c>
      <c r="C6972" s="1">
        <v>44498</v>
      </c>
      <c r="D6972" t="s">
        <v>29</v>
      </c>
      <c r="E6972" t="s">
        <v>55</v>
      </c>
      <c r="F6972" t="s">
        <v>56</v>
      </c>
      <c r="G6972" t="s">
        <v>15</v>
      </c>
      <c r="H6972" t="s">
        <v>17</v>
      </c>
      <c r="I6972" s="3">
        <v>45</v>
      </c>
      <c r="J6972" s="2">
        <v>125</v>
      </c>
      <c r="K6972" s="3">
        <f t="shared" si="108"/>
        <v>5625</v>
      </c>
      <c r="L6972" s="3">
        <v>3656.25</v>
      </c>
    </row>
    <row r="6973" spans="1:12" x14ac:dyDescent="0.25">
      <c r="A6973" t="s">
        <v>36</v>
      </c>
      <c r="B6973">
        <v>1185732</v>
      </c>
      <c r="C6973" s="1">
        <v>44498</v>
      </c>
      <c r="D6973" t="s">
        <v>29</v>
      </c>
      <c r="E6973" t="s">
        <v>30</v>
      </c>
      <c r="F6973" t="s">
        <v>31</v>
      </c>
      <c r="G6973" t="s">
        <v>15</v>
      </c>
      <c r="H6973" t="s">
        <v>16</v>
      </c>
      <c r="I6973" s="3">
        <v>40</v>
      </c>
      <c r="J6973" s="2">
        <v>200</v>
      </c>
      <c r="K6973" s="3">
        <f t="shared" si="108"/>
        <v>8000</v>
      </c>
      <c r="L6973" s="3">
        <v>4800</v>
      </c>
    </row>
    <row r="6974" spans="1:12" x14ac:dyDescent="0.25">
      <c r="A6974" t="s">
        <v>19</v>
      </c>
      <c r="B6974">
        <v>1185732</v>
      </c>
      <c r="C6974" s="1">
        <v>44498</v>
      </c>
      <c r="D6974" t="s">
        <v>29</v>
      </c>
      <c r="E6974" t="s">
        <v>55</v>
      </c>
      <c r="F6974" t="s">
        <v>56</v>
      </c>
      <c r="G6974" t="s">
        <v>15</v>
      </c>
      <c r="H6974" t="s">
        <v>17</v>
      </c>
      <c r="I6974" s="3">
        <v>32</v>
      </c>
      <c r="J6974" s="2">
        <v>44</v>
      </c>
      <c r="K6974" s="3">
        <f t="shared" si="108"/>
        <v>1408</v>
      </c>
      <c r="L6974" s="3">
        <v>844.80000000000007</v>
      </c>
    </row>
    <row r="6975" spans="1:12" x14ac:dyDescent="0.25">
      <c r="A6975" t="s">
        <v>19</v>
      </c>
      <c r="B6975">
        <v>1185732</v>
      </c>
      <c r="C6975" s="1">
        <v>44498</v>
      </c>
      <c r="D6975" t="s">
        <v>29</v>
      </c>
      <c r="E6975" t="s">
        <v>55</v>
      </c>
      <c r="F6975" t="s">
        <v>56</v>
      </c>
      <c r="G6975" t="s">
        <v>41</v>
      </c>
      <c r="H6975" t="s">
        <v>17</v>
      </c>
      <c r="I6975" s="3">
        <v>44</v>
      </c>
      <c r="J6975" s="2">
        <v>35</v>
      </c>
      <c r="K6975" s="3">
        <f t="shared" si="108"/>
        <v>1540</v>
      </c>
      <c r="L6975" s="3">
        <v>800.80000000000007</v>
      </c>
    </row>
    <row r="6976" spans="1:12" x14ac:dyDescent="0.25">
      <c r="A6976" t="s">
        <v>36</v>
      </c>
      <c r="B6976">
        <v>1185732</v>
      </c>
      <c r="C6976" s="1">
        <v>44498</v>
      </c>
      <c r="D6976" t="s">
        <v>29</v>
      </c>
      <c r="E6976" t="s">
        <v>30</v>
      </c>
      <c r="F6976" t="s">
        <v>31</v>
      </c>
      <c r="G6976" t="s">
        <v>41</v>
      </c>
      <c r="H6976" t="s">
        <v>16</v>
      </c>
      <c r="I6976" s="3">
        <v>36</v>
      </c>
      <c r="J6976" s="2">
        <v>50</v>
      </c>
      <c r="K6976" s="3">
        <f t="shared" si="108"/>
        <v>1800</v>
      </c>
      <c r="L6976" s="3">
        <v>809.99999999999989</v>
      </c>
    </row>
    <row r="6977" spans="1:12" x14ac:dyDescent="0.25">
      <c r="A6977" t="s">
        <v>36</v>
      </c>
      <c r="B6977">
        <v>1185732</v>
      </c>
      <c r="C6977" s="1">
        <v>44499</v>
      </c>
      <c r="D6977" t="s">
        <v>29</v>
      </c>
      <c r="E6977" t="s">
        <v>30</v>
      </c>
      <c r="F6977" t="s">
        <v>31</v>
      </c>
      <c r="G6977" t="s">
        <v>15</v>
      </c>
      <c r="H6977" t="s">
        <v>38</v>
      </c>
      <c r="I6977" s="3">
        <v>40</v>
      </c>
      <c r="J6977" s="2">
        <v>450</v>
      </c>
      <c r="K6977" s="3">
        <f t="shared" si="108"/>
        <v>18000</v>
      </c>
      <c r="L6977" s="3">
        <v>11700</v>
      </c>
    </row>
    <row r="6978" spans="1:12" x14ac:dyDescent="0.25">
      <c r="A6978" t="s">
        <v>19</v>
      </c>
      <c r="B6978">
        <v>1185732</v>
      </c>
      <c r="C6978" s="1">
        <v>44499</v>
      </c>
      <c r="D6978" t="s">
        <v>29</v>
      </c>
      <c r="E6978" t="s">
        <v>55</v>
      </c>
      <c r="F6978" t="s">
        <v>56</v>
      </c>
      <c r="G6978" t="s">
        <v>15</v>
      </c>
      <c r="H6978" t="s">
        <v>35</v>
      </c>
      <c r="I6978" s="3">
        <v>35</v>
      </c>
      <c r="J6978" s="2">
        <v>175</v>
      </c>
      <c r="K6978" s="3">
        <f t="shared" si="108"/>
        <v>6125</v>
      </c>
      <c r="L6978" s="3">
        <v>3675</v>
      </c>
    </row>
    <row r="6979" spans="1:12" x14ac:dyDescent="0.25">
      <c r="A6979" t="s">
        <v>19</v>
      </c>
      <c r="B6979">
        <v>1185732</v>
      </c>
      <c r="C6979" s="1">
        <v>44499</v>
      </c>
      <c r="D6979" t="s">
        <v>29</v>
      </c>
      <c r="E6979" t="s">
        <v>55</v>
      </c>
      <c r="F6979" t="s">
        <v>56</v>
      </c>
      <c r="G6979" t="s">
        <v>15</v>
      </c>
      <c r="H6979" t="s">
        <v>35</v>
      </c>
      <c r="I6979" s="3">
        <v>25</v>
      </c>
      <c r="J6979" s="2">
        <v>54</v>
      </c>
      <c r="K6979" s="3">
        <f t="shared" ref="K6979:K7042" si="109">I6979*J6979</f>
        <v>1350</v>
      </c>
      <c r="L6979" s="3">
        <v>742.50000000000011</v>
      </c>
    </row>
    <row r="6980" spans="1:12" x14ac:dyDescent="0.25">
      <c r="A6980" t="s">
        <v>36</v>
      </c>
      <c r="B6980">
        <v>1185732</v>
      </c>
      <c r="C6980" s="1">
        <v>44499</v>
      </c>
      <c r="D6980" t="s">
        <v>29</v>
      </c>
      <c r="E6980" t="s">
        <v>30</v>
      </c>
      <c r="F6980" t="s">
        <v>31</v>
      </c>
      <c r="G6980" t="s">
        <v>41</v>
      </c>
      <c r="H6980" t="s">
        <v>38</v>
      </c>
      <c r="I6980" s="3">
        <v>37</v>
      </c>
      <c r="J6980" s="2">
        <v>122</v>
      </c>
      <c r="K6980" s="3">
        <f t="shared" si="109"/>
        <v>4514</v>
      </c>
      <c r="L6980" s="3">
        <v>2347.2800000000002</v>
      </c>
    </row>
    <row r="6981" spans="1:12" x14ac:dyDescent="0.25">
      <c r="A6981" t="s">
        <v>19</v>
      </c>
      <c r="B6981">
        <v>1185732</v>
      </c>
      <c r="C6981" s="1">
        <v>44499</v>
      </c>
      <c r="D6981" t="s">
        <v>29</v>
      </c>
      <c r="E6981" t="s">
        <v>55</v>
      </c>
      <c r="F6981" t="s">
        <v>56</v>
      </c>
      <c r="G6981" t="s">
        <v>41</v>
      </c>
      <c r="H6981" t="s">
        <v>35</v>
      </c>
      <c r="I6981" s="3">
        <v>34</v>
      </c>
      <c r="J6981" s="2">
        <v>46</v>
      </c>
      <c r="K6981" s="3">
        <f t="shared" si="109"/>
        <v>1564</v>
      </c>
      <c r="L6981" s="3">
        <v>750.72</v>
      </c>
    </row>
    <row r="6982" spans="1:12" x14ac:dyDescent="0.25">
      <c r="A6982" t="s">
        <v>36</v>
      </c>
      <c r="B6982">
        <v>1185732</v>
      </c>
      <c r="C6982" s="1">
        <v>44500</v>
      </c>
      <c r="D6982" t="s">
        <v>29</v>
      </c>
      <c r="E6982" t="s">
        <v>30</v>
      </c>
      <c r="F6982" t="s">
        <v>31</v>
      </c>
      <c r="G6982" t="s">
        <v>15</v>
      </c>
      <c r="H6982" t="s">
        <v>17</v>
      </c>
      <c r="I6982" s="3">
        <v>40</v>
      </c>
      <c r="J6982" s="2">
        <v>150</v>
      </c>
      <c r="K6982" s="3">
        <f t="shared" si="109"/>
        <v>6000</v>
      </c>
      <c r="L6982" s="3">
        <v>3900</v>
      </c>
    </row>
    <row r="6983" spans="1:12" x14ac:dyDescent="0.25">
      <c r="A6983" t="s">
        <v>19</v>
      </c>
      <c r="B6983">
        <v>1185732</v>
      </c>
      <c r="C6983" s="1">
        <v>44500</v>
      </c>
      <c r="D6983" t="s">
        <v>29</v>
      </c>
      <c r="E6983" t="s">
        <v>55</v>
      </c>
      <c r="F6983" t="s">
        <v>56</v>
      </c>
      <c r="G6983" t="s">
        <v>15</v>
      </c>
      <c r="H6983" t="s">
        <v>37</v>
      </c>
      <c r="I6983" s="3">
        <v>40</v>
      </c>
      <c r="J6983" s="2">
        <v>50</v>
      </c>
      <c r="K6983" s="3">
        <f t="shared" si="109"/>
        <v>2000</v>
      </c>
      <c r="L6983" s="3">
        <v>1200</v>
      </c>
    </row>
    <row r="6984" spans="1:12" x14ac:dyDescent="0.25">
      <c r="A6984" t="s">
        <v>19</v>
      </c>
      <c r="B6984">
        <v>1185732</v>
      </c>
      <c r="C6984" s="1">
        <v>44500</v>
      </c>
      <c r="D6984" t="s">
        <v>29</v>
      </c>
      <c r="E6984" t="s">
        <v>55</v>
      </c>
      <c r="F6984" t="s">
        <v>56</v>
      </c>
      <c r="G6984" t="s">
        <v>15</v>
      </c>
      <c r="H6984" t="s">
        <v>37</v>
      </c>
      <c r="I6984" s="3">
        <v>28</v>
      </c>
      <c r="J6984" s="2">
        <v>17</v>
      </c>
      <c r="K6984" s="3">
        <f t="shared" si="109"/>
        <v>476</v>
      </c>
      <c r="L6984" s="3">
        <v>276.08000000000004</v>
      </c>
    </row>
    <row r="6985" spans="1:12" x14ac:dyDescent="0.25">
      <c r="A6985" t="s">
        <v>36</v>
      </c>
      <c r="B6985">
        <v>1185732</v>
      </c>
      <c r="C6985" s="1">
        <v>44500</v>
      </c>
      <c r="D6985" t="s">
        <v>29</v>
      </c>
      <c r="E6985" t="s">
        <v>30</v>
      </c>
      <c r="F6985" t="s">
        <v>31</v>
      </c>
      <c r="G6985" t="s">
        <v>41</v>
      </c>
      <c r="H6985" t="s">
        <v>17</v>
      </c>
      <c r="I6985" s="3">
        <v>37</v>
      </c>
      <c r="J6985" s="2">
        <v>44</v>
      </c>
      <c r="K6985" s="3">
        <f t="shared" si="109"/>
        <v>1628</v>
      </c>
      <c r="L6985" s="3">
        <v>862.84</v>
      </c>
    </row>
    <row r="6986" spans="1:12" x14ac:dyDescent="0.25">
      <c r="A6986" t="s">
        <v>19</v>
      </c>
      <c r="B6986">
        <v>1185732</v>
      </c>
      <c r="C6986" s="1">
        <v>44500</v>
      </c>
      <c r="D6986" t="s">
        <v>29</v>
      </c>
      <c r="E6986" t="s">
        <v>55</v>
      </c>
      <c r="F6986" t="s">
        <v>56</v>
      </c>
      <c r="G6986" t="s">
        <v>41</v>
      </c>
      <c r="H6986" t="s">
        <v>37</v>
      </c>
      <c r="I6986" s="3">
        <v>39</v>
      </c>
      <c r="J6986" s="2">
        <v>13</v>
      </c>
      <c r="K6986" s="3">
        <f t="shared" si="109"/>
        <v>507</v>
      </c>
      <c r="L6986" s="3">
        <v>243.36</v>
      </c>
    </row>
    <row r="6987" spans="1:12" x14ac:dyDescent="0.25">
      <c r="A6987" t="s">
        <v>19</v>
      </c>
      <c r="B6987">
        <v>1185732</v>
      </c>
      <c r="C6987" s="1">
        <v>44501</v>
      </c>
      <c r="D6987" t="s">
        <v>29</v>
      </c>
      <c r="E6987" t="s">
        <v>55</v>
      </c>
      <c r="F6987" t="s">
        <v>56</v>
      </c>
      <c r="G6987" t="s">
        <v>15</v>
      </c>
      <c r="H6987" t="s">
        <v>22</v>
      </c>
      <c r="I6987" s="3">
        <v>54.999999999999993</v>
      </c>
      <c r="J6987" s="2">
        <v>125</v>
      </c>
      <c r="K6987" s="3">
        <f t="shared" si="109"/>
        <v>6874.9999999999991</v>
      </c>
      <c r="L6987" s="3">
        <v>4468.7499999999991</v>
      </c>
    </row>
    <row r="6988" spans="1:12" x14ac:dyDescent="0.25">
      <c r="A6988" t="s">
        <v>36</v>
      </c>
      <c r="B6988">
        <v>1185732</v>
      </c>
      <c r="C6988" s="1">
        <v>44501</v>
      </c>
      <c r="D6988" t="s">
        <v>29</v>
      </c>
      <c r="E6988" t="s">
        <v>30</v>
      </c>
      <c r="F6988" t="s">
        <v>31</v>
      </c>
      <c r="G6988" t="s">
        <v>15</v>
      </c>
      <c r="H6988" t="s">
        <v>35</v>
      </c>
      <c r="I6988" s="3">
        <v>30.000000000000004</v>
      </c>
      <c r="J6988" s="2">
        <v>150</v>
      </c>
      <c r="K6988" s="3">
        <f t="shared" si="109"/>
        <v>4500.0000000000009</v>
      </c>
      <c r="L6988" s="3">
        <v>2700.0000000000009</v>
      </c>
    </row>
    <row r="6989" spans="1:12" x14ac:dyDescent="0.25">
      <c r="A6989" t="s">
        <v>19</v>
      </c>
      <c r="B6989">
        <v>1185732</v>
      </c>
      <c r="C6989" s="1">
        <v>44501</v>
      </c>
      <c r="D6989" t="s">
        <v>29</v>
      </c>
      <c r="E6989" t="s">
        <v>55</v>
      </c>
      <c r="F6989" t="s">
        <v>56</v>
      </c>
      <c r="G6989" t="s">
        <v>15</v>
      </c>
      <c r="H6989" t="s">
        <v>22</v>
      </c>
      <c r="I6989" s="3">
        <v>39</v>
      </c>
      <c r="J6989" s="2">
        <v>40</v>
      </c>
      <c r="K6989" s="3">
        <f t="shared" si="109"/>
        <v>1560</v>
      </c>
      <c r="L6989" s="3">
        <v>982.8</v>
      </c>
    </row>
    <row r="6990" spans="1:12" x14ac:dyDescent="0.25">
      <c r="A6990" t="s">
        <v>19</v>
      </c>
      <c r="B6990">
        <v>1185732</v>
      </c>
      <c r="C6990" s="1">
        <v>44501</v>
      </c>
      <c r="D6990" t="s">
        <v>29</v>
      </c>
      <c r="E6990" t="s">
        <v>55</v>
      </c>
      <c r="F6990" t="s">
        <v>56</v>
      </c>
      <c r="G6990" t="s">
        <v>41</v>
      </c>
      <c r="H6990" t="s">
        <v>22</v>
      </c>
      <c r="I6990" s="3">
        <v>51</v>
      </c>
      <c r="J6990" s="2">
        <v>36</v>
      </c>
      <c r="K6990" s="3">
        <f t="shared" si="109"/>
        <v>1836</v>
      </c>
      <c r="L6990" s="3">
        <v>991.44</v>
      </c>
    </row>
    <row r="6991" spans="1:12" x14ac:dyDescent="0.25">
      <c r="A6991" t="s">
        <v>36</v>
      </c>
      <c r="B6991">
        <v>1185732</v>
      </c>
      <c r="C6991" s="1">
        <v>44501</v>
      </c>
      <c r="D6991" t="s">
        <v>29</v>
      </c>
      <c r="E6991" t="s">
        <v>30</v>
      </c>
      <c r="F6991" t="s">
        <v>31</v>
      </c>
      <c r="G6991" t="s">
        <v>41</v>
      </c>
      <c r="H6991" t="s">
        <v>35</v>
      </c>
      <c r="I6991" s="3">
        <v>27</v>
      </c>
      <c r="J6991" s="2">
        <v>44</v>
      </c>
      <c r="K6991" s="3">
        <f t="shared" si="109"/>
        <v>1188</v>
      </c>
      <c r="L6991" s="3">
        <v>546.4799999999999</v>
      </c>
    </row>
    <row r="6992" spans="1:12" x14ac:dyDescent="0.25">
      <c r="A6992" t="s">
        <v>19</v>
      </c>
      <c r="B6992">
        <v>1185732</v>
      </c>
      <c r="C6992" s="1">
        <v>44502</v>
      </c>
      <c r="D6992" t="s">
        <v>29</v>
      </c>
      <c r="E6992" t="s">
        <v>55</v>
      </c>
      <c r="F6992" t="s">
        <v>56</v>
      </c>
      <c r="G6992" t="s">
        <v>15</v>
      </c>
      <c r="H6992" t="s">
        <v>16</v>
      </c>
      <c r="I6992" s="3">
        <v>45</v>
      </c>
      <c r="J6992" s="2">
        <v>225</v>
      </c>
      <c r="K6992" s="3">
        <f t="shared" si="109"/>
        <v>10125</v>
      </c>
      <c r="L6992" s="3">
        <v>7087.5</v>
      </c>
    </row>
    <row r="6993" spans="1:12" x14ac:dyDescent="0.25">
      <c r="A6993" t="s">
        <v>36</v>
      </c>
      <c r="B6993">
        <v>1185732</v>
      </c>
      <c r="C6993" s="1">
        <v>44502</v>
      </c>
      <c r="D6993" t="s">
        <v>29</v>
      </c>
      <c r="E6993" t="s">
        <v>30</v>
      </c>
      <c r="F6993" t="s">
        <v>31</v>
      </c>
      <c r="G6993" t="s">
        <v>15</v>
      </c>
      <c r="H6993" t="s">
        <v>37</v>
      </c>
      <c r="I6993" s="3">
        <v>35</v>
      </c>
      <c r="J6993" s="2">
        <v>75</v>
      </c>
      <c r="K6993" s="3">
        <f t="shared" si="109"/>
        <v>2625</v>
      </c>
      <c r="L6993" s="3">
        <v>1837.5</v>
      </c>
    </row>
    <row r="6994" spans="1:12" x14ac:dyDescent="0.25">
      <c r="A6994" t="s">
        <v>19</v>
      </c>
      <c r="B6994">
        <v>1185732</v>
      </c>
      <c r="C6994" s="1">
        <v>44502</v>
      </c>
      <c r="D6994" t="s">
        <v>29</v>
      </c>
      <c r="E6994" t="s">
        <v>55</v>
      </c>
      <c r="F6994" t="s">
        <v>56</v>
      </c>
      <c r="G6994" t="s">
        <v>15</v>
      </c>
      <c r="H6994" t="s">
        <v>16</v>
      </c>
      <c r="I6994" s="3">
        <v>30</v>
      </c>
      <c r="J6994" s="2">
        <v>74</v>
      </c>
      <c r="K6994" s="3">
        <f t="shared" si="109"/>
        <v>2220</v>
      </c>
      <c r="L6994" s="3">
        <v>1443</v>
      </c>
    </row>
    <row r="6995" spans="1:12" x14ac:dyDescent="0.25">
      <c r="A6995" t="s">
        <v>36</v>
      </c>
      <c r="B6995">
        <v>1185732</v>
      </c>
      <c r="C6995" s="1">
        <v>44502</v>
      </c>
      <c r="D6995" t="s">
        <v>29</v>
      </c>
      <c r="E6995" t="s">
        <v>30</v>
      </c>
      <c r="F6995" t="s">
        <v>31</v>
      </c>
      <c r="G6995" t="s">
        <v>41</v>
      </c>
      <c r="H6995" t="s">
        <v>37</v>
      </c>
      <c r="I6995" s="3">
        <v>33</v>
      </c>
      <c r="J6995" s="2">
        <v>21</v>
      </c>
      <c r="K6995" s="3">
        <f t="shared" si="109"/>
        <v>693</v>
      </c>
      <c r="L6995" s="3">
        <v>415.8</v>
      </c>
    </row>
    <row r="6996" spans="1:12" x14ac:dyDescent="0.25">
      <c r="A6996" t="s">
        <v>19</v>
      </c>
      <c r="B6996">
        <v>1185732</v>
      </c>
      <c r="C6996" s="1">
        <v>44502</v>
      </c>
      <c r="D6996" t="s">
        <v>29</v>
      </c>
      <c r="E6996" t="s">
        <v>55</v>
      </c>
      <c r="F6996" t="s">
        <v>56</v>
      </c>
      <c r="G6996" t="s">
        <v>41</v>
      </c>
      <c r="H6996" t="s">
        <v>16</v>
      </c>
      <c r="I6996" s="3">
        <v>44</v>
      </c>
      <c r="J6996" s="2">
        <v>68</v>
      </c>
      <c r="K6996" s="3">
        <f t="shared" si="109"/>
        <v>2992</v>
      </c>
      <c r="L6996" s="3">
        <v>1645.6000000000001</v>
      </c>
    </row>
    <row r="6997" spans="1:12" x14ac:dyDescent="0.25">
      <c r="A6997" t="s">
        <v>36</v>
      </c>
      <c r="B6997">
        <v>1185732</v>
      </c>
      <c r="C6997" s="1">
        <v>44503</v>
      </c>
      <c r="D6997" t="s">
        <v>29</v>
      </c>
      <c r="E6997" t="s">
        <v>30</v>
      </c>
      <c r="F6997" t="s">
        <v>31</v>
      </c>
      <c r="G6997" t="s">
        <v>15</v>
      </c>
      <c r="H6997" t="s">
        <v>22</v>
      </c>
      <c r="I6997" s="3">
        <v>50</v>
      </c>
      <c r="J6997" s="2">
        <v>75</v>
      </c>
      <c r="K6997" s="3">
        <f t="shared" si="109"/>
        <v>3750</v>
      </c>
      <c r="L6997" s="3">
        <v>2812.5</v>
      </c>
    </row>
    <row r="6998" spans="1:12" x14ac:dyDescent="0.25">
      <c r="A6998" t="s">
        <v>11</v>
      </c>
      <c r="B6998">
        <v>1185732</v>
      </c>
      <c r="C6998" s="1">
        <v>44503</v>
      </c>
      <c r="D6998" t="s">
        <v>57</v>
      </c>
      <c r="E6998" t="s">
        <v>85</v>
      </c>
      <c r="F6998" t="s">
        <v>86</v>
      </c>
      <c r="G6998" t="s">
        <v>18</v>
      </c>
      <c r="H6998" t="s">
        <v>38</v>
      </c>
      <c r="I6998" s="3">
        <v>44.999999999999993</v>
      </c>
      <c r="J6998" s="2">
        <v>400</v>
      </c>
      <c r="K6998" s="3">
        <f t="shared" si="109"/>
        <v>17999.999999999996</v>
      </c>
      <c r="L6998" s="3">
        <v>12599.999999999996</v>
      </c>
    </row>
    <row r="6999" spans="1:12" x14ac:dyDescent="0.25">
      <c r="A6999" t="s">
        <v>11</v>
      </c>
      <c r="B6999">
        <v>1185732</v>
      </c>
      <c r="C6999" s="1">
        <v>44503</v>
      </c>
      <c r="D6999" t="s">
        <v>57</v>
      </c>
      <c r="E6999" t="s">
        <v>85</v>
      </c>
      <c r="F6999" t="s">
        <v>86</v>
      </c>
      <c r="G6999" t="s">
        <v>18</v>
      </c>
      <c r="H6999" t="s">
        <v>35</v>
      </c>
      <c r="I6999" s="3">
        <v>35</v>
      </c>
      <c r="J6999" s="2">
        <v>245</v>
      </c>
      <c r="K6999" s="3">
        <f t="shared" si="109"/>
        <v>8575</v>
      </c>
      <c r="L6999" s="3">
        <v>6002.5</v>
      </c>
    </row>
    <row r="7000" spans="1:12" x14ac:dyDescent="0.25">
      <c r="A7000" t="s">
        <v>11</v>
      </c>
      <c r="B7000">
        <v>1185732</v>
      </c>
      <c r="C7000" s="1">
        <v>44503</v>
      </c>
      <c r="D7000" t="s">
        <v>57</v>
      </c>
      <c r="E7000" t="s">
        <v>85</v>
      </c>
      <c r="F7000" t="s">
        <v>86</v>
      </c>
      <c r="G7000" t="s">
        <v>18</v>
      </c>
      <c r="H7000" t="s">
        <v>37</v>
      </c>
      <c r="I7000" s="3">
        <v>35</v>
      </c>
      <c r="J7000" s="2">
        <v>225</v>
      </c>
      <c r="K7000" s="3">
        <f t="shared" si="109"/>
        <v>7875</v>
      </c>
      <c r="L7000" s="3">
        <v>5512.5</v>
      </c>
    </row>
    <row r="7001" spans="1:12" x14ac:dyDescent="0.25">
      <c r="A7001" t="s">
        <v>26</v>
      </c>
      <c r="B7001">
        <v>1185732</v>
      </c>
      <c r="C7001" s="1">
        <v>44503</v>
      </c>
      <c r="D7001" t="s">
        <v>32</v>
      </c>
      <c r="E7001" t="s">
        <v>108</v>
      </c>
      <c r="F7001" t="s">
        <v>109</v>
      </c>
      <c r="G7001" t="s">
        <v>41</v>
      </c>
      <c r="H7001" t="s">
        <v>17</v>
      </c>
      <c r="I7001" s="3">
        <v>35.000000000000007</v>
      </c>
      <c r="J7001" s="2">
        <v>650</v>
      </c>
      <c r="K7001" s="3">
        <f t="shared" si="109"/>
        <v>22750.000000000004</v>
      </c>
      <c r="L7001" s="3">
        <v>14787.500000000005</v>
      </c>
    </row>
    <row r="7002" spans="1:12" x14ac:dyDescent="0.25">
      <c r="A7002" t="s">
        <v>26</v>
      </c>
      <c r="B7002">
        <v>1185732</v>
      </c>
      <c r="C7002" s="1">
        <v>44503</v>
      </c>
      <c r="D7002" t="s">
        <v>32</v>
      </c>
      <c r="E7002" t="s">
        <v>108</v>
      </c>
      <c r="F7002" t="s">
        <v>109</v>
      </c>
      <c r="G7002" t="s">
        <v>41</v>
      </c>
      <c r="H7002" t="s">
        <v>22</v>
      </c>
      <c r="I7002" s="3">
        <v>75.000000000000014</v>
      </c>
      <c r="J7002" s="2">
        <v>625</v>
      </c>
      <c r="K7002" s="3">
        <f t="shared" si="109"/>
        <v>46875.000000000007</v>
      </c>
      <c r="L7002" s="3">
        <v>30468.750000000011</v>
      </c>
    </row>
    <row r="7003" spans="1:12" x14ac:dyDescent="0.25">
      <c r="A7003" t="s">
        <v>11</v>
      </c>
      <c r="B7003">
        <v>1185732</v>
      </c>
      <c r="C7003" s="1">
        <v>44503</v>
      </c>
      <c r="D7003" t="s">
        <v>57</v>
      </c>
      <c r="E7003" t="s">
        <v>85</v>
      </c>
      <c r="F7003" t="s">
        <v>86</v>
      </c>
      <c r="G7003" t="s">
        <v>18</v>
      </c>
      <c r="H7003" t="s">
        <v>17</v>
      </c>
      <c r="I7003" s="3">
        <v>35</v>
      </c>
      <c r="J7003" s="2">
        <v>300</v>
      </c>
      <c r="K7003" s="3">
        <f t="shared" si="109"/>
        <v>10500</v>
      </c>
      <c r="L7003" s="3">
        <v>6825</v>
      </c>
    </row>
    <row r="7004" spans="1:12" x14ac:dyDescent="0.25">
      <c r="A7004" t="s">
        <v>26</v>
      </c>
      <c r="B7004">
        <v>1185732</v>
      </c>
      <c r="C7004" s="1">
        <v>44503</v>
      </c>
      <c r="D7004" t="s">
        <v>32</v>
      </c>
      <c r="E7004" t="s">
        <v>108</v>
      </c>
      <c r="F7004" t="s">
        <v>109</v>
      </c>
      <c r="G7004" t="s">
        <v>41</v>
      </c>
      <c r="H7004" t="s">
        <v>35</v>
      </c>
      <c r="I7004" s="3">
        <v>40.000000000000014</v>
      </c>
      <c r="J7004" s="2">
        <v>595</v>
      </c>
      <c r="K7004" s="3">
        <f t="shared" si="109"/>
        <v>23800.000000000007</v>
      </c>
      <c r="L7004" s="3">
        <v>14280.000000000005</v>
      </c>
    </row>
    <row r="7005" spans="1:12" x14ac:dyDescent="0.25">
      <c r="A7005" t="s">
        <v>26</v>
      </c>
      <c r="B7005">
        <v>1185732</v>
      </c>
      <c r="C7005" s="1">
        <v>44503</v>
      </c>
      <c r="D7005" t="s">
        <v>32</v>
      </c>
      <c r="E7005" t="s">
        <v>108</v>
      </c>
      <c r="F7005" t="s">
        <v>109</v>
      </c>
      <c r="G7005" t="s">
        <v>41</v>
      </c>
      <c r="H7005" t="s">
        <v>38</v>
      </c>
      <c r="I7005" s="3">
        <v>45.000000000000007</v>
      </c>
      <c r="J7005" s="2">
        <v>825</v>
      </c>
      <c r="K7005" s="3">
        <f t="shared" si="109"/>
        <v>37125.000000000007</v>
      </c>
      <c r="L7005" s="3">
        <v>22275.000000000004</v>
      </c>
    </row>
    <row r="7006" spans="1:12" x14ac:dyDescent="0.25">
      <c r="A7006" t="s">
        <v>26</v>
      </c>
      <c r="B7006">
        <v>1185732</v>
      </c>
      <c r="C7006" s="1">
        <v>44503</v>
      </c>
      <c r="D7006" t="s">
        <v>32</v>
      </c>
      <c r="E7006" t="s">
        <v>108</v>
      </c>
      <c r="F7006" t="s">
        <v>109</v>
      </c>
      <c r="G7006" t="s">
        <v>41</v>
      </c>
      <c r="H7006" t="s">
        <v>37</v>
      </c>
      <c r="I7006" s="3">
        <v>60.000000000000021</v>
      </c>
      <c r="J7006" s="2">
        <v>650</v>
      </c>
      <c r="K7006" s="3">
        <f t="shared" si="109"/>
        <v>39000.000000000015</v>
      </c>
      <c r="L7006" s="3">
        <v>23400.000000000007</v>
      </c>
    </row>
    <row r="7007" spans="1:12" x14ac:dyDescent="0.25">
      <c r="A7007" t="s">
        <v>11</v>
      </c>
      <c r="B7007">
        <v>1185732</v>
      </c>
      <c r="C7007" s="1">
        <v>44503</v>
      </c>
      <c r="D7007" t="s">
        <v>57</v>
      </c>
      <c r="E7007" t="s">
        <v>85</v>
      </c>
      <c r="F7007" t="s">
        <v>86</v>
      </c>
      <c r="G7007" t="s">
        <v>18</v>
      </c>
      <c r="H7007" t="s">
        <v>16</v>
      </c>
      <c r="I7007" s="3">
        <v>64.999999999999986</v>
      </c>
      <c r="J7007" s="2">
        <v>300</v>
      </c>
      <c r="K7007" s="3">
        <f t="shared" si="109"/>
        <v>19499.999999999996</v>
      </c>
      <c r="L7007" s="3">
        <v>11699.999999999998</v>
      </c>
    </row>
    <row r="7008" spans="1:12" x14ac:dyDescent="0.25">
      <c r="A7008" t="s">
        <v>26</v>
      </c>
      <c r="B7008">
        <v>1185732</v>
      </c>
      <c r="C7008" s="1">
        <v>44503</v>
      </c>
      <c r="D7008" t="s">
        <v>32</v>
      </c>
      <c r="E7008" t="s">
        <v>108</v>
      </c>
      <c r="F7008" t="s">
        <v>109</v>
      </c>
      <c r="G7008" t="s">
        <v>41</v>
      </c>
      <c r="H7008" t="s">
        <v>16</v>
      </c>
      <c r="I7008" s="3">
        <v>75</v>
      </c>
      <c r="J7008" s="2">
        <v>725</v>
      </c>
      <c r="K7008" s="3">
        <f t="shared" si="109"/>
        <v>54375</v>
      </c>
      <c r="L7008" s="3">
        <v>27187.5</v>
      </c>
    </row>
    <row r="7009" spans="1:12" x14ac:dyDescent="0.25">
      <c r="A7009" t="s">
        <v>11</v>
      </c>
      <c r="B7009">
        <v>1185732</v>
      </c>
      <c r="C7009" s="1">
        <v>44503</v>
      </c>
      <c r="D7009" t="s">
        <v>57</v>
      </c>
      <c r="E7009" t="s">
        <v>85</v>
      </c>
      <c r="F7009" t="s">
        <v>86</v>
      </c>
      <c r="G7009" t="s">
        <v>18</v>
      </c>
      <c r="H7009" t="s">
        <v>22</v>
      </c>
      <c r="I7009" s="3">
        <v>60</v>
      </c>
      <c r="J7009" s="2">
        <v>200</v>
      </c>
      <c r="K7009" s="3">
        <f t="shared" si="109"/>
        <v>12000</v>
      </c>
      <c r="L7009" s="3">
        <v>6000</v>
      </c>
    </row>
    <row r="7010" spans="1:12" x14ac:dyDescent="0.25">
      <c r="A7010" t="s">
        <v>19</v>
      </c>
      <c r="B7010">
        <v>1185732</v>
      </c>
      <c r="C7010" s="1">
        <v>44503</v>
      </c>
      <c r="D7010" t="s">
        <v>29</v>
      </c>
      <c r="E7010" t="s">
        <v>55</v>
      </c>
      <c r="F7010" t="s">
        <v>56</v>
      </c>
      <c r="G7010" t="s">
        <v>15</v>
      </c>
      <c r="H7010" t="s">
        <v>38</v>
      </c>
      <c r="I7010" s="3">
        <v>50</v>
      </c>
      <c r="J7010" s="2">
        <v>445</v>
      </c>
      <c r="K7010" s="3">
        <f t="shared" si="109"/>
        <v>22250</v>
      </c>
      <c r="L7010" s="3">
        <v>10012.499999999998</v>
      </c>
    </row>
    <row r="7011" spans="1:12" x14ac:dyDescent="0.25">
      <c r="A7011" t="s">
        <v>36</v>
      </c>
      <c r="B7011">
        <v>1185732</v>
      </c>
      <c r="C7011" s="1">
        <v>44503</v>
      </c>
      <c r="D7011" t="s">
        <v>29</v>
      </c>
      <c r="E7011" t="s">
        <v>30</v>
      </c>
      <c r="F7011" t="s">
        <v>31</v>
      </c>
      <c r="G7011" t="s">
        <v>41</v>
      </c>
      <c r="H7011" t="s">
        <v>22</v>
      </c>
      <c r="I7011" s="3">
        <v>47</v>
      </c>
      <c r="J7011" s="2">
        <v>20</v>
      </c>
      <c r="K7011" s="3">
        <f t="shared" si="109"/>
        <v>940</v>
      </c>
      <c r="L7011" s="3">
        <v>582.79999999999995</v>
      </c>
    </row>
    <row r="7012" spans="1:12" x14ac:dyDescent="0.25">
      <c r="A7012" t="s">
        <v>11</v>
      </c>
      <c r="B7012">
        <v>1185732</v>
      </c>
      <c r="C7012" s="1">
        <v>44503</v>
      </c>
      <c r="D7012" t="s">
        <v>57</v>
      </c>
      <c r="E7012" t="s">
        <v>85</v>
      </c>
      <c r="F7012" t="s">
        <v>86</v>
      </c>
      <c r="G7012" t="s">
        <v>41</v>
      </c>
      <c r="H7012" t="s">
        <v>35</v>
      </c>
      <c r="I7012" s="3">
        <v>33</v>
      </c>
      <c r="J7012" s="2">
        <v>69</v>
      </c>
      <c r="K7012" s="3">
        <f t="shared" si="109"/>
        <v>2277</v>
      </c>
      <c r="L7012" s="3">
        <v>1320.66</v>
      </c>
    </row>
    <row r="7013" spans="1:12" x14ac:dyDescent="0.25">
      <c r="A7013" t="s">
        <v>11</v>
      </c>
      <c r="B7013">
        <v>1185732</v>
      </c>
      <c r="C7013" s="1">
        <v>44503</v>
      </c>
      <c r="D7013" t="s">
        <v>57</v>
      </c>
      <c r="E7013" t="s">
        <v>85</v>
      </c>
      <c r="F7013" t="s">
        <v>86</v>
      </c>
      <c r="G7013" t="s">
        <v>41</v>
      </c>
      <c r="H7013" t="s">
        <v>38</v>
      </c>
      <c r="I7013" s="3">
        <v>41</v>
      </c>
      <c r="J7013" s="2">
        <v>104</v>
      </c>
      <c r="K7013" s="3">
        <f t="shared" si="109"/>
        <v>4264</v>
      </c>
      <c r="L7013" s="3">
        <v>2430.48</v>
      </c>
    </row>
    <row r="7014" spans="1:12" x14ac:dyDescent="0.25">
      <c r="A7014" t="s">
        <v>11</v>
      </c>
      <c r="B7014">
        <v>1185732</v>
      </c>
      <c r="C7014" s="1">
        <v>44503</v>
      </c>
      <c r="D7014" t="s">
        <v>57</v>
      </c>
      <c r="E7014" t="s">
        <v>85</v>
      </c>
      <c r="F7014" t="s">
        <v>86</v>
      </c>
      <c r="G7014" t="s">
        <v>41</v>
      </c>
      <c r="H7014" t="s">
        <v>37</v>
      </c>
      <c r="I7014" s="3">
        <v>33</v>
      </c>
      <c r="J7014" s="2">
        <v>65</v>
      </c>
      <c r="K7014" s="3">
        <f t="shared" si="109"/>
        <v>2145</v>
      </c>
      <c r="L7014" s="3">
        <v>1179.75</v>
      </c>
    </row>
    <row r="7015" spans="1:12" x14ac:dyDescent="0.25">
      <c r="A7015" t="s">
        <v>26</v>
      </c>
      <c r="B7015">
        <v>1185732</v>
      </c>
      <c r="C7015" s="1">
        <v>44503</v>
      </c>
      <c r="D7015" t="s">
        <v>32</v>
      </c>
      <c r="E7015" t="s">
        <v>108</v>
      </c>
      <c r="F7015" t="s">
        <v>109</v>
      </c>
      <c r="G7015" t="s">
        <v>41</v>
      </c>
      <c r="H7015" t="s">
        <v>17</v>
      </c>
      <c r="I7015" s="3">
        <v>32</v>
      </c>
      <c r="J7015" s="2">
        <v>195</v>
      </c>
      <c r="K7015" s="3">
        <f t="shared" si="109"/>
        <v>6240</v>
      </c>
      <c r="L7015" s="3">
        <v>3307.2000000000003</v>
      </c>
    </row>
    <row r="7016" spans="1:12" x14ac:dyDescent="0.25">
      <c r="A7016" t="s">
        <v>11</v>
      </c>
      <c r="B7016">
        <v>1185732</v>
      </c>
      <c r="C7016" s="1">
        <v>44503</v>
      </c>
      <c r="D7016" t="s">
        <v>57</v>
      </c>
      <c r="E7016" t="s">
        <v>85</v>
      </c>
      <c r="F7016" t="s">
        <v>86</v>
      </c>
      <c r="G7016" t="s">
        <v>41</v>
      </c>
      <c r="H7016" t="s">
        <v>17</v>
      </c>
      <c r="I7016" s="3">
        <v>32</v>
      </c>
      <c r="J7016" s="2">
        <v>78</v>
      </c>
      <c r="K7016" s="3">
        <f t="shared" si="109"/>
        <v>2496</v>
      </c>
      <c r="L7016" s="3">
        <v>1322.88</v>
      </c>
    </row>
    <row r="7017" spans="1:12" x14ac:dyDescent="0.25">
      <c r="A7017" t="s">
        <v>26</v>
      </c>
      <c r="B7017">
        <v>1185732</v>
      </c>
      <c r="C7017" s="1">
        <v>44503</v>
      </c>
      <c r="D7017" t="s">
        <v>32</v>
      </c>
      <c r="E7017" t="s">
        <v>108</v>
      </c>
      <c r="F7017" t="s">
        <v>109</v>
      </c>
      <c r="G7017" t="s">
        <v>41</v>
      </c>
      <c r="H7017" t="s">
        <v>22</v>
      </c>
      <c r="I7017" s="3">
        <v>72</v>
      </c>
      <c r="J7017" s="2">
        <v>163</v>
      </c>
      <c r="K7017" s="3">
        <f t="shared" si="109"/>
        <v>11736</v>
      </c>
      <c r="L7017" s="3">
        <v>5985.36</v>
      </c>
    </row>
    <row r="7018" spans="1:12" x14ac:dyDescent="0.25">
      <c r="A7018" t="s">
        <v>26</v>
      </c>
      <c r="B7018">
        <v>1185732</v>
      </c>
      <c r="C7018" s="1">
        <v>44503</v>
      </c>
      <c r="D7018" t="s">
        <v>32</v>
      </c>
      <c r="E7018" t="s">
        <v>108</v>
      </c>
      <c r="F7018" t="s">
        <v>109</v>
      </c>
      <c r="G7018" t="s">
        <v>41</v>
      </c>
      <c r="H7018" t="s">
        <v>37</v>
      </c>
      <c r="I7018" s="3">
        <v>55</v>
      </c>
      <c r="J7018" s="2">
        <v>163</v>
      </c>
      <c r="K7018" s="3">
        <f t="shared" si="109"/>
        <v>8965</v>
      </c>
      <c r="L7018" s="3">
        <v>4392.8500000000004</v>
      </c>
    </row>
    <row r="7019" spans="1:12" x14ac:dyDescent="0.25">
      <c r="A7019" t="s">
        <v>11</v>
      </c>
      <c r="B7019">
        <v>1185732</v>
      </c>
      <c r="C7019" s="1">
        <v>44503</v>
      </c>
      <c r="D7019" t="s">
        <v>57</v>
      </c>
      <c r="E7019" t="s">
        <v>85</v>
      </c>
      <c r="F7019" t="s">
        <v>86</v>
      </c>
      <c r="G7019" t="s">
        <v>41</v>
      </c>
      <c r="H7019" t="s">
        <v>16</v>
      </c>
      <c r="I7019" s="3">
        <v>61</v>
      </c>
      <c r="J7019" s="2">
        <v>75</v>
      </c>
      <c r="K7019" s="3">
        <f t="shared" si="109"/>
        <v>4575</v>
      </c>
      <c r="L7019" s="3">
        <v>2241.75</v>
      </c>
    </row>
    <row r="7020" spans="1:12" x14ac:dyDescent="0.25">
      <c r="A7020" t="s">
        <v>26</v>
      </c>
      <c r="B7020">
        <v>1185732</v>
      </c>
      <c r="C7020" s="1">
        <v>44503</v>
      </c>
      <c r="D7020" t="s">
        <v>32</v>
      </c>
      <c r="E7020" t="s">
        <v>108</v>
      </c>
      <c r="F7020" t="s">
        <v>109</v>
      </c>
      <c r="G7020" t="s">
        <v>41</v>
      </c>
      <c r="H7020" t="s">
        <v>35</v>
      </c>
      <c r="I7020" s="3">
        <v>38</v>
      </c>
      <c r="J7020" s="2">
        <v>167</v>
      </c>
      <c r="K7020" s="3">
        <f t="shared" si="109"/>
        <v>6346</v>
      </c>
      <c r="L7020" s="3">
        <v>2919.16</v>
      </c>
    </row>
    <row r="7021" spans="1:12" x14ac:dyDescent="0.25">
      <c r="A7021" t="s">
        <v>26</v>
      </c>
      <c r="B7021">
        <v>1185732</v>
      </c>
      <c r="C7021" s="1">
        <v>44503</v>
      </c>
      <c r="D7021" t="s">
        <v>32</v>
      </c>
      <c r="E7021" t="s">
        <v>108</v>
      </c>
      <c r="F7021" t="s">
        <v>109</v>
      </c>
      <c r="G7021" t="s">
        <v>41</v>
      </c>
      <c r="H7021" t="s">
        <v>38</v>
      </c>
      <c r="I7021" s="3">
        <v>44</v>
      </c>
      <c r="J7021" s="2">
        <v>215</v>
      </c>
      <c r="K7021" s="3">
        <f t="shared" si="109"/>
        <v>9460</v>
      </c>
      <c r="L7021" s="3">
        <v>4257</v>
      </c>
    </row>
    <row r="7022" spans="1:12" x14ac:dyDescent="0.25">
      <c r="A7022" t="s">
        <v>19</v>
      </c>
      <c r="B7022">
        <v>1185732</v>
      </c>
      <c r="C7022" s="1">
        <v>44503</v>
      </c>
      <c r="D7022" t="s">
        <v>29</v>
      </c>
      <c r="E7022" t="s">
        <v>55</v>
      </c>
      <c r="F7022" t="s">
        <v>56</v>
      </c>
      <c r="G7022" t="s">
        <v>15</v>
      </c>
      <c r="H7022" t="s">
        <v>38</v>
      </c>
      <c r="I7022" s="3">
        <v>39</v>
      </c>
      <c r="J7022" s="2">
        <v>156</v>
      </c>
      <c r="K7022" s="3">
        <f t="shared" si="109"/>
        <v>6084</v>
      </c>
      <c r="L7022" s="3">
        <v>2555.2799999999997</v>
      </c>
    </row>
    <row r="7023" spans="1:12" x14ac:dyDescent="0.25">
      <c r="A7023" t="s">
        <v>11</v>
      </c>
      <c r="B7023">
        <v>1185732</v>
      </c>
      <c r="C7023" s="1">
        <v>44503</v>
      </c>
      <c r="D7023" t="s">
        <v>57</v>
      </c>
      <c r="E7023" t="s">
        <v>85</v>
      </c>
      <c r="F7023" t="s">
        <v>86</v>
      </c>
      <c r="G7023" t="s">
        <v>41</v>
      </c>
      <c r="H7023" t="s">
        <v>22</v>
      </c>
      <c r="I7023" s="3">
        <v>58</v>
      </c>
      <c r="J7023" s="2">
        <v>56</v>
      </c>
      <c r="K7023" s="3">
        <f t="shared" si="109"/>
        <v>3248</v>
      </c>
      <c r="L7023" s="3">
        <v>1234.24</v>
      </c>
    </row>
    <row r="7024" spans="1:12" x14ac:dyDescent="0.25">
      <c r="A7024" t="s">
        <v>26</v>
      </c>
      <c r="B7024">
        <v>1185732</v>
      </c>
      <c r="C7024" s="1">
        <v>44503</v>
      </c>
      <c r="D7024" t="s">
        <v>32</v>
      </c>
      <c r="E7024" t="s">
        <v>108</v>
      </c>
      <c r="F7024" t="s">
        <v>109</v>
      </c>
      <c r="G7024" t="s">
        <v>41</v>
      </c>
      <c r="H7024" t="s">
        <v>16</v>
      </c>
      <c r="I7024" s="3">
        <v>72</v>
      </c>
      <c r="J7024" s="2">
        <v>210</v>
      </c>
      <c r="K7024" s="3">
        <f t="shared" si="109"/>
        <v>15120</v>
      </c>
      <c r="L7024" s="3">
        <v>5443.1999999999989</v>
      </c>
    </row>
    <row r="7025" spans="1:12" x14ac:dyDescent="0.25">
      <c r="A7025" t="s">
        <v>19</v>
      </c>
      <c r="B7025">
        <v>1185732</v>
      </c>
      <c r="C7025" s="1">
        <v>44503</v>
      </c>
      <c r="D7025" t="s">
        <v>29</v>
      </c>
      <c r="E7025" t="s">
        <v>55</v>
      </c>
      <c r="F7025" t="s">
        <v>56</v>
      </c>
      <c r="G7025" t="s">
        <v>41</v>
      </c>
      <c r="H7025" t="s">
        <v>38</v>
      </c>
      <c r="I7025" s="3">
        <v>49</v>
      </c>
      <c r="J7025" s="2">
        <v>120</v>
      </c>
      <c r="K7025" s="3">
        <f t="shared" si="109"/>
        <v>5880</v>
      </c>
      <c r="L7025" s="3">
        <v>1764</v>
      </c>
    </row>
    <row r="7026" spans="1:12" x14ac:dyDescent="0.25">
      <c r="A7026" t="s">
        <v>19</v>
      </c>
      <c r="B7026">
        <v>1185732</v>
      </c>
      <c r="C7026" s="1">
        <v>44504</v>
      </c>
      <c r="D7026" t="s">
        <v>29</v>
      </c>
      <c r="E7026" t="s">
        <v>93</v>
      </c>
      <c r="F7026" t="s">
        <v>94</v>
      </c>
      <c r="G7026" t="s">
        <v>18</v>
      </c>
      <c r="H7026" t="s">
        <v>35</v>
      </c>
      <c r="I7026" s="3">
        <v>55.000000000000007</v>
      </c>
      <c r="J7026" s="2">
        <v>295</v>
      </c>
      <c r="K7026" s="3">
        <f t="shared" si="109"/>
        <v>16225.000000000002</v>
      </c>
      <c r="L7026" s="3">
        <v>11357.500000000004</v>
      </c>
    </row>
    <row r="7027" spans="1:12" x14ac:dyDescent="0.25">
      <c r="A7027" t="s">
        <v>19</v>
      </c>
      <c r="B7027">
        <v>1185732</v>
      </c>
      <c r="C7027" s="1">
        <v>44504</v>
      </c>
      <c r="D7027" t="s">
        <v>29</v>
      </c>
      <c r="E7027" t="s">
        <v>93</v>
      </c>
      <c r="F7027" t="s">
        <v>94</v>
      </c>
      <c r="G7027" t="s">
        <v>18</v>
      </c>
      <c r="H7027" t="s">
        <v>37</v>
      </c>
      <c r="I7027" s="3">
        <v>55.000000000000007</v>
      </c>
      <c r="J7027" s="2">
        <v>275</v>
      </c>
      <c r="K7027" s="3">
        <f t="shared" si="109"/>
        <v>15125.000000000002</v>
      </c>
      <c r="L7027" s="3">
        <v>10587.500000000004</v>
      </c>
    </row>
    <row r="7028" spans="1:12" x14ac:dyDescent="0.25">
      <c r="A7028" t="s">
        <v>19</v>
      </c>
      <c r="B7028">
        <v>1185732</v>
      </c>
      <c r="C7028" s="1">
        <v>44504</v>
      </c>
      <c r="D7028" t="s">
        <v>29</v>
      </c>
      <c r="E7028" t="s">
        <v>93</v>
      </c>
      <c r="F7028" t="s">
        <v>94</v>
      </c>
      <c r="G7028" t="s">
        <v>18</v>
      </c>
      <c r="H7028" t="s">
        <v>22</v>
      </c>
      <c r="I7028" s="3">
        <v>65</v>
      </c>
      <c r="J7028" s="2">
        <v>250</v>
      </c>
      <c r="K7028" s="3">
        <f t="shared" si="109"/>
        <v>16250</v>
      </c>
      <c r="L7028" s="3">
        <v>11375</v>
      </c>
    </row>
    <row r="7029" spans="1:12" x14ac:dyDescent="0.25">
      <c r="A7029" t="s">
        <v>19</v>
      </c>
      <c r="B7029">
        <v>1185732</v>
      </c>
      <c r="C7029" s="1">
        <v>44504</v>
      </c>
      <c r="D7029" t="s">
        <v>29</v>
      </c>
      <c r="E7029" t="s">
        <v>55</v>
      </c>
      <c r="F7029" t="s">
        <v>56</v>
      </c>
      <c r="G7029" t="s">
        <v>15</v>
      </c>
      <c r="H7029" t="s">
        <v>17</v>
      </c>
      <c r="I7029" s="3">
        <v>50</v>
      </c>
      <c r="J7029" s="2">
        <v>150</v>
      </c>
      <c r="K7029" s="3">
        <f t="shared" si="109"/>
        <v>7500</v>
      </c>
      <c r="L7029" s="3">
        <v>4875</v>
      </c>
    </row>
    <row r="7030" spans="1:12" x14ac:dyDescent="0.25">
      <c r="A7030" t="s">
        <v>19</v>
      </c>
      <c r="B7030">
        <v>1185732</v>
      </c>
      <c r="C7030" s="1">
        <v>44504</v>
      </c>
      <c r="D7030" t="s">
        <v>29</v>
      </c>
      <c r="E7030" t="s">
        <v>93</v>
      </c>
      <c r="F7030" t="s">
        <v>94</v>
      </c>
      <c r="G7030" t="s">
        <v>18</v>
      </c>
      <c r="H7030" t="s">
        <v>16</v>
      </c>
      <c r="I7030" s="3">
        <v>70</v>
      </c>
      <c r="J7030" s="2">
        <v>350</v>
      </c>
      <c r="K7030" s="3">
        <f t="shared" si="109"/>
        <v>24500</v>
      </c>
      <c r="L7030" s="3">
        <v>15925</v>
      </c>
    </row>
    <row r="7031" spans="1:12" x14ac:dyDescent="0.25">
      <c r="A7031" t="s">
        <v>36</v>
      </c>
      <c r="B7031">
        <v>1185732</v>
      </c>
      <c r="C7031" s="1">
        <v>44504</v>
      </c>
      <c r="D7031" t="s">
        <v>29</v>
      </c>
      <c r="E7031" t="s">
        <v>30</v>
      </c>
      <c r="F7031" t="s">
        <v>31</v>
      </c>
      <c r="G7031" t="s">
        <v>15</v>
      </c>
      <c r="H7031" t="s">
        <v>16</v>
      </c>
      <c r="I7031" s="3">
        <v>40</v>
      </c>
      <c r="J7031" s="2">
        <v>225</v>
      </c>
      <c r="K7031" s="3">
        <f t="shared" si="109"/>
        <v>9000</v>
      </c>
      <c r="L7031" s="3">
        <v>5400</v>
      </c>
    </row>
    <row r="7032" spans="1:12" x14ac:dyDescent="0.25">
      <c r="A7032" t="s">
        <v>19</v>
      </c>
      <c r="B7032">
        <v>1185732</v>
      </c>
      <c r="C7032" s="1">
        <v>44504</v>
      </c>
      <c r="D7032" t="s">
        <v>29</v>
      </c>
      <c r="E7032" t="s">
        <v>93</v>
      </c>
      <c r="F7032" t="s">
        <v>94</v>
      </c>
      <c r="G7032" t="s">
        <v>18</v>
      </c>
      <c r="H7032" t="s">
        <v>38</v>
      </c>
      <c r="I7032" s="3">
        <v>65</v>
      </c>
      <c r="J7032" s="2">
        <v>425</v>
      </c>
      <c r="K7032" s="3">
        <f t="shared" si="109"/>
        <v>27625</v>
      </c>
      <c r="L7032" s="3">
        <v>16575</v>
      </c>
    </row>
    <row r="7033" spans="1:12" x14ac:dyDescent="0.25">
      <c r="A7033" t="s">
        <v>19</v>
      </c>
      <c r="B7033">
        <v>1185732</v>
      </c>
      <c r="C7033" s="1">
        <v>44504</v>
      </c>
      <c r="D7033" t="s">
        <v>29</v>
      </c>
      <c r="E7033" t="s">
        <v>93</v>
      </c>
      <c r="F7033" t="s">
        <v>94</v>
      </c>
      <c r="G7033" t="s">
        <v>18</v>
      </c>
      <c r="H7033" t="s">
        <v>17</v>
      </c>
      <c r="I7033" s="3">
        <v>55.000000000000007</v>
      </c>
      <c r="J7033" s="2">
        <v>300</v>
      </c>
      <c r="K7033" s="3">
        <f t="shared" si="109"/>
        <v>16500.000000000004</v>
      </c>
      <c r="L7033" s="3">
        <v>9900.0000000000018</v>
      </c>
    </row>
    <row r="7034" spans="1:12" x14ac:dyDescent="0.25">
      <c r="A7034" t="s">
        <v>19</v>
      </c>
      <c r="B7034">
        <v>1185732</v>
      </c>
      <c r="C7034" s="1">
        <v>44504</v>
      </c>
      <c r="D7034" t="s">
        <v>29</v>
      </c>
      <c r="E7034" t="s">
        <v>93</v>
      </c>
      <c r="F7034" t="s">
        <v>94</v>
      </c>
      <c r="G7034" t="s">
        <v>15</v>
      </c>
      <c r="H7034" t="s">
        <v>22</v>
      </c>
      <c r="I7034" s="3">
        <v>44</v>
      </c>
      <c r="J7034" s="2">
        <v>88</v>
      </c>
      <c r="K7034" s="3">
        <f t="shared" si="109"/>
        <v>3872</v>
      </c>
      <c r="L7034" s="3">
        <v>2478.08</v>
      </c>
    </row>
    <row r="7035" spans="1:12" x14ac:dyDescent="0.25">
      <c r="A7035" t="s">
        <v>19</v>
      </c>
      <c r="B7035">
        <v>1185732</v>
      </c>
      <c r="C7035" s="1">
        <v>44504</v>
      </c>
      <c r="D7035" t="s">
        <v>29</v>
      </c>
      <c r="E7035" t="s">
        <v>93</v>
      </c>
      <c r="F7035" t="s">
        <v>94</v>
      </c>
      <c r="G7035" t="s">
        <v>15</v>
      </c>
      <c r="H7035" t="s">
        <v>35</v>
      </c>
      <c r="I7035" s="3">
        <v>36</v>
      </c>
      <c r="J7035" s="2">
        <v>103</v>
      </c>
      <c r="K7035" s="3">
        <f t="shared" si="109"/>
        <v>3708</v>
      </c>
      <c r="L7035" s="3">
        <v>2336.04</v>
      </c>
    </row>
    <row r="7036" spans="1:12" x14ac:dyDescent="0.25">
      <c r="A7036" t="s">
        <v>19</v>
      </c>
      <c r="B7036">
        <v>1185732</v>
      </c>
      <c r="C7036" s="1">
        <v>44504</v>
      </c>
      <c r="D7036" t="s">
        <v>29</v>
      </c>
      <c r="E7036" t="s">
        <v>93</v>
      </c>
      <c r="F7036" t="s">
        <v>94</v>
      </c>
      <c r="G7036" t="s">
        <v>15</v>
      </c>
      <c r="H7036" t="s">
        <v>37</v>
      </c>
      <c r="I7036" s="3">
        <v>39</v>
      </c>
      <c r="J7036" s="2">
        <v>83</v>
      </c>
      <c r="K7036" s="3">
        <f t="shared" si="109"/>
        <v>3237</v>
      </c>
      <c r="L7036" s="3">
        <v>2039.31</v>
      </c>
    </row>
    <row r="7037" spans="1:12" x14ac:dyDescent="0.25">
      <c r="A7037" t="s">
        <v>19</v>
      </c>
      <c r="B7037">
        <v>1185732</v>
      </c>
      <c r="C7037" s="1">
        <v>44504</v>
      </c>
      <c r="D7037" t="s">
        <v>29</v>
      </c>
      <c r="E7037" t="s">
        <v>55</v>
      </c>
      <c r="F7037" t="s">
        <v>56</v>
      </c>
      <c r="G7037" t="s">
        <v>15</v>
      </c>
      <c r="H7037" t="s">
        <v>17</v>
      </c>
      <c r="I7037" s="3">
        <v>33</v>
      </c>
      <c r="J7037" s="2">
        <v>53</v>
      </c>
      <c r="K7037" s="3">
        <f t="shared" si="109"/>
        <v>1749</v>
      </c>
      <c r="L7037" s="3">
        <v>1101.8699999999999</v>
      </c>
    </row>
    <row r="7038" spans="1:12" x14ac:dyDescent="0.25">
      <c r="A7038" t="s">
        <v>19</v>
      </c>
      <c r="B7038">
        <v>1185732</v>
      </c>
      <c r="C7038" s="1">
        <v>44504</v>
      </c>
      <c r="D7038" t="s">
        <v>29</v>
      </c>
      <c r="E7038" t="s">
        <v>93</v>
      </c>
      <c r="F7038" t="s">
        <v>94</v>
      </c>
      <c r="G7038" t="s">
        <v>15</v>
      </c>
      <c r="H7038" t="s">
        <v>16</v>
      </c>
      <c r="I7038" s="3">
        <v>52</v>
      </c>
      <c r="J7038" s="2">
        <v>116</v>
      </c>
      <c r="K7038" s="3">
        <f t="shared" si="109"/>
        <v>6032</v>
      </c>
      <c r="L7038" s="3">
        <v>3679.5200000000004</v>
      </c>
    </row>
    <row r="7039" spans="1:12" x14ac:dyDescent="0.25">
      <c r="A7039" t="s">
        <v>19</v>
      </c>
      <c r="B7039">
        <v>1185732</v>
      </c>
      <c r="C7039" s="1">
        <v>44504</v>
      </c>
      <c r="D7039" t="s">
        <v>29</v>
      </c>
      <c r="E7039" t="s">
        <v>93</v>
      </c>
      <c r="F7039" t="s">
        <v>94</v>
      </c>
      <c r="G7039" t="s">
        <v>41</v>
      </c>
      <c r="H7039" t="s">
        <v>37</v>
      </c>
      <c r="I7039" s="3">
        <v>50</v>
      </c>
      <c r="J7039" s="2">
        <v>80</v>
      </c>
      <c r="K7039" s="3">
        <f t="shared" si="109"/>
        <v>4000</v>
      </c>
      <c r="L7039" s="3">
        <v>2320</v>
      </c>
    </row>
    <row r="7040" spans="1:12" x14ac:dyDescent="0.25">
      <c r="A7040" t="s">
        <v>19</v>
      </c>
      <c r="B7040">
        <v>1185732</v>
      </c>
      <c r="C7040" s="1">
        <v>44504</v>
      </c>
      <c r="D7040" t="s">
        <v>29</v>
      </c>
      <c r="E7040" t="s">
        <v>93</v>
      </c>
      <c r="F7040" t="s">
        <v>94</v>
      </c>
      <c r="G7040" t="s">
        <v>15</v>
      </c>
      <c r="H7040" t="s">
        <v>38</v>
      </c>
      <c r="I7040" s="3">
        <v>51</v>
      </c>
      <c r="J7040" s="2">
        <v>149</v>
      </c>
      <c r="K7040" s="3">
        <f t="shared" si="109"/>
        <v>7599</v>
      </c>
      <c r="L7040" s="3">
        <v>4331.43</v>
      </c>
    </row>
    <row r="7041" spans="1:12" x14ac:dyDescent="0.25">
      <c r="A7041" t="s">
        <v>19</v>
      </c>
      <c r="B7041">
        <v>1185732</v>
      </c>
      <c r="C7041" s="1">
        <v>44504</v>
      </c>
      <c r="D7041" t="s">
        <v>29</v>
      </c>
      <c r="E7041" t="s">
        <v>93</v>
      </c>
      <c r="F7041" t="s">
        <v>94</v>
      </c>
      <c r="G7041" t="s">
        <v>41</v>
      </c>
      <c r="H7041" t="s">
        <v>22</v>
      </c>
      <c r="I7041" s="3">
        <v>60</v>
      </c>
      <c r="J7041" s="2">
        <v>68</v>
      </c>
      <c r="K7041" s="3">
        <f t="shared" si="109"/>
        <v>4080</v>
      </c>
      <c r="L7041" s="3">
        <v>2284.8000000000002</v>
      </c>
    </row>
    <row r="7042" spans="1:12" x14ac:dyDescent="0.25">
      <c r="A7042" t="s">
        <v>19</v>
      </c>
      <c r="B7042">
        <v>1185732</v>
      </c>
      <c r="C7042" s="1">
        <v>44504</v>
      </c>
      <c r="D7042" t="s">
        <v>29</v>
      </c>
      <c r="E7042" t="s">
        <v>93</v>
      </c>
      <c r="F7042" t="s">
        <v>94</v>
      </c>
      <c r="G7042" t="s">
        <v>41</v>
      </c>
      <c r="H7042" t="s">
        <v>35</v>
      </c>
      <c r="I7042" s="3">
        <v>51</v>
      </c>
      <c r="J7042" s="2">
        <v>80</v>
      </c>
      <c r="K7042" s="3">
        <f t="shared" si="109"/>
        <v>4080</v>
      </c>
      <c r="L7042" s="3">
        <v>2244</v>
      </c>
    </row>
    <row r="7043" spans="1:12" x14ac:dyDescent="0.25">
      <c r="A7043" t="s">
        <v>19</v>
      </c>
      <c r="B7043">
        <v>1185732</v>
      </c>
      <c r="C7043" s="1">
        <v>44504</v>
      </c>
      <c r="D7043" t="s">
        <v>29</v>
      </c>
      <c r="E7043" t="s">
        <v>93</v>
      </c>
      <c r="F7043" t="s">
        <v>94</v>
      </c>
      <c r="G7043" t="s">
        <v>15</v>
      </c>
      <c r="H7043" t="s">
        <v>17</v>
      </c>
      <c r="I7043" s="3">
        <v>37</v>
      </c>
      <c r="J7043" s="2">
        <v>105</v>
      </c>
      <c r="K7043" s="3">
        <f t="shared" ref="K7043:K7106" si="110">I7043*J7043</f>
        <v>3885</v>
      </c>
      <c r="L7043" s="3">
        <v>2097.8999999999996</v>
      </c>
    </row>
    <row r="7044" spans="1:12" x14ac:dyDescent="0.25">
      <c r="A7044" t="s">
        <v>19</v>
      </c>
      <c r="B7044">
        <v>1185732</v>
      </c>
      <c r="C7044" s="1">
        <v>44504</v>
      </c>
      <c r="D7044" t="s">
        <v>29</v>
      </c>
      <c r="E7044" t="s">
        <v>93</v>
      </c>
      <c r="F7044" t="s">
        <v>94</v>
      </c>
      <c r="G7044" t="s">
        <v>41</v>
      </c>
      <c r="H7044" t="s">
        <v>16</v>
      </c>
      <c r="I7044" s="3">
        <v>67</v>
      </c>
      <c r="J7044" s="2">
        <v>95</v>
      </c>
      <c r="K7044" s="3">
        <f t="shared" si="110"/>
        <v>6365</v>
      </c>
      <c r="L7044" s="3">
        <v>3373.4500000000003</v>
      </c>
    </row>
    <row r="7045" spans="1:12" x14ac:dyDescent="0.25">
      <c r="A7045" t="s">
        <v>19</v>
      </c>
      <c r="B7045">
        <v>1185732</v>
      </c>
      <c r="C7045" s="1">
        <v>44504</v>
      </c>
      <c r="D7045" t="s">
        <v>29</v>
      </c>
      <c r="E7045" t="s">
        <v>55</v>
      </c>
      <c r="F7045" t="s">
        <v>56</v>
      </c>
      <c r="G7045" t="s">
        <v>41</v>
      </c>
      <c r="H7045" t="s">
        <v>17</v>
      </c>
      <c r="I7045" s="3">
        <v>47</v>
      </c>
      <c r="J7045" s="2">
        <v>38</v>
      </c>
      <c r="K7045" s="3">
        <f t="shared" si="110"/>
        <v>1786</v>
      </c>
      <c r="L7045" s="3">
        <v>910.86</v>
      </c>
    </row>
    <row r="7046" spans="1:12" x14ac:dyDescent="0.25">
      <c r="A7046" t="s">
        <v>19</v>
      </c>
      <c r="B7046">
        <v>1185732</v>
      </c>
      <c r="C7046" s="1">
        <v>44504</v>
      </c>
      <c r="D7046" t="s">
        <v>29</v>
      </c>
      <c r="E7046" t="s">
        <v>93</v>
      </c>
      <c r="F7046" t="s">
        <v>94</v>
      </c>
      <c r="G7046" t="s">
        <v>41</v>
      </c>
      <c r="H7046" t="s">
        <v>38</v>
      </c>
      <c r="I7046" s="3">
        <v>60</v>
      </c>
      <c r="J7046" s="2">
        <v>111</v>
      </c>
      <c r="K7046" s="3">
        <f t="shared" si="110"/>
        <v>6660</v>
      </c>
      <c r="L7046" s="3">
        <v>3330</v>
      </c>
    </row>
    <row r="7047" spans="1:12" x14ac:dyDescent="0.25">
      <c r="A7047" t="s">
        <v>36</v>
      </c>
      <c r="B7047">
        <v>1185732</v>
      </c>
      <c r="C7047" s="1">
        <v>44504</v>
      </c>
      <c r="D7047" t="s">
        <v>29</v>
      </c>
      <c r="E7047" t="s">
        <v>30</v>
      </c>
      <c r="F7047" t="s">
        <v>31</v>
      </c>
      <c r="G7047" t="s">
        <v>41</v>
      </c>
      <c r="H7047" t="s">
        <v>16</v>
      </c>
      <c r="I7047" s="3">
        <v>39</v>
      </c>
      <c r="J7047" s="2">
        <v>63</v>
      </c>
      <c r="K7047" s="3">
        <f t="shared" si="110"/>
        <v>2457</v>
      </c>
      <c r="L7047" s="3">
        <v>1203.93</v>
      </c>
    </row>
    <row r="7048" spans="1:12" x14ac:dyDescent="0.25">
      <c r="A7048" t="s">
        <v>19</v>
      </c>
      <c r="B7048">
        <v>1185732</v>
      </c>
      <c r="C7048" s="1">
        <v>44504</v>
      </c>
      <c r="D7048" t="s">
        <v>29</v>
      </c>
      <c r="E7048" t="s">
        <v>93</v>
      </c>
      <c r="F7048" t="s">
        <v>94</v>
      </c>
      <c r="G7048" t="s">
        <v>41</v>
      </c>
      <c r="H7048" t="s">
        <v>17</v>
      </c>
      <c r="I7048" s="3">
        <v>51</v>
      </c>
      <c r="J7048" s="2">
        <v>84</v>
      </c>
      <c r="K7048" s="3">
        <f t="shared" si="110"/>
        <v>4284</v>
      </c>
      <c r="L7048" s="3">
        <v>2056.3199999999997</v>
      </c>
    </row>
    <row r="7049" spans="1:12" x14ac:dyDescent="0.25">
      <c r="A7049" t="s">
        <v>26</v>
      </c>
      <c r="B7049">
        <v>1197831</v>
      </c>
      <c r="C7049" s="1">
        <v>44505</v>
      </c>
      <c r="D7049" t="s">
        <v>12</v>
      </c>
      <c r="E7049" t="s">
        <v>66</v>
      </c>
      <c r="F7049" t="s">
        <v>67</v>
      </c>
      <c r="G7049" t="s">
        <v>41</v>
      </c>
      <c r="H7049" t="s">
        <v>22</v>
      </c>
      <c r="I7049" s="3">
        <v>54.999999999999993</v>
      </c>
      <c r="J7049" s="2">
        <v>425</v>
      </c>
      <c r="K7049" s="3">
        <f t="shared" si="110"/>
        <v>23374.999999999996</v>
      </c>
      <c r="L7049" s="3">
        <v>15193.75</v>
      </c>
    </row>
    <row r="7050" spans="1:12" x14ac:dyDescent="0.25">
      <c r="A7050" t="s">
        <v>36</v>
      </c>
      <c r="B7050">
        <v>1185732</v>
      </c>
      <c r="C7050" s="1">
        <v>44505</v>
      </c>
      <c r="D7050" t="s">
        <v>29</v>
      </c>
      <c r="E7050" t="s">
        <v>30</v>
      </c>
      <c r="F7050" t="s">
        <v>31</v>
      </c>
      <c r="G7050" t="s">
        <v>15</v>
      </c>
      <c r="H7050" t="s">
        <v>38</v>
      </c>
      <c r="I7050" s="3">
        <v>54.999999999999993</v>
      </c>
      <c r="J7050" s="2">
        <v>495</v>
      </c>
      <c r="K7050" s="3">
        <f t="shared" si="110"/>
        <v>27224.999999999996</v>
      </c>
      <c r="L7050" s="3">
        <v>17696.249999999996</v>
      </c>
    </row>
    <row r="7051" spans="1:12" x14ac:dyDescent="0.25">
      <c r="A7051" t="s">
        <v>19</v>
      </c>
      <c r="B7051">
        <v>1185732</v>
      </c>
      <c r="C7051" s="1">
        <v>44505</v>
      </c>
      <c r="D7051" t="s">
        <v>29</v>
      </c>
      <c r="E7051" t="s">
        <v>55</v>
      </c>
      <c r="F7051" t="s">
        <v>56</v>
      </c>
      <c r="G7051" t="s">
        <v>15</v>
      </c>
      <c r="H7051" t="s">
        <v>35</v>
      </c>
      <c r="I7051" s="3">
        <v>40</v>
      </c>
      <c r="J7051" s="2">
        <v>175</v>
      </c>
      <c r="K7051" s="3">
        <f t="shared" si="110"/>
        <v>7000</v>
      </c>
      <c r="L7051" s="3">
        <v>4200</v>
      </c>
    </row>
    <row r="7052" spans="1:12" x14ac:dyDescent="0.25">
      <c r="A7052" t="s">
        <v>26</v>
      </c>
      <c r="B7052">
        <v>1197831</v>
      </c>
      <c r="C7052" s="1">
        <v>44505</v>
      </c>
      <c r="D7052" t="s">
        <v>12</v>
      </c>
      <c r="E7052" t="s">
        <v>66</v>
      </c>
      <c r="F7052" t="s">
        <v>67</v>
      </c>
      <c r="G7052" t="s">
        <v>41</v>
      </c>
      <c r="H7052" t="s">
        <v>38</v>
      </c>
      <c r="I7052" s="3">
        <v>35</v>
      </c>
      <c r="J7052" s="2">
        <v>675</v>
      </c>
      <c r="K7052" s="3">
        <f t="shared" si="110"/>
        <v>23625</v>
      </c>
      <c r="L7052" s="3">
        <v>14175</v>
      </c>
    </row>
    <row r="7053" spans="1:12" x14ac:dyDescent="0.25">
      <c r="A7053" t="s">
        <v>26</v>
      </c>
      <c r="B7053">
        <v>1197831</v>
      </c>
      <c r="C7053" s="1">
        <v>44505</v>
      </c>
      <c r="D7053" t="s">
        <v>12</v>
      </c>
      <c r="E7053" t="s">
        <v>66</v>
      </c>
      <c r="F7053" t="s">
        <v>67</v>
      </c>
      <c r="G7053" t="s">
        <v>41</v>
      </c>
      <c r="H7053" t="s">
        <v>17</v>
      </c>
      <c r="I7053" s="3">
        <v>35</v>
      </c>
      <c r="J7053" s="2">
        <v>675</v>
      </c>
      <c r="K7053" s="3">
        <f t="shared" si="110"/>
        <v>23625</v>
      </c>
      <c r="L7053" s="3">
        <v>14175</v>
      </c>
    </row>
    <row r="7054" spans="1:12" x14ac:dyDescent="0.25">
      <c r="A7054" t="s">
        <v>26</v>
      </c>
      <c r="B7054">
        <v>1197831</v>
      </c>
      <c r="C7054" s="1">
        <v>44505</v>
      </c>
      <c r="D7054" t="s">
        <v>12</v>
      </c>
      <c r="E7054" t="s">
        <v>66</v>
      </c>
      <c r="F7054" t="s">
        <v>67</v>
      </c>
      <c r="G7054" t="s">
        <v>41</v>
      </c>
      <c r="H7054" t="s">
        <v>35</v>
      </c>
      <c r="I7054" s="3">
        <v>60</v>
      </c>
      <c r="J7054" s="2">
        <v>600</v>
      </c>
      <c r="K7054" s="3">
        <f t="shared" si="110"/>
        <v>36000</v>
      </c>
      <c r="L7054" s="3">
        <v>21600</v>
      </c>
    </row>
    <row r="7055" spans="1:12" x14ac:dyDescent="0.25">
      <c r="A7055" t="s">
        <v>26</v>
      </c>
      <c r="B7055">
        <v>1197831</v>
      </c>
      <c r="C7055" s="1">
        <v>44505</v>
      </c>
      <c r="D7055" t="s">
        <v>12</v>
      </c>
      <c r="E7055" t="s">
        <v>66</v>
      </c>
      <c r="F7055" t="s">
        <v>67</v>
      </c>
      <c r="G7055" t="s">
        <v>41</v>
      </c>
      <c r="H7055" t="s">
        <v>37</v>
      </c>
      <c r="I7055" s="3">
        <v>60</v>
      </c>
      <c r="J7055" s="2">
        <v>450</v>
      </c>
      <c r="K7055" s="3">
        <f t="shared" si="110"/>
        <v>27000</v>
      </c>
      <c r="L7055" s="3">
        <v>13500</v>
      </c>
    </row>
    <row r="7056" spans="1:12" x14ac:dyDescent="0.25">
      <c r="A7056" t="s">
        <v>26</v>
      </c>
      <c r="B7056">
        <v>1197831</v>
      </c>
      <c r="C7056" s="1">
        <v>44505</v>
      </c>
      <c r="D7056" t="s">
        <v>12</v>
      </c>
      <c r="E7056" t="s">
        <v>66</v>
      </c>
      <c r="F7056" t="s">
        <v>67</v>
      </c>
      <c r="G7056" t="s">
        <v>41</v>
      </c>
      <c r="H7056" t="s">
        <v>16</v>
      </c>
      <c r="I7056" s="3">
        <v>65</v>
      </c>
      <c r="J7056" s="2">
        <v>625</v>
      </c>
      <c r="K7056" s="3">
        <f t="shared" si="110"/>
        <v>40625</v>
      </c>
      <c r="L7056" s="3">
        <v>18281.249999999996</v>
      </c>
    </row>
    <row r="7057" spans="1:12" x14ac:dyDescent="0.25">
      <c r="A7057" t="s">
        <v>26</v>
      </c>
      <c r="B7057">
        <v>1197831</v>
      </c>
      <c r="C7057" s="1">
        <v>44505</v>
      </c>
      <c r="D7057" t="s">
        <v>12</v>
      </c>
      <c r="E7057" t="s">
        <v>66</v>
      </c>
      <c r="F7057" t="s">
        <v>67</v>
      </c>
      <c r="G7057" t="s">
        <v>15</v>
      </c>
      <c r="H7057" t="s">
        <v>22</v>
      </c>
      <c r="I7057" s="3">
        <v>41</v>
      </c>
      <c r="J7057" s="2">
        <v>149</v>
      </c>
      <c r="K7057" s="3">
        <f t="shared" si="110"/>
        <v>6109</v>
      </c>
      <c r="L7057" s="3">
        <v>3787.58</v>
      </c>
    </row>
    <row r="7058" spans="1:12" x14ac:dyDescent="0.25">
      <c r="A7058" t="s">
        <v>26</v>
      </c>
      <c r="B7058">
        <v>1197831</v>
      </c>
      <c r="C7058" s="1">
        <v>44505</v>
      </c>
      <c r="D7058" t="s">
        <v>12</v>
      </c>
      <c r="E7058" t="s">
        <v>66</v>
      </c>
      <c r="F7058" t="s">
        <v>67</v>
      </c>
      <c r="G7058" t="s">
        <v>15</v>
      </c>
      <c r="H7058" t="s">
        <v>35</v>
      </c>
      <c r="I7058" s="3">
        <v>42</v>
      </c>
      <c r="J7058" s="2">
        <v>210</v>
      </c>
      <c r="K7058" s="3">
        <f t="shared" si="110"/>
        <v>8820</v>
      </c>
      <c r="L7058" s="3">
        <v>5115.6000000000004</v>
      </c>
    </row>
    <row r="7059" spans="1:12" x14ac:dyDescent="0.25">
      <c r="A7059" t="s">
        <v>26</v>
      </c>
      <c r="B7059">
        <v>1197831</v>
      </c>
      <c r="C7059" s="1">
        <v>44505</v>
      </c>
      <c r="D7059" t="s">
        <v>12</v>
      </c>
      <c r="E7059" t="s">
        <v>66</v>
      </c>
      <c r="F7059" t="s">
        <v>67</v>
      </c>
      <c r="G7059" t="s">
        <v>15</v>
      </c>
      <c r="H7059" t="s">
        <v>17</v>
      </c>
      <c r="I7059" s="3">
        <v>28</v>
      </c>
      <c r="J7059" s="2">
        <v>223</v>
      </c>
      <c r="K7059" s="3">
        <f t="shared" si="110"/>
        <v>6244</v>
      </c>
      <c r="L7059" s="3">
        <v>3559.0800000000004</v>
      </c>
    </row>
    <row r="7060" spans="1:12" x14ac:dyDescent="0.25">
      <c r="A7060" t="s">
        <v>36</v>
      </c>
      <c r="B7060">
        <v>1185732</v>
      </c>
      <c r="C7060" s="1">
        <v>44505</v>
      </c>
      <c r="D7060" t="s">
        <v>29</v>
      </c>
      <c r="E7060" t="s">
        <v>30</v>
      </c>
      <c r="F7060" t="s">
        <v>31</v>
      </c>
      <c r="G7060" t="s">
        <v>41</v>
      </c>
      <c r="H7060" t="s">
        <v>38</v>
      </c>
      <c r="I7060" s="3">
        <v>52</v>
      </c>
      <c r="J7060" s="2">
        <v>144</v>
      </c>
      <c r="K7060" s="3">
        <f t="shared" si="110"/>
        <v>7488</v>
      </c>
      <c r="L7060" s="3">
        <v>4118.4000000000005</v>
      </c>
    </row>
    <row r="7061" spans="1:12" x14ac:dyDescent="0.25">
      <c r="A7061" t="s">
        <v>19</v>
      </c>
      <c r="B7061">
        <v>1185732</v>
      </c>
      <c r="C7061" s="1">
        <v>44505</v>
      </c>
      <c r="D7061" t="s">
        <v>29</v>
      </c>
      <c r="E7061" t="s">
        <v>55</v>
      </c>
      <c r="F7061" t="s">
        <v>56</v>
      </c>
      <c r="G7061" t="s">
        <v>15</v>
      </c>
      <c r="H7061" t="s">
        <v>35</v>
      </c>
      <c r="I7061" s="3">
        <v>29</v>
      </c>
      <c r="J7061" s="2">
        <v>58</v>
      </c>
      <c r="K7061" s="3">
        <f t="shared" si="110"/>
        <v>1682</v>
      </c>
      <c r="L7061" s="3">
        <v>925.1</v>
      </c>
    </row>
    <row r="7062" spans="1:12" x14ac:dyDescent="0.25">
      <c r="A7062" t="s">
        <v>26</v>
      </c>
      <c r="B7062">
        <v>1197831</v>
      </c>
      <c r="C7062" s="1">
        <v>44505</v>
      </c>
      <c r="D7062" t="s">
        <v>12</v>
      </c>
      <c r="E7062" t="s">
        <v>66</v>
      </c>
      <c r="F7062" t="s">
        <v>67</v>
      </c>
      <c r="G7062" t="s">
        <v>15</v>
      </c>
      <c r="H7062" t="s">
        <v>38</v>
      </c>
      <c r="I7062" s="3">
        <v>27</v>
      </c>
      <c r="J7062" s="2">
        <v>203</v>
      </c>
      <c r="K7062" s="3">
        <f t="shared" si="110"/>
        <v>5481</v>
      </c>
      <c r="L7062" s="3">
        <v>2959.7400000000002</v>
      </c>
    </row>
    <row r="7063" spans="1:12" x14ac:dyDescent="0.25">
      <c r="A7063" t="s">
        <v>26</v>
      </c>
      <c r="B7063">
        <v>1197831</v>
      </c>
      <c r="C7063" s="1">
        <v>44505</v>
      </c>
      <c r="D7063" t="s">
        <v>12</v>
      </c>
      <c r="E7063" t="s">
        <v>66</v>
      </c>
      <c r="F7063" t="s">
        <v>67</v>
      </c>
      <c r="G7063" t="s">
        <v>41</v>
      </c>
      <c r="H7063" t="s">
        <v>22</v>
      </c>
      <c r="I7063" s="3">
        <v>54</v>
      </c>
      <c r="J7063" s="2">
        <v>106</v>
      </c>
      <c r="K7063" s="3">
        <f t="shared" si="110"/>
        <v>5724</v>
      </c>
      <c r="L7063" s="3">
        <v>2862</v>
      </c>
    </row>
    <row r="7064" spans="1:12" x14ac:dyDescent="0.25">
      <c r="A7064" t="s">
        <v>26</v>
      </c>
      <c r="B7064">
        <v>1197831</v>
      </c>
      <c r="C7064" s="1">
        <v>44505</v>
      </c>
      <c r="D7064" t="s">
        <v>12</v>
      </c>
      <c r="E7064" t="s">
        <v>66</v>
      </c>
      <c r="F7064" t="s">
        <v>67</v>
      </c>
      <c r="G7064" t="s">
        <v>41</v>
      </c>
      <c r="H7064" t="s">
        <v>17</v>
      </c>
      <c r="I7064" s="3">
        <v>32</v>
      </c>
      <c r="J7064" s="2">
        <v>189</v>
      </c>
      <c r="K7064" s="3">
        <f t="shared" si="110"/>
        <v>6048</v>
      </c>
      <c r="L7064" s="3">
        <v>2903.04</v>
      </c>
    </row>
    <row r="7065" spans="1:12" x14ac:dyDescent="0.25">
      <c r="A7065" t="s">
        <v>26</v>
      </c>
      <c r="B7065">
        <v>1197831</v>
      </c>
      <c r="C7065" s="1">
        <v>44505</v>
      </c>
      <c r="D7065" t="s">
        <v>12</v>
      </c>
      <c r="E7065" t="s">
        <v>66</v>
      </c>
      <c r="F7065" t="s">
        <v>67</v>
      </c>
      <c r="G7065" t="s">
        <v>15</v>
      </c>
      <c r="H7065" t="s">
        <v>37</v>
      </c>
      <c r="I7065" s="3">
        <v>43</v>
      </c>
      <c r="J7065" s="2">
        <v>158</v>
      </c>
      <c r="K7065" s="3">
        <f t="shared" si="110"/>
        <v>6794</v>
      </c>
      <c r="L7065" s="3">
        <v>3261.12</v>
      </c>
    </row>
    <row r="7066" spans="1:12" x14ac:dyDescent="0.25">
      <c r="A7066" t="s">
        <v>19</v>
      </c>
      <c r="B7066">
        <v>1185732</v>
      </c>
      <c r="C7066" s="1">
        <v>44505</v>
      </c>
      <c r="D7066" t="s">
        <v>29</v>
      </c>
      <c r="E7066" t="s">
        <v>55</v>
      </c>
      <c r="F7066" t="s">
        <v>56</v>
      </c>
      <c r="G7066" t="s">
        <v>41</v>
      </c>
      <c r="H7066" t="s">
        <v>35</v>
      </c>
      <c r="I7066" s="3">
        <v>36</v>
      </c>
      <c r="J7066" s="2">
        <v>51</v>
      </c>
      <c r="K7066" s="3">
        <f t="shared" si="110"/>
        <v>1836</v>
      </c>
      <c r="L7066" s="3">
        <v>844.56</v>
      </c>
    </row>
    <row r="7067" spans="1:12" x14ac:dyDescent="0.25">
      <c r="A7067" t="s">
        <v>26</v>
      </c>
      <c r="B7067">
        <v>1197831</v>
      </c>
      <c r="C7067" s="1">
        <v>44505</v>
      </c>
      <c r="D7067" t="s">
        <v>12</v>
      </c>
      <c r="E7067" t="s">
        <v>66</v>
      </c>
      <c r="F7067" t="s">
        <v>67</v>
      </c>
      <c r="G7067" t="s">
        <v>41</v>
      </c>
      <c r="H7067" t="s">
        <v>35</v>
      </c>
      <c r="I7067" s="3">
        <v>58</v>
      </c>
      <c r="J7067" s="2">
        <v>150</v>
      </c>
      <c r="K7067" s="3">
        <f t="shared" si="110"/>
        <v>8700</v>
      </c>
      <c r="L7067" s="3">
        <v>4002</v>
      </c>
    </row>
    <row r="7068" spans="1:12" x14ac:dyDescent="0.25">
      <c r="A7068" t="s">
        <v>26</v>
      </c>
      <c r="B7068">
        <v>1197831</v>
      </c>
      <c r="C7068" s="1">
        <v>44505</v>
      </c>
      <c r="D7068" t="s">
        <v>12</v>
      </c>
      <c r="E7068" t="s">
        <v>66</v>
      </c>
      <c r="F7068" t="s">
        <v>67</v>
      </c>
      <c r="G7068" t="s">
        <v>41</v>
      </c>
      <c r="H7068" t="s">
        <v>38</v>
      </c>
      <c r="I7068" s="3">
        <v>33</v>
      </c>
      <c r="J7068" s="2">
        <v>182</v>
      </c>
      <c r="K7068" s="3">
        <f t="shared" si="110"/>
        <v>6006</v>
      </c>
      <c r="L7068" s="3">
        <v>2702.7000000000003</v>
      </c>
    </row>
    <row r="7069" spans="1:12" x14ac:dyDescent="0.25">
      <c r="A7069" t="s">
        <v>26</v>
      </c>
      <c r="B7069">
        <v>1197831</v>
      </c>
      <c r="C7069" s="1">
        <v>44505</v>
      </c>
      <c r="D7069" t="s">
        <v>12</v>
      </c>
      <c r="E7069" t="s">
        <v>66</v>
      </c>
      <c r="F7069" t="s">
        <v>67</v>
      </c>
      <c r="G7069" t="s">
        <v>15</v>
      </c>
      <c r="H7069" t="s">
        <v>16</v>
      </c>
      <c r="I7069" s="3">
        <v>51</v>
      </c>
      <c r="J7069" s="2">
        <v>194</v>
      </c>
      <c r="K7069" s="3">
        <f t="shared" si="110"/>
        <v>9894</v>
      </c>
      <c r="L7069" s="3">
        <v>4056.5399999999991</v>
      </c>
    </row>
    <row r="7070" spans="1:12" x14ac:dyDescent="0.25">
      <c r="A7070" t="s">
        <v>26</v>
      </c>
      <c r="B7070">
        <v>1197831</v>
      </c>
      <c r="C7070" s="1">
        <v>44505</v>
      </c>
      <c r="D7070" t="s">
        <v>12</v>
      </c>
      <c r="E7070" t="s">
        <v>66</v>
      </c>
      <c r="F7070" t="s">
        <v>67</v>
      </c>
      <c r="G7070" t="s">
        <v>41</v>
      </c>
      <c r="H7070" t="s">
        <v>37</v>
      </c>
      <c r="I7070" s="3">
        <v>54</v>
      </c>
      <c r="J7070" s="2">
        <v>122</v>
      </c>
      <c r="K7070" s="3">
        <f t="shared" si="110"/>
        <v>6588</v>
      </c>
      <c r="L7070" s="3">
        <v>2569.3200000000002</v>
      </c>
    </row>
    <row r="7071" spans="1:12" x14ac:dyDescent="0.25">
      <c r="A7071" t="s">
        <v>26</v>
      </c>
      <c r="B7071">
        <v>1197831</v>
      </c>
      <c r="C7071" s="1">
        <v>44505</v>
      </c>
      <c r="D7071" t="s">
        <v>12</v>
      </c>
      <c r="E7071" t="s">
        <v>66</v>
      </c>
      <c r="F7071" t="s">
        <v>67</v>
      </c>
      <c r="G7071" t="s">
        <v>41</v>
      </c>
      <c r="H7071" t="s">
        <v>16</v>
      </c>
      <c r="I7071" s="3">
        <v>63</v>
      </c>
      <c r="J7071" s="2">
        <v>163</v>
      </c>
      <c r="K7071" s="3">
        <f t="shared" si="110"/>
        <v>10269</v>
      </c>
      <c r="L7071" s="3">
        <v>3388.7699999999995</v>
      </c>
    </row>
    <row r="7072" spans="1:12" x14ac:dyDescent="0.25">
      <c r="A7072" t="s">
        <v>19</v>
      </c>
      <c r="B7072">
        <v>1185732</v>
      </c>
      <c r="C7072" s="1">
        <v>44506</v>
      </c>
      <c r="D7072" t="s">
        <v>32</v>
      </c>
      <c r="E7072" t="s">
        <v>46</v>
      </c>
      <c r="F7072" t="s">
        <v>47</v>
      </c>
      <c r="G7072" t="s">
        <v>41</v>
      </c>
      <c r="H7072" t="s">
        <v>35</v>
      </c>
      <c r="I7072" s="3">
        <v>45.000000000000014</v>
      </c>
      <c r="J7072" s="2">
        <v>695</v>
      </c>
      <c r="K7072" s="3">
        <f t="shared" si="110"/>
        <v>31275.000000000011</v>
      </c>
      <c r="L7072" s="3">
        <v>23456.250000000007</v>
      </c>
    </row>
    <row r="7073" spans="1:12" x14ac:dyDescent="0.25">
      <c r="A7073" t="s">
        <v>19</v>
      </c>
      <c r="B7073">
        <v>1185732</v>
      </c>
      <c r="C7073" s="1">
        <v>44506</v>
      </c>
      <c r="D7073" t="s">
        <v>32</v>
      </c>
      <c r="E7073" t="s">
        <v>46</v>
      </c>
      <c r="F7073" t="s">
        <v>47</v>
      </c>
      <c r="G7073" t="s">
        <v>41</v>
      </c>
      <c r="H7073" t="s">
        <v>37</v>
      </c>
      <c r="I7073" s="3">
        <v>55.000000000000014</v>
      </c>
      <c r="J7073" s="2">
        <v>750</v>
      </c>
      <c r="K7073" s="3">
        <f t="shared" si="110"/>
        <v>41250.000000000007</v>
      </c>
      <c r="L7073" s="3">
        <v>28875.000000000011</v>
      </c>
    </row>
    <row r="7074" spans="1:12" x14ac:dyDescent="0.25">
      <c r="A7074" t="s">
        <v>11</v>
      </c>
      <c r="B7074">
        <v>1185732</v>
      </c>
      <c r="C7074" s="1">
        <v>44506</v>
      </c>
      <c r="D7074" t="s">
        <v>57</v>
      </c>
      <c r="E7074" t="s">
        <v>78</v>
      </c>
      <c r="F7074" t="s">
        <v>79</v>
      </c>
      <c r="G7074" t="s">
        <v>18</v>
      </c>
      <c r="H7074" t="s">
        <v>38</v>
      </c>
      <c r="I7074" s="3">
        <v>44.999999999999993</v>
      </c>
      <c r="J7074" s="2">
        <v>400</v>
      </c>
      <c r="K7074" s="3">
        <f t="shared" si="110"/>
        <v>17999.999999999996</v>
      </c>
      <c r="L7074" s="3">
        <v>12599.999999999996</v>
      </c>
    </row>
    <row r="7075" spans="1:12" x14ac:dyDescent="0.25">
      <c r="A7075" t="s">
        <v>11</v>
      </c>
      <c r="B7075">
        <v>1185732</v>
      </c>
      <c r="C7075" s="1">
        <v>44506</v>
      </c>
      <c r="D7075" t="s">
        <v>57</v>
      </c>
      <c r="E7075" t="s">
        <v>78</v>
      </c>
      <c r="F7075" t="s">
        <v>79</v>
      </c>
      <c r="G7075" t="s">
        <v>18</v>
      </c>
      <c r="H7075" t="s">
        <v>35</v>
      </c>
      <c r="I7075" s="3">
        <v>35</v>
      </c>
      <c r="J7075" s="2">
        <v>220</v>
      </c>
      <c r="K7075" s="3">
        <f t="shared" si="110"/>
        <v>7700</v>
      </c>
      <c r="L7075" s="3">
        <v>5390</v>
      </c>
    </row>
    <row r="7076" spans="1:12" x14ac:dyDescent="0.25">
      <c r="A7076" t="s">
        <v>11</v>
      </c>
      <c r="B7076">
        <v>1185732</v>
      </c>
      <c r="C7076" s="1">
        <v>44506</v>
      </c>
      <c r="D7076" t="s">
        <v>57</v>
      </c>
      <c r="E7076" t="s">
        <v>78</v>
      </c>
      <c r="F7076" t="s">
        <v>79</v>
      </c>
      <c r="G7076" t="s">
        <v>18</v>
      </c>
      <c r="H7076" t="s">
        <v>37</v>
      </c>
      <c r="I7076" s="3">
        <v>35</v>
      </c>
      <c r="J7076" s="2">
        <v>200</v>
      </c>
      <c r="K7076" s="3">
        <f t="shared" si="110"/>
        <v>7000</v>
      </c>
      <c r="L7076" s="3">
        <v>4900</v>
      </c>
    </row>
    <row r="7077" spans="1:12" x14ac:dyDescent="0.25">
      <c r="A7077" t="s">
        <v>19</v>
      </c>
      <c r="B7077">
        <v>1185732</v>
      </c>
      <c r="C7077" s="1">
        <v>44506</v>
      </c>
      <c r="D7077" t="s">
        <v>32</v>
      </c>
      <c r="E7077" t="s">
        <v>46</v>
      </c>
      <c r="F7077" t="s">
        <v>47</v>
      </c>
      <c r="G7077" t="s">
        <v>41</v>
      </c>
      <c r="H7077" t="s">
        <v>17</v>
      </c>
      <c r="I7077" s="3">
        <v>45.000000000000014</v>
      </c>
      <c r="J7077" s="2">
        <v>750</v>
      </c>
      <c r="K7077" s="3">
        <f t="shared" si="110"/>
        <v>33750.000000000007</v>
      </c>
      <c r="L7077" s="3">
        <v>21937.500000000007</v>
      </c>
    </row>
    <row r="7078" spans="1:12" x14ac:dyDescent="0.25">
      <c r="A7078" t="s">
        <v>36</v>
      </c>
      <c r="B7078">
        <v>1185732</v>
      </c>
      <c r="C7078" s="1">
        <v>44506</v>
      </c>
      <c r="D7078" t="s">
        <v>29</v>
      </c>
      <c r="E7078" t="s">
        <v>30</v>
      </c>
      <c r="F7078" t="s">
        <v>31</v>
      </c>
      <c r="G7078" t="s">
        <v>15</v>
      </c>
      <c r="H7078" t="s">
        <v>17</v>
      </c>
      <c r="I7078" s="3">
        <v>50</v>
      </c>
      <c r="J7078" s="2">
        <v>200</v>
      </c>
      <c r="K7078" s="3">
        <f t="shared" si="110"/>
        <v>10000</v>
      </c>
      <c r="L7078" s="3">
        <v>6500</v>
      </c>
    </row>
    <row r="7079" spans="1:12" x14ac:dyDescent="0.25">
      <c r="A7079" t="s">
        <v>19</v>
      </c>
      <c r="B7079">
        <v>1185732</v>
      </c>
      <c r="C7079" s="1">
        <v>44506</v>
      </c>
      <c r="D7079" t="s">
        <v>32</v>
      </c>
      <c r="E7079" t="s">
        <v>46</v>
      </c>
      <c r="F7079" t="s">
        <v>47</v>
      </c>
      <c r="G7079" t="s">
        <v>41</v>
      </c>
      <c r="H7079" t="s">
        <v>22</v>
      </c>
      <c r="I7079" s="3">
        <v>70</v>
      </c>
      <c r="J7079" s="2">
        <v>725</v>
      </c>
      <c r="K7079" s="3">
        <f t="shared" si="110"/>
        <v>50750</v>
      </c>
      <c r="L7079" s="3">
        <v>32987.5</v>
      </c>
    </row>
    <row r="7080" spans="1:12" x14ac:dyDescent="0.25">
      <c r="A7080" t="s">
        <v>11</v>
      </c>
      <c r="B7080">
        <v>1185732</v>
      </c>
      <c r="C7080" s="1">
        <v>44506</v>
      </c>
      <c r="D7080" t="s">
        <v>57</v>
      </c>
      <c r="E7080" t="s">
        <v>78</v>
      </c>
      <c r="F7080" t="s">
        <v>79</v>
      </c>
      <c r="G7080" t="s">
        <v>18</v>
      </c>
      <c r="H7080" t="s">
        <v>17</v>
      </c>
      <c r="I7080" s="3">
        <v>35</v>
      </c>
      <c r="J7080" s="2">
        <v>275</v>
      </c>
      <c r="K7080" s="3">
        <f t="shared" si="110"/>
        <v>9625</v>
      </c>
      <c r="L7080" s="3">
        <v>6256.25</v>
      </c>
    </row>
    <row r="7081" spans="1:12" x14ac:dyDescent="0.25">
      <c r="A7081" t="s">
        <v>19</v>
      </c>
      <c r="B7081">
        <v>1185732</v>
      </c>
      <c r="C7081" s="1">
        <v>44506</v>
      </c>
      <c r="D7081" t="s">
        <v>29</v>
      </c>
      <c r="E7081" t="s">
        <v>55</v>
      </c>
      <c r="F7081" t="s">
        <v>56</v>
      </c>
      <c r="G7081" t="s">
        <v>15</v>
      </c>
      <c r="H7081" t="s">
        <v>37</v>
      </c>
      <c r="I7081" s="3">
        <v>45</v>
      </c>
      <c r="J7081" s="2">
        <v>25</v>
      </c>
      <c r="K7081" s="3">
        <f t="shared" si="110"/>
        <v>1125</v>
      </c>
      <c r="L7081" s="3">
        <v>675</v>
      </c>
    </row>
    <row r="7082" spans="1:12" x14ac:dyDescent="0.25">
      <c r="A7082" t="s">
        <v>11</v>
      </c>
      <c r="B7082">
        <v>1185732</v>
      </c>
      <c r="C7082" s="1">
        <v>44506</v>
      </c>
      <c r="D7082" t="s">
        <v>57</v>
      </c>
      <c r="E7082" t="s">
        <v>78</v>
      </c>
      <c r="F7082" t="s">
        <v>79</v>
      </c>
      <c r="G7082" t="s">
        <v>18</v>
      </c>
      <c r="H7082" t="s">
        <v>16</v>
      </c>
      <c r="I7082" s="3">
        <v>64.999999999999986</v>
      </c>
      <c r="J7082" s="2">
        <v>275</v>
      </c>
      <c r="K7082" s="3">
        <f t="shared" si="110"/>
        <v>17874.999999999996</v>
      </c>
      <c r="L7082" s="3">
        <v>10724.999999999998</v>
      </c>
    </row>
    <row r="7083" spans="1:12" x14ac:dyDescent="0.25">
      <c r="A7083" t="s">
        <v>19</v>
      </c>
      <c r="B7083">
        <v>1185732</v>
      </c>
      <c r="C7083" s="1">
        <v>44506</v>
      </c>
      <c r="D7083" t="s">
        <v>32</v>
      </c>
      <c r="E7083" t="s">
        <v>46</v>
      </c>
      <c r="F7083" t="s">
        <v>47</v>
      </c>
      <c r="G7083" t="s">
        <v>41</v>
      </c>
      <c r="H7083" t="s">
        <v>38</v>
      </c>
      <c r="I7083" s="3">
        <v>55.000000000000007</v>
      </c>
      <c r="J7083" s="2">
        <v>925</v>
      </c>
      <c r="K7083" s="3">
        <f t="shared" si="110"/>
        <v>50875.000000000007</v>
      </c>
      <c r="L7083" s="3">
        <v>27981.25</v>
      </c>
    </row>
    <row r="7084" spans="1:12" x14ac:dyDescent="0.25">
      <c r="A7084" t="s">
        <v>19</v>
      </c>
      <c r="B7084">
        <v>1185732</v>
      </c>
      <c r="C7084" s="1">
        <v>44506</v>
      </c>
      <c r="D7084" t="s">
        <v>32</v>
      </c>
      <c r="E7084" t="s">
        <v>46</v>
      </c>
      <c r="F7084" t="s">
        <v>47</v>
      </c>
      <c r="G7084" t="s">
        <v>41</v>
      </c>
      <c r="H7084" t="s">
        <v>16</v>
      </c>
      <c r="I7084" s="3">
        <v>75</v>
      </c>
      <c r="J7084" s="2">
        <v>825</v>
      </c>
      <c r="K7084" s="3">
        <f t="shared" si="110"/>
        <v>61875</v>
      </c>
      <c r="L7084" s="3">
        <v>30937.5</v>
      </c>
    </row>
    <row r="7085" spans="1:12" x14ac:dyDescent="0.25">
      <c r="A7085" t="s">
        <v>11</v>
      </c>
      <c r="B7085">
        <v>1185732</v>
      </c>
      <c r="C7085" s="1">
        <v>44506</v>
      </c>
      <c r="D7085" t="s">
        <v>57</v>
      </c>
      <c r="E7085" t="s">
        <v>78</v>
      </c>
      <c r="F7085" t="s">
        <v>79</v>
      </c>
      <c r="G7085" t="s">
        <v>18</v>
      </c>
      <c r="H7085" t="s">
        <v>22</v>
      </c>
      <c r="I7085" s="3">
        <v>60</v>
      </c>
      <c r="J7085" s="2">
        <v>175</v>
      </c>
      <c r="K7085" s="3">
        <f t="shared" si="110"/>
        <v>10500</v>
      </c>
      <c r="L7085" s="3">
        <v>5250</v>
      </c>
    </row>
    <row r="7086" spans="1:12" x14ac:dyDescent="0.25">
      <c r="A7086" t="s">
        <v>19</v>
      </c>
      <c r="B7086">
        <v>1185732</v>
      </c>
      <c r="C7086" s="1">
        <v>44506</v>
      </c>
      <c r="D7086" t="s">
        <v>32</v>
      </c>
      <c r="E7086" t="s">
        <v>46</v>
      </c>
      <c r="F7086" t="s">
        <v>47</v>
      </c>
      <c r="G7086" t="s">
        <v>41</v>
      </c>
      <c r="H7086" t="s">
        <v>35</v>
      </c>
      <c r="I7086" s="3">
        <v>43</v>
      </c>
      <c r="J7086" s="2">
        <v>202</v>
      </c>
      <c r="K7086" s="3">
        <f t="shared" si="110"/>
        <v>8686</v>
      </c>
      <c r="L7086" s="3">
        <v>5645.9</v>
      </c>
    </row>
    <row r="7087" spans="1:12" x14ac:dyDescent="0.25">
      <c r="A7087" t="s">
        <v>11</v>
      </c>
      <c r="B7087">
        <v>1185732</v>
      </c>
      <c r="C7087" s="1">
        <v>44506</v>
      </c>
      <c r="D7087" t="s">
        <v>57</v>
      </c>
      <c r="E7087" t="s">
        <v>78</v>
      </c>
      <c r="F7087" t="s">
        <v>79</v>
      </c>
      <c r="G7087" t="s">
        <v>41</v>
      </c>
      <c r="H7087" t="s">
        <v>37</v>
      </c>
      <c r="I7087" s="3">
        <v>34</v>
      </c>
      <c r="J7087" s="2">
        <v>52</v>
      </c>
      <c r="K7087" s="3">
        <f t="shared" si="110"/>
        <v>1768</v>
      </c>
      <c r="L7087" s="3">
        <v>1043.1199999999999</v>
      </c>
    </row>
    <row r="7088" spans="1:12" x14ac:dyDescent="0.25">
      <c r="A7088" t="s">
        <v>19</v>
      </c>
      <c r="B7088">
        <v>1185732</v>
      </c>
      <c r="C7088" s="1">
        <v>44506</v>
      </c>
      <c r="D7088" t="s">
        <v>32</v>
      </c>
      <c r="E7088" t="s">
        <v>46</v>
      </c>
      <c r="F7088" t="s">
        <v>47</v>
      </c>
      <c r="G7088" t="s">
        <v>41</v>
      </c>
      <c r="H7088" t="s">
        <v>37</v>
      </c>
      <c r="I7088" s="3">
        <v>53</v>
      </c>
      <c r="J7088" s="2">
        <v>225</v>
      </c>
      <c r="K7088" s="3">
        <f t="shared" si="110"/>
        <v>11925</v>
      </c>
      <c r="L7088" s="3">
        <v>6916.5</v>
      </c>
    </row>
    <row r="7089" spans="1:12" x14ac:dyDescent="0.25">
      <c r="A7089" t="s">
        <v>19</v>
      </c>
      <c r="B7089">
        <v>1185732</v>
      </c>
      <c r="C7089" s="1">
        <v>44506</v>
      </c>
      <c r="D7089" t="s">
        <v>29</v>
      </c>
      <c r="E7089" t="s">
        <v>55</v>
      </c>
      <c r="F7089" t="s">
        <v>56</v>
      </c>
      <c r="G7089" t="s">
        <v>15</v>
      </c>
      <c r="H7089" t="s">
        <v>37</v>
      </c>
      <c r="I7089" s="3">
        <v>32</v>
      </c>
      <c r="J7089" s="2">
        <v>8</v>
      </c>
      <c r="K7089" s="3">
        <f t="shared" si="110"/>
        <v>256</v>
      </c>
      <c r="L7089" s="3">
        <v>143.36000000000001</v>
      </c>
    </row>
    <row r="7090" spans="1:12" x14ac:dyDescent="0.25">
      <c r="A7090" t="s">
        <v>11</v>
      </c>
      <c r="B7090">
        <v>1185732</v>
      </c>
      <c r="C7090" s="1">
        <v>44506</v>
      </c>
      <c r="D7090" t="s">
        <v>57</v>
      </c>
      <c r="E7090" t="s">
        <v>78</v>
      </c>
      <c r="F7090" t="s">
        <v>79</v>
      </c>
      <c r="G7090" t="s">
        <v>41</v>
      </c>
      <c r="H7090" t="s">
        <v>38</v>
      </c>
      <c r="I7090" s="3">
        <v>41</v>
      </c>
      <c r="J7090" s="2">
        <v>112</v>
      </c>
      <c r="K7090" s="3">
        <f t="shared" si="110"/>
        <v>4592</v>
      </c>
      <c r="L7090" s="3">
        <v>2571.52</v>
      </c>
    </row>
    <row r="7091" spans="1:12" x14ac:dyDescent="0.25">
      <c r="A7091" t="s">
        <v>11</v>
      </c>
      <c r="B7091">
        <v>1185732</v>
      </c>
      <c r="C7091" s="1">
        <v>44506</v>
      </c>
      <c r="D7091" t="s">
        <v>57</v>
      </c>
      <c r="E7091" t="s">
        <v>78</v>
      </c>
      <c r="F7091" t="s">
        <v>79</v>
      </c>
      <c r="G7091" t="s">
        <v>41</v>
      </c>
      <c r="H7091" t="s">
        <v>35</v>
      </c>
      <c r="I7091" s="3">
        <v>32</v>
      </c>
      <c r="J7091" s="2">
        <v>57</v>
      </c>
      <c r="K7091" s="3">
        <f t="shared" si="110"/>
        <v>1824</v>
      </c>
      <c r="L7091" s="3">
        <v>1021.4399999999999</v>
      </c>
    </row>
    <row r="7092" spans="1:12" x14ac:dyDescent="0.25">
      <c r="A7092" t="s">
        <v>19</v>
      </c>
      <c r="B7092">
        <v>1185732</v>
      </c>
      <c r="C7092" s="1">
        <v>44506</v>
      </c>
      <c r="D7092" t="s">
        <v>32</v>
      </c>
      <c r="E7092" t="s">
        <v>46</v>
      </c>
      <c r="F7092" t="s">
        <v>47</v>
      </c>
      <c r="G7092" t="s">
        <v>41</v>
      </c>
      <c r="H7092" t="s">
        <v>17</v>
      </c>
      <c r="I7092" s="3">
        <v>44</v>
      </c>
      <c r="J7092" s="2">
        <v>188</v>
      </c>
      <c r="K7092" s="3">
        <f t="shared" si="110"/>
        <v>8272</v>
      </c>
      <c r="L7092" s="3">
        <v>4549.6000000000004</v>
      </c>
    </row>
    <row r="7093" spans="1:12" x14ac:dyDescent="0.25">
      <c r="A7093" t="s">
        <v>19</v>
      </c>
      <c r="B7093">
        <v>1185732</v>
      </c>
      <c r="C7093" s="1">
        <v>44506</v>
      </c>
      <c r="D7093" t="s">
        <v>32</v>
      </c>
      <c r="E7093" t="s">
        <v>46</v>
      </c>
      <c r="F7093" t="s">
        <v>47</v>
      </c>
      <c r="G7093" t="s">
        <v>41</v>
      </c>
      <c r="H7093" t="s">
        <v>22</v>
      </c>
      <c r="I7093" s="3">
        <v>66</v>
      </c>
      <c r="J7093" s="2">
        <v>196</v>
      </c>
      <c r="K7093" s="3">
        <f t="shared" si="110"/>
        <v>12936</v>
      </c>
      <c r="L7093" s="3">
        <v>6856.08</v>
      </c>
    </row>
    <row r="7094" spans="1:12" x14ac:dyDescent="0.25">
      <c r="A7094" t="s">
        <v>11</v>
      </c>
      <c r="B7094">
        <v>1185732</v>
      </c>
      <c r="C7094" s="1">
        <v>44506</v>
      </c>
      <c r="D7094" t="s">
        <v>57</v>
      </c>
      <c r="E7094" t="s">
        <v>78</v>
      </c>
      <c r="F7094" t="s">
        <v>79</v>
      </c>
      <c r="G7094" t="s">
        <v>41</v>
      </c>
      <c r="H7094" t="s">
        <v>17</v>
      </c>
      <c r="I7094" s="3">
        <v>32</v>
      </c>
      <c r="J7094" s="2">
        <v>72</v>
      </c>
      <c r="K7094" s="3">
        <f t="shared" si="110"/>
        <v>2304</v>
      </c>
      <c r="L7094" s="3">
        <v>1175.04</v>
      </c>
    </row>
    <row r="7095" spans="1:12" x14ac:dyDescent="0.25">
      <c r="A7095" t="s">
        <v>36</v>
      </c>
      <c r="B7095">
        <v>1185732</v>
      </c>
      <c r="C7095" s="1">
        <v>44506</v>
      </c>
      <c r="D7095" t="s">
        <v>29</v>
      </c>
      <c r="E7095" t="s">
        <v>30</v>
      </c>
      <c r="F7095" t="s">
        <v>31</v>
      </c>
      <c r="G7095" t="s">
        <v>41</v>
      </c>
      <c r="H7095" t="s">
        <v>17</v>
      </c>
      <c r="I7095" s="3">
        <v>48</v>
      </c>
      <c r="J7095" s="2">
        <v>60</v>
      </c>
      <c r="K7095" s="3">
        <f t="shared" si="110"/>
        <v>2880</v>
      </c>
      <c r="L7095" s="3">
        <v>1440</v>
      </c>
    </row>
    <row r="7096" spans="1:12" x14ac:dyDescent="0.25">
      <c r="A7096" t="s">
        <v>19</v>
      </c>
      <c r="B7096">
        <v>1185732</v>
      </c>
      <c r="C7096" s="1">
        <v>44506</v>
      </c>
      <c r="D7096" t="s">
        <v>29</v>
      </c>
      <c r="E7096" t="s">
        <v>55</v>
      </c>
      <c r="F7096" t="s">
        <v>56</v>
      </c>
      <c r="G7096" t="s">
        <v>41</v>
      </c>
      <c r="H7096" t="s">
        <v>37</v>
      </c>
      <c r="I7096" s="3">
        <v>43</v>
      </c>
      <c r="J7096" s="2">
        <v>8</v>
      </c>
      <c r="K7096" s="3">
        <f t="shared" si="110"/>
        <v>344</v>
      </c>
      <c r="L7096" s="3">
        <v>168.56</v>
      </c>
    </row>
    <row r="7097" spans="1:12" x14ac:dyDescent="0.25">
      <c r="A7097" t="s">
        <v>11</v>
      </c>
      <c r="B7097">
        <v>1185732</v>
      </c>
      <c r="C7097" s="1">
        <v>44506</v>
      </c>
      <c r="D7097" t="s">
        <v>57</v>
      </c>
      <c r="E7097" t="s">
        <v>78</v>
      </c>
      <c r="F7097" t="s">
        <v>79</v>
      </c>
      <c r="G7097" t="s">
        <v>41</v>
      </c>
      <c r="H7097" t="s">
        <v>16</v>
      </c>
      <c r="I7097" s="3">
        <v>59</v>
      </c>
      <c r="J7097" s="2">
        <v>72</v>
      </c>
      <c r="K7097" s="3">
        <f t="shared" si="110"/>
        <v>4248</v>
      </c>
      <c r="L7097" s="3">
        <v>2039.04</v>
      </c>
    </row>
    <row r="7098" spans="1:12" x14ac:dyDescent="0.25">
      <c r="A7098" t="s">
        <v>19</v>
      </c>
      <c r="B7098">
        <v>1185732</v>
      </c>
      <c r="C7098" s="1">
        <v>44506</v>
      </c>
      <c r="D7098" t="s">
        <v>32</v>
      </c>
      <c r="E7098" t="s">
        <v>46</v>
      </c>
      <c r="F7098" t="s">
        <v>47</v>
      </c>
      <c r="G7098" t="s">
        <v>41</v>
      </c>
      <c r="H7098" t="s">
        <v>38</v>
      </c>
      <c r="I7098" s="3">
        <v>50</v>
      </c>
      <c r="J7098" s="2">
        <v>278</v>
      </c>
      <c r="K7098" s="3">
        <f t="shared" si="110"/>
        <v>13900</v>
      </c>
      <c r="L7098" s="3">
        <v>5976.9999999999991</v>
      </c>
    </row>
    <row r="7099" spans="1:12" x14ac:dyDescent="0.25">
      <c r="A7099" t="s">
        <v>11</v>
      </c>
      <c r="B7099">
        <v>1185732</v>
      </c>
      <c r="C7099" s="1">
        <v>44506</v>
      </c>
      <c r="D7099" t="s">
        <v>57</v>
      </c>
      <c r="E7099" t="s">
        <v>78</v>
      </c>
      <c r="F7099" t="s">
        <v>79</v>
      </c>
      <c r="G7099" t="s">
        <v>41</v>
      </c>
      <c r="H7099" t="s">
        <v>22</v>
      </c>
      <c r="I7099" s="3">
        <v>55</v>
      </c>
      <c r="J7099" s="2">
        <v>49</v>
      </c>
      <c r="K7099" s="3">
        <f t="shared" si="110"/>
        <v>2695</v>
      </c>
      <c r="L7099" s="3">
        <v>1078</v>
      </c>
    </row>
    <row r="7100" spans="1:12" x14ac:dyDescent="0.25">
      <c r="A7100" t="s">
        <v>19</v>
      </c>
      <c r="B7100">
        <v>1185732</v>
      </c>
      <c r="C7100" s="1">
        <v>44506</v>
      </c>
      <c r="D7100" t="s">
        <v>32</v>
      </c>
      <c r="E7100" t="s">
        <v>46</v>
      </c>
      <c r="F7100" t="s">
        <v>47</v>
      </c>
      <c r="G7100" t="s">
        <v>41</v>
      </c>
      <c r="H7100" t="s">
        <v>16</v>
      </c>
      <c r="I7100" s="3">
        <v>74</v>
      </c>
      <c r="J7100" s="2">
        <v>206</v>
      </c>
      <c r="K7100" s="3">
        <f t="shared" si="110"/>
        <v>15244</v>
      </c>
      <c r="L7100" s="3">
        <v>5640.2800000000007</v>
      </c>
    </row>
    <row r="7101" spans="1:12" x14ac:dyDescent="0.25">
      <c r="A7101" t="s">
        <v>19</v>
      </c>
      <c r="B7101">
        <v>1185732</v>
      </c>
      <c r="C7101" s="1">
        <v>44507</v>
      </c>
      <c r="D7101" t="s">
        <v>29</v>
      </c>
      <c r="E7101" t="s">
        <v>55</v>
      </c>
      <c r="F7101" t="s">
        <v>56</v>
      </c>
      <c r="G7101" t="s">
        <v>15</v>
      </c>
      <c r="H7101" t="s">
        <v>22</v>
      </c>
      <c r="I7101" s="3">
        <v>60</v>
      </c>
      <c r="J7101" s="2">
        <v>75</v>
      </c>
      <c r="K7101" s="3">
        <f t="shared" si="110"/>
        <v>4500</v>
      </c>
      <c r="L7101" s="3">
        <v>3150</v>
      </c>
    </row>
    <row r="7102" spans="1:12" x14ac:dyDescent="0.25">
      <c r="A7102" t="s">
        <v>26</v>
      </c>
      <c r="B7102">
        <v>1185732</v>
      </c>
      <c r="C7102" s="1">
        <v>44507</v>
      </c>
      <c r="D7102" t="s">
        <v>29</v>
      </c>
      <c r="E7102" t="s">
        <v>91</v>
      </c>
      <c r="F7102" t="s">
        <v>92</v>
      </c>
      <c r="G7102" t="s">
        <v>18</v>
      </c>
      <c r="H7102" t="s">
        <v>22</v>
      </c>
      <c r="I7102" s="3">
        <v>60</v>
      </c>
      <c r="J7102" s="2">
        <v>225</v>
      </c>
      <c r="K7102" s="3">
        <f t="shared" si="110"/>
        <v>13500</v>
      </c>
      <c r="L7102" s="3">
        <v>9450</v>
      </c>
    </row>
    <row r="7103" spans="1:12" x14ac:dyDescent="0.25">
      <c r="A7103" t="s">
        <v>26</v>
      </c>
      <c r="B7103">
        <v>1185732</v>
      </c>
      <c r="C7103" s="1">
        <v>44507</v>
      </c>
      <c r="D7103" t="s">
        <v>29</v>
      </c>
      <c r="E7103" t="s">
        <v>48</v>
      </c>
      <c r="F7103" t="s">
        <v>49</v>
      </c>
      <c r="G7103" t="s">
        <v>18</v>
      </c>
      <c r="H7103" t="s">
        <v>22</v>
      </c>
      <c r="I7103" s="3">
        <v>60</v>
      </c>
      <c r="J7103" s="2">
        <v>175</v>
      </c>
      <c r="K7103" s="3">
        <f t="shared" si="110"/>
        <v>10500</v>
      </c>
      <c r="L7103" s="3">
        <v>7350</v>
      </c>
    </row>
    <row r="7104" spans="1:12" x14ac:dyDescent="0.25">
      <c r="A7104" t="s">
        <v>26</v>
      </c>
      <c r="B7104">
        <v>1185732</v>
      </c>
      <c r="C7104" s="1">
        <v>44507</v>
      </c>
      <c r="D7104" t="s">
        <v>29</v>
      </c>
      <c r="E7104" t="s">
        <v>91</v>
      </c>
      <c r="F7104" t="s">
        <v>92</v>
      </c>
      <c r="G7104" t="s">
        <v>18</v>
      </c>
      <c r="H7104" t="s">
        <v>38</v>
      </c>
      <c r="I7104" s="3">
        <v>60</v>
      </c>
      <c r="J7104" s="2">
        <v>400</v>
      </c>
      <c r="K7104" s="3">
        <f t="shared" si="110"/>
        <v>24000</v>
      </c>
      <c r="L7104" s="3">
        <v>15600</v>
      </c>
    </row>
    <row r="7105" spans="1:12" x14ac:dyDescent="0.25">
      <c r="A7105" t="s">
        <v>26</v>
      </c>
      <c r="B7105">
        <v>1185732</v>
      </c>
      <c r="C7105" s="1">
        <v>44507</v>
      </c>
      <c r="D7105" t="s">
        <v>29</v>
      </c>
      <c r="E7105" t="s">
        <v>91</v>
      </c>
      <c r="F7105" t="s">
        <v>92</v>
      </c>
      <c r="G7105" t="s">
        <v>18</v>
      </c>
      <c r="H7105" t="s">
        <v>17</v>
      </c>
      <c r="I7105" s="3">
        <v>50</v>
      </c>
      <c r="J7105" s="2">
        <v>275</v>
      </c>
      <c r="K7105" s="3">
        <f t="shared" si="110"/>
        <v>13750</v>
      </c>
      <c r="L7105" s="3">
        <v>8937.5</v>
      </c>
    </row>
    <row r="7106" spans="1:12" x14ac:dyDescent="0.25">
      <c r="A7106" t="s">
        <v>26</v>
      </c>
      <c r="B7106">
        <v>1185732</v>
      </c>
      <c r="C7106" s="1">
        <v>44507</v>
      </c>
      <c r="D7106" t="s">
        <v>29</v>
      </c>
      <c r="E7106" t="s">
        <v>48</v>
      </c>
      <c r="F7106" t="s">
        <v>49</v>
      </c>
      <c r="G7106" t="s">
        <v>18</v>
      </c>
      <c r="H7106" t="s">
        <v>38</v>
      </c>
      <c r="I7106" s="3">
        <v>60</v>
      </c>
      <c r="J7106" s="2">
        <v>350</v>
      </c>
      <c r="K7106" s="3">
        <f t="shared" si="110"/>
        <v>21000</v>
      </c>
      <c r="L7106" s="3">
        <v>13650</v>
      </c>
    </row>
    <row r="7107" spans="1:12" x14ac:dyDescent="0.25">
      <c r="A7107" t="s">
        <v>26</v>
      </c>
      <c r="B7107">
        <v>1185732</v>
      </c>
      <c r="C7107" s="1">
        <v>44507</v>
      </c>
      <c r="D7107" t="s">
        <v>29</v>
      </c>
      <c r="E7107" t="s">
        <v>48</v>
      </c>
      <c r="F7107" t="s">
        <v>49</v>
      </c>
      <c r="G7107" t="s">
        <v>18</v>
      </c>
      <c r="H7107" t="s">
        <v>17</v>
      </c>
      <c r="I7107" s="3">
        <v>50</v>
      </c>
      <c r="J7107" s="2">
        <v>225</v>
      </c>
      <c r="K7107" s="3">
        <f t="shared" ref="K7107:K7170" si="111">I7107*J7107</f>
        <v>11250</v>
      </c>
      <c r="L7107" s="3">
        <v>7312.5</v>
      </c>
    </row>
    <row r="7108" spans="1:12" x14ac:dyDescent="0.25">
      <c r="A7108" t="s">
        <v>36</v>
      </c>
      <c r="B7108">
        <v>1185732</v>
      </c>
      <c r="C7108" s="1">
        <v>44507</v>
      </c>
      <c r="D7108" t="s">
        <v>29</v>
      </c>
      <c r="E7108" t="s">
        <v>30</v>
      </c>
      <c r="F7108" t="s">
        <v>31</v>
      </c>
      <c r="G7108" t="s">
        <v>15</v>
      </c>
      <c r="H7108" t="s">
        <v>35</v>
      </c>
      <c r="I7108" s="3">
        <v>45</v>
      </c>
      <c r="J7108" s="2">
        <v>175</v>
      </c>
      <c r="K7108" s="3">
        <f t="shared" si="111"/>
        <v>7875</v>
      </c>
      <c r="L7108" s="3">
        <v>4725</v>
      </c>
    </row>
    <row r="7109" spans="1:12" x14ac:dyDescent="0.25">
      <c r="A7109" t="s">
        <v>26</v>
      </c>
      <c r="B7109">
        <v>1185732</v>
      </c>
      <c r="C7109" s="1">
        <v>44507</v>
      </c>
      <c r="D7109" t="s">
        <v>29</v>
      </c>
      <c r="E7109" t="s">
        <v>91</v>
      </c>
      <c r="F7109" t="s">
        <v>92</v>
      </c>
      <c r="G7109" t="s">
        <v>18</v>
      </c>
      <c r="H7109" t="s">
        <v>35</v>
      </c>
      <c r="I7109" s="3">
        <v>50</v>
      </c>
      <c r="J7109" s="2">
        <v>270</v>
      </c>
      <c r="K7109" s="3">
        <f t="shared" si="111"/>
        <v>13500</v>
      </c>
      <c r="L7109" s="3">
        <v>8100</v>
      </c>
    </row>
    <row r="7110" spans="1:12" x14ac:dyDescent="0.25">
      <c r="A7110" t="s">
        <v>26</v>
      </c>
      <c r="B7110">
        <v>1185732</v>
      </c>
      <c r="C7110" s="1">
        <v>44507</v>
      </c>
      <c r="D7110" t="s">
        <v>29</v>
      </c>
      <c r="E7110" t="s">
        <v>91</v>
      </c>
      <c r="F7110" t="s">
        <v>92</v>
      </c>
      <c r="G7110" t="s">
        <v>18</v>
      </c>
      <c r="H7110" t="s">
        <v>37</v>
      </c>
      <c r="I7110" s="3">
        <v>50</v>
      </c>
      <c r="J7110" s="2">
        <v>250</v>
      </c>
      <c r="K7110" s="3">
        <f t="shared" si="111"/>
        <v>12500</v>
      </c>
      <c r="L7110" s="3">
        <v>7500</v>
      </c>
    </row>
    <row r="7111" spans="1:12" x14ac:dyDescent="0.25">
      <c r="A7111" t="s">
        <v>26</v>
      </c>
      <c r="B7111">
        <v>1185732</v>
      </c>
      <c r="C7111" s="1">
        <v>44507</v>
      </c>
      <c r="D7111" t="s">
        <v>29</v>
      </c>
      <c r="E7111" t="s">
        <v>48</v>
      </c>
      <c r="F7111" t="s">
        <v>49</v>
      </c>
      <c r="G7111" t="s">
        <v>18</v>
      </c>
      <c r="H7111" t="s">
        <v>35</v>
      </c>
      <c r="I7111" s="3">
        <v>50</v>
      </c>
      <c r="J7111" s="2">
        <v>220</v>
      </c>
      <c r="K7111" s="3">
        <f t="shared" si="111"/>
        <v>11000</v>
      </c>
      <c r="L7111" s="3">
        <v>6600</v>
      </c>
    </row>
    <row r="7112" spans="1:12" x14ac:dyDescent="0.25">
      <c r="A7112" t="s">
        <v>26</v>
      </c>
      <c r="B7112">
        <v>1185732</v>
      </c>
      <c r="C7112" s="1">
        <v>44507</v>
      </c>
      <c r="D7112" t="s">
        <v>29</v>
      </c>
      <c r="E7112" t="s">
        <v>48</v>
      </c>
      <c r="F7112" t="s">
        <v>49</v>
      </c>
      <c r="G7112" t="s">
        <v>18</v>
      </c>
      <c r="H7112" t="s">
        <v>37</v>
      </c>
      <c r="I7112" s="3">
        <v>50</v>
      </c>
      <c r="J7112" s="2">
        <v>200</v>
      </c>
      <c r="K7112" s="3">
        <f t="shared" si="111"/>
        <v>10000</v>
      </c>
      <c r="L7112" s="3">
        <v>6000</v>
      </c>
    </row>
    <row r="7113" spans="1:12" x14ac:dyDescent="0.25">
      <c r="A7113" t="s">
        <v>26</v>
      </c>
      <c r="B7113">
        <v>1185732</v>
      </c>
      <c r="C7113" s="1">
        <v>44507</v>
      </c>
      <c r="D7113" t="s">
        <v>29</v>
      </c>
      <c r="E7113" t="s">
        <v>48</v>
      </c>
      <c r="F7113" t="s">
        <v>49</v>
      </c>
      <c r="G7113" t="s">
        <v>18</v>
      </c>
      <c r="H7113" t="s">
        <v>16</v>
      </c>
      <c r="I7113" s="3">
        <v>64.999999999999986</v>
      </c>
      <c r="J7113" s="2">
        <v>275</v>
      </c>
      <c r="K7113" s="3">
        <f t="shared" si="111"/>
        <v>17874.999999999996</v>
      </c>
      <c r="L7113" s="3">
        <v>10724.999999999998</v>
      </c>
    </row>
    <row r="7114" spans="1:12" x14ac:dyDescent="0.25">
      <c r="A7114" t="s">
        <v>26</v>
      </c>
      <c r="B7114">
        <v>1185732</v>
      </c>
      <c r="C7114" s="1">
        <v>44507</v>
      </c>
      <c r="D7114" t="s">
        <v>29</v>
      </c>
      <c r="E7114" t="s">
        <v>91</v>
      </c>
      <c r="F7114" t="s">
        <v>92</v>
      </c>
      <c r="G7114" t="s">
        <v>18</v>
      </c>
      <c r="H7114" t="s">
        <v>16</v>
      </c>
      <c r="I7114" s="3">
        <v>64.999999999999986</v>
      </c>
      <c r="J7114" s="2">
        <v>325</v>
      </c>
      <c r="K7114" s="3">
        <f t="shared" si="111"/>
        <v>21124.999999999996</v>
      </c>
      <c r="L7114" s="3">
        <v>12674.999999999996</v>
      </c>
    </row>
    <row r="7115" spans="1:12" x14ac:dyDescent="0.25">
      <c r="A7115" t="s">
        <v>26</v>
      </c>
      <c r="B7115">
        <v>1185732</v>
      </c>
      <c r="C7115" s="1">
        <v>44507</v>
      </c>
      <c r="D7115" t="s">
        <v>29</v>
      </c>
      <c r="E7115" t="s">
        <v>48</v>
      </c>
      <c r="F7115" t="s">
        <v>49</v>
      </c>
      <c r="G7115" t="s">
        <v>15</v>
      </c>
      <c r="H7115" t="s">
        <v>22</v>
      </c>
      <c r="I7115" s="3">
        <v>43</v>
      </c>
      <c r="J7115" s="2">
        <v>61</v>
      </c>
      <c r="K7115" s="3">
        <f t="shared" si="111"/>
        <v>2623</v>
      </c>
      <c r="L7115" s="3">
        <v>1757.41</v>
      </c>
    </row>
    <row r="7116" spans="1:12" x14ac:dyDescent="0.25">
      <c r="A7116" t="s">
        <v>19</v>
      </c>
      <c r="B7116">
        <v>1185732</v>
      </c>
      <c r="C7116" s="1">
        <v>44507</v>
      </c>
      <c r="D7116" t="s">
        <v>29</v>
      </c>
      <c r="E7116" t="s">
        <v>55</v>
      </c>
      <c r="F7116" t="s">
        <v>56</v>
      </c>
      <c r="G7116" t="s">
        <v>15</v>
      </c>
      <c r="H7116" t="s">
        <v>22</v>
      </c>
      <c r="I7116" s="3">
        <v>41</v>
      </c>
      <c r="J7116" s="2">
        <v>24</v>
      </c>
      <c r="K7116" s="3">
        <f t="shared" si="111"/>
        <v>984</v>
      </c>
      <c r="L7116" s="3">
        <v>649.44000000000005</v>
      </c>
    </row>
    <row r="7117" spans="1:12" x14ac:dyDescent="0.25">
      <c r="A7117" t="s">
        <v>19</v>
      </c>
      <c r="B7117">
        <v>1185732</v>
      </c>
      <c r="C7117" s="1">
        <v>44507</v>
      </c>
      <c r="D7117" t="s">
        <v>29</v>
      </c>
      <c r="E7117" t="s">
        <v>55</v>
      </c>
      <c r="F7117" t="s">
        <v>56</v>
      </c>
      <c r="G7117" t="s">
        <v>41</v>
      </c>
      <c r="H7117" t="s">
        <v>22</v>
      </c>
      <c r="I7117" s="3">
        <v>58</v>
      </c>
      <c r="J7117" s="2">
        <v>20</v>
      </c>
      <c r="K7117" s="3">
        <f t="shared" si="111"/>
        <v>1160</v>
      </c>
      <c r="L7117" s="3">
        <v>696</v>
      </c>
    </row>
    <row r="7118" spans="1:12" x14ac:dyDescent="0.25">
      <c r="A7118" t="s">
        <v>26</v>
      </c>
      <c r="B7118">
        <v>1185732</v>
      </c>
      <c r="C7118" s="1">
        <v>44507</v>
      </c>
      <c r="D7118" t="s">
        <v>29</v>
      </c>
      <c r="E7118" t="s">
        <v>48</v>
      </c>
      <c r="F7118" t="s">
        <v>49</v>
      </c>
      <c r="G7118" t="s">
        <v>15</v>
      </c>
      <c r="H7118" t="s">
        <v>38</v>
      </c>
      <c r="I7118" s="3">
        <v>40</v>
      </c>
      <c r="J7118" s="2">
        <v>105</v>
      </c>
      <c r="K7118" s="3">
        <f t="shared" si="111"/>
        <v>4200</v>
      </c>
      <c r="L7118" s="3">
        <v>2436</v>
      </c>
    </row>
    <row r="7119" spans="1:12" x14ac:dyDescent="0.25">
      <c r="A7119" t="s">
        <v>26</v>
      </c>
      <c r="B7119">
        <v>1185732</v>
      </c>
      <c r="C7119" s="1">
        <v>44507</v>
      </c>
      <c r="D7119" t="s">
        <v>29</v>
      </c>
      <c r="E7119" t="s">
        <v>48</v>
      </c>
      <c r="F7119" t="s">
        <v>49</v>
      </c>
      <c r="G7119" t="s">
        <v>15</v>
      </c>
      <c r="H7119" t="s">
        <v>17</v>
      </c>
      <c r="I7119" s="3">
        <v>40</v>
      </c>
      <c r="J7119" s="2">
        <v>74</v>
      </c>
      <c r="K7119" s="3">
        <f t="shared" si="111"/>
        <v>2960</v>
      </c>
      <c r="L7119" s="3">
        <v>1716.8</v>
      </c>
    </row>
    <row r="7120" spans="1:12" x14ac:dyDescent="0.25">
      <c r="A7120" t="s">
        <v>26</v>
      </c>
      <c r="B7120">
        <v>1185732</v>
      </c>
      <c r="C7120" s="1">
        <v>44507</v>
      </c>
      <c r="D7120" t="s">
        <v>29</v>
      </c>
      <c r="E7120" t="s">
        <v>91</v>
      </c>
      <c r="F7120" t="s">
        <v>92</v>
      </c>
      <c r="G7120" t="s">
        <v>41</v>
      </c>
      <c r="H7120" t="s">
        <v>22</v>
      </c>
      <c r="I7120" s="3">
        <v>55</v>
      </c>
      <c r="J7120" s="2">
        <v>59</v>
      </c>
      <c r="K7120" s="3">
        <f t="shared" si="111"/>
        <v>3245</v>
      </c>
      <c r="L7120" s="3">
        <v>1817.2</v>
      </c>
    </row>
    <row r="7121" spans="1:12" x14ac:dyDescent="0.25">
      <c r="A7121" t="s">
        <v>26</v>
      </c>
      <c r="B7121">
        <v>1185732</v>
      </c>
      <c r="C7121" s="1">
        <v>44507</v>
      </c>
      <c r="D7121" t="s">
        <v>29</v>
      </c>
      <c r="E7121" t="s">
        <v>48</v>
      </c>
      <c r="F7121" t="s">
        <v>49</v>
      </c>
      <c r="G7121" t="s">
        <v>15</v>
      </c>
      <c r="H7121" t="s">
        <v>16</v>
      </c>
      <c r="I7121" s="3">
        <v>46</v>
      </c>
      <c r="J7121" s="2">
        <v>83</v>
      </c>
      <c r="K7121" s="3">
        <f t="shared" si="111"/>
        <v>3818</v>
      </c>
      <c r="L7121" s="3">
        <v>2138.08</v>
      </c>
    </row>
    <row r="7122" spans="1:12" x14ac:dyDescent="0.25">
      <c r="A7122" t="s">
        <v>26</v>
      </c>
      <c r="B7122">
        <v>1185732</v>
      </c>
      <c r="C7122" s="1">
        <v>44507</v>
      </c>
      <c r="D7122" t="s">
        <v>29</v>
      </c>
      <c r="E7122" t="s">
        <v>48</v>
      </c>
      <c r="F7122" t="s">
        <v>49</v>
      </c>
      <c r="G7122" t="s">
        <v>41</v>
      </c>
      <c r="H7122" t="s">
        <v>22</v>
      </c>
      <c r="I7122" s="3">
        <v>58</v>
      </c>
      <c r="J7122" s="2">
        <v>44</v>
      </c>
      <c r="K7122" s="3">
        <f t="shared" si="111"/>
        <v>2552</v>
      </c>
      <c r="L7122" s="3">
        <v>1429.12</v>
      </c>
    </row>
    <row r="7123" spans="1:12" x14ac:dyDescent="0.25">
      <c r="A7123" t="s">
        <v>26</v>
      </c>
      <c r="B7123">
        <v>1185732</v>
      </c>
      <c r="C7123" s="1">
        <v>44507</v>
      </c>
      <c r="D7123" t="s">
        <v>29</v>
      </c>
      <c r="E7123" t="s">
        <v>48</v>
      </c>
      <c r="F7123" t="s">
        <v>49</v>
      </c>
      <c r="G7123" t="s">
        <v>41</v>
      </c>
      <c r="H7123" t="s">
        <v>17</v>
      </c>
      <c r="I7123" s="3">
        <v>46</v>
      </c>
      <c r="J7123" s="2">
        <v>63</v>
      </c>
      <c r="K7123" s="3">
        <f t="shared" si="111"/>
        <v>2898</v>
      </c>
      <c r="L7123" s="3">
        <v>1593.9</v>
      </c>
    </row>
    <row r="7124" spans="1:12" x14ac:dyDescent="0.25">
      <c r="A7124" t="s">
        <v>26</v>
      </c>
      <c r="B7124">
        <v>1185732</v>
      </c>
      <c r="C7124" s="1">
        <v>44507</v>
      </c>
      <c r="D7124" t="s">
        <v>29</v>
      </c>
      <c r="E7124" t="s">
        <v>48</v>
      </c>
      <c r="F7124" t="s">
        <v>49</v>
      </c>
      <c r="G7124" t="s">
        <v>15</v>
      </c>
      <c r="H7124" t="s">
        <v>35</v>
      </c>
      <c r="I7124" s="3">
        <v>37</v>
      </c>
      <c r="J7124" s="2">
        <v>68</v>
      </c>
      <c r="K7124" s="3">
        <f t="shared" si="111"/>
        <v>2516</v>
      </c>
      <c r="L7124" s="3">
        <v>1383.8</v>
      </c>
    </row>
    <row r="7125" spans="1:12" x14ac:dyDescent="0.25">
      <c r="A7125" t="s">
        <v>26</v>
      </c>
      <c r="B7125">
        <v>1185732</v>
      </c>
      <c r="C7125" s="1">
        <v>44507</v>
      </c>
      <c r="D7125" t="s">
        <v>29</v>
      </c>
      <c r="E7125" t="s">
        <v>48</v>
      </c>
      <c r="F7125" t="s">
        <v>49</v>
      </c>
      <c r="G7125" t="s">
        <v>15</v>
      </c>
      <c r="H7125" t="s">
        <v>37</v>
      </c>
      <c r="I7125" s="3">
        <v>36</v>
      </c>
      <c r="J7125" s="2">
        <v>68</v>
      </c>
      <c r="K7125" s="3">
        <f t="shared" si="111"/>
        <v>2448</v>
      </c>
      <c r="L7125" s="3">
        <v>1346.3999999999999</v>
      </c>
    </row>
    <row r="7126" spans="1:12" x14ac:dyDescent="0.25">
      <c r="A7126" t="s">
        <v>26</v>
      </c>
      <c r="B7126">
        <v>1185732</v>
      </c>
      <c r="C7126" s="1">
        <v>44507</v>
      </c>
      <c r="D7126" t="s">
        <v>29</v>
      </c>
      <c r="E7126" t="s">
        <v>91</v>
      </c>
      <c r="F7126" t="s">
        <v>92</v>
      </c>
      <c r="G7126" t="s">
        <v>41</v>
      </c>
      <c r="H7126" t="s">
        <v>38</v>
      </c>
      <c r="I7126" s="3">
        <v>59</v>
      </c>
      <c r="J7126" s="2">
        <v>108</v>
      </c>
      <c r="K7126" s="3">
        <f t="shared" si="111"/>
        <v>6372</v>
      </c>
      <c r="L7126" s="3">
        <v>3313.44</v>
      </c>
    </row>
    <row r="7127" spans="1:12" x14ac:dyDescent="0.25">
      <c r="A7127" t="s">
        <v>26</v>
      </c>
      <c r="B7127">
        <v>1185732</v>
      </c>
      <c r="C7127" s="1">
        <v>44507</v>
      </c>
      <c r="D7127" t="s">
        <v>29</v>
      </c>
      <c r="E7127" t="s">
        <v>91</v>
      </c>
      <c r="F7127" t="s">
        <v>92</v>
      </c>
      <c r="G7127" t="s">
        <v>41</v>
      </c>
      <c r="H7127" t="s">
        <v>17</v>
      </c>
      <c r="I7127" s="3">
        <v>46</v>
      </c>
      <c r="J7127" s="2">
        <v>80</v>
      </c>
      <c r="K7127" s="3">
        <f t="shared" si="111"/>
        <v>3680</v>
      </c>
      <c r="L7127" s="3">
        <v>1876.8</v>
      </c>
    </row>
    <row r="7128" spans="1:12" x14ac:dyDescent="0.25">
      <c r="A7128" t="s">
        <v>26</v>
      </c>
      <c r="B7128">
        <v>1185732</v>
      </c>
      <c r="C7128" s="1">
        <v>44507</v>
      </c>
      <c r="D7128" t="s">
        <v>29</v>
      </c>
      <c r="E7128" t="s">
        <v>48</v>
      </c>
      <c r="F7128" t="s">
        <v>49</v>
      </c>
      <c r="G7128" t="s">
        <v>41</v>
      </c>
      <c r="H7128" t="s">
        <v>38</v>
      </c>
      <c r="I7128" s="3">
        <v>55</v>
      </c>
      <c r="J7128" s="2">
        <v>95</v>
      </c>
      <c r="K7128" s="3">
        <f t="shared" si="111"/>
        <v>5225</v>
      </c>
      <c r="L7128" s="3">
        <v>2664.75</v>
      </c>
    </row>
    <row r="7129" spans="1:12" x14ac:dyDescent="0.25">
      <c r="A7129" t="s">
        <v>26</v>
      </c>
      <c r="B7129">
        <v>1185732</v>
      </c>
      <c r="C7129" s="1">
        <v>44507</v>
      </c>
      <c r="D7129" t="s">
        <v>29</v>
      </c>
      <c r="E7129" t="s">
        <v>91</v>
      </c>
      <c r="F7129" t="s">
        <v>92</v>
      </c>
      <c r="G7129" t="s">
        <v>41</v>
      </c>
      <c r="H7129" t="s">
        <v>35</v>
      </c>
      <c r="I7129" s="3">
        <v>48</v>
      </c>
      <c r="J7129" s="2">
        <v>68</v>
      </c>
      <c r="K7129" s="3">
        <f t="shared" si="111"/>
        <v>3264</v>
      </c>
      <c r="L7129" s="3">
        <v>1599.36</v>
      </c>
    </row>
    <row r="7130" spans="1:12" x14ac:dyDescent="0.25">
      <c r="A7130" t="s">
        <v>26</v>
      </c>
      <c r="B7130">
        <v>1185732</v>
      </c>
      <c r="C7130" s="1">
        <v>44507</v>
      </c>
      <c r="D7130" t="s">
        <v>29</v>
      </c>
      <c r="E7130" t="s">
        <v>48</v>
      </c>
      <c r="F7130" t="s">
        <v>49</v>
      </c>
      <c r="G7130" t="s">
        <v>41</v>
      </c>
      <c r="H7130" t="s">
        <v>16</v>
      </c>
      <c r="I7130" s="3">
        <v>60</v>
      </c>
      <c r="J7130" s="2">
        <v>77</v>
      </c>
      <c r="K7130" s="3">
        <f t="shared" si="111"/>
        <v>4620</v>
      </c>
      <c r="L7130" s="3">
        <v>2217.6</v>
      </c>
    </row>
    <row r="7131" spans="1:12" x14ac:dyDescent="0.25">
      <c r="A7131" t="s">
        <v>26</v>
      </c>
      <c r="B7131">
        <v>1185732</v>
      </c>
      <c r="C7131" s="1">
        <v>44507</v>
      </c>
      <c r="D7131" t="s">
        <v>29</v>
      </c>
      <c r="E7131" t="s">
        <v>91</v>
      </c>
      <c r="F7131" t="s">
        <v>92</v>
      </c>
      <c r="G7131" t="s">
        <v>41</v>
      </c>
      <c r="H7131" t="s">
        <v>16</v>
      </c>
      <c r="I7131" s="3">
        <v>59</v>
      </c>
      <c r="J7131" s="2">
        <v>91</v>
      </c>
      <c r="K7131" s="3">
        <f t="shared" si="111"/>
        <v>5369</v>
      </c>
      <c r="L7131" s="3">
        <v>2523.4299999999998</v>
      </c>
    </row>
    <row r="7132" spans="1:12" x14ac:dyDescent="0.25">
      <c r="A7132" t="s">
        <v>36</v>
      </c>
      <c r="B7132">
        <v>1185732</v>
      </c>
      <c r="C7132" s="1">
        <v>44507</v>
      </c>
      <c r="D7132" t="s">
        <v>29</v>
      </c>
      <c r="E7132" t="s">
        <v>30</v>
      </c>
      <c r="F7132" t="s">
        <v>31</v>
      </c>
      <c r="G7132" t="s">
        <v>41</v>
      </c>
      <c r="H7132" t="s">
        <v>35</v>
      </c>
      <c r="I7132" s="3">
        <v>42</v>
      </c>
      <c r="J7132" s="2">
        <v>47</v>
      </c>
      <c r="K7132" s="3">
        <f t="shared" si="111"/>
        <v>1974</v>
      </c>
      <c r="L7132" s="3">
        <v>908.04</v>
      </c>
    </row>
    <row r="7133" spans="1:12" x14ac:dyDescent="0.25">
      <c r="A7133" t="s">
        <v>26</v>
      </c>
      <c r="B7133">
        <v>1185732</v>
      </c>
      <c r="C7133" s="1">
        <v>44507</v>
      </c>
      <c r="D7133" t="s">
        <v>29</v>
      </c>
      <c r="E7133" t="s">
        <v>48</v>
      </c>
      <c r="F7133" t="s">
        <v>49</v>
      </c>
      <c r="G7133" t="s">
        <v>41</v>
      </c>
      <c r="H7133" t="s">
        <v>35</v>
      </c>
      <c r="I7133" s="3">
        <v>48</v>
      </c>
      <c r="J7133" s="2">
        <v>64</v>
      </c>
      <c r="K7133" s="3">
        <f t="shared" si="111"/>
        <v>3072</v>
      </c>
      <c r="L7133" s="3">
        <v>1413.12</v>
      </c>
    </row>
    <row r="7134" spans="1:12" x14ac:dyDescent="0.25">
      <c r="A7134" t="s">
        <v>26</v>
      </c>
      <c r="B7134">
        <v>1185732</v>
      </c>
      <c r="C7134" s="1">
        <v>44507</v>
      </c>
      <c r="D7134" t="s">
        <v>29</v>
      </c>
      <c r="E7134" t="s">
        <v>91</v>
      </c>
      <c r="F7134" t="s">
        <v>92</v>
      </c>
      <c r="G7134" t="s">
        <v>41</v>
      </c>
      <c r="H7134" t="s">
        <v>37</v>
      </c>
      <c r="I7134" s="3">
        <v>49</v>
      </c>
      <c r="J7134" s="2">
        <v>65</v>
      </c>
      <c r="K7134" s="3">
        <f t="shared" si="111"/>
        <v>3185</v>
      </c>
      <c r="L7134" s="3">
        <v>1433.2499999999998</v>
      </c>
    </row>
    <row r="7135" spans="1:12" x14ac:dyDescent="0.25">
      <c r="A7135" t="s">
        <v>26</v>
      </c>
      <c r="B7135">
        <v>1185732</v>
      </c>
      <c r="C7135" s="1">
        <v>44507</v>
      </c>
      <c r="D7135" t="s">
        <v>29</v>
      </c>
      <c r="E7135" t="s">
        <v>48</v>
      </c>
      <c r="F7135" t="s">
        <v>49</v>
      </c>
      <c r="G7135" t="s">
        <v>41</v>
      </c>
      <c r="H7135" t="s">
        <v>37</v>
      </c>
      <c r="I7135" s="3">
        <v>48</v>
      </c>
      <c r="J7135" s="2">
        <v>58</v>
      </c>
      <c r="K7135" s="3">
        <f t="shared" si="111"/>
        <v>2784</v>
      </c>
      <c r="L7135" s="3">
        <v>1252.8</v>
      </c>
    </row>
    <row r="7136" spans="1:12" x14ac:dyDescent="0.25">
      <c r="A7136" t="s">
        <v>19</v>
      </c>
      <c r="B7136">
        <v>1185732</v>
      </c>
      <c r="C7136" s="1">
        <v>44508</v>
      </c>
      <c r="D7136" t="s">
        <v>29</v>
      </c>
      <c r="E7136" t="s">
        <v>55</v>
      </c>
      <c r="F7136" t="s">
        <v>56</v>
      </c>
      <c r="G7136" t="s">
        <v>15</v>
      </c>
      <c r="H7136" t="s">
        <v>16</v>
      </c>
      <c r="I7136" s="3">
        <v>50</v>
      </c>
      <c r="J7136" s="2">
        <v>175</v>
      </c>
      <c r="K7136" s="3">
        <f t="shared" si="111"/>
        <v>8750</v>
      </c>
      <c r="L7136" s="3">
        <v>6562.5</v>
      </c>
    </row>
    <row r="7137" spans="1:12" x14ac:dyDescent="0.25">
      <c r="A7137" t="s">
        <v>36</v>
      </c>
      <c r="B7137">
        <v>1185732</v>
      </c>
      <c r="C7137" s="1">
        <v>44508</v>
      </c>
      <c r="D7137" t="s">
        <v>29</v>
      </c>
      <c r="E7137" t="s">
        <v>30</v>
      </c>
      <c r="F7137" t="s">
        <v>31</v>
      </c>
      <c r="G7137" t="s">
        <v>15</v>
      </c>
      <c r="H7137" t="s">
        <v>37</v>
      </c>
      <c r="I7137" s="3">
        <v>45</v>
      </c>
      <c r="J7137" s="2">
        <v>125</v>
      </c>
      <c r="K7137" s="3">
        <f t="shared" si="111"/>
        <v>5625</v>
      </c>
      <c r="L7137" s="3">
        <v>3937.5</v>
      </c>
    </row>
    <row r="7138" spans="1:12" x14ac:dyDescent="0.25">
      <c r="A7138" t="s">
        <v>19</v>
      </c>
      <c r="B7138">
        <v>1185732</v>
      </c>
      <c r="C7138" s="1">
        <v>44508</v>
      </c>
      <c r="D7138" t="s">
        <v>29</v>
      </c>
      <c r="E7138" t="s">
        <v>55</v>
      </c>
      <c r="F7138" t="s">
        <v>56</v>
      </c>
      <c r="G7138" t="s">
        <v>15</v>
      </c>
      <c r="H7138" t="s">
        <v>16</v>
      </c>
      <c r="I7138" s="3">
        <v>38</v>
      </c>
      <c r="J7138" s="2">
        <v>61</v>
      </c>
      <c r="K7138" s="3">
        <f t="shared" si="111"/>
        <v>2318</v>
      </c>
      <c r="L7138" s="3">
        <v>1599.42</v>
      </c>
    </row>
    <row r="7139" spans="1:12" x14ac:dyDescent="0.25">
      <c r="A7139" t="s">
        <v>19</v>
      </c>
      <c r="B7139">
        <v>1185732</v>
      </c>
      <c r="C7139" s="1">
        <v>44508</v>
      </c>
      <c r="D7139" t="s">
        <v>29</v>
      </c>
      <c r="E7139" t="s">
        <v>55</v>
      </c>
      <c r="F7139" t="s">
        <v>56</v>
      </c>
      <c r="G7139" t="s">
        <v>41</v>
      </c>
      <c r="H7139" t="s">
        <v>16</v>
      </c>
      <c r="I7139" s="3">
        <v>47</v>
      </c>
      <c r="J7139" s="2">
        <v>44</v>
      </c>
      <c r="K7139" s="3">
        <f t="shared" si="111"/>
        <v>2068</v>
      </c>
      <c r="L7139" s="3">
        <v>1344.2</v>
      </c>
    </row>
    <row r="7140" spans="1:12" x14ac:dyDescent="0.25">
      <c r="A7140" t="s">
        <v>36</v>
      </c>
      <c r="B7140">
        <v>1185732</v>
      </c>
      <c r="C7140" s="1">
        <v>44508</v>
      </c>
      <c r="D7140" t="s">
        <v>29</v>
      </c>
      <c r="E7140" t="s">
        <v>30</v>
      </c>
      <c r="F7140" t="s">
        <v>31</v>
      </c>
      <c r="G7140" t="s">
        <v>41</v>
      </c>
      <c r="H7140" t="s">
        <v>37</v>
      </c>
      <c r="I7140" s="3">
        <v>41</v>
      </c>
      <c r="J7140" s="2">
        <v>34</v>
      </c>
      <c r="K7140" s="3">
        <f t="shared" si="111"/>
        <v>1394</v>
      </c>
      <c r="L7140" s="3">
        <v>836.4</v>
      </c>
    </row>
    <row r="7141" spans="1:12" x14ac:dyDescent="0.25">
      <c r="A7141" t="s">
        <v>36</v>
      </c>
      <c r="B7141">
        <v>1185732</v>
      </c>
      <c r="C7141" s="1">
        <v>44509</v>
      </c>
      <c r="D7141" t="s">
        <v>29</v>
      </c>
      <c r="E7141" t="s">
        <v>30</v>
      </c>
      <c r="F7141" t="s">
        <v>31</v>
      </c>
      <c r="G7141" t="s">
        <v>15</v>
      </c>
      <c r="H7141" t="s">
        <v>22</v>
      </c>
      <c r="I7141" s="3">
        <v>54.999999999999993</v>
      </c>
      <c r="J7141" s="2">
        <v>150</v>
      </c>
      <c r="K7141" s="3">
        <f t="shared" si="111"/>
        <v>8249.9999999999982</v>
      </c>
      <c r="L7141" s="3">
        <v>6187.4999999999982</v>
      </c>
    </row>
    <row r="7142" spans="1:12" x14ac:dyDescent="0.25">
      <c r="A7142" t="s">
        <v>11</v>
      </c>
      <c r="B7142">
        <v>1185732</v>
      </c>
      <c r="C7142" s="1">
        <v>44509</v>
      </c>
      <c r="D7142" t="s">
        <v>29</v>
      </c>
      <c r="E7142" t="s">
        <v>60</v>
      </c>
      <c r="F7142" t="s">
        <v>61</v>
      </c>
      <c r="G7142" t="s">
        <v>18</v>
      </c>
      <c r="H7142" t="s">
        <v>35</v>
      </c>
      <c r="I7142" s="3">
        <v>50.000000000000014</v>
      </c>
      <c r="J7142" s="2">
        <v>545</v>
      </c>
      <c r="K7142" s="3">
        <f t="shared" si="111"/>
        <v>27250.000000000007</v>
      </c>
      <c r="L7142" s="3">
        <v>20437.500000000007</v>
      </c>
    </row>
    <row r="7143" spans="1:12" x14ac:dyDescent="0.25">
      <c r="A7143" t="s">
        <v>11</v>
      </c>
      <c r="B7143">
        <v>1185732</v>
      </c>
      <c r="C7143" s="1">
        <v>44509</v>
      </c>
      <c r="D7143" t="s">
        <v>29</v>
      </c>
      <c r="E7143" t="s">
        <v>60</v>
      </c>
      <c r="F7143" t="s">
        <v>61</v>
      </c>
      <c r="G7143" t="s">
        <v>18</v>
      </c>
      <c r="H7143" t="s">
        <v>37</v>
      </c>
      <c r="I7143" s="3">
        <v>50.000000000000014</v>
      </c>
      <c r="J7143" s="2">
        <v>575</v>
      </c>
      <c r="K7143" s="3">
        <f t="shared" si="111"/>
        <v>28750.000000000007</v>
      </c>
      <c r="L7143" s="3">
        <v>20125.000000000007</v>
      </c>
    </row>
    <row r="7144" spans="1:12" x14ac:dyDescent="0.25">
      <c r="A7144" t="s">
        <v>19</v>
      </c>
      <c r="B7144">
        <v>1185732</v>
      </c>
      <c r="C7144" s="1">
        <v>44509</v>
      </c>
      <c r="D7144" t="s">
        <v>57</v>
      </c>
      <c r="E7144" t="s">
        <v>76</v>
      </c>
      <c r="F7144" t="s">
        <v>77</v>
      </c>
      <c r="G7144" t="s">
        <v>18</v>
      </c>
      <c r="H7144" t="s">
        <v>17</v>
      </c>
      <c r="I7144" s="3">
        <v>40</v>
      </c>
      <c r="J7144" s="2">
        <v>250</v>
      </c>
      <c r="K7144" s="3">
        <f t="shared" si="111"/>
        <v>10000</v>
      </c>
      <c r="L7144" s="3">
        <v>7000</v>
      </c>
    </row>
    <row r="7145" spans="1:12" x14ac:dyDescent="0.25">
      <c r="A7145" t="s">
        <v>19</v>
      </c>
      <c r="B7145">
        <v>1185732</v>
      </c>
      <c r="C7145" s="1">
        <v>44509</v>
      </c>
      <c r="D7145" t="s">
        <v>57</v>
      </c>
      <c r="E7145" t="s">
        <v>76</v>
      </c>
      <c r="F7145" t="s">
        <v>77</v>
      </c>
      <c r="G7145" t="s">
        <v>18</v>
      </c>
      <c r="H7145" t="s">
        <v>35</v>
      </c>
      <c r="I7145" s="3">
        <v>40</v>
      </c>
      <c r="J7145" s="2">
        <v>195</v>
      </c>
      <c r="K7145" s="3">
        <f t="shared" si="111"/>
        <v>7800</v>
      </c>
      <c r="L7145" s="3">
        <v>5460</v>
      </c>
    </row>
    <row r="7146" spans="1:12" x14ac:dyDescent="0.25">
      <c r="A7146" t="s">
        <v>19</v>
      </c>
      <c r="B7146">
        <v>1185732</v>
      </c>
      <c r="C7146" s="1">
        <v>44509</v>
      </c>
      <c r="D7146" t="s">
        <v>57</v>
      </c>
      <c r="E7146" t="s">
        <v>76</v>
      </c>
      <c r="F7146" t="s">
        <v>77</v>
      </c>
      <c r="G7146" t="s">
        <v>18</v>
      </c>
      <c r="H7146" t="s">
        <v>37</v>
      </c>
      <c r="I7146" s="3">
        <v>40</v>
      </c>
      <c r="J7146" s="2">
        <v>175</v>
      </c>
      <c r="K7146" s="3">
        <f t="shared" si="111"/>
        <v>7000</v>
      </c>
      <c r="L7146" s="3">
        <v>4900</v>
      </c>
    </row>
    <row r="7147" spans="1:12" x14ac:dyDescent="0.25">
      <c r="A7147" t="s">
        <v>11</v>
      </c>
      <c r="B7147">
        <v>1185732</v>
      </c>
      <c r="C7147" s="1">
        <v>44509</v>
      </c>
      <c r="D7147" t="s">
        <v>29</v>
      </c>
      <c r="E7147" t="s">
        <v>60</v>
      </c>
      <c r="F7147" t="s">
        <v>61</v>
      </c>
      <c r="G7147" t="s">
        <v>18</v>
      </c>
      <c r="H7147" t="s">
        <v>17</v>
      </c>
      <c r="I7147" s="3">
        <v>50.000000000000014</v>
      </c>
      <c r="J7147" s="2">
        <v>600</v>
      </c>
      <c r="K7147" s="3">
        <f t="shared" si="111"/>
        <v>30000.000000000007</v>
      </c>
      <c r="L7147" s="3">
        <v>19500.000000000007</v>
      </c>
    </row>
    <row r="7148" spans="1:12" x14ac:dyDescent="0.25">
      <c r="A7148" t="s">
        <v>11</v>
      </c>
      <c r="B7148">
        <v>1185732</v>
      </c>
      <c r="C7148" s="1">
        <v>44509</v>
      </c>
      <c r="D7148" t="s">
        <v>29</v>
      </c>
      <c r="E7148" t="s">
        <v>60</v>
      </c>
      <c r="F7148" t="s">
        <v>61</v>
      </c>
      <c r="G7148" t="s">
        <v>18</v>
      </c>
      <c r="H7148" t="s">
        <v>22</v>
      </c>
      <c r="I7148" s="3">
        <v>65</v>
      </c>
      <c r="J7148" s="2">
        <v>550</v>
      </c>
      <c r="K7148" s="3">
        <f t="shared" si="111"/>
        <v>35750</v>
      </c>
      <c r="L7148" s="3">
        <v>23237.5</v>
      </c>
    </row>
    <row r="7149" spans="1:12" x14ac:dyDescent="0.25">
      <c r="A7149" t="s">
        <v>19</v>
      </c>
      <c r="B7149">
        <v>1185732</v>
      </c>
      <c r="C7149" s="1">
        <v>44509</v>
      </c>
      <c r="D7149" t="s">
        <v>57</v>
      </c>
      <c r="E7149" t="s">
        <v>76</v>
      </c>
      <c r="F7149" t="s">
        <v>77</v>
      </c>
      <c r="G7149" t="s">
        <v>18</v>
      </c>
      <c r="H7149" t="s">
        <v>38</v>
      </c>
      <c r="I7149" s="3">
        <v>49.999999999999993</v>
      </c>
      <c r="J7149" s="2">
        <v>400</v>
      </c>
      <c r="K7149" s="3">
        <f t="shared" si="111"/>
        <v>19999.999999999996</v>
      </c>
      <c r="L7149" s="3">
        <v>12999.999999999998</v>
      </c>
    </row>
    <row r="7150" spans="1:12" x14ac:dyDescent="0.25">
      <c r="A7150" t="s">
        <v>19</v>
      </c>
      <c r="B7150">
        <v>1185732</v>
      </c>
      <c r="C7150" s="1">
        <v>44509</v>
      </c>
      <c r="D7150" t="s">
        <v>57</v>
      </c>
      <c r="E7150" t="s">
        <v>76</v>
      </c>
      <c r="F7150" t="s">
        <v>77</v>
      </c>
      <c r="G7150" t="s">
        <v>18</v>
      </c>
      <c r="H7150" t="s">
        <v>22</v>
      </c>
      <c r="I7150" s="3">
        <v>60</v>
      </c>
      <c r="J7150" s="2">
        <v>150</v>
      </c>
      <c r="K7150" s="3">
        <f t="shared" si="111"/>
        <v>9000</v>
      </c>
      <c r="L7150" s="3">
        <v>5850</v>
      </c>
    </row>
    <row r="7151" spans="1:12" x14ac:dyDescent="0.25">
      <c r="A7151" t="s">
        <v>19</v>
      </c>
      <c r="B7151">
        <v>1185732</v>
      </c>
      <c r="C7151" s="1">
        <v>44509</v>
      </c>
      <c r="D7151" t="s">
        <v>57</v>
      </c>
      <c r="E7151" t="s">
        <v>76</v>
      </c>
      <c r="F7151" t="s">
        <v>77</v>
      </c>
      <c r="G7151" t="s">
        <v>18</v>
      </c>
      <c r="H7151" t="s">
        <v>16</v>
      </c>
      <c r="I7151" s="3">
        <v>64.999999999999986</v>
      </c>
      <c r="J7151" s="2">
        <v>250</v>
      </c>
      <c r="K7151" s="3">
        <f t="shared" si="111"/>
        <v>16249.999999999996</v>
      </c>
      <c r="L7151" s="3">
        <v>9749.9999999999964</v>
      </c>
    </row>
    <row r="7152" spans="1:12" x14ac:dyDescent="0.25">
      <c r="A7152" t="s">
        <v>11</v>
      </c>
      <c r="B7152">
        <v>1185732</v>
      </c>
      <c r="C7152" s="1">
        <v>44509</v>
      </c>
      <c r="D7152" t="s">
        <v>29</v>
      </c>
      <c r="E7152" t="s">
        <v>60</v>
      </c>
      <c r="F7152" t="s">
        <v>61</v>
      </c>
      <c r="G7152" t="s">
        <v>18</v>
      </c>
      <c r="H7152" t="s">
        <v>38</v>
      </c>
      <c r="I7152" s="3">
        <v>60.000000000000007</v>
      </c>
      <c r="J7152" s="2">
        <v>775</v>
      </c>
      <c r="K7152" s="3">
        <f t="shared" si="111"/>
        <v>46500.000000000007</v>
      </c>
      <c r="L7152" s="3">
        <v>25575.000000000004</v>
      </c>
    </row>
    <row r="7153" spans="1:12" x14ac:dyDescent="0.25">
      <c r="A7153" t="s">
        <v>19</v>
      </c>
      <c r="B7153">
        <v>1185732</v>
      </c>
      <c r="C7153" s="1">
        <v>44509</v>
      </c>
      <c r="D7153" t="s">
        <v>29</v>
      </c>
      <c r="E7153" t="s">
        <v>55</v>
      </c>
      <c r="F7153" t="s">
        <v>56</v>
      </c>
      <c r="G7153" t="s">
        <v>15</v>
      </c>
      <c r="H7153" t="s">
        <v>38</v>
      </c>
      <c r="I7153" s="3">
        <v>50</v>
      </c>
      <c r="J7153" s="2">
        <v>450</v>
      </c>
      <c r="K7153" s="3">
        <f t="shared" si="111"/>
        <v>22500</v>
      </c>
      <c r="L7153" s="3">
        <v>11250</v>
      </c>
    </row>
    <row r="7154" spans="1:12" x14ac:dyDescent="0.25">
      <c r="A7154" t="s">
        <v>11</v>
      </c>
      <c r="B7154">
        <v>1185732</v>
      </c>
      <c r="C7154" s="1">
        <v>44509</v>
      </c>
      <c r="D7154" t="s">
        <v>29</v>
      </c>
      <c r="E7154" t="s">
        <v>60</v>
      </c>
      <c r="F7154" t="s">
        <v>61</v>
      </c>
      <c r="G7154" t="s">
        <v>18</v>
      </c>
      <c r="H7154" t="s">
        <v>16</v>
      </c>
      <c r="I7154" s="3">
        <v>70</v>
      </c>
      <c r="J7154" s="2">
        <v>650</v>
      </c>
      <c r="K7154" s="3">
        <f t="shared" si="111"/>
        <v>45500</v>
      </c>
      <c r="L7154" s="3">
        <v>22750</v>
      </c>
    </row>
    <row r="7155" spans="1:12" x14ac:dyDescent="0.25">
      <c r="A7155" t="s">
        <v>11</v>
      </c>
      <c r="B7155">
        <v>1185732</v>
      </c>
      <c r="C7155" s="1">
        <v>44509</v>
      </c>
      <c r="D7155" t="s">
        <v>29</v>
      </c>
      <c r="E7155" t="s">
        <v>60</v>
      </c>
      <c r="F7155" t="s">
        <v>61</v>
      </c>
      <c r="G7155" t="s">
        <v>41</v>
      </c>
      <c r="H7155" t="s">
        <v>35</v>
      </c>
      <c r="I7155" s="3">
        <v>45</v>
      </c>
      <c r="J7155" s="2">
        <v>147</v>
      </c>
      <c r="K7155" s="3">
        <f t="shared" si="111"/>
        <v>6615</v>
      </c>
      <c r="L7155" s="3">
        <v>4233.6000000000004</v>
      </c>
    </row>
    <row r="7156" spans="1:12" x14ac:dyDescent="0.25">
      <c r="A7156" t="s">
        <v>36</v>
      </c>
      <c r="B7156">
        <v>1185732</v>
      </c>
      <c r="C7156" s="1">
        <v>44509</v>
      </c>
      <c r="D7156" t="s">
        <v>29</v>
      </c>
      <c r="E7156" t="s">
        <v>30</v>
      </c>
      <c r="F7156" t="s">
        <v>31</v>
      </c>
      <c r="G7156" t="s">
        <v>41</v>
      </c>
      <c r="H7156" t="s">
        <v>22</v>
      </c>
      <c r="I7156" s="3">
        <v>51</v>
      </c>
      <c r="J7156" s="2">
        <v>42</v>
      </c>
      <c r="K7156" s="3">
        <f t="shared" si="111"/>
        <v>2142</v>
      </c>
      <c r="L7156" s="3">
        <v>1349.46</v>
      </c>
    </row>
    <row r="7157" spans="1:12" x14ac:dyDescent="0.25">
      <c r="A7157" t="s">
        <v>11</v>
      </c>
      <c r="B7157">
        <v>1185732</v>
      </c>
      <c r="C7157" s="1">
        <v>44509</v>
      </c>
      <c r="D7157" t="s">
        <v>29</v>
      </c>
      <c r="E7157" t="s">
        <v>60</v>
      </c>
      <c r="F7157" t="s">
        <v>61</v>
      </c>
      <c r="G7157" t="s">
        <v>41</v>
      </c>
      <c r="H7157" t="s">
        <v>37</v>
      </c>
      <c r="I7157" s="3">
        <v>47</v>
      </c>
      <c r="J7157" s="2">
        <v>144</v>
      </c>
      <c r="K7157" s="3">
        <f t="shared" si="111"/>
        <v>6768</v>
      </c>
      <c r="L7157" s="3">
        <v>4060.7999999999997</v>
      </c>
    </row>
    <row r="7158" spans="1:12" x14ac:dyDescent="0.25">
      <c r="A7158" t="s">
        <v>19</v>
      </c>
      <c r="B7158">
        <v>1185732</v>
      </c>
      <c r="C7158" s="1">
        <v>44509</v>
      </c>
      <c r="D7158" t="s">
        <v>57</v>
      </c>
      <c r="E7158" t="s">
        <v>76</v>
      </c>
      <c r="F7158" t="s">
        <v>77</v>
      </c>
      <c r="G7158" t="s">
        <v>41</v>
      </c>
      <c r="H7158" t="s">
        <v>37</v>
      </c>
      <c r="I7158" s="3">
        <v>39</v>
      </c>
      <c r="J7158" s="2">
        <v>47</v>
      </c>
      <c r="K7158" s="3">
        <f t="shared" si="111"/>
        <v>1833</v>
      </c>
      <c r="L7158" s="3">
        <v>1044.81</v>
      </c>
    </row>
    <row r="7159" spans="1:12" x14ac:dyDescent="0.25">
      <c r="A7159" t="s">
        <v>19</v>
      </c>
      <c r="B7159">
        <v>1185732</v>
      </c>
      <c r="C7159" s="1">
        <v>44509</v>
      </c>
      <c r="D7159" t="s">
        <v>57</v>
      </c>
      <c r="E7159" t="s">
        <v>76</v>
      </c>
      <c r="F7159" t="s">
        <v>77</v>
      </c>
      <c r="G7159" t="s">
        <v>41</v>
      </c>
      <c r="H7159" t="s">
        <v>35</v>
      </c>
      <c r="I7159" s="3">
        <v>39</v>
      </c>
      <c r="J7159" s="2">
        <v>53</v>
      </c>
      <c r="K7159" s="3">
        <f t="shared" si="111"/>
        <v>2067</v>
      </c>
      <c r="L7159" s="3">
        <v>1157.52</v>
      </c>
    </row>
    <row r="7160" spans="1:12" x14ac:dyDescent="0.25">
      <c r="A7160" t="s">
        <v>11</v>
      </c>
      <c r="B7160">
        <v>1185732</v>
      </c>
      <c r="C7160" s="1">
        <v>44509</v>
      </c>
      <c r="D7160" t="s">
        <v>29</v>
      </c>
      <c r="E7160" t="s">
        <v>60</v>
      </c>
      <c r="F7160" t="s">
        <v>61</v>
      </c>
      <c r="G7160" t="s">
        <v>41</v>
      </c>
      <c r="H7160" t="s">
        <v>22</v>
      </c>
      <c r="I7160" s="3">
        <v>62</v>
      </c>
      <c r="J7160" s="2">
        <v>154</v>
      </c>
      <c r="K7160" s="3">
        <f t="shared" si="111"/>
        <v>9548</v>
      </c>
      <c r="L7160" s="3">
        <v>5251.4000000000005</v>
      </c>
    </row>
    <row r="7161" spans="1:12" x14ac:dyDescent="0.25">
      <c r="A7161" t="s">
        <v>19</v>
      </c>
      <c r="B7161">
        <v>1185732</v>
      </c>
      <c r="C7161" s="1">
        <v>44509</v>
      </c>
      <c r="D7161" t="s">
        <v>57</v>
      </c>
      <c r="E7161" t="s">
        <v>76</v>
      </c>
      <c r="F7161" t="s">
        <v>77</v>
      </c>
      <c r="G7161" t="s">
        <v>41</v>
      </c>
      <c r="H7161" t="s">
        <v>17</v>
      </c>
      <c r="I7161" s="3">
        <v>36</v>
      </c>
      <c r="J7161" s="2">
        <v>73</v>
      </c>
      <c r="K7161" s="3">
        <f t="shared" si="111"/>
        <v>2628</v>
      </c>
      <c r="L7161" s="3">
        <v>1445.4</v>
      </c>
    </row>
    <row r="7162" spans="1:12" x14ac:dyDescent="0.25">
      <c r="A7162" t="s">
        <v>19</v>
      </c>
      <c r="B7162">
        <v>1185732</v>
      </c>
      <c r="C7162" s="1">
        <v>44509</v>
      </c>
      <c r="D7162" t="s">
        <v>57</v>
      </c>
      <c r="E7162" t="s">
        <v>76</v>
      </c>
      <c r="F7162" t="s">
        <v>77</v>
      </c>
      <c r="G7162" t="s">
        <v>41</v>
      </c>
      <c r="H7162" t="s">
        <v>22</v>
      </c>
      <c r="I7162" s="3">
        <v>55</v>
      </c>
      <c r="J7162" s="2">
        <v>44</v>
      </c>
      <c r="K7162" s="3">
        <f t="shared" si="111"/>
        <v>2420</v>
      </c>
      <c r="L7162" s="3">
        <v>1331</v>
      </c>
    </row>
    <row r="7163" spans="1:12" x14ac:dyDescent="0.25">
      <c r="A7163" t="s">
        <v>11</v>
      </c>
      <c r="B7163">
        <v>1185732</v>
      </c>
      <c r="C7163" s="1">
        <v>44509</v>
      </c>
      <c r="D7163" t="s">
        <v>29</v>
      </c>
      <c r="E7163" t="s">
        <v>60</v>
      </c>
      <c r="F7163" t="s">
        <v>61</v>
      </c>
      <c r="G7163" t="s">
        <v>41</v>
      </c>
      <c r="H7163" t="s">
        <v>17</v>
      </c>
      <c r="I7163" s="3">
        <v>49</v>
      </c>
      <c r="J7163" s="2">
        <v>162</v>
      </c>
      <c r="K7163" s="3">
        <f t="shared" si="111"/>
        <v>7938</v>
      </c>
      <c r="L7163" s="3">
        <v>4048.38</v>
      </c>
    </row>
    <row r="7164" spans="1:12" x14ac:dyDescent="0.25">
      <c r="A7164" t="s">
        <v>19</v>
      </c>
      <c r="B7164">
        <v>1185732</v>
      </c>
      <c r="C7164" s="1">
        <v>44509</v>
      </c>
      <c r="D7164" t="s">
        <v>57</v>
      </c>
      <c r="E7164" t="s">
        <v>76</v>
      </c>
      <c r="F7164" t="s">
        <v>77</v>
      </c>
      <c r="G7164" t="s">
        <v>41</v>
      </c>
      <c r="H7164" t="s">
        <v>38</v>
      </c>
      <c r="I7164" s="3">
        <v>49</v>
      </c>
      <c r="J7164" s="2">
        <v>120</v>
      </c>
      <c r="K7164" s="3">
        <f t="shared" si="111"/>
        <v>5880</v>
      </c>
      <c r="L7164" s="3">
        <v>2940</v>
      </c>
    </row>
    <row r="7165" spans="1:12" x14ac:dyDescent="0.25">
      <c r="A7165" t="s">
        <v>19</v>
      </c>
      <c r="B7165">
        <v>1185732</v>
      </c>
      <c r="C7165" s="1">
        <v>44509</v>
      </c>
      <c r="D7165" t="s">
        <v>57</v>
      </c>
      <c r="E7165" t="s">
        <v>76</v>
      </c>
      <c r="F7165" t="s">
        <v>77</v>
      </c>
      <c r="G7165" t="s">
        <v>41</v>
      </c>
      <c r="H7165" t="s">
        <v>16</v>
      </c>
      <c r="I7165" s="3">
        <v>60</v>
      </c>
      <c r="J7165" s="2">
        <v>65</v>
      </c>
      <c r="K7165" s="3">
        <f t="shared" si="111"/>
        <v>3900</v>
      </c>
      <c r="L7165" s="3">
        <v>1911</v>
      </c>
    </row>
    <row r="7166" spans="1:12" x14ac:dyDescent="0.25">
      <c r="A7166" t="s">
        <v>11</v>
      </c>
      <c r="B7166">
        <v>1185732</v>
      </c>
      <c r="C7166" s="1">
        <v>44509</v>
      </c>
      <c r="D7166" t="s">
        <v>29</v>
      </c>
      <c r="E7166" t="s">
        <v>60</v>
      </c>
      <c r="F7166" t="s">
        <v>61</v>
      </c>
      <c r="G7166" t="s">
        <v>41</v>
      </c>
      <c r="H7166" t="s">
        <v>38</v>
      </c>
      <c r="I7166" s="3">
        <v>56</v>
      </c>
      <c r="J7166" s="2">
        <v>217</v>
      </c>
      <c r="K7166" s="3">
        <f t="shared" si="111"/>
        <v>12152</v>
      </c>
      <c r="L7166" s="3">
        <v>5468.4</v>
      </c>
    </row>
    <row r="7167" spans="1:12" x14ac:dyDescent="0.25">
      <c r="A7167" t="s">
        <v>19</v>
      </c>
      <c r="B7167">
        <v>1185732</v>
      </c>
      <c r="C7167" s="1">
        <v>44509</v>
      </c>
      <c r="D7167" t="s">
        <v>29</v>
      </c>
      <c r="E7167" t="s">
        <v>55</v>
      </c>
      <c r="F7167" t="s">
        <v>56</v>
      </c>
      <c r="G7167" t="s">
        <v>15</v>
      </c>
      <c r="H7167" t="s">
        <v>38</v>
      </c>
      <c r="I7167" s="3">
        <v>35</v>
      </c>
      <c r="J7167" s="2">
        <v>140</v>
      </c>
      <c r="K7167" s="3">
        <f t="shared" si="111"/>
        <v>4900</v>
      </c>
      <c r="L7167" s="3">
        <v>2106.9999999999995</v>
      </c>
    </row>
    <row r="7168" spans="1:12" x14ac:dyDescent="0.25">
      <c r="A7168" t="s">
        <v>19</v>
      </c>
      <c r="B7168">
        <v>1185732</v>
      </c>
      <c r="C7168" s="1">
        <v>44509</v>
      </c>
      <c r="D7168" t="s">
        <v>29</v>
      </c>
      <c r="E7168" t="s">
        <v>55</v>
      </c>
      <c r="F7168" t="s">
        <v>56</v>
      </c>
      <c r="G7168" t="s">
        <v>41</v>
      </c>
      <c r="H7168" t="s">
        <v>38</v>
      </c>
      <c r="I7168" s="3">
        <v>46</v>
      </c>
      <c r="J7168" s="2">
        <v>122</v>
      </c>
      <c r="K7168" s="3">
        <f t="shared" si="111"/>
        <v>5612</v>
      </c>
      <c r="L7168" s="3">
        <v>2076.44</v>
      </c>
    </row>
    <row r="7169" spans="1:12" x14ac:dyDescent="0.25">
      <c r="A7169" t="s">
        <v>11</v>
      </c>
      <c r="B7169">
        <v>1185732</v>
      </c>
      <c r="C7169" s="1">
        <v>44509</v>
      </c>
      <c r="D7169" t="s">
        <v>29</v>
      </c>
      <c r="E7169" t="s">
        <v>60</v>
      </c>
      <c r="F7169" t="s">
        <v>61</v>
      </c>
      <c r="G7169" t="s">
        <v>41</v>
      </c>
      <c r="H7169" t="s">
        <v>16</v>
      </c>
      <c r="I7169" s="3">
        <v>68</v>
      </c>
      <c r="J7169" s="2">
        <v>176</v>
      </c>
      <c r="K7169" s="3">
        <f t="shared" si="111"/>
        <v>11968</v>
      </c>
      <c r="L7169" s="3">
        <v>4308.4799999999996</v>
      </c>
    </row>
    <row r="7170" spans="1:12" x14ac:dyDescent="0.25">
      <c r="A7170" t="s">
        <v>23</v>
      </c>
      <c r="B7170">
        <v>1128299</v>
      </c>
      <c r="C7170" s="1">
        <v>44510</v>
      </c>
      <c r="D7170" t="s">
        <v>12</v>
      </c>
      <c r="E7170" t="s">
        <v>20</v>
      </c>
      <c r="F7170" t="s">
        <v>21</v>
      </c>
      <c r="G7170" t="s">
        <v>15</v>
      </c>
      <c r="H7170" t="s">
        <v>22</v>
      </c>
      <c r="I7170" s="3">
        <v>85.000000000000014</v>
      </c>
      <c r="J7170" s="2">
        <v>375</v>
      </c>
      <c r="K7170" s="3">
        <f t="shared" si="111"/>
        <v>31875.000000000004</v>
      </c>
      <c r="L7170" s="3">
        <v>27093.750000000007</v>
      </c>
    </row>
    <row r="7171" spans="1:12" x14ac:dyDescent="0.25">
      <c r="A7171" t="s">
        <v>23</v>
      </c>
      <c r="B7171">
        <v>1128299</v>
      </c>
      <c r="C7171" s="1">
        <v>44510</v>
      </c>
      <c r="D7171" t="s">
        <v>12</v>
      </c>
      <c r="E7171" t="s">
        <v>20</v>
      </c>
      <c r="F7171" t="s">
        <v>21</v>
      </c>
      <c r="G7171" t="s">
        <v>15</v>
      </c>
      <c r="H7171" t="s">
        <v>17</v>
      </c>
      <c r="I7171" s="3">
        <v>60.000000000000007</v>
      </c>
      <c r="J7171" s="2">
        <v>600</v>
      </c>
      <c r="K7171" s="3">
        <f t="shared" ref="K7171:K7234" si="112">I7171*J7171</f>
        <v>36000.000000000007</v>
      </c>
      <c r="L7171" s="3">
        <v>28800.000000000007</v>
      </c>
    </row>
    <row r="7172" spans="1:12" x14ac:dyDescent="0.25">
      <c r="A7172" t="s">
        <v>23</v>
      </c>
      <c r="B7172">
        <v>1128299</v>
      </c>
      <c r="C7172" s="1">
        <v>44510</v>
      </c>
      <c r="D7172" t="s">
        <v>12</v>
      </c>
      <c r="E7172" t="s">
        <v>20</v>
      </c>
      <c r="F7172" t="s">
        <v>21</v>
      </c>
      <c r="G7172" t="s">
        <v>15</v>
      </c>
      <c r="H7172" t="s">
        <v>38</v>
      </c>
      <c r="I7172" s="3">
        <v>55.000000000000007</v>
      </c>
      <c r="J7172" s="2">
        <v>525</v>
      </c>
      <c r="K7172" s="3">
        <f t="shared" si="112"/>
        <v>28875.000000000004</v>
      </c>
      <c r="L7172" s="3">
        <v>21656.250000000007</v>
      </c>
    </row>
    <row r="7173" spans="1:12" x14ac:dyDescent="0.25">
      <c r="A7173" t="s">
        <v>23</v>
      </c>
      <c r="B7173">
        <v>1128299</v>
      </c>
      <c r="C7173" s="1">
        <v>44510</v>
      </c>
      <c r="D7173" t="s">
        <v>12</v>
      </c>
      <c r="E7173" t="s">
        <v>20</v>
      </c>
      <c r="F7173" t="s">
        <v>21</v>
      </c>
      <c r="G7173" t="s">
        <v>15</v>
      </c>
      <c r="H7173" t="s">
        <v>35</v>
      </c>
      <c r="I7173" s="3">
        <v>55.000000000000007</v>
      </c>
      <c r="J7173" s="2">
        <v>425</v>
      </c>
      <c r="K7173" s="3">
        <f t="shared" si="112"/>
        <v>23375.000000000004</v>
      </c>
      <c r="L7173" s="3">
        <v>17531.250000000004</v>
      </c>
    </row>
    <row r="7174" spans="1:12" x14ac:dyDescent="0.25">
      <c r="A7174" t="s">
        <v>23</v>
      </c>
      <c r="B7174">
        <v>1128299</v>
      </c>
      <c r="C7174" s="1">
        <v>44510</v>
      </c>
      <c r="D7174" t="s">
        <v>12</v>
      </c>
      <c r="E7174" t="s">
        <v>20</v>
      </c>
      <c r="F7174" t="s">
        <v>21</v>
      </c>
      <c r="G7174" t="s">
        <v>15</v>
      </c>
      <c r="H7174" t="s">
        <v>37</v>
      </c>
      <c r="I7174" s="3">
        <v>65.000000000000014</v>
      </c>
      <c r="J7174" s="2">
        <v>400</v>
      </c>
      <c r="K7174" s="3">
        <f t="shared" si="112"/>
        <v>26000.000000000007</v>
      </c>
      <c r="L7174" s="3">
        <v>19500.000000000007</v>
      </c>
    </row>
    <row r="7175" spans="1:12" x14ac:dyDescent="0.25">
      <c r="A7175" t="s">
        <v>19</v>
      </c>
      <c r="B7175">
        <v>1185732</v>
      </c>
      <c r="C7175" s="1">
        <v>44510</v>
      </c>
      <c r="D7175" t="s">
        <v>29</v>
      </c>
      <c r="E7175" t="s">
        <v>55</v>
      </c>
      <c r="F7175" t="s">
        <v>56</v>
      </c>
      <c r="G7175" t="s">
        <v>15</v>
      </c>
      <c r="H7175" t="s">
        <v>17</v>
      </c>
      <c r="I7175" s="3">
        <v>50</v>
      </c>
      <c r="J7175" s="2">
        <v>150</v>
      </c>
      <c r="K7175" s="3">
        <f t="shared" si="112"/>
        <v>7500</v>
      </c>
      <c r="L7175" s="3">
        <v>5250</v>
      </c>
    </row>
    <row r="7176" spans="1:12" x14ac:dyDescent="0.25">
      <c r="A7176" t="s">
        <v>11</v>
      </c>
      <c r="B7176">
        <v>1185732</v>
      </c>
      <c r="C7176" s="1">
        <v>44510</v>
      </c>
      <c r="D7176" t="s">
        <v>57</v>
      </c>
      <c r="E7176" t="s">
        <v>103</v>
      </c>
      <c r="F7176" t="s">
        <v>104</v>
      </c>
      <c r="G7176" t="s">
        <v>18</v>
      </c>
      <c r="H7176" t="s">
        <v>22</v>
      </c>
      <c r="I7176" s="3">
        <v>60</v>
      </c>
      <c r="J7176" s="2">
        <v>250</v>
      </c>
      <c r="K7176" s="3">
        <f t="shared" si="112"/>
        <v>15000</v>
      </c>
      <c r="L7176" s="3">
        <v>10500</v>
      </c>
    </row>
    <row r="7177" spans="1:12" x14ac:dyDescent="0.25">
      <c r="A7177" t="s">
        <v>36</v>
      </c>
      <c r="B7177">
        <v>1185732</v>
      </c>
      <c r="C7177" s="1">
        <v>44510</v>
      </c>
      <c r="D7177" t="s">
        <v>57</v>
      </c>
      <c r="E7177" t="s">
        <v>110</v>
      </c>
      <c r="F7177" t="s">
        <v>111</v>
      </c>
      <c r="G7177" t="s">
        <v>41</v>
      </c>
      <c r="H7177" t="s">
        <v>17</v>
      </c>
      <c r="I7177" s="3">
        <v>25.000000000000011</v>
      </c>
      <c r="J7177" s="2">
        <v>500</v>
      </c>
      <c r="K7177" s="3">
        <f t="shared" si="112"/>
        <v>12500.000000000005</v>
      </c>
      <c r="L7177" s="3">
        <v>8125.0000000000045</v>
      </c>
    </row>
    <row r="7178" spans="1:12" x14ac:dyDescent="0.25">
      <c r="A7178" t="s">
        <v>36</v>
      </c>
      <c r="B7178">
        <v>1185732</v>
      </c>
      <c r="C7178" s="1">
        <v>44510</v>
      </c>
      <c r="D7178" t="s">
        <v>57</v>
      </c>
      <c r="E7178" t="s">
        <v>110</v>
      </c>
      <c r="F7178" t="s">
        <v>111</v>
      </c>
      <c r="G7178" t="s">
        <v>41</v>
      </c>
      <c r="H7178" t="s">
        <v>22</v>
      </c>
      <c r="I7178" s="3">
        <v>80.000000000000014</v>
      </c>
      <c r="J7178" s="2">
        <v>475</v>
      </c>
      <c r="K7178" s="3">
        <f t="shared" si="112"/>
        <v>38000.000000000007</v>
      </c>
      <c r="L7178" s="3">
        <v>24700.000000000007</v>
      </c>
    </row>
    <row r="7179" spans="1:12" x14ac:dyDescent="0.25">
      <c r="A7179" t="s">
        <v>11</v>
      </c>
      <c r="B7179">
        <v>1185732</v>
      </c>
      <c r="C7179" s="1">
        <v>44510</v>
      </c>
      <c r="D7179" t="s">
        <v>57</v>
      </c>
      <c r="E7179" t="s">
        <v>103</v>
      </c>
      <c r="F7179" t="s">
        <v>104</v>
      </c>
      <c r="G7179" t="s">
        <v>18</v>
      </c>
      <c r="H7179" t="s">
        <v>35</v>
      </c>
      <c r="I7179" s="3">
        <v>35</v>
      </c>
      <c r="J7179" s="2">
        <v>270</v>
      </c>
      <c r="K7179" s="3">
        <f t="shared" si="112"/>
        <v>9450</v>
      </c>
      <c r="L7179" s="3">
        <v>6142.5</v>
      </c>
    </row>
    <row r="7180" spans="1:12" x14ac:dyDescent="0.25">
      <c r="A7180" t="s">
        <v>11</v>
      </c>
      <c r="B7180">
        <v>1185732</v>
      </c>
      <c r="C7180" s="1">
        <v>44510</v>
      </c>
      <c r="D7180" t="s">
        <v>57</v>
      </c>
      <c r="E7180" t="s">
        <v>103</v>
      </c>
      <c r="F7180" t="s">
        <v>104</v>
      </c>
      <c r="G7180" t="s">
        <v>18</v>
      </c>
      <c r="H7180" t="s">
        <v>37</v>
      </c>
      <c r="I7180" s="3">
        <v>35</v>
      </c>
      <c r="J7180" s="2">
        <v>275</v>
      </c>
      <c r="K7180" s="3">
        <f t="shared" si="112"/>
        <v>9625</v>
      </c>
      <c r="L7180" s="3">
        <v>6256.25</v>
      </c>
    </row>
    <row r="7181" spans="1:12" x14ac:dyDescent="0.25">
      <c r="A7181" t="s">
        <v>36</v>
      </c>
      <c r="B7181">
        <v>1185732</v>
      </c>
      <c r="C7181" s="1">
        <v>44510</v>
      </c>
      <c r="D7181" t="s">
        <v>57</v>
      </c>
      <c r="E7181" t="s">
        <v>110</v>
      </c>
      <c r="F7181" t="s">
        <v>111</v>
      </c>
      <c r="G7181" t="s">
        <v>41</v>
      </c>
      <c r="H7181" t="s">
        <v>38</v>
      </c>
      <c r="I7181" s="3">
        <v>35.000000000000007</v>
      </c>
      <c r="J7181" s="2">
        <v>675</v>
      </c>
      <c r="K7181" s="3">
        <f t="shared" si="112"/>
        <v>23625.000000000004</v>
      </c>
      <c r="L7181" s="3">
        <v>14175.000000000004</v>
      </c>
    </row>
    <row r="7182" spans="1:12" x14ac:dyDescent="0.25">
      <c r="A7182" t="s">
        <v>36</v>
      </c>
      <c r="B7182">
        <v>1185732</v>
      </c>
      <c r="C7182" s="1">
        <v>44510</v>
      </c>
      <c r="D7182" t="s">
        <v>29</v>
      </c>
      <c r="E7182" t="s">
        <v>30</v>
      </c>
      <c r="F7182" t="s">
        <v>31</v>
      </c>
      <c r="G7182" t="s">
        <v>15</v>
      </c>
      <c r="H7182" t="s">
        <v>16</v>
      </c>
      <c r="I7182" s="3">
        <v>60</v>
      </c>
      <c r="J7182" s="2">
        <v>275</v>
      </c>
      <c r="K7182" s="3">
        <f t="shared" si="112"/>
        <v>16500</v>
      </c>
      <c r="L7182" s="3">
        <v>9900</v>
      </c>
    </row>
    <row r="7183" spans="1:12" x14ac:dyDescent="0.25">
      <c r="A7183" t="s">
        <v>36</v>
      </c>
      <c r="B7183">
        <v>1185732</v>
      </c>
      <c r="C7183" s="1">
        <v>44510</v>
      </c>
      <c r="D7183" t="s">
        <v>57</v>
      </c>
      <c r="E7183" t="s">
        <v>110</v>
      </c>
      <c r="F7183" t="s">
        <v>111</v>
      </c>
      <c r="G7183" t="s">
        <v>41</v>
      </c>
      <c r="H7183" t="s">
        <v>35</v>
      </c>
      <c r="I7183" s="3">
        <v>35.000000000000014</v>
      </c>
      <c r="J7183" s="2">
        <v>445</v>
      </c>
      <c r="K7183" s="3">
        <f t="shared" si="112"/>
        <v>15575.000000000005</v>
      </c>
      <c r="L7183" s="3">
        <v>9345.0000000000036</v>
      </c>
    </row>
    <row r="7184" spans="1:12" x14ac:dyDescent="0.25">
      <c r="A7184" t="s">
        <v>11</v>
      </c>
      <c r="B7184">
        <v>1185732</v>
      </c>
      <c r="C7184" s="1">
        <v>44510</v>
      </c>
      <c r="D7184" t="s">
        <v>57</v>
      </c>
      <c r="E7184" t="s">
        <v>103</v>
      </c>
      <c r="F7184" t="s">
        <v>104</v>
      </c>
      <c r="G7184" t="s">
        <v>18</v>
      </c>
      <c r="H7184" t="s">
        <v>38</v>
      </c>
      <c r="I7184" s="3">
        <v>44.999999999999993</v>
      </c>
      <c r="J7184" s="2">
        <v>425</v>
      </c>
      <c r="K7184" s="3">
        <f t="shared" si="112"/>
        <v>19124.999999999996</v>
      </c>
      <c r="L7184" s="3">
        <v>11474.999999999998</v>
      </c>
    </row>
    <row r="7185" spans="1:12" x14ac:dyDescent="0.25">
      <c r="A7185" t="s">
        <v>11</v>
      </c>
      <c r="B7185">
        <v>1185732</v>
      </c>
      <c r="C7185" s="1">
        <v>44510</v>
      </c>
      <c r="D7185" t="s">
        <v>57</v>
      </c>
      <c r="E7185" t="s">
        <v>103</v>
      </c>
      <c r="F7185" t="s">
        <v>104</v>
      </c>
      <c r="G7185" t="s">
        <v>18</v>
      </c>
      <c r="H7185" t="s">
        <v>17</v>
      </c>
      <c r="I7185" s="3">
        <v>35</v>
      </c>
      <c r="J7185" s="2">
        <v>325</v>
      </c>
      <c r="K7185" s="3">
        <f t="shared" si="112"/>
        <v>11375</v>
      </c>
      <c r="L7185" s="3">
        <v>6825</v>
      </c>
    </row>
    <row r="7186" spans="1:12" x14ac:dyDescent="0.25">
      <c r="A7186" t="s">
        <v>23</v>
      </c>
      <c r="B7186">
        <v>1128299</v>
      </c>
      <c r="C7186" s="1">
        <v>44510</v>
      </c>
      <c r="D7186" t="s">
        <v>12</v>
      </c>
      <c r="E7186" t="s">
        <v>20</v>
      </c>
      <c r="F7186" t="s">
        <v>21</v>
      </c>
      <c r="G7186" t="s">
        <v>15</v>
      </c>
      <c r="H7186" t="s">
        <v>16</v>
      </c>
      <c r="I7186" s="3">
        <v>90.000000000000014</v>
      </c>
      <c r="J7186" s="2">
        <v>500</v>
      </c>
      <c r="K7186" s="3">
        <f t="shared" si="112"/>
        <v>45000.000000000007</v>
      </c>
      <c r="L7186" s="3">
        <v>27000</v>
      </c>
    </row>
    <row r="7187" spans="1:12" x14ac:dyDescent="0.25">
      <c r="A7187" t="s">
        <v>36</v>
      </c>
      <c r="B7187">
        <v>1185732</v>
      </c>
      <c r="C7187" s="1">
        <v>44510</v>
      </c>
      <c r="D7187" t="s">
        <v>57</v>
      </c>
      <c r="E7187" t="s">
        <v>110</v>
      </c>
      <c r="F7187" t="s">
        <v>111</v>
      </c>
      <c r="G7187" t="s">
        <v>41</v>
      </c>
      <c r="H7187" t="s">
        <v>37</v>
      </c>
      <c r="I7187" s="3">
        <v>65.000000000000028</v>
      </c>
      <c r="J7187" s="2">
        <v>500</v>
      </c>
      <c r="K7187" s="3">
        <f t="shared" si="112"/>
        <v>32500.000000000015</v>
      </c>
      <c r="L7187" s="3">
        <v>19500.000000000007</v>
      </c>
    </row>
    <row r="7188" spans="1:12" x14ac:dyDescent="0.25">
      <c r="A7188" t="s">
        <v>11</v>
      </c>
      <c r="B7188">
        <v>1185732</v>
      </c>
      <c r="C7188" s="1">
        <v>44510</v>
      </c>
      <c r="D7188" t="s">
        <v>57</v>
      </c>
      <c r="E7188" t="s">
        <v>103</v>
      </c>
      <c r="F7188" t="s">
        <v>104</v>
      </c>
      <c r="G7188" t="s">
        <v>18</v>
      </c>
      <c r="H7188" t="s">
        <v>16</v>
      </c>
      <c r="I7188" s="3">
        <v>64.999999999999986</v>
      </c>
      <c r="J7188" s="2">
        <v>350</v>
      </c>
      <c r="K7188" s="3">
        <f t="shared" si="112"/>
        <v>22749.999999999996</v>
      </c>
      <c r="L7188" s="3">
        <v>13649.999999999995</v>
      </c>
    </row>
    <row r="7189" spans="1:12" x14ac:dyDescent="0.25">
      <c r="A7189" t="s">
        <v>36</v>
      </c>
      <c r="B7189">
        <v>1185732</v>
      </c>
      <c r="C7189" s="1">
        <v>44510</v>
      </c>
      <c r="D7189" t="s">
        <v>57</v>
      </c>
      <c r="E7189" t="s">
        <v>110</v>
      </c>
      <c r="F7189" t="s">
        <v>111</v>
      </c>
      <c r="G7189" t="s">
        <v>41</v>
      </c>
      <c r="H7189" t="s">
        <v>16</v>
      </c>
      <c r="I7189" s="3">
        <v>80</v>
      </c>
      <c r="J7189" s="2">
        <v>575</v>
      </c>
      <c r="K7189" s="3">
        <f t="shared" si="112"/>
        <v>46000</v>
      </c>
      <c r="L7189" s="3">
        <v>23000</v>
      </c>
    </row>
    <row r="7190" spans="1:12" x14ac:dyDescent="0.25">
      <c r="A7190" t="s">
        <v>23</v>
      </c>
      <c r="B7190">
        <v>1128299</v>
      </c>
      <c r="C7190" s="1">
        <v>44510</v>
      </c>
      <c r="D7190" t="s">
        <v>12</v>
      </c>
      <c r="E7190" t="s">
        <v>20</v>
      </c>
      <c r="F7190" t="s">
        <v>21</v>
      </c>
      <c r="G7190" t="s">
        <v>41</v>
      </c>
      <c r="H7190" t="s">
        <v>22</v>
      </c>
      <c r="I7190" s="3">
        <v>83</v>
      </c>
      <c r="J7190" s="2">
        <v>113</v>
      </c>
      <c r="K7190" s="3">
        <f t="shared" si="112"/>
        <v>9379</v>
      </c>
      <c r="L7190" s="3">
        <v>6565.3</v>
      </c>
    </row>
    <row r="7191" spans="1:12" x14ac:dyDescent="0.25">
      <c r="A7191" t="s">
        <v>23</v>
      </c>
      <c r="B7191">
        <v>1128299</v>
      </c>
      <c r="C7191" s="1">
        <v>44510</v>
      </c>
      <c r="D7191" t="s">
        <v>12</v>
      </c>
      <c r="E7191" t="s">
        <v>20</v>
      </c>
      <c r="F7191" t="s">
        <v>21</v>
      </c>
      <c r="G7191" t="s">
        <v>41</v>
      </c>
      <c r="H7191" t="s">
        <v>17</v>
      </c>
      <c r="I7191" s="3">
        <v>56</v>
      </c>
      <c r="J7191" s="2">
        <v>168</v>
      </c>
      <c r="K7191" s="3">
        <f t="shared" si="112"/>
        <v>9408</v>
      </c>
      <c r="L7191" s="3">
        <v>6397.4400000000005</v>
      </c>
    </row>
    <row r="7192" spans="1:12" x14ac:dyDescent="0.25">
      <c r="A7192" t="s">
        <v>19</v>
      </c>
      <c r="B7192">
        <v>1185732</v>
      </c>
      <c r="C7192" s="1">
        <v>44510</v>
      </c>
      <c r="D7192" t="s">
        <v>29</v>
      </c>
      <c r="E7192" t="s">
        <v>55</v>
      </c>
      <c r="F7192" t="s">
        <v>56</v>
      </c>
      <c r="G7192" t="s">
        <v>15</v>
      </c>
      <c r="H7192" t="s">
        <v>17</v>
      </c>
      <c r="I7192" s="3">
        <v>37</v>
      </c>
      <c r="J7192" s="2">
        <v>51</v>
      </c>
      <c r="K7192" s="3">
        <f t="shared" si="112"/>
        <v>1887</v>
      </c>
      <c r="L7192" s="3">
        <v>1283.1599999999999</v>
      </c>
    </row>
    <row r="7193" spans="1:12" x14ac:dyDescent="0.25">
      <c r="A7193" t="s">
        <v>23</v>
      </c>
      <c r="B7193">
        <v>1128299</v>
      </c>
      <c r="C7193" s="1">
        <v>44510</v>
      </c>
      <c r="D7193" t="s">
        <v>12</v>
      </c>
      <c r="E7193" t="s">
        <v>20</v>
      </c>
      <c r="F7193" t="s">
        <v>21</v>
      </c>
      <c r="G7193" t="s">
        <v>41</v>
      </c>
      <c r="H7193" t="s">
        <v>38</v>
      </c>
      <c r="I7193" s="3">
        <v>51</v>
      </c>
      <c r="J7193" s="2">
        <v>158</v>
      </c>
      <c r="K7193" s="3">
        <f t="shared" si="112"/>
        <v>8058</v>
      </c>
      <c r="L7193" s="3">
        <v>5076.54</v>
      </c>
    </row>
    <row r="7194" spans="1:12" x14ac:dyDescent="0.25">
      <c r="A7194" t="s">
        <v>23</v>
      </c>
      <c r="B7194">
        <v>1128299</v>
      </c>
      <c r="C7194" s="1">
        <v>44510</v>
      </c>
      <c r="D7194" t="s">
        <v>12</v>
      </c>
      <c r="E7194" t="s">
        <v>20</v>
      </c>
      <c r="F7194" t="s">
        <v>21</v>
      </c>
      <c r="G7194" t="s">
        <v>41</v>
      </c>
      <c r="H7194" t="s">
        <v>37</v>
      </c>
      <c r="I7194" s="3">
        <v>60</v>
      </c>
      <c r="J7194" s="2">
        <v>104</v>
      </c>
      <c r="K7194" s="3">
        <f t="shared" si="112"/>
        <v>6240</v>
      </c>
      <c r="L7194" s="3">
        <v>3806.4</v>
      </c>
    </row>
    <row r="7195" spans="1:12" x14ac:dyDescent="0.25">
      <c r="A7195" t="s">
        <v>23</v>
      </c>
      <c r="B7195">
        <v>1128299</v>
      </c>
      <c r="C7195" s="1">
        <v>44510</v>
      </c>
      <c r="D7195" t="s">
        <v>12</v>
      </c>
      <c r="E7195" t="s">
        <v>20</v>
      </c>
      <c r="F7195" t="s">
        <v>21</v>
      </c>
      <c r="G7195" t="s">
        <v>41</v>
      </c>
      <c r="H7195" t="s">
        <v>35</v>
      </c>
      <c r="I7195" s="3">
        <v>50</v>
      </c>
      <c r="J7195" s="2">
        <v>123</v>
      </c>
      <c r="K7195" s="3">
        <f t="shared" si="112"/>
        <v>6150</v>
      </c>
      <c r="L7195" s="3">
        <v>3690</v>
      </c>
    </row>
    <row r="7196" spans="1:12" x14ac:dyDescent="0.25">
      <c r="A7196" t="s">
        <v>11</v>
      </c>
      <c r="B7196">
        <v>1185732</v>
      </c>
      <c r="C7196" s="1">
        <v>44510</v>
      </c>
      <c r="D7196" t="s">
        <v>57</v>
      </c>
      <c r="E7196" t="s">
        <v>103</v>
      </c>
      <c r="F7196" t="s">
        <v>104</v>
      </c>
      <c r="G7196" t="s">
        <v>41</v>
      </c>
      <c r="H7196" t="s">
        <v>22</v>
      </c>
      <c r="I7196" s="3">
        <v>55</v>
      </c>
      <c r="J7196" s="2">
        <v>75</v>
      </c>
      <c r="K7196" s="3">
        <f t="shared" si="112"/>
        <v>4125</v>
      </c>
      <c r="L7196" s="3">
        <v>2475</v>
      </c>
    </row>
    <row r="7197" spans="1:12" x14ac:dyDescent="0.25">
      <c r="A7197" t="s">
        <v>19</v>
      </c>
      <c r="B7197">
        <v>1185732</v>
      </c>
      <c r="C7197" s="1">
        <v>44510</v>
      </c>
      <c r="D7197" t="s">
        <v>29</v>
      </c>
      <c r="E7197" t="s">
        <v>55</v>
      </c>
      <c r="F7197" t="s">
        <v>56</v>
      </c>
      <c r="G7197" t="s">
        <v>41</v>
      </c>
      <c r="H7197" t="s">
        <v>17</v>
      </c>
      <c r="I7197" s="3">
        <v>45</v>
      </c>
      <c r="J7197" s="2">
        <v>45</v>
      </c>
      <c r="K7197" s="3">
        <f t="shared" si="112"/>
        <v>2025</v>
      </c>
      <c r="L7197" s="3">
        <v>1174.5</v>
      </c>
    </row>
    <row r="7198" spans="1:12" x14ac:dyDescent="0.25">
      <c r="A7198" t="s">
        <v>36</v>
      </c>
      <c r="B7198">
        <v>1185732</v>
      </c>
      <c r="C7198" s="1">
        <v>44510</v>
      </c>
      <c r="D7198" t="s">
        <v>57</v>
      </c>
      <c r="E7198" t="s">
        <v>110</v>
      </c>
      <c r="F7198" t="s">
        <v>111</v>
      </c>
      <c r="G7198" t="s">
        <v>41</v>
      </c>
      <c r="H7198" t="s">
        <v>17</v>
      </c>
      <c r="I7198" s="3">
        <v>24</v>
      </c>
      <c r="J7198" s="2">
        <v>140</v>
      </c>
      <c r="K7198" s="3">
        <f t="shared" si="112"/>
        <v>3360</v>
      </c>
      <c r="L7198" s="3">
        <v>1848.0000000000002</v>
      </c>
    </row>
    <row r="7199" spans="1:12" x14ac:dyDescent="0.25">
      <c r="A7199" t="s">
        <v>11</v>
      </c>
      <c r="B7199">
        <v>1185732</v>
      </c>
      <c r="C7199" s="1">
        <v>44510</v>
      </c>
      <c r="D7199" t="s">
        <v>57</v>
      </c>
      <c r="E7199" t="s">
        <v>103</v>
      </c>
      <c r="F7199" t="s">
        <v>104</v>
      </c>
      <c r="G7199" t="s">
        <v>41</v>
      </c>
      <c r="H7199" t="s">
        <v>35</v>
      </c>
      <c r="I7199" s="3">
        <v>32</v>
      </c>
      <c r="J7199" s="2">
        <v>81</v>
      </c>
      <c r="K7199" s="3">
        <f t="shared" si="112"/>
        <v>2592</v>
      </c>
      <c r="L7199" s="3">
        <v>1347.8400000000001</v>
      </c>
    </row>
    <row r="7200" spans="1:12" x14ac:dyDescent="0.25">
      <c r="A7200" t="s">
        <v>36</v>
      </c>
      <c r="B7200">
        <v>1185732</v>
      </c>
      <c r="C7200" s="1">
        <v>44510</v>
      </c>
      <c r="D7200" t="s">
        <v>57</v>
      </c>
      <c r="E7200" t="s">
        <v>110</v>
      </c>
      <c r="F7200" t="s">
        <v>111</v>
      </c>
      <c r="G7200" t="s">
        <v>41</v>
      </c>
      <c r="H7200" t="s">
        <v>22</v>
      </c>
      <c r="I7200" s="3">
        <v>76</v>
      </c>
      <c r="J7200" s="2">
        <v>138</v>
      </c>
      <c r="K7200" s="3">
        <f t="shared" si="112"/>
        <v>10488</v>
      </c>
      <c r="L7200" s="3">
        <v>5348.88</v>
      </c>
    </row>
    <row r="7201" spans="1:12" x14ac:dyDescent="0.25">
      <c r="A7201" t="s">
        <v>36</v>
      </c>
      <c r="B7201">
        <v>1185732</v>
      </c>
      <c r="C7201" s="1">
        <v>44510</v>
      </c>
      <c r="D7201" t="s">
        <v>57</v>
      </c>
      <c r="E7201" t="s">
        <v>110</v>
      </c>
      <c r="F7201" t="s">
        <v>111</v>
      </c>
      <c r="G7201" t="s">
        <v>41</v>
      </c>
      <c r="H7201" t="s">
        <v>35</v>
      </c>
      <c r="I7201" s="3">
        <v>32</v>
      </c>
      <c r="J7201" s="2">
        <v>116</v>
      </c>
      <c r="K7201" s="3">
        <f t="shared" si="112"/>
        <v>3712</v>
      </c>
      <c r="L7201" s="3">
        <v>1856</v>
      </c>
    </row>
    <row r="7202" spans="1:12" x14ac:dyDescent="0.25">
      <c r="A7202" t="s">
        <v>36</v>
      </c>
      <c r="B7202">
        <v>1185732</v>
      </c>
      <c r="C7202" s="1">
        <v>44510</v>
      </c>
      <c r="D7202" t="s">
        <v>57</v>
      </c>
      <c r="E7202" t="s">
        <v>110</v>
      </c>
      <c r="F7202" t="s">
        <v>111</v>
      </c>
      <c r="G7202" t="s">
        <v>41</v>
      </c>
      <c r="H7202" t="s">
        <v>37</v>
      </c>
      <c r="I7202" s="3">
        <v>59</v>
      </c>
      <c r="J7202" s="2">
        <v>135</v>
      </c>
      <c r="K7202" s="3">
        <f t="shared" si="112"/>
        <v>7965</v>
      </c>
      <c r="L7202" s="3">
        <v>3982.5</v>
      </c>
    </row>
    <row r="7203" spans="1:12" x14ac:dyDescent="0.25">
      <c r="A7203" t="s">
        <v>11</v>
      </c>
      <c r="B7203">
        <v>1185732</v>
      </c>
      <c r="C7203" s="1">
        <v>44510</v>
      </c>
      <c r="D7203" t="s">
        <v>57</v>
      </c>
      <c r="E7203" t="s">
        <v>103</v>
      </c>
      <c r="F7203" t="s">
        <v>104</v>
      </c>
      <c r="G7203" t="s">
        <v>41</v>
      </c>
      <c r="H7203" t="s">
        <v>37</v>
      </c>
      <c r="I7203" s="3">
        <v>34</v>
      </c>
      <c r="J7203" s="2">
        <v>83</v>
      </c>
      <c r="K7203" s="3">
        <f t="shared" si="112"/>
        <v>2822</v>
      </c>
      <c r="L7203" s="3">
        <v>1411</v>
      </c>
    </row>
    <row r="7204" spans="1:12" x14ac:dyDescent="0.25">
      <c r="A7204" t="s">
        <v>11</v>
      </c>
      <c r="B7204">
        <v>1185732</v>
      </c>
      <c r="C7204" s="1">
        <v>44510</v>
      </c>
      <c r="D7204" t="s">
        <v>57</v>
      </c>
      <c r="E7204" t="s">
        <v>103</v>
      </c>
      <c r="F7204" t="s">
        <v>104</v>
      </c>
      <c r="G7204" t="s">
        <v>41</v>
      </c>
      <c r="H7204" t="s">
        <v>38</v>
      </c>
      <c r="I7204" s="3">
        <v>41</v>
      </c>
      <c r="J7204" s="2">
        <v>123</v>
      </c>
      <c r="K7204" s="3">
        <f t="shared" si="112"/>
        <v>5043</v>
      </c>
      <c r="L7204" s="3">
        <v>2471.0700000000002</v>
      </c>
    </row>
    <row r="7205" spans="1:12" x14ac:dyDescent="0.25">
      <c r="A7205" t="s">
        <v>23</v>
      </c>
      <c r="B7205">
        <v>1128299</v>
      </c>
      <c r="C7205" s="1">
        <v>44510</v>
      </c>
      <c r="D7205" t="s">
        <v>12</v>
      </c>
      <c r="E7205" t="s">
        <v>20</v>
      </c>
      <c r="F7205" t="s">
        <v>21</v>
      </c>
      <c r="G7205" t="s">
        <v>41</v>
      </c>
      <c r="H7205" t="s">
        <v>16</v>
      </c>
      <c r="I7205" s="3">
        <v>82</v>
      </c>
      <c r="J7205" s="2">
        <v>140</v>
      </c>
      <c r="K7205" s="3">
        <f t="shared" si="112"/>
        <v>11480</v>
      </c>
      <c r="L7205" s="3">
        <v>5510.4</v>
      </c>
    </row>
    <row r="7206" spans="1:12" x14ac:dyDescent="0.25">
      <c r="A7206" t="s">
        <v>36</v>
      </c>
      <c r="B7206">
        <v>1185732</v>
      </c>
      <c r="C7206" s="1">
        <v>44510</v>
      </c>
      <c r="D7206" t="s">
        <v>57</v>
      </c>
      <c r="E7206" t="s">
        <v>110</v>
      </c>
      <c r="F7206" t="s">
        <v>111</v>
      </c>
      <c r="G7206" t="s">
        <v>41</v>
      </c>
      <c r="H7206" t="s">
        <v>38</v>
      </c>
      <c r="I7206" s="3">
        <v>34</v>
      </c>
      <c r="J7206" s="2">
        <v>169</v>
      </c>
      <c r="K7206" s="3">
        <f t="shared" si="112"/>
        <v>5746</v>
      </c>
      <c r="L7206" s="3">
        <v>2758.08</v>
      </c>
    </row>
    <row r="7207" spans="1:12" x14ac:dyDescent="0.25">
      <c r="A7207" t="s">
        <v>36</v>
      </c>
      <c r="B7207">
        <v>1185732</v>
      </c>
      <c r="C7207" s="1">
        <v>44510</v>
      </c>
      <c r="D7207" t="s">
        <v>29</v>
      </c>
      <c r="E7207" t="s">
        <v>30</v>
      </c>
      <c r="F7207" t="s">
        <v>31</v>
      </c>
      <c r="G7207" t="s">
        <v>41</v>
      </c>
      <c r="H7207" t="s">
        <v>16</v>
      </c>
      <c r="I7207" s="3">
        <v>56</v>
      </c>
      <c r="J7207" s="2">
        <v>72</v>
      </c>
      <c r="K7207" s="3">
        <f t="shared" si="112"/>
        <v>4032</v>
      </c>
      <c r="L7207" s="3">
        <v>1895.04</v>
      </c>
    </row>
    <row r="7208" spans="1:12" x14ac:dyDescent="0.25">
      <c r="A7208" t="s">
        <v>11</v>
      </c>
      <c r="B7208">
        <v>1185732</v>
      </c>
      <c r="C7208" s="1">
        <v>44510</v>
      </c>
      <c r="D7208" t="s">
        <v>57</v>
      </c>
      <c r="E7208" t="s">
        <v>103</v>
      </c>
      <c r="F7208" t="s">
        <v>104</v>
      </c>
      <c r="G7208" t="s">
        <v>41</v>
      </c>
      <c r="H7208" t="s">
        <v>16</v>
      </c>
      <c r="I7208" s="3">
        <v>61</v>
      </c>
      <c r="J7208" s="2">
        <v>91</v>
      </c>
      <c r="K7208" s="3">
        <f t="shared" si="112"/>
        <v>5551</v>
      </c>
      <c r="L7208" s="3">
        <v>2553.4599999999996</v>
      </c>
    </row>
    <row r="7209" spans="1:12" x14ac:dyDescent="0.25">
      <c r="A7209" t="s">
        <v>11</v>
      </c>
      <c r="B7209">
        <v>1185732</v>
      </c>
      <c r="C7209" s="1">
        <v>44510</v>
      </c>
      <c r="D7209" t="s">
        <v>57</v>
      </c>
      <c r="E7209" t="s">
        <v>103</v>
      </c>
      <c r="F7209" t="s">
        <v>104</v>
      </c>
      <c r="G7209" t="s">
        <v>41</v>
      </c>
      <c r="H7209" t="s">
        <v>17</v>
      </c>
      <c r="I7209" s="3">
        <v>33</v>
      </c>
      <c r="J7209" s="2">
        <v>98</v>
      </c>
      <c r="K7209" s="3">
        <f t="shared" si="112"/>
        <v>3234</v>
      </c>
      <c r="L7209" s="3">
        <v>1455.3</v>
      </c>
    </row>
    <row r="7210" spans="1:12" x14ac:dyDescent="0.25">
      <c r="A7210" t="s">
        <v>36</v>
      </c>
      <c r="B7210">
        <v>1185732</v>
      </c>
      <c r="C7210" s="1">
        <v>44510</v>
      </c>
      <c r="D7210" t="s">
        <v>57</v>
      </c>
      <c r="E7210" t="s">
        <v>110</v>
      </c>
      <c r="F7210" t="s">
        <v>111</v>
      </c>
      <c r="G7210" t="s">
        <v>41</v>
      </c>
      <c r="H7210" t="s">
        <v>16</v>
      </c>
      <c r="I7210" s="3">
        <v>74</v>
      </c>
      <c r="J7210" s="2">
        <v>167</v>
      </c>
      <c r="K7210" s="3">
        <f t="shared" si="112"/>
        <v>12358</v>
      </c>
      <c r="L7210" s="3">
        <v>4448.88</v>
      </c>
    </row>
    <row r="7211" spans="1:12" x14ac:dyDescent="0.25">
      <c r="A7211" t="s">
        <v>27</v>
      </c>
      <c r="B7211">
        <v>1185732</v>
      </c>
      <c r="C7211" s="1">
        <v>44511</v>
      </c>
      <c r="D7211" t="s">
        <v>12</v>
      </c>
      <c r="E7211" t="s">
        <v>62</v>
      </c>
      <c r="F7211" t="s">
        <v>63</v>
      </c>
      <c r="G7211" t="s">
        <v>18</v>
      </c>
      <c r="H7211" t="s">
        <v>16</v>
      </c>
      <c r="I7211" s="3">
        <v>60</v>
      </c>
      <c r="J7211" s="2">
        <v>575</v>
      </c>
      <c r="K7211" s="3">
        <f t="shared" si="112"/>
        <v>34500</v>
      </c>
      <c r="L7211" s="3">
        <v>25875</v>
      </c>
    </row>
    <row r="7212" spans="1:12" x14ac:dyDescent="0.25">
      <c r="A7212" t="s">
        <v>27</v>
      </c>
      <c r="B7212">
        <v>1185732</v>
      </c>
      <c r="C7212" s="1">
        <v>44511</v>
      </c>
      <c r="D7212" t="s">
        <v>12</v>
      </c>
      <c r="E7212" t="s">
        <v>62</v>
      </c>
      <c r="F7212" t="s">
        <v>63</v>
      </c>
      <c r="G7212" t="s">
        <v>18</v>
      </c>
      <c r="H7212" t="s">
        <v>17</v>
      </c>
      <c r="I7212" s="3">
        <v>45.000000000000007</v>
      </c>
      <c r="J7212" s="2">
        <v>575</v>
      </c>
      <c r="K7212" s="3">
        <f t="shared" si="112"/>
        <v>25875.000000000004</v>
      </c>
      <c r="L7212" s="3">
        <v>18112.500000000004</v>
      </c>
    </row>
    <row r="7213" spans="1:12" x14ac:dyDescent="0.25">
      <c r="A7213" t="s">
        <v>27</v>
      </c>
      <c r="B7213">
        <v>1185732</v>
      </c>
      <c r="C7213" s="1">
        <v>44511</v>
      </c>
      <c r="D7213" t="s">
        <v>12</v>
      </c>
      <c r="E7213" t="s">
        <v>62</v>
      </c>
      <c r="F7213" t="s">
        <v>63</v>
      </c>
      <c r="G7213" t="s">
        <v>18</v>
      </c>
      <c r="H7213" t="s">
        <v>22</v>
      </c>
      <c r="I7213" s="3">
        <v>55.000000000000007</v>
      </c>
      <c r="J7213" s="2">
        <v>475</v>
      </c>
      <c r="K7213" s="3">
        <f t="shared" si="112"/>
        <v>26125.000000000004</v>
      </c>
      <c r="L7213" s="3">
        <v>18287.500000000004</v>
      </c>
    </row>
    <row r="7214" spans="1:12" x14ac:dyDescent="0.25">
      <c r="A7214" t="s">
        <v>11</v>
      </c>
      <c r="B7214">
        <v>1185732</v>
      </c>
      <c r="C7214" s="1">
        <v>44511</v>
      </c>
      <c r="D7214" t="s">
        <v>12</v>
      </c>
      <c r="E7214" t="s">
        <v>101</v>
      </c>
      <c r="F7214" t="s">
        <v>102</v>
      </c>
      <c r="G7214" t="s">
        <v>18</v>
      </c>
      <c r="H7214" t="s">
        <v>17</v>
      </c>
      <c r="I7214" s="3">
        <v>20.000000000000007</v>
      </c>
      <c r="J7214" s="2">
        <v>400</v>
      </c>
      <c r="K7214" s="3">
        <f t="shared" si="112"/>
        <v>8000.0000000000027</v>
      </c>
      <c r="L7214" s="3">
        <v>5200.0000000000018</v>
      </c>
    </row>
    <row r="7215" spans="1:12" x14ac:dyDescent="0.25">
      <c r="A7215" t="s">
        <v>11</v>
      </c>
      <c r="B7215">
        <v>1185732</v>
      </c>
      <c r="C7215" s="1">
        <v>44511</v>
      </c>
      <c r="D7215" t="s">
        <v>12</v>
      </c>
      <c r="E7215" t="s">
        <v>101</v>
      </c>
      <c r="F7215" t="s">
        <v>102</v>
      </c>
      <c r="G7215" t="s">
        <v>18</v>
      </c>
      <c r="H7215" t="s">
        <v>35</v>
      </c>
      <c r="I7215" s="3">
        <v>20.000000000000007</v>
      </c>
      <c r="J7215" s="2">
        <v>345</v>
      </c>
      <c r="K7215" s="3">
        <f t="shared" si="112"/>
        <v>6900.0000000000027</v>
      </c>
      <c r="L7215" s="3">
        <v>4485.0000000000018</v>
      </c>
    </row>
    <row r="7216" spans="1:12" x14ac:dyDescent="0.25">
      <c r="A7216" t="s">
        <v>11</v>
      </c>
      <c r="B7216">
        <v>1185732</v>
      </c>
      <c r="C7216" s="1">
        <v>44511</v>
      </c>
      <c r="D7216" t="s">
        <v>29</v>
      </c>
      <c r="E7216" t="s">
        <v>80</v>
      </c>
      <c r="F7216" t="s">
        <v>81</v>
      </c>
      <c r="G7216" t="s">
        <v>18</v>
      </c>
      <c r="H7216" t="s">
        <v>35</v>
      </c>
      <c r="I7216" s="3">
        <v>60.000000000000007</v>
      </c>
      <c r="J7216" s="2">
        <v>320</v>
      </c>
      <c r="K7216" s="3">
        <f t="shared" si="112"/>
        <v>19200.000000000004</v>
      </c>
      <c r="L7216" s="3">
        <v>12480.000000000004</v>
      </c>
    </row>
    <row r="7217" spans="1:12" x14ac:dyDescent="0.25">
      <c r="A7217" t="s">
        <v>36</v>
      </c>
      <c r="B7217">
        <v>1185732</v>
      </c>
      <c r="C7217" s="1">
        <v>44511</v>
      </c>
      <c r="D7217" t="s">
        <v>29</v>
      </c>
      <c r="E7217" t="s">
        <v>80</v>
      </c>
      <c r="F7217" t="s">
        <v>81</v>
      </c>
      <c r="G7217" t="s">
        <v>18</v>
      </c>
      <c r="H7217" t="s">
        <v>37</v>
      </c>
      <c r="I7217" s="3">
        <v>60.000000000000007</v>
      </c>
      <c r="J7217" s="2">
        <v>300</v>
      </c>
      <c r="K7217" s="3">
        <f t="shared" si="112"/>
        <v>18000.000000000004</v>
      </c>
      <c r="L7217" s="3">
        <v>11700.000000000004</v>
      </c>
    </row>
    <row r="7218" spans="1:12" x14ac:dyDescent="0.25">
      <c r="A7218" t="s">
        <v>19</v>
      </c>
      <c r="B7218">
        <v>1185732</v>
      </c>
      <c r="C7218" s="1">
        <v>44511</v>
      </c>
      <c r="D7218" t="s">
        <v>29</v>
      </c>
      <c r="E7218" t="s">
        <v>55</v>
      </c>
      <c r="F7218" t="s">
        <v>56</v>
      </c>
      <c r="G7218" t="s">
        <v>15</v>
      </c>
      <c r="H7218" t="s">
        <v>35</v>
      </c>
      <c r="I7218" s="3">
        <v>40</v>
      </c>
      <c r="J7218" s="2">
        <v>150</v>
      </c>
      <c r="K7218" s="3">
        <f t="shared" si="112"/>
        <v>6000</v>
      </c>
      <c r="L7218" s="3">
        <v>3900</v>
      </c>
    </row>
    <row r="7219" spans="1:12" x14ac:dyDescent="0.25">
      <c r="A7219" t="s">
        <v>36</v>
      </c>
      <c r="B7219">
        <v>1185732</v>
      </c>
      <c r="C7219" s="1">
        <v>44511</v>
      </c>
      <c r="D7219" t="s">
        <v>29</v>
      </c>
      <c r="E7219" t="s">
        <v>30</v>
      </c>
      <c r="F7219" t="s">
        <v>31</v>
      </c>
      <c r="G7219" t="s">
        <v>15</v>
      </c>
      <c r="H7219" t="s">
        <v>38</v>
      </c>
      <c r="I7219" s="3">
        <v>54.999999999999993</v>
      </c>
      <c r="J7219" s="2">
        <v>525</v>
      </c>
      <c r="K7219" s="3">
        <f t="shared" si="112"/>
        <v>28874.999999999996</v>
      </c>
      <c r="L7219" s="3">
        <v>18768.749999999996</v>
      </c>
    </row>
    <row r="7220" spans="1:12" x14ac:dyDescent="0.25">
      <c r="A7220" t="s">
        <v>27</v>
      </c>
      <c r="B7220">
        <v>1185732</v>
      </c>
      <c r="C7220" s="1">
        <v>44511</v>
      </c>
      <c r="D7220" t="s">
        <v>12</v>
      </c>
      <c r="E7220" t="s">
        <v>62</v>
      </c>
      <c r="F7220" t="s">
        <v>63</v>
      </c>
      <c r="G7220" t="s">
        <v>18</v>
      </c>
      <c r="H7220" t="s">
        <v>35</v>
      </c>
      <c r="I7220" s="3">
        <v>45.000000000000007</v>
      </c>
      <c r="J7220" s="2">
        <v>520</v>
      </c>
      <c r="K7220" s="3">
        <f t="shared" si="112"/>
        <v>23400.000000000004</v>
      </c>
      <c r="L7220" s="3">
        <v>15210.000000000004</v>
      </c>
    </row>
    <row r="7221" spans="1:12" x14ac:dyDescent="0.25">
      <c r="A7221" t="s">
        <v>27</v>
      </c>
      <c r="B7221">
        <v>1185732</v>
      </c>
      <c r="C7221" s="1">
        <v>44511</v>
      </c>
      <c r="D7221" t="s">
        <v>12</v>
      </c>
      <c r="E7221" t="s">
        <v>62</v>
      </c>
      <c r="F7221" t="s">
        <v>63</v>
      </c>
      <c r="G7221" t="s">
        <v>18</v>
      </c>
      <c r="H7221" t="s">
        <v>37</v>
      </c>
      <c r="I7221" s="3">
        <v>45.000000000000007</v>
      </c>
      <c r="J7221" s="2">
        <v>500</v>
      </c>
      <c r="K7221" s="3">
        <f t="shared" si="112"/>
        <v>22500.000000000004</v>
      </c>
      <c r="L7221" s="3">
        <v>14625.000000000004</v>
      </c>
    </row>
    <row r="7222" spans="1:12" x14ac:dyDescent="0.25">
      <c r="A7222" t="s">
        <v>11</v>
      </c>
      <c r="B7222">
        <v>1185732</v>
      </c>
      <c r="C7222" s="1">
        <v>44511</v>
      </c>
      <c r="D7222" t="s">
        <v>12</v>
      </c>
      <c r="E7222" t="s">
        <v>101</v>
      </c>
      <c r="F7222" t="s">
        <v>102</v>
      </c>
      <c r="G7222" t="s">
        <v>18</v>
      </c>
      <c r="H7222" t="s">
        <v>22</v>
      </c>
      <c r="I7222" s="3">
        <v>40</v>
      </c>
      <c r="J7222" s="2">
        <v>350</v>
      </c>
      <c r="K7222" s="3">
        <f t="shared" si="112"/>
        <v>14000</v>
      </c>
      <c r="L7222" s="3">
        <v>9100</v>
      </c>
    </row>
    <row r="7223" spans="1:12" x14ac:dyDescent="0.25">
      <c r="A7223" t="s">
        <v>36</v>
      </c>
      <c r="B7223">
        <v>1185732</v>
      </c>
      <c r="C7223" s="1">
        <v>44511</v>
      </c>
      <c r="D7223" t="s">
        <v>29</v>
      </c>
      <c r="E7223" t="s">
        <v>80</v>
      </c>
      <c r="F7223" t="s">
        <v>81</v>
      </c>
      <c r="G7223" t="s">
        <v>18</v>
      </c>
      <c r="H7223" t="s">
        <v>22</v>
      </c>
      <c r="I7223" s="3">
        <v>70</v>
      </c>
      <c r="J7223" s="2">
        <v>275</v>
      </c>
      <c r="K7223" s="3">
        <f t="shared" si="112"/>
        <v>19250</v>
      </c>
      <c r="L7223" s="3">
        <v>12512.5</v>
      </c>
    </row>
    <row r="7224" spans="1:12" x14ac:dyDescent="0.25">
      <c r="A7224" t="s">
        <v>11</v>
      </c>
      <c r="B7224">
        <v>1185732</v>
      </c>
      <c r="C7224" s="1">
        <v>44511</v>
      </c>
      <c r="D7224" t="s">
        <v>12</v>
      </c>
      <c r="E7224" t="s">
        <v>101</v>
      </c>
      <c r="F7224" t="s">
        <v>102</v>
      </c>
      <c r="G7224" t="s">
        <v>18</v>
      </c>
      <c r="H7224" t="s">
        <v>38</v>
      </c>
      <c r="I7224" s="3">
        <v>30.000000000000004</v>
      </c>
      <c r="J7224" s="2">
        <v>550</v>
      </c>
      <c r="K7224" s="3">
        <f t="shared" si="112"/>
        <v>16500.000000000004</v>
      </c>
      <c r="L7224" s="3">
        <v>9900.0000000000018</v>
      </c>
    </row>
    <row r="7225" spans="1:12" x14ac:dyDescent="0.25">
      <c r="A7225" t="s">
        <v>11</v>
      </c>
      <c r="B7225">
        <v>1185732</v>
      </c>
      <c r="C7225" s="1">
        <v>44511</v>
      </c>
      <c r="D7225" t="s">
        <v>12</v>
      </c>
      <c r="E7225" t="s">
        <v>101</v>
      </c>
      <c r="F7225" t="s">
        <v>102</v>
      </c>
      <c r="G7225" t="s">
        <v>18</v>
      </c>
      <c r="H7225" t="s">
        <v>37</v>
      </c>
      <c r="I7225" s="3">
        <v>20.000000000000007</v>
      </c>
      <c r="J7225" s="2">
        <v>375</v>
      </c>
      <c r="K7225" s="3">
        <f t="shared" si="112"/>
        <v>7500.0000000000027</v>
      </c>
      <c r="L7225" s="3">
        <v>4500.0000000000018</v>
      </c>
    </row>
    <row r="7226" spans="1:12" x14ac:dyDescent="0.25">
      <c r="A7226" t="s">
        <v>36</v>
      </c>
      <c r="B7226">
        <v>1185732</v>
      </c>
      <c r="C7226" s="1">
        <v>44511</v>
      </c>
      <c r="D7226" t="s">
        <v>29</v>
      </c>
      <c r="E7226" t="s">
        <v>80</v>
      </c>
      <c r="F7226" t="s">
        <v>81</v>
      </c>
      <c r="G7226" t="s">
        <v>18</v>
      </c>
      <c r="H7226" t="s">
        <v>16</v>
      </c>
      <c r="I7226" s="3">
        <v>75</v>
      </c>
      <c r="J7226" s="2">
        <v>375</v>
      </c>
      <c r="K7226" s="3">
        <f t="shared" si="112"/>
        <v>28125</v>
      </c>
      <c r="L7226" s="3">
        <v>16875</v>
      </c>
    </row>
    <row r="7227" spans="1:12" x14ac:dyDescent="0.25">
      <c r="A7227" t="s">
        <v>11</v>
      </c>
      <c r="B7227">
        <v>1185732</v>
      </c>
      <c r="C7227" s="1">
        <v>44511</v>
      </c>
      <c r="D7227" t="s">
        <v>29</v>
      </c>
      <c r="E7227" t="s">
        <v>80</v>
      </c>
      <c r="F7227" t="s">
        <v>81</v>
      </c>
      <c r="G7227" t="s">
        <v>18</v>
      </c>
      <c r="H7227" t="s">
        <v>38</v>
      </c>
      <c r="I7227" s="3">
        <v>70</v>
      </c>
      <c r="J7227" s="2">
        <v>450</v>
      </c>
      <c r="K7227" s="3">
        <f t="shared" si="112"/>
        <v>31500</v>
      </c>
      <c r="L7227" s="3">
        <v>17325</v>
      </c>
    </row>
    <row r="7228" spans="1:12" x14ac:dyDescent="0.25">
      <c r="A7228" t="s">
        <v>11</v>
      </c>
      <c r="B7228">
        <v>1185732</v>
      </c>
      <c r="C7228" s="1">
        <v>44511</v>
      </c>
      <c r="D7228" t="s">
        <v>29</v>
      </c>
      <c r="E7228" t="s">
        <v>80</v>
      </c>
      <c r="F7228" t="s">
        <v>81</v>
      </c>
      <c r="G7228" t="s">
        <v>18</v>
      </c>
      <c r="H7228" t="s">
        <v>17</v>
      </c>
      <c r="I7228" s="3">
        <v>60.000000000000007</v>
      </c>
      <c r="J7228" s="2">
        <v>325</v>
      </c>
      <c r="K7228" s="3">
        <f t="shared" si="112"/>
        <v>19500.000000000004</v>
      </c>
      <c r="L7228" s="3">
        <v>10725.000000000002</v>
      </c>
    </row>
    <row r="7229" spans="1:12" x14ac:dyDescent="0.25">
      <c r="A7229" t="s">
        <v>27</v>
      </c>
      <c r="B7229">
        <v>1185732</v>
      </c>
      <c r="C7229" s="1">
        <v>44511</v>
      </c>
      <c r="D7229" t="s">
        <v>12</v>
      </c>
      <c r="E7229" t="s">
        <v>62</v>
      </c>
      <c r="F7229" t="s">
        <v>63</v>
      </c>
      <c r="G7229" t="s">
        <v>18</v>
      </c>
      <c r="H7229" t="s">
        <v>38</v>
      </c>
      <c r="I7229" s="3">
        <v>55.000000000000007</v>
      </c>
      <c r="J7229" s="2">
        <v>750</v>
      </c>
      <c r="K7229" s="3">
        <f t="shared" si="112"/>
        <v>41250.000000000007</v>
      </c>
      <c r="L7229" s="3">
        <v>20625.000000000004</v>
      </c>
    </row>
    <row r="7230" spans="1:12" x14ac:dyDescent="0.25">
      <c r="A7230" t="s">
        <v>11</v>
      </c>
      <c r="B7230">
        <v>1185732</v>
      </c>
      <c r="C7230" s="1">
        <v>44511</v>
      </c>
      <c r="D7230" t="s">
        <v>12</v>
      </c>
      <c r="E7230" t="s">
        <v>101</v>
      </c>
      <c r="F7230" t="s">
        <v>102</v>
      </c>
      <c r="G7230" t="s">
        <v>18</v>
      </c>
      <c r="H7230" t="s">
        <v>16</v>
      </c>
      <c r="I7230" s="3">
        <v>44.999999999999986</v>
      </c>
      <c r="J7230" s="2">
        <v>450</v>
      </c>
      <c r="K7230" s="3">
        <f t="shared" si="112"/>
        <v>20249.999999999993</v>
      </c>
      <c r="L7230" s="3">
        <v>10124.999999999996</v>
      </c>
    </row>
    <row r="7231" spans="1:12" x14ac:dyDescent="0.25">
      <c r="A7231" t="s">
        <v>11</v>
      </c>
      <c r="B7231">
        <v>1185732</v>
      </c>
      <c r="C7231" s="1">
        <v>44511</v>
      </c>
      <c r="D7231" t="s">
        <v>29</v>
      </c>
      <c r="E7231" t="s">
        <v>80</v>
      </c>
      <c r="F7231" t="s">
        <v>81</v>
      </c>
      <c r="G7231" t="s">
        <v>15</v>
      </c>
      <c r="H7231" t="s">
        <v>35</v>
      </c>
      <c r="I7231" s="3">
        <v>46</v>
      </c>
      <c r="J7231" s="2">
        <v>102</v>
      </c>
      <c r="K7231" s="3">
        <f t="shared" si="112"/>
        <v>4692</v>
      </c>
      <c r="L7231" s="3">
        <v>2955.96</v>
      </c>
    </row>
    <row r="7232" spans="1:12" x14ac:dyDescent="0.25">
      <c r="A7232" t="s">
        <v>11</v>
      </c>
      <c r="B7232">
        <v>1185732</v>
      </c>
      <c r="C7232" s="1">
        <v>44511</v>
      </c>
      <c r="D7232" t="s">
        <v>12</v>
      </c>
      <c r="E7232" t="s">
        <v>101</v>
      </c>
      <c r="F7232" t="s">
        <v>102</v>
      </c>
      <c r="G7232" t="s">
        <v>15</v>
      </c>
      <c r="H7232" t="s">
        <v>22</v>
      </c>
      <c r="I7232" s="3">
        <v>28</v>
      </c>
      <c r="J7232" s="2">
        <v>123</v>
      </c>
      <c r="K7232" s="3">
        <f t="shared" si="112"/>
        <v>3444</v>
      </c>
      <c r="L7232" s="3">
        <v>2135.2799999999997</v>
      </c>
    </row>
    <row r="7233" spans="1:12" x14ac:dyDescent="0.25">
      <c r="A7233" t="s">
        <v>36</v>
      </c>
      <c r="B7233">
        <v>1185732</v>
      </c>
      <c r="C7233" s="1">
        <v>44511</v>
      </c>
      <c r="D7233" t="s">
        <v>29</v>
      </c>
      <c r="E7233" t="s">
        <v>80</v>
      </c>
      <c r="F7233" t="s">
        <v>81</v>
      </c>
      <c r="G7233" t="s">
        <v>15</v>
      </c>
      <c r="H7233" t="s">
        <v>37</v>
      </c>
      <c r="I7233" s="3">
        <v>42</v>
      </c>
      <c r="J7233" s="2">
        <v>96</v>
      </c>
      <c r="K7233" s="3">
        <f t="shared" si="112"/>
        <v>4032</v>
      </c>
      <c r="L7233" s="3">
        <v>2459.5200000000004</v>
      </c>
    </row>
    <row r="7234" spans="1:12" x14ac:dyDescent="0.25">
      <c r="A7234" t="s">
        <v>11</v>
      </c>
      <c r="B7234">
        <v>1185732</v>
      </c>
      <c r="C7234" s="1">
        <v>44511</v>
      </c>
      <c r="D7234" t="s">
        <v>12</v>
      </c>
      <c r="E7234" t="s">
        <v>101</v>
      </c>
      <c r="F7234" t="s">
        <v>102</v>
      </c>
      <c r="G7234" t="s">
        <v>15</v>
      </c>
      <c r="H7234" t="s">
        <v>17</v>
      </c>
      <c r="I7234" s="3">
        <v>14</v>
      </c>
      <c r="J7234" s="2">
        <v>136</v>
      </c>
      <c r="K7234" s="3">
        <f t="shared" si="112"/>
        <v>1904</v>
      </c>
      <c r="L7234" s="3">
        <v>1161.44</v>
      </c>
    </row>
    <row r="7235" spans="1:12" x14ac:dyDescent="0.25">
      <c r="A7235" t="s">
        <v>36</v>
      </c>
      <c r="B7235">
        <v>1185732</v>
      </c>
      <c r="C7235" s="1">
        <v>44511</v>
      </c>
      <c r="D7235" t="s">
        <v>29</v>
      </c>
      <c r="E7235" t="s">
        <v>80</v>
      </c>
      <c r="F7235" t="s">
        <v>81</v>
      </c>
      <c r="G7235" t="s">
        <v>15</v>
      </c>
      <c r="H7235" t="s">
        <v>22</v>
      </c>
      <c r="I7235" s="3">
        <v>50</v>
      </c>
      <c r="J7235" s="2">
        <v>91</v>
      </c>
      <c r="K7235" s="3">
        <f t="shared" ref="K7235:K7298" si="113">I7235*J7235</f>
        <v>4550</v>
      </c>
      <c r="L7235" s="3">
        <v>2775.5</v>
      </c>
    </row>
    <row r="7236" spans="1:12" x14ac:dyDescent="0.25">
      <c r="A7236" t="s">
        <v>27</v>
      </c>
      <c r="B7236">
        <v>1185732</v>
      </c>
      <c r="C7236" s="1">
        <v>44511</v>
      </c>
      <c r="D7236" t="s">
        <v>12</v>
      </c>
      <c r="E7236" t="s">
        <v>62</v>
      </c>
      <c r="F7236" t="s">
        <v>63</v>
      </c>
      <c r="G7236" t="s">
        <v>41</v>
      </c>
      <c r="H7236" t="s">
        <v>16</v>
      </c>
      <c r="I7236" s="3">
        <v>55</v>
      </c>
      <c r="J7236" s="2">
        <v>161</v>
      </c>
      <c r="K7236" s="3">
        <f t="shared" si="113"/>
        <v>8855</v>
      </c>
      <c r="L7236" s="3">
        <v>5401.5499999999993</v>
      </c>
    </row>
    <row r="7237" spans="1:12" x14ac:dyDescent="0.25">
      <c r="A7237" t="s">
        <v>27</v>
      </c>
      <c r="B7237">
        <v>1185732</v>
      </c>
      <c r="C7237" s="1">
        <v>44511</v>
      </c>
      <c r="D7237" t="s">
        <v>12</v>
      </c>
      <c r="E7237" t="s">
        <v>62</v>
      </c>
      <c r="F7237" t="s">
        <v>63</v>
      </c>
      <c r="G7237" t="s">
        <v>41</v>
      </c>
      <c r="H7237" t="s">
        <v>22</v>
      </c>
      <c r="I7237" s="3">
        <v>51</v>
      </c>
      <c r="J7237" s="2">
        <v>143</v>
      </c>
      <c r="K7237" s="3">
        <f t="shared" si="113"/>
        <v>7293</v>
      </c>
      <c r="L7237" s="3">
        <v>4302.8700000000008</v>
      </c>
    </row>
    <row r="7238" spans="1:12" x14ac:dyDescent="0.25">
      <c r="A7238" t="s">
        <v>11</v>
      </c>
      <c r="B7238">
        <v>1185732</v>
      </c>
      <c r="C7238" s="1">
        <v>44511</v>
      </c>
      <c r="D7238" t="s">
        <v>12</v>
      </c>
      <c r="E7238" t="s">
        <v>101</v>
      </c>
      <c r="F7238" t="s">
        <v>102</v>
      </c>
      <c r="G7238" t="s">
        <v>15</v>
      </c>
      <c r="H7238" t="s">
        <v>35</v>
      </c>
      <c r="I7238" s="3">
        <v>14</v>
      </c>
      <c r="J7238" s="2">
        <v>107</v>
      </c>
      <c r="K7238" s="3">
        <f t="shared" si="113"/>
        <v>1498</v>
      </c>
      <c r="L7238" s="3">
        <v>868.84</v>
      </c>
    </row>
    <row r="7239" spans="1:12" x14ac:dyDescent="0.25">
      <c r="A7239" t="s">
        <v>19</v>
      </c>
      <c r="B7239">
        <v>1185732</v>
      </c>
      <c r="C7239" s="1">
        <v>44511</v>
      </c>
      <c r="D7239" t="s">
        <v>29</v>
      </c>
      <c r="E7239" t="s">
        <v>55</v>
      </c>
      <c r="F7239" t="s">
        <v>56</v>
      </c>
      <c r="G7239" t="s">
        <v>15</v>
      </c>
      <c r="H7239" t="s">
        <v>35</v>
      </c>
      <c r="I7239" s="3">
        <v>27</v>
      </c>
      <c r="J7239" s="2">
        <v>51</v>
      </c>
      <c r="K7239" s="3">
        <f t="shared" si="113"/>
        <v>1377</v>
      </c>
      <c r="L7239" s="3">
        <v>798.66</v>
      </c>
    </row>
    <row r="7240" spans="1:12" x14ac:dyDescent="0.25">
      <c r="A7240" t="s">
        <v>11</v>
      </c>
      <c r="B7240">
        <v>1185732</v>
      </c>
      <c r="C7240" s="1">
        <v>44511</v>
      </c>
      <c r="D7240" t="s">
        <v>12</v>
      </c>
      <c r="E7240" t="s">
        <v>101</v>
      </c>
      <c r="F7240" t="s">
        <v>102</v>
      </c>
      <c r="G7240" t="s">
        <v>15</v>
      </c>
      <c r="H7240" t="s">
        <v>37</v>
      </c>
      <c r="I7240" s="3">
        <v>15</v>
      </c>
      <c r="J7240" s="2">
        <v>124</v>
      </c>
      <c r="K7240" s="3">
        <f t="shared" si="113"/>
        <v>1860</v>
      </c>
      <c r="L7240" s="3">
        <v>1078.8</v>
      </c>
    </row>
    <row r="7241" spans="1:12" x14ac:dyDescent="0.25">
      <c r="A7241" t="s">
        <v>27</v>
      </c>
      <c r="B7241">
        <v>1185732</v>
      </c>
      <c r="C7241" s="1">
        <v>44511</v>
      </c>
      <c r="D7241" t="s">
        <v>12</v>
      </c>
      <c r="E7241" t="s">
        <v>62</v>
      </c>
      <c r="F7241" t="s">
        <v>63</v>
      </c>
      <c r="G7241" t="s">
        <v>41</v>
      </c>
      <c r="H7241" t="s">
        <v>17</v>
      </c>
      <c r="I7241" s="3">
        <v>42</v>
      </c>
      <c r="J7241" s="2">
        <v>167</v>
      </c>
      <c r="K7241" s="3">
        <f t="shared" si="113"/>
        <v>7014</v>
      </c>
      <c r="L7241" s="3">
        <v>3997.98</v>
      </c>
    </row>
    <row r="7242" spans="1:12" x14ac:dyDescent="0.25">
      <c r="A7242" t="s">
        <v>11</v>
      </c>
      <c r="B7242">
        <v>1185732</v>
      </c>
      <c r="C7242" s="1">
        <v>44511</v>
      </c>
      <c r="D7242" t="s">
        <v>12</v>
      </c>
      <c r="E7242" t="s">
        <v>101</v>
      </c>
      <c r="F7242" t="s">
        <v>102</v>
      </c>
      <c r="G7242" t="s">
        <v>15</v>
      </c>
      <c r="H7242" t="s">
        <v>38</v>
      </c>
      <c r="I7242" s="3">
        <v>22</v>
      </c>
      <c r="J7242" s="2">
        <v>165</v>
      </c>
      <c r="K7242" s="3">
        <f t="shared" si="113"/>
        <v>3630</v>
      </c>
      <c r="L7242" s="3">
        <v>2069.1</v>
      </c>
    </row>
    <row r="7243" spans="1:12" x14ac:dyDescent="0.25">
      <c r="A7243" t="s">
        <v>19</v>
      </c>
      <c r="B7243">
        <v>1185732</v>
      </c>
      <c r="C7243" s="1">
        <v>44511</v>
      </c>
      <c r="D7243" t="s">
        <v>29</v>
      </c>
      <c r="E7243" t="s">
        <v>55</v>
      </c>
      <c r="F7243" t="s">
        <v>56</v>
      </c>
      <c r="G7243" t="s">
        <v>41</v>
      </c>
      <c r="H7243" t="s">
        <v>35</v>
      </c>
      <c r="I7243" s="3">
        <v>38</v>
      </c>
      <c r="J7243" s="2">
        <v>38</v>
      </c>
      <c r="K7243" s="3">
        <f t="shared" si="113"/>
        <v>1444</v>
      </c>
      <c r="L7243" s="3">
        <v>779.7600000000001</v>
      </c>
    </row>
    <row r="7244" spans="1:12" x14ac:dyDescent="0.25">
      <c r="A7244" t="s">
        <v>11</v>
      </c>
      <c r="B7244">
        <v>1185732</v>
      </c>
      <c r="C7244" s="1">
        <v>44511</v>
      </c>
      <c r="D7244" t="s">
        <v>12</v>
      </c>
      <c r="E7244" t="s">
        <v>101</v>
      </c>
      <c r="F7244" t="s">
        <v>102</v>
      </c>
      <c r="G7244" t="s">
        <v>41</v>
      </c>
      <c r="H7244" t="s">
        <v>17</v>
      </c>
      <c r="I7244" s="3">
        <v>20</v>
      </c>
      <c r="J7244" s="2">
        <v>108</v>
      </c>
      <c r="K7244" s="3">
        <f t="shared" si="113"/>
        <v>2160</v>
      </c>
      <c r="L7244" s="3">
        <v>1166.4000000000001</v>
      </c>
    </row>
    <row r="7245" spans="1:12" x14ac:dyDescent="0.25">
      <c r="A7245" t="s">
        <v>36</v>
      </c>
      <c r="B7245">
        <v>1185732</v>
      </c>
      <c r="C7245" s="1">
        <v>44511</v>
      </c>
      <c r="D7245" t="s">
        <v>29</v>
      </c>
      <c r="E7245" t="s">
        <v>30</v>
      </c>
      <c r="F7245" t="s">
        <v>31</v>
      </c>
      <c r="G7245" t="s">
        <v>41</v>
      </c>
      <c r="H7245" t="s">
        <v>38</v>
      </c>
      <c r="I7245" s="3">
        <v>54</v>
      </c>
      <c r="J7245" s="2">
        <v>158</v>
      </c>
      <c r="K7245" s="3">
        <f t="shared" si="113"/>
        <v>8532</v>
      </c>
      <c r="L7245" s="3">
        <v>4521.96</v>
      </c>
    </row>
    <row r="7246" spans="1:12" x14ac:dyDescent="0.25">
      <c r="A7246" t="s">
        <v>36</v>
      </c>
      <c r="B7246">
        <v>1185732</v>
      </c>
      <c r="C7246" s="1">
        <v>44511</v>
      </c>
      <c r="D7246" t="s">
        <v>29</v>
      </c>
      <c r="E7246" t="s">
        <v>80</v>
      </c>
      <c r="F7246" t="s">
        <v>81</v>
      </c>
      <c r="G7246" t="s">
        <v>15</v>
      </c>
      <c r="H7246" t="s">
        <v>16</v>
      </c>
      <c r="I7246" s="3">
        <v>57</v>
      </c>
      <c r="J7246" s="2">
        <v>128</v>
      </c>
      <c r="K7246" s="3">
        <f t="shared" si="113"/>
        <v>7296</v>
      </c>
      <c r="L7246" s="3">
        <v>3866.88</v>
      </c>
    </row>
    <row r="7247" spans="1:12" x14ac:dyDescent="0.25">
      <c r="A7247" t="s">
        <v>11</v>
      </c>
      <c r="B7247">
        <v>1185732</v>
      </c>
      <c r="C7247" s="1">
        <v>44511</v>
      </c>
      <c r="D7247" t="s">
        <v>12</v>
      </c>
      <c r="E7247" t="s">
        <v>101</v>
      </c>
      <c r="F7247" t="s">
        <v>102</v>
      </c>
      <c r="G7247" t="s">
        <v>41</v>
      </c>
      <c r="H7247" t="s">
        <v>35</v>
      </c>
      <c r="I7247" s="3">
        <v>19</v>
      </c>
      <c r="J7247" s="2">
        <v>93</v>
      </c>
      <c r="K7247" s="3">
        <f t="shared" si="113"/>
        <v>1767</v>
      </c>
      <c r="L7247" s="3">
        <v>918.84</v>
      </c>
    </row>
    <row r="7248" spans="1:12" x14ac:dyDescent="0.25">
      <c r="A7248" t="s">
        <v>11</v>
      </c>
      <c r="B7248">
        <v>1185732</v>
      </c>
      <c r="C7248" s="1">
        <v>44511</v>
      </c>
      <c r="D7248" t="s">
        <v>29</v>
      </c>
      <c r="E7248" t="s">
        <v>80</v>
      </c>
      <c r="F7248" t="s">
        <v>81</v>
      </c>
      <c r="G7248" t="s">
        <v>41</v>
      </c>
      <c r="H7248" t="s">
        <v>35</v>
      </c>
      <c r="I7248" s="3">
        <v>57</v>
      </c>
      <c r="J7248" s="2">
        <v>96</v>
      </c>
      <c r="K7248" s="3">
        <f t="shared" si="113"/>
        <v>5472</v>
      </c>
      <c r="L7248" s="3">
        <v>2845.44</v>
      </c>
    </row>
    <row r="7249" spans="1:12" x14ac:dyDescent="0.25">
      <c r="A7249" t="s">
        <v>27</v>
      </c>
      <c r="B7249">
        <v>1185732</v>
      </c>
      <c r="C7249" s="1">
        <v>44511</v>
      </c>
      <c r="D7249" t="s">
        <v>12</v>
      </c>
      <c r="E7249" t="s">
        <v>62</v>
      </c>
      <c r="F7249" t="s">
        <v>63</v>
      </c>
      <c r="G7249" t="s">
        <v>41</v>
      </c>
      <c r="H7249" t="s">
        <v>37</v>
      </c>
      <c r="I7249" s="3">
        <v>42</v>
      </c>
      <c r="J7249" s="2">
        <v>135</v>
      </c>
      <c r="K7249" s="3">
        <f t="shared" si="113"/>
        <v>5670</v>
      </c>
      <c r="L7249" s="3">
        <v>2891.7000000000003</v>
      </c>
    </row>
    <row r="7250" spans="1:12" x14ac:dyDescent="0.25">
      <c r="A7250" t="s">
        <v>11</v>
      </c>
      <c r="B7250">
        <v>1185732</v>
      </c>
      <c r="C7250" s="1">
        <v>44511</v>
      </c>
      <c r="D7250" t="s">
        <v>12</v>
      </c>
      <c r="E7250" t="s">
        <v>101</v>
      </c>
      <c r="F7250" t="s">
        <v>102</v>
      </c>
      <c r="G7250" t="s">
        <v>41</v>
      </c>
      <c r="H7250" t="s">
        <v>22</v>
      </c>
      <c r="I7250" s="3">
        <v>39</v>
      </c>
      <c r="J7250" s="2">
        <v>91</v>
      </c>
      <c r="K7250" s="3">
        <f t="shared" si="113"/>
        <v>3549</v>
      </c>
      <c r="L7250" s="3">
        <v>1809.99</v>
      </c>
    </row>
    <row r="7251" spans="1:12" x14ac:dyDescent="0.25">
      <c r="A7251" t="s">
        <v>11</v>
      </c>
      <c r="B7251">
        <v>1185732</v>
      </c>
      <c r="C7251" s="1">
        <v>44511</v>
      </c>
      <c r="D7251" t="s">
        <v>29</v>
      </c>
      <c r="E7251" t="s">
        <v>80</v>
      </c>
      <c r="F7251" t="s">
        <v>81</v>
      </c>
      <c r="G7251" t="s">
        <v>15</v>
      </c>
      <c r="H7251" t="s">
        <v>17</v>
      </c>
      <c r="I7251" s="3">
        <v>47</v>
      </c>
      <c r="J7251" s="2">
        <v>98</v>
      </c>
      <c r="K7251" s="3">
        <f t="shared" si="113"/>
        <v>4606</v>
      </c>
      <c r="L7251" s="3">
        <v>2349.06</v>
      </c>
    </row>
    <row r="7252" spans="1:12" x14ac:dyDescent="0.25">
      <c r="A7252" t="s">
        <v>27</v>
      </c>
      <c r="B7252">
        <v>1185732</v>
      </c>
      <c r="C7252" s="1">
        <v>44511</v>
      </c>
      <c r="D7252" t="s">
        <v>12</v>
      </c>
      <c r="E7252" t="s">
        <v>62</v>
      </c>
      <c r="F7252" t="s">
        <v>63</v>
      </c>
      <c r="G7252" t="s">
        <v>41</v>
      </c>
      <c r="H7252" t="s">
        <v>35</v>
      </c>
      <c r="I7252" s="3">
        <v>42</v>
      </c>
      <c r="J7252" s="2">
        <v>146</v>
      </c>
      <c r="K7252" s="3">
        <f t="shared" si="113"/>
        <v>6132</v>
      </c>
      <c r="L7252" s="3">
        <v>3066</v>
      </c>
    </row>
    <row r="7253" spans="1:12" x14ac:dyDescent="0.25">
      <c r="A7253" t="s">
        <v>11</v>
      </c>
      <c r="B7253">
        <v>1185732</v>
      </c>
      <c r="C7253" s="1">
        <v>44511</v>
      </c>
      <c r="D7253" t="s">
        <v>12</v>
      </c>
      <c r="E7253" t="s">
        <v>101</v>
      </c>
      <c r="F7253" t="s">
        <v>102</v>
      </c>
      <c r="G7253" t="s">
        <v>41</v>
      </c>
      <c r="H7253" t="s">
        <v>38</v>
      </c>
      <c r="I7253" s="3">
        <v>29</v>
      </c>
      <c r="J7253" s="2">
        <v>149</v>
      </c>
      <c r="K7253" s="3">
        <f t="shared" si="113"/>
        <v>4321</v>
      </c>
      <c r="L7253" s="3">
        <v>2160.5</v>
      </c>
    </row>
    <row r="7254" spans="1:12" x14ac:dyDescent="0.25">
      <c r="A7254" t="s">
        <v>36</v>
      </c>
      <c r="B7254">
        <v>1185732</v>
      </c>
      <c r="C7254" s="1">
        <v>44511</v>
      </c>
      <c r="D7254" t="s">
        <v>29</v>
      </c>
      <c r="E7254" t="s">
        <v>80</v>
      </c>
      <c r="F7254" t="s">
        <v>81</v>
      </c>
      <c r="G7254" t="s">
        <v>41</v>
      </c>
      <c r="H7254" t="s">
        <v>37</v>
      </c>
      <c r="I7254" s="3">
        <v>55</v>
      </c>
      <c r="J7254" s="2">
        <v>75</v>
      </c>
      <c r="K7254" s="3">
        <f t="shared" si="113"/>
        <v>4125</v>
      </c>
      <c r="L7254" s="3">
        <v>2062.5</v>
      </c>
    </row>
    <row r="7255" spans="1:12" x14ac:dyDescent="0.25">
      <c r="A7255" t="s">
        <v>36</v>
      </c>
      <c r="B7255">
        <v>1185732</v>
      </c>
      <c r="C7255" s="1">
        <v>44511</v>
      </c>
      <c r="D7255" t="s">
        <v>29</v>
      </c>
      <c r="E7255" t="s">
        <v>80</v>
      </c>
      <c r="F7255" t="s">
        <v>81</v>
      </c>
      <c r="G7255" t="s">
        <v>41</v>
      </c>
      <c r="H7255" t="s">
        <v>22</v>
      </c>
      <c r="I7255" s="3">
        <v>67</v>
      </c>
      <c r="J7255" s="2">
        <v>80</v>
      </c>
      <c r="K7255" s="3">
        <f t="shared" si="113"/>
        <v>5360</v>
      </c>
      <c r="L7255" s="3">
        <v>2680</v>
      </c>
    </row>
    <row r="7256" spans="1:12" x14ac:dyDescent="0.25">
      <c r="A7256" t="s">
        <v>11</v>
      </c>
      <c r="B7256">
        <v>1185732</v>
      </c>
      <c r="C7256" s="1">
        <v>44511</v>
      </c>
      <c r="D7256" t="s">
        <v>29</v>
      </c>
      <c r="E7256" t="s">
        <v>80</v>
      </c>
      <c r="F7256" t="s">
        <v>81</v>
      </c>
      <c r="G7256" t="s">
        <v>15</v>
      </c>
      <c r="H7256" t="s">
        <v>38</v>
      </c>
      <c r="I7256" s="3">
        <v>54</v>
      </c>
      <c r="J7256" s="2">
        <v>140</v>
      </c>
      <c r="K7256" s="3">
        <f t="shared" si="113"/>
        <v>7560</v>
      </c>
      <c r="L7256" s="3">
        <v>3780</v>
      </c>
    </row>
    <row r="7257" spans="1:12" x14ac:dyDescent="0.25">
      <c r="A7257" t="s">
        <v>11</v>
      </c>
      <c r="B7257">
        <v>1185732</v>
      </c>
      <c r="C7257" s="1">
        <v>44511</v>
      </c>
      <c r="D7257" t="s">
        <v>12</v>
      </c>
      <c r="E7257" t="s">
        <v>101</v>
      </c>
      <c r="F7257" t="s">
        <v>102</v>
      </c>
      <c r="G7257" t="s">
        <v>41</v>
      </c>
      <c r="H7257" t="s">
        <v>37</v>
      </c>
      <c r="I7257" s="3">
        <v>19</v>
      </c>
      <c r="J7257" s="2">
        <v>113</v>
      </c>
      <c r="K7257" s="3">
        <f t="shared" si="113"/>
        <v>2147</v>
      </c>
      <c r="L7257" s="3">
        <v>1052.03</v>
      </c>
    </row>
    <row r="7258" spans="1:12" x14ac:dyDescent="0.25">
      <c r="A7258" t="s">
        <v>36</v>
      </c>
      <c r="B7258">
        <v>1185732</v>
      </c>
      <c r="C7258" s="1">
        <v>44511</v>
      </c>
      <c r="D7258" t="s">
        <v>29</v>
      </c>
      <c r="E7258" t="s">
        <v>80</v>
      </c>
      <c r="F7258" t="s">
        <v>81</v>
      </c>
      <c r="G7258" t="s">
        <v>41</v>
      </c>
      <c r="H7258" t="s">
        <v>16</v>
      </c>
      <c r="I7258" s="3">
        <v>70</v>
      </c>
      <c r="J7258" s="2">
        <v>94</v>
      </c>
      <c r="K7258" s="3">
        <f t="shared" si="113"/>
        <v>6580</v>
      </c>
      <c r="L7258" s="3">
        <v>3092.6</v>
      </c>
    </row>
    <row r="7259" spans="1:12" x14ac:dyDescent="0.25">
      <c r="A7259" t="s">
        <v>11</v>
      </c>
      <c r="B7259">
        <v>1185732</v>
      </c>
      <c r="C7259" s="1">
        <v>44511</v>
      </c>
      <c r="D7259" t="s">
        <v>12</v>
      </c>
      <c r="E7259" t="s">
        <v>101</v>
      </c>
      <c r="F7259" t="s">
        <v>102</v>
      </c>
      <c r="G7259" t="s">
        <v>15</v>
      </c>
      <c r="H7259" t="s">
        <v>16</v>
      </c>
      <c r="I7259" s="3">
        <v>35</v>
      </c>
      <c r="J7259" s="2">
        <v>158</v>
      </c>
      <c r="K7259" s="3">
        <f t="shared" si="113"/>
        <v>5530</v>
      </c>
      <c r="L7259" s="3">
        <v>2488.4999999999995</v>
      </c>
    </row>
    <row r="7260" spans="1:12" x14ac:dyDescent="0.25">
      <c r="A7260" t="s">
        <v>11</v>
      </c>
      <c r="B7260">
        <v>1185732</v>
      </c>
      <c r="C7260" s="1">
        <v>44511</v>
      </c>
      <c r="D7260" t="s">
        <v>29</v>
      </c>
      <c r="E7260" t="s">
        <v>80</v>
      </c>
      <c r="F7260" t="s">
        <v>81</v>
      </c>
      <c r="G7260" t="s">
        <v>41</v>
      </c>
      <c r="H7260" t="s">
        <v>17</v>
      </c>
      <c r="I7260" s="3">
        <v>55</v>
      </c>
      <c r="J7260" s="2">
        <v>81</v>
      </c>
      <c r="K7260" s="3">
        <f t="shared" si="113"/>
        <v>4455</v>
      </c>
      <c r="L7260" s="3">
        <v>1871.1</v>
      </c>
    </row>
    <row r="7261" spans="1:12" x14ac:dyDescent="0.25">
      <c r="A7261" t="s">
        <v>11</v>
      </c>
      <c r="B7261">
        <v>1185732</v>
      </c>
      <c r="C7261" s="1">
        <v>44511</v>
      </c>
      <c r="D7261" t="s">
        <v>29</v>
      </c>
      <c r="E7261" t="s">
        <v>80</v>
      </c>
      <c r="F7261" t="s">
        <v>81</v>
      </c>
      <c r="G7261" t="s">
        <v>41</v>
      </c>
      <c r="H7261" t="s">
        <v>38</v>
      </c>
      <c r="I7261" s="3">
        <v>64</v>
      </c>
      <c r="J7261" s="2">
        <v>126</v>
      </c>
      <c r="K7261" s="3">
        <f t="shared" si="113"/>
        <v>8064</v>
      </c>
      <c r="L7261" s="3">
        <v>3225.6000000000004</v>
      </c>
    </row>
    <row r="7262" spans="1:12" x14ac:dyDescent="0.25">
      <c r="A7262" t="s">
        <v>27</v>
      </c>
      <c r="B7262">
        <v>1185732</v>
      </c>
      <c r="C7262" s="1">
        <v>44511</v>
      </c>
      <c r="D7262" t="s">
        <v>12</v>
      </c>
      <c r="E7262" t="s">
        <v>62</v>
      </c>
      <c r="F7262" t="s">
        <v>63</v>
      </c>
      <c r="G7262" t="s">
        <v>41</v>
      </c>
      <c r="H7262" t="s">
        <v>38</v>
      </c>
      <c r="I7262" s="3">
        <v>53</v>
      </c>
      <c r="J7262" s="2">
        <v>218</v>
      </c>
      <c r="K7262" s="3">
        <f t="shared" si="113"/>
        <v>11554</v>
      </c>
      <c r="L7262" s="3">
        <v>4506.0600000000004</v>
      </c>
    </row>
    <row r="7263" spans="1:12" x14ac:dyDescent="0.25">
      <c r="A7263" t="s">
        <v>11</v>
      </c>
      <c r="B7263">
        <v>1185732</v>
      </c>
      <c r="C7263" s="1">
        <v>44511</v>
      </c>
      <c r="D7263" t="s">
        <v>12</v>
      </c>
      <c r="E7263" t="s">
        <v>101</v>
      </c>
      <c r="F7263" t="s">
        <v>102</v>
      </c>
      <c r="G7263" t="s">
        <v>41</v>
      </c>
      <c r="H7263" t="s">
        <v>16</v>
      </c>
      <c r="I7263" s="3">
        <v>43</v>
      </c>
      <c r="J7263" s="2">
        <v>113</v>
      </c>
      <c r="K7263" s="3">
        <f t="shared" si="113"/>
        <v>4859</v>
      </c>
      <c r="L7263" s="3">
        <v>1700.65</v>
      </c>
    </row>
    <row r="7264" spans="1:12" x14ac:dyDescent="0.25">
      <c r="A7264" t="s">
        <v>26</v>
      </c>
      <c r="B7264">
        <v>1185732</v>
      </c>
      <c r="C7264" s="1">
        <v>44512</v>
      </c>
      <c r="D7264" t="s">
        <v>57</v>
      </c>
      <c r="E7264" t="s">
        <v>74</v>
      </c>
      <c r="F7264" t="s">
        <v>75</v>
      </c>
      <c r="G7264" t="s">
        <v>41</v>
      </c>
      <c r="H7264" t="s">
        <v>17</v>
      </c>
      <c r="I7264" s="3">
        <v>45</v>
      </c>
      <c r="J7264" s="2">
        <v>250</v>
      </c>
      <c r="K7264" s="3">
        <f t="shared" si="113"/>
        <v>11250</v>
      </c>
      <c r="L7264" s="3">
        <v>7875</v>
      </c>
    </row>
    <row r="7265" spans="1:12" x14ac:dyDescent="0.25">
      <c r="A7265" t="s">
        <v>26</v>
      </c>
      <c r="B7265">
        <v>1185732</v>
      </c>
      <c r="C7265" s="1">
        <v>44512</v>
      </c>
      <c r="D7265" t="s">
        <v>57</v>
      </c>
      <c r="E7265" t="s">
        <v>74</v>
      </c>
      <c r="F7265" t="s">
        <v>75</v>
      </c>
      <c r="G7265" t="s">
        <v>41</v>
      </c>
      <c r="H7265" t="s">
        <v>35</v>
      </c>
      <c r="I7265" s="3">
        <v>45</v>
      </c>
      <c r="J7265" s="2">
        <v>195</v>
      </c>
      <c r="K7265" s="3">
        <f t="shared" si="113"/>
        <v>8775</v>
      </c>
      <c r="L7265" s="3">
        <v>6142.5</v>
      </c>
    </row>
    <row r="7266" spans="1:12" x14ac:dyDescent="0.25">
      <c r="A7266" t="s">
        <v>26</v>
      </c>
      <c r="B7266">
        <v>1185732</v>
      </c>
      <c r="C7266" s="1">
        <v>44512</v>
      </c>
      <c r="D7266" t="s">
        <v>57</v>
      </c>
      <c r="E7266" t="s">
        <v>74</v>
      </c>
      <c r="F7266" t="s">
        <v>75</v>
      </c>
      <c r="G7266" t="s">
        <v>41</v>
      </c>
      <c r="H7266" t="s">
        <v>37</v>
      </c>
      <c r="I7266" s="3">
        <v>45</v>
      </c>
      <c r="J7266" s="2">
        <v>175</v>
      </c>
      <c r="K7266" s="3">
        <f t="shared" si="113"/>
        <v>7875</v>
      </c>
      <c r="L7266" s="3">
        <v>5512.5</v>
      </c>
    </row>
    <row r="7267" spans="1:12" x14ac:dyDescent="0.25">
      <c r="A7267" t="s">
        <v>26</v>
      </c>
      <c r="B7267">
        <v>1185732</v>
      </c>
      <c r="C7267" s="1">
        <v>44512</v>
      </c>
      <c r="D7267" t="s">
        <v>57</v>
      </c>
      <c r="E7267" t="s">
        <v>74</v>
      </c>
      <c r="F7267" t="s">
        <v>75</v>
      </c>
      <c r="G7267" t="s">
        <v>41</v>
      </c>
      <c r="H7267" t="s">
        <v>38</v>
      </c>
      <c r="I7267" s="3">
        <v>54.999999999999993</v>
      </c>
      <c r="J7267" s="2">
        <v>400</v>
      </c>
      <c r="K7267" s="3">
        <f t="shared" si="113"/>
        <v>21999.999999999996</v>
      </c>
      <c r="L7267" s="3">
        <v>14300</v>
      </c>
    </row>
    <row r="7268" spans="1:12" x14ac:dyDescent="0.25">
      <c r="A7268" t="s">
        <v>19</v>
      </c>
      <c r="B7268">
        <v>1185732</v>
      </c>
      <c r="C7268" s="1">
        <v>44512</v>
      </c>
      <c r="D7268" t="s">
        <v>29</v>
      </c>
      <c r="E7268" t="s">
        <v>55</v>
      </c>
      <c r="F7268" t="s">
        <v>56</v>
      </c>
      <c r="G7268" t="s">
        <v>15</v>
      </c>
      <c r="H7268" t="s">
        <v>37</v>
      </c>
      <c r="I7268" s="3">
        <v>45</v>
      </c>
      <c r="J7268" s="2">
        <v>75</v>
      </c>
      <c r="K7268" s="3">
        <f t="shared" si="113"/>
        <v>3375</v>
      </c>
      <c r="L7268" s="3">
        <v>2193.75</v>
      </c>
    </row>
    <row r="7269" spans="1:12" x14ac:dyDescent="0.25">
      <c r="A7269" t="s">
        <v>36</v>
      </c>
      <c r="B7269">
        <v>1185732</v>
      </c>
      <c r="C7269" s="1">
        <v>44512</v>
      </c>
      <c r="D7269" t="s">
        <v>29</v>
      </c>
      <c r="E7269" t="s">
        <v>30</v>
      </c>
      <c r="F7269" t="s">
        <v>31</v>
      </c>
      <c r="G7269" t="s">
        <v>15</v>
      </c>
      <c r="H7269" t="s">
        <v>17</v>
      </c>
      <c r="I7269" s="3">
        <v>50</v>
      </c>
      <c r="J7269" s="2">
        <v>275</v>
      </c>
      <c r="K7269" s="3">
        <f t="shared" si="113"/>
        <v>13750</v>
      </c>
      <c r="L7269" s="3">
        <v>8937.5</v>
      </c>
    </row>
    <row r="7270" spans="1:12" x14ac:dyDescent="0.25">
      <c r="A7270" t="s">
        <v>26</v>
      </c>
      <c r="B7270">
        <v>1185732</v>
      </c>
      <c r="C7270" s="1">
        <v>44512</v>
      </c>
      <c r="D7270" t="s">
        <v>57</v>
      </c>
      <c r="E7270" t="s">
        <v>74</v>
      </c>
      <c r="F7270" t="s">
        <v>75</v>
      </c>
      <c r="G7270" t="s">
        <v>41</v>
      </c>
      <c r="H7270" t="s">
        <v>22</v>
      </c>
      <c r="I7270" s="3">
        <v>60</v>
      </c>
      <c r="J7270" s="2">
        <v>150</v>
      </c>
      <c r="K7270" s="3">
        <f t="shared" si="113"/>
        <v>9000</v>
      </c>
      <c r="L7270" s="3">
        <v>5850</v>
      </c>
    </row>
    <row r="7271" spans="1:12" x14ac:dyDescent="0.25">
      <c r="A7271" t="s">
        <v>26</v>
      </c>
      <c r="B7271">
        <v>1185732</v>
      </c>
      <c r="C7271" s="1">
        <v>44512</v>
      </c>
      <c r="D7271" t="s">
        <v>57</v>
      </c>
      <c r="E7271" t="s">
        <v>74</v>
      </c>
      <c r="F7271" t="s">
        <v>75</v>
      </c>
      <c r="G7271" t="s">
        <v>41</v>
      </c>
      <c r="H7271" t="s">
        <v>16</v>
      </c>
      <c r="I7271" s="3">
        <v>64.999999999999986</v>
      </c>
      <c r="J7271" s="2">
        <v>250</v>
      </c>
      <c r="K7271" s="3">
        <f t="shared" si="113"/>
        <v>16249.999999999996</v>
      </c>
      <c r="L7271" s="3">
        <v>9749.9999999999964</v>
      </c>
    </row>
    <row r="7272" spans="1:12" x14ac:dyDescent="0.25">
      <c r="A7272" t="s">
        <v>19</v>
      </c>
      <c r="B7272">
        <v>1185732</v>
      </c>
      <c r="C7272" s="1">
        <v>44512</v>
      </c>
      <c r="D7272" t="s">
        <v>29</v>
      </c>
      <c r="E7272" t="s">
        <v>55</v>
      </c>
      <c r="F7272" t="s">
        <v>56</v>
      </c>
      <c r="G7272" t="s">
        <v>15</v>
      </c>
      <c r="H7272" t="s">
        <v>37</v>
      </c>
      <c r="I7272" s="3">
        <v>36</v>
      </c>
      <c r="J7272" s="2">
        <v>24</v>
      </c>
      <c r="K7272" s="3">
        <f t="shared" si="113"/>
        <v>864</v>
      </c>
      <c r="L7272" s="3">
        <v>535.68000000000006</v>
      </c>
    </row>
    <row r="7273" spans="1:12" x14ac:dyDescent="0.25">
      <c r="A7273" t="s">
        <v>26</v>
      </c>
      <c r="B7273">
        <v>1185732</v>
      </c>
      <c r="C7273" s="1">
        <v>44512</v>
      </c>
      <c r="D7273" t="s">
        <v>57</v>
      </c>
      <c r="E7273" t="s">
        <v>74</v>
      </c>
      <c r="F7273" t="s">
        <v>75</v>
      </c>
      <c r="G7273" t="s">
        <v>41</v>
      </c>
      <c r="H7273" t="s">
        <v>17</v>
      </c>
      <c r="I7273" s="3">
        <v>41</v>
      </c>
      <c r="J7273" s="2">
        <v>63</v>
      </c>
      <c r="K7273" s="3">
        <f t="shared" si="113"/>
        <v>2583</v>
      </c>
      <c r="L7273" s="3">
        <v>1523.97</v>
      </c>
    </row>
    <row r="7274" spans="1:12" x14ac:dyDescent="0.25">
      <c r="A7274" t="s">
        <v>26</v>
      </c>
      <c r="B7274">
        <v>1185732</v>
      </c>
      <c r="C7274" s="1">
        <v>44512</v>
      </c>
      <c r="D7274" t="s">
        <v>57</v>
      </c>
      <c r="E7274" t="s">
        <v>74</v>
      </c>
      <c r="F7274" t="s">
        <v>75</v>
      </c>
      <c r="G7274" t="s">
        <v>41</v>
      </c>
      <c r="H7274" t="s">
        <v>35</v>
      </c>
      <c r="I7274" s="3">
        <v>43</v>
      </c>
      <c r="J7274" s="2">
        <v>57</v>
      </c>
      <c r="K7274" s="3">
        <f t="shared" si="113"/>
        <v>2451</v>
      </c>
      <c r="L7274" s="3">
        <v>1372.56</v>
      </c>
    </row>
    <row r="7275" spans="1:12" x14ac:dyDescent="0.25">
      <c r="A7275" t="s">
        <v>26</v>
      </c>
      <c r="B7275">
        <v>1185732</v>
      </c>
      <c r="C7275" s="1">
        <v>44512</v>
      </c>
      <c r="D7275" t="s">
        <v>57</v>
      </c>
      <c r="E7275" t="s">
        <v>74</v>
      </c>
      <c r="F7275" t="s">
        <v>75</v>
      </c>
      <c r="G7275" t="s">
        <v>41</v>
      </c>
      <c r="H7275" t="s">
        <v>37</v>
      </c>
      <c r="I7275" s="3">
        <v>43</v>
      </c>
      <c r="J7275" s="2">
        <v>44</v>
      </c>
      <c r="K7275" s="3">
        <f t="shared" si="113"/>
        <v>1892</v>
      </c>
      <c r="L7275" s="3">
        <v>1059.52</v>
      </c>
    </row>
    <row r="7276" spans="1:12" x14ac:dyDescent="0.25">
      <c r="A7276" t="s">
        <v>19</v>
      </c>
      <c r="B7276">
        <v>1185732</v>
      </c>
      <c r="C7276" s="1">
        <v>44512</v>
      </c>
      <c r="D7276" t="s">
        <v>29</v>
      </c>
      <c r="E7276" t="s">
        <v>55</v>
      </c>
      <c r="F7276" t="s">
        <v>56</v>
      </c>
      <c r="G7276" t="s">
        <v>41</v>
      </c>
      <c r="H7276" t="s">
        <v>37</v>
      </c>
      <c r="I7276" s="3">
        <v>42</v>
      </c>
      <c r="J7276" s="2">
        <v>20</v>
      </c>
      <c r="K7276" s="3">
        <f t="shared" si="113"/>
        <v>840</v>
      </c>
      <c r="L7276" s="3">
        <v>453.6</v>
      </c>
    </row>
    <row r="7277" spans="1:12" x14ac:dyDescent="0.25">
      <c r="A7277" t="s">
        <v>26</v>
      </c>
      <c r="B7277">
        <v>1185732</v>
      </c>
      <c r="C7277" s="1">
        <v>44512</v>
      </c>
      <c r="D7277" t="s">
        <v>57</v>
      </c>
      <c r="E7277" t="s">
        <v>74</v>
      </c>
      <c r="F7277" t="s">
        <v>75</v>
      </c>
      <c r="G7277" t="s">
        <v>41</v>
      </c>
      <c r="H7277" t="s">
        <v>22</v>
      </c>
      <c r="I7277" s="3">
        <v>59</v>
      </c>
      <c r="J7277" s="2">
        <v>45</v>
      </c>
      <c r="K7277" s="3">
        <f t="shared" si="113"/>
        <v>2655</v>
      </c>
      <c r="L7277" s="3">
        <v>1433.7</v>
      </c>
    </row>
    <row r="7278" spans="1:12" x14ac:dyDescent="0.25">
      <c r="A7278" t="s">
        <v>36</v>
      </c>
      <c r="B7278">
        <v>1185732</v>
      </c>
      <c r="C7278" s="1">
        <v>44512</v>
      </c>
      <c r="D7278" t="s">
        <v>29</v>
      </c>
      <c r="E7278" t="s">
        <v>30</v>
      </c>
      <c r="F7278" t="s">
        <v>31</v>
      </c>
      <c r="G7278" t="s">
        <v>41</v>
      </c>
      <c r="H7278" t="s">
        <v>17</v>
      </c>
      <c r="I7278" s="3">
        <v>48</v>
      </c>
      <c r="J7278" s="2">
        <v>77</v>
      </c>
      <c r="K7278" s="3">
        <f t="shared" si="113"/>
        <v>3696</v>
      </c>
      <c r="L7278" s="3">
        <v>1884.96</v>
      </c>
    </row>
    <row r="7279" spans="1:12" x14ac:dyDescent="0.25">
      <c r="A7279" t="s">
        <v>26</v>
      </c>
      <c r="B7279">
        <v>1185732</v>
      </c>
      <c r="C7279" s="1">
        <v>44512</v>
      </c>
      <c r="D7279" t="s">
        <v>57</v>
      </c>
      <c r="E7279" t="s">
        <v>74</v>
      </c>
      <c r="F7279" t="s">
        <v>75</v>
      </c>
      <c r="G7279" t="s">
        <v>41</v>
      </c>
      <c r="H7279" t="s">
        <v>38</v>
      </c>
      <c r="I7279" s="3">
        <v>53</v>
      </c>
      <c r="J7279" s="2">
        <v>104</v>
      </c>
      <c r="K7279" s="3">
        <f t="shared" si="113"/>
        <v>5512</v>
      </c>
      <c r="L7279" s="3">
        <v>2811.12</v>
      </c>
    </row>
    <row r="7280" spans="1:12" x14ac:dyDescent="0.25">
      <c r="A7280" t="s">
        <v>26</v>
      </c>
      <c r="B7280">
        <v>1185732</v>
      </c>
      <c r="C7280" s="1">
        <v>44512</v>
      </c>
      <c r="D7280" t="s">
        <v>57</v>
      </c>
      <c r="E7280" t="s">
        <v>74</v>
      </c>
      <c r="F7280" t="s">
        <v>75</v>
      </c>
      <c r="G7280" t="s">
        <v>41</v>
      </c>
      <c r="H7280" t="s">
        <v>16</v>
      </c>
      <c r="I7280" s="3">
        <v>61</v>
      </c>
      <c r="J7280" s="2">
        <v>65</v>
      </c>
      <c r="K7280" s="3">
        <f t="shared" si="113"/>
        <v>3965</v>
      </c>
      <c r="L7280" s="3">
        <v>1982.5</v>
      </c>
    </row>
    <row r="7281" spans="1:12" x14ac:dyDescent="0.25">
      <c r="A7281" t="s">
        <v>26</v>
      </c>
      <c r="B7281">
        <v>1128299</v>
      </c>
      <c r="C7281" s="1">
        <v>44513</v>
      </c>
      <c r="D7281" t="s">
        <v>32</v>
      </c>
      <c r="E7281" t="s">
        <v>44</v>
      </c>
      <c r="F7281" t="s">
        <v>45</v>
      </c>
      <c r="G7281" t="s">
        <v>41</v>
      </c>
      <c r="H7281" t="s">
        <v>16</v>
      </c>
      <c r="I7281" s="3">
        <v>70</v>
      </c>
      <c r="J7281" s="2">
        <v>475</v>
      </c>
      <c r="K7281" s="3">
        <f t="shared" si="113"/>
        <v>33250</v>
      </c>
      <c r="L7281" s="3">
        <v>24937.5</v>
      </c>
    </row>
    <row r="7282" spans="1:12" x14ac:dyDescent="0.25">
      <c r="A7282" t="s">
        <v>19</v>
      </c>
      <c r="B7282">
        <v>1185732</v>
      </c>
      <c r="C7282" s="1">
        <v>44513</v>
      </c>
      <c r="D7282" t="s">
        <v>29</v>
      </c>
      <c r="E7282" t="s">
        <v>55</v>
      </c>
      <c r="F7282" t="s">
        <v>56</v>
      </c>
      <c r="G7282" t="s">
        <v>15</v>
      </c>
      <c r="H7282" t="s">
        <v>22</v>
      </c>
      <c r="I7282" s="3">
        <v>60</v>
      </c>
      <c r="J7282" s="2">
        <v>75</v>
      </c>
      <c r="K7282" s="3">
        <f t="shared" si="113"/>
        <v>4500</v>
      </c>
      <c r="L7282" s="3">
        <v>3150</v>
      </c>
    </row>
    <row r="7283" spans="1:12" x14ac:dyDescent="0.25">
      <c r="A7283" t="s">
        <v>19</v>
      </c>
      <c r="B7283">
        <v>1197831</v>
      </c>
      <c r="C7283" s="1">
        <v>44513</v>
      </c>
      <c r="D7283" t="s">
        <v>57</v>
      </c>
      <c r="E7283" t="s">
        <v>72</v>
      </c>
      <c r="F7283" t="s">
        <v>73</v>
      </c>
      <c r="G7283" t="s">
        <v>41</v>
      </c>
      <c r="H7283" t="s">
        <v>35</v>
      </c>
      <c r="I7283" s="3">
        <v>25.000000000000018</v>
      </c>
      <c r="J7283" s="2">
        <v>220</v>
      </c>
      <c r="K7283" s="3">
        <f t="shared" si="113"/>
        <v>5500.0000000000036</v>
      </c>
      <c r="L7283" s="3">
        <v>3575.0000000000027</v>
      </c>
    </row>
    <row r="7284" spans="1:12" x14ac:dyDescent="0.25">
      <c r="A7284" t="s">
        <v>19</v>
      </c>
      <c r="B7284">
        <v>1197831</v>
      </c>
      <c r="C7284" s="1">
        <v>44513</v>
      </c>
      <c r="D7284" t="s">
        <v>57</v>
      </c>
      <c r="E7284" t="s">
        <v>72</v>
      </c>
      <c r="F7284" t="s">
        <v>73</v>
      </c>
      <c r="G7284" t="s">
        <v>41</v>
      </c>
      <c r="H7284" t="s">
        <v>37</v>
      </c>
      <c r="I7284" s="3">
        <v>55.000000000000014</v>
      </c>
      <c r="J7284" s="2">
        <v>275</v>
      </c>
      <c r="K7284" s="3">
        <f t="shared" si="113"/>
        <v>15125.000000000004</v>
      </c>
      <c r="L7284" s="3">
        <v>9831.2500000000036</v>
      </c>
    </row>
    <row r="7285" spans="1:12" x14ac:dyDescent="0.25">
      <c r="A7285" t="s">
        <v>19</v>
      </c>
      <c r="B7285">
        <v>1197831</v>
      </c>
      <c r="C7285" s="1">
        <v>44513</v>
      </c>
      <c r="D7285" t="s">
        <v>57</v>
      </c>
      <c r="E7285" t="s">
        <v>72</v>
      </c>
      <c r="F7285" t="s">
        <v>73</v>
      </c>
      <c r="G7285" t="s">
        <v>41</v>
      </c>
      <c r="H7285" t="s">
        <v>22</v>
      </c>
      <c r="I7285" s="3">
        <v>75.000000000000014</v>
      </c>
      <c r="J7285" s="2">
        <v>250</v>
      </c>
      <c r="K7285" s="3">
        <f t="shared" si="113"/>
        <v>18750.000000000004</v>
      </c>
      <c r="L7285" s="3">
        <v>12187.500000000004</v>
      </c>
    </row>
    <row r="7286" spans="1:12" x14ac:dyDescent="0.25">
      <c r="A7286" t="s">
        <v>26</v>
      </c>
      <c r="B7286">
        <v>1128299</v>
      </c>
      <c r="C7286" s="1">
        <v>44513</v>
      </c>
      <c r="D7286" t="s">
        <v>32</v>
      </c>
      <c r="E7286" t="s">
        <v>44</v>
      </c>
      <c r="F7286" t="s">
        <v>45</v>
      </c>
      <c r="G7286" t="s">
        <v>41</v>
      </c>
      <c r="H7286" t="s">
        <v>35</v>
      </c>
      <c r="I7286" s="3">
        <v>55.000000000000007</v>
      </c>
      <c r="J7286" s="2">
        <v>425</v>
      </c>
      <c r="K7286" s="3">
        <f t="shared" si="113"/>
        <v>23375.000000000004</v>
      </c>
      <c r="L7286" s="3">
        <v>15193.750000000004</v>
      </c>
    </row>
    <row r="7287" spans="1:12" x14ac:dyDescent="0.25">
      <c r="A7287" t="s">
        <v>26</v>
      </c>
      <c r="B7287">
        <v>1128299</v>
      </c>
      <c r="C7287" s="1">
        <v>44513</v>
      </c>
      <c r="D7287" t="s">
        <v>32</v>
      </c>
      <c r="E7287" t="s">
        <v>44</v>
      </c>
      <c r="F7287" t="s">
        <v>45</v>
      </c>
      <c r="G7287" t="s">
        <v>41</v>
      </c>
      <c r="H7287" t="s">
        <v>22</v>
      </c>
      <c r="I7287" s="3">
        <v>65</v>
      </c>
      <c r="J7287" s="2">
        <v>350</v>
      </c>
      <c r="K7287" s="3">
        <f t="shared" si="113"/>
        <v>22750</v>
      </c>
      <c r="L7287" s="3">
        <v>14787.5</v>
      </c>
    </row>
    <row r="7288" spans="1:12" x14ac:dyDescent="0.25">
      <c r="A7288" t="s">
        <v>19</v>
      </c>
      <c r="B7288">
        <v>1197831</v>
      </c>
      <c r="C7288" s="1">
        <v>44513</v>
      </c>
      <c r="D7288" t="s">
        <v>57</v>
      </c>
      <c r="E7288" t="s">
        <v>72</v>
      </c>
      <c r="F7288" t="s">
        <v>73</v>
      </c>
      <c r="G7288" t="s">
        <v>41</v>
      </c>
      <c r="H7288" t="s">
        <v>17</v>
      </c>
      <c r="I7288" s="3">
        <v>15.000000000000014</v>
      </c>
      <c r="J7288" s="2">
        <v>275</v>
      </c>
      <c r="K7288" s="3">
        <f t="shared" si="113"/>
        <v>4125.0000000000036</v>
      </c>
      <c r="L7288" s="3">
        <v>2681.2500000000027</v>
      </c>
    </row>
    <row r="7289" spans="1:12" x14ac:dyDescent="0.25">
      <c r="A7289" t="s">
        <v>19</v>
      </c>
      <c r="B7289">
        <v>1197831</v>
      </c>
      <c r="C7289" s="1">
        <v>44513</v>
      </c>
      <c r="D7289" t="s">
        <v>57</v>
      </c>
      <c r="E7289" t="s">
        <v>72</v>
      </c>
      <c r="F7289" t="s">
        <v>73</v>
      </c>
      <c r="G7289" t="s">
        <v>41</v>
      </c>
      <c r="H7289" t="s">
        <v>16</v>
      </c>
      <c r="I7289" s="3">
        <v>75</v>
      </c>
      <c r="J7289" s="2">
        <v>350</v>
      </c>
      <c r="K7289" s="3">
        <f t="shared" si="113"/>
        <v>26250</v>
      </c>
      <c r="L7289" s="3">
        <v>17062.5</v>
      </c>
    </row>
    <row r="7290" spans="1:12" x14ac:dyDescent="0.25">
      <c r="A7290" t="s">
        <v>19</v>
      </c>
      <c r="B7290">
        <v>1197831</v>
      </c>
      <c r="C7290" s="1">
        <v>44513</v>
      </c>
      <c r="D7290" t="s">
        <v>57</v>
      </c>
      <c r="E7290" t="s">
        <v>72</v>
      </c>
      <c r="F7290" t="s">
        <v>73</v>
      </c>
      <c r="G7290" t="s">
        <v>41</v>
      </c>
      <c r="H7290" t="s">
        <v>38</v>
      </c>
      <c r="I7290" s="3">
        <v>25.000000000000011</v>
      </c>
      <c r="J7290" s="2">
        <v>450</v>
      </c>
      <c r="K7290" s="3">
        <f t="shared" si="113"/>
        <v>11250.000000000005</v>
      </c>
      <c r="L7290" s="3">
        <v>7312.5000000000027</v>
      </c>
    </row>
    <row r="7291" spans="1:12" x14ac:dyDescent="0.25">
      <c r="A7291" t="s">
        <v>36</v>
      </c>
      <c r="B7291">
        <v>1185732</v>
      </c>
      <c r="C7291" s="1">
        <v>44513</v>
      </c>
      <c r="D7291" t="s">
        <v>29</v>
      </c>
      <c r="E7291" t="s">
        <v>30</v>
      </c>
      <c r="F7291" t="s">
        <v>31</v>
      </c>
      <c r="G7291" t="s">
        <v>15</v>
      </c>
      <c r="H7291" t="s">
        <v>35</v>
      </c>
      <c r="I7291" s="3">
        <v>45</v>
      </c>
      <c r="J7291" s="2">
        <v>200</v>
      </c>
      <c r="K7291" s="3">
        <f t="shared" si="113"/>
        <v>9000</v>
      </c>
      <c r="L7291" s="3">
        <v>5400</v>
      </c>
    </row>
    <row r="7292" spans="1:12" x14ac:dyDescent="0.25">
      <c r="A7292" t="s">
        <v>26</v>
      </c>
      <c r="B7292">
        <v>1128299</v>
      </c>
      <c r="C7292" s="1">
        <v>44513</v>
      </c>
      <c r="D7292" t="s">
        <v>32</v>
      </c>
      <c r="E7292" t="s">
        <v>44</v>
      </c>
      <c r="F7292" t="s">
        <v>45</v>
      </c>
      <c r="G7292" t="s">
        <v>41</v>
      </c>
      <c r="H7292" t="s">
        <v>38</v>
      </c>
      <c r="I7292" s="3">
        <v>55.000000000000007</v>
      </c>
      <c r="J7292" s="2">
        <v>525</v>
      </c>
      <c r="K7292" s="3">
        <f t="shared" si="113"/>
        <v>28875.000000000004</v>
      </c>
      <c r="L7292" s="3">
        <v>17325.000000000004</v>
      </c>
    </row>
    <row r="7293" spans="1:12" x14ac:dyDescent="0.25">
      <c r="A7293" t="s">
        <v>26</v>
      </c>
      <c r="B7293">
        <v>1128299</v>
      </c>
      <c r="C7293" s="1">
        <v>44513</v>
      </c>
      <c r="D7293" t="s">
        <v>32</v>
      </c>
      <c r="E7293" t="s">
        <v>44</v>
      </c>
      <c r="F7293" t="s">
        <v>45</v>
      </c>
      <c r="G7293" t="s">
        <v>41</v>
      </c>
      <c r="H7293" t="s">
        <v>17</v>
      </c>
      <c r="I7293" s="3">
        <v>60.000000000000007</v>
      </c>
      <c r="J7293" s="2">
        <v>575</v>
      </c>
      <c r="K7293" s="3">
        <f t="shared" si="113"/>
        <v>34500.000000000007</v>
      </c>
      <c r="L7293" s="3">
        <v>20700.000000000004</v>
      </c>
    </row>
    <row r="7294" spans="1:12" x14ac:dyDescent="0.25">
      <c r="A7294" t="s">
        <v>26</v>
      </c>
      <c r="B7294">
        <v>1128299</v>
      </c>
      <c r="C7294" s="1">
        <v>44513</v>
      </c>
      <c r="D7294" t="s">
        <v>32</v>
      </c>
      <c r="E7294" t="s">
        <v>44</v>
      </c>
      <c r="F7294" t="s">
        <v>45</v>
      </c>
      <c r="G7294" t="s">
        <v>41</v>
      </c>
      <c r="H7294" t="s">
        <v>37</v>
      </c>
      <c r="I7294" s="3">
        <v>55.000000000000007</v>
      </c>
      <c r="J7294" s="2">
        <v>400</v>
      </c>
      <c r="K7294" s="3">
        <f t="shared" si="113"/>
        <v>22000.000000000004</v>
      </c>
      <c r="L7294" s="3">
        <v>13200</v>
      </c>
    </row>
    <row r="7295" spans="1:12" x14ac:dyDescent="0.25">
      <c r="A7295" t="s">
        <v>26</v>
      </c>
      <c r="B7295">
        <v>1128299</v>
      </c>
      <c r="C7295" s="1">
        <v>44513</v>
      </c>
      <c r="D7295" t="s">
        <v>32</v>
      </c>
      <c r="E7295" t="s">
        <v>44</v>
      </c>
      <c r="F7295" t="s">
        <v>45</v>
      </c>
      <c r="G7295" t="s">
        <v>15</v>
      </c>
      <c r="H7295" t="s">
        <v>16</v>
      </c>
      <c r="I7295" s="3">
        <v>46</v>
      </c>
      <c r="J7295" s="2">
        <v>157</v>
      </c>
      <c r="K7295" s="3">
        <f t="shared" si="113"/>
        <v>7222</v>
      </c>
      <c r="L7295" s="3">
        <v>5127.6200000000008</v>
      </c>
    </row>
    <row r="7296" spans="1:12" x14ac:dyDescent="0.25">
      <c r="A7296" t="s">
        <v>26</v>
      </c>
      <c r="B7296">
        <v>1128299</v>
      </c>
      <c r="C7296" s="1">
        <v>44513</v>
      </c>
      <c r="D7296" t="s">
        <v>32</v>
      </c>
      <c r="E7296" t="s">
        <v>44</v>
      </c>
      <c r="F7296" t="s">
        <v>45</v>
      </c>
      <c r="G7296" t="s">
        <v>41</v>
      </c>
      <c r="H7296" t="s">
        <v>16</v>
      </c>
      <c r="I7296" s="3">
        <v>65</v>
      </c>
      <c r="J7296" s="2">
        <v>124</v>
      </c>
      <c r="K7296" s="3">
        <f t="shared" si="113"/>
        <v>8060</v>
      </c>
      <c r="L7296" s="3">
        <v>5239</v>
      </c>
    </row>
    <row r="7297" spans="1:12" x14ac:dyDescent="0.25">
      <c r="A7297" t="s">
        <v>19</v>
      </c>
      <c r="B7297">
        <v>1185732</v>
      </c>
      <c r="C7297" s="1">
        <v>44513</v>
      </c>
      <c r="D7297" t="s">
        <v>29</v>
      </c>
      <c r="E7297" t="s">
        <v>55</v>
      </c>
      <c r="F7297" t="s">
        <v>56</v>
      </c>
      <c r="G7297" t="s">
        <v>15</v>
      </c>
      <c r="H7297" t="s">
        <v>22</v>
      </c>
      <c r="I7297" s="3">
        <v>45</v>
      </c>
      <c r="J7297" s="2">
        <v>26</v>
      </c>
      <c r="K7297" s="3">
        <f t="shared" si="113"/>
        <v>1170</v>
      </c>
      <c r="L7297" s="3">
        <v>737.1</v>
      </c>
    </row>
    <row r="7298" spans="1:12" x14ac:dyDescent="0.25">
      <c r="A7298" t="s">
        <v>26</v>
      </c>
      <c r="B7298">
        <v>1128299</v>
      </c>
      <c r="C7298" s="1">
        <v>44513</v>
      </c>
      <c r="D7298" t="s">
        <v>32</v>
      </c>
      <c r="E7298" t="s">
        <v>44</v>
      </c>
      <c r="F7298" t="s">
        <v>45</v>
      </c>
      <c r="G7298" t="s">
        <v>15</v>
      </c>
      <c r="H7298" t="s">
        <v>22</v>
      </c>
      <c r="I7298" s="3">
        <v>47</v>
      </c>
      <c r="J7298" s="2">
        <v>119</v>
      </c>
      <c r="K7298" s="3">
        <f t="shared" si="113"/>
        <v>5593</v>
      </c>
      <c r="L7298" s="3">
        <v>3467.66</v>
      </c>
    </row>
    <row r="7299" spans="1:12" x14ac:dyDescent="0.25">
      <c r="A7299" t="s">
        <v>26</v>
      </c>
      <c r="B7299">
        <v>1128299</v>
      </c>
      <c r="C7299" s="1">
        <v>44513</v>
      </c>
      <c r="D7299" t="s">
        <v>32</v>
      </c>
      <c r="E7299" t="s">
        <v>44</v>
      </c>
      <c r="F7299" t="s">
        <v>45</v>
      </c>
      <c r="G7299" t="s">
        <v>15</v>
      </c>
      <c r="H7299" t="s">
        <v>35</v>
      </c>
      <c r="I7299" s="3">
        <v>39</v>
      </c>
      <c r="J7299" s="2">
        <v>145</v>
      </c>
      <c r="K7299" s="3">
        <f t="shared" ref="K7299:K7362" si="114">I7299*J7299</f>
        <v>5655</v>
      </c>
      <c r="L7299" s="3">
        <v>3393</v>
      </c>
    </row>
    <row r="7300" spans="1:12" x14ac:dyDescent="0.25">
      <c r="A7300" t="s">
        <v>19</v>
      </c>
      <c r="B7300">
        <v>1185732</v>
      </c>
      <c r="C7300" s="1">
        <v>44513</v>
      </c>
      <c r="D7300" t="s">
        <v>29</v>
      </c>
      <c r="E7300" t="s">
        <v>55</v>
      </c>
      <c r="F7300" t="s">
        <v>56</v>
      </c>
      <c r="G7300" t="s">
        <v>41</v>
      </c>
      <c r="H7300" t="s">
        <v>22</v>
      </c>
      <c r="I7300" s="3">
        <v>55</v>
      </c>
      <c r="J7300" s="2">
        <v>22</v>
      </c>
      <c r="K7300" s="3">
        <f t="shared" si="114"/>
        <v>1210</v>
      </c>
      <c r="L7300" s="3">
        <v>701.8</v>
      </c>
    </row>
    <row r="7301" spans="1:12" x14ac:dyDescent="0.25">
      <c r="A7301" t="s">
        <v>26</v>
      </c>
      <c r="B7301">
        <v>1128299</v>
      </c>
      <c r="C7301" s="1">
        <v>44513</v>
      </c>
      <c r="D7301" t="s">
        <v>32</v>
      </c>
      <c r="E7301" t="s">
        <v>44</v>
      </c>
      <c r="F7301" t="s">
        <v>45</v>
      </c>
      <c r="G7301" t="s">
        <v>15</v>
      </c>
      <c r="H7301" t="s">
        <v>38</v>
      </c>
      <c r="I7301" s="3">
        <v>36</v>
      </c>
      <c r="J7301" s="2">
        <v>173</v>
      </c>
      <c r="K7301" s="3">
        <f t="shared" si="114"/>
        <v>6228</v>
      </c>
      <c r="L7301" s="3">
        <v>3612.24</v>
      </c>
    </row>
    <row r="7302" spans="1:12" x14ac:dyDescent="0.25">
      <c r="A7302" t="s">
        <v>26</v>
      </c>
      <c r="B7302">
        <v>1128299</v>
      </c>
      <c r="C7302" s="1">
        <v>44513</v>
      </c>
      <c r="D7302" t="s">
        <v>32</v>
      </c>
      <c r="E7302" t="s">
        <v>44</v>
      </c>
      <c r="F7302" t="s">
        <v>45</v>
      </c>
      <c r="G7302" t="s">
        <v>15</v>
      </c>
      <c r="H7302" t="s">
        <v>17</v>
      </c>
      <c r="I7302" s="3">
        <v>40</v>
      </c>
      <c r="J7302" s="2">
        <v>184</v>
      </c>
      <c r="K7302" s="3">
        <f t="shared" si="114"/>
        <v>7360</v>
      </c>
      <c r="L7302" s="3">
        <v>4121.6000000000004</v>
      </c>
    </row>
    <row r="7303" spans="1:12" x14ac:dyDescent="0.25">
      <c r="A7303" t="s">
        <v>19</v>
      </c>
      <c r="B7303">
        <v>1197831</v>
      </c>
      <c r="C7303" s="1">
        <v>44513</v>
      </c>
      <c r="D7303" t="s">
        <v>57</v>
      </c>
      <c r="E7303" t="s">
        <v>72</v>
      </c>
      <c r="F7303" t="s">
        <v>73</v>
      </c>
      <c r="G7303" t="s">
        <v>41</v>
      </c>
      <c r="H7303" t="s">
        <v>22</v>
      </c>
      <c r="I7303" s="3">
        <v>68</v>
      </c>
      <c r="J7303" s="2">
        <v>70</v>
      </c>
      <c r="K7303" s="3">
        <f t="shared" si="114"/>
        <v>4760</v>
      </c>
      <c r="L7303" s="3">
        <v>2570.4</v>
      </c>
    </row>
    <row r="7304" spans="1:12" x14ac:dyDescent="0.25">
      <c r="A7304" t="s">
        <v>19</v>
      </c>
      <c r="B7304">
        <v>1197831</v>
      </c>
      <c r="C7304" s="1">
        <v>44513</v>
      </c>
      <c r="D7304" t="s">
        <v>57</v>
      </c>
      <c r="E7304" t="s">
        <v>72</v>
      </c>
      <c r="F7304" t="s">
        <v>73</v>
      </c>
      <c r="G7304" t="s">
        <v>41</v>
      </c>
      <c r="H7304" t="s">
        <v>16</v>
      </c>
      <c r="I7304" s="3">
        <v>73</v>
      </c>
      <c r="J7304" s="2">
        <v>88</v>
      </c>
      <c r="K7304" s="3">
        <f t="shared" si="114"/>
        <v>6424</v>
      </c>
      <c r="L7304" s="3">
        <v>3468.96</v>
      </c>
    </row>
    <row r="7305" spans="1:12" x14ac:dyDescent="0.25">
      <c r="A7305" t="s">
        <v>26</v>
      </c>
      <c r="B7305">
        <v>1128299</v>
      </c>
      <c r="C7305" s="1">
        <v>44513</v>
      </c>
      <c r="D7305" t="s">
        <v>32</v>
      </c>
      <c r="E7305" t="s">
        <v>44</v>
      </c>
      <c r="F7305" t="s">
        <v>45</v>
      </c>
      <c r="G7305" t="s">
        <v>15</v>
      </c>
      <c r="H7305" t="s">
        <v>37</v>
      </c>
      <c r="I7305" s="3">
        <v>37</v>
      </c>
      <c r="J7305" s="2">
        <v>140</v>
      </c>
      <c r="K7305" s="3">
        <f t="shared" si="114"/>
        <v>5180</v>
      </c>
      <c r="L7305" s="3">
        <v>2797.2</v>
      </c>
    </row>
    <row r="7306" spans="1:12" x14ac:dyDescent="0.25">
      <c r="A7306" t="s">
        <v>26</v>
      </c>
      <c r="B7306">
        <v>1128299</v>
      </c>
      <c r="C7306" s="1">
        <v>44513</v>
      </c>
      <c r="D7306" t="s">
        <v>32</v>
      </c>
      <c r="E7306" t="s">
        <v>44</v>
      </c>
      <c r="F7306" t="s">
        <v>45</v>
      </c>
      <c r="G7306" t="s">
        <v>41</v>
      </c>
      <c r="H7306" t="s">
        <v>22</v>
      </c>
      <c r="I7306" s="3">
        <v>60</v>
      </c>
      <c r="J7306" s="2">
        <v>102</v>
      </c>
      <c r="K7306" s="3">
        <f t="shared" si="114"/>
        <v>6120</v>
      </c>
      <c r="L7306" s="3">
        <v>3243.6000000000004</v>
      </c>
    </row>
    <row r="7307" spans="1:12" x14ac:dyDescent="0.25">
      <c r="A7307" t="s">
        <v>26</v>
      </c>
      <c r="B7307">
        <v>1128299</v>
      </c>
      <c r="C7307" s="1">
        <v>44513</v>
      </c>
      <c r="D7307" t="s">
        <v>32</v>
      </c>
      <c r="E7307" t="s">
        <v>44</v>
      </c>
      <c r="F7307" t="s">
        <v>45</v>
      </c>
      <c r="G7307" t="s">
        <v>41</v>
      </c>
      <c r="H7307" t="s">
        <v>35</v>
      </c>
      <c r="I7307" s="3">
        <v>54</v>
      </c>
      <c r="J7307" s="2">
        <v>115</v>
      </c>
      <c r="K7307" s="3">
        <f t="shared" si="114"/>
        <v>6210</v>
      </c>
      <c r="L7307" s="3">
        <v>3291.3</v>
      </c>
    </row>
    <row r="7308" spans="1:12" x14ac:dyDescent="0.25">
      <c r="A7308" t="s">
        <v>19</v>
      </c>
      <c r="B7308">
        <v>1197831</v>
      </c>
      <c r="C7308" s="1">
        <v>44513</v>
      </c>
      <c r="D7308" t="s">
        <v>57</v>
      </c>
      <c r="E7308" t="s">
        <v>72</v>
      </c>
      <c r="F7308" t="s">
        <v>73</v>
      </c>
      <c r="G7308" t="s">
        <v>41</v>
      </c>
      <c r="H7308" t="s">
        <v>38</v>
      </c>
      <c r="I7308" s="3">
        <v>23</v>
      </c>
      <c r="J7308" s="2">
        <v>122</v>
      </c>
      <c r="K7308" s="3">
        <f t="shared" si="114"/>
        <v>2806</v>
      </c>
      <c r="L7308" s="3">
        <v>1487.18</v>
      </c>
    </row>
    <row r="7309" spans="1:12" x14ac:dyDescent="0.25">
      <c r="A7309" t="s">
        <v>19</v>
      </c>
      <c r="B7309">
        <v>1197831</v>
      </c>
      <c r="C7309" s="1">
        <v>44513</v>
      </c>
      <c r="D7309" t="s">
        <v>57</v>
      </c>
      <c r="E7309" t="s">
        <v>72</v>
      </c>
      <c r="F7309" t="s">
        <v>73</v>
      </c>
      <c r="G7309" t="s">
        <v>41</v>
      </c>
      <c r="H7309" t="s">
        <v>37</v>
      </c>
      <c r="I7309" s="3">
        <v>54</v>
      </c>
      <c r="J7309" s="2">
        <v>83</v>
      </c>
      <c r="K7309" s="3">
        <f t="shared" si="114"/>
        <v>4482</v>
      </c>
      <c r="L7309" s="3">
        <v>2330.64</v>
      </c>
    </row>
    <row r="7310" spans="1:12" x14ac:dyDescent="0.25">
      <c r="A7310" t="s">
        <v>19</v>
      </c>
      <c r="B7310">
        <v>1197831</v>
      </c>
      <c r="C7310" s="1">
        <v>44513</v>
      </c>
      <c r="D7310" t="s">
        <v>57</v>
      </c>
      <c r="E7310" t="s">
        <v>72</v>
      </c>
      <c r="F7310" t="s">
        <v>73</v>
      </c>
      <c r="G7310" t="s">
        <v>41</v>
      </c>
      <c r="H7310" t="s">
        <v>17</v>
      </c>
      <c r="I7310" s="3">
        <v>14</v>
      </c>
      <c r="J7310" s="2">
        <v>72</v>
      </c>
      <c r="K7310" s="3">
        <f t="shared" si="114"/>
        <v>1008</v>
      </c>
      <c r="L7310" s="3">
        <v>504</v>
      </c>
    </row>
    <row r="7311" spans="1:12" x14ac:dyDescent="0.25">
      <c r="A7311" t="s">
        <v>19</v>
      </c>
      <c r="B7311">
        <v>1197831</v>
      </c>
      <c r="C7311" s="1">
        <v>44513</v>
      </c>
      <c r="D7311" t="s">
        <v>57</v>
      </c>
      <c r="E7311" t="s">
        <v>72</v>
      </c>
      <c r="F7311" t="s">
        <v>73</v>
      </c>
      <c r="G7311" t="s">
        <v>41</v>
      </c>
      <c r="H7311" t="s">
        <v>35</v>
      </c>
      <c r="I7311" s="3">
        <v>23</v>
      </c>
      <c r="J7311" s="2">
        <v>55</v>
      </c>
      <c r="K7311" s="3">
        <f t="shared" si="114"/>
        <v>1265</v>
      </c>
      <c r="L7311" s="3">
        <v>632.5</v>
      </c>
    </row>
    <row r="7312" spans="1:12" x14ac:dyDescent="0.25">
      <c r="A7312" t="s">
        <v>36</v>
      </c>
      <c r="B7312">
        <v>1185732</v>
      </c>
      <c r="C7312" s="1">
        <v>44513</v>
      </c>
      <c r="D7312" t="s">
        <v>29</v>
      </c>
      <c r="E7312" t="s">
        <v>30</v>
      </c>
      <c r="F7312" t="s">
        <v>31</v>
      </c>
      <c r="G7312" t="s">
        <v>41</v>
      </c>
      <c r="H7312" t="s">
        <v>35</v>
      </c>
      <c r="I7312" s="3">
        <v>42</v>
      </c>
      <c r="J7312" s="2">
        <v>58</v>
      </c>
      <c r="K7312" s="3">
        <f t="shared" si="114"/>
        <v>2436</v>
      </c>
      <c r="L7312" s="3">
        <v>1193.6399999999999</v>
      </c>
    </row>
    <row r="7313" spans="1:12" x14ac:dyDescent="0.25">
      <c r="A7313" t="s">
        <v>26</v>
      </c>
      <c r="B7313">
        <v>1128299</v>
      </c>
      <c r="C7313" s="1">
        <v>44513</v>
      </c>
      <c r="D7313" t="s">
        <v>32</v>
      </c>
      <c r="E7313" t="s">
        <v>44</v>
      </c>
      <c r="F7313" t="s">
        <v>45</v>
      </c>
      <c r="G7313" t="s">
        <v>41</v>
      </c>
      <c r="H7313" t="s">
        <v>38</v>
      </c>
      <c r="I7313" s="3">
        <v>51</v>
      </c>
      <c r="J7313" s="2">
        <v>137</v>
      </c>
      <c r="K7313" s="3">
        <f t="shared" si="114"/>
        <v>6987</v>
      </c>
      <c r="L7313" s="3">
        <v>3423.63</v>
      </c>
    </row>
    <row r="7314" spans="1:12" x14ac:dyDescent="0.25">
      <c r="A7314" t="s">
        <v>26</v>
      </c>
      <c r="B7314">
        <v>1128299</v>
      </c>
      <c r="C7314" s="1">
        <v>44513</v>
      </c>
      <c r="D7314" t="s">
        <v>32</v>
      </c>
      <c r="E7314" t="s">
        <v>44</v>
      </c>
      <c r="F7314" t="s">
        <v>45</v>
      </c>
      <c r="G7314" t="s">
        <v>41</v>
      </c>
      <c r="H7314" t="s">
        <v>37</v>
      </c>
      <c r="I7314" s="3">
        <v>51</v>
      </c>
      <c r="J7314" s="2">
        <v>116</v>
      </c>
      <c r="K7314" s="3">
        <f t="shared" si="114"/>
        <v>5916</v>
      </c>
      <c r="L7314" s="3">
        <v>2839.68</v>
      </c>
    </row>
    <row r="7315" spans="1:12" x14ac:dyDescent="0.25">
      <c r="A7315" t="s">
        <v>26</v>
      </c>
      <c r="B7315">
        <v>1128299</v>
      </c>
      <c r="C7315" s="1">
        <v>44513</v>
      </c>
      <c r="D7315" t="s">
        <v>32</v>
      </c>
      <c r="E7315" t="s">
        <v>44</v>
      </c>
      <c r="F7315" t="s">
        <v>45</v>
      </c>
      <c r="G7315" t="s">
        <v>41</v>
      </c>
      <c r="H7315" t="s">
        <v>17</v>
      </c>
      <c r="I7315" s="3">
        <v>58</v>
      </c>
      <c r="J7315" s="2">
        <v>173</v>
      </c>
      <c r="K7315" s="3">
        <f t="shared" si="114"/>
        <v>10034</v>
      </c>
      <c r="L7315" s="3">
        <v>4615.6399999999994</v>
      </c>
    </row>
    <row r="7316" spans="1:12" x14ac:dyDescent="0.25">
      <c r="A7316" t="s">
        <v>36</v>
      </c>
      <c r="B7316">
        <v>1185732</v>
      </c>
      <c r="C7316" s="1">
        <v>44514</v>
      </c>
      <c r="D7316" t="s">
        <v>29</v>
      </c>
      <c r="E7316" t="s">
        <v>50</v>
      </c>
      <c r="F7316" t="s">
        <v>51</v>
      </c>
      <c r="G7316" t="s">
        <v>18</v>
      </c>
      <c r="H7316" t="s">
        <v>35</v>
      </c>
      <c r="I7316" s="3">
        <v>55.000000000000007</v>
      </c>
      <c r="J7316" s="2">
        <v>295</v>
      </c>
      <c r="K7316" s="3">
        <f t="shared" si="114"/>
        <v>16225.000000000002</v>
      </c>
      <c r="L7316" s="3">
        <v>12168.750000000004</v>
      </c>
    </row>
    <row r="7317" spans="1:12" x14ac:dyDescent="0.25">
      <c r="A7317" t="s">
        <v>36</v>
      </c>
      <c r="B7317">
        <v>1185732</v>
      </c>
      <c r="C7317" s="1">
        <v>44514</v>
      </c>
      <c r="D7317" t="s">
        <v>29</v>
      </c>
      <c r="E7317" t="s">
        <v>50</v>
      </c>
      <c r="F7317" t="s">
        <v>51</v>
      </c>
      <c r="G7317" t="s">
        <v>18</v>
      </c>
      <c r="H7317" t="s">
        <v>37</v>
      </c>
      <c r="I7317" s="3">
        <v>55.000000000000007</v>
      </c>
      <c r="J7317" s="2">
        <v>275</v>
      </c>
      <c r="K7317" s="3">
        <f t="shared" si="114"/>
        <v>15125.000000000002</v>
      </c>
      <c r="L7317" s="3">
        <v>11343.750000000004</v>
      </c>
    </row>
    <row r="7318" spans="1:12" x14ac:dyDescent="0.25">
      <c r="A7318" t="s">
        <v>19</v>
      </c>
      <c r="B7318">
        <v>1185732</v>
      </c>
      <c r="C7318" s="1">
        <v>44514</v>
      </c>
      <c r="D7318" t="s">
        <v>29</v>
      </c>
      <c r="E7318" t="s">
        <v>55</v>
      </c>
      <c r="F7318" t="s">
        <v>56</v>
      </c>
      <c r="G7318" t="s">
        <v>15</v>
      </c>
      <c r="H7318" t="s">
        <v>16</v>
      </c>
      <c r="I7318" s="3">
        <v>50</v>
      </c>
      <c r="J7318" s="2">
        <v>200</v>
      </c>
      <c r="K7318" s="3">
        <f t="shared" si="114"/>
        <v>10000</v>
      </c>
      <c r="L7318" s="3">
        <v>7500</v>
      </c>
    </row>
    <row r="7319" spans="1:12" x14ac:dyDescent="0.25">
      <c r="A7319" t="s">
        <v>36</v>
      </c>
      <c r="B7319">
        <v>1185732</v>
      </c>
      <c r="C7319" s="1">
        <v>44514</v>
      </c>
      <c r="D7319" t="s">
        <v>29</v>
      </c>
      <c r="E7319" t="s">
        <v>50</v>
      </c>
      <c r="F7319" t="s">
        <v>51</v>
      </c>
      <c r="G7319" t="s">
        <v>18</v>
      </c>
      <c r="H7319" t="s">
        <v>22</v>
      </c>
      <c r="I7319" s="3">
        <v>65</v>
      </c>
      <c r="J7319" s="2">
        <v>250</v>
      </c>
      <c r="K7319" s="3">
        <f t="shared" si="114"/>
        <v>16250</v>
      </c>
      <c r="L7319" s="3">
        <v>12187.5</v>
      </c>
    </row>
    <row r="7320" spans="1:12" x14ac:dyDescent="0.25">
      <c r="A7320" t="s">
        <v>36</v>
      </c>
      <c r="B7320">
        <v>1185732</v>
      </c>
      <c r="C7320" s="1">
        <v>44514</v>
      </c>
      <c r="D7320" t="s">
        <v>29</v>
      </c>
      <c r="E7320" t="s">
        <v>30</v>
      </c>
      <c r="F7320" t="s">
        <v>31</v>
      </c>
      <c r="G7320" t="s">
        <v>15</v>
      </c>
      <c r="H7320" t="s">
        <v>37</v>
      </c>
      <c r="I7320" s="3">
        <v>45</v>
      </c>
      <c r="J7320" s="2">
        <v>175</v>
      </c>
      <c r="K7320" s="3">
        <f t="shared" si="114"/>
        <v>7875</v>
      </c>
      <c r="L7320" s="3">
        <v>5512.5</v>
      </c>
    </row>
    <row r="7321" spans="1:12" x14ac:dyDescent="0.25">
      <c r="A7321" t="s">
        <v>27</v>
      </c>
      <c r="B7321">
        <v>1185732</v>
      </c>
      <c r="C7321" s="1">
        <v>44514</v>
      </c>
      <c r="D7321" t="s">
        <v>29</v>
      </c>
      <c r="E7321" t="s">
        <v>89</v>
      </c>
      <c r="F7321" t="s">
        <v>90</v>
      </c>
      <c r="G7321" t="s">
        <v>18</v>
      </c>
      <c r="H7321" t="s">
        <v>22</v>
      </c>
      <c r="I7321" s="3">
        <v>65</v>
      </c>
      <c r="J7321" s="2">
        <v>275</v>
      </c>
      <c r="K7321" s="3">
        <f t="shared" si="114"/>
        <v>17875</v>
      </c>
      <c r="L7321" s="3">
        <v>12512.5</v>
      </c>
    </row>
    <row r="7322" spans="1:12" x14ac:dyDescent="0.25">
      <c r="A7322" t="s">
        <v>36</v>
      </c>
      <c r="B7322">
        <v>1185732</v>
      </c>
      <c r="C7322" s="1">
        <v>44514</v>
      </c>
      <c r="D7322" t="s">
        <v>29</v>
      </c>
      <c r="E7322" t="s">
        <v>50</v>
      </c>
      <c r="F7322" t="s">
        <v>51</v>
      </c>
      <c r="G7322" t="s">
        <v>18</v>
      </c>
      <c r="H7322" t="s">
        <v>38</v>
      </c>
      <c r="I7322" s="3">
        <v>65</v>
      </c>
      <c r="J7322" s="2">
        <v>375</v>
      </c>
      <c r="K7322" s="3">
        <f t="shared" si="114"/>
        <v>24375</v>
      </c>
      <c r="L7322" s="3">
        <v>17062.5</v>
      </c>
    </row>
    <row r="7323" spans="1:12" x14ac:dyDescent="0.25">
      <c r="A7323" t="s">
        <v>36</v>
      </c>
      <c r="B7323">
        <v>1185732</v>
      </c>
      <c r="C7323" s="1">
        <v>44514</v>
      </c>
      <c r="D7323" t="s">
        <v>29</v>
      </c>
      <c r="E7323" t="s">
        <v>50</v>
      </c>
      <c r="F7323" t="s">
        <v>51</v>
      </c>
      <c r="G7323" t="s">
        <v>18</v>
      </c>
      <c r="H7323" t="s">
        <v>17</v>
      </c>
      <c r="I7323" s="3">
        <v>55.000000000000007</v>
      </c>
      <c r="J7323" s="2">
        <v>300</v>
      </c>
      <c r="K7323" s="3">
        <f t="shared" si="114"/>
        <v>16500.000000000004</v>
      </c>
      <c r="L7323" s="3">
        <v>11550.000000000004</v>
      </c>
    </row>
    <row r="7324" spans="1:12" x14ac:dyDescent="0.25">
      <c r="A7324" t="s">
        <v>36</v>
      </c>
      <c r="B7324">
        <v>1185732</v>
      </c>
      <c r="C7324" s="1">
        <v>44514</v>
      </c>
      <c r="D7324" t="s">
        <v>29</v>
      </c>
      <c r="E7324" t="s">
        <v>50</v>
      </c>
      <c r="F7324" t="s">
        <v>51</v>
      </c>
      <c r="G7324" t="s">
        <v>18</v>
      </c>
      <c r="H7324" t="s">
        <v>16</v>
      </c>
      <c r="I7324" s="3">
        <v>70</v>
      </c>
      <c r="J7324" s="2">
        <v>350</v>
      </c>
      <c r="K7324" s="3">
        <f t="shared" si="114"/>
        <v>24500</v>
      </c>
      <c r="L7324" s="3">
        <v>17150</v>
      </c>
    </row>
    <row r="7325" spans="1:12" x14ac:dyDescent="0.25">
      <c r="A7325" t="s">
        <v>27</v>
      </c>
      <c r="B7325">
        <v>1185732</v>
      </c>
      <c r="C7325" s="1">
        <v>44514</v>
      </c>
      <c r="D7325" t="s">
        <v>29</v>
      </c>
      <c r="E7325" t="s">
        <v>89</v>
      </c>
      <c r="F7325" t="s">
        <v>90</v>
      </c>
      <c r="G7325" t="s">
        <v>18</v>
      </c>
      <c r="H7325" t="s">
        <v>17</v>
      </c>
      <c r="I7325" s="3">
        <v>55.000000000000007</v>
      </c>
      <c r="J7325" s="2">
        <v>325</v>
      </c>
      <c r="K7325" s="3">
        <f t="shared" si="114"/>
        <v>17875.000000000004</v>
      </c>
      <c r="L7325" s="3">
        <v>11618.750000000004</v>
      </c>
    </row>
    <row r="7326" spans="1:12" x14ac:dyDescent="0.25">
      <c r="A7326" t="s">
        <v>27</v>
      </c>
      <c r="B7326">
        <v>1185732</v>
      </c>
      <c r="C7326" s="1">
        <v>44514</v>
      </c>
      <c r="D7326" t="s">
        <v>29</v>
      </c>
      <c r="E7326" t="s">
        <v>89</v>
      </c>
      <c r="F7326" t="s">
        <v>90</v>
      </c>
      <c r="G7326" t="s">
        <v>18</v>
      </c>
      <c r="H7326" t="s">
        <v>38</v>
      </c>
      <c r="I7326" s="3">
        <v>65</v>
      </c>
      <c r="J7326" s="2">
        <v>450</v>
      </c>
      <c r="K7326" s="3">
        <f t="shared" si="114"/>
        <v>29250</v>
      </c>
      <c r="L7326" s="3">
        <v>19012.5</v>
      </c>
    </row>
    <row r="7327" spans="1:12" x14ac:dyDescent="0.25">
      <c r="A7327" t="s">
        <v>27</v>
      </c>
      <c r="B7327">
        <v>1185732</v>
      </c>
      <c r="C7327" s="1">
        <v>44514</v>
      </c>
      <c r="D7327" t="s">
        <v>29</v>
      </c>
      <c r="E7327" t="s">
        <v>89</v>
      </c>
      <c r="F7327" t="s">
        <v>90</v>
      </c>
      <c r="G7327" t="s">
        <v>18</v>
      </c>
      <c r="H7327" t="s">
        <v>35</v>
      </c>
      <c r="I7327" s="3">
        <v>55.000000000000007</v>
      </c>
      <c r="J7327" s="2">
        <v>320</v>
      </c>
      <c r="K7327" s="3">
        <f t="shared" si="114"/>
        <v>17600.000000000004</v>
      </c>
      <c r="L7327" s="3">
        <v>10560.000000000002</v>
      </c>
    </row>
    <row r="7328" spans="1:12" x14ac:dyDescent="0.25">
      <c r="A7328" t="s">
        <v>27</v>
      </c>
      <c r="B7328">
        <v>1185732</v>
      </c>
      <c r="C7328" s="1">
        <v>44514</v>
      </c>
      <c r="D7328" t="s">
        <v>29</v>
      </c>
      <c r="E7328" t="s">
        <v>89</v>
      </c>
      <c r="F7328" t="s">
        <v>90</v>
      </c>
      <c r="G7328" t="s">
        <v>18</v>
      </c>
      <c r="H7328" t="s">
        <v>37</v>
      </c>
      <c r="I7328" s="3">
        <v>55.000000000000007</v>
      </c>
      <c r="J7328" s="2">
        <v>300</v>
      </c>
      <c r="K7328" s="3">
        <f t="shared" si="114"/>
        <v>16500.000000000004</v>
      </c>
      <c r="L7328" s="3">
        <v>9900.0000000000018</v>
      </c>
    </row>
    <row r="7329" spans="1:12" x14ac:dyDescent="0.25">
      <c r="A7329" t="s">
        <v>27</v>
      </c>
      <c r="B7329">
        <v>1185732</v>
      </c>
      <c r="C7329" s="1">
        <v>44514</v>
      </c>
      <c r="D7329" t="s">
        <v>29</v>
      </c>
      <c r="E7329" t="s">
        <v>89</v>
      </c>
      <c r="F7329" t="s">
        <v>90</v>
      </c>
      <c r="G7329" t="s">
        <v>18</v>
      </c>
      <c r="H7329" t="s">
        <v>16</v>
      </c>
      <c r="I7329" s="3">
        <v>70</v>
      </c>
      <c r="J7329" s="2">
        <v>375</v>
      </c>
      <c r="K7329" s="3">
        <f t="shared" si="114"/>
        <v>26250</v>
      </c>
      <c r="L7329" s="3">
        <v>15750</v>
      </c>
    </row>
    <row r="7330" spans="1:12" x14ac:dyDescent="0.25">
      <c r="A7330" t="s">
        <v>19</v>
      </c>
      <c r="B7330">
        <v>1185732</v>
      </c>
      <c r="C7330" s="1">
        <v>44514</v>
      </c>
      <c r="D7330" t="s">
        <v>29</v>
      </c>
      <c r="E7330" t="s">
        <v>55</v>
      </c>
      <c r="F7330" t="s">
        <v>56</v>
      </c>
      <c r="G7330" t="s">
        <v>15</v>
      </c>
      <c r="H7330" t="s">
        <v>16</v>
      </c>
      <c r="I7330" s="3">
        <v>39</v>
      </c>
      <c r="J7330" s="2">
        <v>64</v>
      </c>
      <c r="K7330" s="3">
        <f t="shared" si="114"/>
        <v>2496</v>
      </c>
      <c r="L7330" s="3">
        <v>1822.08</v>
      </c>
    </row>
    <row r="7331" spans="1:12" x14ac:dyDescent="0.25">
      <c r="A7331" t="s">
        <v>36</v>
      </c>
      <c r="B7331">
        <v>1185732</v>
      </c>
      <c r="C7331" s="1">
        <v>44514</v>
      </c>
      <c r="D7331" t="s">
        <v>29</v>
      </c>
      <c r="E7331" t="s">
        <v>50</v>
      </c>
      <c r="F7331" t="s">
        <v>51</v>
      </c>
      <c r="G7331" t="s">
        <v>15</v>
      </c>
      <c r="H7331" t="s">
        <v>37</v>
      </c>
      <c r="I7331" s="3">
        <v>42</v>
      </c>
      <c r="J7331" s="2">
        <v>83</v>
      </c>
      <c r="K7331" s="3">
        <f t="shared" si="114"/>
        <v>3486</v>
      </c>
      <c r="L7331" s="3">
        <v>2475.06</v>
      </c>
    </row>
    <row r="7332" spans="1:12" x14ac:dyDescent="0.25">
      <c r="A7332" t="s">
        <v>36</v>
      </c>
      <c r="B7332">
        <v>1185732</v>
      </c>
      <c r="C7332" s="1">
        <v>44514</v>
      </c>
      <c r="D7332" t="s">
        <v>29</v>
      </c>
      <c r="E7332" t="s">
        <v>50</v>
      </c>
      <c r="F7332" t="s">
        <v>51</v>
      </c>
      <c r="G7332" t="s">
        <v>15</v>
      </c>
      <c r="H7332" t="s">
        <v>35</v>
      </c>
      <c r="I7332" s="3">
        <v>44</v>
      </c>
      <c r="J7332" s="2">
        <v>91</v>
      </c>
      <c r="K7332" s="3">
        <f t="shared" si="114"/>
        <v>4004</v>
      </c>
      <c r="L7332" s="3">
        <v>2802.8</v>
      </c>
    </row>
    <row r="7333" spans="1:12" x14ac:dyDescent="0.25">
      <c r="A7333" t="s">
        <v>36</v>
      </c>
      <c r="B7333">
        <v>1185732</v>
      </c>
      <c r="C7333" s="1">
        <v>44514</v>
      </c>
      <c r="D7333" t="s">
        <v>29</v>
      </c>
      <c r="E7333" t="s">
        <v>50</v>
      </c>
      <c r="F7333" t="s">
        <v>51</v>
      </c>
      <c r="G7333" t="s">
        <v>15</v>
      </c>
      <c r="H7333" t="s">
        <v>22</v>
      </c>
      <c r="I7333" s="3">
        <v>50</v>
      </c>
      <c r="J7333" s="2">
        <v>78</v>
      </c>
      <c r="K7333" s="3">
        <f t="shared" si="114"/>
        <v>3900</v>
      </c>
      <c r="L7333" s="3">
        <v>2652</v>
      </c>
    </row>
    <row r="7334" spans="1:12" x14ac:dyDescent="0.25">
      <c r="A7334" t="s">
        <v>36</v>
      </c>
      <c r="B7334">
        <v>1185732</v>
      </c>
      <c r="C7334" s="1">
        <v>44514</v>
      </c>
      <c r="D7334" t="s">
        <v>29</v>
      </c>
      <c r="E7334" t="s">
        <v>50</v>
      </c>
      <c r="F7334" t="s">
        <v>51</v>
      </c>
      <c r="G7334" t="s">
        <v>15</v>
      </c>
      <c r="H7334" t="s">
        <v>38</v>
      </c>
      <c r="I7334" s="3">
        <v>49</v>
      </c>
      <c r="J7334" s="2">
        <v>120</v>
      </c>
      <c r="K7334" s="3">
        <f t="shared" si="114"/>
        <v>5880</v>
      </c>
      <c r="L7334" s="3">
        <v>3822</v>
      </c>
    </row>
    <row r="7335" spans="1:12" x14ac:dyDescent="0.25">
      <c r="A7335" t="s">
        <v>36</v>
      </c>
      <c r="B7335">
        <v>1185732</v>
      </c>
      <c r="C7335" s="1">
        <v>44514</v>
      </c>
      <c r="D7335" t="s">
        <v>29</v>
      </c>
      <c r="E7335" t="s">
        <v>50</v>
      </c>
      <c r="F7335" t="s">
        <v>51</v>
      </c>
      <c r="G7335" t="s">
        <v>15</v>
      </c>
      <c r="H7335" t="s">
        <v>17</v>
      </c>
      <c r="I7335" s="3">
        <v>40</v>
      </c>
      <c r="J7335" s="2">
        <v>102</v>
      </c>
      <c r="K7335" s="3">
        <f t="shared" si="114"/>
        <v>4080</v>
      </c>
      <c r="L7335" s="3">
        <v>2652</v>
      </c>
    </row>
    <row r="7336" spans="1:12" x14ac:dyDescent="0.25">
      <c r="A7336" t="s">
        <v>36</v>
      </c>
      <c r="B7336">
        <v>1185732</v>
      </c>
      <c r="C7336" s="1">
        <v>44514</v>
      </c>
      <c r="D7336" t="s">
        <v>29</v>
      </c>
      <c r="E7336" t="s">
        <v>50</v>
      </c>
      <c r="F7336" t="s">
        <v>51</v>
      </c>
      <c r="G7336" t="s">
        <v>15</v>
      </c>
      <c r="H7336" t="s">
        <v>16</v>
      </c>
      <c r="I7336" s="3">
        <v>48</v>
      </c>
      <c r="J7336" s="2">
        <v>123</v>
      </c>
      <c r="K7336" s="3">
        <f t="shared" si="114"/>
        <v>5904</v>
      </c>
      <c r="L7336" s="3">
        <v>3837.6</v>
      </c>
    </row>
    <row r="7337" spans="1:12" x14ac:dyDescent="0.25">
      <c r="A7337" t="s">
        <v>19</v>
      </c>
      <c r="B7337">
        <v>1185732</v>
      </c>
      <c r="C7337" s="1">
        <v>44514</v>
      </c>
      <c r="D7337" t="s">
        <v>29</v>
      </c>
      <c r="E7337" t="s">
        <v>55</v>
      </c>
      <c r="F7337" t="s">
        <v>56</v>
      </c>
      <c r="G7337" t="s">
        <v>41</v>
      </c>
      <c r="H7337" t="s">
        <v>16</v>
      </c>
      <c r="I7337" s="3">
        <v>48</v>
      </c>
      <c r="J7337" s="2">
        <v>54</v>
      </c>
      <c r="K7337" s="3">
        <f t="shared" si="114"/>
        <v>2592</v>
      </c>
      <c r="L7337" s="3">
        <v>1658.88</v>
      </c>
    </row>
    <row r="7338" spans="1:12" x14ac:dyDescent="0.25">
      <c r="A7338" t="s">
        <v>36</v>
      </c>
      <c r="B7338">
        <v>1185732</v>
      </c>
      <c r="C7338" s="1">
        <v>44514</v>
      </c>
      <c r="D7338" t="s">
        <v>29</v>
      </c>
      <c r="E7338" t="s">
        <v>50</v>
      </c>
      <c r="F7338" t="s">
        <v>51</v>
      </c>
      <c r="G7338" t="s">
        <v>41</v>
      </c>
      <c r="H7338" t="s">
        <v>35</v>
      </c>
      <c r="I7338" s="3">
        <v>50</v>
      </c>
      <c r="J7338" s="2">
        <v>83</v>
      </c>
      <c r="K7338" s="3">
        <f t="shared" si="114"/>
        <v>4150</v>
      </c>
      <c r="L7338" s="3">
        <v>2656</v>
      </c>
    </row>
    <row r="7339" spans="1:12" x14ac:dyDescent="0.25">
      <c r="A7339" t="s">
        <v>36</v>
      </c>
      <c r="B7339">
        <v>1185732</v>
      </c>
      <c r="C7339" s="1">
        <v>44514</v>
      </c>
      <c r="D7339" t="s">
        <v>29</v>
      </c>
      <c r="E7339" t="s">
        <v>50</v>
      </c>
      <c r="F7339" t="s">
        <v>51</v>
      </c>
      <c r="G7339" t="s">
        <v>41</v>
      </c>
      <c r="H7339" t="s">
        <v>22</v>
      </c>
      <c r="I7339" s="3">
        <v>63</v>
      </c>
      <c r="J7339" s="2">
        <v>70</v>
      </c>
      <c r="K7339" s="3">
        <f t="shared" si="114"/>
        <v>4410</v>
      </c>
      <c r="L7339" s="3">
        <v>2734.2</v>
      </c>
    </row>
    <row r="7340" spans="1:12" x14ac:dyDescent="0.25">
      <c r="A7340" t="s">
        <v>36</v>
      </c>
      <c r="B7340">
        <v>1185732</v>
      </c>
      <c r="C7340" s="1">
        <v>44514</v>
      </c>
      <c r="D7340" t="s">
        <v>29</v>
      </c>
      <c r="E7340" t="s">
        <v>50</v>
      </c>
      <c r="F7340" t="s">
        <v>51</v>
      </c>
      <c r="G7340" t="s">
        <v>41</v>
      </c>
      <c r="H7340" t="s">
        <v>37</v>
      </c>
      <c r="I7340" s="3">
        <v>51</v>
      </c>
      <c r="J7340" s="2">
        <v>80</v>
      </c>
      <c r="K7340" s="3">
        <f t="shared" si="114"/>
        <v>4080</v>
      </c>
      <c r="L7340" s="3">
        <v>2488.8000000000002</v>
      </c>
    </row>
    <row r="7341" spans="1:12" x14ac:dyDescent="0.25">
      <c r="A7341" t="s">
        <v>27</v>
      </c>
      <c r="B7341">
        <v>1185732</v>
      </c>
      <c r="C7341" s="1">
        <v>44514</v>
      </c>
      <c r="D7341" t="s">
        <v>29</v>
      </c>
      <c r="E7341" t="s">
        <v>89</v>
      </c>
      <c r="F7341" t="s">
        <v>90</v>
      </c>
      <c r="G7341" t="s">
        <v>41</v>
      </c>
      <c r="H7341" t="s">
        <v>22</v>
      </c>
      <c r="I7341" s="3">
        <v>60</v>
      </c>
      <c r="J7341" s="2">
        <v>72</v>
      </c>
      <c r="K7341" s="3">
        <f t="shared" si="114"/>
        <v>4320</v>
      </c>
      <c r="L7341" s="3">
        <v>2592</v>
      </c>
    </row>
    <row r="7342" spans="1:12" x14ac:dyDescent="0.25">
      <c r="A7342" t="s">
        <v>36</v>
      </c>
      <c r="B7342">
        <v>1185732</v>
      </c>
      <c r="C7342" s="1">
        <v>44514</v>
      </c>
      <c r="D7342" t="s">
        <v>29</v>
      </c>
      <c r="E7342" t="s">
        <v>30</v>
      </c>
      <c r="F7342" t="s">
        <v>31</v>
      </c>
      <c r="G7342" t="s">
        <v>41</v>
      </c>
      <c r="H7342" t="s">
        <v>37</v>
      </c>
      <c r="I7342" s="3">
        <v>41</v>
      </c>
      <c r="J7342" s="2">
        <v>51</v>
      </c>
      <c r="K7342" s="3">
        <f t="shared" si="114"/>
        <v>2091</v>
      </c>
      <c r="L7342" s="3">
        <v>1212.7800000000002</v>
      </c>
    </row>
    <row r="7343" spans="1:12" x14ac:dyDescent="0.25">
      <c r="A7343" t="s">
        <v>36</v>
      </c>
      <c r="B7343">
        <v>1185732</v>
      </c>
      <c r="C7343" s="1">
        <v>44514</v>
      </c>
      <c r="D7343" t="s">
        <v>29</v>
      </c>
      <c r="E7343" t="s">
        <v>50</v>
      </c>
      <c r="F7343" t="s">
        <v>51</v>
      </c>
      <c r="G7343" t="s">
        <v>41</v>
      </c>
      <c r="H7343" t="s">
        <v>38</v>
      </c>
      <c r="I7343" s="3">
        <v>62</v>
      </c>
      <c r="J7343" s="2">
        <v>113</v>
      </c>
      <c r="K7343" s="3">
        <f t="shared" si="114"/>
        <v>7006</v>
      </c>
      <c r="L7343" s="3">
        <v>3993.42</v>
      </c>
    </row>
    <row r="7344" spans="1:12" x14ac:dyDescent="0.25">
      <c r="A7344" t="s">
        <v>36</v>
      </c>
      <c r="B7344">
        <v>1185732</v>
      </c>
      <c r="C7344" s="1">
        <v>44514</v>
      </c>
      <c r="D7344" t="s">
        <v>29</v>
      </c>
      <c r="E7344" t="s">
        <v>50</v>
      </c>
      <c r="F7344" t="s">
        <v>51</v>
      </c>
      <c r="G7344" t="s">
        <v>41</v>
      </c>
      <c r="H7344" t="s">
        <v>17</v>
      </c>
      <c r="I7344" s="3">
        <v>52</v>
      </c>
      <c r="J7344" s="2">
        <v>90</v>
      </c>
      <c r="K7344" s="3">
        <f t="shared" si="114"/>
        <v>4680</v>
      </c>
      <c r="L7344" s="3">
        <v>2620.8000000000002</v>
      </c>
    </row>
    <row r="7345" spans="1:12" x14ac:dyDescent="0.25">
      <c r="A7345" t="s">
        <v>36</v>
      </c>
      <c r="B7345">
        <v>1185732</v>
      </c>
      <c r="C7345" s="1">
        <v>44514</v>
      </c>
      <c r="D7345" t="s">
        <v>29</v>
      </c>
      <c r="E7345" t="s">
        <v>50</v>
      </c>
      <c r="F7345" t="s">
        <v>51</v>
      </c>
      <c r="G7345" t="s">
        <v>41</v>
      </c>
      <c r="H7345" t="s">
        <v>16</v>
      </c>
      <c r="I7345" s="3">
        <v>64</v>
      </c>
      <c r="J7345" s="2">
        <v>98</v>
      </c>
      <c r="K7345" s="3">
        <f t="shared" si="114"/>
        <v>6272</v>
      </c>
      <c r="L7345" s="3">
        <v>3449.6000000000004</v>
      </c>
    </row>
    <row r="7346" spans="1:12" x14ac:dyDescent="0.25">
      <c r="A7346" t="s">
        <v>27</v>
      </c>
      <c r="B7346">
        <v>1185732</v>
      </c>
      <c r="C7346" s="1">
        <v>44514</v>
      </c>
      <c r="D7346" t="s">
        <v>29</v>
      </c>
      <c r="E7346" t="s">
        <v>89</v>
      </c>
      <c r="F7346" t="s">
        <v>90</v>
      </c>
      <c r="G7346" t="s">
        <v>41</v>
      </c>
      <c r="H7346" t="s">
        <v>17</v>
      </c>
      <c r="I7346" s="3">
        <v>53</v>
      </c>
      <c r="J7346" s="2">
        <v>85</v>
      </c>
      <c r="K7346" s="3">
        <f t="shared" si="114"/>
        <v>4505</v>
      </c>
      <c r="L7346" s="3">
        <v>2432.7000000000003</v>
      </c>
    </row>
    <row r="7347" spans="1:12" x14ac:dyDescent="0.25">
      <c r="A7347" t="s">
        <v>27</v>
      </c>
      <c r="B7347">
        <v>1185732</v>
      </c>
      <c r="C7347" s="1">
        <v>44514</v>
      </c>
      <c r="D7347" t="s">
        <v>29</v>
      </c>
      <c r="E7347" t="s">
        <v>89</v>
      </c>
      <c r="F7347" t="s">
        <v>90</v>
      </c>
      <c r="G7347" t="s">
        <v>41</v>
      </c>
      <c r="H7347" t="s">
        <v>38</v>
      </c>
      <c r="I7347" s="3">
        <v>60</v>
      </c>
      <c r="J7347" s="2">
        <v>135</v>
      </c>
      <c r="K7347" s="3">
        <f t="shared" si="114"/>
        <v>8100</v>
      </c>
      <c r="L7347" s="3">
        <v>4293</v>
      </c>
    </row>
    <row r="7348" spans="1:12" x14ac:dyDescent="0.25">
      <c r="A7348" t="s">
        <v>27</v>
      </c>
      <c r="B7348">
        <v>1185732</v>
      </c>
      <c r="C7348" s="1">
        <v>44514</v>
      </c>
      <c r="D7348" t="s">
        <v>29</v>
      </c>
      <c r="E7348" t="s">
        <v>89</v>
      </c>
      <c r="F7348" t="s">
        <v>90</v>
      </c>
      <c r="G7348" t="s">
        <v>41</v>
      </c>
      <c r="H7348" t="s">
        <v>35</v>
      </c>
      <c r="I7348" s="3">
        <v>52</v>
      </c>
      <c r="J7348" s="2">
        <v>86</v>
      </c>
      <c r="K7348" s="3">
        <f t="shared" si="114"/>
        <v>4472</v>
      </c>
      <c r="L7348" s="3">
        <v>2191.2799999999997</v>
      </c>
    </row>
    <row r="7349" spans="1:12" x14ac:dyDescent="0.25">
      <c r="A7349" t="s">
        <v>27</v>
      </c>
      <c r="B7349">
        <v>1185732</v>
      </c>
      <c r="C7349" s="1">
        <v>44514</v>
      </c>
      <c r="D7349" t="s">
        <v>29</v>
      </c>
      <c r="E7349" t="s">
        <v>89</v>
      </c>
      <c r="F7349" t="s">
        <v>90</v>
      </c>
      <c r="G7349" t="s">
        <v>41</v>
      </c>
      <c r="H7349" t="s">
        <v>37</v>
      </c>
      <c r="I7349" s="3">
        <v>51</v>
      </c>
      <c r="J7349" s="2">
        <v>84</v>
      </c>
      <c r="K7349" s="3">
        <f t="shared" si="114"/>
        <v>4284</v>
      </c>
      <c r="L7349" s="3">
        <v>2013.48</v>
      </c>
    </row>
    <row r="7350" spans="1:12" x14ac:dyDescent="0.25">
      <c r="A7350" t="s">
        <v>27</v>
      </c>
      <c r="B7350">
        <v>1185732</v>
      </c>
      <c r="C7350" s="1">
        <v>44514</v>
      </c>
      <c r="D7350" t="s">
        <v>29</v>
      </c>
      <c r="E7350" t="s">
        <v>89</v>
      </c>
      <c r="F7350" t="s">
        <v>90</v>
      </c>
      <c r="G7350" t="s">
        <v>41</v>
      </c>
      <c r="H7350" t="s">
        <v>16</v>
      </c>
      <c r="I7350" s="3">
        <v>64</v>
      </c>
      <c r="J7350" s="2">
        <v>98</v>
      </c>
      <c r="K7350" s="3">
        <f t="shared" si="114"/>
        <v>6272</v>
      </c>
      <c r="L7350" s="3">
        <v>2822.3999999999996</v>
      </c>
    </row>
    <row r="7351" spans="1:12" x14ac:dyDescent="0.25">
      <c r="A7351" t="s">
        <v>36</v>
      </c>
      <c r="B7351">
        <v>1185732</v>
      </c>
      <c r="C7351" s="1">
        <v>44515</v>
      </c>
      <c r="D7351" t="s">
        <v>29</v>
      </c>
      <c r="E7351" t="s">
        <v>30</v>
      </c>
      <c r="F7351" t="s">
        <v>31</v>
      </c>
      <c r="G7351" t="s">
        <v>15</v>
      </c>
      <c r="H7351" t="s">
        <v>22</v>
      </c>
      <c r="I7351" s="3">
        <v>54.999999999999993</v>
      </c>
      <c r="J7351" s="2">
        <v>175</v>
      </c>
      <c r="K7351" s="3">
        <f t="shared" si="114"/>
        <v>9624.9999999999982</v>
      </c>
      <c r="L7351" s="3">
        <v>7218.7499999999982</v>
      </c>
    </row>
    <row r="7352" spans="1:12" x14ac:dyDescent="0.25">
      <c r="A7352" t="s">
        <v>19</v>
      </c>
      <c r="B7352">
        <v>1185732</v>
      </c>
      <c r="C7352" s="1">
        <v>44515</v>
      </c>
      <c r="D7352" t="s">
        <v>29</v>
      </c>
      <c r="E7352" t="s">
        <v>55</v>
      </c>
      <c r="F7352" t="s">
        <v>56</v>
      </c>
      <c r="G7352" t="s">
        <v>15</v>
      </c>
      <c r="H7352" t="s">
        <v>38</v>
      </c>
      <c r="I7352" s="3">
        <v>60</v>
      </c>
      <c r="J7352" s="2">
        <v>470</v>
      </c>
      <c r="K7352" s="3">
        <f t="shared" si="114"/>
        <v>28200</v>
      </c>
      <c r="L7352" s="3">
        <v>14100</v>
      </c>
    </row>
    <row r="7353" spans="1:12" x14ac:dyDescent="0.25">
      <c r="A7353" t="s">
        <v>36</v>
      </c>
      <c r="B7353">
        <v>1185732</v>
      </c>
      <c r="C7353" s="1">
        <v>44515</v>
      </c>
      <c r="D7353" t="s">
        <v>29</v>
      </c>
      <c r="E7353" t="s">
        <v>30</v>
      </c>
      <c r="F7353" t="s">
        <v>31</v>
      </c>
      <c r="G7353" t="s">
        <v>41</v>
      </c>
      <c r="H7353" t="s">
        <v>22</v>
      </c>
      <c r="I7353" s="3">
        <v>50</v>
      </c>
      <c r="J7353" s="2">
        <v>53</v>
      </c>
      <c r="K7353" s="3">
        <f t="shared" si="114"/>
        <v>2650</v>
      </c>
      <c r="L7353" s="3">
        <v>1696</v>
      </c>
    </row>
    <row r="7354" spans="1:12" x14ac:dyDescent="0.25">
      <c r="A7354" t="s">
        <v>19</v>
      </c>
      <c r="B7354">
        <v>1185732</v>
      </c>
      <c r="C7354" s="1">
        <v>44515</v>
      </c>
      <c r="D7354" t="s">
        <v>29</v>
      </c>
      <c r="E7354" t="s">
        <v>55</v>
      </c>
      <c r="F7354" t="s">
        <v>56</v>
      </c>
      <c r="G7354" t="s">
        <v>15</v>
      </c>
      <c r="H7354" t="s">
        <v>38</v>
      </c>
      <c r="I7354" s="3">
        <v>44</v>
      </c>
      <c r="J7354" s="2">
        <v>150</v>
      </c>
      <c r="K7354" s="3">
        <f t="shared" si="114"/>
        <v>6600</v>
      </c>
      <c r="L7354" s="3">
        <v>3168</v>
      </c>
    </row>
    <row r="7355" spans="1:12" x14ac:dyDescent="0.25">
      <c r="A7355" t="s">
        <v>19</v>
      </c>
      <c r="B7355">
        <v>1185732</v>
      </c>
      <c r="C7355" s="1">
        <v>44515</v>
      </c>
      <c r="D7355" t="s">
        <v>29</v>
      </c>
      <c r="E7355" t="s">
        <v>55</v>
      </c>
      <c r="F7355" t="s">
        <v>56</v>
      </c>
      <c r="G7355" t="s">
        <v>41</v>
      </c>
      <c r="H7355" t="s">
        <v>38</v>
      </c>
      <c r="I7355" s="3">
        <v>58</v>
      </c>
      <c r="J7355" s="2">
        <v>136</v>
      </c>
      <c r="K7355" s="3">
        <f t="shared" si="114"/>
        <v>7888</v>
      </c>
      <c r="L7355" s="3">
        <v>2918.5600000000004</v>
      </c>
    </row>
    <row r="7356" spans="1:12" x14ac:dyDescent="0.25">
      <c r="A7356" t="s">
        <v>26</v>
      </c>
      <c r="B7356">
        <v>1185732</v>
      </c>
      <c r="C7356" s="1">
        <v>44516</v>
      </c>
      <c r="D7356" t="s">
        <v>57</v>
      </c>
      <c r="E7356" t="s">
        <v>70</v>
      </c>
      <c r="F7356" t="s">
        <v>71</v>
      </c>
      <c r="G7356" t="s">
        <v>18</v>
      </c>
      <c r="H7356" t="s">
        <v>35</v>
      </c>
      <c r="I7356" s="3">
        <v>45.000000000000014</v>
      </c>
      <c r="J7356" s="2">
        <v>445</v>
      </c>
      <c r="K7356" s="3">
        <f t="shared" si="114"/>
        <v>20025.000000000007</v>
      </c>
      <c r="L7356" s="3">
        <v>14017.500000000005</v>
      </c>
    </row>
    <row r="7357" spans="1:12" x14ac:dyDescent="0.25">
      <c r="A7357" t="s">
        <v>19</v>
      </c>
      <c r="B7357">
        <v>1185732</v>
      </c>
      <c r="C7357" s="1">
        <v>44516</v>
      </c>
      <c r="D7357" t="s">
        <v>29</v>
      </c>
      <c r="E7357" t="s">
        <v>55</v>
      </c>
      <c r="F7357" t="s">
        <v>56</v>
      </c>
      <c r="G7357" t="s">
        <v>15</v>
      </c>
      <c r="H7357" t="s">
        <v>17</v>
      </c>
      <c r="I7357" s="3">
        <v>60.000000000000007</v>
      </c>
      <c r="J7357" s="2">
        <v>175</v>
      </c>
      <c r="K7357" s="3">
        <f t="shared" si="114"/>
        <v>10500.000000000002</v>
      </c>
      <c r="L7357" s="3">
        <v>7350.0000000000018</v>
      </c>
    </row>
    <row r="7358" spans="1:12" x14ac:dyDescent="0.25">
      <c r="A7358" t="s">
        <v>26</v>
      </c>
      <c r="B7358">
        <v>1185732</v>
      </c>
      <c r="C7358" s="1">
        <v>44516</v>
      </c>
      <c r="D7358" t="s">
        <v>57</v>
      </c>
      <c r="E7358" t="s">
        <v>70</v>
      </c>
      <c r="F7358" t="s">
        <v>71</v>
      </c>
      <c r="G7358" t="s">
        <v>18</v>
      </c>
      <c r="H7358" t="s">
        <v>37</v>
      </c>
      <c r="I7358" s="3">
        <v>45.000000000000014</v>
      </c>
      <c r="J7358" s="2">
        <v>475</v>
      </c>
      <c r="K7358" s="3">
        <f t="shared" si="114"/>
        <v>21375.000000000007</v>
      </c>
      <c r="L7358" s="3">
        <v>13893.750000000005</v>
      </c>
    </row>
    <row r="7359" spans="1:12" x14ac:dyDescent="0.25">
      <c r="A7359" t="s">
        <v>26</v>
      </c>
      <c r="B7359">
        <v>1185732</v>
      </c>
      <c r="C7359" s="1">
        <v>44516</v>
      </c>
      <c r="D7359" t="s">
        <v>57</v>
      </c>
      <c r="E7359" t="s">
        <v>70</v>
      </c>
      <c r="F7359" t="s">
        <v>71</v>
      </c>
      <c r="G7359" t="s">
        <v>18</v>
      </c>
      <c r="H7359" t="s">
        <v>17</v>
      </c>
      <c r="I7359" s="3">
        <v>45.000000000000014</v>
      </c>
      <c r="J7359" s="2">
        <v>500</v>
      </c>
      <c r="K7359" s="3">
        <f t="shared" si="114"/>
        <v>22500.000000000007</v>
      </c>
      <c r="L7359" s="3">
        <v>13500.000000000005</v>
      </c>
    </row>
    <row r="7360" spans="1:12" x14ac:dyDescent="0.25">
      <c r="A7360" t="s">
        <v>36</v>
      </c>
      <c r="B7360">
        <v>1185732</v>
      </c>
      <c r="C7360" s="1">
        <v>44516</v>
      </c>
      <c r="D7360" t="s">
        <v>29</v>
      </c>
      <c r="E7360" t="s">
        <v>30</v>
      </c>
      <c r="F7360" t="s">
        <v>31</v>
      </c>
      <c r="G7360" t="s">
        <v>15</v>
      </c>
      <c r="H7360" t="s">
        <v>16</v>
      </c>
      <c r="I7360" s="3">
        <v>60</v>
      </c>
      <c r="J7360" s="2">
        <v>325</v>
      </c>
      <c r="K7360" s="3">
        <f t="shared" si="114"/>
        <v>19500</v>
      </c>
      <c r="L7360" s="3">
        <v>11700</v>
      </c>
    </row>
    <row r="7361" spans="1:12" x14ac:dyDescent="0.25">
      <c r="A7361" t="s">
        <v>26</v>
      </c>
      <c r="B7361">
        <v>1185732</v>
      </c>
      <c r="C7361" s="1">
        <v>44516</v>
      </c>
      <c r="D7361" t="s">
        <v>57</v>
      </c>
      <c r="E7361" t="s">
        <v>70</v>
      </c>
      <c r="F7361" t="s">
        <v>71</v>
      </c>
      <c r="G7361" t="s">
        <v>18</v>
      </c>
      <c r="H7361" t="s">
        <v>22</v>
      </c>
      <c r="I7361" s="3">
        <v>60</v>
      </c>
      <c r="J7361" s="2">
        <v>450</v>
      </c>
      <c r="K7361" s="3">
        <f t="shared" si="114"/>
        <v>27000</v>
      </c>
      <c r="L7361" s="3">
        <v>16200</v>
      </c>
    </row>
    <row r="7362" spans="1:12" x14ac:dyDescent="0.25">
      <c r="A7362" t="s">
        <v>26</v>
      </c>
      <c r="B7362">
        <v>1185732</v>
      </c>
      <c r="C7362" s="1">
        <v>44516</v>
      </c>
      <c r="D7362" t="s">
        <v>57</v>
      </c>
      <c r="E7362" t="s">
        <v>70</v>
      </c>
      <c r="F7362" t="s">
        <v>71</v>
      </c>
      <c r="G7362" t="s">
        <v>18</v>
      </c>
      <c r="H7362" t="s">
        <v>38</v>
      </c>
      <c r="I7362" s="3">
        <v>50.000000000000014</v>
      </c>
      <c r="J7362" s="2">
        <v>675</v>
      </c>
      <c r="K7362" s="3">
        <f t="shared" si="114"/>
        <v>33750.000000000007</v>
      </c>
      <c r="L7362" s="3">
        <v>16875.000000000007</v>
      </c>
    </row>
    <row r="7363" spans="1:12" x14ac:dyDescent="0.25">
      <c r="A7363" t="s">
        <v>26</v>
      </c>
      <c r="B7363">
        <v>1185732</v>
      </c>
      <c r="C7363" s="1">
        <v>44516</v>
      </c>
      <c r="D7363" t="s">
        <v>57</v>
      </c>
      <c r="E7363" t="s">
        <v>70</v>
      </c>
      <c r="F7363" t="s">
        <v>71</v>
      </c>
      <c r="G7363" t="s">
        <v>18</v>
      </c>
      <c r="H7363" t="s">
        <v>16</v>
      </c>
      <c r="I7363" s="3">
        <v>64.999999999999986</v>
      </c>
      <c r="J7363" s="2">
        <v>625</v>
      </c>
      <c r="K7363" s="3">
        <f t="shared" ref="K7363:K7426" si="115">I7363*J7363</f>
        <v>40624.999999999993</v>
      </c>
      <c r="L7363" s="3">
        <v>18281.249999999993</v>
      </c>
    </row>
    <row r="7364" spans="1:12" x14ac:dyDescent="0.25">
      <c r="A7364" t="s">
        <v>19</v>
      </c>
      <c r="B7364">
        <v>1185732</v>
      </c>
      <c r="C7364" s="1">
        <v>44516</v>
      </c>
      <c r="D7364" t="s">
        <v>29</v>
      </c>
      <c r="E7364" t="s">
        <v>55</v>
      </c>
      <c r="F7364" t="s">
        <v>56</v>
      </c>
      <c r="G7364" t="s">
        <v>15</v>
      </c>
      <c r="H7364" t="s">
        <v>17</v>
      </c>
      <c r="I7364" s="3">
        <v>40</v>
      </c>
      <c r="J7364" s="2">
        <v>54</v>
      </c>
      <c r="K7364" s="3">
        <f t="shared" si="115"/>
        <v>2160</v>
      </c>
      <c r="L7364" s="3">
        <v>1447.2</v>
      </c>
    </row>
    <row r="7365" spans="1:12" x14ac:dyDescent="0.25">
      <c r="A7365" t="s">
        <v>19</v>
      </c>
      <c r="B7365">
        <v>1185732</v>
      </c>
      <c r="C7365" s="1">
        <v>44516</v>
      </c>
      <c r="D7365" t="s">
        <v>29</v>
      </c>
      <c r="E7365" t="s">
        <v>55</v>
      </c>
      <c r="F7365" t="s">
        <v>56</v>
      </c>
      <c r="G7365" t="s">
        <v>41</v>
      </c>
      <c r="H7365" t="s">
        <v>17</v>
      </c>
      <c r="I7365" s="3">
        <v>54</v>
      </c>
      <c r="J7365" s="2">
        <v>53</v>
      </c>
      <c r="K7365" s="3">
        <f t="shared" si="115"/>
        <v>2862</v>
      </c>
      <c r="L7365" s="3">
        <v>1717.2</v>
      </c>
    </row>
    <row r="7366" spans="1:12" x14ac:dyDescent="0.25">
      <c r="A7366" t="s">
        <v>26</v>
      </c>
      <c r="B7366">
        <v>1185732</v>
      </c>
      <c r="C7366" s="1">
        <v>44516</v>
      </c>
      <c r="D7366" t="s">
        <v>57</v>
      </c>
      <c r="E7366" t="s">
        <v>70</v>
      </c>
      <c r="F7366" t="s">
        <v>71</v>
      </c>
      <c r="G7366" t="s">
        <v>41</v>
      </c>
      <c r="H7366" t="s">
        <v>35</v>
      </c>
      <c r="I7366" s="3">
        <v>43</v>
      </c>
      <c r="J7366" s="2">
        <v>120</v>
      </c>
      <c r="K7366" s="3">
        <f t="shared" si="115"/>
        <v>5160</v>
      </c>
      <c r="L7366" s="3">
        <v>2838.0000000000005</v>
      </c>
    </row>
    <row r="7367" spans="1:12" x14ac:dyDescent="0.25">
      <c r="A7367" t="s">
        <v>26</v>
      </c>
      <c r="B7367">
        <v>1185732</v>
      </c>
      <c r="C7367" s="1">
        <v>44516</v>
      </c>
      <c r="D7367" t="s">
        <v>57</v>
      </c>
      <c r="E7367" t="s">
        <v>70</v>
      </c>
      <c r="F7367" t="s">
        <v>71</v>
      </c>
      <c r="G7367" t="s">
        <v>41</v>
      </c>
      <c r="H7367" t="s">
        <v>37</v>
      </c>
      <c r="I7367" s="3">
        <v>41</v>
      </c>
      <c r="J7367" s="2">
        <v>138</v>
      </c>
      <c r="K7367" s="3">
        <f t="shared" si="115"/>
        <v>5658</v>
      </c>
      <c r="L7367" s="3">
        <v>2885.58</v>
      </c>
    </row>
    <row r="7368" spans="1:12" x14ac:dyDescent="0.25">
      <c r="A7368" t="s">
        <v>36</v>
      </c>
      <c r="B7368">
        <v>1185732</v>
      </c>
      <c r="C7368" s="1">
        <v>44516</v>
      </c>
      <c r="D7368" t="s">
        <v>29</v>
      </c>
      <c r="E7368" t="s">
        <v>30</v>
      </c>
      <c r="F7368" t="s">
        <v>31</v>
      </c>
      <c r="G7368" t="s">
        <v>41</v>
      </c>
      <c r="H7368" t="s">
        <v>16</v>
      </c>
      <c r="I7368" s="3">
        <v>56</v>
      </c>
      <c r="J7368" s="2">
        <v>85</v>
      </c>
      <c r="K7368" s="3">
        <f t="shared" si="115"/>
        <v>4760</v>
      </c>
      <c r="L7368" s="3">
        <v>2332.4</v>
      </c>
    </row>
    <row r="7369" spans="1:12" x14ac:dyDescent="0.25">
      <c r="A7369" t="s">
        <v>26</v>
      </c>
      <c r="B7369">
        <v>1185732</v>
      </c>
      <c r="C7369" s="1">
        <v>44516</v>
      </c>
      <c r="D7369" t="s">
        <v>57</v>
      </c>
      <c r="E7369" t="s">
        <v>70</v>
      </c>
      <c r="F7369" t="s">
        <v>71</v>
      </c>
      <c r="G7369" t="s">
        <v>41</v>
      </c>
      <c r="H7369" t="s">
        <v>17</v>
      </c>
      <c r="I7369" s="3">
        <v>42</v>
      </c>
      <c r="J7369" s="2">
        <v>145</v>
      </c>
      <c r="K7369" s="3">
        <f t="shared" si="115"/>
        <v>6090</v>
      </c>
      <c r="L7369" s="3">
        <v>2740.5000000000005</v>
      </c>
    </row>
    <row r="7370" spans="1:12" x14ac:dyDescent="0.25">
      <c r="A7370" t="s">
        <v>26</v>
      </c>
      <c r="B7370">
        <v>1185732</v>
      </c>
      <c r="C7370" s="1">
        <v>44516</v>
      </c>
      <c r="D7370" t="s">
        <v>57</v>
      </c>
      <c r="E7370" t="s">
        <v>70</v>
      </c>
      <c r="F7370" t="s">
        <v>71</v>
      </c>
      <c r="G7370" t="s">
        <v>41</v>
      </c>
      <c r="H7370" t="s">
        <v>22</v>
      </c>
      <c r="I7370" s="3">
        <v>59</v>
      </c>
      <c r="J7370" s="2">
        <v>126</v>
      </c>
      <c r="K7370" s="3">
        <f t="shared" si="115"/>
        <v>7434</v>
      </c>
      <c r="L7370" s="3">
        <v>3345.3000000000006</v>
      </c>
    </row>
    <row r="7371" spans="1:12" x14ac:dyDescent="0.25">
      <c r="A7371" t="s">
        <v>26</v>
      </c>
      <c r="B7371">
        <v>1185732</v>
      </c>
      <c r="C7371" s="1">
        <v>44516</v>
      </c>
      <c r="D7371" t="s">
        <v>57</v>
      </c>
      <c r="E7371" t="s">
        <v>70</v>
      </c>
      <c r="F7371" t="s">
        <v>71</v>
      </c>
      <c r="G7371" t="s">
        <v>41</v>
      </c>
      <c r="H7371" t="s">
        <v>38</v>
      </c>
      <c r="I7371" s="3">
        <v>49</v>
      </c>
      <c r="J7371" s="2">
        <v>196</v>
      </c>
      <c r="K7371" s="3">
        <f t="shared" si="115"/>
        <v>9604</v>
      </c>
      <c r="L7371" s="3">
        <v>3553.4799999999996</v>
      </c>
    </row>
    <row r="7372" spans="1:12" x14ac:dyDescent="0.25">
      <c r="A7372" t="s">
        <v>26</v>
      </c>
      <c r="B7372">
        <v>1185732</v>
      </c>
      <c r="C7372" s="1">
        <v>44516</v>
      </c>
      <c r="D7372" t="s">
        <v>57</v>
      </c>
      <c r="E7372" t="s">
        <v>70</v>
      </c>
      <c r="F7372" t="s">
        <v>71</v>
      </c>
      <c r="G7372" t="s">
        <v>41</v>
      </c>
      <c r="H7372" t="s">
        <v>16</v>
      </c>
      <c r="I7372" s="3">
        <v>59</v>
      </c>
      <c r="J7372" s="2">
        <v>169</v>
      </c>
      <c r="K7372" s="3">
        <f t="shared" si="115"/>
        <v>9971</v>
      </c>
      <c r="L7372" s="3">
        <v>3091.0099999999993</v>
      </c>
    </row>
    <row r="7373" spans="1:12" x14ac:dyDescent="0.25">
      <c r="A7373" t="s">
        <v>23</v>
      </c>
      <c r="B7373">
        <v>1128299</v>
      </c>
      <c r="C7373" s="1">
        <v>44517</v>
      </c>
      <c r="D7373" t="s">
        <v>32</v>
      </c>
      <c r="E7373" t="s">
        <v>33</v>
      </c>
      <c r="F7373" t="s">
        <v>34</v>
      </c>
      <c r="G7373" t="s">
        <v>18</v>
      </c>
      <c r="H7373" t="s">
        <v>22</v>
      </c>
      <c r="I7373" s="3">
        <v>85.000000000000014</v>
      </c>
      <c r="J7373" s="2">
        <v>475</v>
      </c>
      <c r="K7373" s="3">
        <f t="shared" si="115"/>
        <v>40375.000000000007</v>
      </c>
      <c r="L7373" s="3">
        <v>32300.000000000007</v>
      </c>
    </row>
    <row r="7374" spans="1:12" x14ac:dyDescent="0.25">
      <c r="A7374" t="s">
        <v>23</v>
      </c>
      <c r="B7374">
        <v>1128299</v>
      </c>
      <c r="C7374" s="1">
        <v>44517</v>
      </c>
      <c r="D7374" t="s">
        <v>32</v>
      </c>
      <c r="E7374" t="s">
        <v>33</v>
      </c>
      <c r="F7374" t="s">
        <v>34</v>
      </c>
      <c r="G7374" t="s">
        <v>18</v>
      </c>
      <c r="H7374" t="s">
        <v>17</v>
      </c>
      <c r="I7374" s="3">
        <v>60.000000000000007</v>
      </c>
      <c r="J7374" s="2">
        <v>700</v>
      </c>
      <c r="K7374" s="3">
        <f t="shared" si="115"/>
        <v>42000.000000000007</v>
      </c>
      <c r="L7374" s="3">
        <v>31500.000000000007</v>
      </c>
    </row>
    <row r="7375" spans="1:12" x14ac:dyDescent="0.25">
      <c r="A7375" t="s">
        <v>23</v>
      </c>
      <c r="B7375">
        <v>1128299</v>
      </c>
      <c r="C7375" s="1">
        <v>44517</v>
      </c>
      <c r="D7375" t="s">
        <v>32</v>
      </c>
      <c r="E7375" t="s">
        <v>33</v>
      </c>
      <c r="F7375" t="s">
        <v>34</v>
      </c>
      <c r="G7375" t="s">
        <v>18</v>
      </c>
      <c r="H7375" t="s">
        <v>35</v>
      </c>
      <c r="I7375" s="3">
        <v>55.000000000000007</v>
      </c>
      <c r="J7375" s="2">
        <v>525</v>
      </c>
      <c r="K7375" s="3">
        <f t="shared" si="115"/>
        <v>28875.000000000004</v>
      </c>
      <c r="L7375" s="3">
        <v>20212.500000000007</v>
      </c>
    </row>
    <row r="7376" spans="1:12" x14ac:dyDescent="0.25">
      <c r="A7376" t="s">
        <v>23</v>
      </c>
      <c r="B7376">
        <v>1128299</v>
      </c>
      <c r="C7376" s="1">
        <v>44517</v>
      </c>
      <c r="D7376" t="s">
        <v>32</v>
      </c>
      <c r="E7376" t="s">
        <v>33</v>
      </c>
      <c r="F7376" t="s">
        <v>34</v>
      </c>
      <c r="G7376" t="s">
        <v>18</v>
      </c>
      <c r="H7376" t="s">
        <v>37</v>
      </c>
      <c r="I7376" s="3">
        <v>65.000000000000014</v>
      </c>
      <c r="J7376" s="2">
        <v>500</v>
      </c>
      <c r="K7376" s="3">
        <f t="shared" si="115"/>
        <v>32500.000000000007</v>
      </c>
      <c r="L7376" s="3">
        <v>22750.000000000007</v>
      </c>
    </row>
    <row r="7377" spans="1:12" x14ac:dyDescent="0.25">
      <c r="A7377" t="s">
        <v>23</v>
      </c>
      <c r="B7377">
        <v>1128299</v>
      </c>
      <c r="C7377" s="1">
        <v>44517</v>
      </c>
      <c r="D7377" t="s">
        <v>32</v>
      </c>
      <c r="E7377" t="s">
        <v>33</v>
      </c>
      <c r="F7377" t="s">
        <v>34</v>
      </c>
      <c r="G7377" t="s">
        <v>18</v>
      </c>
      <c r="H7377" t="s">
        <v>38</v>
      </c>
      <c r="I7377" s="3">
        <v>55.000000000000007</v>
      </c>
      <c r="J7377" s="2">
        <v>625</v>
      </c>
      <c r="K7377" s="3">
        <f t="shared" si="115"/>
        <v>34375.000000000007</v>
      </c>
      <c r="L7377" s="3">
        <v>24062.500000000007</v>
      </c>
    </row>
    <row r="7378" spans="1:12" x14ac:dyDescent="0.25">
      <c r="A7378" t="s">
        <v>19</v>
      </c>
      <c r="B7378">
        <v>1185732</v>
      </c>
      <c r="C7378" s="1">
        <v>44517</v>
      </c>
      <c r="D7378" t="s">
        <v>29</v>
      </c>
      <c r="E7378" t="s">
        <v>55</v>
      </c>
      <c r="F7378" t="s">
        <v>56</v>
      </c>
      <c r="G7378" t="s">
        <v>15</v>
      </c>
      <c r="H7378" t="s">
        <v>35</v>
      </c>
      <c r="I7378" s="3">
        <v>55.000000000000007</v>
      </c>
      <c r="J7378" s="2">
        <v>150</v>
      </c>
      <c r="K7378" s="3">
        <f t="shared" si="115"/>
        <v>8250.0000000000018</v>
      </c>
      <c r="L7378" s="3">
        <v>5362.5000000000018</v>
      </c>
    </row>
    <row r="7379" spans="1:12" x14ac:dyDescent="0.25">
      <c r="A7379" t="s">
        <v>26</v>
      </c>
      <c r="B7379">
        <v>1185732</v>
      </c>
      <c r="C7379" s="1">
        <v>44517</v>
      </c>
      <c r="D7379" t="s">
        <v>52</v>
      </c>
      <c r="E7379" t="s">
        <v>112</v>
      </c>
      <c r="F7379" t="s">
        <v>113</v>
      </c>
      <c r="G7379" t="s">
        <v>41</v>
      </c>
      <c r="H7379" t="s">
        <v>22</v>
      </c>
      <c r="I7379" s="3">
        <v>75.000000000000014</v>
      </c>
      <c r="J7379" s="2">
        <v>425</v>
      </c>
      <c r="K7379" s="3">
        <f t="shared" si="115"/>
        <v>31875.000000000007</v>
      </c>
      <c r="L7379" s="3">
        <v>20718.750000000007</v>
      </c>
    </row>
    <row r="7380" spans="1:12" x14ac:dyDescent="0.25">
      <c r="A7380" t="s">
        <v>36</v>
      </c>
      <c r="B7380">
        <v>1185732</v>
      </c>
      <c r="C7380" s="1">
        <v>44517</v>
      </c>
      <c r="D7380" t="s">
        <v>29</v>
      </c>
      <c r="E7380" t="s">
        <v>30</v>
      </c>
      <c r="F7380" t="s">
        <v>31</v>
      </c>
      <c r="G7380" t="s">
        <v>15</v>
      </c>
      <c r="H7380" t="s">
        <v>38</v>
      </c>
      <c r="I7380" s="3">
        <v>54.999999999999993</v>
      </c>
      <c r="J7380" s="2">
        <v>550</v>
      </c>
      <c r="K7380" s="3">
        <f t="shared" si="115"/>
        <v>30249.999999999996</v>
      </c>
      <c r="L7380" s="3">
        <v>19662.499999999996</v>
      </c>
    </row>
    <row r="7381" spans="1:12" x14ac:dyDescent="0.25">
      <c r="A7381" t="s">
        <v>11</v>
      </c>
      <c r="B7381">
        <v>1128299</v>
      </c>
      <c r="C7381" s="1">
        <v>44517</v>
      </c>
      <c r="D7381" t="s">
        <v>52</v>
      </c>
      <c r="E7381" t="s">
        <v>64</v>
      </c>
      <c r="F7381" t="s">
        <v>65</v>
      </c>
      <c r="G7381" t="s">
        <v>41</v>
      </c>
      <c r="H7381" t="s">
        <v>16</v>
      </c>
      <c r="I7381" s="3">
        <v>85.000000000000014</v>
      </c>
      <c r="J7381" s="2">
        <v>600</v>
      </c>
      <c r="K7381" s="3">
        <f t="shared" si="115"/>
        <v>51000.000000000007</v>
      </c>
      <c r="L7381" s="3">
        <v>33150.000000000007</v>
      </c>
    </row>
    <row r="7382" spans="1:12" x14ac:dyDescent="0.25">
      <c r="A7382" t="s">
        <v>26</v>
      </c>
      <c r="B7382">
        <v>1185732</v>
      </c>
      <c r="C7382" s="1">
        <v>44517</v>
      </c>
      <c r="D7382" t="s">
        <v>52</v>
      </c>
      <c r="E7382" t="s">
        <v>112</v>
      </c>
      <c r="F7382" t="s">
        <v>113</v>
      </c>
      <c r="G7382" t="s">
        <v>41</v>
      </c>
      <c r="H7382" t="s">
        <v>17</v>
      </c>
      <c r="I7382" s="3">
        <v>20.000000000000011</v>
      </c>
      <c r="J7382" s="2">
        <v>450</v>
      </c>
      <c r="K7382" s="3">
        <f t="shared" si="115"/>
        <v>9000.0000000000055</v>
      </c>
      <c r="L7382" s="3">
        <v>5850.0000000000027</v>
      </c>
    </row>
    <row r="7383" spans="1:12" x14ac:dyDescent="0.25">
      <c r="A7383" t="s">
        <v>11</v>
      </c>
      <c r="B7383">
        <v>1128299</v>
      </c>
      <c r="C7383" s="1">
        <v>44517</v>
      </c>
      <c r="D7383" t="s">
        <v>52</v>
      </c>
      <c r="E7383" t="s">
        <v>64</v>
      </c>
      <c r="F7383" t="s">
        <v>65</v>
      </c>
      <c r="G7383" t="s">
        <v>41</v>
      </c>
      <c r="H7383" t="s">
        <v>38</v>
      </c>
      <c r="I7383" s="3">
        <v>40.000000000000007</v>
      </c>
      <c r="J7383" s="2">
        <v>625</v>
      </c>
      <c r="K7383" s="3">
        <f t="shared" si="115"/>
        <v>25000.000000000004</v>
      </c>
      <c r="L7383" s="3">
        <v>15000.000000000005</v>
      </c>
    </row>
    <row r="7384" spans="1:12" x14ac:dyDescent="0.25">
      <c r="A7384" t="s">
        <v>11</v>
      </c>
      <c r="B7384">
        <v>1128299</v>
      </c>
      <c r="C7384" s="1">
        <v>44517</v>
      </c>
      <c r="D7384" t="s">
        <v>52</v>
      </c>
      <c r="E7384" t="s">
        <v>64</v>
      </c>
      <c r="F7384" t="s">
        <v>65</v>
      </c>
      <c r="G7384" t="s">
        <v>41</v>
      </c>
      <c r="H7384" t="s">
        <v>17</v>
      </c>
      <c r="I7384" s="3">
        <v>45.000000000000014</v>
      </c>
      <c r="J7384" s="2">
        <v>700</v>
      </c>
      <c r="K7384" s="3">
        <f t="shared" si="115"/>
        <v>31500.000000000011</v>
      </c>
      <c r="L7384" s="3">
        <v>18900.000000000007</v>
      </c>
    </row>
    <row r="7385" spans="1:12" x14ac:dyDescent="0.25">
      <c r="A7385" t="s">
        <v>11</v>
      </c>
      <c r="B7385">
        <v>1128299</v>
      </c>
      <c r="C7385" s="1">
        <v>44517</v>
      </c>
      <c r="D7385" t="s">
        <v>52</v>
      </c>
      <c r="E7385" t="s">
        <v>64</v>
      </c>
      <c r="F7385" t="s">
        <v>65</v>
      </c>
      <c r="G7385" t="s">
        <v>41</v>
      </c>
      <c r="H7385" t="s">
        <v>35</v>
      </c>
      <c r="I7385" s="3">
        <v>40.000000000000007</v>
      </c>
      <c r="J7385" s="2">
        <v>525</v>
      </c>
      <c r="K7385" s="3">
        <f t="shared" si="115"/>
        <v>21000.000000000004</v>
      </c>
      <c r="L7385" s="3">
        <v>12600.000000000004</v>
      </c>
    </row>
    <row r="7386" spans="1:12" x14ac:dyDescent="0.25">
      <c r="A7386" t="s">
        <v>11</v>
      </c>
      <c r="B7386">
        <v>1128299</v>
      </c>
      <c r="C7386" s="1">
        <v>44517</v>
      </c>
      <c r="D7386" t="s">
        <v>52</v>
      </c>
      <c r="E7386" t="s">
        <v>64</v>
      </c>
      <c r="F7386" t="s">
        <v>65</v>
      </c>
      <c r="G7386" t="s">
        <v>41</v>
      </c>
      <c r="H7386" t="s">
        <v>37</v>
      </c>
      <c r="I7386" s="3">
        <v>50.000000000000014</v>
      </c>
      <c r="J7386" s="2">
        <v>500</v>
      </c>
      <c r="K7386" s="3">
        <f t="shared" si="115"/>
        <v>25000.000000000007</v>
      </c>
      <c r="L7386" s="3">
        <v>15000.000000000005</v>
      </c>
    </row>
    <row r="7387" spans="1:12" x14ac:dyDescent="0.25">
      <c r="A7387" t="s">
        <v>26</v>
      </c>
      <c r="B7387">
        <v>1185732</v>
      </c>
      <c r="C7387" s="1">
        <v>44517</v>
      </c>
      <c r="D7387" t="s">
        <v>52</v>
      </c>
      <c r="E7387" t="s">
        <v>112</v>
      </c>
      <c r="F7387" t="s">
        <v>113</v>
      </c>
      <c r="G7387" t="s">
        <v>41</v>
      </c>
      <c r="H7387" t="s">
        <v>38</v>
      </c>
      <c r="I7387" s="3">
        <v>30.000000000000011</v>
      </c>
      <c r="J7387" s="2">
        <v>625</v>
      </c>
      <c r="K7387" s="3">
        <f t="shared" si="115"/>
        <v>18750.000000000007</v>
      </c>
      <c r="L7387" s="3">
        <v>11250.000000000004</v>
      </c>
    </row>
    <row r="7388" spans="1:12" x14ac:dyDescent="0.25">
      <c r="A7388" t="s">
        <v>26</v>
      </c>
      <c r="B7388">
        <v>1185732</v>
      </c>
      <c r="C7388" s="1">
        <v>44517</v>
      </c>
      <c r="D7388" t="s">
        <v>52</v>
      </c>
      <c r="E7388" t="s">
        <v>112</v>
      </c>
      <c r="F7388" t="s">
        <v>113</v>
      </c>
      <c r="G7388" t="s">
        <v>41</v>
      </c>
      <c r="H7388" t="s">
        <v>37</v>
      </c>
      <c r="I7388" s="3">
        <v>60.000000000000021</v>
      </c>
      <c r="J7388" s="2">
        <v>450</v>
      </c>
      <c r="K7388" s="3">
        <f t="shared" si="115"/>
        <v>27000.000000000011</v>
      </c>
      <c r="L7388" s="3">
        <v>16200.000000000005</v>
      </c>
    </row>
    <row r="7389" spans="1:12" x14ac:dyDescent="0.25">
      <c r="A7389" t="s">
        <v>19</v>
      </c>
      <c r="B7389">
        <v>1185732</v>
      </c>
      <c r="C7389" s="1">
        <v>44517</v>
      </c>
      <c r="D7389" t="s">
        <v>29</v>
      </c>
      <c r="E7389" t="s">
        <v>105</v>
      </c>
      <c r="F7389" t="s">
        <v>47</v>
      </c>
      <c r="G7389" t="s">
        <v>18</v>
      </c>
      <c r="H7389" t="s">
        <v>17</v>
      </c>
      <c r="I7389" s="3">
        <v>35</v>
      </c>
      <c r="J7389" s="2">
        <v>350</v>
      </c>
      <c r="K7389" s="3">
        <f t="shared" si="115"/>
        <v>12250</v>
      </c>
      <c r="L7389" s="3">
        <v>7350</v>
      </c>
    </row>
    <row r="7390" spans="1:12" x14ac:dyDescent="0.25">
      <c r="A7390" t="s">
        <v>19</v>
      </c>
      <c r="B7390">
        <v>1185732</v>
      </c>
      <c r="C7390" s="1">
        <v>44517</v>
      </c>
      <c r="D7390" t="s">
        <v>29</v>
      </c>
      <c r="E7390" t="s">
        <v>105</v>
      </c>
      <c r="F7390" t="s">
        <v>47</v>
      </c>
      <c r="G7390" t="s">
        <v>18</v>
      </c>
      <c r="H7390" t="s">
        <v>35</v>
      </c>
      <c r="I7390" s="3">
        <v>35</v>
      </c>
      <c r="J7390" s="2">
        <v>295</v>
      </c>
      <c r="K7390" s="3">
        <f t="shared" si="115"/>
        <v>10325</v>
      </c>
      <c r="L7390" s="3">
        <v>6195</v>
      </c>
    </row>
    <row r="7391" spans="1:12" x14ac:dyDescent="0.25">
      <c r="A7391" t="s">
        <v>19</v>
      </c>
      <c r="B7391">
        <v>1185732</v>
      </c>
      <c r="C7391" s="1">
        <v>44517</v>
      </c>
      <c r="D7391" t="s">
        <v>29</v>
      </c>
      <c r="E7391" t="s">
        <v>105</v>
      </c>
      <c r="F7391" t="s">
        <v>47</v>
      </c>
      <c r="G7391" t="s">
        <v>18</v>
      </c>
      <c r="H7391" t="s">
        <v>37</v>
      </c>
      <c r="I7391" s="3">
        <v>40</v>
      </c>
      <c r="J7391" s="2">
        <v>325</v>
      </c>
      <c r="K7391" s="3">
        <f t="shared" si="115"/>
        <v>13000</v>
      </c>
      <c r="L7391" s="3">
        <v>7800</v>
      </c>
    </row>
    <row r="7392" spans="1:12" x14ac:dyDescent="0.25">
      <c r="A7392" t="s">
        <v>19</v>
      </c>
      <c r="B7392">
        <v>1185732</v>
      </c>
      <c r="C7392" s="1">
        <v>44517</v>
      </c>
      <c r="D7392" t="s">
        <v>29</v>
      </c>
      <c r="E7392" t="s">
        <v>105</v>
      </c>
      <c r="F7392" t="s">
        <v>47</v>
      </c>
      <c r="G7392" t="s">
        <v>18</v>
      </c>
      <c r="H7392" t="s">
        <v>22</v>
      </c>
      <c r="I7392" s="3">
        <v>65</v>
      </c>
      <c r="J7392" s="2">
        <v>300</v>
      </c>
      <c r="K7392" s="3">
        <f t="shared" si="115"/>
        <v>19500</v>
      </c>
      <c r="L7392" s="3">
        <v>11700</v>
      </c>
    </row>
    <row r="7393" spans="1:12" x14ac:dyDescent="0.25">
      <c r="A7393" t="s">
        <v>19</v>
      </c>
      <c r="B7393">
        <v>1185732</v>
      </c>
      <c r="C7393" s="1">
        <v>44517</v>
      </c>
      <c r="D7393" t="s">
        <v>29</v>
      </c>
      <c r="E7393" t="s">
        <v>105</v>
      </c>
      <c r="F7393" t="s">
        <v>47</v>
      </c>
      <c r="G7393" t="s">
        <v>18</v>
      </c>
      <c r="H7393" t="s">
        <v>16</v>
      </c>
      <c r="I7393" s="3">
        <v>70</v>
      </c>
      <c r="J7393" s="2">
        <v>400</v>
      </c>
      <c r="K7393" s="3">
        <f t="shared" si="115"/>
        <v>28000</v>
      </c>
      <c r="L7393" s="3">
        <v>16800</v>
      </c>
    </row>
    <row r="7394" spans="1:12" x14ac:dyDescent="0.25">
      <c r="A7394" t="s">
        <v>26</v>
      </c>
      <c r="B7394">
        <v>1185732</v>
      </c>
      <c r="C7394" s="1">
        <v>44517</v>
      </c>
      <c r="D7394" t="s">
        <v>52</v>
      </c>
      <c r="E7394" t="s">
        <v>112</v>
      </c>
      <c r="F7394" t="s">
        <v>113</v>
      </c>
      <c r="G7394" t="s">
        <v>41</v>
      </c>
      <c r="H7394" t="s">
        <v>35</v>
      </c>
      <c r="I7394" s="3">
        <v>30.000000000000014</v>
      </c>
      <c r="J7394" s="2">
        <v>395</v>
      </c>
      <c r="K7394" s="3">
        <f t="shared" si="115"/>
        <v>11850.000000000005</v>
      </c>
      <c r="L7394" s="3">
        <v>7110.0000000000027</v>
      </c>
    </row>
    <row r="7395" spans="1:12" x14ac:dyDescent="0.25">
      <c r="A7395" t="s">
        <v>19</v>
      </c>
      <c r="B7395">
        <v>1185732</v>
      </c>
      <c r="C7395" s="1">
        <v>44517</v>
      </c>
      <c r="D7395" t="s">
        <v>29</v>
      </c>
      <c r="E7395" t="s">
        <v>105</v>
      </c>
      <c r="F7395" t="s">
        <v>47</v>
      </c>
      <c r="G7395" t="s">
        <v>18</v>
      </c>
      <c r="H7395" t="s">
        <v>38</v>
      </c>
      <c r="I7395" s="3">
        <v>44.999999999999993</v>
      </c>
      <c r="J7395" s="2">
        <v>450</v>
      </c>
      <c r="K7395" s="3">
        <f t="shared" si="115"/>
        <v>20249.999999999996</v>
      </c>
      <c r="L7395" s="3">
        <v>12149.999999999996</v>
      </c>
    </row>
    <row r="7396" spans="1:12" x14ac:dyDescent="0.25">
      <c r="A7396" t="s">
        <v>23</v>
      </c>
      <c r="B7396">
        <v>1128299</v>
      </c>
      <c r="C7396" s="1">
        <v>44517</v>
      </c>
      <c r="D7396" t="s">
        <v>32</v>
      </c>
      <c r="E7396" t="s">
        <v>33</v>
      </c>
      <c r="F7396" t="s">
        <v>34</v>
      </c>
      <c r="G7396" t="s">
        <v>18</v>
      </c>
      <c r="H7396" t="s">
        <v>16</v>
      </c>
      <c r="I7396" s="3">
        <v>90.000000000000014</v>
      </c>
      <c r="J7396" s="2">
        <v>600</v>
      </c>
      <c r="K7396" s="3">
        <f t="shared" si="115"/>
        <v>54000.000000000007</v>
      </c>
      <c r="L7396" s="3">
        <v>29700.000000000007</v>
      </c>
    </row>
    <row r="7397" spans="1:12" x14ac:dyDescent="0.25">
      <c r="A7397" t="s">
        <v>11</v>
      </c>
      <c r="B7397">
        <v>1128299</v>
      </c>
      <c r="C7397" s="1">
        <v>44517</v>
      </c>
      <c r="D7397" t="s">
        <v>52</v>
      </c>
      <c r="E7397" t="s">
        <v>64</v>
      </c>
      <c r="F7397" t="s">
        <v>65</v>
      </c>
      <c r="G7397" t="s">
        <v>41</v>
      </c>
      <c r="H7397" t="s">
        <v>22</v>
      </c>
      <c r="I7397" s="3">
        <v>70</v>
      </c>
      <c r="J7397" s="2">
        <v>475</v>
      </c>
      <c r="K7397" s="3">
        <f t="shared" si="115"/>
        <v>33250</v>
      </c>
      <c r="L7397" s="3">
        <v>18287.5</v>
      </c>
    </row>
    <row r="7398" spans="1:12" x14ac:dyDescent="0.25">
      <c r="A7398" t="s">
        <v>26</v>
      </c>
      <c r="B7398">
        <v>1185732</v>
      </c>
      <c r="C7398" s="1">
        <v>44517</v>
      </c>
      <c r="D7398" t="s">
        <v>52</v>
      </c>
      <c r="E7398" t="s">
        <v>112</v>
      </c>
      <c r="F7398" t="s">
        <v>113</v>
      </c>
      <c r="G7398" t="s">
        <v>41</v>
      </c>
      <c r="H7398" t="s">
        <v>16</v>
      </c>
      <c r="I7398" s="3">
        <v>75</v>
      </c>
      <c r="J7398" s="2">
        <v>525</v>
      </c>
      <c r="K7398" s="3">
        <f t="shared" si="115"/>
        <v>39375</v>
      </c>
      <c r="L7398" s="3">
        <v>19687.5</v>
      </c>
    </row>
    <row r="7399" spans="1:12" x14ac:dyDescent="0.25">
      <c r="A7399" t="s">
        <v>23</v>
      </c>
      <c r="B7399">
        <v>1128299</v>
      </c>
      <c r="C7399" s="1">
        <v>44517</v>
      </c>
      <c r="D7399" t="s">
        <v>32</v>
      </c>
      <c r="E7399" t="s">
        <v>33</v>
      </c>
      <c r="F7399" t="s">
        <v>34</v>
      </c>
      <c r="G7399" t="s">
        <v>15</v>
      </c>
      <c r="H7399" t="s">
        <v>22</v>
      </c>
      <c r="I7399" s="3">
        <v>58</v>
      </c>
      <c r="J7399" s="2">
        <v>147</v>
      </c>
      <c r="K7399" s="3">
        <f t="shared" si="115"/>
        <v>8526</v>
      </c>
      <c r="L7399" s="3">
        <v>6223.98</v>
      </c>
    </row>
    <row r="7400" spans="1:12" x14ac:dyDescent="0.25">
      <c r="A7400" t="s">
        <v>23</v>
      </c>
      <c r="B7400">
        <v>1128299</v>
      </c>
      <c r="C7400" s="1">
        <v>44517</v>
      </c>
      <c r="D7400" t="s">
        <v>32</v>
      </c>
      <c r="E7400" t="s">
        <v>33</v>
      </c>
      <c r="F7400" t="s">
        <v>34</v>
      </c>
      <c r="G7400" t="s">
        <v>41</v>
      </c>
      <c r="H7400" t="s">
        <v>22</v>
      </c>
      <c r="I7400" s="3">
        <v>77</v>
      </c>
      <c r="J7400" s="2">
        <v>124</v>
      </c>
      <c r="K7400" s="3">
        <f t="shared" si="115"/>
        <v>9548</v>
      </c>
      <c r="L7400" s="3">
        <v>6683.5999999999995</v>
      </c>
    </row>
    <row r="7401" spans="1:12" x14ac:dyDescent="0.25">
      <c r="A7401" t="s">
        <v>23</v>
      </c>
      <c r="B7401">
        <v>1128299</v>
      </c>
      <c r="C7401" s="1">
        <v>44517</v>
      </c>
      <c r="D7401" t="s">
        <v>32</v>
      </c>
      <c r="E7401" t="s">
        <v>33</v>
      </c>
      <c r="F7401" t="s">
        <v>34</v>
      </c>
      <c r="G7401" t="s">
        <v>15</v>
      </c>
      <c r="H7401" t="s">
        <v>17</v>
      </c>
      <c r="I7401" s="3">
        <v>46</v>
      </c>
      <c r="J7401" s="2">
        <v>231</v>
      </c>
      <c r="K7401" s="3">
        <f t="shared" si="115"/>
        <v>10626</v>
      </c>
      <c r="L7401" s="3">
        <v>7225.68</v>
      </c>
    </row>
    <row r="7402" spans="1:12" x14ac:dyDescent="0.25">
      <c r="A7402" t="s">
        <v>23</v>
      </c>
      <c r="B7402">
        <v>1128299</v>
      </c>
      <c r="C7402" s="1">
        <v>44517</v>
      </c>
      <c r="D7402" t="s">
        <v>32</v>
      </c>
      <c r="E7402" t="s">
        <v>33</v>
      </c>
      <c r="F7402" t="s">
        <v>34</v>
      </c>
      <c r="G7402" t="s">
        <v>15</v>
      </c>
      <c r="H7402" t="s">
        <v>38</v>
      </c>
      <c r="I7402" s="3">
        <v>41</v>
      </c>
      <c r="J7402" s="2">
        <v>188</v>
      </c>
      <c r="K7402" s="3">
        <f t="shared" si="115"/>
        <v>7708</v>
      </c>
      <c r="L7402" s="3">
        <v>5087.2800000000007</v>
      </c>
    </row>
    <row r="7403" spans="1:12" x14ac:dyDescent="0.25">
      <c r="A7403" t="s">
        <v>23</v>
      </c>
      <c r="B7403">
        <v>1128299</v>
      </c>
      <c r="C7403" s="1">
        <v>44517</v>
      </c>
      <c r="D7403" t="s">
        <v>32</v>
      </c>
      <c r="E7403" t="s">
        <v>33</v>
      </c>
      <c r="F7403" t="s">
        <v>34</v>
      </c>
      <c r="G7403" t="s">
        <v>15</v>
      </c>
      <c r="H7403" t="s">
        <v>37</v>
      </c>
      <c r="I7403" s="3">
        <v>47</v>
      </c>
      <c r="J7403" s="2">
        <v>170</v>
      </c>
      <c r="K7403" s="3">
        <f t="shared" si="115"/>
        <v>7990</v>
      </c>
      <c r="L7403" s="3">
        <v>5273.4</v>
      </c>
    </row>
    <row r="7404" spans="1:12" x14ac:dyDescent="0.25">
      <c r="A7404" t="s">
        <v>19</v>
      </c>
      <c r="B7404">
        <v>1185732</v>
      </c>
      <c r="C7404" s="1">
        <v>44517</v>
      </c>
      <c r="D7404" t="s">
        <v>29</v>
      </c>
      <c r="E7404" t="s">
        <v>55</v>
      </c>
      <c r="F7404" t="s">
        <v>56</v>
      </c>
      <c r="G7404" t="s">
        <v>15</v>
      </c>
      <c r="H7404" t="s">
        <v>35</v>
      </c>
      <c r="I7404" s="3">
        <v>38</v>
      </c>
      <c r="J7404" s="2">
        <v>53</v>
      </c>
      <c r="K7404" s="3">
        <f t="shared" si="115"/>
        <v>2014</v>
      </c>
      <c r="L7404" s="3">
        <v>1268.8200000000002</v>
      </c>
    </row>
    <row r="7405" spans="1:12" x14ac:dyDescent="0.25">
      <c r="A7405" t="s">
        <v>23</v>
      </c>
      <c r="B7405">
        <v>1128299</v>
      </c>
      <c r="C7405" s="1">
        <v>44517</v>
      </c>
      <c r="D7405" t="s">
        <v>32</v>
      </c>
      <c r="E7405" t="s">
        <v>33</v>
      </c>
      <c r="F7405" t="s">
        <v>34</v>
      </c>
      <c r="G7405" t="s">
        <v>15</v>
      </c>
      <c r="H7405" t="s">
        <v>35</v>
      </c>
      <c r="I7405" s="3">
        <v>44</v>
      </c>
      <c r="J7405" s="2">
        <v>173</v>
      </c>
      <c r="K7405" s="3">
        <f t="shared" si="115"/>
        <v>7612</v>
      </c>
      <c r="L7405" s="3">
        <v>4795.5599999999995</v>
      </c>
    </row>
    <row r="7406" spans="1:12" x14ac:dyDescent="0.25">
      <c r="A7406" t="s">
        <v>26</v>
      </c>
      <c r="B7406">
        <v>1185732</v>
      </c>
      <c r="C7406" s="1">
        <v>44517</v>
      </c>
      <c r="D7406" t="s">
        <v>52</v>
      </c>
      <c r="E7406" t="s">
        <v>112</v>
      </c>
      <c r="F7406" t="s">
        <v>113</v>
      </c>
      <c r="G7406" t="s">
        <v>15</v>
      </c>
      <c r="H7406" t="s">
        <v>17</v>
      </c>
      <c r="I7406" s="3">
        <v>15</v>
      </c>
      <c r="J7406" s="2">
        <v>153</v>
      </c>
      <c r="K7406" s="3">
        <f t="shared" si="115"/>
        <v>2295</v>
      </c>
      <c r="L7406" s="3">
        <v>1422.9</v>
      </c>
    </row>
    <row r="7407" spans="1:12" x14ac:dyDescent="0.25">
      <c r="A7407" t="s">
        <v>23</v>
      </c>
      <c r="B7407">
        <v>1128299</v>
      </c>
      <c r="C7407" s="1">
        <v>44517</v>
      </c>
      <c r="D7407" t="s">
        <v>32</v>
      </c>
      <c r="E7407" t="s">
        <v>33</v>
      </c>
      <c r="F7407" t="s">
        <v>34</v>
      </c>
      <c r="G7407" t="s">
        <v>41</v>
      </c>
      <c r="H7407" t="s">
        <v>17</v>
      </c>
      <c r="I7407" s="3">
        <v>54</v>
      </c>
      <c r="J7407" s="2">
        <v>175</v>
      </c>
      <c r="K7407" s="3">
        <f t="shared" si="115"/>
        <v>9450</v>
      </c>
      <c r="L7407" s="3">
        <v>5859</v>
      </c>
    </row>
    <row r="7408" spans="1:12" x14ac:dyDescent="0.25">
      <c r="A7408" t="s">
        <v>26</v>
      </c>
      <c r="B7408">
        <v>1185732</v>
      </c>
      <c r="C7408" s="1">
        <v>44517</v>
      </c>
      <c r="D7408" t="s">
        <v>52</v>
      </c>
      <c r="E7408" t="s">
        <v>112</v>
      </c>
      <c r="F7408" t="s">
        <v>113</v>
      </c>
      <c r="G7408" t="s">
        <v>15</v>
      </c>
      <c r="H7408" t="s">
        <v>22</v>
      </c>
      <c r="I7408" s="3">
        <v>59</v>
      </c>
      <c r="J7408" s="2">
        <v>132</v>
      </c>
      <c r="K7408" s="3">
        <f t="shared" si="115"/>
        <v>7788</v>
      </c>
      <c r="L7408" s="3">
        <v>4672.8</v>
      </c>
    </row>
    <row r="7409" spans="1:12" x14ac:dyDescent="0.25">
      <c r="A7409" t="s">
        <v>23</v>
      </c>
      <c r="B7409">
        <v>1128299</v>
      </c>
      <c r="C7409" s="1">
        <v>44517</v>
      </c>
      <c r="D7409" t="s">
        <v>32</v>
      </c>
      <c r="E7409" t="s">
        <v>33</v>
      </c>
      <c r="F7409" t="s">
        <v>34</v>
      </c>
      <c r="G7409" t="s">
        <v>41</v>
      </c>
      <c r="H7409" t="s">
        <v>38</v>
      </c>
      <c r="I7409" s="3">
        <v>52</v>
      </c>
      <c r="J7409" s="2">
        <v>169</v>
      </c>
      <c r="K7409" s="3">
        <f t="shared" si="115"/>
        <v>8788</v>
      </c>
      <c r="L7409" s="3">
        <v>5272.7999999999993</v>
      </c>
    </row>
    <row r="7410" spans="1:12" x14ac:dyDescent="0.25">
      <c r="A7410" t="s">
        <v>23</v>
      </c>
      <c r="B7410">
        <v>1128299</v>
      </c>
      <c r="C7410" s="1">
        <v>44517</v>
      </c>
      <c r="D7410" t="s">
        <v>32</v>
      </c>
      <c r="E7410" t="s">
        <v>33</v>
      </c>
      <c r="F7410" t="s">
        <v>34</v>
      </c>
      <c r="G7410" t="s">
        <v>41</v>
      </c>
      <c r="H7410" t="s">
        <v>35</v>
      </c>
      <c r="I7410" s="3">
        <v>53</v>
      </c>
      <c r="J7410" s="2">
        <v>147</v>
      </c>
      <c r="K7410" s="3">
        <f t="shared" si="115"/>
        <v>7791</v>
      </c>
      <c r="L7410" s="3">
        <v>4596.6900000000005</v>
      </c>
    </row>
    <row r="7411" spans="1:12" x14ac:dyDescent="0.25">
      <c r="A7411" t="s">
        <v>11</v>
      </c>
      <c r="B7411">
        <v>1128299</v>
      </c>
      <c r="C7411" s="1">
        <v>44517</v>
      </c>
      <c r="D7411" t="s">
        <v>52</v>
      </c>
      <c r="E7411" t="s">
        <v>64</v>
      </c>
      <c r="F7411" t="s">
        <v>65</v>
      </c>
      <c r="G7411" t="s">
        <v>15</v>
      </c>
      <c r="H7411" t="s">
        <v>16</v>
      </c>
      <c r="I7411" s="3">
        <v>64</v>
      </c>
      <c r="J7411" s="2">
        <v>180</v>
      </c>
      <c r="K7411" s="3">
        <f t="shared" si="115"/>
        <v>11520</v>
      </c>
      <c r="L7411" s="3">
        <v>6796.8</v>
      </c>
    </row>
    <row r="7412" spans="1:12" x14ac:dyDescent="0.25">
      <c r="A7412" t="s">
        <v>26</v>
      </c>
      <c r="B7412">
        <v>1185732</v>
      </c>
      <c r="C7412" s="1">
        <v>44517</v>
      </c>
      <c r="D7412" t="s">
        <v>52</v>
      </c>
      <c r="E7412" t="s">
        <v>112</v>
      </c>
      <c r="F7412" t="s">
        <v>113</v>
      </c>
      <c r="G7412" t="s">
        <v>15</v>
      </c>
      <c r="H7412" t="s">
        <v>35</v>
      </c>
      <c r="I7412" s="3">
        <v>22</v>
      </c>
      <c r="J7412" s="2">
        <v>119</v>
      </c>
      <c r="K7412" s="3">
        <f t="shared" si="115"/>
        <v>2618</v>
      </c>
      <c r="L7412" s="3">
        <v>1518.4399999999998</v>
      </c>
    </row>
    <row r="7413" spans="1:12" x14ac:dyDescent="0.25">
      <c r="A7413" t="s">
        <v>23</v>
      </c>
      <c r="B7413">
        <v>1128299</v>
      </c>
      <c r="C7413" s="1">
        <v>44517</v>
      </c>
      <c r="D7413" t="s">
        <v>32</v>
      </c>
      <c r="E7413" t="s">
        <v>33</v>
      </c>
      <c r="F7413" t="s">
        <v>34</v>
      </c>
      <c r="G7413" t="s">
        <v>41</v>
      </c>
      <c r="H7413" t="s">
        <v>37</v>
      </c>
      <c r="I7413" s="3">
        <v>64</v>
      </c>
      <c r="J7413" s="2">
        <v>150</v>
      </c>
      <c r="K7413" s="3">
        <f t="shared" si="115"/>
        <v>9600</v>
      </c>
      <c r="L7413" s="3">
        <v>5472</v>
      </c>
    </row>
    <row r="7414" spans="1:12" x14ac:dyDescent="0.25">
      <c r="A7414" t="s">
        <v>26</v>
      </c>
      <c r="B7414">
        <v>1185732</v>
      </c>
      <c r="C7414" s="1">
        <v>44517</v>
      </c>
      <c r="D7414" t="s">
        <v>52</v>
      </c>
      <c r="E7414" t="s">
        <v>112</v>
      </c>
      <c r="F7414" t="s">
        <v>113</v>
      </c>
      <c r="G7414" t="s">
        <v>15</v>
      </c>
      <c r="H7414" t="s">
        <v>38</v>
      </c>
      <c r="I7414" s="3">
        <v>22</v>
      </c>
      <c r="J7414" s="2">
        <v>206</v>
      </c>
      <c r="K7414" s="3">
        <f t="shared" si="115"/>
        <v>4532</v>
      </c>
      <c r="L7414" s="3">
        <v>2537.92</v>
      </c>
    </row>
    <row r="7415" spans="1:12" x14ac:dyDescent="0.25">
      <c r="A7415" t="s">
        <v>26</v>
      </c>
      <c r="B7415">
        <v>1185732</v>
      </c>
      <c r="C7415" s="1">
        <v>44517</v>
      </c>
      <c r="D7415" t="s">
        <v>52</v>
      </c>
      <c r="E7415" t="s">
        <v>112</v>
      </c>
      <c r="F7415" t="s">
        <v>113</v>
      </c>
      <c r="G7415" t="s">
        <v>15</v>
      </c>
      <c r="H7415" t="s">
        <v>37</v>
      </c>
      <c r="I7415" s="3">
        <v>43</v>
      </c>
      <c r="J7415" s="2">
        <v>153</v>
      </c>
      <c r="K7415" s="3">
        <f t="shared" si="115"/>
        <v>6579</v>
      </c>
      <c r="L7415" s="3">
        <v>3684.24</v>
      </c>
    </row>
    <row r="7416" spans="1:12" x14ac:dyDescent="0.25">
      <c r="A7416" t="s">
        <v>26</v>
      </c>
      <c r="B7416">
        <v>1185732</v>
      </c>
      <c r="C7416" s="1">
        <v>44517</v>
      </c>
      <c r="D7416" t="s">
        <v>52</v>
      </c>
      <c r="E7416" t="s">
        <v>112</v>
      </c>
      <c r="F7416" t="s">
        <v>113</v>
      </c>
      <c r="G7416" t="s">
        <v>41</v>
      </c>
      <c r="H7416" t="s">
        <v>17</v>
      </c>
      <c r="I7416" s="3">
        <v>18</v>
      </c>
      <c r="J7416" s="2">
        <v>117</v>
      </c>
      <c r="K7416" s="3">
        <f t="shared" si="115"/>
        <v>2106</v>
      </c>
      <c r="L7416" s="3">
        <v>1158.3000000000002</v>
      </c>
    </row>
    <row r="7417" spans="1:12" x14ac:dyDescent="0.25">
      <c r="A7417" t="s">
        <v>26</v>
      </c>
      <c r="B7417">
        <v>1185732</v>
      </c>
      <c r="C7417" s="1">
        <v>44517</v>
      </c>
      <c r="D7417" t="s">
        <v>52</v>
      </c>
      <c r="E7417" t="s">
        <v>112</v>
      </c>
      <c r="F7417" t="s">
        <v>113</v>
      </c>
      <c r="G7417" t="s">
        <v>41</v>
      </c>
      <c r="H7417" t="s">
        <v>22</v>
      </c>
      <c r="I7417" s="3">
        <v>71</v>
      </c>
      <c r="J7417" s="2">
        <v>123</v>
      </c>
      <c r="K7417" s="3">
        <f t="shared" si="115"/>
        <v>8733</v>
      </c>
      <c r="L7417" s="3">
        <v>4803.1500000000005</v>
      </c>
    </row>
    <row r="7418" spans="1:12" x14ac:dyDescent="0.25">
      <c r="A7418" t="s">
        <v>11</v>
      </c>
      <c r="B7418">
        <v>1128299</v>
      </c>
      <c r="C7418" s="1">
        <v>44517</v>
      </c>
      <c r="D7418" t="s">
        <v>52</v>
      </c>
      <c r="E7418" t="s">
        <v>64</v>
      </c>
      <c r="F7418" t="s">
        <v>65</v>
      </c>
      <c r="G7418" t="s">
        <v>15</v>
      </c>
      <c r="H7418" t="s">
        <v>35</v>
      </c>
      <c r="I7418" s="3">
        <v>30</v>
      </c>
      <c r="J7418" s="2">
        <v>158</v>
      </c>
      <c r="K7418" s="3">
        <f t="shared" si="115"/>
        <v>4740</v>
      </c>
      <c r="L7418" s="3">
        <v>2559.6000000000004</v>
      </c>
    </row>
    <row r="7419" spans="1:12" x14ac:dyDescent="0.25">
      <c r="A7419" t="s">
        <v>19</v>
      </c>
      <c r="B7419">
        <v>1185732</v>
      </c>
      <c r="C7419" s="1">
        <v>44517</v>
      </c>
      <c r="D7419" t="s">
        <v>29</v>
      </c>
      <c r="E7419" t="s">
        <v>55</v>
      </c>
      <c r="F7419" t="s">
        <v>56</v>
      </c>
      <c r="G7419" t="s">
        <v>41</v>
      </c>
      <c r="H7419" t="s">
        <v>35</v>
      </c>
      <c r="I7419" s="3">
        <v>52</v>
      </c>
      <c r="J7419" s="2">
        <v>42</v>
      </c>
      <c r="K7419" s="3">
        <f t="shared" si="115"/>
        <v>2184</v>
      </c>
      <c r="L7419" s="3">
        <v>1179.3600000000001</v>
      </c>
    </row>
    <row r="7420" spans="1:12" x14ac:dyDescent="0.25">
      <c r="A7420" t="s">
        <v>11</v>
      </c>
      <c r="B7420">
        <v>1128299</v>
      </c>
      <c r="C7420" s="1">
        <v>44517</v>
      </c>
      <c r="D7420" t="s">
        <v>52</v>
      </c>
      <c r="E7420" t="s">
        <v>64</v>
      </c>
      <c r="F7420" t="s">
        <v>65</v>
      </c>
      <c r="G7420" t="s">
        <v>15</v>
      </c>
      <c r="H7420" t="s">
        <v>37</v>
      </c>
      <c r="I7420" s="3">
        <v>40</v>
      </c>
      <c r="J7420" s="2">
        <v>155</v>
      </c>
      <c r="K7420" s="3">
        <f t="shared" si="115"/>
        <v>6200</v>
      </c>
      <c r="L7420" s="3">
        <v>3348</v>
      </c>
    </row>
    <row r="7421" spans="1:12" x14ac:dyDescent="0.25">
      <c r="A7421" t="s">
        <v>11</v>
      </c>
      <c r="B7421">
        <v>1128299</v>
      </c>
      <c r="C7421" s="1">
        <v>44517</v>
      </c>
      <c r="D7421" t="s">
        <v>52</v>
      </c>
      <c r="E7421" t="s">
        <v>64</v>
      </c>
      <c r="F7421" t="s">
        <v>65</v>
      </c>
      <c r="G7421" t="s">
        <v>15</v>
      </c>
      <c r="H7421" t="s">
        <v>17</v>
      </c>
      <c r="I7421" s="3">
        <v>35</v>
      </c>
      <c r="J7421" s="2">
        <v>224</v>
      </c>
      <c r="K7421" s="3">
        <f t="shared" si="115"/>
        <v>7840</v>
      </c>
      <c r="L7421" s="3">
        <v>4155.2000000000007</v>
      </c>
    </row>
    <row r="7422" spans="1:12" x14ac:dyDescent="0.25">
      <c r="A7422" t="s">
        <v>11</v>
      </c>
      <c r="B7422">
        <v>1128299</v>
      </c>
      <c r="C7422" s="1">
        <v>44517</v>
      </c>
      <c r="D7422" t="s">
        <v>52</v>
      </c>
      <c r="E7422" t="s">
        <v>64</v>
      </c>
      <c r="F7422" t="s">
        <v>65</v>
      </c>
      <c r="G7422" t="s">
        <v>15</v>
      </c>
      <c r="H7422" t="s">
        <v>38</v>
      </c>
      <c r="I7422" s="3">
        <v>28</v>
      </c>
      <c r="J7422" s="2">
        <v>219</v>
      </c>
      <c r="K7422" s="3">
        <f t="shared" si="115"/>
        <v>6132</v>
      </c>
      <c r="L7422" s="3">
        <v>3249.96</v>
      </c>
    </row>
    <row r="7423" spans="1:12" x14ac:dyDescent="0.25">
      <c r="A7423" t="s">
        <v>11</v>
      </c>
      <c r="B7423">
        <v>1128299</v>
      </c>
      <c r="C7423" s="1">
        <v>44517</v>
      </c>
      <c r="D7423" t="s">
        <v>52</v>
      </c>
      <c r="E7423" t="s">
        <v>64</v>
      </c>
      <c r="F7423" t="s">
        <v>65</v>
      </c>
      <c r="G7423" t="s">
        <v>15</v>
      </c>
      <c r="H7423" t="s">
        <v>22</v>
      </c>
      <c r="I7423" s="3">
        <v>53</v>
      </c>
      <c r="J7423" s="2">
        <v>147</v>
      </c>
      <c r="K7423" s="3">
        <f t="shared" si="115"/>
        <v>7791</v>
      </c>
      <c r="L7423" s="3">
        <v>4129.2299999999996</v>
      </c>
    </row>
    <row r="7424" spans="1:12" x14ac:dyDescent="0.25">
      <c r="A7424" t="s">
        <v>11</v>
      </c>
      <c r="B7424">
        <v>1128299</v>
      </c>
      <c r="C7424" s="1">
        <v>44517</v>
      </c>
      <c r="D7424" t="s">
        <v>52</v>
      </c>
      <c r="E7424" t="s">
        <v>64</v>
      </c>
      <c r="F7424" t="s">
        <v>65</v>
      </c>
      <c r="G7424" t="s">
        <v>41</v>
      </c>
      <c r="H7424" t="s">
        <v>16</v>
      </c>
      <c r="I7424" s="3">
        <v>81</v>
      </c>
      <c r="J7424" s="2">
        <v>174</v>
      </c>
      <c r="K7424" s="3">
        <f t="shared" si="115"/>
        <v>14094</v>
      </c>
      <c r="L7424" s="3">
        <v>7328.88</v>
      </c>
    </row>
    <row r="7425" spans="1:12" x14ac:dyDescent="0.25">
      <c r="A7425" t="s">
        <v>36</v>
      </c>
      <c r="B7425">
        <v>1185732</v>
      </c>
      <c r="C7425" s="1">
        <v>44517</v>
      </c>
      <c r="D7425" t="s">
        <v>29</v>
      </c>
      <c r="E7425" t="s">
        <v>30</v>
      </c>
      <c r="F7425" t="s">
        <v>31</v>
      </c>
      <c r="G7425" t="s">
        <v>41</v>
      </c>
      <c r="H7425" t="s">
        <v>38</v>
      </c>
      <c r="I7425" s="3">
        <v>51</v>
      </c>
      <c r="J7425" s="2">
        <v>143</v>
      </c>
      <c r="K7425" s="3">
        <f t="shared" si="115"/>
        <v>7293</v>
      </c>
      <c r="L7425" s="3">
        <v>3719.4300000000003</v>
      </c>
    </row>
    <row r="7426" spans="1:12" x14ac:dyDescent="0.25">
      <c r="A7426" t="s">
        <v>11</v>
      </c>
      <c r="B7426">
        <v>1128299</v>
      </c>
      <c r="C7426" s="1">
        <v>44517</v>
      </c>
      <c r="D7426" t="s">
        <v>52</v>
      </c>
      <c r="E7426" t="s">
        <v>64</v>
      </c>
      <c r="F7426" t="s">
        <v>65</v>
      </c>
      <c r="G7426" t="s">
        <v>41</v>
      </c>
      <c r="H7426" t="s">
        <v>38</v>
      </c>
      <c r="I7426" s="3">
        <v>39</v>
      </c>
      <c r="J7426" s="2">
        <v>188</v>
      </c>
      <c r="K7426" s="3">
        <f t="shared" si="115"/>
        <v>7332</v>
      </c>
      <c r="L7426" s="3">
        <v>3666</v>
      </c>
    </row>
    <row r="7427" spans="1:12" x14ac:dyDescent="0.25">
      <c r="A7427" t="s">
        <v>11</v>
      </c>
      <c r="B7427">
        <v>1128299</v>
      </c>
      <c r="C7427" s="1">
        <v>44517</v>
      </c>
      <c r="D7427" t="s">
        <v>52</v>
      </c>
      <c r="E7427" t="s">
        <v>64</v>
      </c>
      <c r="F7427" t="s">
        <v>65</v>
      </c>
      <c r="G7427" t="s">
        <v>41</v>
      </c>
      <c r="H7427" t="s">
        <v>37</v>
      </c>
      <c r="I7427" s="3">
        <v>48</v>
      </c>
      <c r="J7427" s="2">
        <v>125</v>
      </c>
      <c r="K7427" s="3">
        <f t="shared" ref="K7427:K7490" si="116">I7427*J7427</f>
        <v>6000</v>
      </c>
      <c r="L7427" s="3">
        <v>3000</v>
      </c>
    </row>
    <row r="7428" spans="1:12" x14ac:dyDescent="0.25">
      <c r="A7428" t="s">
        <v>19</v>
      </c>
      <c r="B7428">
        <v>1185732</v>
      </c>
      <c r="C7428" s="1">
        <v>44517</v>
      </c>
      <c r="D7428" t="s">
        <v>29</v>
      </c>
      <c r="E7428" t="s">
        <v>105</v>
      </c>
      <c r="F7428" t="s">
        <v>47</v>
      </c>
      <c r="G7428" t="s">
        <v>41</v>
      </c>
      <c r="H7428" t="s">
        <v>35</v>
      </c>
      <c r="I7428" s="3">
        <v>32</v>
      </c>
      <c r="J7428" s="2">
        <v>77</v>
      </c>
      <c r="K7428" s="3">
        <f t="shared" si="116"/>
        <v>2464</v>
      </c>
      <c r="L7428" s="3">
        <v>1232</v>
      </c>
    </row>
    <row r="7429" spans="1:12" x14ac:dyDescent="0.25">
      <c r="A7429" t="s">
        <v>23</v>
      </c>
      <c r="B7429">
        <v>1128299</v>
      </c>
      <c r="C7429" s="1">
        <v>44517</v>
      </c>
      <c r="D7429" t="s">
        <v>32</v>
      </c>
      <c r="E7429" t="s">
        <v>33</v>
      </c>
      <c r="F7429" t="s">
        <v>34</v>
      </c>
      <c r="G7429" t="s">
        <v>15</v>
      </c>
      <c r="H7429" t="s">
        <v>16</v>
      </c>
      <c r="I7429" s="3">
        <v>66</v>
      </c>
      <c r="J7429" s="2">
        <v>198</v>
      </c>
      <c r="K7429" s="3">
        <f t="shared" si="116"/>
        <v>13068</v>
      </c>
      <c r="L7429" s="3">
        <v>6534</v>
      </c>
    </row>
    <row r="7430" spans="1:12" x14ac:dyDescent="0.25">
      <c r="A7430" t="s">
        <v>19</v>
      </c>
      <c r="B7430">
        <v>1185732</v>
      </c>
      <c r="C7430" s="1">
        <v>44517</v>
      </c>
      <c r="D7430" t="s">
        <v>29</v>
      </c>
      <c r="E7430" t="s">
        <v>105</v>
      </c>
      <c r="F7430" t="s">
        <v>47</v>
      </c>
      <c r="G7430" t="s">
        <v>41</v>
      </c>
      <c r="H7430" t="s">
        <v>16</v>
      </c>
      <c r="I7430" s="3">
        <v>64</v>
      </c>
      <c r="J7430" s="2">
        <v>100</v>
      </c>
      <c r="K7430" s="3">
        <f t="shared" si="116"/>
        <v>6400</v>
      </c>
      <c r="L7430" s="3">
        <v>3136</v>
      </c>
    </row>
    <row r="7431" spans="1:12" x14ac:dyDescent="0.25">
      <c r="A7431" t="s">
        <v>11</v>
      </c>
      <c r="B7431">
        <v>1128299</v>
      </c>
      <c r="C7431" s="1">
        <v>44517</v>
      </c>
      <c r="D7431" t="s">
        <v>52</v>
      </c>
      <c r="E7431" t="s">
        <v>64</v>
      </c>
      <c r="F7431" t="s">
        <v>65</v>
      </c>
      <c r="G7431" t="s">
        <v>41</v>
      </c>
      <c r="H7431" t="s">
        <v>17</v>
      </c>
      <c r="I7431" s="3">
        <v>42</v>
      </c>
      <c r="J7431" s="2">
        <v>210</v>
      </c>
      <c r="K7431" s="3">
        <f t="shared" si="116"/>
        <v>8820</v>
      </c>
      <c r="L7431" s="3">
        <v>4233.5999999999995</v>
      </c>
    </row>
    <row r="7432" spans="1:12" x14ac:dyDescent="0.25">
      <c r="A7432" t="s">
        <v>11</v>
      </c>
      <c r="B7432">
        <v>1128299</v>
      </c>
      <c r="C7432" s="1">
        <v>44517</v>
      </c>
      <c r="D7432" t="s">
        <v>52</v>
      </c>
      <c r="E7432" t="s">
        <v>64</v>
      </c>
      <c r="F7432" t="s">
        <v>65</v>
      </c>
      <c r="G7432" t="s">
        <v>41</v>
      </c>
      <c r="H7432" t="s">
        <v>35</v>
      </c>
      <c r="I7432" s="3">
        <v>38</v>
      </c>
      <c r="J7432" s="2">
        <v>137</v>
      </c>
      <c r="K7432" s="3">
        <f t="shared" si="116"/>
        <v>5206</v>
      </c>
      <c r="L7432" s="3">
        <v>2498.88</v>
      </c>
    </row>
    <row r="7433" spans="1:12" x14ac:dyDescent="0.25">
      <c r="A7433" t="s">
        <v>19</v>
      </c>
      <c r="B7433">
        <v>1185732</v>
      </c>
      <c r="C7433" s="1">
        <v>44517</v>
      </c>
      <c r="D7433" t="s">
        <v>29</v>
      </c>
      <c r="E7433" t="s">
        <v>105</v>
      </c>
      <c r="F7433" t="s">
        <v>47</v>
      </c>
      <c r="G7433" t="s">
        <v>41</v>
      </c>
      <c r="H7433" t="s">
        <v>38</v>
      </c>
      <c r="I7433" s="3">
        <v>44</v>
      </c>
      <c r="J7433" s="2">
        <v>117</v>
      </c>
      <c r="K7433" s="3">
        <f t="shared" si="116"/>
        <v>5148</v>
      </c>
      <c r="L7433" s="3">
        <v>2471.04</v>
      </c>
    </row>
    <row r="7434" spans="1:12" x14ac:dyDescent="0.25">
      <c r="A7434" t="s">
        <v>26</v>
      </c>
      <c r="B7434">
        <v>1185732</v>
      </c>
      <c r="C7434" s="1">
        <v>44517</v>
      </c>
      <c r="D7434" t="s">
        <v>52</v>
      </c>
      <c r="E7434" t="s">
        <v>112</v>
      </c>
      <c r="F7434" t="s">
        <v>113</v>
      </c>
      <c r="G7434" t="s">
        <v>41</v>
      </c>
      <c r="H7434" t="s">
        <v>37</v>
      </c>
      <c r="I7434" s="3">
        <v>54</v>
      </c>
      <c r="J7434" s="2">
        <v>117</v>
      </c>
      <c r="K7434" s="3">
        <f t="shared" si="116"/>
        <v>6318</v>
      </c>
      <c r="L7434" s="3">
        <v>2969.46</v>
      </c>
    </row>
    <row r="7435" spans="1:12" x14ac:dyDescent="0.25">
      <c r="A7435" t="s">
        <v>19</v>
      </c>
      <c r="B7435">
        <v>1185732</v>
      </c>
      <c r="C7435" s="1">
        <v>44517</v>
      </c>
      <c r="D7435" t="s">
        <v>29</v>
      </c>
      <c r="E7435" t="s">
        <v>105</v>
      </c>
      <c r="F7435" t="s">
        <v>47</v>
      </c>
      <c r="G7435" t="s">
        <v>41</v>
      </c>
      <c r="H7435" t="s">
        <v>17</v>
      </c>
      <c r="I7435" s="3">
        <v>33</v>
      </c>
      <c r="J7435" s="2">
        <v>95</v>
      </c>
      <c r="K7435" s="3">
        <f t="shared" si="116"/>
        <v>3135</v>
      </c>
      <c r="L7435" s="3">
        <v>1473.4499999999998</v>
      </c>
    </row>
    <row r="7436" spans="1:12" x14ac:dyDescent="0.25">
      <c r="A7436" t="s">
        <v>19</v>
      </c>
      <c r="B7436">
        <v>1185732</v>
      </c>
      <c r="C7436" s="1">
        <v>44517</v>
      </c>
      <c r="D7436" t="s">
        <v>29</v>
      </c>
      <c r="E7436" t="s">
        <v>105</v>
      </c>
      <c r="F7436" t="s">
        <v>47</v>
      </c>
      <c r="G7436" t="s">
        <v>41</v>
      </c>
      <c r="H7436" t="s">
        <v>22</v>
      </c>
      <c r="I7436" s="3">
        <v>62</v>
      </c>
      <c r="J7436" s="2">
        <v>78</v>
      </c>
      <c r="K7436" s="3">
        <f t="shared" si="116"/>
        <v>4836</v>
      </c>
      <c r="L7436" s="3">
        <v>2272.92</v>
      </c>
    </row>
    <row r="7437" spans="1:12" x14ac:dyDescent="0.25">
      <c r="A7437" t="s">
        <v>26</v>
      </c>
      <c r="B7437">
        <v>1185732</v>
      </c>
      <c r="C7437" s="1">
        <v>44517</v>
      </c>
      <c r="D7437" t="s">
        <v>52</v>
      </c>
      <c r="E7437" t="s">
        <v>112</v>
      </c>
      <c r="F7437" t="s">
        <v>113</v>
      </c>
      <c r="G7437" t="s">
        <v>41</v>
      </c>
      <c r="H7437" t="s">
        <v>38</v>
      </c>
      <c r="I7437" s="3">
        <v>28</v>
      </c>
      <c r="J7437" s="2">
        <v>163</v>
      </c>
      <c r="K7437" s="3">
        <f t="shared" si="116"/>
        <v>4564</v>
      </c>
      <c r="L7437" s="3">
        <v>2099.44</v>
      </c>
    </row>
    <row r="7438" spans="1:12" x14ac:dyDescent="0.25">
      <c r="A7438" t="s">
        <v>26</v>
      </c>
      <c r="B7438">
        <v>1185732</v>
      </c>
      <c r="C7438" s="1">
        <v>44517</v>
      </c>
      <c r="D7438" t="s">
        <v>52</v>
      </c>
      <c r="E7438" t="s">
        <v>112</v>
      </c>
      <c r="F7438" t="s">
        <v>113</v>
      </c>
      <c r="G7438" t="s">
        <v>41</v>
      </c>
      <c r="H7438" t="s">
        <v>35</v>
      </c>
      <c r="I7438" s="3">
        <v>28</v>
      </c>
      <c r="J7438" s="2">
        <v>111</v>
      </c>
      <c r="K7438" s="3">
        <f t="shared" si="116"/>
        <v>3108</v>
      </c>
      <c r="L7438" s="3">
        <v>1429.6799999999998</v>
      </c>
    </row>
    <row r="7439" spans="1:12" x14ac:dyDescent="0.25">
      <c r="A7439" t="s">
        <v>11</v>
      </c>
      <c r="B7439">
        <v>1128299</v>
      </c>
      <c r="C7439" s="1">
        <v>44517</v>
      </c>
      <c r="D7439" t="s">
        <v>52</v>
      </c>
      <c r="E7439" t="s">
        <v>64</v>
      </c>
      <c r="F7439" t="s">
        <v>65</v>
      </c>
      <c r="G7439" t="s">
        <v>41</v>
      </c>
      <c r="H7439" t="s">
        <v>22</v>
      </c>
      <c r="I7439" s="3">
        <v>68</v>
      </c>
      <c r="J7439" s="2">
        <v>119</v>
      </c>
      <c r="K7439" s="3">
        <f t="shared" si="116"/>
        <v>8092</v>
      </c>
      <c r="L7439" s="3">
        <v>3641.3999999999996</v>
      </c>
    </row>
    <row r="7440" spans="1:12" x14ac:dyDescent="0.25">
      <c r="A7440" t="s">
        <v>19</v>
      </c>
      <c r="B7440">
        <v>1185732</v>
      </c>
      <c r="C7440" s="1">
        <v>44517</v>
      </c>
      <c r="D7440" t="s">
        <v>29</v>
      </c>
      <c r="E7440" t="s">
        <v>105</v>
      </c>
      <c r="F7440" t="s">
        <v>47</v>
      </c>
      <c r="G7440" t="s">
        <v>41</v>
      </c>
      <c r="H7440" t="s">
        <v>37</v>
      </c>
      <c r="I7440" s="3">
        <v>38</v>
      </c>
      <c r="J7440" s="2">
        <v>91</v>
      </c>
      <c r="K7440" s="3">
        <f t="shared" si="116"/>
        <v>3458</v>
      </c>
      <c r="L7440" s="3">
        <v>1556.1</v>
      </c>
    </row>
    <row r="7441" spans="1:12" x14ac:dyDescent="0.25">
      <c r="A7441" t="s">
        <v>26</v>
      </c>
      <c r="B7441">
        <v>1185732</v>
      </c>
      <c r="C7441" s="1">
        <v>44517</v>
      </c>
      <c r="D7441" t="s">
        <v>52</v>
      </c>
      <c r="E7441" t="s">
        <v>112</v>
      </c>
      <c r="F7441" t="s">
        <v>113</v>
      </c>
      <c r="G7441" t="s">
        <v>15</v>
      </c>
      <c r="H7441" t="s">
        <v>16</v>
      </c>
      <c r="I7441" s="3">
        <v>51</v>
      </c>
      <c r="J7441" s="2">
        <v>168</v>
      </c>
      <c r="K7441" s="3">
        <f t="shared" si="116"/>
        <v>8568</v>
      </c>
      <c r="L7441" s="3">
        <v>3684.24</v>
      </c>
    </row>
    <row r="7442" spans="1:12" x14ac:dyDescent="0.25">
      <c r="A7442" t="s">
        <v>23</v>
      </c>
      <c r="B7442">
        <v>1128299</v>
      </c>
      <c r="C7442" s="1">
        <v>44517</v>
      </c>
      <c r="D7442" t="s">
        <v>32</v>
      </c>
      <c r="E7442" t="s">
        <v>33</v>
      </c>
      <c r="F7442" t="s">
        <v>34</v>
      </c>
      <c r="G7442" t="s">
        <v>41</v>
      </c>
      <c r="H7442" t="s">
        <v>16</v>
      </c>
      <c r="I7442" s="3">
        <v>86</v>
      </c>
      <c r="J7442" s="2">
        <v>162</v>
      </c>
      <c r="K7442" s="3">
        <f t="shared" si="116"/>
        <v>13932</v>
      </c>
      <c r="L7442" s="3">
        <v>5712.119999999999</v>
      </c>
    </row>
    <row r="7443" spans="1:12" x14ac:dyDescent="0.25">
      <c r="A7443" t="s">
        <v>26</v>
      </c>
      <c r="B7443">
        <v>1185732</v>
      </c>
      <c r="C7443" s="1">
        <v>44517</v>
      </c>
      <c r="D7443" t="s">
        <v>52</v>
      </c>
      <c r="E7443" t="s">
        <v>112</v>
      </c>
      <c r="F7443" t="s">
        <v>113</v>
      </c>
      <c r="G7443" t="s">
        <v>41</v>
      </c>
      <c r="H7443" t="s">
        <v>16</v>
      </c>
      <c r="I7443" s="3">
        <v>68</v>
      </c>
      <c r="J7443" s="2">
        <v>158</v>
      </c>
      <c r="K7443" s="3">
        <f t="shared" si="116"/>
        <v>10744</v>
      </c>
      <c r="L7443" s="3">
        <v>4190.16</v>
      </c>
    </row>
    <row r="7444" spans="1:12" x14ac:dyDescent="0.25">
      <c r="A7444" t="s">
        <v>36</v>
      </c>
      <c r="B7444">
        <v>1185732</v>
      </c>
      <c r="C7444" s="1">
        <v>44518</v>
      </c>
      <c r="D7444" t="s">
        <v>29</v>
      </c>
      <c r="E7444" t="s">
        <v>30</v>
      </c>
      <c r="F7444" t="s">
        <v>31</v>
      </c>
      <c r="G7444" t="s">
        <v>15</v>
      </c>
      <c r="H7444" t="s">
        <v>22</v>
      </c>
      <c r="I7444" s="3">
        <v>65</v>
      </c>
      <c r="J7444" s="2">
        <v>150</v>
      </c>
      <c r="K7444" s="3">
        <f t="shared" si="116"/>
        <v>9750</v>
      </c>
      <c r="L7444" s="3">
        <v>7312.5</v>
      </c>
    </row>
    <row r="7445" spans="1:12" x14ac:dyDescent="0.25">
      <c r="A7445" t="s">
        <v>19</v>
      </c>
      <c r="B7445">
        <v>1185732</v>
      </c>
      <c r="C7445" s="1">
        <v>44518</v>
      </c>
      <c r="D7445" t="s">
        <v>29</v>
      </c>
      <c r="E7445" t="s">
        <v>68</v>
      </c>
      <c r="F7445" t="s">
        <v>69</v>
      </c>
      <c r="G7445" t="s">
        <v>15</v>
      </c>
      <c r="H7445" t="s">
        <v>35</v>
      </c>
      <c r="I7445" s="3">
        <v>65.000000000000014</v>
      </c>
      <c r="J7445" s="2">
        <v>345</v>
      </c>
      <c r="K7445" s="3">
        <f t="shared" si="116"/>
        <v>22425.000000000004</v>
      </c>
      <c r="L7445" s="3">
        <v>15697.500000000005</v>
      </c>
    </row>
    <row r="7446" spans="1:12" x14ac:dyDescent="0.25">
      <c r="A7446" t="s">
        <v>19</v>
      </c>
      <c r="B7446">
        <v>1185732</v>
      </c>
      <c r="C7446" s="1">
        <v>44518</v>
      </c>
      <c r="D7446" t="s">
        <v>29</v>
      </c>
      <c r="E7446" t="s">
        <v>68</v>
      </c>
      <c r="F7446" t="s">
        <v>69</v>
      </c>
      <c r="G7446" t="s">
        <v>15</v>
      </c>
      <c r="H7446" t="s">
        <v>37</v>
      </c>
      <c r="I7446" s="3">
        <v>65.000000000000014</v>
      </c>
      <c r="J7446" s="2">
        <v>325</v>
      </c>
      <c r="K7446" s="3">
        <f t="shared" si="116"/>
        <v>21125.000000000004</v>
      </c>
      <c r="L7446" s="3">
        <v>14787.500000000005</v>
      </c>
    </row>
    <row r="7447" spans="1:12" x14ac:dyDescent="0.25">
      <c r="A7447" t="s">
        <v>36</v>
      </c>
      <c r="B7447">
        <v>1185732</v>
      </c>
      <c r="C7447" s="1">
        <v>44518</v>
      </c>
      <c r="D7447" t="s">
        <v>29</v>
      </c>
      <c r="E7447" t="s">
        <v>30</v>
      </c>
      <c r="F7447" t="s">
        <v>31</v>
      </c>
      <c r="G7447" t="s">
        <v>15</v>
      </c>
      <c r="H7447" t="s">
        <v>37</v>
      </c>
      <c r="I7447" s="3">
        <v>55.000000000000007</v>
      </c>
      <c r="J7447" s="2">
        <v>175</v>
      </c>
      <c r="K7447" s="3">
        <f t="shared" si="116"/>
        <v>9625.0000000000018</v>
      </c>
      <c r="L7447" s="3">
        <v>6737.5000000000018</v>
      </c>
    </row>
    <row r="7448" spans="1:12" x14ac:dyDescent="0.25">
      <c r="A7448" t="s">
        <v>19</v>
      </c>
      <c r="B7448">
        <v>1185732</v>
      </c>
      <c r="C7448" s="1">
        <v>44518</v>
      </c>
      <c r="D7448" t="s">
        <v>29</v>
      </c>
      <c r="E7448" t="s">
        <v>68</v>
      </c>
      <c r="F7448" t="s">
        <v>69</v>
      </c>
      <c r="G7448" t="s">
        <v>15</v>
      </c>
      <c r="H7448" t="s">
        <v>22</v>
      </c>
      <c r="I7448" s="3">
        <v>75.000000000000014</v>
      </c>
      <c r="J7448" s="2">
        <v>300</v>
      </c>
      <c r="K7448" s="3">
        <f t="shared" si="116"/>
        <v>22500.000000000004</v>
      </c>
      <c r="L7448" s="3">
        <v>15750.000000000004</v>
      </c>
    </row>
    <row r="7449" spans="1:12" x14ac:dyDescent="0.25">
      <c r="A7449" t="s">
        <v>19</v>
      </c>
      <c r="B7449">
        <v>1185732</v>
      </c>
      <c r="C7449" s="1">
        <v>44518</v>
      </c>
      <c r="D7449" t="s">
        <v>57</v>
      </c>
      <c r="E7449" t="s">
        <v>106</v>
      </c>
      <c r="F7449" t="s">
        <v>107</v>
      </c>
      <c r="G7449" t="s">
        <v>18</v>
      </c>
      <c r="H7449" t="s">
        <v>17</v>
      </c>
      <c r="I7449" s="3">
        <v>25.000000000000007</v>
      </c>
      <c r="J7449" s="2">
        <v>350</v>
      </c>
      <c r="K7449" s="3">
        <f t="shared" si="116"/>
        <v>8750.0000000000018</v>
      </c>
      <c r="L7449" s="3">
        <v>5687.5000000000018</v>
      </c>
    </row>
    <row r="7450" spans="1:12" x14ac:dyDescent="0.25">
      <c r="A7450" t="s">
        <v>19</v>
      </c>
      <c r="B7450">
        <v>1185732</v>
      </c>
      <c r="C7450" s="1">
        <v>44518</v>
      </c>
      <c r="D7450" t="s">
        <v>57</v>
      </c>
      <c r="E7450" t="s">
        <v>106</v>
      </c>
      <c r="F7450" t="s">
        <v>107</v>
      </c>
      <c r="G7450" t="s">
        <v>18</v>
      </c>
      <c r="H7450" t="s">
        <v>35</v>
      </c>
      <c r="I7450" s="3">
        <v>25.000000000000007</v>
      </c>
      <c r="J7450" s="2">
        <v>295</v>
      </c>
      <c r="K7450" s="3">
        <f t="shared" si="116"/>
        <v>7375.0000000000018</v>
      </c>
      <c r="L7450" s="3">
        <v>4793.7500000000018</v>
      </c>
    </row>
    <row r="7451" spans="1:12" x14ac:dyDescent="0.25">
      <c r="A7451" t="s">
        <v>19</v>
      </c>
      <c r="B7451">
        <v>1185732</v>
      </c>
      <c r="C7451" s="1">
        <v>44518</v>
      </c>
      <c r="D7451" t="s">
        <v>29</v>
      </c>
      <c r="E7451" t="s">
        <v>55</v>
      </c>
      <c r="F7451" t="s">
        <v>56</v>
      </c>
      <c r="G7451" t="s">
        <v>15</v>
      </c>
      <c r="H7451" t="s">
        <v>37</v>
      </c>
      <c r="I7451" s="3">
        <v>55.000000000000007</v>
      </c>
      <c r="J7451" s="2">
        <v>100</v>
      </c>
      <c r="K7451" s="3">
        <f t="shared" si="116"/>
        <v>5500.0000000000009</v>
      </c>
      <c r="L7451" s="3">
        <v>3575.0000000000009</v>
      </c>
    </row>
    <row r="7452" spans="1:12" x14ac:dyDescent="0.25">
      <c r="A7452" t="s">
        <v>36</v>
      </c>
      <c r="B7452">
        <v>1185732</v>
      </c>
      <c r="C7452" s="1">
        <v>44518</v>
      </c>
      <c r="D7452" t="s">
        <v>29</v>
      </c>
      <c r="E7452" t="s">
        <v>30</v>
      </c>
      <c r="F7452" t="s">
        <v>31</v>
      </c>
      <c r="G7452" t="s">
        <v>15</v>
      </c>
      <c r="H7452" t="s">
        <v>17</v>
      </c>
      <c r="I7452" s="3">
        <v>50</v>
      </c>
      <c r="J7452" s="2">
        <v>300</v>
      </c>
      <c r="K7452" s="3">
        <f t="shared" si="116"/>
        <v>15000</v>
      </c>
      <c r="L7452" s="3">
        <v>9750</v>
      </c>
    </row>
    <row r="7453" spans="1:12" x14ac:dyDescent="0.25">
      <c r="A7453" t="s">
        <v>36</v>
      </c>
      <c r="B7453">
        <v>1185732</v>
      </c>
      <c r="C7453" s="1">
        <v>44518</v>
      </c>
      <c r="D7453" t="s">
        <v>29</v>
      </c>
      <c r="E7453" t="s">
        <v>30</v>
      </c>
      <c r="F7453" t="s">
        <v>31</v>
      </c>
      <c r="G7453" t="s">
        <v>15</v>
      </c>
      <c r="H7453" t="s">
        <v>38</v>
      </c>
      <c r="I7453" s="3">
        <v>65</v>
      </c>
      <c r="J7453" s="2">
        <v>375</v>
      </c>
      <c r="K7453" s="3">
        <f t="shared" si="116"/>
        <v>24375</v>
      </c>
      <c r="L7453" s="3">
        <v>15843.75</v>
      </c>
    </row>
    <row r="7454" spans="1:12" x14ac:dyDescent="0.25">
      <c r="A7454" t="s">
        <v>36</v>
      </c>
      <c r="B7454">
        <v>1185732</v>
      </c>
      <c r="C7454" s="1">
        <v>44518</v>
      </c>
      <c r="D7454" t="s">
        <v>29</v>
      </c>
      <c r="E7454" t="s">
        <v>30</v>
      </c>
      <c r="F7454" t="s">
        <v>31</v>
      </c>
      <c r="G7454" t="s">
        <v>15</v>
      </c>
      <c r="H7454" t="s">
        <v>17</v>
      </c>
      <c r="I7454" s="3">
        <v>55.000000000000007</v>
      </c>
      <c r="J7454" s="2">
        <v>200</v>
      </c>
      <c r="K7454" s="3">
        <f t="shared" si="116"/>
        <v>11000.000000000002</v>
      </c>
      <c r="L7454" s="3">
        <v>7150.0000000000018</v>
      </c>
    </row>
    <row r="7455" spans="1:12" x14ac:dyDescent="0.25">
      <c r="A7455" t="s">
        <v>19</v>
      </c>
      <c r="B7455">
        <v>1185732</v>
      </c>
      <c r="C7455" s="1">
        <v>44518</v>
      </c>
      <c r="D7455" t="s">
        <v>57</v>
      </c>
      <c r="E7455" t="s">
        <v>106</v>
      </c>
      <c r="F7455" t="s">
        <v>107</v>
      </c>
      <c r="G7455" t="s">
        <v>18</v>
      </c>
      <c r="H7455" t="s">
        <v>22</v>
      </c>
      <c r="I7455" s="3">
        <v>44.999999999999993</v>
      </c>
      <c r="J7455" s="2">
        <v>300</v>
      </c>
      <c r="K7455" s="3">
        <f t="shared" si="116"/>
        <v>13499.999999999998</v>
      </c>
      <c r="L7455" s="3">
        <v>8774.9999999999982</v>
      </c>
    </row>
    <row r="7456" spans="1:12" x14ac:dyDescent="0.25">
      <c r="A7456" t="s">
        <v>19</v>
      </c>
      <c r="B7456">
        <v>1185732</v>
      </c>
      <c r="C7456" s="1">
        <v>44518</v>
      </c>
      <c r="D7456" t="s">
        <v>29</v>
      </c>
      <c r="E7456" t="s">
        <v>68</v>
      </c>
      <c r="F7456" t="s">
        <v>69</v>
      </c>
      <c r="G7456" t="s">
        <v>15</v>
      </c>
      <c r="H7456" t="s">
        <v>16</v>
      </c>
      <c r="I7456" s="3">
        <v>80</v>
      </c>
      <c r="J7456" s="2">
        <v>400</v>
      </c>
      <c r="K7456" s="3">
        <f t="shared" si="116"/>
        <v>32000</v>
      </c>
      <c r="L7456" s="3">
        <v>20800</v>
      </c>
    </row>
    <row r="7457" spans="1:12" x14ac:dyDescent="0.25">
      <c r="A7457" t="s">
        <v>36</v>
      </c>
      <c r="B7457">
        <v>1185732</v>
      </c>
      <c r="C7457" s="1">
        <v>44518</v>
      </c>
      <c r="D7457" t="s">
        <v>29</v>
      </c>
      <c r="E7457" t="s">
        <v>30</v>
      </c>
      <c r="F7457" t="s">
        <v>31</v>
      </c>
      <c r="G7457" t="s">
        <v>15</v>
      </c>
      <c r="H7457" t="s">
        <v>35</v>
      </c>
      <c r="I7457" s="3">
        <v>55.000000000000007</v>
      </c>
      <c r="J7457" s="2">
        <v>195</v>
      </c>
      <c r="K7457" s="3">
        <f t="shared" si="116"/>
        <v>10725.000000000002</v>
      </c>
      <c r="L7457" s="3">
        <v>6435.0000000000018</v>
      </c>
    </row>
    <row r="7458" spans="1:12" x14ac:dyDescent="0.25">
      <c r="A7458" t="s">
        <v>19</v>
      </c>
      <c r="B7458">
        <v>1185732</v>
      </c>
      <c r="C7458" s="1">
        <v>44518</v>
      </c>
      <c r="D7458" t="s">
        <v>29</v>
      </c>
      <c r="E7458" t="s">
        <v>68</v>
      </c>
      <c r="F7458" t="s">
        <v>69</v>
      </c>
      <c r="G7458" t="s">
        <v>15</v>
      </c>
      <c r="H7458" t="s">
        <v>17</v>
      </c>
      <c r="I7458" s="3">
        <v>65.000000000000014</v>
      </c>
      <c r="J7458" s="2">
        <v>325</v>
      </c>
      <c r="K7458" s="3">
        <f t="shared" si="116"/>
        <v>21125.000000000004</v>
      </c>
      <c r="L7458" s="3">
        <v>12675.000000000004</v>
      </c>
    </row>
    <row r="7459" spans="1:12" x14ac:dyDescent="0.25">
      <c r="A7459" t="s">
        <v>36</v>
      </c>
      <c r="B7459">
        <v>1185732</v>
      </c>
      <c r="C7459" s="1">
        <v>44518</v>
      </c>
      <c r="D7459" t="s">
        <v>29</v>
      </c>
      <c r="E7459" t="s">
        <v>30</v>
      </c>
      <c r="F7459" t="s">
        <v>31</v>
      </c>
      <c r="G7459" t="s">
        <v>15</v>
      </c>
      <c r="H7459" t="s">
        <v>16</v>
      </c>
      <c r="I7459" s="3">
        <v>70</v>
      </c>
      <c r="J7459" s="2">
        <v>250</v>
      </c>
      <c r="K7459" s="3">
        <f t="shared" si="116"/>
        <v>17500</v>
      </c>
      <c r="L7459" s="3">
        <v>10500</v>
      </c>
    </row>
    <row r="7460" spans="1:12" x14ac:dyDescent="0.25">
      <c r="A7460" t="s">
        <v>19</v>
      </c>
      <c r="B7460">
        <v>1185732</v>
      </c>
      <c r="C7460" s="1">
        <v>44518</v>
      </c>
      <c r="D7460" t="s">
        <v>57</v>
      </c>
      <c r="E7460" t="s">
        <v>106</v>
      </c>
      <c r="F7460" t="s">
        <v>107</v>
      </c>
      <c r="G7460" t="s">
        <v>18</v>
      </c>
      <c r="H7460" t="s">
        <v>38</v>
      </c>
      <c r="I7460" s="3">
        <v>35</v>
      </c>
      <c r="J7460" s="2">
        <v>500</v>
      </c>
      <c r="K7460" s="3">
        <f t="shared" si="116"/>
        <v>17500</v>
      </c>
      <c r="L7460" s="3">
        <v>10500</v>
      </c>
    </row>
    <row r="7461" spans="1:12" x14ac:dyDescent="0.25">
      <c r="A7461" t="s">
        <v>19</v>
      </c>
      <c r="B7461">
        <v>1185732</v>
      </c>
      <c r="C7461" s="1">
        <v>44518</v>
      </c>
      <c r="D7461" t="s">
        <v>57</v>
      </c>
      <c r="E7461" t="s">
        <v>106</v>
      </c>
      <c r="F7461" t="s">
        <v>107</v>
      </c>
      <c r="G7461" t="s">
        <v>18</v>
      </c>
      <c r="H7461" t="s">
        <v>37</v>
      </c>
      <c r="I7461" s="3">
        <v>25.000000000000007</v>
      </c>
      <c r="J7461" s="2">
        <v>325</v>
      </c>
      <c r="K7461" s="3">
        <f t="shared" si="116"/>
        <v>8125.0000000000027</v>
      </c>
      <c r="L7461" s="3">
        <v>4875.0000000000018</v>
      </c>
    </row>
    <row r="7462" spans="1:12" x14ac:dyDescent="0.25">
      <c r="A7462" t="s">
        <v>19</v>
      </c>
      <c r="B7462">
        <v>1185732</v>
      </c>
      <c r="C7462" s="1">
        <v>44518</v>
      </c>
      <c r="D7462" t="s">
        <v>29</v>
      </c>
      <c r="E7462" t="s">
        <v>68</v>
      </c>
      <c r="F7462" t="s">
        <v>69</v>
      </c>
      <c r="G7462" t="s">
        <v>15</v>
      </c>
      <c r="H7462" t="s">
        <v>38</v>
      </c>
      <c r="I7462" s="3">
        <v>75.000000000000014</v>
      </c>
      <c r="J7462" s="2">
        <v>450</v>
      </c>
      <c r="K7462" s="3">
        <f t="shared" si="116"/>
        <v>33750.000000000007</v>
      </c>
      <c r="L7462" s="3">
        <v>20250.000000000004</v>
      </c>
    </row>
    <row r="7463" spans="1:12" x14ac:dyDescent="0.25">
      <c r="A7463" t="s">
        <v>19</v>
      </c>
      <c r="B7463">
        <v>1185732</v>
      </c>
      <c r="C7463" s="1">
        <v>44518</v>
      </c>
      <c r="D7463" t="s">
        <v>57</v>
      </c>
      <c r="E7463" t="s">
        <v>106</v>
      </c>
      <c r="F7463" t="s">
        <v>107</v>
      </c>
      <c r="G7463" t="s">
        <v>18</v>
      </c>
      <c r="H7463" t="s">
        <v>16</v>
      </c>
      <c r="I7463" s="3">
        <v>49.999999999999986</v>
      </c>
      <c r="J7463" s="2">
        <v>400</v>
      </c>
      <c r="K7463" s="3">
        <f t="shared" si="116"/>
        <v>19999.999999999993</v>
      </c>
      <c r="L7463" s="3">
        <v>9999.9999999999964</v>
      </c>
    </row>
    <row r="7464" spans="1:12" x14ac:dyDescent="0.25">
      <c r="A7464" t="s">
        <v>19</v>
      </c>
      <c r="B7464">
        <v>1185732</v>
      </c>
      <c r="C7464" s="1">
        <v>44518</v>
      </c>
      <c r="D7464" t="s">
        <v>29</v>
      </c>
      <c r="E7464" t="s">
        <v>68</v>
      </c>
      <c r="F7464" t="s">
        <v>69</v>
      </c>
      <c r="G7464" t="s">
        <v>15</v>
      </c>
      <c r="H7464" t="s">
        <v>37</v>
      </c>
      <c r="I7464" s="3">
        <v>43</v>
      </c>
      <c r="J7464" s="2">
        <v>114</v>
      </c>
      <c r="K7464" s="3">
        <f t="shared" si="116"/>
        <v>4902</v>
      </c>
      <c r="L7464" s="3">
        <v>3235.32</v>
      </c>
    </row>
    <row r="7465" spans="1:12" x14ac:dyDescent="0.25">
      <c r="A7465" t="s">
        <v>19</v>
      </c>
      <c r="B7465">
        <v>1185732</v>
      </c>
      <c r="C7465" s="1">
        <v>44518</v>
      </c>
      <c r="D7465" t="s">
        <v>29</v>
      </c>
      <c r="E7465" t="s">
        <v>68</v>
      </c>
      <c r="F7465" t="s">
        <v>69</v>
      </c>
      <c r="G7465" t="s">
        <v>15</v>
      </c>
      <c r="H7465" t="s">
        <v>22</v>
      </c>
      <c r="I7465" s="3">
        <v>59</v>
      </c>
      <c r="J7465" s="2">
        <v>96</v>
      </c>
      <c r="K7465" s="3">
        <f t="shared" si="116"/>
        <v>5664</v>
      </c>
      <c r="L7465" s="3">
        <v>3738.2400000000002</v>
      </c>
    </row>
    <row r="7466" spans="1:12" x14ac:dyDescent="0.25">
      <c r="A7466" t="s">
        <v>19</v>
      </c>
      <c r="B7466">
        <v>1185732</v>
      </c>
      <c r="C7466" s="1">
        <v>44518</v>
      </c>
      <c r="D7466" t="s">
        <v>29</v>
      </c>
      <c r="E7466" t="s">
        <v>68</v>
      </c>
      <c r="F7466" t="s">
        <v>69</v>
      </c>
      <c r="G7466" t="s">
        <v>15</v>
      </c>
      <c r="H7466" t="s">
        <v>35</v>
      </c>
      <c r="I7466" s="3">
        <v>51</v>
      </c>
      <c r="J7466" s="2">
        <v>114</v>
      </c>
      <c r="K7466" s="3">
        <f t="shared" si="116"/>
        <v>5814</v>
      </c>
      <c r="L7466" s="3">
        <v>3779.1000000000004</v>
      </c>
    </row>
    <row r="7467" spans="1:12" x14ac:dyDescent="0.25">
      <c r="A7467" t="s">
        <v>36</v>
      </c>
      <c r="B7467">
        <v>1185732</v>
      </c>
      <c r="C7467" s="1">
        <v>44518</v>
      </c>
      <c r="D7467" t="s">
        <v>29</v>
      </c>
      <c r="E7467" t="s">
        <v>30</v>
      </c>
      <c r="F7467" t="s">
        <v>31</v>
      </c>
      <c r="G7467" t="s">
        <v>41</v>
      </c>
      <c r="H7467" t="s">
        <v>22</v>
      </c>
      <c r="I7467" s="3">
        <v>60</v>
      </c>
      <c r="J7467" s="2">
        <v>41</v>
      </c>
      <c r="K7467" s="3">
        <f t="shared" si="116"/>
        <v>2460</v>
      </c>
      <c r="L7467" s="3">
        <v>1574.4</v>
      </c>
    </row>
    <row r="7468" spans="1:12" x14ac:dyDescent="0.25">
      <c r="A7468" t="s">
        <v>19</v>
      </c>
      <c r="B7468">
        <v>1185732</v>
      </c>
      <c r="C7468" s="1">
        <v>44518</v>
      </c>
      <c r="D7468" t="s">
        <v>29</v>
      </c>
      <c r="E7468" t="s">
        <v>55</v>
      </c>
      <c r="F7468" t="s">
        <v>56</v>
      </c>
      <c r="G7468" t="s">
        <v>15</v>
      </c>
      <c r="H7468" t="s">
        <v>37</v>
      </c>
      <c r="I7468" s="3">
        <v>42</v>
      </c>
      <c r="J7468" s="2">
        <v>34</v>
      </c>
      <c r="K7468" s="3">
        <f t="shared" si="116"/>
        <v>1428</v>
      </c>
      <c r="L7468" s="3">
        <v>856.80000000000007</v>
      </c>
    </row>
    <row r="7469" spans="1:12" x14ac:dyDescent="0.25">
      <c r="A7469" t="s">
        <v>19</v>
      </c>
      <c r="B7469">
        <v>1185732</v>
      </c>
      <c r="C7469" s="1">
        <v>44518</v>
      </c>
      <c r="D7469" t="s">
        <v>29</v>
      </c>
      <c r="E7469" t="s">
        <v>68</v>
      </c>
      <c r="F7469" t="s">
        <v>69</v>
      </c>
      <c r="G7469" t="s">
        <v>41</v>
      </c>
      <c r="H7469" t="s">
        <v>37</v>
      </c>
      <c r="I7469" s="3">
        <v>64</v>
      </c>
      <c r="J7469" s="2">
        <v>85</v>
      </c>
      <c r="K7469" s="3">
        <f t="shared" si="116"/>
        <v>5440</v>
      </c>
      <c r="L7469" s="3">
        <v>3264</v>
      </c>
    </row>
    <row r="7470" spans="1:12" x14ac:dyDescent="0.25">
      <c r="A7470" t="s">
        <v>19</v>
      </c>
      <c r="B7470">
        <v>1185732</v>
      </c>
      <c r="C7470" s="1">
        <v>44518</v>
      </c>
      <c r="D7470" t="s">
        <v>29</v>
      </c>
      <c r="E7470" t="s">
        <v>68</v>
      </c>
      <c r="F7470" t="s">
        <v>69</v>
      </c>
      <c r="G7470" t="s">
        <v>15</v>
      </c>
      <c r="H7470" t="s">
        <v>16</v>
      </c>
      <c r="I7470" s="3">
        <v>61</v>
      </c>
      <c r="J7470" s="2">
        <v>120</v>
      </c>
      <c r="K7470" s="3">
        <f t="shared" si="116"/>
        <v>7320</v>
      </c>
      <c r="L7470" s="3">
        <v>4318.8</v>
      </c>
    </row>
    <row r="7471" spans="1:12" x14ac:dyDescent="0.25">
      <c r="A7471" t="s">
        <v>19</v>
      </c>
      <c r="B7471">
        <v>1185732</v>
      </c>
      <c r="C7471" s="1">
        <v>44518</v>
      </c>
      <c r="D7471" t="s">
        <v>29</v>
      </c>
      <c r="E7471" t="s">
        <v>68</v>
      </c>
      <c r="F7471" t="s">
        <v>69</v>
      </c>
      <c r="G7471" t="s">
        <v>41</v>
      </c>
      <c r="H7471" t="s">
        <v>22</v>
      </c>
      <c r="I7471" s="3">
        <v>71</v>
      </c>
      <c r="J7471" s="2">
        <v>81</v>
      </c>
      <c r="K7471" s="3">
        <f t="shared" si="116"/>
        <v>5751</v>
      </c>
      <c r="L7471" s="3">
        <v>3335.58</v>
      </c>
    </row>
    <row r="7472" spans="1:12" x14ac:dyDescent="0.25">
      <c r="A7472" t="s">
        <v>36</v>
      </c>
      <c r="B7472">
        <v>1185732</v>
      </c>
      <c r="C7472" s="1">
        <v>44518</v>
      </c>
      <c r="D7472" t="s">
        <v>29</v>
      </c>
      <c r="E7472" t="s">
        <v>30</v>
      </c>
      <c r="F7472" t="s">
        <v>31</v>
      </c>
      <c r="G7472" t="s">
        <v>41</v>
      </c>
      <c r="H7472" t="s">
        <v>37</v>
      </c>
      <c r="I7472" s="3">
        <v>54</v>
      </c>
      <c r="J7472" s="2">
        <v>46</v>
      </c>
      <c r="K7472" s="3">
        <f t="shared" si="116"/>
        <v>2484</v>
      </c>
      <c r="L7472" s="3">
        <v>1415.88</v>
      </c>
    </row>
    <row r="7473" spans="1:12" x14ac:dyDescent="0.25">
      <c r="A7473" t="s">
        <v>19</v>
      </c>
      <c r="B7473">
        <v>1185732</v>
      </c>
      <c r="C7473" s="1">
        <v>44518</v>
      </c>
      <c r="D7473" t="s">
        <v>29</v>
      </c>
      <c r="E7473" t="s">
        <v>68</v>
      </c>
      <c r="F7473" t="s">
        <v>69</v>
      </c>
      <c r="G7473" t="s">
        <v>15</v>
      </c>
      <c r="H7473" t="s">
        <v>17</v>
      </c>
      <c r="I7473" s="3">
        <v>42</v>
      </c>
      <c r="J7473" s="2">
        <v>114</v>
      </c>
      <c r="K7473" s="3">
        <f t="shared" si="116"/>
        <v>4788</v>
      </c>
      <c r="L7473" s="3">
        <v>2729.16</v>
      </c>
    </row>
    <row r="7474" spans="1:12" x14ac:dyDescent="0.25">
      <c r="A7474" t="s">
        <v>19</v>
      </c>
      <c r="B7474">
        <v>1185732</v>
      </c>
      <c r="C7474" s="1">
        <v>44518</v>
      </c>
      <c r="D7474" t="s">
        <v>29</v>
      </c>
      <c r="E7474" t="s">
        <v>68</v>
      </c>
      <c r="F7474" t="s">
        <v>69</v>
      </c>
      <c r="G7474" t="s">
        <v>15</v>
      </c>
      <c r="H7474" t="s">
        <v>38</v>
      </c>
      <c r="I7474" s="3">
        <v>59</v>
      </c>
      <c r="J7474" s="2">
        <v>149</v>
      </c>
      <c r="K7474" s="3">
        <f t="shared" si="116"/>
        <v>8791</v>
      </c>
      <c r="L7474" s="3">
        <v>5010.869999999999</v>
      </c>
    </row>
    <row r="7475" spans="1:12" x14ac:dyDescent="0.25">
      <c r="A7475" t="s">
        <v>19</v>
      </c>
      <c r="B7475">
        <v>1185732</v>
      </c>
      <c r="C7475" s="1">
        <v>44518</v>
      </c>
      <c r="D7475" t="s">
        <v>57</v>
      </c>
      <c r="E7475" t="s">
        <v>106</v>
      </c>
      <c r="F7475" t="s">
        <v>107</v>
      </c>
      <c r="G7475" t="s">
        <v>41</v>
      </c>
      <c r="H7475" t="s">
        <v>17</v>
      </c>
      <c r="I7475" s="3">
        <v>23</v>
      </c>
      <c r="J7475" s="2">
        <v>88</v>
      </c>
      <c r="K7475" s="3">
        <f t="shared" si="116"/>
        <v>2024</v>
      </c>
      <c r="L7475" s="3">
        <v>1113.2</v>
      </c>
    </row>
    <row r="7476" spans="1:12" x14ac:dyDescent="0.25">
      <c r="A7476" t="s">
        <v>19</v>
      </c>
      <c r="B7476">
        <v>1185732</v>
      </c>
      <c r="C7476" s="1">
        <v>44518</v>
      </c>
      <c r="D7476" t="s">
        <v>29</v>
      </c>
      <c r="E7476" t="s">
        <v>68</v>
      </c>
      <c r="F7476" t="s">
        <v>69</v>
      </c>
      <c r="G7476" t="s">
        <v>41</v>
      </c>
      <c r="H7476" t="s">
        <v>35</v>
      </c>
      <c r="I7476" s="3">
        <v>63</v>
      </c>
      <c r="J7476" s="2">
        <v>104</v>
      </c>
      <c r="K7476" s="3">
        <f t="shared" si="116"/>
        <v>6552</v>
      </c>
      <c r="L7476" s="3">
        <v>3603.6000000000004</v>
      </c>
    </row>
    <row r="7477" spans="1:12" x14ac:dyDescent="0.25">
      <c r="A7477" t="s">
        <v>19</v>
      </c>
      <c r="B7477">
        <v>1185732</v>
      </c>
      <c r="C7477" s="1">
        <v>44518</v>
      </c>
      <c r="D7477" t="s">
        <v>29</v>
      </c>
      <c r="E7477" t="s">
        <v>68</v>
      </c>
      <c r="F7477" t="s">
        <v>69</v>
      </c>
      <c r="G7477" t="s">
        <v>41</v>
      </c>
      <c r="H7477" t="s">
        <v>16</v>
      </c>
      <c r="I7477" s="3">
        <v>78</v>
      </c>
      <c r="J7477" s="2">
        <v>116</v>
      </c>
      <c r="K7477" s="3">
        <f t="shared" si="116"/>
        <v>9048</v>
      </c>
      <c r="L7477" s="3">
        <v>4795.4400000000005</v>
      </c>
    </row>
    <row r="7478" spans="1:12" x14ac:dyDescent="0.25">
      <c r="A7478" t="s">
        <v>19</v>
      </c>
      <c r="B7478">
        <v>1185732</v>
      </c>
      <c r="C7478" s="1">
        <v>44518</v>
      </c>
      <c r="D7478" t="s">
        <v>29</v>
      </c>
      <c r="E7478" t="s">
        <v>55</v>
      </c>
      <c r="F7478" t="s">
        <v>56</v>
      </c>
      <c r="G7478" t="s">
        <v>41</v>
      </c>
      <c r="H7478" t="s">
        <v>37</v>
      </c>
      <c r="I7478" s="3">
        <v>51</v>
      </c>
      <c r="J7478" s="2">
        <v>29</v>
      </c>
      <c r="K7478" s="3">
        <f t="shared" si="116"/>
        <v>1479</v>
      </c>
      <c r="L7478" s="3">
        <v>783.87</v>
      </c>
    </row>
    <row r="7479" spans="1:12" x14ac:dyDescent="0.25">
      <c r="A7479" t="s">
        <v>36</v>
      </c>
      <c r="B7479">
        <v>1185732</v>
      </c>
      <c r="C7479" s="1">
        <v>44518</v>
      </c>
      <c r="D7479" t="s">
        <v>29</v>
      </c>
      <c r="E7479" t="s">
        <v>30</v>
      </c>
      <c r="F7479" t="s">
        <v>31</v>
      </c>
      <c r="G7479" t="s">
        <v>41</v>
      </c>
      <c r="H7479" t="s">
        <v>17</v>
      </c>
      <c r="I7479" s="3">
        <v>46</v>
      </c>
      <c r="J7479" s="2">
        <v>84</v>
      </c>
      <c r="K7479" s="3">
        <f t="shared" si="116"/>
        <v>3864</v>
      </c>
      <c r="L7479" s="3">
        <v>2009.28</v>
      </c>
    </row>
    <row r="7480" spans="1:12" x14ac:dyDescent="0.25">
      <c r="A7480" t="s">
        <v>19</v>
      </c>
      <c r="B7480">
        <v>1185732</v>
      </c>
      <c r="C7480" s="1">
        <v>44518</v>
      </c>
      <c r="D7480" t="s">
        <v>57</v>
      </c>
      <c r="E7480" t="s">
        <v>106</v>
      </c>
      <c r="F7480" t="s">
        <v>107</v>
      </c>
      <c r="G7480" t="s">
        <v>41</v>
      </c>
      <c r="H7480" t="s">
        <v>22</v>
      </c>
      <c r="I7480" s="3">
        <v>43</v>
      </c>
      <c r="J7480" s="2">
        <v>81</v>
      </c>
      <c r="K7480" s="3">
        <f t="shared" si="116"/>
        <v>3483</v>
      </c>
      <c r="L7480" s="3">
        <v>1811.16</v>
      </c>
    </row>
    <row r="7481" spans="1:12" x14ac:dyDescent="0.25">
      <c r="A7481" t="s">
        <v>36</v>
      </c>
      <c r="B7481">
        <v>1185732</v>
      </c>
      <c r="C7481" s="1">
        <v>44518</v>
      </c>
      <c r="D7481" t="s">
        <v>29</v>
      </c>
      <c r="E7481" t="s">
        <v>30</v>
      </c>
      <c r="F7481" t="s">
        <v>31</v>
      </c>
      <c r="G7481" t="s">
        <v>41</v>
      </c>
      <c r="H7481" t="s">
        <v>38</v>
      </c>
      <c r="I7481" s="3">
        <v>62</v>
      </c>
      <c r="J7481" s="2">
        <v>98</v>
      </c>
      <c r="K7481" s="3">
        <f t="shared" si="116"/>
        <v>6076</v>
      </c>
      <c r="L7481" s="3">
        <v>3098.76</v>
      </c>
    </row>
    <row r="7482" spans="1:12" x14ac:dyDescent="0.25">
      <c r="A7482" t="s">
        <v>19</v>
      </c>
      <c r="B7482">
        <v>1185732</v>
      </c>
      <c r="C7482" s="1">
        <v>44518</v>
      </c>
      <c r="D7482" t="s">
        <v>57</v>
      </c>
      <c r="E7482" t="s">
        <v>106</v>
      </c>
      <c r="F7482" t="s">
        <v>107</v>
      </c>
      <c r="G7482" t="s">
        <v>41</v>
      </c>
      <c r="H7482" t="s">
        <v>35</v>
      </c>
      <c r="I7482" s="3">
        <v>23</v>
      </c>
      <c r="J7482" s="2">
        <v>80</v>
      </c>
      <c r="K7482" s="3">
        <f t="shared" si="116"/>
        <v>1840</v>
      </c>
      <c r="L7482" s="3">
        <v>938.4</v>
      </c>
    </row>
    <row r="7483" spans="1:12" x14ac:dyDescent="0.25">
      <c r="A7483" t="s">
        <v>36</v>
      </c>
      <c r="B7483">
        <v>1185732</v>
      </c>
      <c r="C7483" s="1">
        <v>44518</v>
      </c>
      <c r="D7483" t="s">
        <v>29</v>
      </c>
      <c r="E7483" t="s">
        <v>30</v>
      </c>
      <c r="F7483" t="s">
        <v>31</v>
      </c>
      <c r="G7483" t="s">
        <v>41</v>
      </c>
      <c r="H7483" t="s">
        <v>17</v>
      </c>
      <c r="I7483" s="3">
        <v>52</v>
      </c>
      <c r="J7483" s="2">
        <v>52</v>
      </c>
      <c r="K7483" s="3">
        <f t="shared" si="116"/>
        <v>2704</v>
      </c>
      <c r="L7483" s="3">
        <v>1352</v>
      </c>
    </row>
    <row r="7484" spans="1:12" x14ac:dyDescent="0.25">
      <c r="A7484" t="s">
        <v>19</v>
      </c>
      <c r="B7484">
        <v>1185732</v>
      </c>
      <c r="C7484" s="1">
        <v>44518</v>
      </c>
      <c r="D7484" t="s">
        <v>57</v>
      </c>
      <c r="E7484" t="s">
        <v>106</v>
      </c>
      <c r="F7484" t="s">
        <v>107</v>
      </c>
      <c r="G7484" t="s">
        <v>41</v>
      </c>
      <c r="H7484" t="s">
        <v>38</v>
      </c>
      <c r="I7484" s="3">
        <v>34</v>
      </c>
      <c r="J7484" s="2">
        <v>150</v>
      </c>
      <c r="K7484" s="3">
        <f t="shared" si="116"/>
        <v>5100</v>
      </c>
      <c r="L7484" s="3">
        <v>2499</v>
      </c>
    </row>
    <row r="7485" spans="1:12" x14ac:dyDescent="0.25">
      <c r="A7485" t="s">
        <v>36</v>
      </c>
      <c r="B7485">
        <v>1185732</v>
      </c>
      <c r="C7485" s="1">
        <v>44518</v>
      </c>
      <c r="D7485" t="s">
        <v>29</v>
      </c>
      <c r="E7485" t="s">
        <v>30</v>
      </c>
      <c r="F7485" t="s">
        <v>31</v>
      </c>
      <c r="G7485" t="s">
        <v>41</v>
      </c>
      <c r="H7485" t="s">
        <v>35</v>
      </c>
      <c r="I7485" s="3">
        <v>52</v>
      </c>
      <c r="J7485" s="2">
        <v>55</v>
      </c>
      <c r="K7485" s="3">
        <f t="shared" si="116"/>
        <v>2860</v>
      </c>
      <c r="L7485" s="3">
        <v>1372.8</v>
      </c>
    </row>
    <row r="7486" spans="1:12" x14ac:dyDescent="0.25">
      <c r="A7486" t="s">
        <v>19</v>
      </c>
      <c r="B7486">
        <v>1185732</v>
      </c>
      <c r="C7486" s="1">
        <v>44518</v>
      </c>
      <c r="D7486" t="s">
        <v>57</v>
      </c>
      <c r="E7486" t="s">
        <v>106</v>
      </c>
      <c r="F7486" t="s">
        <v>107</v>
      </c>
      <c r="G7486" t="s">
        <v>41</v>
      </c>
      <c r="H7486" t="s">
        <v>37</v>
      </c>
      <c r="I7486" s="3">
        <v>23</v>
      </c>
      <c r="J7486" s="2">
        <v>88</v>
      </c>
      <c r="K7486" s="3">
        <f t="shared" si="116"/>
        <v>2024</v>
      </c>
      <c r="L7486" s="3">
        <v>971.52</v>
      </c>
    </row>
    <row r="7487" spans="1:12" x14ac:dyDescent="0.25">
      <c r="A7487" t="s">
        <v>19</v>
      </c>
      <c r="B7487">
        <v>1185732</v>
      </c>
      <c r="C7487" s="1">
        <v>44518</v>
      </c>
      <c r="D7487" t="s">
        <v>29</v>
      </c>
      <c r="E7487" t="s">
        <v>68</v>
      </c>
      <c r="F7487" t="s">
        <v>69</v>
      </c>
      <c r="G7487" t="s">
        <v>41</v>
      </c>
      <c r="H7487" t="s">
        <v>17</v>
      </c>
      <c r="I7487" s="3">
        <v>62</v>
      </c>
      <c r="J7487" s="2">
        <v>98</v>
      </c>
      <c r="K7487" s="3">
        <f t="shared" si="116"/>
        <v>6076</v>
      </c>
      <c r="L7487" s="3">
        <v>2916.48</v>
      </c>
    </row>
    <row r="7488" spans="1:12" x14ac:dyDescent="0.25">
      <c r="A7488" t="s">
        <v>19</v>
      </c>
      <c r="B7488">
        <v>1185732</v>
      </c>
      <c r="C7488" s="1">
        <v>44518</v>
      </c>
      <c r="D7488" t="s">
        <v>29</v>
      </c>
      <c r="E7488" t="s">
        <v>68</v>
      </c>
      <c r="F7488" t="s">
        <v>69</v>
      </c>
      <c r="G7488" t="s">
        <v>41</v>
      </c>
      <c r="H7488" t="s">
        <v>38</v>
      </c>
      <c r="I7488" s="3">
        <v>68</v>
      </c>
      <c r="J7488" s="2">
        <v>117</v>
      </c>
      <c r="K7488" s="3">
        <f t="shared" si="116"/>
        <v>7956</v>
      </c>
      <c r="L7488" s="3">
        <v>3739.3199999999997</v>
      </c>
    </row>
    <row r="7489" spans="1:12" x14ac:dyDescent="0.25">
      <c r="A7489" t="s">
        <v>36</v>
      </c>
      <c r="B7489">
        <v>1185732</v>
      </c>
      <c r="C7489" s="1">
        <v>44518</v>
      </c>
      <c r="D7489" t="s">
        <v>29</v>
      </c>
      <c r="E7489" t="s">
        <v>30</v>
      </c>
      <c r="F7489" t="s">
        <v>31</v>
      </c>
      <c r="G7489" t="s">
        <v>41</v>
      </c>
      <c r="H7489" t="s">
        <v>16</v>
      </c>
      <c r="I7489" s="3">
        <v>67</v>
      </c>
      <c r="J7489" s="2">
        <v>63</v>
      </c>
      <c r="K7489" s="3">
        <f t="shared" si="116"/>
        <v>4221</v>
      </c>
      <c r="L7489" s="3">
        <v>1941.6599999999999</v>
      </c>
    </row>
    <row r="7490" spans="1:12" x14ac:dyDescent="0.25">
      <c r="A7490" t="s">
        <v>19</v>
      </c>
      <c r="B7490">
        <v>1185732</v>
      </c>
      <c r="C7490" s="1">
        <v>44518</v>
      </c>
      <c r="D7490" t="s">
        <v>57</v>
      </c>
      <c r="E7490" t="s">
        <v>106</v>
      </c>
      <c r="F7490" t="s">
        <v>107</v>
      </c>
      <c r="G7490" t="s">
        <v>41</v>
      </c>
      <c r="H7490" t="s">
        <v>16</v>
      </c>
      <c r="I7490" s="3">
        <v>48</v>
      </c>
      <c r="J7490" s="2">
        <v>108</v>
      </c>
      <c r="K7490" s="3">
        <f t="shared" si="116"/>
        <v>5184</v>
      </c>
      <c r="L7490" s="3">
        <v>1918.08</v>
      </c>
    </row>
    <row r="7491" spans="1:12" x14ac:dyDescent="0.25">
      <c r="A7491" t="s">
        <v>19</v>
      </c>
      <c r="B7491">
        <v>1185732</v>
      </c>
      <c r="C7491" s="1">
        <v>44519</v>
      </c>
      <c r="D7491" t="s">
        <v>29</v>
      </c>
      <c r="E7491" t="s">
        <v>55</v>
      </c>
      <c r="F7491" t="s">
        <v>56</v>
      </c>
      <c r="G7491" t="s">
        <v>15</v>
      </c>
      <c r="H7491" t="s">
        <v>22</v>
      </c>
      <c r="I7491" s="3">
        <v>65</v>
      </c>
      <c r="J7491" s="2">
        <v>125</v>
      </c>
      <c r="K7491" s="3">
        <f t="shared" ref="K7491:K7554" si="117">I7491*J7491</f>
        <v>8125</v>
      </c>
      <c r="L7491" s="3">
        <v>5687.5</v>
      </c>
    </row>
    <row r="7492" spans="1:12" x14ac:dyDescent="0.25">
      <c r="A7492" t="s">
        <v>36</v>
      </c>
      <c r="B7492">
        <v>1185732</v>
      </c>
      <c r="C7492" s="1">
        <v>44519</v>
      </c>
      <c r="D7492" t="s">
        <v>29</v>
      </c>
      <c r="E7492" t="s">
        <v>30</v>
      </c>
      <c r="F7492" t="s">
        <v>31</v>
      </c>
      <c r="G7492" t="s">
        <v>15</v>
      </c>
      <c r="H7492" t="s">
        <v>35</v>
      </c>
      <c r="I7492" s="3">
        <v>45</v>
      </c>
      <c r="J7492" s="2">
        <v>225</v>
      </c>
      <c r="K7492" s="3">
        <f t="shared" si="117"/>
        <v>10125</v>
      </c>
      <c r="L7492" s="3">
        <v>6075</v>
      </c>
    </row>
    <row r="7493" spans="1:12" x14ac:dyDescent="0.25">
      <c r="A7493" t="s">
        <v>19</v>
      </c>
      <c r="B7493">
        <v>1185732</v>
      </c>
      <c r="C7493" s="1">
        <v>44519</v>
      </c>
      <c r="D7493" t="s">
        <v>29</v>
      </c>
      <c r="E7493" t="s">
        <v>55</v>
      </c>
      <c r="F7493" t="s">
        <v>56</v>
      </c>
      <c r="G7493" t="s">
        <v>15</v>
      </c>
      <c r="H7493" t="s">
        <v>22</v>
      </c>
      <c r="I7493" s="3">
        <v>51</v>
      </c>
      <c r="J7493" s="2">
        <v>39</v>
      </c>
      <c r="K7493" s="3">
        <f t="shared" si="117"/>
        <v>1989</v>
      </c>
      <c r="L7493" s="3">
        <v>1253.0700000000002</v>
      </c>
    </row>
    <row r="7494" spans="1:12" x14ac:dyDescent="0.25">
      <c r="A7494" t="s">
        <v>19</v>
      </c>
      <c r="B7494">
        <v>1185732</v>
      </c>
      <c r="C7494" s="1">
        <v>44519</v>
      </c>
      <c r="D7494" t="s">
        <v>29</v>
      </c>
      <c r="E7494" t="s">
        <v>55</v>
      </c>
      <c r="F7494" t="s">
        <v>56</v>
      </c>
      <c r="G7494" t="s">
        <v>41</v>
      </c>
      <c r="H7494" t="s">
        <v>22</v>
      </c>
      <c r="I7494" s="3">
        <v>59</v>
      </c>
      <c r="J7494" s="2">
        <v>31</v>
      </c>
      <c r="K7494" s="3">
        <f t="shared" si="117"/>
        <v>1829</v>
      </c>
      <c r="L7494" s="3">
        <v>1060.8200000000002</v>
      </c>
    </row>
    <row r="7495" spans="1:12" x14ac:dyDescent="0.25">
      <c r="A7495" t="s">
        <v>36</v>
      </c>
      <c r="B7495">
        <v>1185732</v>
      </c>
      <c r="C7495" s="1">
        <v>44519</v>
      </c>
      <c r="D7495" t="s">
        <v>29</v>
      </c>
      <c r="E7495" t="s">
        <v>30</v>
      </c>
      <c r="F7495" t="s">
        <v>31</v>
      </c>
      <c r="G7495" t="s">
        <v>41</v>
      </c>
      <c r="H7495" t="s">
        <v>35</v>
      </c>
      <c r="I7495" s="3">
        <v>43</v>
      </c>
      <c r="J7495" s="2">
        <v>63</v>
      </c>
      <c r="K7495" s="3">
        <f t="shared" si="117"/>
        <v>2709</v>
      </c>
      <c r="L7495" s="3">
        <v>1219.0500000000002</v>
      </c>
    </row>
    <row r="7496" spans="1:12" x14ac:dyDescent="0.25">
      <c r="A7496" t="s">
        <v>19</v>
      </c>
      <c r="B7496">
        <v>1185732</v>
      </c>
      <c r="C7496" s="1">
        <v>44520</v>
      </c>
      <c r="D7496" t="s">
        <v>29</v>
      </c>
      <c r="E7496" t="s">
        <v>55</v>
      </c>
      <c r="F7496" t="s">
        <v>56</v>
      </c>
      <c r="G7496" t="s">
        <v>15</v>
      </c>
      <c r="H7496" t="s">
        <v>16</v>
      </c>
      <c r="I7496" s="3">
        <v>70</v>
      </c>
      <c r="J7496" s="2">
        <v>250</v>
      </c>
      <c r="K7496" s="3">
        <f t="shared" si="117"/>
        <v>17500</v>
      </c>
      <c r="L7496" s="3">
        <v>12250</v>
      </c>
    </row>
    <row r="7497" spans="1:12" x14ac:dyDescent="0.25">
      <c r="A7497" t="s">
        <v>36</v>
      </c>
      <c r="B7497">
        <v>1185732</v>
      </c>
      <c r="C7497" s="1">
        <v>44520</v>
      </c>
      <c r="D7497" t="s">
        <v>29</v>
      </c>
      <c r="E7497" t="s">
        <v>30</v>
      </c>
      <c r="F7497" t="s">
        <v>31</v>
      </c>
      <c r="G7497" t="s">
        <v>15</v>
      </c>
      <c r="H7497" t="s">
        <v>37</v>
      </c>
      <c r="I7497" s="3">
        <v>45</v>
      </c>
      <c r="J7497" s="2">
        <v>175</v>
      </c>
      <c r="K7497" s="3">
        <f t="shared" si="117"/>
        <v>7875</v>
      </c>
      <c r="L7497" s="3">
        <v>5512.5</v>
      </c>
    </row>
    <row r="7498" spans="1:12" x14ac:dyDescent="0.25">
      <c r="A7498" t="s">
        <v>11</v>
      </c>
      <c r="B7498">
        <v>1197831</v>
      </c>
      <c r="C7498" s="1">
        <v>44520</v>
      </c>
      <c r="D7498" t="s">
        <v>52</v>
      </c>
      <c r="E7498" t="s">
        <v>114</v>
      </c>
      <c r="F7498" t="s">
        <v>115</v>
      </c>
      <c r="G7498" t="s">
        <v>41</v>
      </c>
      <c r="H7498" t="s">
        <v>22</v>
      </c>
      <c r="I7498" s="3">
        <v>75.000000000000014</v>
      </c>
      <c r="J7498" s="2">
        <v>350</v>
      </c>
      <c r="K7498" s="3">
        <f t="shared" si="117"/>
        <v>26250.000000000004</v>
      </c>
      <c r="L7498" s="3">
        <v>17062.500000000007</v>
      </c>
    </row>
    <row r="7499" spans="1:12" x14ac:dyDescent="0.25">
      <c r="A7499" t="s">
        <v>27</v>
      </c>
      <c r="B7499">
        <v>1197831</v>
      </c>
      <c r="C7499" s="1">
        <v>44520</v>
      </c>
      <c r="D7499" t="s">
        <v>52</v>
      </c>
      <c r="E7499" t="s">
        <v>116</v>
      </c>
      <c r="F7499" t="s">
        <v>117</v>
      </c>
      <c r="G7499" t="s">
        <v>41</v>
      </c>
      <c r="H7499" t="s">
        <v>17</v>
      </c>
      <c r="I7499" s="3">
        <v>15.000000000000014</v>
      </c>
      <c r="J7499" s="2">
        <v>300</v>
      </c>
      <c r="K7499" s="3">
        <f t="shared" si="117"/>
        <v>4500.0000000000045</v>
      </c>
      <c r="L7499" s="3">
        <v>2925.0000000000027</v>
      </c>
    </row>
    <row r="7500" spans="1:12" x14ac:dyDescent="0.25">
      <c r="A7500" t="s">
        <v>27</v>
      </c>
      <c r="B7500">
        <v>1197831</v>
      </c>
      <c r="C7500" s="1">
        <v>44520</v>
      </c>
      <c r="D7500" t="s">
        <v>52</v>
      </c>
      <c r="E7500" t="s">
        <v>116</v>
      </c>
      <c r="F7500" t="s">
        <v>117</v>
      </c>
      <c r="G7500" t="s">
        <v>41</v>
      </c>
      <c r="H7500" t="s">
        <v>22</v>
      </c>
      <c r="I7500" s="3">
        <v>75.000000000000014</v>
      </c>
      <c r="J7500" s="2">
        <v>275</v>
      </c>
      <c r="K7500" s="3">
        <f t="shared" si="117"/>
        <v>20625.000000000004</v>
      </c>
      <c r="L7500" s="3">
        <v>13406.250000000004</v>
      </c>
    </row>
    <row r="7501" spans="1:12" x14ac:dyDescent="0.25">
      <c r="A7501" t="s">
        <v>11</v>
      </c>
      <c r="B7501">
        <v>1197831</v>
      </c>
      <c r="C7501" s="1">
        <v>44520</v>
      </c>
      <c r="D7501" t="s">
        <v>52</v>
      </c>
      <c r="E7501" t="s">
        <v>114</v>
      </c>
      <c r="F7501" t="s">
        <v>115</v>
      </c>
      <c r="G7501" t="s">
        <v>41</v>
      </c>
      <c r="H7501" t="s">
        <v>17</v>
      </c>
      <c r="I7501" s="3">
        <v>15.000000000000014</v>
      </c>
      <c r="J7501" s="2">
        <v>375</v>
      </c>
      <c r="K7501" s="3">
        <f t="shared" si="117"/>
        <v>5625.0000000000055</v>
      </c>
      <c r="L7501" s="3">
        <v>3656.2500000000027</v>
      </c>
    </row>
    <row r="7502" spans="1:12" x14ac:dyDescent="0.25">
      <c r="A7502" t="s">
        <v>11</v>
      </c>
      <c r="B7502">
        <v>1197831</v>
      </c>
      <c r="C7502" s="1">
        <v>44520</v>
      </c>
      <c r="D7502" t="s">
        <v>52</v>
      </c>
      <c r="E7502" t="s">
        <v>114</v>
      </c>
      <c r="F7502" t="s">
        <v>115</v>
      </c>
      <c r="G7502" t="s">
        <v>41</v>
      </c>
      <c r="H7502" t="s">
        <v>37</v>
      </c>
      <c r="I7502" s="3">
        <v>55.000000000000014</v>
      </c>
      <c r="J7502" s="2">
        <v>375</v>
      </c>
      <c r="K7502" s="3">
        <f t="shared" si="117"/>
        <v>20625.000000000004</v>
      </c>
      <c r="L7502" s="3">
        <v>12375.000000000004</v>
      </c>
    </row>
    <row r="7503" spans="1:12" x14ac:dyDescent="0.25">
      <c r="A7503" t="s">
        <v>27</v>
      </c>
      <c r="B7503">
        <v>1197831</v>
      </c>
      <c r="C7503" s="1">
        <v>44520</v>
      </c>
      <c r="D7503" t="s">
        <v>52</v>
      </c>
      <c r="E7503" t="s">
        <v>116</v>
      </c>
      <c r="F7503" t="s">
        <v>117</v>
      </c>
      <c r="G7503" t="s">
        <v>41</v>
      </c>
      <c r="H7503" t="s">
        <v>35</v>
      </c>
      <c r="I7503" s="3">
        <v>25.000000000000018</v>
      </c>
      <c r="J7503" s="2">
        <v>245</v>
      </c>
      <c r="K7503" s="3">
        <f t="shared" si="117"/>
        <v>6125.0000000000045</v>
      </c>
      <c r="L7503" s="3">
        <v>3675.0000000000027</v>
      </c>
    </row>
    <row r="7504" spans="1:12" x14ac:dyDescent="0.25">
      <c r="A7504" t="s">
        <v>11</v>
      </c>
      <c r="B7504">
        <v>1197831</v>
      </c>
      <c r="C7504" s="1">
        <v>44520</v>
      </c>
      <c r="D7504" t="s">
        <v>52</v>
      </c>
      <c r="E7504" t="s">
        <v>114</v>
      </c>
      <c r="F7504" t="s">
        <v>115</v>
      </c>
      <c r="G7504" t="s">
        <v>41</v>
      </c>
      <c r="H7504" t="s">
        <v>38</v>
      </c>
      <c r="I7504" s="3">
        <v>25.000000000000011</v>
      </c>
      <c r="J7504" s="2">
        <v>550</v>
      </c>
      <c r="K7504" s="3">
        <f t="shared" si="117"/>
        <v>13750.000000000005</v>
      </c>
      <c r="L7504" s="3">
        <v>8250.0000000000036</v>
      </c>
    </row>
    <row r="7505" spans="1:12" x14ac:dyDescent="0.25">
      <c r="A7505" t="s">
        <v>11</v>
      </c>
      <c r="B7505">
        <v>1197831</v>
      </c>
      <c r="C7505" s="1">
        <v>44520</v>
      </c>
      <c r="D7505" t="s">
        <v>52</v>
      </c>
      <c r="E7505" t="s">
        <v>114</v>
      </c>
      <c r="F7505" t="s">
        <v>115</v>
      </c>
      <c r="G7505" t="s">
        <v>41</v>
      </c>
      <c r="H7505" t="s">
        <v>16</v>
      </c>
      <c r="I7505" s="3">
        <v>75</v>
      </c>
      <c r="J7505" s="2">
        <v>450</v>
      </c>
      <c r="K7505" s="3">
        <f t="shared" si="117"/>
        <v>33750</v>
      </c>
      <c r="L7505" s="3">
        <v>20250</v>
      </c>
    </row>
    <row r="7506" spans="1:12" x14ac:dyDescent="0.25">
      <c r="A7506" t="s">
        <v>27</v>
      </c>
      <c r="B7506">
        <v>1197831</v>
      </c>
      <c r="C7506" s="1">
        <v>44520</v>
      </c>
      <c r="D7506" t="s">
        <v>52</v>
      </c>
      <c r="E7506" t="s">
        <v>116</v>
      </c>
      <c r="F7506" t="s">
        <v>117</v>
      </c>
      <c r="G7506" t="s">
        <v>41</v>
      </c>
      <c r="H7506" t="s">
        <v>37</v>
      </c>
      <c r="I7506" s="3">
        <v>55.000000000000014</v>
      </c>
      <c r="J7506" s="2">
        <v>300</v>
      </c>
      <c r="K7506" s="3">
        <f t="shared" si="117"/>
        <v>16500.000000000004</v>
      </c>
      <c r="L7506" s="3">
        <v>9900.0000000000018</v>
      </c>
    </row>
    <row r="7507" spans="1:12" x14ac:dyDescent="0.25">
      <c r="A7507" t="s">
        <v>27</v>
      </c>
      <c r="B7507">
        <v>1197831</v>
      </c>
      <c r="C7507" s="1">
        <v>44520</v>
      </c>
      <c r="D7507" t="s">
        <v>52</v>
      </c>
      <c r="E7507" t="s">
        <v>116</v>
      </c>
      <c r="F7507" t="s">
        <v>117</v>
      </c>
      <c r="G7507" t="s">
        <v>41</v>
      </c>
      <c r="H7507" t="s">
        <v>16</v>
      </c>
      <c r="I7507" s="3">
        <v>75</v>
      </c>
      <c r="J7507" s="2">
        <v>375</v>
      </c>
      <c r="K7507" s="3">
        <f t="shared" si="117"/>
        <v>28125</v>
      </c>
      <c r="L7507" s="3">
        <v>16875</v>
      </c>
    </row>
    <row r="7508" spans="1:12" x14ac:dyDescent="0.25">
      <c r="A7508" t="s">
        <v>11</v>
      </c>
      <c r="B7508">
        <v>1197831</v>
      </c>
      <c r="C7508" s="1">
        <v>44520</v>
      </c>
      <c r="D7508" t="s">
        <v>52</v>
      </c>
      <c r="E7508" t="s">
        <v>114</v>
      </c>
      <c r="F7508" t="s">
        <v>115</v>
      </c>
      <c r="G7508" t="s">
        <v>41</v>
      </c>
      <c r="H7508" t="s">
        <v>35</v>
      </c>
      <c r="I7508" s="3">
        <v>25.000000000000018</v>
      </c>
      <c r="J7508" s="2">
        <v>320</v>
      </c>
      <c r="K7508" s="3">
        <f t="shared" si="117"/>
        <v>8000.0000000000055</v>
      </c>
      <c r="L7508" s="3">
        <v>4800.0000000000027</v>
      </c>
    </row>
    <row r="7509" spans="1:12" x14ac:dyDescent="0.25">
      <c r="A7509" t="s">
        <v>27</v>
      </c>
      <c r="B7509">
        <v>1197831</v>
      </c>
      <c r="C7509" s="1">
        <v>44520</v>
      </c>
      <c r="D7509" t="s">
        <v>52</v>
      </c>
      <c r="E7509" t="s">
        <v>116</v>
      </c>
      <c r="F7509" t="s">
        <v>117</v>
      </c>
      <c r="G7509" t="s">
        <v>41</v>
      </c>
      <c r="H7509" t="s">
        <v>38</v>
      </c>
      <c r="I7509" s="3">
        <v>25.000000000000011</v>
      </c>
      <c r="J7509" s="2">
        <v>475</v>
      </c>
      <c r="K7509" s="3">
        <f t="shared" si="117"/>
        <v>11875.000000000005</v>
      </c>
      <c r="L7509" s="3">
        <v>7125.0000000000027</v>
      </c>
    </row>
    <row r="7510" spans="1:12" x14ac:dyDescent="0.25">
      <c r="A7510" t="s">
        <v>19</v>
      </c>
      <c r="B7510">
        <v>1185732</v>
      </c>
      <c r="C7510" s="1">
        <v>44520</v>
      </c>
      <c r="D7510" t="s">
        <v>29</v>
      </c>
      <c r="E7510" t="s">
        <v>55</v>
      </c>
      <c r="F7510" t="s">
        <v>56</v>
      </c>
      <c r="G7510" t="s">
        <v>15</v>
      </c>
      <c r="H7510" t="s">
        <v>16</v>
      </c>
      <c r="I7510" s="3">
        <v>51</v>
      </c>
      <c r="J7510" s="2">
        <v>78</v>
      </c>
      <c r="K7510" s="3">
        <f t="shared" si="117"/>
        <v>3978</v>
      </c>
      <c r="L7510" s="3">
        <v>2506.1400000000003</v>
      </c>
    </row>
    <row r="7511" spans="1:12" x14ac:dyDescent="0.25">
      <c r="A7511" t="s">
        <v>27</v>
      </c>
      <c r="B7511">
        <v>1197831</v>
      </c>
      <c r="C7511" s="1">
        <v>44520</v>
      </c>
      <c r="D7511" t="s">
        <v>52</v>
      </c>
      <c r="E7511" t="s">
        <v>116</v>
      </c>
      <c r="F7511" t="s">
        <v>117</v>
      </c>
      <c r="G7511" t="s">
        <v>15</v>
      </c>
      <c r="H7511" t="s">
        <v>17</v>
      </c>
      <c r="I7511" s="3">
        <v>11</v>
      </c>
      <c r="J7511" s="2">
        <v>96</v>
      </c>
      <c r="K7511" s="3">
        <f t="shared" si="117"/>
        <v>1056</v>
      </c>
      <c r="L7511" s="3">
        <v>654.72</v>
      </c>
    </row>
    <row r="7512" spans="1:12" x14ac:dyDescent="0.25">
      <c r="A7512" t="s">
        <v>27</v>
      </c>
      <c r="B7512">
        <v>1197831</v>
      </c>
      <c r="C7512" s="1">
        <v>44520</v>
      </c>
      <c r="D7512" t="s">
        <v>52</v>
      </c>
      <c r="E7512" t="s">
        <v>116</v>
      </c>
      <c r="F7512" t="s">
        <v>117</v>
      </c>
      <c r="G7512" t="s">
        <v>15</v>
      </c>
      <c r="H7512" t="s">
        <v>22</v>
      </c>
      <c r="I7512" s="3">
        <v>60</v>
      </c>
      <c r="J7512" s="2">
        <v>85</v>
      </c>
      <c r="K7512" s="3">
        <f t="shared" si="117"/>
        <v>5100</v>
      </c>
      <c r="L7512" s="3">
        <v>3060</v>
      </c>
    </row>
    <row r="7513" spans="1:12" x14ac:dyDescent="0.25">
      <c r="A7513" t="s">
        <v>36</v>
      </c>
      <c r="B7513">
        <v>1185732</v>
      </c>
      <c r="C7513" s="1">
        <v>44520</v>
      </c>
      <c r="D7513" t="s">
        <v>29</v>
      </c>
      <c r="E7513" t="s">
        <v>30</v>
      </c>
      <c r="F7513" t="s">
        <v>31</v>
      </c>
      <c r="G7513" t="s">
        <v>41</v>
      </c>
      <c r="H7513" t="s">
        <v>37</v>
      </c>
      <c r="I7513" s="3">
        <v>43</v>
      </c>
      <c r="J7513" s="2">
        <v>44</v>
      </c>
      <c r="K7513" s="3">
        <f t="shared" si="117"/>
        <v>1892</v>
      </c>
      <c r="L7513" s="3">
        <v>1116.2800000000002</v>
      </c>
    </row>
    <row r="7514" spans="1:12" x14ac:dyDescent="0.25">
      <c r="A7514" t="s">
        <v>11</v>
      </c>
      <c r="B7514">
        <v>1197831</v>
      </c>
      <c r="C7514" s="1">
        <v>44520</v>
      </c>
      <c r="D7514" t="s">
        <v>52</v>
      </c>
      <c r="E7514" t="s">
        <v>114</v>
      </c>
      <c r="F7514" t="s">
        <v>115</v>
      </c>
      <c r="G7514" t="s">
        <v>15</v>
      </c>
      <c r="H7514" t="s">
        <v>22</v>
      </c>
      <c r="I7514" s="3">
        <v>56</v>
      </c>
      <c r="J7514" s="2">
        <v>105</v>
      </c>
      <c r="K7514" s="3">
        <f t="shared" si="117"/>
        <v>5880</v>
      </c>
      <c r="L7514" s="3">
        <v>3469.2000000000003</v>
      </c>
    </row>
    <row r="7515" spans="1:12" x14ac:dyDescent="0.25">
      <c r="A7515" t="s">
        <v>11</v>
      </c>
      <c r="B7515">
        <v>1197831</v>
      </c>
      <c r="C7515" s="1">
        <v>44520</v>
      </c>
      <c r="D7515" t="s">
        <v>52</v>
      </c>
      <c r="E7515" t="s">
        <v>114</v>
      </c>
      <c r="F7515" t="s">
        <v>115</v>
      </c>
      <c r="G7515" t="s">
        <v>15</v>
      </c>
      <c r="H7515" t="s">
        <v>17</v>
      </c>
      <c r="I7515" s="3">
        <v>11</v>
      </c>
      <c r="J7515" s="2">
        <v>116</v>
      </c>
      <c r="K7515" s="3">
        <f t="shared" si="117"/>
        <v>1276</v>
      </c>
      <c r="L7515" s="3">
        <v>740.08</v>
      </c>
    </row>
    <row r="7516" spans="1:12" x14ac:dyDescent="0.25">
      <c r="A7516" t="s">
        <v>11</v>
      </c>
      <c r="B7516">
        <v>1197831</v>
      </c>
      <c r="C7516" s="1">
        <v>44520</v>
      </c>
      <c r="D7516" t="s">
        <v>52</v>
      </c>
      <c r="E7516" t="s">
        <v>114</v>
      </c>
      <c r="F7516" t="s">
        <v>115</v>
      </c>
      <c r="G7516" t="s">
        <v>15</v>
      </c>
      <c r="H7516" t="s">
        <v>35</v>
      </c>
      <c r="I7516" s="3">
        <v>19</v>
      </c>
      <c r="J7516" s="2">
        <v>102</v>
      </c>
      <c r="K7516" s="3">
        <f t="shared" si="117"/>
        <v>1938</v>
      </c>
      <c r="L7516" s="3">
        <v>1104.6599999999999</v>
      </c>
    </row>
    <row r="7517" spans="1:12" x14ac:dyDescent="0.25">
      <c r="A7517" t="s">
        <v>27</v>
      </c>
      <c r="B7517">
        <v>1197831</v>
      </c>
      <c r="C7517" s="1">
        <v>44520</v>
      </c>
      <c r="D7517" t="s">
        <v>52</v>
      </c>
      <c r="E7517" t="s">
        <v>116</v>
      </c>
      <c r="F7517" t="s">
        <v>117</v>
      </c>
      <c r="G7517" t="s">
        <v>15</v>
      </c>
      <c r="H7517" t="s">
        <v>35</v>
      </c>
      <c r="I7517" s="3">
        <v>19</v>
      </c>
      <c r="J7517" s="2">
        <v>81</v>
      </c>
      <c r="K7517" s="3">
        <f t="shared" si="117"/>
        <v>1539</v>
      </c>
      <c r="L7517" s="3">
        <v>877.2299999999999</v>
      </c>
    </row>
    <row r="7518" spans="1:12" x14ac:dyDescent="0.25">
      <c r="A7518" t="s">
        <v>27</v>
      </c>
      <c r="B7518">
        <v>1197831</v>
      </c>
      <c r="C7518" s="1">
        <v>44520</v>
      </c>
      <c r="D7518" t="s">
        <v>52</v>
      </c>
      <c r="E7518" t="s">
        <v>116</v>
      </c>
      <c r="F7518" t="s">
        <v>117</v>
      </c>
      <c r="G7518" t="s">
        <v>15</v>
      </c>
      <c r="H7518" t="s">
        <v>16</v>
      </c>
      <c r="I7518" s="3">
        <v>60</v>
      </c>
      <c r="J7518" s="2">
        <v>128</v>
      </c>
      <c r="K7518" s="3">
        <f t="shared" si="117"/>
        <v>7680</v>
      </c>
      <c r="L7518" s="3">
        <v>4377.5999999999995</v>
      </c>
    </row>
    <row r="7519" spans="1:12" x14ac:dyDescent="0.25">
      <c r="A7519" t="s">
        <v>11</v>
      </c>
      <c r="B7519">
        <v>1197831</v>
      </c>
      <c r="C7519" s="1">
        <v>44520</v>
      </c>
      <c r="D7519" t="s">
        <v>52</v>
      </c>
      <c r="E7519" t="s">
        <v>114</v>
      </c>
      <c r="F7519" t="s">
        <v>115</v>
      </c>
      <c r="G7519" t="s">
        <v>15</v>
      </c>
      <c r="H7519" t="s">
        <v>37</v>
      </c>
      <c r="I7519" s="3">
        <v>41</v>
      </c>
      <c r="J7519" s="2">
        <v>128</v>
      </c>
      <c r="K7519" s="3">
        <f t="shared" si="117"/>
        <v>5248</v>
      </c>
      <c r="L7519" s="3">
        <v>2938.88</v>
      </c>
    </row>
    <row r="7520" spans="1:12" x14ac:dyDescent="0.25">
      <c r="A7520" t="s">
        <v>27</v>
      </c>
      <c r="B7520">
        <v>1197831</v>
      </c>
      <c r="C7520" s="1">
        <v>44520</v>
      </c>
      <c r="D7520" t="s">
        <v>52</v>
      </c>
      <c r="E7520" t="s">
        <v>116</v>
      </c>
      <c r="F7520" t="s">
        <v>117</v>
      </c>
      <c r="G7520" t="s">
        <v>15</v>
      </c>
      <c r="H7520" t="s">
        <v>38</v>
      </c>
      <c r="I7520" s="3">
        <v>16</v>
      </c>
      <c r="J7520" s="2">
        <v>166</v>
      </c>
      <c r="K7520" s="3">
        <f t="shared" si="117"/>
        <v>2656</v>
      </c>
      <c r="L7520" s="3">
        <v>1487.36</v>
      </c>
    </row>
    <row r="7521" spans="1:12" x14ac:dyDescent="0.25">
      <c r="A7521" t="s">
        <v>19</v>
      </c>
      <c r="B7521">
        <v>1185732</v>
      </c>
      <c r="C7521" s="1">
        <v>44520</v>
      </c>
      <c r="D7521" t="s">
        <v>29</v>
      </c>
      <c r="E7521" t="s">
        <v>55</v>
      </c>
      <c r="F7521" t="s">
        <v>56</v>
      </c>
      <c r="G7521" t="s">
        <v>41</v>
      </c>
      <c r="H7521" t="s">
        <v>16</v>
      </c>
      <c r="I7521" s="3">
        <v>64</v>
      </c>
      <c r="J7521" s="2">
        <v>63</v>
      </c>
      <c r="K7521" s="3">
        <f t="shared" si="117"/>
        <v>4032</v>
      </c>
      <c r="L7521" s="3">
        <v>2217.6000000000004</v>
      </c>
    </row>
    <row r="7522" spans="1:12" x14ac:dyDescent="0.25">
      <c r="A7522" t="s">
        <v>11</v>
      </c>
      <c r="B7522">
        <v>1197831</v>
      </c>
      <c r="C7522" s="1">
        <v>44520</v>
      </c>
      <c r="D7522" t="s">
        <v>52</v>
      </c>
      <c r="E7522" t="s">
        <v>114</v>
      </c>
      <c r="F7522" t="s">
        <v>115</v>
      </c>
      <c r="G7522" t="s">
        <v>15</v>
      </c>
      <c r="H7522" t="s">
        <v>16</v>
      </c>
      <c r="I7522" s="3">
        <v>53</v>
      </c>
      <c r="J7522" s="2">
        <v>135</v>
      </c>
      <c r="K7522" s="3">
        <f t="shared" si="117"/>
        <v>7155</v>
      </c>
      <c r="L7522" s="3">
        <v>3935.25</v>
      </c>
    </row>
    <row r="7523" spans="1:12" x14ac:dyDescent="0.25">
      <c r="A7523" t="s">
        <v>11</v>
      </c>
      <c r="B7523">
        <v>1197831</v>
      </c>
      <c r="C7523" s="1">
        <v>44520</v>
      </c>
      <c r="D7523" t="s">
        <v>52</v>
      </c>
      <c r="E7523" t="s">
        <v>114</v>
      </c>
      <c r="F7523" t="s">
        <v>115</v>
      </c>
      <c r="G7523" t="s">
        <v>15</v>
      </c>
      <c r="H7523" t="s">
        <v>38</v>
      </c>
      <c r="I7523" s="3">
        <v>18</v>
      </c>
      <c r="J7523" s="2">
        <v>176</v>
      </c>
      <c r="K7523" s="3">
        <f t="shared" si="117"/>
        <v>3168</v>
      </c>
      <c r="L7523" s="3">
        <v>1710.72</v>
      </c>
    </row>
    <row r="7524" spans="1:12" x14ac:dyDescent="0.25">
      <c r="A7524" t="s">
        <v>11</v>
      </c>
      <c r="B7524">
        <v>1197831</v>
      </c>
      <c r="C7524" s="1">
        <v>44520</v>
      </c>
      <c r="D7524" t="s">
        <v>52</v>
      </c>
      <c r="E7524" t="s">
        <v>114</v>
      </c>
      <c r="F7524" t="s">
        <v>115</v>
      </c>
      <c r="G7524" t="s">
        <v>41</v>
      </c>
      <c r="H7524" t="s">
        <v>22</v>
      </c>
      <c r="I7524" s="3">
        <v>69</v>
      </c>
      <c r="J7524" s="2">
        <v>91</v>
      </c>
      <c r="K7524" s="3">
        <f t="shared" si="117"/>
        <v>6279</v>
      </c>
      <c r="L7524" s="3">
        <v>3327.8700000000003</v>
      </c>
    </row>
    <row r="7525" spans="1:12" x14ac:dyDescent="0.25">
      <c r="A7525" t="s">
        <v>27</v>
      </c>
      <c r="B7525">
        <v>1197831</v>
      </c>
      <c r="C7525" s="1">
        <v>44520</v>
      </c>
      <c r="D7525" t="s">
        <v>52</v>
      </c>
      <c r="E7525" t="s">
        <v>116</v>
      </c>
      <c r="F7525" t="s">
        <v>117</v>
      </c>
      <c r="G7525" t="s">
        <v>41</v>
      </c>
      <c r="H7525" t="s">
        <v>17</v>
      </c>
      <c r="I7525" s="3">
        <v>14</v>
      </c>
      <c r="J7525" s="2">
        <v>78</v>
      </c>
      <c r="K7525" s="3">
        <f t="shared" si="117"/>
        <v>1092</v>
      </c>
      <c r="L7525" s="3">
        <v>578.76</v>
      </c>
    </row>
    <row r="7526" spans="1:12" x14ac:dyDescent="0.25">
      <c r="A7526" t="s">
        <v>27</v>
      </c>
      <c r="B7526">
        <v>1197831</v>
      </c>
      <c r="C7526" s="1">
        <v>44520</v>
      </c>
      <c r="D7526" t="s">
        <v>52</v>
      </c>
      <c r="E7526" t="s">
        <v>116</v>
      </c>
      <c r="F7526" t="s">
        <v>117</v>
      </c>
      <c r="G7526" t="s">
        <v>15</v>
      </c>
      <c r="H7526" t="s">
        <v>37</v>
      </c>
      <c r="I7526" s="3">
        <v>37</v>
      </c>
      <c r="J7526" s="2">
        <v>90</v>
      </c>
      <c r="K7526" s="3">
        <f t="shared" si="117"/>
        <v>3330</v>
      </c>
      <c r="L7526" s="3">
        <v>1764.8999999999999</v>
      </c>
    </row>
    <row r="7527" spans="1:12" x14ac:dyDescent="0.25">
      <c r="A7527" t="s">
        <v>27</v>
      </c>
      <c r="B7527">
        <v>1197831</v>
      </c>
      <c r="C7527" s="1">
        <v>44520</v>
      </c>
      <c r="D7527" t="s">
        <v>52</v>
      </c>
      <c r="E7527" t="s">
        <v>116</v>
      </c>
      <c r="F7527" t="s">
        <v>117</v>
      </c>
      <c r="G7527" t="s">
        <v>41</v>
      </c>
      <c r="H7527" t="s">
        <v>22</v>
      </c>
      <c r="I7527" s="3">
        <v>71</v>
      </c>
      <c r="J7527" s="2">
        <v>77</v>
      </c>
      <c r="K7527" s="3">
        <f t="shared" si="117"/>
        <v>5467</v>
      </c>
      <c r="L7527" s="3">
        <v>2788.17</v>
      </c>
    </row>
    <row r="7528" spans="1:12" x14ac:dyDescent="0.25">
      <c r="A7528" t="s">
        <v>11</v>
      </c>
      <c r="B7528">
        <v>1197831</v>
      </c>
      <c r="C7528" s="1">
        <v>44520</v>
      </c>
      <c r="D7528" t="s">
        <v>52</v>
      </c>
      <c r="E7528" t="s">
        <v>114</v>
      </c>
      <c r="F7528" t="s">
        <v>115</v>
      </c>
      <c r="G7528" t="s">
        <v>41</v>
      </c>
      <c r="H7528" t="s">
        <v>38</v>
      </c>
      <c r="I7528" s="3">
        <v>24</v>
      </c>
      <c r="J7528" s="2">
        <v>143</v>
      </c>
      <c r="K7528" s="3">
        <f t="shared" si="117"/>
        <v>3432</v>
      </c>
      <c r="L7528" s="3">
        <v>1716</v>
      </c>
    </row>
    <row r="7529" spans="1:12" x14ac:dyDescent="0.25">
      <c r="A7529" t="s">
        <v>11</v>
      </c>
      <c r="B7529">
        <v>1197831</v>
      </c>
      <c r="C7529" s="1">
        <v>44520</v>
      </c>
      <c r="D7529" t="s">
        <v>52</v>
      </c>
      <c r="E7529" t="s">
        <v>114</v>
      </c>
      <c r="F7529" t="s">
        <v>115</v>
      </c>
      <c r="G7529" t="s">
        <v>41</v>
      </c>
      <c r="H7529" t="s">
        <v>17</v>
      </c>
      <c r="I7529" s="3">
        <v>14</v>
      </c>
      <c r="J7529" s="2">
        <v>94</v>
      </c>
      <c r="K7529" s="3">
        <f t="shared" si="117"/>
        <v>1316</v>
      </c>
      <c r="L7529" s="3">
        <v>658</v>
      </c>
    </row>
    <row r="7530" spans="1:12" x14ac:dyDescent="0.25">
      <c r="A7530" t="s">
        <v>11</v>
      </c>
      <c r="B7530">
        <v>1197831</v>
      </c>
      <c r="C7530" s="1">
        <v>44520</v>
      </c>
      <c r="D7530" t="s">
        <v>52</v>
      </c>
      <c r="E7530" t="s">
        <v>114</v>
      </c>
      <c r="F7530" t="s">
        <v>115</v>
      </c>
      <c r="G7530" t="s">
        <v>41</v>
      </c>
      <c r="H7530" t="s">
        <v>37</v>
      </c>
      <c r="I7530" s="3">
        <v>51</v>
      </c>
      <c r="J7530" s="2">
        <v>109</v>
      </c>
      <c r="K7530" s="3">
        <f t="shared" si="117"/>
        <v>5559</v>
      </c>
      <c r="L7530" s="3">
        <v>2779.5</v>
      </c>
    </row>
    <row r="7531" spans="1:12" x14ac:dyDescent="0.25">
      <c r="A7531" t="s">
        <v>27</v>
      </c>
      <c r="B7531">
        <v>1197831</v>
      </c>
      <c r="C7531" s="1">
        <v>44520</v>
      </c>
      <c r="D7531" t="s">
        <v>52</v>
      </c>
      <c r="E7531" t="s">
        <v>116</v>
      </c>
      <c r="F7531" t="s">
        <v>117</v>
      </c>
      <c r="G7531" t="s">
        <v>41</v>
      </c>
      <c r="H7531" t="s">
        <v>16</v>
      </c>
      <c r="I7531" s="3">
        <v>72</v>
      </c>
      <c r="J7531" s="2">
        <v>105</v>
      </c>
      <c r="K7531" s="3">
        <f t="shared" si="117"/>
        <v>7560</v>
      </c>
      <c r="L7531" s="3">
        <v>3780</v>
      </c>
    </row>
    <row r="7532" spans="1:12" x14ac:dyDescent="0.25">
      <c r="A7532" t="s">
        <v>11</v>
      </c>
      <c r="B7532">
        <v>1197831</v>
      </c>
      <c r="C7532" s="1">
        <v>44520</v>
      </c>
      <c r="D7532" t="s">
        <v>52</v>
      </c>
      <c r="E7532" t="s">
        <v>114</v>
      </c>
      <c r="F7532" t="s">
        <v>115</v>
      </c>
      <c r="G7532" t="s">
        <v>41</v>
      </c>
      <c r="H7532" t="s">
        <v>35</v>
      </c>
      <c r="I7532" s="3">
        <v>23</v>
      </c>
      <c r="J7532" s="2">
        <v>90</v>
      </c>
      <c r="K7532" s="3">
        <f t="shared" si="117"/>
        <v>2070</v>
      </c>
      <c r="L7532" s="3">
        <v>1014.3</v>
      </c>
    </row>
    <row r="7533" spans="1:12" x14ac:dyDescent="0.25">
      <c r="A7533" t="s">
        <v>11</v>
      </c>
      <c r="B7533">
        <v>1197831</v>
      </c>
      <c r="C7533" s="1">
        <v>44520</v>
      </c>
      <c r="D7533" t="s">
        <v>52</v>
      </c>
      <c r="E7533" t="s">
        <v>114</v>
      </c>
      <c r="F7533" t="s">
        <v>115</v>
      </c>
      <c r="G7533" t="s">
        <v>41</v>
      </c>
      <c r="H7533" t="s">
        <v>16</v>
      </c>
      <c r="I7533" s="3">
        <v>73</v>
      </c>
      <c r="J7533" s="2">
        <v>117</v>
      </c>
      <c r="K7533" s="3">
        <f t="shared" si="117"/>
        <v>8541</v>
      </c>
      <c r="L7533" s="3">
        <v>4014.2699999999995</v>
      </c>
    </row>
    <row r="7534" spans="1:12" x14ac:dyDescent="0.25">
      <c r="A7534" t="s">
        <v>27</v>
      </c>
      <c r="B7534">
        <v>1197831</v>
      </c>
      <c r="C7534" s="1">
        <v>44520</v>
      </c>
      <c r="D7534" t="s">
        <v>52</v>
      </c>
      <c r="E7534" t="s">
        <v>116</v>
      </c>
      <c r="F7534" t="s">
        <v>117</v>
      </c>
      <c r="G7534" t="s">
        <v>41</v>
      </c>
      <c r="H7534" t="s">
        <v>37</v>
      </c>
      <c r="I7534" s="3">
        <v>52</v>
      </c>
      <c r="J7534" s="2">
        <v>75</v>
      </c>
      <c r="K7534" s="3">
        <f t="shared" si="117"/>
        <v>3900</v>
      </c>
      <c r="L7534" s="3">
        <v>1833</v>
      </c>
    </row>
    <row r="7535" spans="1:12" x14ac:dyDescent="0.25">
      <c r="A7535" t="s">
        <v>27</v>
      </c>
      <c r="B7535">
        <v>1197831</v>
      </c>
      <c r="C7535" s="1">
        <v>44520</v>
      </c>
      <c r="D7535" t="s">
        <v>52</v>
      </c>
      <c r="E7535" t="s">
        <v>116</v>
      </c>
      <c r="F7535" t="s">
        <v>117</v>
      </c>
      <c r="G7535" t="s">
        <v>41</v>
      </c>
      <c r="H7535" t="s">
        <v>38</v>
      </c>
      <c r="I7535" s="3">
        <v>23</v>
      </c>
      <c r="J7535" s="2">
        <v>133</v>
      </c>
      <c r="K7535" s="3">
        <f t="shared" si="117"/>
        <v>3059</v>
      </c>
      <c r="L7535" s="3">
        <v>1407.1399999999999</v>
      </c>
    </row>
    <row r="7536" spans="1:12" x14ac:dyDescent="0.25">
      <c r="A7536" t="s">
        <v>27</v>
      </c>
      <c r="B7536">
        <v>1197831</v>
      </c>
      <c r="C7536" s="1">
        <v>44520</v>
      </c>
      <c r="D7536" t="s">
        <v>52</v>
      </c>
      <c r="E7536" t="s">
        <v>116</v>
      </c>
      <c r="F7536" t="s">
        <v>117</v>
      </c>
      <c r="G7536" t="s">
        <v>41</v>
      </c>
      <c r="H7536" t="s">
        <v>35</v>
      </c>
      <c r="I7536" s="3">
        <v>23</v>
      </c>
      <c r="J7536" s="2">
        <v>74</v>
      </c>
      <c r="K7536" s="3">
        <f t="shared" si="117"/>
        <v>1702</v>
      </c>
      <c r="L7536" s="3">
        <v>782.92</v>
      </c>
    </row>
    <row r="7537" spans="1:12" x14ac:dyDescent="0.25">
      <c r="A7537" t="s">
        <v>36</v>
      </c>
      <c r="B7537">
        <v>1185732</v>
      </c>
      <c r="C7537" s="1">
        <v>44521</v>
      </c>
      <c r="D7537" t="s">
        <v>12</v>
      </c>
      <c r="E7537" t="s">
        <v>24</v>
      </c>
      <c r="F7537" t="s">
        <v>25</v>
      </c>
      <c r="G7537" t="s">
        <v>15</v>
      </c>
      <c r="H7537" t="s">
        <v>35</v>
      </c>
      <c r="I7537" s="3">
        <v>65.000000000000014</v>
      </c>
      <c r="J7537" s="2">
        <v>320</v>
      </c>
      <c r="K7537" s="3">
        <f t="shared" si="117"/>
        <v>20800.000000000004</v>
      </c>
      <c r="L7537" s="3">
        <v>15600.000000000005</v>
      </c>
    </row>
    <row r="7538" spans="1:12" x14ac:dyDescent="0.25">
      <c r="A7538" t="s">
        <v>36</v>
      </c>
      <c r="B7538">
        <v>1185732</v>
      </c>
      <c r="C7538" s="1">
        <v>44521</v>
      </c>
      <c r="D7538" t="s">
        <v>29</v>
      </c>
      <c r="E7538" t="s">
        <v>30</v>
      </c>
      <c r="F7538" t="s">
        <v>31</v>
      </c>
      <c r="G7538" t="s">
        <v>15</v>
      </c>
      <c r="H7538" t="s">
        <v>22</v>
      </c>
      <c r="I7538" s="3">
        <v>54.999999999999993</v>
      </c>
      <c r="J7538" s="2">
        <v>200</v>
      </c>
      <c r="K7538" s="3">
        <f t="shared" si="117"/>
        <v>10999.999999999998</v>
      </c>
      <c r="L7538" s="3">
        <v>8249.9999999999982</v>
      </c>
    </row>
    <row r="7539" spans="1:12" x14ac:dyDescent="0.25">
      <c r="A7539" t="s">
        <v>36</v>
      </c>
      <c r="B7539">
        <v>1185732</v>
      </c>
      <c r="C7539" s="1">
        <v>44521</v>
      </c>
      <c r="D7539" t="s">
        <v>12</v>
      </c>
      <c r="E7539" t="s">
        <v>24</v>
      </c>
      <c r="F7539" t="s">
        <v>25</v>
      </c>
      <c r="G7539" t="s">
        <v>15</v>
      </c>
      <c r="H7539" t="s">
        <v>37</v>
      </c>
      <c r="I7539" s="3">
        <v>65.000000000000014</v>
      </c>
      <c r="J7539" s="2">
        <v>300</v>
      </c>
      <c r="K7539" s="3">
        <f t="shared" si="117"/>
        <v>19500.000000000004</v>
      </c>
      <c r="L7539" s="3">
        <v>14625.000000000004</v>
      </c>
    </row>
    <row r="7540" spans="1:12" x14ac:dyDescent="0.25">
      <c r="A7540" t="s">
        <v>36</v>
      </c>
      <c r="B7540">
        <v>1185732</v>
      </c>
      <c r="C7540" s="1">
        <v>44521</v>
      </c>
      <c r="D7540" t="s">
        <v>12</v>
      </c>
      <c r="E7540" t="s">
        <v>24</v>
      </c>
      <c r="F7540" t="s">
        <v>25</v>
      </c>
      <c r="G7540" t="s">
        <v>15</v>
      </c>
      <c r="H7540" t="s">
        <v>22</v>
      </c>
      <c r="I7540" s="3">
        <v>75.000000000000014</v>
      </c>
      <c r="J7540" s="2">
        <v>275</v>
      </c>
      <c r="K7540" s="3">
        <f t="shared" si="117"/>
        <v>20625.000000000004</v>
      </c>
      <c r="L7540" s="3">
        <v>15468.750000000004</v>
      </c>
    </row>
    <row r="7541" spans="1:12" x14ac:dyDescent="0.25">
      <c r="A7541" t="s">
        <v>36</v>
      </c>
      <c r="B7541">
        <v>1185732</v>
      </c>
      <c r="C7541" s="1">
        <v>44521</v>
      </c>
      <c r="D7541" t="s">
        <v>12</v>
      </c>
      <c r="E7541" t="s">
        <v>24</v>
      </c>
      <c r="F7541" t="s">
        <v>25</v>
      </c>
      <c r="G7541" t="s">
        <v>15</v>
      </c>
      <c r="H7541" t="s">
        <v>16</v>
      </c>
      <c r="I7541" s="3">
        <v>80</v>
      </c>
      <c r="J7541" s="2">
        <v>375</v>
      </c>
      <c r="K7541" s="3">
        <f t="shared" si="117"/>
        <v>30000</v>
      </c>
      <c r="L7541" s="3">
        <v>21000</v>
      </c>
    </row>
    <row r="7542" spans="1:12" x14ac:dyDescent="0.25">
      <c r="A7542" t="s">
        <v>19</v>
      </c>
      <c r="B7542">
        <v>1185732</v>
      </c>
      <c r="C7542" s="1">
        <v>44521</v>
      </c>
      <c r="D7542" t="s">
        <v>29</v>
      </c>
      <c r="E7542" t="s">
        <v>87</v>
      </c>
      <c r="F7542" t="s">
        <v>88</v>
      </c>
      <c r="G7542" t="s">
        <v>18</v>
      </c>
      <c r="H7542" t="s">
        <v>22</v>
      </c>
      <c r="I7542" s="3">
        <v>60</v>
      </c>
      <c r="J7542" s="2">
        <v>125</v>
      </c>
      <c r="K7542" s="3">
        <f t="shared" si="117"/>
        <v>7500</v>
      </c>
      <c r="L7542" s="3">
        <v>5250</v>
      </c>
    </row>
    <row r="7543" spans="1:12" x14ac:dyDescent="0.25">
      <c r="A7543" t="s">
        <v>19</v>
      </c>
      <c r="B7543">
        <v>1185732</v>
      </c>
      <c r="C7543" s="1">
        <v>44521</v>
      </c>
      <c r="D7543" t="s">
        <v>29</v>
      </c>
      <c r="E7543" t="s">
        <v>87</v>
      </c>
      <c r="F7543" t="s">
        <v>88</v>
      </c>
      <c r="G7543" t="s">
        <v>18</v>
      </c>
      <c r="H7543" t="s">
        <v>16</v>
      </c>
      <c r="I7543" s="3">
        <v>64.999999999999986</v>
      </c>
      <c r="J7543" s="2">
        <v>225</v>
      </c>
      <c r="K7543" s="3">
        <f t="shared" si="117"/>
        <v>14624.999999999996</v>
      </c>
      <c r="L7543" s="3">
        <v>10237.499999999996</v>
      </c>
    </row>
    <row r="7544" spans="1:12" x14ac:dyDescent="0.25">
      <c r="A7544" t="s">
        <v>36</v>
      </c>
      <c r="B7544">
        <v>1185732</v>
      </c>
      <c r="C7544" s="1">
        <v>44521</v>
      </c>
      <c r="D7544" t="s">
        <v>12</v>
      </c>
      <c r="E7544" t="s">
        <v>24</v>
      </c>
      <c r="F7544" t="s">
        <v>25</v>
      </c>
      <c r="G7544" t="s">
        <v>15</v>
      </c>
      <c r="H7544" t="s">
        <v>38</v>
      </c>
      <c r="I7544" s="3">
        <v>75.000000000000014</v>
      </c>
      <c r="J7544" s="2">
        <v>425</v>
      </c>
      <c r="K7544" s="3">
        <f t="shared" si="117"/>
        <v>31875.000000000007</v>
      </c>
      <c r="L7544" s="3">
        <v>20718.750000000004</v>
      </c>
    </row>
    <row r="7545" spans="1:12" x14ac:dyDescent="0.25">
      <c r="A7545" t="s">
        <v>36</v>
      </c>
      <c r="B7545">
        <v>1185732</v>
      </c>
      <c r="C7545" s="1">
        <v>44521</v>
      </c>
      <c r="D7545" t="s">
        <v>12</v>
      </c>
      <c r="E7545" t="s">
        <v>24</v>
      </c>
      <c r="F7545" t="s">
        <v>25</v>
      </c>
      <c r="G7545" t="s">
        <v>15</v>
      </c>
      <c r="H7545" t="s">
        <v>17</v>
      </c>
      <c r="I7545" s="3">
        <v>65.000000000000014</v>
      </c>
      <c r="J7545" s="2">
        <v>300</v>
      </c>
      <c r="K7545" s="3">
        <f t="shared" si="117"/>
        <v>19500.000000000004</v>
      </c>
      <c r="L7545" s="3">
        <v>12675.000000000002</v>
      </c>
    </row>
    <row r="7546" spans="1:12" x14ac:dyDescent="0.25">
      <c r="A7546" t="s">
        <v>19</v>
      </c>
      <c r="B7546">
        <v>1185732</v>
      </c>
      <c r="C7546" s="1">
        <v>44521</v>
      </c>
      <c r="D7546" t="s">
        <v>29</v>
      </c>
      <c r="E7546" t="s">
        <v>87</v>
      </c>
      <c r="F7546" t="s">
        <v>88</v>
      </c>
      <c r="G7546" t="s">
        <v>18</v>
      </c>
      <c r="H7546" t="s">
        <v>17</v>
      </c>
      <c r="I7546" s="3">
        <v>50</v>
      </c>
      <c r="J7546" s="2">
        <v>175</v>
      </c>
      <c r="K7546" s="3">
        <f t="shared" si="117"/>
        <v>8750</v>
      </c>
      <c r="L7546" s="3">
        <v>5687.5</v>
      </c>
    </row>
    <row r="7547" spans="1:12" x14ac:dyDescent="0.25">
      <c r="A7547" t="s">
        <v>19</v>
      </c>
      <c r="B7547">
        <v>1185732</v>
      </c>
      <c r="C7547" s="1">
        <v>44521</v>
      </c>
      <c r="D7547" t="s">
        <v>29</v>
      </c>
      <c r="E7547" t="s">
        <v>87</v>
      </c>
      <c r="F7547" t="s">
        <v>88</v>
      </c>
      <c r="G7547" t="s">
        <v>18</v>
      </c>
      <c r="H7547" t="s">
        <v>35</v>
      </c>
      <c r="I7547" s="3">
        <v>50</v>
      </c>
      <c r="J7547" s="2">
        <v>170</v>
      </c>
      <c r="K7547" s="3">
        <f t="shared" si="117"/>
        <v>8500</v>
      </c>
      <c r="L7547" s="3">
        <v>5525</v>
      </c>
    </row>
    <row r="7548" spans="1:12" x14ac:dyDescent="0.25">
      <c r="A7548" t="s">
        <v>19</v>
      </c>
      <c r="B7548">
        <v>1185732</v>
      </c>
      <c r="C7548" s="1">
        <v>44521</v>
      </c>
      <c r="D7548" t="s">
        <v>29</v>
      </c>
      <c r="E7548" t="s">
        <v>87</v>
      </c>
      <c r="F7548" t="s">
        <v>88</v>
      </c>
      <c r="G7548" t="s">
        <v>18</v>
      </c>
      <c r="H7548" t="s">
        <v>37</v>
      </c>
      <c r="I7548" s="3">
        <v>50</v>
      </c>
      <c r="J7548" s="2">
        <v>150</v>
      </c>
      <c r="K7548" s="3">
        <f t="shared" si="117"/>
        <v>7500</v>
      </c>
      <c r="L7548" s="3">
        <v>4875</v>
      </c>
    </row>
    <row r="7549" spans="1:12" x14ac:dyDescent="0.25">
      <c r="A7549" t="s">
        <v>19</v>
      </c>
      <c r="B7549">
        <v>1185732</v>
      </c>
      <c r="C7549" s="1">
        <v>44521</v>
      </c>
      <c r="D7549" t="s">
        <v>29</v>
      </c>
      <c r="E7549" t="s">
        <v>87</v>
      </c>
      <c r="F7549" t="s">
        <v>88</v>
      </c>
      <c r="G7549" t="s">
        <v>18</v>
      </c>
      <c r="H7549" t="s">
        <v>38</v>
      </c>
      <c r="I7549" s="3">
        <v>60</v>
      </c>
      <c r="J7549" s="2">
        <v>350</v>
      </c>
      <c r="K7549" s="3">
        <f t="shared" si="117"/>
        <v>21000</v>
      </c>
      <c r="L7549" s="3">
        <v>12600</v>
      </c>
    </row>
    <row r="7550" spans="1:12" x14ac:dyDescent="0.25">
      <c r="A7550" t="s">
        <v>19</v>
      </c>
      <c r="B7550">
        <v>1185732</v>
      </c>
      <c r="C7550" s="1">
        <v>44521</v>
      </c>
      <c r="D7550" t="s">
        <v>29</v>
      </c>
      <c r="E7550" t="s">
        <v>55</v>
      </c>
      <c r="F7550" t="s">
        <v>56</v>
      </c>
      <c r="G7550" t="s">
        <v>15</v>
      </c>
      <c r="H7550" t="s">
        <v>38</v>
      </c>
      <c r="I7550" s="3">
        <v>65</v>
      </c>
      <c r="J7550" s="2">
        <v>500</v>
      </c>
      <c r="K7550" s="3">
        <f t="shared" si="117"/>
        <v>32500</v>
      </c>
      <c r="L7550" s="3">
        <v>14625</v>
      </c>
    </row>
    <row r="7551" spans="1:12" x14ac:dyDescent="0.25">
      <c r="A7551" t="s">
        <v>36</v>
      </c>
      <c r="B7551">
        <v>1185732</v>
      </c>
      <c r="C7551" s="1">
        <v>44521</v>
      </c>
      <c r="D7551" t="s">
        <v>12</v>
      </c>
      <c r="E7551" t="s">
        <v>24</v>
      </c>
      <c r="F7551" t="s">
        <v>25</v>
      </c>
      <c r="G7551" t="s">
        <v>41</v>
      </c>
      <c r="H7551" t="s">
        <v>22</v>
      </c>
      <c r="I7551" s="3">
        <v>69</v>
      </c>
      <c r="J7551" s="2">
        <v>83</v>
      </c>
      <c r="K7551" s="3">
        <f t="shared" si="117"/>
        <v>5727</v>
      </c>
      <c r="L7551" s="3">
        <v>3722.55</v>
      </c>
    </row>
    <row r="7552" spans="1:12" x14ac:dyDescent="0.25">
      <c r="A7552" t="s">
        <v>36</v>
      </c>
      <c r="B7552">
        <v>1185732</v>
      </c>
      <c r="C7552" s="1">
        <v>44521</v>
      </c>
      <c r="D7552" t="s">
        <v>29</v>
      </c>
      <c r="E7552" t="s">
        <v>30</v>
      </c>
      <c r="F7552" t="s">
        <v>31</v>
      </c>
      <c r="G7552" t="s">
        <v>41</v>
      </c>
      <c r="H7552" t="s">
        <v>22</v>
      </c>
      <c r="I7552" s="3">
        <v>53</v>
      </c>
      <c r="J7552" s="2">
        <v>60</v>
      </c>
      <c r="K7552" s="3">
        <f t="shared" si="117"/>
        <v>3180</v>
      </c>
      <c r="L7552" s="3">
        <v>1971.6</v>
      </c>
    </row>
    <row r="7553" spans="1:12" x14ac:dyDescent="0.25">
      <c r="A7553" t="s">
        <v>36</v>
      </c>
      <c r="B7553">
        <v>1185732</v>
      </c>
      <c r="C7553" s="1">
        <v>44521</v>
      </c>
      <c r="D7553" t="s">
        <v>12</v>
      </c>
      <c r="E7553" t="s">
        <v>24</v>
      </c>
      <c r="F7553" t="s">
        <v>25</v>
      </c>
      <c r="G7553" t="s">
        <v>41</v>
      </c>
      <c r="H7553" t="s">
        <v>37</v>
      </c>
      <c r="I7553" s="3">
        <v>62</v>
      </c>
      <c r="J7553" s="2">
        <v>90</v>
      </c>
      <c r="K7553" s="3">
        <f t="shared" si="117"/>
        <v>5580</v>
      </c>
      <c r="L7553" s="3">
        <v>3459.6</v>
      </c>
    </row>
    <row r="7554" spans="1:12" x14ac:dyDescent="0.25">
      <c r="A7554" t="s">
        <v>36</v>
      </c>
      <c r="B7554">
        <v>1185732</v>
      </c>
      <c r="C7554" s="1">
        <v>44521</v>
      </c>
      <c r="D7554" t="s">
        <v>12</v>
      </c>
      <c r="E7554" t="s">
        <v>24</v>
      </c>
      <c r="F7554" t="s">
        <v>25</v>
      </c>
      <c r="G7554" t="s">
        <v>41</v>
      </c>
      <c r="H7554" t="s">
        <v>35</v>
      </c>
      <c r="I7554" s="3">
        <v>59</v>
      </c>
      <c r="J7554" s="2">
        <v>93</v>
      </c>
      <c r="K7554" s="3">
        <f t="shared" si="117"/>
        <v>5487</v>
      </c>
      <c r="L7554" s="3">
        <v>3347.0699999999997</v>
      </c>
    </row>
    <row r="7555" spans="1:12" x14ac:dyDescent="0.25">
      <c r="A7555" t="s">
        <v>36</v>
      </c>
      <c r="B7555">
        <v>1185732</v>
      </c>
      <c r="C7555" s="1">
        <v>44521</v>
      </c>
      <c r="D7555" t="s">
        <v>12</v>
      </c>
      <c r="E7555" t="s">
        <v>24</v>
      </c>
      <c r="F7555" t="s">
        <v>25</v>
      </c>
      <c r="G7555" t="s">
        <v>41</v>
      </c>
      <c r="H7555" t="s">
        <v>16</v>
      </c>
      <c r="I7555" s="3">
        <v>74</v>
      </c>
      <c r="J7555" s="2">
        <v>101</v>
      </c>
      <c r="K7555" s="3">
        <f t="shared" ref="K7555:K7618" si="118">I7555*J7555</f>
        <v>7474</v>
      </c>
      <c r="L7555" s="3">
        <v>4334.92</v>
      </c>
    </row>
    <row r="7556" spans="1:12" x14ac:dyDescent="0.25">
      <c r="A7556" t="s">
        <v>19</v>
      </c>
      <c r="B7556">
        <v>1185732</v>
      </c>
      <c r="C7556" s="1">
        <v>44521</v>
      </c>
      <c r="D7556" t="s">
        <v>29</v>
      </c>
      <c r="E7556" t="s">
        <v>87</v>
      </c>
      <c r="F7556" t="s">
        <v>88</v>
      </c>
      <c r="G7556" t="s">
        <v>41</v>
      </c>
      <c r="H7556" t="s">
        <v>16</v>
      </c>
      <c r="I7556" s="3">
        <v>62</v>
      </c>
      <c r="J7556" s="2">
        <v>63</v>
      </c>
      <c r="K7556" s="3">
        <f t="shared" si="118"/>
        <v>3906</v>
      </c>
      <c r="L7556" s="3">
        <v>2226.42</v>
      </c>
    </row>
    <row r="7557" spans="1:12" x14ac:dyDescent="0.25">
      <c r="A7557" t="s">
        <v>19</v>
      </c>
      <c r="B7557">
        <v>1185732</v>
      </c>
      <c r="C7557" s="1">
        <v>44521</v>
      </c>
      <c r="D7557" t="s">
        <v>29</v>
      </c>
      <c r="E7557" t="s">
        <v>87</v>
      </c>
      <c r="F7557" t="s">
        <v>88</v>
      </c>
      <c r="G7557" t="s">
        <v>41</v>
      </c>
      <c r="H7557" t="s">
        <v>22</v>
      </c>
      <c r="I7557" s="3">
        <v>56</v>
      </c>
      <c r="J7557" s="2">
        <v>31</v>
      </c>
      <c r="K7557" s="3">
        <f t="shared" si="118"/>
        <v>1736</v>
      </c>
      <c r="L7557" s="3">
        <v>972.16</v>
      </c>
    </row>
    <row r="7558" spans="1:12" x14ac:dyDescent="0.25">
      <c r="A7558" t="s">
        <v>19</v>
      </c>
      <c r="B7558">
        <v>1185732</v>
      </c>
      <c r="C7558" s="1">
        <v>44521</v>
      </c>
      <c r="D7558" t="s">
        <v>29</v>
      </c>
      <c r="E7558" t="s">
        <v>87</v>
      </c>
      <c r="F7558" t="s">
        <v>88</v>
      </c>
      <c r="G7558" t="s">
        <v>41</v>
      </c>
      <c r="H7558" t="s">
        <v>37</v>
      </c>
      <c r="I7558" s="3">
        <v>48</v>
      </c>
      <c r="J7558" s="2">
        <v>41</v>
      </c>
      <c r="K7558" s="3">
        <f t="shared" si="118"/>
        <v>1968</v>
      </c>
      <c r="L7558" s="3">
        <v>1062.72</v>
      </c>
    </row>
    <row r="7559" spans="1:12" x14ac:dyDescent="0.25">
      <c r="A7559" t="s">
        <v>36</v>
      </c>
      <c r="B7559">
        <v>1185732</v>
      </c>
      <c r="C7559" s="1">
        <v>44521</v>
      </c>
      <c r="D7559" t="s">
        <v>12</v>
      </c>
      <c r="E7559" t="s">
        <v>24</v>
      </c>
      <c r="F7559" t="s">
        <v>25</v>
      </c>
      <c r="G7559" t="s">
        <v>41</v>
      </c>
      <c r="H7559" t="s">
        <v>17</v>
      </c>
      <c r="I7559" s="3">
        <v>59</v>
      </c>
      <c r="J7559" s="2">
        <v>81</v>
      </c>
      <c r="K7559" s="3">
        <f t="shared" si="118"/>
        <v>4779</v>
      </c>
      <c r="L7559" s="3">
        <v>2580.66</v>
      </c>
    </row>
    <row r="7560" spans="1:12" x14ac:dyDescent="0.25">
      <c r="A7560" t="s">
        <v>19</v>
      </c>
      <c r="B7560">
        <v>1185732</v>
      </c>
      <c r="C7560" s="1">
        <v>44521</v>
      </c>
      <c r="D7560" t="s">
        <v>29</v>
      </c>
      <c r="E7560" t="s">
        <v>87</v>
      </c>
      <c r="F7560" t="s">
        <v>88</v>
      </c>
      <c r="G7560" t="s">
        <v>41</v>
      </c>
      <c r="H7560" t="s">
        <v>17</v>
      </c>
      <c r="I7560" s="3">
        <v>45</v>
      </c>
      <c r="J7560" s="2">
        <v>51</v>
      </c>
      <c r="K7560" s="3">
        <f t="shared" si="118"/>
        <v>2295</v>
      </c>
      <c r="L7560" s="3">
        <v>1216.3500000000001</v>
      </c>
    </row>
    <row r="7561" spans="1:12" x14ac:dyDescent="0.25">
      <c r="A7561" t="s">
        <v>36</v>
      </c>
      <c r="B7561">
        <v>1185732</v>
      </c>
      <c r="C7561" s="1">
        <v>44521</v>
      </c>
      <c r="D7561" t="s">
        <v>12</v>
      </c>
      <c r="E7561" t="s">
        <v>24</v>
      </c>
      <c r="F7561" t="s">
        <v>25</v>
      </c>
      <c r="G7561" t="s">
        <v>41</v>
      </c>
      <c r="H7561" t="s">
        <v>38</v>
      </c>
      <c r="I7561" s="3">
        <v>68</v>
      </c>
      <c r="J7561" s="2">
        <v>123</v>
      </c>
      <c r="K7561" s="3">
        <f t="shared" si="118"/>
        <v>8364</v>
      </c>
      <c r="L7561" s="3">
        <v>4349.28</v>
      </c>
    </row>
    <row r="7562" spans="1:12" x14ac:dyDescent="0.25">
      <c r="A7562" t="s">
        <v>19</v>
      </c>
      <c r="B7562">
        <v>1185732</v>
      </c>
      <c r="C7562" s="1">
        <v>44521</v>
      </c>
      <c r="D7562" t="s">
        <v>29</v>
      </c>
      <c r="E7562" t="s">
        <v>87</v>
      </c>
      <c r="F7562" t="s">
        <v>88</v>
      </c>
      <c r="G7562" t="s">
        <v>41</v>
      </c>
      <c r="H7562" t="s">
        <v>35</v>
      </c>
      <c r="I7562" s="3">
        <v>49</v>
      </c>
      <c r="J7562" s="2">
        <v>48</v>
      </c>
      <c r="K7562" s="3">
        <f t="shared" si="118"/>
        <v>2352</v>
      </c>
      <c r="L7562" s="3">
        <v>1176</v>
      </c>
    </row>
    <row r="7563" spans="1:12" x14ac:dyDescent="0.25">
      <c r="A7563" t="s">
        <v>19</v>
      </c>
      <c r="B7563">
        <v>1185732</v>
      </c>
      <c r="C7563" s="1">
        <v>44521</v>
      </c>
      <c r="D7563" t="s">
        <v>29</v>
      </c>
      <c r="E7563" t="s">
        <v>87</v>
      </c>
      <c r="F7563" t="s">
        <v>88</v>
      </c>
      <c r="G7563" t="s">
        <v>41</v>
      </c>
      <c r="H7563" t="s">
        <v>38</v>
      </c>
      <c r="I7563" s="3">
        <v>58</v>
      </c>
      <c r="J7563" s="2">
        <v>88</v>
      </c>
      <c r="K7563" s="3">
        <f t="shared" si="118"/>
        <v>5104</v>
      </c>
      <c r="L7563" s="3">
        <v>2296.7999999999997</v>
      </c>
    </row>
    <row r="7564" spans="1:12" x14ac:dyDescent="0.25">
      <c r="A7564" t="s">
        <v>19</v>
      </c>
      <c r="B7564">
        <v>1185732</v>
      </c>
      <c r="C7564" s="1">
        <v>44521</v>
      </c>
      <c r="D7564" t="s">
        <v>29</v>
      </c>
      <c r="E7564" t="s">
        <v>55</v>
      </c>
      <c r="F7564" t="s">
        <v>56</v>
      </c>
      <c r="G7564" t="s">
        <v>15</v>
      </c>
      <c r="H7564" t="s">
        <v>38</v>
      </c>
      <c r="I7564" s="3">
        <v>49</v>
      </c>
      <c r="J7564" s="2">
        <v>170</v>
      </c>
      <c r="K7564" s="3">
        <f t="shared" si="118"/>
        <v>8330</v>
      </c>
      <c r="L7564" s="3">
        <v>3581.8999999999996</v>
      </c>
    </row>
    <row r="7565" spans="1:12" x14ac:dyDescent="0.25">
      <c r="A7565" t="s">
        <v>19</v>
      </c>
      <c r="B7565">
        <v>1185732</v>
      </c>
      <c r="C7565" s="1">
        <v>44521</v>
      </c>
      <c r="D7565" t="s">
        <v>29</v>
      </c>
      <c r="E7565" t="s">
        <v>55</v>
      </c>
      <c r="F7565" t="s">
        <v>56</v>
      </c>
      <c r="G7565" t="s">
        <v>41</v>
      </c>
      <c r="H7565" t="s">
        <v>38</v>
      </c>
      <c r="I7565" s="3">
        <v>64</v>
      </c>
      <c r="J7565" s="2">
        <v>135</v>
      </c>
      <c r="K7565" s="3">
        <f t="shared" si="118"/>
        <v>8640</v>
      </c>
      <c r="L7565" s="3">
        <v>3024</v>
      </c>
    </row>
    <row r="7566" spans="1:12" x14ac:dyDescent="0.25">
      <c r="A7566" t="s">
        <v>19</v>
      </c>
      <c r="B7566">
        <v>1185732</v>
      </c>
      <c r="C7566" s="1">
        <v>44522</v>
      </c>
      <c r="D7566" t="s">
        <v>29</v>
      </c>
      <c r="E7566" t="s">
        <v>55</v>
      </c>
      <c r="F7566" t="s">
        <v>56</v>
      </c>
      <c r="G7566" t="s">
        <v>15</v>
      </c>
      <c r="H7566" t="s">
        <v>17</v>
      </c>
      <c r="I7566" s="3">
        <v>60.000000000000007</v>
      </c>
      <c r="J7566" s="2">
        <v>250</v>
      </c>
      <c r="K7566" s="3">
        <f t="shared" si="118"/>
        <v>15000.000000000002</v>
      </c>
      <c r="L7566" s="3">
        <v>9750.0000000000036</v>
      </c>
    </row>
    <row r="7567" spans="1:12" x14ac:dyDescent="0.25">
      <c r="A7567" t="s">
        <v>36</v>
      </c>
      <c r="B7567">
        <v>1185732</v>
      </c>
      <c r="C7567" s="1">
        <v>44522</v>
      </c>
      <c r="D7567" t="s">
        <v>32</v>
      </c>
      <c r="E7567" t="s">
        <v>120</v>
      </c>
      <c r="F7567" t="s">
        <v>121</v>
      </c>
      <c r="G7567" t="s">
        <v>41</v>
      </c>
      <c r="H7567" t="s">
        <v>17</v>
      </c>
      <c r="I7567" s="3">
        <v>40</v>
      </c>
      <c r="J7567" s="2">
        <v>275</v>
      </c>
      <c r="K7567" s="3">
        <f t="shared" si="118"/>
        <v>11000</v>
      </c>
      <c r="L7567" s="3">
        <v>7150</v>
      </c>
    </row>
    <row r="7568" spans="1:12" x14ac:dyDescent="0.25">
      <c r="A7568" t="s">
        <v>19</v>
      </c>
      <c r="B7568">
        <v>1185732</v>
      </c>
      <c r="C7568" s="1">
        <v>44522</v>
      </c>
      <c r="D7568" t="s">
        <v>32</v>
      </c>
      <c r="E7568" t="s">
        <v>120</v>
      </c>
      <c r="F7568" t="s">
        <v>121</v>
      </c>
      <c r="G7568" t="s">
        <v>41</v>
      </c>
      <c r="H7568" t="s">
        <v>22</v>
      </c>
      <c r="I7568" s="3">
        <v>65</v>
      </c>
      <c r="J7568" s="2">
        <v>175</v>
      </c>
      <c r="K7568" s="3">
        <f t="shared" si="118"/>
        <v>11375</v>
      </c>
      <c r="L7568" s="3">
        <v>7393.75</v>
      </c>
    </row>
    <row r="7569" spans="1:12" x14ac:dyDescent="0.25">
      <c r="A7569" t="s">
        <v>36</v>
      </c>
      <c r="B7569">
        <v>1185732</v>
      </c>
      <c r="C7569" s="1">
        <v>44522</v>
      </c>
      <c r="D7569" t="s">
        <v>32</v>
      </c>
      <c r="E7569" t="s">
        <v>120</v>
      </c>
      <c r="F7569" t="s">
        <v>121</v>
      </c>
      <c r="G7569" t="s">
        <v>41</v>
      </c>
      <c r="H7569" t="s">
        <v>38</v>
      </c>
      <c r="I7569" s="3">
        <v>50</v>
      </c>
      <c r="J7569" s="2">
        <v>425</v>
      </c>
      <c r="K7569" s="3">
        <f t="shared" si="118"/>
        <v>21250</v>
      </c>
      <c r="L7569" s="3">
        <v>12750</v>
      </c>
    </row>
    <row r="7570" spans="1:12" x14ac:dyDescent="0.25">
      <c r="A7570" t="s">
        <v>36</v>
      </c>
      <c r="B7570">
        <v>1185732</v>
      </c>
      <c r="C7570" s="1">
        <v>44522</v>
      </c>
      <c r="D7570" t="s">
        <v>32</v>
      </c>
      <c r="E7570" t="s">
        <v>120</v>
      </c>
      <c r="F7570" t="s">
        <v>121</v>
      </c>
      <c r="G7570" t="s">
        <v>41</v>
      </c>
      <c r="H7570" t="s">
        <v>35</v>
      </c>
      <c r="I7570" s="3">
        <v>45</v>
      </c>
      <c r="J7570" s="2">
        <v>220</v>
      </c>
      <c r="K7570" s="3">
        <f t="shared" si="118"/>
        <v>9900</v>
      </c>
      <c r="L7570" s="3">
        <v>5940</v>
      </c>
    </row>
    <row r="7571" spans="1:12" x14ac:dyDescent="0.25">
      <c r="A7571" t="s">
        <v>19</v>
      </c>
      <c r="B7571">
        <v>1185732</v>
      </c>
      <c r="C7571" s="1">
        <v>44522</v>
      </c>
      <c r="D7571" t="s">
        <v>32</v>
      </c>
      <c r="E7571" t="s">
        <v>120</v>
      </c>
      <c r="F7571" t="s">
        <v>121</v>
      </c>
      <c r="G7571" t="s">
        <v>41</v>
      </c>
      <c r="H7571" t="s">
        <v>16</v>
      </c>
      <c r="I7571" s="3">
        <v>70</v>
      </c>
      <c r="J7571" s="2">
        <v>275</v>
      </c>
      <c r="K7571" s="3">
        <f t="shared" si="118"/>
        <v>19250</v>
      </c>
      <c r="L7571" s="3">
        <v>11550</v>
      </c>
    </row>
    <row r="7572" spans="1:12" x14ac:dyDescent="0.25">
      <c r="A7572" t="s">
        <v>19</v>
      </c>
      <c r="B7572">
        <v>1185732</v>
      </c>
      <c r="C7572" s="1">
        <v>44522</v>
      </c>
      <c r="D7572" t="s">
        <v>32</v>
      </c>
      <c r="E7572" t="s">
        <v>120</v>
      </c>
      <c r="F7572" t="s">
        <v>121</v>
      </c>
      <c r="G7572" t="s">
        <v>41</v>
      </c>
      <c r="H7572" t="s">
        <v>37</v>
      </c>
      <c r="I7572" s="3">
        <v>55.000000000000007</v>
      </c>
      <c r="J7572" s="2">
        <v>200</v>
      </c>
      <c r="K7572" s="3">
        <f t="shared" si="118"/>
        <v>11000.000000000002</v>
      </c>
      <c r="L7572" s="3">
        <v>6600</v>
      </c>
    </row>
    <row r="7573" spans="1:12" x14ac:dyDescent="0.25">
      <c r="A7573" t="s">
        <v>19</v>
      </c>
      <c r="B7573">
        <v>1185732</v>
      </c>
      <c r="C7573" s="1">
        <v>44522</v>
      </c>
      <c r="D7573" t="s">
        <v>29</v>
      </c>
      <c r="E7573" t="s">
        <v>55</v>
      </c>
      <c r="F7573" t="s">
        <v>56</v>
      </c>
      <c r="G7573" t="s">
        <v>15</v>
      </c>
      <c r="H7573" t="s">
        <v>17</v>
      </c>
      <c r="I7573" s="3">
        <v>41</v>
      </c>
      <c r="J7573" s="2">
        <v>85</v>
      </c>
      <c r="K7573" s="3">
        <f t="shared" si="118"/>
        <v>3485</v>
      </c>
      <c r="L7573" s="3">
        <v>2125.8500000000004</v>
      </c>
    </row>
    <row r="7574" spans="1:12" x14ac:dyDescent="0.25">
      <c r="A7574" t="s">
        <v>19</v>
      </c>
      <c r="B7574">
        <v>1185732</v>
      </c>
      <c r="C7574" s="1">
        <v>44522</v>
      </c>
      <c r="D7574" t="s">
        <v>29</v>
      </c>
      <c r="E7574" t="s">
        <v>55</v>
      </c>
      <c r="F7574" t="s">
        <v>56</v>
      </c>
      <c r="G7574" t="s">
        <v>41</v>
      </c>
      <c r="H7574" t="s">
        <v>17</v>
      </c>
      <c r="I7574" s="3">
        <v>59</v>
      </c>
      <c r="J7574" s="2">
        <v>70</v>
      </c>
      <c r="K7574" s="3">
        <f t="shared" si="118"/>
        <v>4130</v>
      </c>
      <c r="L7574" s="3">
        <v>2230.1999999999998</v>
      </c>
    </row>
    <row r="7575" spans="1:12" x14ac:dyDescent="0.25">
      <c r="A7575" t="s">
        <v>36</v>
      </c>
      <c r="B7575">
        <v>1185732</v>
      </c>
      <c r="C7575" s="1">
        <v>44522</v>
      </c>
      <c r="D7575" t="s">
        <v>32</v>
      </c>
      <c r="E7575" t="s">
        <v>120</v>
      </c>
      <c r="F7575" t="s">
        <v>121</v>
      </c>
      <c r="G7575" t="s">
        <v>41</v>
      </c>
      <c r="H7575" t="s">
        <v>17</v>
      </c>
      <c r="I7575" s="3">
        <v>39</v>
      </c>
      <c r="J7575" s="2">
        <v>72</v>
      </c>
      <c r="K7575" s="3">
        <f t="shared" si="118"/>
        <v>2808</v>
      </c>
      <c r="L7575" s="3">
        <v>1488.24</v>
      </c>
    </row>
    <row r="7576" spans="1:12" x14ac:dyDescent="0.25">
      <c r="A7576" t="s">
        <v>19</v>
      </c>
      <c r="B7576">
        <v>1185732</v>
      </c>
      <c r="C7576" s="1">
        <v>44522</v>
      </c>
      <c r="D7576" t="s">
        <v>32</v>
      </c>
      <c r="E7576" t="s">
        <v>120</v>
      </c>
      <c r="F7576" t="s">
        <v>121</v>
      </c>
      <c r="G7576" t="s">
        <v>41</v>
      </c>
      <c r="H7576" t="s">
        <v>22</v>
      </c>
      <c r="I7576" s="3">
        <v>59</v>
      </c>
      <c r="J7576" s="2">
        <v>53</v>
      </c>
      <c r="K7576" s="3">
        <f t="shared" si="118"/>
        <v>3127</v>
      </c>
      <c r="L7576" s="3">
        <v>1626.04</v>
      </c>
    </row>
    <row r="7577" spans="1:12" x14ac:dyDescent="0.25">
      <c r="A7577" t="s">
        <v>19</v>
      </c>
      <c r="B7577">
        <v>1185732</v>
      </c>
      <c r="C7577" s="1">
        <v>44522</v>
      </c>
      <c r="D7577" t="s">
        <v>32</v>
      </c>
      <c r="E7577" t="s">
        <v>120</v>
      </c>
      <c r="F7577" t="s">
        <v>121</v>
      </c>
      <c r="G7577" t="s">
        <v>41</v>
      </c>
      <c r="H7577" t="s">
        <v>37</v>
      </c>
      <c r="I7577" s="3">
        <v>52</v>
      </c>
      <c r="J7577" s="2">
        <v>52</v>
      </c>
      <c r="K7577" s="3">
        <f t="shared" si="118"/>
        <v>2704</v>
      </c>
      <c r="L7577" s="3">
        <v>1352</v>
      </c>
    </row>
    <row r="7578" spans="1:12" x14ac:dyDescent="0.25">
      <c r="A7578" t="s">
        <v>36</v>
      </c>
      <c r="B7578">
        <v>1185732</v>
      </c>
      <c r="C7578" s="1">
        <v>44522</v>
      </c>
      <c r="D7578" t="s">
        <v>32</v>
      </c>
      <c r="E7578" t="s">
        <v>120</v>
      </c>
      <c r="F7578" t="s">
        <v>121</v>
      </c>
      <c r="G7578" t="s">
        <v>41</v>
      </c>
      <c r="H7578" t="s">
        <v>35</v>
      </c>
      <c r="I7578" s="3">
        <v>41</v>
      </c>
      <c r="J7578" s="2">
        <v>57</v>
      </c>
      <c r="K7578" s="3">
        <f t="shared" si="118"/>
        <v>2337</v>
      </c>
      <c r="L7578" s="3">
        <v>1145.1299999999999</v>
      </c>
    </row>
    <row r="7579" spans="1:12" x14ac:dyDescent="0.25">
      <c r="A7579" t="s">
        <v>36</v>
      </c>
      <c r="B7579">
        <v>1185732</v>
      </c>
      <c r="C7579" s="1">
        <v>44522</v>
      </c>
      <c r="D7579" t="s">
        <v>32</v>
      </c>
      <c r="E7579" t="s">
        <v>120</v>
      </c>
      <c r="F7579" t="s">
        <v>121</v>
      </c>
      <c r="G7579" t="s">
        <v>41</v>
      </c>
      <c r="H7579" t="s">
        <v>38</v>
      </c>
      <c r="I7579" s="3">
        <v>48</v>
      </c>
      <c r="J7579" s="2">
        <v>123</v>
      </c>
      <c r="K7579" s="3">
        <f t="shared" si="118"/>
        <v>5904</v>
      </c>
      <c r="L7579" s="3">
        <v>2833.92</v>
      </c>
    </row>
    <row r="7580" spans="1:12" x14ac:dyDescent="0.25">
      <c r="A7580" t="s">
        <v>19</v>
      </c>
      <c r="B7580">
        <v>1185732</v>
      </c>
      <c r="C7580" s="1">
        <v>44522</v>
      </c>
      <c r="D7580" t="s">
        <v>32</v>
      </c>
      <c r="E7580" t="s">
        <v>120</v>
      </c>
      <c r="F7580" t="s">
        <v>121</v>
      </c>
      <c r="G7580" t="s">
        <v>41</v>
      </c>
      <c r="H7580" t="s">
        <v>16</v>
      </c>
      <c r="I7580" s="3">
        <v>66</v>
      </c>
      <c r="J7580" s="2">
        <v>80</v>
      </c>
      <c r="K7580" s="3">
        <f t="shared" si="118"/>
        <v>5280</v>
      </c>
      <c r="L7580" s="3">
        <v>2428.7999999999997</v>
      </c>
    </row>
    <row r="7581" spans="1:12" x14ac:dyDescent="0.25">
      <c r="A7581" t="s">
        <v>19</v>
      </c>
      <c r="B7581">
        <v>1128299</v>
      </c>
      <c r="C7581" s="1">
        <v>44523</v>
      </c>
      <c r="D7581" t="s">
        <v>12</v>
      </c>
      <c r="E7581" t="s">
        <v>39</v>
      </c>
      <c r="F7581" t="s">
        <v>40</v>
      </c>
      <c r="G7581" t="s">
        <v>41</v>
      </c>
      <c r="H7581" t="s">
        <v>16</v>
      </c>
      <c r="I7581" s="3">
        <v>60.000000000000007</v>
      </c>
      <c r="J7581" s="2">
        <v>425</v>
      </c>
      <c r="K7581" s="3">
        <f t="shared" si="118"/>
        <v>25500.000000000004</v>
      </c>
      <c r="L7581" s="3">
        <v>19125.000000000004</v>
      </c>
    </row>
    <row r="7582" spans="1:12" x14ac:dyDescent="0.25">
      <c r="A7582" t="s">
        <v>19</v>
      </c>
      <c r="B7582">
        <v>1128299</v>
      </c>
      <c r="C7582" s="1">
        <v>44523</v>
      </c>
      <c r="D7582" t="s">
        <v>12</v>
      </c>
      <c r="E7582" t="s">
        <v>39</v>
      </c>
      <c r="F7582" t="s">
        <v>40</v>
      </c>
      <c r="G7582" t="s">
        <v>41</v>
      </c>
      <c r="H7582" t="s">
        <v>22</v>
      </c>
      <c r="I7582" s="3">
        <v>55.000000000000007</v>
      </c>
      <c r="J7582" s="2">
        <v>300</v>
      </c>
      <c r="K7582" s="3">
        <f t="shared" si="118"/>
        <v>16500.000000000004</v>
      </c>
      <c r="L7582" s="3">
        <v>11550.000000000004</v>
      </c>
    </row>
    <row r="7583" spans="1:12" x14ac:dyDescent="0.25">
      <c r="A7583" t="s">
        <v>19</v>
      </c>
      <c r="B7583">
        <v>1128299</v>
      </c>
      <c r="C7583" s="1">
        <v>44523</v>
      </c>
      <c r="D7583" t="s">
        <v>12</v>
      </c>
      <c r="E7583" t="s">
        <v>39</v>
      </c>
      <c r="F7583" t="s">
        <v>40</v>
      </c>
      <c r="G7583" t="s">
        <v>41</v>
      </c>
      <c r="H7583" t="s">
        <v>35</v>
      </c>
      <c r="I7583" s="3">
        <v>45.000000000000007</v>
      </c>
      <c r="J7583" s="2">
        <v>375</v>
      </c>
      <c r="K7583" s="3">
        <f t="shared" si="118"/>
        <v>16875.000000000004</v>
      </c>
      <c r="L7583" s="3">
        <v>10968.750000000004</v>
      </c>
    </row>
    <row r="7584" spans="1:12" x14ac:dyDescent="0.25">
      <c r="A7584" t="s">
        <v>19</v>
      </c>
      <c r="B7584">
        <v>1128299</v>
      </c>
      <c r="C7584" s="1">
        <v>44523</v>
      </c>
      <c r="D7584" t="s">
        <v>12</v>
      </c>
      <c r="E7584" t="s">
        <v>39</v>
      </c>
      <c r="F7584" t="s">
        <v>40</v>
      </c>
      <c r="G7584" t="s">
        <v>41</v>
      </c>
      <c r="H7584" t="s">
        <v>37</v>
      </c>
      <c r="I7584" s="3">
        <v>45.000000000000007</v>
      </c>
      <c r="J7584" s="2">
        <v>350</v>
      </c>
      <c r="K7584" s="3">
        <f t="shared" si="118"/>
        <v>15750.000000000002</v>
      </c>
      <c r="L7584" s="3">
        <v>10237.500000000004</v>
      </c>
    </row>
    <row r="7585" spans="1:12" x14ac:dyDescent="0.25">
      <c r="A7585" t="s">
        <v>19</v>
      </c>
      <c r="B7585">
        <v>1128299</v>
      </c>
      <c r="C7585" s="1">
        <v>44523</v>
      </c>
      <c r="D7585" t="s">
        <v>12</v>
      </c>
      <c r="E7585" t="s">
        <v>39</v>
      </c>
      <c r="F7585" t="s">
        <v>40</v>
      </c>
      <c r="G7585" t="s">
        <v>41</v>
      </c>
      <c r="H7585" t="s">
        <v>38</v>
      </c>
      <c r="I7585" s="3">
        <v>45.000000000000007</v>
      </c>
      <c r="J7585" s="2">
        <v>500</v>
      </c>
      <c r="K7585" s="3">
        <f t="shared" si="118"/>
        <v>22500.000000000004</v>
      </c>
      <c r="L7585" s="3">
        <v>14625.000000000004</v>
      </c>
    </row>
    <row r="7586" spans="1:12" x14ac:dyDescent="0.25">
      <c r="A7586" t="s">
        <v>19</v>
      </c>
      <c r="B7586">
        <v>1185732</v>
      </c>
      <c r="C7586" s="1">
        <v>44523</v>
      </c>
      <c r="D7586" t="s">
        <v>29</v>
      </c>
      <c r="E7586" t="s">
        <v>55</v>
      </c>
      <c r="F7586" t="s">
        <v>56</v>
      </c>
      <c r="G7586" t="s">
        <v>15</v>
      </c>
      <c r="H7586" t="s">
        <v>35</v>
      </c>
      <c r="I7586" s="3">
        <v>55.000000000000007</v>
      </c>
      <c r="J7586" s="2">
        <v>175</v>
      </c>
      <c r="K7586" s="3">
        <f t="shared" si="118"/>
        <v>9625.0000000000018</v>
      </c>
      <c r="L7586" s="3">
        <v>5775.0000000000018</v>
      </c>
    </row>
    <row r="7587" spans="1:12" x14ac:dyDescent="0.25">
      <c r="A7587" t="s">
        <v>19</v>
      </c>
      <c r="B7587">
        <v>1128299</v>
      </c>
      <c r="C7587" s="1">
        <v>44523</v>
      </c>
      <c r="D7587" t="s">
        <v>12</v>
      </c>
      <c r="E7587" t="s">
        <v>39</v>
      </c>
      <c r="F7587" t="s">
        <v>40</v>
      </c>
      <c r="G7587" t="s">
        <v>41</v>
      </c>
      <c r="H7587" t="s">
        <v>17</v>
      </c>
      <c r="I7587" s="3">
        <v>50.000000000000014</v>
      </c>
      <c r="J7587" s="2">
        <v>525</v>
      </c>
      <c r="K7587" s="3">
        <f t="shared" si="118"/>
        <v>26250.000000000007</v>
      </c>
      <c r="L7587" s="3">
        <v>15750.000000000004</v>
      </c>
    </row>
    <row r="7588" spans="1:12" x14ac:dyDescent="0.25">
      <c r="A7588" t="s">
        <v>19</v>
      </c>
      <c r="B7588">
        <v>1128299</v>
      </c>
      <c r="C7588" s="1">
        <v>44523</v>
      </c>
      <c r="D7588" t="s">
        <v>12</v>
      </c>
      <c r="E7588" t="s">
        <v>39</v>
      </c>
      <c r="F7588" t="s">
        <v>40</v>
      </c>
      <c r="G7588" t="s">
        <v>15</v>
      </c>
      <c r="H7588" t="s">
        <v>16</v>
      </c>
      <c r="I7588" s="3">
        <v>39</v>
      </c>
      <c r="J7588" s="2">
        <v>140</v>
      </c>
      <c r="K7588" s="3">
        <f t="shared" si="118"/>
        <v>5460</v>
      </c>
      <c r="L7588" s="3">
        <v>3931.2</v>
      </c>
    </row>
    <row r="7589" spans="1:12" x14ac:dyDescent="0.25">
      <c r="A7589" t="s">
        <v>19</v>
      </c>
      <c r="B7589">
        <v>1128299</v>
      </c>
      <c r="C7589" s="1">
        <v>44523</v>
      </c>
      <c r="D7589" t="s">
        <v>12</v>
      </c>
      <c r="E7589" t="s">
        <v>39</v>
      </c>
      <c r="F7589" t="s">
        <v>40</v>
      </c>
      <c r="G7589" t="s">
        <v>15</v>
      </c>
      <c r="H7589" t="s">
        <v>22</v>
      </c>
      <c r="I7589" s="3">
        <v>44</v>
      </c>
      <c r="J7589" s="2">
        <v>99</v>
      </c>
      <c r="K7589" s="3">
        <f t="shared" si="118"/>
        <v>4356</v>
      </c>
      <c r="L7589" s="3">
        <v>2787.84</v>
      </c>
    </row>
    <row r="7590" spans="1:12" x14ac:dyDescent="0.25">
      <c r="A7590" t="s">
        <v>19</v>
      </c>
      <c r="B7590">
        <v>1128299</v>
      </c>
      <c r="C7590" s="1">
        <v>44523</v>
      </c>
      <c r="D7590" t="s">
        <v>12</v>
      </c>
      <c r="E7590" t="s">
        <v>39</v>
      </c>
      <c r="F7590" t="s">
        <v>40</v>
      </c>
      <c r="G7590" t="s">
        <v>41</v>
      </c>
      <c r="H7590" t="s">
        <v>16</v>
      </c>
      <c r="I7590" s="3">
        <v>55</v>
      </c>
      <c r="J7590" s="2">
        <v>111</v>
      </c>
      <c r="K7590" s="3">
        <f t="shared" si="118"/>
        <v>6105</v>
      </c>
      <c r="L7590" s="3">
        <v>3846.15</v>
      </c>
    </row>
    <row r="7591" spans="1:12" x14ac:dyDescent="0.25">
      <c r="A7591" t="s">
        <v>19</v>
      </c>
      <c r="B7591">
        <v>1128299</v>
      </c>
      <c r="C7591" s="1">
        <v>44523</v>
      </c>
      <c r="D7591" t="s">
        <v>12</v>
      </c>
      <c r="E7591" t="s">
        <v>39</v>
      </c>
      <c r="F7591" t="s">
        <v>40</v>
      </c>
      <c r="G7591" t="s">
        <v>15</v>
      </c>
      <c r="H7591" t="s">
        <v>38</v>
      </c>
      <c r="I7591" s="3">
        <v>31</v>
      </c>
      <c r="J7591" s="2">
        <v>150</v>
      </c>
      <c r="K7591" s="3">
        <f t="shared" si="118"/>
        <v>4650</v>
      </c>
      <c r="L7591" s="3">
        <v>2883</v>
      </c>
    </row>
    <row r="7592" spans="1:12" x14ac:dyDescent="0.25">
      <c r="A7592" t="s">
        <v>19</v>
      </c>
      <c r="B7592">
        <v>1128299</v>
      </c>
      <c r="C7592" s="1">
        <v>44523</v>
      </c>
      <c r="D7592" t="s">
        <v>12</v>
      </c>
      <c r="E7592" t="s">
        <v>39</v>
      </c>
      <c r="F7592" t="s">
        <v>40</v>
      </c>
      <c r="G7592" t="s">
        <v>15</v>
      </c>
      <c r="H7592" t="s">
        <v>35</v>
      </c>
      <c r="I7592" s="3">
        <v>33</v>
      </c>
      <c r="J7592" s="2">
        <v>124</v>
      </c>
      <c r="K7592" s="3">
        <f t="shared" si="118"/>
        <v>4092</v>
      </c>
      <c r="L7592" s="3">
        <v>2496.12</v>
      </c>
    </row>
    <row r="7593" spans="1:12" x14ac:dyDescent="0.25">
      <c r="A7593" t="s">
        <v>19</v>
      </c>
      <c r="B7593">
        <v>1128299</v>
      </c>
      <c r="C7593" s="1">
        <v>44523</v>
      </c>
      <c r="D7593" t="s">
        <v>12</v>
      </c>
      <c r="E7593" t="s">
        <v>39</v>
      </c>
      <c r="F7593" t="s">
        <v>40</v>
      </c>
      <c r="G7593" t="s">
        <v>41</v>
      </c>
      <c r="H7593" t="s">
        <v>22</v>
      </c>
      <c r="I7593" s="3">
        <v>53</v>
      </c>
      <c r="J7593" s="2">
        <v>87</v>
      </c>
      <c r="K7593" s="3">
        <f t="shared" si="118"/>
        <v>4611</v>
      </c>
      <c r="L7593" s="3">
        <v>2720.49</v>
      </c>
    </row>
    <row r="7594" spans="1:12" x14ac:dyDescent="0.25">
      <c r="A7594" t="s">
        <v>19</v>
      </c>
      <c r="B7594">
        <v>1128299</v>
      </c>
      <c r="C7594" s="1">
        <v>44523</v>
      </c>
      <c r="D7594" t="s">
        <v>12</v>
      </c>
      <c r="E7594" t="s">
        <v>39</v>
      </c>
      <c r="F7594" t="s">
        <v>40</v>
      </c>
      <c r="G7594" t="s">
        <v>15</v>
      </c>
      <c r="H7594" t="s">
        <v>37</v>
      </c>
      <c r="I7594" s="3">
        <v>33</v>
      </c>
      <c r="J7594" s="2">
        <v>116</v>
      </c>
      <c r="K7594" s="3">
        <f t="shared" si="118"/>
        <v>3828</v>
      </c>
      <c r="L7594" s="3">
        <v>2220.2399999999998</v>
      </c>
    </row>
    <row r="7595" spans="1:12" x14ac:dyDescent="0.25">
      <c r="A7595" t="s">
        <v>19</v>
      </c>
      <c r="B7595">
        <v>1185732</v>
      </c>
      <c r="C7595" s="1">
        <v>44523</v>
      </c>
      <c r="D7595" t="s">
        <v>29</v>
      </c>
      <c r="E7595" t="s">
        <v>55</v>
      </c>
      <c r="F7595" t="s">
        <v>56</v>
      </c>
      <c r="G7595" t="s">
        <v>15</v>
      </c>
      <c r="H7595" t="s">
        <v>35</v>
      </c>
      <c r="I7595" s="3">
        <v>42</v>
      </c>
      <c r="J7595" s="2">
        <v>54</v>
      </c>
      <c r="K7595" s="3">
        <f t="shared" si="118"/>
        <v>2268</v>
      </c>
      <c r="L7595" s="3">
        <v>1292.7600000000002</v>
      </c>
    </row>
    <row r="7596" spans="1:12" x14ac:dyDescent="0.25">
      <c r="A7596" t="s">
        <v>19</v>
      </c>
      <c r="B7596">
        <v>1128299</v>
      </c>
      <c r="C7596" s="1">
        <v>44523</v>
      </c>
      <c r="D7596" t="s">
        <v>12</v>
      </c>
      <c r="E7596" t="s">
        <v>39</v>
      </c>
      <c r="F7596" t="s">
        <v>40</v>
      </c>
      <c r="G7596" t="s">
        <v>41</v>
      </c>
      <c r="H7596" t="s">
        <v>35</v>
      </c>
      <c r="I7596" s="3">
        <v>44</v>
      </c>
      <c r="J7596" s="2">
        <v>105</v>
      </c>
      <c r="K7596" s="3">
        <f t="shared" si="118"/>
        <v>4620</v>
      </c>
      <c r="L7596" s="3">
        <v>2494.8000000000002</v>
      </c>
    </row>
    <row r="7597" spans="1:12" x14ac:dyDescent="0.25">
      <c r="A7597" t="s">
        <v>19</v>
      </c>
      <c r="B7597">
        <v>1128299</v>
      </c>
      <c r="C7597" s="1">
        <v>44523</v>
      </c>
      <c r="D7597" t="s">
        <v>12</v>
      </c>
      <c r="E7597" t="s">
        <v>39</v>
      </c>
      <c r="F7597" t="s">
        <v>40</v>
      </c>
      <c r="G7597" t="s">
        <v>41</v>
      </c>
      <c r="H7597" t="s">
        <v>38</v>
      </c>
      <c r="I7597" s="3">
        <v>42</v>
      </c>
      <c r="J7597" s="2">
        <v>135</v>
      </c>
      <c r="K7597" s="3">
        <f t="shared" si="118"/>
        <v>5670</v>
      </c>
      <c r="L7597" s="3">
        <v>3005.1000000000004</v>
      </c>
    </row>
    <row r="7598" spans="1:12" x14ac:dyDescent="0.25">
      <c r="A7598" t="s">
        <v>19</v>
      </c>
      <c r="B7598">
        <v>1128299</v>
      </c>
      <c r="C7598" s="1">
        <v>44523</v>
      </c>
      <c r="D7598" t="s">
        <v>12</v>
      </c>
      <c r="E7598" t="s">
        <v>39</v>
      </c>
      <c r="F7598" t="s">
        <v>40</v>
      </c>
      <c r="G7598" t="s">
        <v>41</v>
      </c>
      <c r="H7598" t="s">
        <v>37</v>
      </c>
      <c r="I7598" s="3">
        <v>42</v>
      </c>
      <c r="J7598" s="2">
        <v>98</v>
      </c>
      <c r="K7598" s="3">
        <f t="shared" si="118"/>
        <v>4116</v>
      </c>
      <c r="L7598" s="3">
        <v>2181.48</v>
      </c>
    </row>
    <row r="7599" spans="1:12" x14ac:dyDescent="0.25">
      <c r="A7599" t="s">
        <v>19</v>
      </c>
      <c r="B7599">
        <v>1128299</v>
      </c>
      <c r="C7599" s="1">
        <v>44523</v>
      </c>
      <c r="D7599" t="s">
        <v>12</v>
      </c>
      <c r="E7599" t="s">
        <v>39</v>
      </c>
      <c r="F7599" t="s">
        <v>40</v>
      </c>
      <c r="G7599" t="s">
        <v>15</v>
      </c>
      <c r="H7599" t="s">
        <v>17</v>
      </c>
      <c r="I7599" s="3">
        <v>38</v>
      </c>
      <c r="J7599" s="2">
        <v>163</v>
      </c>
      <c r="K7599" s="3">
        <f t="shared" si="118"/>
        <v>6194</v>
      </c>
      <c r="L7599" s="3">
        <v>3282.8199999999997</v>
      </c>
    </row>
    <row r="7600" spans="1:12" x14ac:dyDescent="0.25">
      <c r="A7600" t="s">
        <v>19</v>
      </c>
      <c r="B7600">
        <v>1185732</v>
      </c>
      <c r="C7600" s="1">
        <v>44523</v>
      </c>
      <c r="D7600" t="s">
        <v>29</v>
      </c>
      <c r="E7600" t="s">
        <v>55</v>
      </c>
      <c r="F7600" t="s">
        <v>56</v>
      </c>
      <c r="G7600" t="s">
        <v>41</v>
      </c>
      <c r="H7600" t="s">
        <v>35</v>
      </c>
      <c r="I7600" s="3">
        <v>52</v>
      </c>
      <c r="J7600" s="2">
        <v>44</v>
      </c>
      <c r="K7600" s="3">
        <f t="shared" si="118"/>
        <v>2288</v>
      </c>
      <c r="L7600" s="3">
        <v>1144</v>
      </c>
    </row>
    <row r="7601" spans="1:12" x14ac:dyDescent="0.25">
      <c r="A7601" t="s">
        <v>19</v>
      </c>
      <c r="B7601">
        <v>1128299</v>
      </c>
      <c r="C7601" s="1">
        <v>44523</v>
      </c>
      <c r="D7601" t="s">
        <v>12</v>
      </c>
      <c r="E7601" t="s">
        <v>39</v>
      </c>
      <c r="F7601" t="s">
        <v>40</v>
      </c>
      <c r="G7601" t="s">
        <v>41</v>
      </c>
      <c r="H7601" t="s">
        <v>17</v>
      </c>
      <c r="I7601" s="3">
        <v>46</v>
      </c>
      <c r="J7601" s="2">
        <v>147</v>
      </c>
      <c r="K7601" s="3">
        <f t="shared" si="118"/>
        <v>6762</v>
      </c>
      <c r="L7601" s="3">
        <v>3245.7599999999998</v>
      </c>
    </row>
    <row r="7602" spans="1:12" x14ac:dyDescent="0.25">
      <c r="A7602" t="s">
        <v>19</v>
      </c>
      <c r="B7602">
        <v>1128299</v>
      </c>
      <c r="C7602" s="1">
        <v>44524</v>
      </c>
      <c r="D7602" t="s">
        <v>32</v>
      </c>
      <c r="E7602" t="s">
        <v>82</v>
      </c>
      <c r="F7602" t="s">
        <v>83</v>
      </c>
      <c r="G7602" t="s">
        <v>18</v>
      </c>
      <c r="H7602" t="s">
        <v>16</v>
      </c>
      <c r="I7602" s="3">
        <v>80.000000000000014</v>
      </c>
      <c r="J7602" s="2">
        <v>550</v>
      </c>
      <c r="K7602" s="3">
        <f t="shared" si="118"/>
        <v>44000.000000000007</v>
      </c>
      <c r="L7602" s="3">
        <v>30800.000000000007</v>
      </c>
    </row>
    <row r="7603" spans="1:12" x14ac:dyDescent="0.25">
      <c r="A7603" t="s">
        <v>11</v>
      </c>
      <c r="B7603">
        <v>1128299</v>
      </c>
      <c r="C7603" s="1">
        <v>44524</v>
      </c>
      <c r="D7603" t="s">
        <v>12</v>
      </c>
      <c r="E7603" t="s">
        <v>84</v>
      </c>
      <c r="F7603" t="s">
        <v>31</v>
      </c>
      <c r="G7603" t="s">
        <v>18</v>
      </c>
      <c r="H7603" t="s">
        <v>16</v>
      </c>
      <c r="I7603" s="3">
        <v>80.000000000000014</v>
      </c>
      <c r="J7603" s="2">
        <v>550</v>
      </c>
      <c r="K7603" s="3">
        <f t="shared" si="118"/>
        <v>44000.000000000007</v>
      </c>
      <c r="L7603" s="3">
        <v>30800.000000000007</v>
      </c>
    </row>
    <row r="7604" spans="1:12" x14ac:dyDescent="0.25">
      <c r="A7604" t="s">
        <v>19</v>
      </c>
      <c r="B7604">
        <v>1128299</v>
      </c>
      <c r="C7604" s="1">
        <v>44524</v>
      </c>
      <c r="D7604" t="s">
        <v>32</v>
      </c>
      <c r="E7604" t="s">
        <v>82</v>
      </c>
      <c r="F7604" t="s">
        <v>83</v>
      </c>
      <c r="G7604" t="s">
        <v>18</v>
      </c>
      <c r="H7604" t="s">
        <v>17</v>
      </c>
      <c r="I7604" s="3">
        <v>50.000000000000014</v>
      </c>
      <c r="J7604" s="2">
        <v>650</v>
      </c>
      <c r="K7604" s="3">
        <f t="shared" si="118"/>
        <v>32500.000000000011</v>
      </c>
      <c r="L7604" s="3">
        <v>21125.000000000007</v>
      </c>
    </row>
    <row r="7605" spans="1:12" x14ac:dyDescent="0.25">
      <c r="A7605" t="s">
        <v>19</v>
      </c>
      <c r="B7605">
        <v>1128299</v>
      </c>
      <c r="C7605" s="1">
        <v>44524</v>
      </c>
      <c r="D7605" t="s">
        <v>32</v>
      </c>
      <c r="E7605" t="s">
        <v>82</v>
      </c>
      <c r="F7605" t="s">
        <v>83</v>
      </c>
      <c r="G7605" t="s">
        <v>18</v>
      </c>
      <c r="H7605" t="s">
        <v>37</v>
      </c>
      <c r="I7605" s="3">
        <v>55.000000000000014</v>
      </c>
      <c r="J7605" s="2">
        <v>450</v>
      </c>
      <c r="K7605" s="3">
        <f t="shared" si="118"/>
        <v>24750.000000000007</v>
      </c>
      <c r="L7605" s="3">
        <v>16087.500000000005</v>
      </c>
    </row>
    <row r="7606" spans="1:12" x14ac:dyDescent="0.25">
      <c r="A7606" t="s">
        <v>11</v>
      </c>
      <c r="B7606">
        <v>1128299</v>
      </c>
      <c r="C7606" s="1">
        <v>44524</v>
      </c>
      <c r="D7606" t="s">
        <v>12</v>
      </c>
      <c r="E7606" t="s">
        <v>84</v>
      </c>
      <c r="F7606" t="s">
        <v>31</v>
      </c>
      <c r="G7606" t="s">
        <v>18</v>
      </c>
      <c r="H7606" t="s">
        <v>17</v>
      </c>
      <c r="I7606" s="3">
        <v>50.000000000000014</v>
      </c>
      <c r="J7606" s="2">
        <v>650</v>
      </c>
      <c r="K7606" s="3">
        <f t="shared" si="118"/>
        <v>32500.000000000011</v>
      </c>
      <c r="L7606" s="3">
        <v>21125.000000000007</v>
      </c>
    </row>
    <row r="7607" spans="1:12" x14ac:dyDescent="0.25">
      <c r="A7607" t="s">
        <v>11</v>
      </c>
      <c r="B7607">
        <v>1128299</v>
      </c>
      <c r="C7607" s="1">
        <v>44524</v>
      </c>
      <c r="D7607" t="s">
        <v>12</v>
      </c>
      <c r="E7607" t="s">
        <v>84</v>
      </c>
      <c r="F7607" t="s">
        <v>31</v>
      </c>
      <c r="G7607" t="s">
        <v>18</v>
      </c>
      <c r="H7607" t="s">
        <v>37</v>
      </c>
      <c r="I7607" s="3">
        <v>55.000000000000014</v>
      </c>
      <c r="J7607" s="2">
        <v>450</v>
      </c>
      <c r="K7607" s="3">
        <f t="shared" si="118"/>
        <v>24750.000000000007</v>
      </c>
      <c r="L7607" s="3">
        <v>16087.500000000005</v>
      </c>
    </row>
    <row r="7608" spans="1:12" x14ac:dyDescent="0.25">
      <c r="A7608" t="s">
        <v>19</v>
      </c>
      <c r="B7608">
        <v>1128299</v>
      </c>
      <c r="C7608" s="1">
        <v>44524</v>
      </c>
      <c r="D7608" t="s">
        <v>32</v>
      </c>
      <c r="E7608" t="s">
        <v>82</v>
      </c>
      <c r="F7608" t="s">
        <v>83</v>
      </c>
      <c r="G7608" t="s">
        <v>18</v>
      </c>
      <c r="H7608" t="s">
        <v>38</v>
      </c>
      <c r="I7608" s="3">
        <v>45.000000000000007</v>
      </c>
      <c r="J7608" s="2">
        <v>575</v>
      </c>
      <c r="K7608" s="3">
        <f t="shared" si="118"/>
        <v>25875.000000000004</v>
      </c>
      <c r="L7608" s="3">
        <v>16818.750000000004</v>
      </c>
    </row>
    <row r="7609" spans="1:12" x14ac:dyDescent="0.25">
      <c r="A7609" t="s">
        <v>19</v>
      </c>
      <c r="B7609">
        <v>1128299</v>
      </c>
      <c r="C7609" s="1">
        <v>44524</v>
      </c>
      <c r="D7609" t="s">
        <v>32</v>
      </c>
      <c r="E7609" t="s">
        <v>82</v>
      </c>
      <c r="F7609" t="s">
        <v>83</v>
      </c>
      <c r="G7609" t="s">
        <v>18</v>
      </c>
      <c r="H7609" t="s">
        <v>35</v>
      </c>
      <c r="I7609" s="3">
        <v>45.000000000000007</v>
      </c>
      <c r="J7609" s="2">
        <v>475</v>
      </c>
      <c r="K7609" s="3">
        <f t="shared" si="118"/>
        <v>21375.000000000004</v>
      </c>
      <c r="L7609" s="3">
        <v>13893.750000000004</v>
      </c>
    </row>
    <row r="7610" spans="1:12" x14ac:dyDescent="0.25">
      <c r="A7610" t="s">
        <v>11</v>
      </c>
      <c r="B7610">
        <v>1128299</v>
      </c>
      <c r="C7610" s="1">
        <v>44524</v>
      </c>
      <c r="D7610" t="s">
        <v>12</v>
      </c>
      <c r="E7610" t="s">
        <v>84</v>
      </c>
      <c r="F7610" t="s">
        <v>31</v>
      </c>
      <c r="G7610" t="s">
        <v>18</v>
      </c>
      <c r="H7610" t="s">
        <v>38</v>
      </c>
      <c r="I7610" s="3">
        <v>45.000000000000007</v>
      </c>
      <c r="J7610" s="2">
        <v>575</v>
      </c>
      <c r="K7610" s="3">
        <f t="shared" si="118"/>
        <v>25875.000000000004</v>
      </c>
      <c r="L7610" s="3">
        <v>16818.750000000004</v>
      </c>
    </row>
    <row r="7611" spans="1:12" x14ac:dyDescent="0.25">
      <c r="A7611" t="s">
        <v>11</v>
      </c>
      <c r="B7611">
        <v>1128299</v>
      </c>
      <c r="C7611" s="1">
        <v>44524</v>
      </c>
      <c r="D7611" t="s">
        <v>12</v>
      </c>
      <c r="E7611" t="s">
        <v>84</v>
      </c>
      <c r="F7611" t="s">
        <v>31</v>
      </c>
      <c r="G7611" t="s">
        <v>18</v>
      </c>
      <c r="H7611" t="s">
        <v>35</v>
      </c>
      <c r="I7611" s="3">
        <v>45.000000000000007</v>
      </c>
      <c r="J7611" s="2">
        <v>475</v>
      </c>
      <c r="K7611" s="3">
        <f t="shared" si="118"/>
        <v>21375.000000000004</v>
      </c>
      <c r="L7611" s="3">
        <v>13893.750000000004</v>
      </c>
    </row>
    <row r="7612" spans="1:12" x14ac:dyDescent="0.25">
      <c r="A7612" t="s">
        <v>19</v>
      </c>
      <c r="B7612">
        <v>1185732</v>
      </c>
      <c r="C7612" s="1">
        <v>44524</v>
      </c>
      <c r="D7612" t="s">
        <v>29</v>
      </c>
      <c r="E7612" t="s">
        <v>55</v>
      </c>
      <c r="F7612" t="s">
        <v>56</v>
      </c>
      <c r="G7612" t="s">
        <v>15</v>
      </c>
      <c r="H7612" t="s">
        <v>37</v>
      </c>
      <c r="I7612" s="3">
        <v>55.000000000000007</v>
      </c>
      <c r="J7612" s="2">
        <v>150</v>
      </c>
      <c r="K7612" s="3">
        <f t="shared" si="118"/>
        <v>8250.0000000000018</v>
      </c>
      <c r="L7612" s="3">
        <v>4950.0000000000018</v>
      </c>
    </row>
    <row r="7613" spans="1:12" x14ac:dyDescent="0.25">
      <c r="A7613" t="s">
        <v>19</v>
      </c>
      <c r="B7613">
        <v>1128299</v>
      </c>
      <c r="C7613" s="1">
        <v>44524</v>
      </c>
      <c r="D7613" t="s">
        <v>32</v>
      </c>
      <c r="E7613" t="s">
        <v>82</v>
      </c>
      <c r="F7613" t="s">
        <v>83</v>
      </c>
      <c r="G7613" t="s">
        <v>18</v>
      </c>
      <c r="H7613" t="s">
        <v>22</v>
      </c>
      <c r="I7613" s="3">
        <v>75.000000000000014</v>
      </c>
      <c r="J7613" s="2">
        <v>425</v>
      </c>
      <c r="K7613" s="3">
        <f t="shared" si="118"/>
        <v>31875.000000000007</v>
      </c>
      <c r="L7613" s="3">
        <v>19125.000000000004</v>
      </c>
    </row>
    <row r="7614" spans="1:12" x14ac:dyDescent="0.25">
      <c r="A7614" t="s">
        <v>11</v>
      </c>
      <c r="B7614">
        <v>1128299</v>
      </c>
      <c r="C7614" s="1">
        <v>44524</v>
      </c>
      <c r="D7614" t="s">
        <v>12</v>
      </c>
      <c r="E7614" t="s">
        <v>84</v>
      </c>
      <c r="F7614" t="s">
        <v>31</v>
      </c>
      <c r="G7614" t="s">
        <v>18</v>
      </c>
      <c r="H7614" t="s">
        <v>22</v>
      </c>
      <c r="I7614" s="3">
        <v>75.000000000000014</v>
      </c>
      <c r="J7614" s="2">
        <v>425</v>
      </c>
      <c r="K7614" s="3">
        <f t="shared" si="118"/>
        <v>31875.000000000007</v>
      </c>
      <c r="L7614" s="3">
        <v>19125.000000000004</v>
      </c>
    </row>
    <row r="7615" spans="1:12" x14ac:dyDescent="0.25">
      <c r="A7615" t="s">
        <v>19</v>
      </c>
      <c r="B7615">
        <v>1128299</v>
      </c>
      <c r="C7615" s="1">
        <v>44524</v>
      </c>
      <c r="D7615" t="s">
        <v>32</v>
      </c>
      <c r="E7615" t="s">
        <v>82</v>
      </c>
      <c r="F7615" t="s">
        <v>83</v>
      </c>
      <c r="G7615" t="s">
        <v>15</v>
      </c>
      <c r="H7615" t="s">
        <v>16</v>
      </c>
      <c r="I7615" s="3">
        <v>60</v>
      </c>
      <c r="J7615" s="2">
        <v>176</v>
      </c>
      <c r="K7615" s="3">
        <f t="shared" si="118"/>
        <v>10560</v>
      </c>
      <c r="L7615" s="3">
        <v>7075.2000000000007</v>
      </c>
    </row>
    <row r="7616" spans="1:12" x14ac:dyDescent="0.25">
      <c r="A7616" t="s">
        <v>11</v>
      </c>
      <c r="B7616">
        <v>1128299</v>
      </c>
      <c r="C7616" s="1">
        <v>44524</v>
      </c>
      <c r="D7616" t="s">
        <v>12</v>
      </c>
      <c r="E7616" t="s">
        <v>84</v>
      </c>
      <c r="F7616" t="s">
        <v>31</v>
      </c>
      <c r="G7616" t="s">
        <v>15</v>
      </c>
      <c r="H7616" t="s">
        <v>16</v>
      </c>
      <c r="I7616" s="3">
        <v>53</v>
      </c>
      <c r="J7616" s="2">
        <v>165</v>
      </c>
      <c r="K7616" s="3">
        <f t="shared" si="118"/>
        <v>8745</v>
      </c>
      <c r="L7616" s="3">
        <v>5509.35</v>
      </c>
    </row>
    <row r="7617" spans="1:12" x14ac:dyDescent="0.25">
      <c r="A7617" t="s">
        <v>11</v>
      </c>
      <c r="B7617">
        <v>1128299</v>
      </c>
      <c r="C7617" s="1">
        <v>44524</v>
      </c>
      <c r="D7617" t="s">
        <v>12</v>
      </c>
      <c r="E7617" t="s">
        <v>84</v>
      </c>
      <c r="F7617" t="s">
        <v>31</v>
      </c>
      <c r="G7617" t="s">
        <v>15</v>
      </c>
      <c r="H7617" t="s">
        <v>38</v>
      </c>
      <c r="I7617" s="3">
        <v>34</v>
      </c>
      <c r="J7617" s="2">
        <v>190</v>
      </c>
      <c r="K7617" s="3">
        <f t="shared" si="118"/>
        <v>6460</v>
      </c>
      <c r="L7617" s="3">
        <v>4069.8</v>
      </c>
    </row>
    <row r="7618" spans="1:12" x14ac:dyDescent="0.25">
      <c r="A7618" t="s">
        <v>19</v>
      </c>
      <c r="B7618">
        <v>1128299</v>
      </c>
      <c r="C7618" s="1">
        <v>44524</v>
      </c>
      <c r="D7618" t="s">
        <v>32</v>
      </c>
      <c r="E7618" t="s">
        <v>82</v>
      </c>
      <c r="F7618" t="s">
        <v>83</v>
      </c>
      <c r="G7618" t="s">
        <v>15</v>
      </c>
      <c r="H7618" t="s">
        <v>17</v>
      </c>
      <c r="I7618" s="3">
        <v>34</v>
      </c>
      <c r="J7618" s="2">
        <v>221</v>
      </c>
      <c r="K7618" s="3">
        <f t="shared" si="118"/>
        <v>7514</v>
      </c>
      <c r="L7618" s="3">
        <v>4733.82</v>
      </c>
    </row>
    <row r="7619" spans="1:12" x14ac:dyDescent="0.25">
      <c r="A7619" t="s">
        <v>19</v>
      </c>
      <c r="B7619">
        <v>1128299</v>
      </c>
      <c r="C7619" s="1">
        <v>44524</v>
      </c>
      <c r="D7619" t="s">
        <v>32</v>
      </c>
      <c r="E7619" t="s">
        <v>82</v>
      </c>
      <c r="F7619" t="s">
        <v>83</v>
      </c>
      <c r="G7619" t="s">
        <v>15</v>
      </c>
      <c r="H7619" t="s">
        <v>35</v>
      </c>
      <c r="I7619" s="3">
        <v>33</v>
      </c>
      <c r="J7619" s="2">
        <v>143</v>
      </c>
      <c r="K7619" s="3">
        <f t="shared" ref="K7619:K7682" si="119">I7619*J7619</f>
        <v>4719</v>
      </c>
      <c r="L7619" s="3">
        <v>2878.59</v>
      </c>
    </row>
    <row r="7620" spans="1:12" x14ac:dyDescent="0.25">
      <c r="A7620" t="s">
        <v>19</v>
      </c>
      <c r="B7620">
        <v>1128299</v>
      </c>
      <c r="C7620" s="1">
        <v>44524</v>
      </c>
      <c r="D7620" t="s">
        <v>32</v>
      </c>
      <c r="E7620" t="s">
        <v>82</v>
      </c>
      <c r="F7620" t="s">
        <v>83</v>
      </c>
      <c r="G7620" t="s">
        <v>15</v>
      </c>
      <c r="H7620" t="s">
        <v>37</v>
      </c>
      <c r="I7620" s="3">
        <v>36</v>
      </c>
      <c r="J7620" s="2">
        <v>144</v>
      </c>
      <c r="K7620" s="3">
        <f t="shared" si="119"/>
        <v>5184</v>
      </c>
      <c r="L7620" s="3">
        <v>3162.2400000000002</v>
      </c>
    </row>
    <row r="7621" spans="1:12" x14ac:dyDescent="0.25">
      <c r="A7621" t="s">
        <v>11</v>
      </c>
      <c r="B7621">
        <v>1128299</v>
      </c>
      <c r="C7621" s="1">
        <v>44524</v>
      </c>
      <c r="D7621" t="s">
        <v>12</v>
      </c>
      <c r="E7621" t="s">
        <v>84</v>
      </c>
      <c r="F7621" t="s">
        <v>31</v>
      </c>
      <c r="G7621" t="s">
        <v>15</v>
      </c>
      <c r="H7621" t="s">
        <v>17</v>
      </c>
      <c r="I7621" s="3">
        <v>37</v>
      </c>
      <c r="J7621" s="2">
        <v>202</v>
      </c>
      <c r="K7621" s="3">
        <f t="shared" si="119"/>
        <v>7474</v>
      </c>
      <c r="L7621" s="3">
        <v>4559.1400000000003</v>
      </c>
    </row>
    <row r="7622" spans="1:12" x14ac:dyDescent="0.25">
      <c r="A7622" t="s">
        <v>19</v>
      </c>
      <c r="B7622">
        <v>1128299</v>
      </c>
      <c r="C7622" s="1">
        <v>44524</v>
      </c>
      <c r="D7622" t="s">
        <v>32</v>
      </c>
      <c r="E7622" t="s">
        <v>82</v>
      </c>
      <c r="F7622" t="s">
        <v>83</v>
      </c>
      <c r="G7622" t="s">
        <v>41</v>
      </c>
      <c r="H7622" t="s">
        <v>16</v>
      </c>
      <c r="I7622" s="3">
        <v>74</v>
      </c>
      <c r="J7622" s="2">
        <v>149</v>
      </c>
      <c r="K7622" s="3">
        <f t="shared" si="119"/>
        <v>11026</v>
      </c>
      <c r="L7622" s="3">
        <v>6615.5999999999995</v>
      </c>
    </row>
    <row r="7623" spans="1:12" x14ac:dyDescent="0.25">
      <c r="A7623" t="s">
        <v>11</v>
      </c>
      <c r="B7623">
        <v>1128299</v>
      </c>
      <c r="C7623" s="1">
        <v>44524</v>
      </c>
      <c r="D7623" t="s">
        <v>12</v>
      </c>
      <c r="E7623" t="s">
        <v>84</v>
      </c>
      <c r="F7623" t="s">
        <v>31</v>
      </c>
      <c r="G7623" t="s">
        <v>15</v>
      </c>
      <c r="H7623" t="s">
        <v>37</v>
      </c>
      <c r="I7623" s="3">
        <v>39</v>
      </c>
      <c r="J7623" s="2">
        <v>149</v>
      </c>
      <c r="K7623" s="3">
        <f t="shared" si="119"/>
        <v>5811</v>
      </c>
      <c r="L7623" s="3">
        <v>3428.4900000000002</v>
      </c>
    </row>
    <row r="7624" spans="1:12" x14ac:dyDescent="0.25">
      <c r="A7624" t="s">
        <v>11</v>
      </c>
      <c r="B7624">
        <v>1128299</v>
      </c>
      <c r="C7624" s="1">
        <v>44524</v>
      </c>
      <c r="D7624" t="s">
        <v>12</v>
      </c>
      <c r="E7624" t="s">
        <v>84</v>
      </c>
      <c r="F7624" t="s">
        <v>31</v>
      </c>
      <c r="G7624" t="s">
        <v>41</v>
      </c>
      <c r="H7624" t="s">
        <v>16</v>
      </c>
      <c r="I7624" s="3">
        <v>76</v>
      </c>
      <c r="J7624" s="2">
        <v>149</v>
      </c>
      <c r="K7624" s="3">
        <f t="shared" si="119"/>
        <v>11324</v>
      </c>
      <c r="L7624" s="3">
        <v>6567.92</v>
      </c>
    </row>
    <row r="7625" spans="1:12" x14ac:dyDescent="0.25">
      <c r="A7625" t="s">
        <v>19</v>
      </c>
      <c r="B7625">
        <v>1128299</v>
      </c>
      <c r="C7625" s="1">
        <v>44524</v>
      </c>
      <c r="D7625" t="s">
        <v>32</v>
      </c>
      <c r="E7625" t="s">
        <v>82</v>
      </c>
      <c r="F7625" t="s">
        <v>83</v>
      </c>
      <c r="G7625" t="s">
        <v>15</v>
      </c>
      <c r="H7625" t="s">
        <v>38</v>
      </c>
      <c r="I7625" s="3">
        <v>34</v>
      </c>
      <c r="J7625" s="2">
        <v>173</v>
      </c>
      <c r="K7625" s="3">
        <f t="shared" si="119"/>
        <v>5882</v>
      </c>
      <c r="L7625" s="3">
        <v>3411.56</v>
      </c>
    </row>
    <row r="7626" spans="1:12" x14ac:dyDescent="0.25">
      <c r="A7626" t="s">
        <v>11</v>
      </c>
      <c r="B7626">
        <v>1128299</v>
      </c>
      <c r="C7626" s="1">
        <v>44524</v>
      </c>
      <c r="D7626" t="s">
        <v>12</v>
      </c>
      <c r="E7626" t="s">
        <v>84</v>
      </c>
      <c r="F7626" t="s">
        <v>31</v>
      </c>
      <c r="G7626" t="s">
        <v>15</v>
      </c>
      <c r="H7626" t="s">
        <v>35</v>
      </c>
      <c r="I7626" s="3">
        <v>32</v>
      </c>
      <c r="J7626" s="2">
        <v>152</v>
      </c>
      <c r="K7626" s="3">
        <f t="shared" si="119"/>
        <v>4864</v>
      </c>
      <c r="L7626" s="3">
        <v>2821.12</v>
      </c>
    </row>
    <row r="7627" spans="1:12" x14ac:dyDescent="0.25">
      <c r="A7627" t="s">
        <v>19</v>
      </c>
      <c r="B7627">
        <v>1128299</v>
      </c>
      <c r="C7627" s="1">
        <v>44524</v>
      </c>
      <c r="D7627" t="s">
        <v>32</v>
      </c>
      <c r="E7627" t="s">
        <v>82</v>
      </c>
      <c r="F7627" t="s">
        <v>83</v>
      </c>
      <c r="G7627" t="s">
        <v>15</v>
      </c>
      <c r="H7627" t="s">
        <v>22</v>
      </c>
      <c r="I7627" s="3">
        <v>56</v>
      </c>
      <c r="J7627" s="2">
        <v>136</v>
      </c>
      <c r="K7627" s="3">
        <f t="shared" si="119"/>
        <v>7616</v>
      </c>
      <c r="L7627" s="3">
        <v>4264.96</v>
      </c>
    </row>
    <row r="7628" spans="1:12" x14ac:dyDescent="0.25">
      <c r="A7628" t="s">
        <v>11</v>
      </c>
      <c r="B7628">
        <v>1128299</v>
      </c>
      <c r="C7628" s="1">
        <v>44524</v>
      </c>
      <c r="D7628" t="s">
        <v>12</v>
      </c>
      <c r="E7628" t="s">
        <v>84</v>
      </c>
      <c r="F7628" t="s">
        <v>31</v>
      </c>
      <c r="G7628" t="s">
        <v>41</v>
      </c>
      <c r="H7628" t="s">
        <v>38</v>
      </c>
      <c r="I7628" s="3">
        <v>44</v>
      </c>
      <c r="J7628" s="2">
        <v>173</v>
      </c>
      <c r="K7628" s="3">
        <f t="shared" si="119"/>
        <v>7612</v>
      </c>
      <c r="L7628" s="3">
        <v>4110.4800000000005</v>
      </c>
    </row>
    <row r="7629" spans="1:12" x14ac:dyDescent="0.25">
      <c r="A7629" t="s">
        <v>11</v>
      </c>
      <c r="B7629">
        <v>1128299</v>
      </c>
      <c r="C7629" s="1">
        <v>44524</v>
      </c>
      <c r="D7629" t="s">
        <v>12</v>
      </c>
      <c r="E7629" t="s">
        <v>84</v>
      </c>
      <c r="F7629" t="s">
        <v>31</v>
      </c>
      <c r="G7629" t="s">
        <v>41</v>
      </c>
      <c r="H7629" t="s">
        <v>37</v>
      </c>
      <c r="I7629" s="3">
        <v>51</v>
      </c>
      <c r="J7629" s="2">
        <v>131</v>
      </c>
      <c r="K7629" s="3">
        <f t="shared" si="119"/>
        <v>6681</v>
      </c>
      <c r="L7629" s="3">
        <v>3607.7400000000002</v>
      </c>
    </row>
    <row r="7630" spans="1:12" x14ac:dyDescent="0.25">
      <c r="A7630" t="s">
        <v>11</v>
      </c>
      <c r="B7630">
        <v>1128299</v>
      </c>
      <c r="C7630" s="1">
        <v>44524</v>
      </c>
      <c r="D7630" t="s">
        <v>12</v>
      </c>
      <c r="E7630" t="s">
        <v>84</v>
      </c>
      <c r="F7630" t="s">
        <v>31</v>
      </c>
      <c r="G7630" t="s">
        <v>15</v>
      </c>
      <c r="H7630" t="s">
        <v>22</v>
      </c>
      <c r="I7630" s="3">
        <v>50</v>
      </c>
      <c r="J7630" s="2">
        <v>145</v>
      </c>
      <c r="K7630" s="3">
        <f t="shared" si="119"/>
        <v>7250</v>
      </c>
      <c r="L7630" s="3">
        <v>3915</v>
      </c>
    </row>
    <row r="7631" spans="1:12" x14ac:dyDescent="0.25">
      <c r="A7631" t="s">
        <v>19</v>
      </c>
      <c r="B7631">
        <v>1128299</v>
      </c>
      <c r="C7631" s="1">
        <v>44524</v>
      </c>
      <c r="D7631" t="s">
        <v>32</v>
      </c>
      <c r="E7631" t="s">
        <v>82</v>
      </c>
      <c r="F7631" t="s">
        <v>83</v>
      </c>
      <c r="G7631" t="s">
        <v>41</v>
      </c>
      <c r="H7631" t="s">
        <v>38</v>
      </c>
      <c r="I7631" s="3">
        <v>42</v>
      </c>
      <c r="J7631" s="2">
        <v>155</v>
      </c>
      <c r="K7631" s="3">
        <f t="shared" si="119"/>
        <v>6510</v>
      </c>
      <c r="L7631" s="3">
        <v>3450.3</v>
      </c>
    </row>
    <row r="7632" spans="1:12" x14ac:dyDescent="0.25">
      <c r="A7632" t="s">
        <v>19</v>
      </c>
      <c r="B7632">
        <v>1185732</v>
      </c>
      <c r="C7632" s="1">
        <v>44524</v>
      </c>
      <c r="D7632" t="s">
        <v>29</v>
      </c>
      <c r="E7632" t="s">
        <v>55</v>
      </c>
      <c r="F7632" t="s">
        <v>56</v>
      </c>
      <c r="G7632" t="s">
        <v>15</v>
      </c>
      <c r="H7632" t="s">
        <v>37</v>
      </c>
      <c r="I7632" s="3">
        <v>43</v>
      </c>
      <c r="J7632" s="2">
        <v>53</v>
      </c>
      <c r="K7632" s="3">
        <f t="shared" si="119"/>
        <v>2279</v>
      </c>
      <c r="L7632" s="3">
        <v>1207.8700000000001</v>
      </c>
    </row>
    <row r="7633" spans="1:12" x14ac:dyDescent="0.25">
      <c r="A7633" t="s">
        <v>19</v>
      </c>
      <c r="B7633">
        <v>1128299</v>
      </c>
      <c r="C7633" s="1">
        <v>44524</v>
      </c>
      <c r="D7633" t="s">
        <v>32</v>
      </c>
      <c r="E7633" t="s">
        <v>82</v>
      </c>
      <c r="F7633" t="s">
        <v>83</v>
      </c>
      <c r="G7633" t="s">
        <v>41</v>
      </c>
      <c r="H7633" t="s">
        <v>35</v>
      </c>
      <c r="I7633" s="3">
        <v>43</v>
      </c>
      <c r="J7633" s="2">
        <v>138</v>
      </c>
      <c r="K7633" s="3">
        <f t="shared" si="119"/>
        <v>5934</v>
      </c>
      <c r="L7633" s="3">
        <v>3085.6800000000003</v>
      </c>
    </row>
    <row r="7634" spans="1:12" x14ac:dyDescent="0.25">
      <c r="A7634" t="s">
        <v>19</v>
      </c>
      <c r="B7634">
        <v>1128299</v>
      </c>
      <c r="C7634" s="1">
        <v>44524</v>
      </c>
      <c r="D7634" t="s">
        <v>32</v>
      </c>
      <c r="E7634" t="s">
        <v>82</v>
      </c>
      <c r="F7634" t="s">
        <v>83</v>
      </c>
      <c r="G7634" t="s">
        <v>41</v>
      </c>
      <c r="H7634" t="s">
        <v>37</v>
      </c>
      <c r="I7634" s="3">
        <v>52</v>
      </c>
      <c r="J7634" s="2">
        <v>113</v>
      </c>
      <c r="K7634" s="3">
        <f t="shared" si="119"/>
        <v>5876</v>
      </c>
      <c r="L7634" s="3">
        <v>3055.52</v>
      </c>
    </row>
    <row r="7635" spans="1:12" x14ac:dyDescent="0.25">
      <c r="A7635" t="s">
        <v>19</v>
      </c>
      <c r="B7635">
        <v>1128299</v>
      </c>
      <c r="C7635" s="1">
        <v>44524</v>
      </c>
      <c r="D7635" t="s">
        <v>32</v>
      </c>
      <c r="E7635" t="s">
        <v>82</v>
      </c>
      <c r="F7635" t="s">
        <v>83</v>
      </c>
      <c r="G7635" t="s">
        <v>41</v>
      </c>
      <c r="H7635" t="s">
        <v>17</v>
      </c>
      <c r="I7635" s="3">
        <v>47</v>
      </c>
      <c r="J7635" s="2">
        <v>169</v>
      </c>
      <c r="K7635" s="3">
        <f t="shared" si="119"/>
        <v>7943</v>
      </c>
      <c r="L7635" s="3">
        <v>4050.9300000000003</v>
      </c>
    </row>
    <row r="7636" spans="1:12" x14ac:dyDescent="0.25">
      <c r="A7636" t="s">
        <v>11</v>
      </c>
      <c r="B7636">
        <v>1128299</v>
      </c>
      <c r="C7636" s="1">
        <v>44524</v>
      </c>
      <c r="D7636" t="s">
        <v>12</v>
      </c>
      <c r="E7636" t="s">
        <v>84</v>
      </c>
      <c r="F7636" t="s">
        <v>31</v>
      </c>
      <c r="G7636" t="s">
        <v>41</v>
      </c>
      <c r="H7636" t="s">
        <v>17</v>
      </c>
      <c r="I7636" s="3">
        <v>48</v>
      </c>
      <c r="J7636" s="2">
        <v>195</v>
      </c>
      <c r="K7636" s="3">
        <f t="shared" si="119"/>
        <v>9360</v>
      </c>
      <c r="L7636" s="3">
        <v>4680</v>
      </c>
    </row>
    <row r="7637" spans="1:12" x14ac:dyDescent="0.25">
      <c r="A7637" t="s">
        <v>11</v>
      </c>
      <c r="B7637">
        <v>1128299</v>
      </c>
      <c r="C7637" s="1">
        <v>44524</v>
      </c>
      <c r="D7637" t="s">
        <v>12</v>
      </c>
      <c r="E7637" t="s">
        <v>84</v>
      </c>
      <c r="F7637" t="s">
        <v>31</v>
      </c>
      <c r="G7637" t="s">
        <v>41</v>
      </c>
      <c r="H7637" t="s">
        <v>35</v>
      </c>
      <c r="I7637" s="3">
        <v>42</v>
      </c>
      <c r="J7637" s="2">
        <v>128</v>
      </c>
      <c r="K7637" s="3">
        <f t="shared" si="119"/>
        <v>5376</v>
      </c>
      <c r="L7637" s="3">
        <v>2688</v>
      </c>
    </row>
    <row r="7638" spans="1:12" x14ac:dyDescent="0.25">
      <c r="A7638" t="s">
        <v>19</v>
      </c>
      <c r="B7638">
        <v>1185732</v>
      </c>
      <c r="C7638" s="1">
        <v>44524</v>
      </c>
      <c r="D7638" t="s">
        <v>29</v>
      </c>
      <c r="E7638" t="s">
        <v>55</v>
      </c>
      <c r="F7638" t="s">
        <v>56</v>
      </c>
      <c r="G7638" t="s">
        <v>41</v>
      </c>
      <c r="H7638" t="s">
        <v>37</v>
      </c>
      <c r="I7638" s="3">
        <v>52</v>
      </c>
      <c r="J7638" s="2">
        <v>39</v>
      </c>
      <c r="K7638" s="3">
        <f t="shared" si="119"/>
        <v>2028</v>
      </c>
      <c r="L7638" s="3">
        <v>953.15999999999985</v>
      </c>
    </row>
    <row r="7639" spans="1:12" x14ac:dyDescent="0.25">
      <c r="A7639" t="s">
        <v>11</v>
      </c>
      <c r="B7639">
        <v>1128299</v>
      </c>
      <c r="C7639" s="1">
        <v>44524</v>
      </c>
      <c r="D7639" t="s">
        <v>12</v>
      </c>
      <c r="E7639" t="s">
        <v>84</v>
      </c>
      <c r="F7639" t="s">
        <v>31</v>
      </c>
      <c r="G7639" t="s">
        <v>41</v>
      </c>
      <c r="H7639" t="s">
        <v>22</v>
      </c>
      <c r="I7639" s="3">
        <v>68</v>
      </c>
      <c r="J7639" s="2">
        <v>111</v>
      </c>
      <c r="K7639" s="3">
        <f t="shared" si="119"/>
        <v>7548</v>
      </c>
      <c r="L7639" s="3">
        <v>3472.08</v>
      </c>
    </row>
    <row r="7640" spans="1:12" x14ac:dyDescent="0.25">
      <c r="A7640" t="s">
        <v>19</v>
      </c>
      <c r="B7640">
        <v>1128299</v>
      </c>
      <c r="C7640" s="1">
        <v>44524</v>
      </c>
      <c r="D7640" t="s">
        <v>32</v>
      </c>
      <c r="E7640" t="s">
        <v>82</v>
      </c>
      <c r="F7640" t="s">
        <v>83</v>
      </c>
      <c r="G7640" t="s">
        <v>41</v>
      </c>
      <c r="H7640" t="s">
        <v>22</v>
      </c>
      <c r="I7640" s="3">
        <v>73</v>
      </c>
      <c r="J7640" s="2">
        <v>111</v>
      </c>
      <c r="K7640" s="3">
        <f t="shared" si="119"/>
        <v>8103</v>
      </c>
      <c r="L7640" s="3">
        <v>3646.3499999999995</v>
      </c>
    </row>
    <row r="7641" spans="1:12" x14ac:dyDescent="0.25">
      <c r="A7641" t="s">
        <v>19</v>
      </c>
      <c r="B7641">
        <v>1185732</v>
      </c>
      <c r="C7641" s="1">
        <v>44525</v>
      </c>
      <c r="D7641" t="s">
        <v>29</v>
      </c>
      <c r="E7641" t="s">
        <v>55</v>
      </c>
      <c r="F7641" t="s">
        <v>56</v>
      </c>
      <c r="G7641" t="s">
        <v>15</v>
      </c>
      <c r="H7641" t="s">
        <v>22</v>
      </c>
      <c r="I7641" s="3">
        <v>65</v>
      </c>
      <c r="J7641" s="2">
        <v>150</v>
      </c>
      <c r="K7641" s="3">
        <f t="shared" si="119"/>
        <v>9750</v>
      </c>
      <c r="L7641" s="3">
        <v>6337.5</v>
      </c>
    </row>
    <row r="7642" spans="1:12" x14ac:dyDescent="0.25">
      <c r="A7642" t="s">
        <v>19</v>
      </c>
      <c r="B7642">
        <v>1185732</v>
      </c>
      <c r="C7642" s="1">
        <v>44525</v>
      </c>
      <c r="D7642" t="s">
        <v>29</v>
      </c>
      <c r="E7642" t="s">
        <v>55</v>
      </c>
      <c r="F7642" t="s">
        <v>56</v>
      </c>
      <c r="G7642" t="s">
        <v>15</v>
      </c>
      <c r="H7642" t="s">
        <v>22</v>
      </c>
      <c r="I7642" s="3">
        <v>43</v>
      </c>
      <c r="J7642" s="2">
        <v>48</v>
      </c>
      <c r="K7642" s="3">
        <f t="shared" si="119"/>
        <v>2064</v>
      </c>
      <c r="L7642" s="3">
        <v>1197.1199999999999</v>
      </c>
    </row>
    <row r="7643" spans="1:12" x14ac:dyDescent="0.25">
      <c r="A7643" t="s">
        <v>19</v>
      </c>
      <c r="B7643">
        <v>1185732</v>
      </c>
      <c r="C7643" s="1">
        <v>44525</v>
      </c>
      <c r="D7643" t="s">
        <v>29</v>
      </c>
      <c r="E7643" t="s">
        <v>55</v>
      </c>
      <c r="F7643" t="s">
        <v>56</v>
      </c>
      <c r="G7643" t="s">
        <v>41</v>
      </c>
      <c r="H7643" t="s">
        <v>22</v>
      </c>
      <c r="I7643" s="3">
        <v>60</v>
      </c>
      <c r="J7643" s="2">
        <v>45</v>
      </c>
      <c r="K7643" s="3">
        <f t="shared" si="119"/>
        <v>2700</v>
      </c>
      <c r="L7643" s="3">
        <v>1458</v>
      </c>
    </row>
    <row r="7644" spans="1:12" x14ac:dyDescent="0.25">
      <c r="A7644" t="s">
        <v>27</v>
      </c>
      <c r="B7644">
        <v>1128299</v>
      </c>
      <c r="C7644" s="1">
        <v>44526</v>
      </c>
      <c r="D7644" t="s">
        <v>12</v>
      </c>
      <c r="E7644" t="s">
        <v>42</v>
      </c>
      <c r="F7644" t="s">
        <v>43</v>
      </c>
      <c r="G7644" t="s">
        <v>41</v>
      </c>
      <c r="H7644" t="s">
        <v>16</v>
      </c>
      <c r="I7644" s="3">
        <v>75.000000000000014</v>
      </c>
      <c r="J7644" s="2">
        <v>500</v>
      </c>
      <c r="K7644" s="3">
        <f t="shared" si="119"/>
        <v>37500.000000000007</v>
      </c>
      <c r="L7644" s="3">
        <v>28125.000000000007</v>
      </c>
    </row>
    <row r="7645" spans="1:12" x14ac:dyDescent="0.25">
      <c r="A7645" t="s">
        <v>19</v>
      </c>
      <c r="B7645">
        <v>1185732</v>
      </c>
      <c r="C7645" s="1">
        <v>44526</v>
      </c>
      <c r="D7645" t="s">
        <v>29</v>
      </c>
      <c r="E7645" t="s">
        <v>55</v>
      </c>
      <c r="F7645" t="s">
        <v>56</v>
      </c>
      <c r="G7645" t="s">
        <v>15</v>
      </c>
      <c r="H7645" t="s">
        <v>16</v>
      </c>
      <c r="I7645" s="3">
        <v>70</v>
      </c>
      <c r="J7645" s="2">
        <v>300</v>
      </c>
      <c r="K7645" s="3">
        <f t="shared" si="119"/>
        <v>21000</v>
      </c>
      <c r="L7645" s="3">
        <v>14700</v>
      </c>
    </row>
    <row r="7646" spans="1:12" x14ac:dyDescent="0.25">
      <c r="A7646" t="s">
        <v>27</v>
      </c>
      <c r="B7646">
        <v>1128299</v>
      </c>
      <c r="C7646" s="1">
        <v>44526</v>
      </c>
      <c r="D7646" t="s">
        <v>12</v>
      </c>
      <c r="E7646" t="s">
        <v>42</v>
      </c>
      <c r="F7646" t="s">
        <v>43</v>
      </c>
      <c r="G7646" t="s">
        <v>41</v>
      </c>
      <c r="H7646" t="s">
        <v>22</v>
      </c>
      <c r="I7646" s="3">
        <v>70</v>
      </c>
      <c r="J7646" s="2">
        <v>375</v>
      </c>
      <c r="K7646" s="3">
        <f t="shared" si="119"/>
        <v>26250</v>
      </c>
      <c r="L7646" s="3">
        <v>18375</v>
      </c>
    </row>
    <row r="7647" spans="1:12" x14ac:dyDescent="0.25">
      <c r="A7647" t="s">
        <v>27</v>
      </c>
      <c r="B7647">
        <v>1128299</v>
      </c>
      <c r="C7647" s="1">
        <v>44526</v>
      </c>
      <c r="D7647" t="s">
        <v>12</v>
      </c>
      <c r="E7647" t="s">
        <v>42</v>
      </c>
      <c r="F7647" t="s">
        <v>43</v>
      </c>
      <c r="G7647" t="s">
        <v>41</v>
      </c>
      <c r="H7647" t="s">
        <v>35</v>
      </c>
      <c r="I7647" s="3">
        <v>60.000000000000007</v>
      </c>
      <c r="J7647" s="2">
        <v>450</v>
      </c>
      <c r="K7647" s="3">
        <f t="shared" si="119"/>
        <v>27000.000000000004</v>
      </c>
      <c r="L7647" s="3">
        <v>17550.000000000007</v>
      </c>
    </row>
    <row r="7648" spans="1:12" x14ac:dyDescent="0.25">
      <c r="A7648" t="s">
        <v>27</v>
      </c>
      <c r="B7648">
        <v>1128299</v>
      </c>
      <c r="C7648" s="1">
        <v>44526</v>
      </c>
      <c r="D7648" t="s">
        <v>12</v>
      </c>
      <c r="E7648" t="s">
        <v>42</v>
      </c>
      <c r="F7648" t="s">
        <v>43</v>
      </c>
      <c r="G7648" t="s">
        <v>41</v>
      </c>
      <c r="H7648" t="s">
        <v>38</v>
      </c>
      <c r="I7648" s="3">
        <v>60.000000000000007</v>
      </c>
      <c r="J7648" s="2">
        <v>550</v>
      </c>
      <c r="K7648" s="3">
        <f t="shared" si="119"/>
        <v>33000.000000000007</v>
      </c>
      <c r="L7648" s="3">
        <v>21450.000000000007</v>
      </c>
    </row>
    <row r="7649" spans="1:12" x14ac:dyDescent="0.25">
      <c r="A7649" t="s">
        <v>27</v>
      </c>
      <c r="B7649">
        <v>1128299</v>
      </c>
      <c r="C7649" s="1">
        <v>44526</v>
      </c>
      <c r="D7649" t="s">
        <v>12</v>
      </c>
      <c r="E7649" t="s">
        <v>42</v>
      </c>
      <c r="F7649" t="s">
        <v>43</v>
      </c>
      <c r="G7649" t="s">
        <v>41</v>
      </c>
      <c r="H7649" t="s">
        <v>37</v>
      </c>
      <c r="I7649" s="3">
        <v>60.000000000000007</v>
      </c>
      <c r="J7649" s="2">
        <v>425</v>
      </c>
      <c r="K7649" s="3">
        <f t="shared" si="119"/>
        <v>25500.000000000004</v>
      </c>
      <c r="L7649" s="3">
        <v>16575.000000000004</v>
      </c>
    </row>
    <row r="7650" spans="1:12" x14ac:dyDescent="0.25">
      <c r="A7650" t="s">
        <v>27</v>
      </c>
      <c r="B7650">
        <v>1128299</v>
      </c>
      <c r="C7650" s="1">
        <v>44526</v>
      </c>
      <c r="D7650" t="s">
        <v>12</v>
      </c>
      <c r="E7650" t="s">
        <v>42</v>
      </c>
      <c r="F7650" t="s">
        <v>43</v>
      </c>
      <c r="G7650" t="s">
        <v>41</v>
      </c>
      <c r="H7650" t="s">
        <v>17</v>
      </c>
      <c r="I7650" s="3">
        <v>65.000000000000014</v>
      </c>
      <c r="J7650" s="2">
        <v>600</v>
      </c>
      <c r="K7650" s="3">
        <f t="shared" si="119"/>
        <v>39000.000000000007</v>
      </c>
      <c r="L7650" s="3">
        <v>23400.000000000004</v>
      </c>
    </row>
    <row r="7651" spans="1:12" x14ac:dyDescent="0.25">
      <c r="A7651" t="s">
        <v>27</v>
      </c>
      <c r="B7651">
        <v>1128299</v>
      </c>
      <c r="C7651" s="1">
        <v>44526</v>
      </c>
      <c r="D7651" t="s">
        <v>12</v>
      </c>
      <c r="E7651" t="s">
        <v>42</v>
      </c>
      <c r="F7651" t="s">
        <v>43</v>
      </c>
      <c r="G7651" t="s">
        <v>15</v>
      </c>
      <c r="H7651" t="s">
        <v>16</v>
      </c>
      <c r="I7651" s="3">
        <v>56</v>
      </c>
      <c r="J7651" s="2">
        <v>170</v>
      </c>
      <c r="K7651" s="3">
        <f t="shared" si="119"/>
        <v>9520</v>
      </c>
      <c r="L7651" s="3">
        <v>6664</v>
      </c>
    </row>
    <row r="7652" spans="1:12" x14ac:dyDescent="0.25">
      <c r="A7652" t="s">
        <v>19</v>
      </c>
      <c r="B7652">
        <v>1185732</v>
      </c>
      <c r="C7652" s="1">
        <v>44526</v>
      </c>
      <c r="D7652" t="s">
        <v>29</v>
      </c>
      <c r="E7652" t="s">
        <v>55</v>
      </c>
      <c r="F7652" t="s">
        <v>56</v>
      </c>
      <c r="G7652" t="s">
        <v>15</v>
      </c>
      <c r="H7652" t="s">
        <v>16</v>
      </c>
      <c r="I7652" s="3">
        <v>52</v>
      </c>
      <c r="J7652" s="2">
        <v>105</v>
      </c>
      <c r="K7652" s="3">
        <f t="shared" si="119"/>
        <v>5460</v>
      </c>
      <c r="L7652" s="3">
        <v>3549</v>
      </c>
    </row>
    <row r="7653" spans="1:12" x14ac:dyDescent="0.25">
      <c r="A7653" t="s">
        <v>27</v>
      </c>
      <c r="B7653">
        <v>1128299</v>
      </c>
      <c r="C7653" s="1">
        <v>44526</v>
      </c>
      <c r="D7653" t="s">
        <v>12</v>
      </c>
      <c r="E7653" t="s">
        <v>42</v>
      </c>
      <c r="F7653" t="s">
        <v>43</v>
      </c>
      <c r="G7653" t="s">
        <v>15</v>
      </c>
      <c r="H7653" t="s">
        <v>35</v>
      </c>
      <c r="I7653" s="3">
        <v>46</v>
      </c>
      <c r="J7653" s="2">
        <v>149</v>
      </c>
      <c r="K7653" s="3">
        <f t="shared" si="119"/>
        <v>6854</v>
      </c>
      <c r="L7653" s="3">
        <v>4318.0200000000004</v>
      </c>
    </row>
    <row r="7654" spans="1:12" x14ac:dyDescent="0.25">
      <c r="A7654" t="s">
        <v>27</v>
      </c>
      <c r="B7654">
        <v>1128299</v>
      </c>
      <c r="C7654" s="1">
        <v>44526</v>
      </c>
      <c r="D7654" t="s">
        <v>12</v>
      </c>
      <c r="E7654" t="s">
        <v>42</v>
      </c>
      <c r="F7654" t="s">
        <v>43</v>
      </c>
      <c r="G7654" t="s">
        <v>15</v>
      </c>
      <c r="H7654" t="s">
        <v>22</v>
      </c>
      <c r="I7654" s="3">
        <v>54</v>
      </c>
      <c r="J7654" s="2">
        <v>131</v>
      </c>
      <c r="K7654" s="3">
        <f t="shared" si="119"/>
        <v>7074</v>
      </c>
      <c r="L7654" s="3">
        <v>4456.62</v>
      </c>
    </row>
    <row r="7655" spans="1:12" x14ac:dyDescent="0.25">
      <c r="A7655" t="s">
        <v>27</v>
      </c>
      <c r="B7655">
        <v>1128299</v>
      </c>
      <c r="C7655" s="1">
        <v>44526</v>
      </c>
      <c r="D7655" t="s">
        <v>12</v>
      </c>
      <c r="E7655" t="s">
        <v>42</v>
      </c>
      <c r="F7655" t="s">
        <v>43</v>
      </c>
      <c r="G7655" t="s">
        <v>41</v>
      </c>
      <c r="H7655" t="s">
        <v>16</v>
      </c>
      <c r="I7655" s="3">
        <v>72</v>
      </c>
      <c r="J7655" s="2">
        <v>140</v>
      </c>
      <c r="K7655" s="3">
        <f t="shared" si="119"/>
        <v>10080</v>
      </c>
      <c r="L7655" s="3">
        <v>6148.7999999999993</v>
      </c>
    </row>
    <row r="7656" spans="1:12" x14ac:dyDescent="0.25">
      <c r="A7656" t="s">
        <v>27</v>
      </c>
      <c r="B7656">
        <v>1128299</v>
      </c>
      <c r="C7656" s="1">
        <v>44526</v>
      </c>
      <c r="D7656" t="s">
        <v>12</v>
      </c>
      <c r="E7656" t="s">
        <v>42</v>
      </c>
      <c r="F7656" t="s">
        <v>43</v>
      </c>
      <c r="G7656" t="s">
        <v>15</v>
      </c>
      <c r="H7656" t="s">
        <v>38</v>
      </c>
      <c r="I7656" s="3">
        <v>47</v>
      </c>
      <c r="J7656" s="2">
        <v>176</v>
      </c>
      <c r="K7656" s="3">
        <f t="shared" si="119"/>
        <v>8272</v>
      </c>
      <c r="L7656" s="3">
        <v>4880.4799999999996</v>
      </c>
    </row>
    <row r="7657" spans="1:12" x14ac:dyDescent="0.25">
      <c r="A7657" t="s">
        <v>27</v>
      </c>
      <c r="B7657">
        <v>1128299</v>
      </c>
      <c r="C7657" s="1">
        <v>44526</v>
      </c>
      <c r="D7657" t="s">
        <v>12</v>
      </c>
      <c r="E7657" t="s">
        <v>42</v>
      </c>
      <c r="F7657" t="s">
        <v>43</v>
      </c>
      <c r="G7657" t="s">
        <v>15</v>
      </c>
      <c r="H7657" t="s">
        <v>37</v>
      </c>
      <c r="I7657" s="3">
        <v>40</v>
      </c>
      <c r="J7657" s="2">
        <v>136</v>
      </c>
      <c r="K7657" s="3">
        <f t="shared" si="119"/>
        <v>5440</v>
      </c>
      <c r="L7657" s="3">
        <v>3209.6</v>
      </c>
    </row>
    <row r="7658" spans="1:12" x14ac:dyDescent="0.25">
      <c r="A7658" t="s">
        <v>19</v>
      </c>
      <c r="B7658">
        <v>1185732</v>
      </c>
      <c r="C7658" s="1">
        <v>44526</v>
      </c>
      <c r="D7658" t="s">
        <v>29</v>
      </c>
      <c r="E7658" t="s">
        <v>55</v>
      </c>
      <c r="F7658" t="s">
        <v>56</v>
      </c>
      <c r="G7658" t="s">
        <v>41</v>
      </c>
      <c r="H7658" t="s">
        <v>16</v>
      </c>
      <c r="I7658" s="3">
        <v>65</v>
      </c>
      <c r="J7658" s="2">
        <v>81</v>
      </c>
      <c r="K7658" s="3">
        <f t="shared" si="119"/>
        <v>5265</v>
      </c>
      <c r="L7658" s="3">
        <v>3053.7000000000003</v>
      </c>
    </row>
    <row r="7659" spans="1:12" x14ac:dyDescent="0.25">
      <c r="A7659" t="s">
        <v>27</v>
      </c>
      <c r="B7659">
        <v>1128299</v>
      </c>
      <c r="C7659" s="1">
        <v>44526</v>
      </c>
      <c r="D7659" t="s">
        <v>12</v>
      </c>
      <c r="E7659" t="s">
        <v>42</v>
      </c>
      <c r="F7659" t="s">
        <v>43</v>
      </c>
      <c r="G7659" t="s">
        <v>15</v>
      </c>
      <c r="H7659" t="s">
        <v>17</v>
      </c>
      <c r="I7659" s="3">
        <v>44</v>
      </c>
      <c r="J7659" s="2">
        <v>180</v>
      </c>
      <c r="K7659" s="3">
        <f t="shared" si="119"/>
        <v>7920</v>
      </c>
      <c r="L7659" s="3">
        <v>4514.3999999999996</v>
      </c>
    </row>
    <row r="7660" spans="1:12" x14ac:dyDescent="0.25">
      <c r="A7660" t="s">
        <v>27</v>
      </c>
      <c r="B7660">
        <v>1128299</v>
      </c>
      <c r="C7660" s="1">
        <v>44526</v>
      </c>
      <c r="D7660" t="s">
        <v>12</v>
      </c>
      <c r="E7660" t="s">
        <v>42</v>
      </c>
      <c r="F7660" t="s">
        <v>43</v>
      </c>
      <c r="G7660" t="s">
        <v>41</v>
      </c>
      <c r="H7660" t="s">
        <v>22</v>
      </c>
      <c r="I7660" s="3">
        <v>65</v>
      </c>
      <c r="J7660" s="2">
        <v>113</v>
      </c>
      <c r="K7660" s="3">
        <f t="shared" si="119"/>
        <v>7345</v>
      </c>
      <c r="L7660" s="3">
        <v>4113.2</v>
      </c>
    </row>
    <row r="7661" spans="1:12" x14ac:dyDescent="0.25">
      <c r="A7661" t="s">
        <v>27</v>
      </c>
      <c r="B7661">
        <v>1128299</v>
      </c>
      <c r="C7661" s="1">
        <v>44526</v>
      </c>
      <c r="D7661" t="s">
        <v>12</v>
      </c>
      <c r="E7661" t="s">
        <v>42</v>
      </c>
      <c r="F7661" t="s">
        <v>43</v>
      </c>
      <c r="G7661" t="s">
        <v>41</v>
      </c>
      <c r="H7661" t="s">
        <v>37</v>
      </c>
      <c r="I7661" s="3">
        <v>55</v>
      </c>
      <c r="J7661" s="2">
        <v>115</v>
      </c>
      <c r="K7661" s="3">
        <f t="shared" si="119"/>
        <v>6325</v>
      </c>
      <c r="L7661" s="3">
        <v>3352.25</v>
      </c>
    </row>
    <row r="7662" spans="1:12" x14ac:dyDescent="0.25">
      <c r="A7662" t="s">
        <v>27</v>
      </c>
      <c r="B7662">
        <v>1128299</v>
      </c>
      <c r="C7662" s="1">
        <v>44526</v>
      </c>
      <c r="D7662" t="s">
        <v>12</v>
      </c>
      <c r="E7662" t="s">
        <v>42</v>
      </c>
      <c r="F7662" t="s">
        <v>43</v>
      </c>
      <c r="G7662" t="s">
        <v>41</v>
      </c>
      <c r="H7662" t="s">
        <v>35</v>
      </c>
      <c r="I7662" s="3">
        <v>54</v>
      </c>
      <c r="J7662" s="2">
        <v>117</v>
      </c>
      <c r="K7662" s="3">
        <f t="shared" si="119"/>
        <v>6318</v>
      </c>
      <c r="L7662" s="3">
        <v>3285.36</v>
      </c>
    </row>
    <row r="7663" spans="1:12" x14ac:dyDescent="0.25">
      <c r="A7663" t="s">
        <v>27</v>
      </c>
      <c r="B7663">
        <v>1128299</v>
      </c>
      <c r="C7663" s="1">
        <v>44526</v>
      </c>
      <c r="D7663" t="s">
        <v>12</v>
      </c>
      <c r="E7663" t="s">
        <v>42</v>
      </c>
      <c r="F7663" t="s">
        <v>43</v>
      </c>
      <c r="G7663" t="s">
        <v>41</v>
      </c>
      <c r="H7663" t="s">
        <v>38</v>
      </c>
      <c r="I7663" s="3">
        <v>58</v>
      </c>
      <c r="J7663" s="2">
        <v>160</v>
      </c>
      <c r="K7663" s="3">
        <f t="shared" si="119"/>
        <v>9280</v>
      </c>
      <c r="L7663" s="3">
        <v>4732.8</v>
      </c>
    </row>
    <row r="7664" spans="1:12" x14ac:dyDescent="0.25">
      <c r="A7664" t="s">
        <v>27</v>
      </c>
      <c r="B7664">
        <v>1128299</v>
      </c>
      <c r="C7664" s="1">
        <v>44526</v>
      </c>
      <c r="D7664" t="s">
        <v>12</v>
      </c>
      <c r="E7664" t="s">
        <v>42</v>
      </c>
      <c r="F7664" t="s">
        <v>43</v>
      </c>
      <c r="G7664" t="s">
        <v>41</v>
      </c>
      <c r="H7664" t="s">
        <v>17</v>
      </c>
      <c r="I7664" s="3">
        <v>59</v>
      </c>
      <c r="J7664" s="2">
        <v>150</v>
      </c>
      <c r="K7664" s="3">
        <f t="shared" si="119"/>
        <v>8850</v>
      </c>
      <c r="L7664" s="3">
        <v>4071</v>
      </c>
    </row>
    <row r="7665" spans="1:12" x14ac:dyDescent="0.25">
      <c r="A7665" t="s">
        <v>19</v>
      </c>
      <c r="B7665">
        <v>1185732</v>
      </c>
      <c r="C7665" s="1">
        <v>44527</v>
      </c>
      <c r="D7665" t="s">
        <v>29</v>
      </c>
      <c r="E7665" t="s">
        <v>55</v>
      </c>
      <c r="F7665" t="s">
        <v>56</v>
      </c>
      <c r="G7665" t="s">
        <v>15</v>
      </c>
      <c r="H7665" t="s">
        <v>38</v>
      </c>
      <c r="I7665" s="3">
        <v>65</v>
      </c>
      <c r="J7665" s="2">
        <v>500</v>
      </c>
      <c r="K7665" s="3">
        <f t="shared" si="119"/>
        <v>32500</v>
      </c>
      <c r="L7665" s="3">
        <v>14625</v>
      </c>
    </row>
    <row r="7666" spans="1:12" x14ac:dyDescent="0.25">
      <c r="A7666" t="s">
        <v>19</v>
      </c>
      <c r="B7666">
        <v>1185732</v>
      </c>
      <c r="C7666" s="1">
        <v>44527</v>
      </c>
      <c r="D7666" t="s">
        <v>29</v>
      </c>
      <c r="E7666" t="s">
        <v>55</v>
      </c>
      <c r="F7666" t="s">
        <v>56</v>
      </c>
      <c r="G7666" t="s">
        <v>15</v>
      </c>
      <c r="H7666" t="s">
        <v>38</v>
      </c>
      <c r="I7666" s="3">
        <v>49</v>
      </c>
      <c r="J7666" s="2">
        <v>175</v>
      </c>
      <c r="K7666" s="3">
        <f t="shared" si="119"/>
        <v>8575</v>
      </c>
      <c r="L7666" s="3">
        <v>3687.2499999999991</v>
      </c>
    </row>
    <row r="7667" spans="1:12" x14ac:dyDescent="0.25">
      <c r="A7667" t="s">
        <v>19</v>
      </c>
      <c r="B7667">
        <v>1185732</v>
      </c>
      <c r="C7667" s="1">
        <v>44527</v>
      </c>
      <c r="D7667" t="s">
        <v>29</v>
      </c>
      <c r="E7667" t="s">
        <v>55</v>
      </c>
      <c r="F7667" t="s">
        <v>56</v>
      </c>
      <c r="G7667" t="s">
        <v>41</v>
      </c>
      <c r="H7667" t="s">
        <v>38</v>
      </c>
      <c r="I7667" s="3">
        <v>60</v>
      </c>
      <c r="J7667" s="2">
        <v>145</v>
      </c>
      <c r="K7667" s="3">
        <f t="shared" si="119"/>
        <v>8700</v>
      </c>
      <c r="L7667" s="3">
        <v>2871</v>
      </c>
    </row>
    <row r="7668" spans="1:12" x14ac:dyDescent="0.25">
      <c r="A7668" t="s">
        <v>19</v>
      </c>
      <c r="B7668">
        <v>1185732</v>
      </c>
      <c r="C7668" s="1">
        <v>44528</v>
      </c>
      <c r="D7668" t="s">
        <v>29</v>
      </c>
      <c r="E7668" t="s">
        <v>55</v>
      </c>
      <c r="F7668" t="s">
        <v>56</v>
      </c>
      <c r="G7668" t="s">
        <v>15</v>
      </c>
      <c r="H7668" t="s">
        <v>17</v>
      </c>
      <c r="I7668" s="3">
        <v>60.000000000000007</v>
      </c>
      <c r="J7668" s="2">
        <v>300</v>
      </c>
      <c r="K7668" s="3">
        <f t="shared" si="119"/>
        <v>18000.000000000004</v>
      </c>
      <c r="L7668" s="3">
        <v>11700.000000000004</v>
      </c>
    </row>
    <row r="7669" spans="1:12" x14ac:dyDescent="0.25">
      <c r="A7669" t="s">
        <v>19</v>
      </c>
      <c r="B7669">
        <v>1185732</v>
      </c>
      <c r="C7669" s="1">
        <v>44528</v>
      </c>
      <c r="D7669" t="s">
        <v>29</v>
      </c>
      <c r="E7669" t="s">
        <v>55</v>
      </c>
      <c r="F7669" t="s">
        <v>56</v>
      </c>
      <c r="G7669" t="s">
        <v>15</v>
      </c>
      <c r="H7669" t="s">
        <v>17</v>
      </c>
      <c r="I7669" s="3">
        <v>45</v>
      </c>
      <c r="J7669" s="2">
        <v>99</v>
      </c>
      <c r="K7669" s="3">
        <f t="shared" si="119"/>
        <v>4455</v>
      </c>
      <c r="L7669" s="3">
        <v>2717.55</v>
      </c>
    </row>
    <row r="7670" spans="1:12" x14ac:dyDescent="0.25">
      <c r="A7670" t="s">
        <v>19</v>
      </c>
      <c r="B7670">
        <v>1185732</v>
      </c>
      <c r="C7670" s="1">
        <v>44528</v>
      </c>
      <c r="D7670" t="s">
        <v>29</v>
      </c>
      <c r="E7670" t="s">
        <v>55</v>
      </c>
      <c r="F7670" t="s">
        <v>56</v>
      </c>
      <c r="G7670" t="s">
        <v>41</v>
      </c>
      <c r="H7670" t="s">
        <v>17</v>
      </c>
      <c r="I7670" s="3">
        <v>55</v>
      </c>
      <c r="J7670" s="2">
        <v>90</v>
      </c>
      <c r="K7670" s="3">
        <f t="shared" si="119"/>
        <v>4950</v>
      </c>
      <c r="L7670" s="3">
        <v>2475</v>
      </c>
    </row>
    <row r="7671" spans="1:12" x14ac:dyDescent="0.25">
      <c r="A7671" t="s">
        <v>19</v>
      </c>
      <c r="B7671">
        <v>1185732</v>
      </c>
      <c r="C7671" s="1">
        <v>44529</v>
      </c>
      <c r="D7671" t="s">
        <v>29</v>
      </c>
      <c r="E7671" t="s">
        <v>55</v>
      </c>
      <c r="F7671" t="s">
        <v>56</v>
      </c>
      <c r="G7671" t="s">
        <v>15</v>
      </c>
      <c r="H7671" t="s">
        <v>35</v>
      </c>
      <c r="I7671" s="3">
        <v>55.000000000000007</v>
      </c>
      <c r="J7671" s="2">
        <v>225</v>
      </c>
      <c r="K7671" s="3">
        <f t="shared" si="119"/>
        <v>12375.000000000002</v>
      </c>
      <c r="L7671" s="3">
        <v>7425.0000000000018</v>
      </c>
    </row>
    <row r="7672" spans="1:12" x14ac:dyDescent="0.25">
      <c r="A7672" t="s">
        <v>19</v>
      </c>
      <c r="B7672">
        <v>1185732</v>
      </c>
      <c r="C7672" s="1">
        <v>44529</v>
      </c>
      <c r="D7672" t="s">
        <v>29</v>
      </c>
      <c r="E7672" t="s">
        <v>55</v>
      </c>
      <c r="F7672" t="s">
        <v>56</v>
      </c>
      <c r="G7672" t="s">
        <v>15</v>
      </c>
      <c r="H7672" t="s">
        <v>35</v>
      </c>
      <c r="I7672" s="3">
        <v>43</v>
      </c>
      <c r="J7672" s="2">
        <v>72</v>
      </c>
      <c r="K7672" s="3">
        <f t="shared" si="119"/>
        <v>3096</v>
      </c>
      <c r="L7672" s="3">
        <v>1764.7200000000003</v>
      </c>
    </row>
    <row r="7673" spans="1:12" x14ac:dyDescent="0.25">
      <c r="A7673" t="s">
        <v>19</v>
      </c>
      <c r="B7673">
        <v>1185732</v>
      </c>
      <c r="C7673" s="1">
        <v>44529</v>
      </c>
      <c r="D7673" t="s">
        <v>29</v>
      </c>
      <c r="E7673" t="s">
        <v>55</v>
      </c>
      <c r="F7673" t="s">
        <v>56</v>
      </c>
      <c r="G7673" t="s">
        <v>41</v>
      </c>
      <c r="H7673" t="s">
        <v>35</v>
      </c>
      <c r="I7673" s="3">
        <v>51</v>
      </c>
      <c r="J7673" s="2">
        <v>59</v>
      </c>
      <c r="K7673" s="3">
        <f t="shared" si="119"/>
        <v>3009</v>
      </c>
      <c r="L7673" s="3">
        <v>1504.5</v>
      </c>
    </row>
    <row r="7674" spans="1:12" x14ac:dyDescent="0.25">
      <c r="A7674" t="s">
        <v>19</v>
      </c>
      <c r="B7674">
        <v>1185732</v>
      </c>
      <c r="C7674" s="1">
        <v>44530</v>
      </c>
      <c r="D7674" t="s">
        <v>29</v>
      </c>
      <c r="E7674" t="s">
        <v>55</v>
      </c>
      <c r="F7674" t="s">
        <v>56</v>
      </c>
      <c r="G7674" t="s">
        <v>15</v>
      </c>
      <c r="H7674" t="s">
        <v>37</v>
      </c>
      <c r="I7674" s="3">
        <v>55.000000000000007</v>
      </c>
      <c r="J7674" s="2">
        <v>175</v>
      </c>
      <c r="K7674" s="3">
        <f t="shared" si="119"/>
        <v>9625.0000000000018</v>
      </c>
      <c r="L7674" s="3">
        <v>5775.0000000000018</v>
      </c>
    </row>
    <row r="7675" spans="1:12" x14ac:dyDescent="0.25">
      <c r="A7675" t="s">
        <v>19</v>
      </c>
      <c r="B7675">
        <v>1185732</v>
      </c>
      <c r="C7675" s="1">
        <v>44530</v>
      </c>
      <c r="D7675" t="s">
        <v>29</v>
      </c>
      <c r="E7675" t="s">
        <v>55</v>
      </c>
      <c r="F7675" t="s">
        <v>56</v>
      </c>
      <c r="G7675" t="s">
        <v>15</v>
      </c>
      <c r="H7675" t="s">
        <v>37</v>
      </c>
      <c r="I7675" s="3">
        <v>39</v>
      </c>
      <c r="J7675" s="2">
        <v>56</v>
      </c>
      <c r="K7675" s="3">
        <f t="shared" si="119"/>
        <v>2184</v>
      </c>
      <c r="L7675" s="3">
        <v>1157.52</v>
      </c>
    </row>
    <row r="7676" spans="1:12" x14ac:dyDescent="0.25">
      <c r="A7676" t="s">
        <v>19</v>
      </c>
      <c r="B7676">
        <v>1185732</v>
      </c>
      <c r="C7676" s="1">
        <v>44530</v>
      </c>
      <c r="D7676" t="s">
        <v>29</v>
      </c>
      <c r="E7676" t="s">
        <v>55</v>
      </c>
      <c r="F7676" t="s">
        <v>56</v>
      </c>
      <c r="G7676" t="s">
        <v>41</v>
      </c>
      <c r="H7676" t="s">
        <v>37</v>
      </c>
      <c r="I7676" s="3">
        <v>51</v>
      </c>
      <c r="J7676" s="2">
        <v>44</v>
      </c>
      <c r="K7676" s="3">
        <f t="shared" si="119"/>
        <v>2244</v>
      </c>
      <c r="L7676" s="3">
        <v>1054.6799999999998</v>
      </c>
    </row>
    <row r="7677" spans="1:12" x14ac:dyDescent="0.25">
      <c r="A7677" t="s">
        <v>19</v>
      </c>
      <c r="B7677">
        <v>1185732</v>
      </c>
      <c r="C7677" s="1">
        <v>44531</v>
      </c>
      <c r="D7677" t="s">
        <v>29</v>
      </c>
      <c r="E7677" t="s">
        <v>55</v>
      </c>
      <c r="F7677" t="s">
        <v>56</v>
      </c>
      <c r="G7677" t="s">
        <v>15</v>
      </c>
      <c r="H7677" t="s">
        <v>22</v>
      </c>
      <c r="I7677" s="3">
        <v>65</v>
      </c>
      <c r="J7677" s="2">
        <v>200</v>
      </c>
      <c r="K7677" s="3">
        <f t="shared" si="119"/>
        <v>13000</v>
      </c>
      <c r="L7677" s="3">
        <v>8450</v>
      </c>
    </row>
    <row r="7678" spans="1:12" x14ac:dyDescent="0.25">
      <c r="A7678" t="s">
        <v>19</v>
      </c>
      <c r="B7678">
        <v>1185732</v>
      </c>
      <c r="C7678" s="1">
        <v>44531</v>
      </c>
      <c r="D7678" t="s">
        <v>29</v>
      </c>
      <c r="E7678" t="s">
        <v>55</v>
      </c>
      <c r="F7678" t="s">
        <v>56</v>
      </c>
      <c r="G7678" t="s">
        <v>15</v>
      </c>
      <c r="H7678" t="s">
        <v>22</v>
      </c>
      <c r="I7678" s="3">
        <v>50</v>
      </c>
      <c r="J7678" s="2">
        <v>64</v>
      </c>
      <c r="K7678" s="3">
        <f t="shared" si="119"/>
        <v>3200</v>
      </c>
      <c r="L7678" s="3">
        <v>1920</v>
      </c>
    </row>
    <row r="7679" spans="1:12" x14ac:dyDescent="0.25">
      <c r="A7679" t="s">
        <v>19</v>
      </c>
      <c r="B7679">
        <v>1185732</v>
      </c>
      <c r="C7679" s="1">
        <v>44531</v>
      </c>
      <c r="D7679" t="s">
        <v>29</v>
      </c>
      <c r="E7679" t="s">
        <v>55</v>
      </c>
      <c r="F7679" t="s">
        <v>56</v>
      </c>
      <c r="G7679" t="s">
        <v>41</v>
      </c>
      <c r="H7679" t="s">
        <v>22</v>
      </c>
      <c r="I7679" s="3">
        <v>64</v>
      </c>
      <c r="J7679" s="2">
        <v>60</v>
      </c>
      <c r="K7679" s="3">
        <f t="shared" si="119"/>
        <v>3840</v>
      </c>
      <c r="L7679" s="3">
        <v>1996.8000000000002</v>
      </c>
    </row>
    <row r="7680" spans="1:12" x14ac:dyDescent="0.25">
      <c r="A7680" t="s">
        <v>19</v>
      </c>
      <c r="B7680">
        <v>1185732</v>
      </c>
      <c r="C7680" s="1">
        <v>44532</v>
      </c>
      <c r="D7680" t="s">
        <v>29</v>
      </c>
      <c r="E7680" t="s">
        <v>55</v>
      </c>
      <c r="F7680" t="s">
        <v>56</v>
      </c>
      <c r="G7680" t="s">
        <v>15</v>
      </c>
      <c r="H7680" t="s">
        <v>16</v>
      </c>
      <c r="I7680" s="3">
        <v>70</v>
      </c>
      <c r="J7680" s="2">
        <v>375</v>
      </c>
      <c r="K7680" s="3">
        <f t="shared" si="119"/>
        <v>26250</v>
      </c>
      <c r="L7680" s="3">
        <v>18375</v>
      </c>
    </row>
    <row r="7681" spans="1:12" x14ac:dyDescent="0.25">
      <c r="A7681" t="s">
        <v>11</v>
      </c>
      <c r="B7681">
        <v>1185732</v>
      </c>
      <c r="C7681" s="1">
        <v>44532</v>
      </c>
      <c r="D7681" t="s">
        <v>57</v>
      </c>
      <c r="E7681" t="s">
        <v>85</v>
      </c>
      <c r="F7681" t="s">
        <v>86</v>
      </c>
      <c r="G7681" t="s">
        <v>18</v>
      </c>
      <c r="H7681" t="s">
        <v>38</v>
      </c>
      <c r="I7681" s="3">
        <v>60</v>
      </c>
      <c r="J7681" s="2">
        <v>550</v>
      </c>
      <c r="K7681" s="3">
        <f t="shared" si="119"/>
        <v>33000</v>
      </c>
      <c r="L7681" s="3">
        <v>23100</v>
      </c>
    </row>
    <row r="7682" spans="1:12" x14ac:dyDescent="0.25">
      <c r="A7682" t="s">
        <v>11</v>
      </c>
      <c r="B7682">
        <v>1185732</v>
      </c>
      <c r="C7682" s="1">
        <v>44532</v>
      </c>
      <c r="D7682" t="s">
        <v>57</v>
      </c>
      <c r="E7682" t="s">
        <v>85</v>
      </c>
      <c r="F7682" t="s">
        <v>86</v>
      </c>
      <c r="G7682" t="s">
        <v>18</v>
      </c>
      <c r="H7682" t="s">
        <v>35</v>
      </c>
      <c r="I7682" s="3">
        <v>50</v>
      </c>
      <c r="J7682" s="2">
        <v>300</v>
      </c>
      <c r="K7682" s="3">
        <f t="shared" si="119"/>
        <v>15000</v>
      </c>
      <c r="L7682" s="3">
        <v>10500</v>
      </c>
    </row>
    <row r="7683" spans="1:12" x14ac:dyDescent="0.25">
      <c r="A7683" t="s">
        <v>11</v>
      </c>
      <c r="B7683">
        <v>1185732</v>
      </c>
      <c r="C7683" s="1">
        <v>44532</v>
      </c>
      <c r="D7683" t="s">
        <v>57</v>
      </c>
      <c r="E7683" t="s">
        <v>85</v>
      </c>
      <c r="F7683" t="s">
        <v>86</v>
      </c>
      <c r="G7683" t="s">
        <v>18</v>
      </c>
      <c r="H7683" t="s">
        <v>37</v>
      </c>
      <c r="I7683" s="3">
        <v>50</v>
      </c>
      <c r="J7683" s="2">
        <v>250</v>
      </c>
      <c r="K7683" s="3">
        <f t="shared" ref="K7683:K7746" si="120">I7683*J7683</f>
        <v>12500</v>
      </c>
      <c r="L7683" s="3">
        <v>8750</v>
      </c>
    </row>
    <row r="7684" spans="1:12" x14ac:dyDescent="0.25">
      <c r="A7684" t="s">
        <v>26</v>
      </c>
      <c r="B7684">
        <v>1185732</v>
      </c>
      <c r="C7684" s="1">
        <v>44532</v>
      </c>
      <c r="D7684" t="s">
        <v>32</v>
      </c>
      <c r="E7684" t="s">
        <v>108</v>
      </c>
      <c r="F7684" t="s">
        <v>109</v>
      </c>
      <c r="G7684" t="s">
        <v>41</v>
      </c>
      <c r="H7684" t="s">
        <v>17</v>
      </c>
      <c r="I7684" s="3">
        <v>60.000000000000007</v>
      </c>
      <c r="J7684" s="2">
        <v>775</v>
      </c>
      <c r="K7684" s="3">
        <f t="shared" si="120"/>
        <v>46500.000000000007</v>
      </c>
      <c r="L7684" s="3">
        <v>30225.000000000007</v>
      </c>
    </row>
    <row r="7685" spans="1:12" x14ac:dyDescent="0.25">
      <c r="A7685" t="s">
        <v>36</v>
      </c>
      <c r="B7685">
        <v>1185732</v>
      </c>
      <c r="C7685" s="1">
        <v>44532</v>
      </c>
      <c r="D7685" t="s">
        <v>32</v>
      </c>
      <c r="E7685" t="s">
        <v>108</v>
      </c>
      <c r="F7685" t="s">
        <v>109</v>
      </c>
      <c r="G7685" t="s">
        <v>41</v>
      </c>
      <c r="H7685" t="s">
        <v>22</v>
      </c>
      <c r="I7685" s="3">
        <v>70</v>
      </c>
      <c r="J7685" s="2">
        <v>675</v>
      </c>
      <c r="K7685" s="3">
        <f t="shared" si="120"/>
        <v>47250</v>
      </c>
      <c r="L7685" s="3">
        <v>30712.5</v>
      </c>
    </row>
    <row r="7686" spans="1:12" x14ac:dyDescent="0.25">
      <c r="A7686" t="s">
        <v>11</v>
      </c>
      <c r="B7686">
        <v>1185732</v>
      </c>
      <c r="C7686" s="1">
        <v>44532</v>
      </c>
      <c r="D7686" t="s">
        <v>57</v>
      </c>
      <c r="E7686" t="s">
        <v>85</v>
      </c>
      <c r="F7686" t="s">
        <v>86</v>
      </c>
      <c r="G7686" t="s">
        <v>18</v>
      </c>
      <c r="H7686" t="s">
        <v>17</v>
      </c>
      <c r="I7686" s="3">
        <v>50</v>
      </c>
      <c r="J7686" s="2">
        <v>350</v>
      </c>
      <c r="K7686" s="3">
        <f t="shared" si="120"/>
        <v>17500</v>
      </c>
      <c r="L7686" s="3">
        <v>11375</v>
      </c>
    </row>
    <row r="7687" spans="1:12" x14ac:dyDescent="0.25">
      <c r="A7687" t="s">
        <v>26</v>
      </c>
      <c r="B7687">
        <v>1185732</v>
      </c>
      <c r="C7687" s="1">
        <v>44532</v>
      </c>
      <c r="D7687" t="s">
        <v>32</v>
      </c>
      <c r="E7687" t="s">
        <v>108</v>
      </c>
      <c r="F7687" t="s">
        <v>109</v>
      </c>
      <c r="G7687" t="s">
        <v>41</v>
      </c>
      <c r="H7687" t="s">
        <v>38</v>
      </c>
      <c r="I7687" s="3">
        <v>70</v>
      </c>
      <c r="J7687" s="2">
        <v>975</v>
      </c>
      <c r="K7687" s="3">
        <f t="shared" si="120"/>
        <v>68250</v>
      </c>
      <c r="L7687" s="3">
        <v>40950</v>
      </c>
    </row>
    <row r="7688" spans="1:12" x14ac:dyDescent="0.25">
      <c r="A7688" t="s">
        <v>36</v>
      </c>
      <c r="B7688">
        <v>1185732</v>
      </c>
      <c r="C7688" s="1">
        <v>44532</v>
      </c>
      <c r="D7688" t="s">
        <v>32</v>
      </c>
      <c r="E7688" t="s">
        <v>108</v>
      </c>
      <c r="F7688" t="s">
        <v>109</v>
      </c>
      <c r="G7688" t="s">
        <v>41</v>
      </c>
      <c r="H7688" t="s">
        <v>35</v>
      </c>
      <c r="I7688" s="3">
        <v>60.000000000000007</v>
      </c>
      <c r="J7688" s="2">
        <v>725</v>
      </c>
      <c r="K7688" s="3">
        <f t="shared" si="120"/>
        <v>43500.000000000007</v>
      </c>
      <c r="L7688" s="3">
        <v>26100.000000000004</v>
      </c>
    </row>
    <row r="7689" spans="1:12" x14ac:dyDescent="0.25">
      <c r="A7689" t="s">
        <v>36</v>
      </c>
      <c r="B7689">
        <v>1185732</v>
      </c>
      <c r="C7689" s="1">
        <v>44532</v>
      </c>
      <c r="D7689" t="s">
        <v>32</v>
      </c>
      <c r="E7689" t="s">
        <v>108</v>
      </c>
      <c r="F7689" t="s">
        <v>109</v>
      </c>
      <c r="G7689" t="s">
        <v>41</v>
      </c>
      <c r="H7689" t="s">
        <v>37</v>
      </c>
      <c r="I7689" s="3">
        <v>60.000000000000007</v>
      </c>
      <c r="J7689" s="2">
        <v>675</v>
      </c>
      <c r="K7689" s="3">
        <f t="shared" si="120"/>
        <v>40500.000000000007</v>
      </c>
      <c r="L7689" s="3">
        <v>24300.000000000004</v>
      </c>
    </row>
    <row r="7690" spans="1:12" x14ac:dyDescent="0.25">
      <c r="A7690" t="s">
        <v>11</v>
      </c>
      <c r="B7690">
        <v>1185732</v>
      </c>
      <c r="C7690" s="1">
        <v>44532</v>
      </c>
      <c r="D7690" t="s">
        <v>57</v>
      </c>
      <c r="E7690" t="s">
        <v>85</v>
      </c>
      <c r="F7690" t="s">
        <v>86</v>
      </c>
      <c r="G7690" t="s">
        <v>18</v>
      </c>
      <c r="H7690" t="s">
        <v>16</v>
      </c>
      <c r="I7690" s="3">
        <v>64.999999999999986</v>
      </c>
      <c r="J7690" s="2">
        <v>350</v>
      </c>
      <c r="K7690" s="3">
        <f t="shared" si="120"/>
        <v>22749.999999999996</v>
      </c>
      <c r="L7690" s="3">
        <v>13649.999999999995</v>
      </c>
    </row>
    <row r="7691" spans="1:12" x14ac:dyDescent="0.25">
      <c r="A7691" t="s">
        <v>36</v>
      </c>
      <c r="B7691">
        <v>1185732</v>
      </c>
      <c r="C7691" s="1">
        <v>44532</v>
      </c>
      <c r="D7691" t="s">
        <v>32</v>
      </c>
      <c r="E7691" t="s">
        <v>108</v>
      </c>
      <c r="F7691" t="s">
        <v>109</v>
      </c>
      <c r="G7691" t="s">
        <v>41</v>
      </c>
      <c r="H7691" t="s">
        <v>16</v>
      </c>
      <c r="I7691" s="3">
        <v>75</v>
      </c>
      <c r="J7691" s="2">
        <v>775</v>
      </c>
      <c r="K7691" s="3">
        <f t="shared" si="120"/>
        <v>58125</v>
      </c>
      <c r="L7691" s="3">
        <v>29062.5</v>
      </c>
    </row>
    <row r="7692" spans="1:12" x14ac:dyDescent="0.25">
      <c r="A7692" t="s">
        <v>11</v>
      </c>
      <c r="B7692">
        <v>1185732</v>
      </c>
      <c r="C7692" s="1">
        <v>44532</v>
      </c>
      <c r="D7692" t="s">
        <v>57</v>
      </c>
      <c r="E7692" t="s">
        <v>85</v>
      </c>
      <c r="F7692" t="s">
        <v>86</v>
      </c>
      <c r="G7692" t="s">
        <v>18</v>
      </c>
      <c r="H7692" t="s">
        <v>22</v>
      </c>
      <c r="I7692" s="3">
        <v>60</v>
      </c>
      <c r="J7692" s="2">
        <v>250</v>
      </c>
      <c r="K7692" s="3">
        <f t="shared" si="120"/>
        <v>15000</v>
      </c>
      <c r="L7692" s="3">
        <v>7500</v>
      </c>
    </row>
    <row r="7693" spans="1:12" x14ac:dyDescent="0.25">
      <c r="A7693" t="s">
        <v>19</v>
      </c>
      <c r="B7693">
        <v>1185732</v>
      </c>
      <c r="C7693" s="1">
        <v>44532</v>
      </c>
      <c r="D7693" t="s">
        <v>29</v>
      </c>
      <c r="E7693" t="s">
        <v>55</v>
      </c>
      <c r="F7693" t="s">
        <v>56</v>
      </c>
      <c r="G7693" t="s">
        <v>15</v>
      </c>
      <c r="H7693" t="s">
        <v>16</v>
      </c>
      <c r="I7693" s="3">
        <v>50</v>
      </c>
      <c r="J7693" s="2">
        <v>116</v>
      </c>
      <c r="K7693" s="3">
        <f t="shared" si="120"/>
        <v>5800</v>
      </c>
      <c r="L7693" s="3">
        <v>3712</v>
      </c>
    </row>
    <row r="7694" spans="1:12" x14ac:dyDescent="0.25">
      <c r="A7694" t="s">
        <v>11</v>
      </c>
      <c r="B7694">
        <v>1185732</v>
      </c>
      <c r="C7694" s="1">
        <v>44532</v>
      </c>
      <c r="D7694" t="s">
        <v>57</v>
      </c>
      <c r="E7694" t="s">
        <v>85</v>
      </c>
      <c r="F7694" t="s">
        <v>86</v>
      </c>
      <c r="G7694" t="s">
        <v>41</v>
      </c>
      <c r="H7694" t="s">
        <v>38</v>
      </c>
      <c r="I7694" s="3">
        <v>58</v>
      </c>
      <c r="J7694" s="2">
        <v>138</v>
      </c>
      <c r="K7694" s="3">
        <f t="shared" si="120"/>
        <v>8004</v>
      </c>
      <c r="L7694" s="3">
        <v>4722.3600000000006</v>
      </c>
    </row>
    <row r="7695" spans="1:12" x14ac:dyDescent="0.25">
      <c r="A7695" t="s">
        <v>19</v>
      </c>
      <c r="B7695">
        <v>1185732</v>
      </c>
      <c r="C7695" s="1">
        <v>44532</v>
      </c>
      <c r="D7695" t="s">
        <v>29</v>
      </c>
      <c r="E7695" t="s">
        <v>55</v>
      </c>
      <c r="F7695" t="s">
        <v>56</v>
      </c>
      <c r="G7695" t="s">
        <v>41</v>
      </c>
      <c r="H7695" t="s">
        <v>16</v>
      </c>
      <c r="I7695" s="3">
        <v>64</v>
      </c>
      <c r="J7695" s="2">
        <v>98</v>
      </c>
      <c r="K7695" s="3">
        <f t="shared" si="120"/>
        <v>6272</v>
      </c>
      <c r="L7695" s="3">
        <v>3637.76</v>
      </c>
    </row>
    <row r="7696" spans="1:12" x14ac:dyDescent="0.25">
      <c r="A7696" t="s">
        <v>11</v>
      </c>
      <c r="B7696">
        <v>1185732</v>
      </c>
      <c r="C7696" s="1">
        <v>44532</v>
      </c>
      <c r="D7696" t="s">
        <v>57</v>
      </c>
      <c r="E7696" t="s">
        <v>85</v>
      </c>
      <c r="F7696" t="s">
        <v>86</v>
      </c>
      <c r="G7696" t="s">
        <v>41</v>
      </c>
      <c r="H7696" t="s">
        <v>35</v>
      </c>
      <c r="I7696" s="3">
        <v>45</v>
      </c>
      <c r="J7696" s="2">
        <v>87</v>
      </c>
      <c r="K7696" s="3">
        <f t="shared" si="120"/>
        <v>3915</v>
      </c>
      <c r="L7696" s="3">
        <v>2192.4</v>
      </c>
    </row>
    <row r="7697" spans="1:12" x14ac:dyDescent="0.25">
      <c r="A7697" t="s">
        <v>26</v>
      </c>
      <c r="B7697">
        <v>1185732</v>
      </c>
      <c r="C7697" s="1">
        <v>44532</v>
      </c>
      <c r="D7697" t="s">
        <v>32</v>
      </c>
      <c r="E7697" t="s">
        <v>108</v>
      </c>
      <c r="F7697" t="s">
        <v>109</v>
      </c>
      <c r="G7697" t="s">
        <v>41</v>
      </c>
      <c r="H7697" t="s">
        <v>17</v>
      </c>
      <c r="I7697" s="3">
        <v>55</v>
      </c>
      <c r="J7697" s="2">
        <v>202</v>
      </c>
      <c r="K7697" s="3">
        <f t="shared" si="120"/>
        <v>11110</v>
      </c>
      <c r="L7697" s="3">
        <v>6110.5000000000009</v>
      </c>
    </row>
    <row r="7698" spans="1:12" x14ac:dyDescent="0.25">
      <c r="A7698" t="s">
        <v>11</v>
      </c>
      <c r="B7698">
        <v>1185732</v>
      </c>
      <c r="C7698" s="1">
        <v>44532</v>
      </c>
      <c r="D7698" t="s">
        <v>57</v>
      </c>
      <c r="E7698" t="s">
        <v>85</v>
      </c>
      <c r="F7698" t="s">
        <v>86</v>
      </c>
      <c r="G7698" t="s">
        <v>41</v>
      </c>
      <c r="H7698" t="s">
        <v>37</v>
      </c>
      <c r="I7698" s="3">
        <v>48</v>
      </c>
      <c r="J7698" s="2">
        <v>73</v>
      </c>
      <c r="K7698" s="3">
        <f t="shared" si="120"/>
        <v>3504</v>
      </c>
      <c r="L7698" s="3">
        <v>1927.2</v>
      </c>
    </row>
    <row r="7699" spans="1:12" x14ac:dyDescent="0.25">
      <c r="A7699" t="s">
        <v>11</v>
      </c>
      <c r="B7699">
        <v>1185732</v>
      </c>
      <c r="C7699" s="1">
        <v>44532</v>
      </c>
      <c r="D7699" t="s">
        <v>57</v>
      </c>
      <c r="E7699" t="s">
        <v>85</v>
      </c>
      <c r="F7699" t="s">
        <v>86</v>
      </c>
      <c r="G7699" t="s">
        <v>41</v>
      </c>
      <c r="H7699" t="s">
        <v>17</v>
      </c>
      <c r="I7699" s="3">
        <v>49</v>
      </c>
      <c r="J7699" s="2">
        <v>102</v>
      </c>
      <c r="K7699" s="3">
        <f t="shared" si="120"/>
        <v>4998</v>
      </c>
      <c r="L7699" s="3">
        <v>2648.94</v>
      </c>
    </row>
    <row r="7700" spans="1:12" x14ac:dyDescent="0.25">
      <c r="A7700" t="s">
        <v>36</v>
      </c>
      <c r="B7700">
        <v>1185732</v>
      </c>
      <c r="C7700" s="1">
        <v>44532</v>
      </c>
      <c r="D7700" t="s">
        <v>32</v>
      </c>
      <c r="E7700" t="s">
        <v>108</v>
      </c>
      <c r="F7700" t="s">
        <v>109</v>
      </c>
      <c r="G7700" t="s">
        <v>41</v>
      </c>
      <c r="H7700" t="s">
        <v>22</v>
      </c>
      <c r="I7700" s="3">
        <v>65</v>
      </c>
      <c r="J7700" s="2">
        <v>169</v>
      </c>
      <c r="K7700" s="3">
        <f t="shared" si="120"/>
        <v>10985</v>
      </c>
      <c r="L7700" s="3">
        <v>5602.35</v>
      </c>
    </row>
    <row r="7701" spans="1:12" x14ac:dyDescent="0.25">
      <c r="A7701" t="s">
        <v>26</v>
      </c>
      <c r="B7701">
        <v>1185732</v>
      </c>
      <c r="C7701" s="1">
        <v>44532</v>
      </c>
      <c r="D7701" t="s">
        <v>32</v>
      </c>
      <c r="E7701" t="s">
        <v>108</v>
      </c>
      <c r="F7701" t="s">
        <v>109</v>
      </c>
      <c r="G7701" t="s">
        <v>41</v>
      </c>
      <c r="H7701" t="s">
        <v>38</v>
      </c>
      <c r="I7701" s="3">
        <v>64</v>
      </c>
      <c r="J7701" s="2">
        <v>244</v>
      </c>
      <c r="K7701" s="3">
        <f t="shared" si="120"/>
        <v>15616</v>
      </c>
      <c r="L7701" s="3">
        <v>7651.84</v>
      </c>
    </row>
    <row r="7702" spans="1:12" x14ac:dyDescent="0.25">
      <c r="A7702" t="s">
        <v>36</v>
      </c>
      <c r="B7702">
        <v>1185732</v>
      </c>
      <c r="C7702" s="1">
        <v>44532</v>
      </c>
      <c r="D7702" t="s">
        <v>32</v>
      </c>
      <c r="E7702" t="s">
        <v>108</v>
      </c>
      <c r="F7702" t="s">
        <v>109</v>
      </c>
      <c r="G7702" t="s">
        <v>41</v>
      </c>
      <c r="H7702" t="s">
        <v>35</v>
      </c>
      <c r="I7702" s="3">
        <v>55</v>
      </c>
      <c r="J7702" s="2">
        <v>218</v>
      </c>
      <c r="K7702" s="3">
        <f t="shared" si="120"/>
        <v>11990</v>
      </c>
      <c r="L7702" s="3">
        <v>5875.0999999999995</v>
      </c>
    </row>
    <row r="7703" spans="1:12" x14ac:dyDescent="0.25">
      <c r="A7703" t="s">
        <v>11</v>
      </c>
      <c r="B7703">
        <v>1185732</v>
      </c>
      <c r="C7703" s="1">
        <v>44532</v>
      </c>
      <c r="D7703" t="s">
        <v>57</v>
      </c>
      <c r="E7703" t="s">
        <v>85</v>
      </c>
      <c r="F7703" t="s">
        <v>86</v>
      </c>
      <c r="G7703" t="s">
        <v>41</v>
      </c>
      <c r="H7703" t="s">
        <v>16</v>
      </c>
      <c r="I7703" s="3">
        <v>59</v>
      </c>
      <c r="J7703" s="2">
        <v>88</v>
      </c>
      <c r="K7703" s="3">
        <f t="shared" si="120"/>
        <v>5192</v>
      </c>
      <c r="L7703" s="3">
        <v>2492.16</v>
      </c>
    </row>
    <row r="7704" spans="1:12" x14ac:dyDescent="0.25">
      <c r="A7704" t="s">
        <v>36</v>
      </c>
      <c r="B7704">
        <v>1185732</v>
      </c>
      <c r="C7704" s="1">
        <v>44532</v>
      </c>
      <c r="D7704" t="s">
        <v>32</v>
      </c>
      <c r="E7704" t="s">
        <v>108</v>
      </c>
      <c r="F7704" t="s">
        <v>109</v>
      </c>
      <c r="G7704" t="s">
        <v>41</v>
      </c>
      <c r="H7704" t="s">
        <v>37</v>
      </c>
      <c r="I7704" s="3">
        <v>55</v>
      </c>
      <c r="J7704" s="2">
        <v>196</v>
      </c>
      <c r="K7704" s="3">
        <f t="shared" si="120"/>
        <v>10780</v>
      </c>
      <c r="L7704" s="3">
        <v>4958.7999999999993</v>
      </c>
    </row>
    <row r="7705" spans="1:12" x14ac:dyDescent="0.25">
      <c r="A7705" t="s">
        <v>11</v>
      </c>
      <c r="B7705">
        <v>1185732</v>
      </c>
      <c r="C7705" s="1">
        <v>44532</v>
      </c>
      <c r="D7705" t="s">
        <v>57</v>
      </c>
      <c r="E7705" t="s">
        <v>85</v>
      </c>
      <c r="F7705" t="s">
        <v>86</v>
      </c>
      <c r="G7705" t="s">
        <v>41</v>
      </c>
      <c r="H7705" t="s">
        <v>22</v>
      </c>
      <c r="I7705" s="3">
        <v>57</v>
      </c>
      <c r="J7705" s="2">
        <v>73</v>
      </c>
      <c r="K7705" s="3">
        <f t="shared" si="120"/>
        <v>4161</v>
      </c>
      <c r="L7705" s="3">
        <v>1664.4</v>
      </c>
    </row>
    <row r="7706" spans="1:12" x14ac:dyDescent="0.25">
      <c r="A7706" t="s">
        <v>36</v>
      </c>
      <c r="B7706">
        <v>1185732</v>
      </c>
      <c r="C7706" s="1">
        <v>44532</v>
      </c>
      <c r="D7706" t="s">
        <v>32</v>
      </c>
      <c r="E7706" t="s">
        <v>108</v>
      </c>
      <c r="F7706" t="s">
        <v>109</v>
      </c>
      <c r="G7706" t="s">
        <v>41</v>
      </c>
      <c r="H7706" t="s">
        <v>16</v>
      </c>
      <c r="I7706" s="3">
        <v>69</v>
      </c>
      <c r="J7706" s="2">
        <v>225</v>
      </c>
      <c r="K7706" s="3">
        <f t="shared" si="120"/>
        <v>15525</v>
      </c>
      <c r="L7706" s="3">
        <v>5433.75</v>
      </c>
    </row>
    <row r="7707" spans="1:12" x14ac:dyDescent="0.25">
      <c r="A7707" t="s">
        <v>19</v>
      </c>
      <c r="B7707">
        <v>1185732</v>
      </c>
      <c r="C7707" s="1">
        <v>44533</v>
      </c>
      <c r="D7707" t="s">
        <v>29</v>
      </c>
      <c r="E7707" t="s">
        <v>93</v>
      </c>
      <c r="F7707" t="s">
        <v>94</v>
      </c>
      <c r="G7707" t="s">
        <v>18</v>
      </c>
      <c r="H7707" t="s">
        <v>35</v>
      </c>
      <c r="I7707" s="3">
        <v>55.000000000000007</v>
      </c>
      <c r="J7707" s="2">
        <v>350</v>
      </c>
      <c r="K7707" s="3">
        <f t="shared" si="120"/>
        <v>19250.000000000004</v>
      </c>
      <c r="L7707" s="3">
        <v>13475.000000000004</v>
      </c>
    </row>
    <row r="7708" spans="1:12" x14ac:dyDescent="0.25">
      <c r="A7708" t="s">
        <v>19</v>
      </c>
      <c r="B7708">
        <v>1185732</v>
      </c>
      <c r="C7708" s="1">
        <v>44533</v>
      </c>
      <c r="D7708" t="s">
        <v>29</v>
      </c>
      <c r="E7708" t="s">
        <v>93</v>
      </c>
      <c r="F7708" t="s">
        <v>94</v>
      </c>
      <c r="G7708" t="s">
        <v>18</v>
      </c>
      <c r="H7708" t="s">
        <v>37</v>
      </c>
      <c r="I7708" s="3">
        <v>55.000000000000007</v>
      </c>
      <c r="J7708" s="2">
        <v>300</v>
      </c>
      <c r="K7708" s="3">
        <f t="shared" si="120"/>
        <v>16500.000000000004</v>
      </c>
      <c r="L7708" s="3">
        <v>11550.000000000004</v>
      </c>
    </row>
    <row r="7709" spans="1:12" x14ac:dyDescent="0.25">
      <c r="A7709" t="s">
        <v>19</v>
      </c>
      <c r="B7709">
        <v>1185732</v>
      </c>
      <c r="C7709" s="1">
        <v>44533</v>
      </c>
      <c r="D7709" t="s">
        <v>29</v>
      </c>
      <c r="E7709" t="s">
        <v>93</v>
      </c>
      <c r="F7709" t="s">
        <v>94</v>
      </c>
      <c r="G7709" t="s">
        <v>18</v>
      </c>
      <c r="H7709" t="s">
        <v>22</v>
      </c>
      <c r="I7709" s="3">
        <v>65</v>
      </c>
      <c r="J7709" s="2">
        <v>300</v>
      </c>
      <c r="K7709" s="3">
        <f t="shared" si="120"/>
        <v>19500</v>
      </c>
      <c r="L7709" s="3">
        <v>13650</v>
      </c>
    </row>
    <row r="7710" spans="1:12" x14ac:dyDescent="0.25">
      <c r="A7710" t="s">
        <v>19</v>
      </c>
      <c r="B7710">
        <v>1185732</v>
      </c>
      <c r="C7710" s="1">
        <v>44533</v>
      </c>
      <c r="D7710" t="s">
        <v>29</v>
      </c>
      <c r="E7710" t="s">
        <v>93</v>
      </c>
      <c r="F7710" t="s">
        <v>94</v>
      </c>
      <c r="G7710" t="s">
        <v>18</v>
      </c>
      <c r="H7710" t="s">
        <v>16</v>
      </c>
      <c r="I7710" s="3">
        <v>70</v>
      </c>
      <c r="J7710" s="2">
        <v>400</v>
      </c>
      <c r="K7710" s="3">
        <f t="shared" si="120"/>
        <v>28000</v>
      </c>
      <c r="L7710" s="3">
        <v>18200</v>
      </c>
    </row>
    <row r="7711" spans="1:12" x14ac:dyDescent="0.25">
      <c r="A7711" t="s">
        <v>19</v>
      </c>
      <c r="B7711">
        <v>1185732</v>
      </c>
      <c r="C7711" s="1">
        <v>44533</v>
      </c>
      <c r="D7711" t="s">
        <v>29</v>
      </c>
      <c r="E7711" t="s">
        <v>93</v>
      </c>
      <c r="F7711" t="s">
        <v>94</v>
      </c>
      <c r="G7711" t="s">
        <v>18</v>
      </c>
      <c r="H7711" t="s">
        <v>38</v>
      </c>
      <c r="I7711" s="3">
        <v>65</v>
      </c>
      <c r="J7711" s="2">
        <v>575</v>
      </c>
      <c r="K7711" s="3">
        <f t="shared" si="120"/>
        <v>37375</v>
      </c>
      <c r="L7711" s="3">
        <v>22425</v>
      </c>
    </row>
    <row r="7712" spans="1:12" x14ac:dyDescent="0.25">
      <c r="A7712" t="s">
        <v>19</v>
      </c>
      <c r="B7712">
        <v>1185732</v>
      </c>
      <c r="C7712" s="1">
        <v>44533</v>
      </c>
      <c r="D7712" t="s">
        <v>29</v>
      </c>
      <c r="E7712" t="s">
        <v>93</v>
      </c>
      <c r="F7712" t="s">
        <v>94</v>
      </c>
      <c r="G7712" t="s">
        <v>18</v>
      </c>
      <c r="H7712" t="s">
        <v>17</v>
      </c>
      <c r="I7712" s="3">
        <v>55.000000000000007</v>
      </c>
      <c r="J7712" s="2">
        <v>375</v>
      </c>
      <c r="K7712" s="3">
        <f t="shared" si="120"/>
        <v>20625.000000000004</v>
      </c>
      <c r="L7712" s="3">
        <v>12375.000000000002</v>
      </c>
    </row>
    <row r="7713" spans="1:12" x14ac:dyDescent="0.25">
      <c r="A7713" t="s">
        <v>19</v>
      </c>
      <c r="B7713">
        <v>1185732</v>
      </c>
      <c r="C7713" s="1">
        <v>44533</v>
      </c>
      <c r="D7713" t="s">
        <v>29</v>
      </c>
      <c r="E7713" t="s">
        <v>55</v>
      </c>
      <c r="F7713" t="s">
        <v>56</v>
      </c>
      <c r="G7713" t="s">
        <v>15</v>
      </c>
      <c r="H7713" t="s">
        <v>38</v>
      </c>
      <c r="I7713" s="3">
        <v>65</v>
      </c>
      <c r="J7713" s="2">
        <v>525</v>
      </c>
      <c r="K7713" s="3">
        <f t="shared" si="120"/>
        <v>34125</v>
      </c>
      <c r="L7713" s="3">
        <v>15356.249999999996</v>
      </c>
    </row>
    <row r="7714" spans="1:12" x14ac:dyDescent="0.25">
      <c r="A7714" t="s">
        <v>19</v>
      </c>
      <c r="B7714">
        <v>1185732</v>
      </c>
      <c r="C7714" s="1">
        <v>44533</v>
      </c>
      <c r="D7714" t="s">
        <v>29</v>
      </c>
      <c r="E7714" t="s">
        <v>93</v>
      </c>
      <c r="F7714" t="s">
        <v>94</v>
      </c>
      <c r="G7714" t="s">
        <v>15</v>
      </c>
      <c r="H7714" t="s">
        <v>35</v>
      </c>
      <c r="I7714" s="3">
        <v>43</v>
      </c>
      <c r="J7714" s="2">
        <v>116</v>
      </c>
      <c r="K7714" s="3">
        <f t="shared" si="120"/>
        <v>4988</v>
      </c>
      <c r="L7714" s="3">
        <v>3341.96</v>
      </c>
    </row>
    <row r="7715" spans="1:12" x14ac:dyDescent="0.25">
      <c r="A7715" t="s">
        <v>19</v>
      </c>
      <c r="B7715">
        <v>1185732</v>
      </c>
      <c r="C7715" s="1">
        <v>44533</v>
      </c>
      <c r="D7715" t="s">
        <v>29</v>
      </c>
      <c r="E7715" t="s">
        <v>93</v>
      </c>
      <c r="F7715" t="s">
        <v>94</v>
      </c>
      <c r="G7715" t="s">
        <v>15</v>
      </c>
      <c r="H7715" t="s">
        <v>37</v>
      </c>
      <c r="I7715" s="3">
        <v>38</v>
      </c>
      <c r="J7715" s="2">
        <v>96</v>
      </c>
      <c r="K7715" s="3">
        <f t="shared" si="120"/>
        <v>3648</v>
      </c>
      <c r="L7715" s="3">
        <v>2371.1999999999998</v>
      </c>
    </row>
    <row r="7716" spans="1:12" x14ac:dyDescent="0.25">
      <c r="A7716" t="s">
        <v>19</v>
      </c>
      <c r="B7716">
        <v>1185732</v>
      </c>
      <c r="C7716" s="1">
        <v>44533</v>
      </c>
      <c r="D7716" t="s">
        <v>29</v>
      </c>
      <c r="E7716" t="s">
        <v>93</v>
      </c>
      <c r="F7716" t="s">
        <v>94</v>
      </c>
      <c r="G7716" t="s">
        <v>15</v>
      </c>
      <c r="H7716" t="s">
        <v>22</v>
      </c>
      <c r="I7716" s="3">
        <v>42</v>
      </c>
      <c r="J7716" s="2">
        <v>99</v>
      </c>
      <c r="K7716" s="3">
        <f t="shared" si="120"/>
        <v>4158</v>
      </c>
      <c r="L7716" s="3">
        <v>2702.7</v>
      </c>
    </row>
    <row r="7717" spans="1:12" x14ac:dyDescent="0.25">
      <c r="A7717" t="s">
        <v>19</v>
      </c>
      <c r="B7717">
        <v>1185732</v>
      </c>
      <c r="C7717" s="1">
        <v>44533</v>
      </c>
      <c r="D7717" t="s">
        <v>29</v>
      </c>
      <c r="E7717" t="s">
        <v>93</v>
      </c>
      <c r="F7717" t="s">
        <v>94</v>
      </c>
      <c r="G7717" t="s">
        <v>15</v>
      </c>
      <c r="H7717" t="s">
        <v>16</v>
      </c>
      <c r="I7717" s="3">
        <v>52</v>
      </c>
      <c r="J7717" s="2">
        <v>120</v>
      </c>
      <c r="K7717" s="3">
        <f t="shared" si="120"/>
        <v>6240</v>
      </c>
      <c r="L7717" s="3">
        <v>3931.2</v>
      </c>
    </row>
    <row r="7718" spans="1:12" x14ac:dyDescent="0.25">
      <c r="A7718" t="s">
        <v>19</v>
      </c>
      <c r="B7718">
        <v>1185732</v>
      </c>
      <c r="C7718" s="1">
        <v>44533</v>
      </c>
      <c r="D7718" t="s">
        <v>29</v>
      </c>
      <c r="E7718" t="s">
        <v>93</v>
      </c>
      <c r="F7718" t="s">
        <v>94</v>
      </c>
      <c r="G7718" t="s">
        <v>41</v>
      </c>
      <c r="H7718" t="s">
        <v>37</v>
      </c>
      <c r="I7718" s="3">
        <v>53</v>
      </c>
      <c r="J7718" s="2">
        <v>87</v>
      </c>
      <c r="K7718" s="3">
        <f t="shared" si="120"/>
        <v>4611</v>
      </c>
      <c r="L7718" s="3">
        <v>2674.38</v>
      </c>
    </row>
    <row r="7719" spans="1:12" x14ac:dyDescent="0.25">
      <c r="A7719" t="s">
        <v>19</v>
      </c>
      <c r="B7719">
        <v>1185732</v>
      </c>
      <c r="C7719" s="1">
        <v>44533</v>
      </c>
      <c r="D7719" t="s">
        <v>29</v>
      </c>
      <c r="E7719" t="s">
        <v>93</v>
      </c>
      <c r="F7719" t="s">
        <v>94</v>
      </c>
      <c r="G7719" t="s">
        <v>15</v>
      </c>
      <c r="H7719" t="s">
        <v>38</v>
      </c>
      <c r="I7719" s="3">
        <v>45</v>
      </c>
      <c r="J7719" s="2">
        <v>173</v>
      </c>
      <c r="K7719" s="3">
        <f t="shared" si="120"/>
        <v>7785</v>
      </c>
      <c r="L7719" s="3">
        <v>4515.2999999999993</v>
      </c>
    </row>
    <row r="7720" spans="1:12" x14ac:dyDescent="0.25">
      <c r="A7720" t="s">
        <v>19</v>
      </c>
      <c r="B7720">
        <v>1185732</v>
      </c>
      <c r="C7720" s="1">
        <v>44533</v>
      </c>
      <c r="D7720" t="s">
        <v>29</v>
      </c>
      <c r="E7720" t="s">
        <v>93</v>
      </c>
      <c r="F7720" t="s">
        <v>94</v>
      </c>
      <c r="G7720" t="s">
        <v>41</v>
      </c>
      <c r="H7720" t="s">
        <v>35</v>
      </c>
      <c r="I7720" s="3">
        <v>50</v>
      </c>
      <c r="J7720" s="2">
        <v>88</v>
      </c>
      <c r="K7720" s="3">
        <f t="shared" si="120"/>
        <v>4400</v>
      </c>
      <c r="L7720" s="3">
        <v>2420</v>
      </c>
    </row>
    <row r="7721" spans="1:12" x14ac:dyDescent="0.25">
      <c r="A7721" t="s">
        <v>19</v>
      </c>
      <c r="B7721">
        <v>1185732</v>
      </c>
      <c r="C7721" s="1">
        <v>44533</v>
      </c>
      <c r="D7721" t="s">
        <v>29</v>
      </c>
      <c r="E7721" t="s">
        <v>93</v>
      </c>
      <c r="F7721" t="s">
        <v>94</v>
      </c>
      <c r="G7721" t="s">
        <v>41</v>
      </c>
      <c r="H7721" t="s">
        <v>22</v>
      </c>
      <c r="I7721" s="3">
        <v>60</v>
      </c>
      <c r="J7721" s="2">
        <v>78</v>
      </c>
      <c r="K7721" s="3">
        <f t="shared" si="120"/>
        <v>4680</v>
      </c>
      <c r="L7721" s="3">
        <v>2574</v>
      </c>
    </row>
    <row r="7722" spans="1:12" x14ac:dyDescent="0.25">
      <c r="A7722" t="s">
        <v>19</v>
      </c>
      <c r="B7722">
        <v>1185732</v>
      </c>
      <c r="C7722" s="1">
        <v>44533</v>
      </c>
      <c r="D7722" t="s">
        <v>29</v>
      </c>
      <c r="E7722" t="s">
        <v>93</v>
      </c>
      <c r="F7722" t="s">
        <v>94</v>
      </c>
      <c r="G7722" t="s">
        <v>15</v>
      </c>
      <c r="H7722" t="s">
        <v>17</v>
      </c>
      <c r="I7722" s="3">
        <v>37</v>
      </c>
      <c r="J7722" s="2">
        <v>131</v>
      </c>
      <c r="K7722" s="3">
        <f t="shared" si="120"/>
        <v>4847</v>
      </c>
      <c r="L7722" s="3">
        <v>2665.85</v>
      </c>
    </row>
    <row r="7723" spans="1:12" x14ac:dyDescent="0.25">
      <c r="A7723" t="s">
        <v>19</v>
      </c>
      <c r="B7723">
        <v>1185732</v>
      </c>
      <c r="C7723" s="1">
        <v>44533</v>
      </c>
      <c r="D7723" t="s">
        <v>29</v>
      </c>
      <c r="E7723" t="s">
        <v>93</v>
      </c>
      <c r="F7723" t="s">
        <v>94</v>
      </c>
      <c r="G7723" t="s">
        <v>41</v>
      </c>
      <c r="H7723" t="s">
        <v>16</v>
      </c>
      <c r="I7723" s="3">
        <v>67</v>
      </c>
      <c r="J7723" s="2">
        <v>112</v>
      </c>
      <c r="K7723" s="3">
        <f t="shared" si="120"/>
        <v>7504</v>
      </c>
      <c r="L7723" s="3">
        <v>4052.1600000000003</v>
      </c>
    </row>
    <row r="7724" spans="1:12" x14ac:dyDescent="0.25">
      <c r="A7724" t="s">
        <v>19</v>
      </c>
      <c r="B7724">
        <v>1185732</v>
      </c>
      <c r="C7724" s="1">
        <v>44533</v>
      </c>
      <c r="D7724" t="s">
        <v>29</v>
      </c>
      <c r="E7724" t="s">
        <v>93</v>
      </c>
      <c r="F7724" t="s">
        <v>94</v>
      </c>
      <c r="G7724" t="s">
        <v>41</v>
      </c>
      <c r="H7724" t="s">
        <v>38</v>
      </c>
      <c r="I7724" s="3">
        <v>59</v>
      </c>
      <c r="J7724" s="2">
        <v>150</v>
      </c>
      <c r="K7724" s="3">
        <f t="shared" si="120"/>
        <v>8850</v>
      </c>
      <c r="L7724" s="3">
        <v>4336.5</v>
      </c>
    </row>
    <row r="7725" spans="1:12" x14ac:dyDescent="0.25">
      <c r="A7725" t="s">
        <v>19</v>
      </c>
      <c r="B7725">
        <v>1185732</v>
      </c>
      <c r="C7725" s="1">
        <v>44533</v>
      </c>
      <c r="D7725" t="s">
        <v>29</v>
      </c>
      <c r="E7725" t="s">
        <v>93</v>
      </c>
      <c r="F7725" t="s">
        <v>94</v>
      </c>
      <c r="G7725" t="s">
        <v>41</v>
      </c>
      <c r="H7725" t="s">
        <v>17</v>
      </c>
      <c r="I7725" s="3">
        <v>51</v>
      </c>
      <c r="J7725" s="2">
        <v>101</v>
      </c>
      <c r="K7725" s="3">
        <f t="shared" si="120"/>
        <v>5151</v>
      </c>
      <c r="L7725" s="3">
        <v>2523.9899999999998</v>
      </c>
    </row>
    <row r="7726" spans="1:12" x14ac:dyDescent="0.25">
      <c r="A7726" t="s">
        <v>19</v>
      </c>
      <c r="B7726">
        <v>1185732</v>
      </c>
      <c r="C7726" s="1">
        <v>44533</v>
      </c>
      <c r="D7726" t="s">
        <v>29</v>
      </c>
      <c r="E7726" t="s">
        <v>55</v>
      </c>
      <c r="F7726" t="s">
        <v>56</v>
      </c>
      <c r="G7726" t="s">
        <v>15</v>
      </c>
      <c r="H7726" t="s">
        <v>38</v>
      </c>
      <c r="I7726" s="3">
        <v>51</v>
      </c>
      <c r="J7726" s="2">
        <v>179</v>
      </c>
      <c r="K7726" s="3">
        <f t="shared" si="120"/>
        <v>9129</v>
      </c>
      <c r="L7726" s="3">
        <v>3834.1799999999994</v>
      </c>
    </row>
    <row r="7727" spans="1:12" x14ac:dyDescent="0.25">
      <c r="A7727" t="s">
        <v>19</v>
      </c>
      <c r="B7727">
        <v>1185732</v>
      </c>
      <c r="C7727" s="1">
        <v>44533</v>
      </c>
      <c r="D7727" t="s">
        <v>29</v>
      </c>
      <c r="E7727" t="s">
        <v>55</v>
      </c>
      <c r="F7727" t="s">
        <v>56</v>
      </c>
      <c r="G7727" t="s">
        <v>41</v>
      </c>
      <c r="H7727" t="s">
        <v>38</v>
      </c>
      <c r="I7727" s="3">
        <v>60</v>
      </c>
      <c r="J7727" s="2">
        <v>158</v>
      </c>
      <c r="K7727" s="3">
        <f t="shared" si="120"/>
        <v>9480</v>
      </c>
      <c r="L7727" s="3">
        <v>3223.2</v>
      </c>
    </row>
    <row r="7728" spans="1:12" x14ac:dyDescent="0.25">
      <c r="A7728" t="s">
        <v>19</v>
      </c>
      <c r="B7728">
        <v>1185732</v>
      </c>
      <c r="C7728" s="1">
        <v>44534</v>
      </c>
      <c r="D7728" t="s">
        <v>29</v>
      </c>
      <c r="E7728" t="s">
        <v>55</v>
      </c>
      <c r="F7728" t="s">
        <v>56</v>
      </c>
      <c r="G7728" t="s">
        <v>15</v>
      </c>
      <c r="H7728" t="s">
        <v>17</v>
      </c>
      <c r="I7728" s="3">
        <v>60.000000000000007</v>
      </c>
      <c r="J7728" s="2">
        <v>300</v>
      </c>
      <c r="K7728" s="3">
        <f t="shared" si="120"/>
        <v>18000.000000000004</v>
      </c>
      <c r="L7728" s="3">
        <v>11700.000000000004</v>
      </c>
    </row>
    <row r="7729" spans="1:12" x14ac:dyDescent="0.25">
      <c r="A7729" t="s">
        <v>19</v>
      </c>
      <c r="B7729">
        <v>1197831</v>
      </c>
      <c r="C7729" s="1">
        <v>44534</v>
      </c>
      <c r="D7729" t="s">
        <v>12</v>
      </c>
      <c r="E7729" t="s">
        <v>66</v>
      </c>
      <c r="F7729" t="s">
        <v>67</v>
      </c>
      <c r="G7729" t="s">
        <v>41</v>
      </c>
      <c r="H7729" t="s">
        <v>22</v>
      </c>
      <c r="I7729" s="3">
        <v>54.999999999999993</v>
      </c>
      <c r="J7729" s="2">
        <v>475</v>
      </c>
      <c r="K7729" s="3">
        <f t="shared" si="120"/>
        <v>26124.999999999996</v>
      </c>
      <c r="L7729" s="3">
        <v>16981.25</v>
      </c>
    </row>
    <row r="7730" spans="1:12" x14ac:dyDescent="0.25">
      <c r="A7730" t="s">
        <v>19</v>
      </c>
      <c r="B7730">
        <v>1197831</v>
      </c>
      <c r="C7730" s="1">
        <v>44534</v>
      </c>
      <c r="D7730" t="s">
        <v>12</v>
      </c>
      <c r="E7730" t="s">
        <v>66</v>
      </c>
      <c r="F7730" t="s">
        <v>67</v>
      </c>
      <c r="G7730" t="s">
        <v>41</v>
      </c>
      <c r="H7730" t="s">
        <v>38</v>
      </c>
      <c r="I7730" s="3">
        <v>54.999999999999993</v>
      </c>
      <c r="J7730" s="2">
        <v>775</v>
      </c>
      <c r="K7730" s="3">
        <f t="shared" si="120"/>
        <v>42624.999999999993</v>
      </c>
      <c r="L7730" s="3">
        <v>25574.999999999996</v>
      </c>
    </row>
    <row r="7731" spans="1:12" x14ac:dyDescent="0.25">
      <c r="A7731" t="s">
        <v>19</v>
      </c>
      <c r="B7731">
        <v>1197831</v>
      </c>
      <c r="C7731" s="1">
        <v>44534</v>
      </c>
      <c r="D7731" t="s">
        <v>12</v>
      </c>
      <c r="E7731" t="s">
        <v>66</v>
      </c>
      <c r="F7731" t="s">
        <v>67</v>
      </c>
      <c r="G7731" t="s">
        <v>41</v>
      </c>
      <c r="H7731" t="s">
        <v>17</v>
      </c>
      <c r="I7731" s="3">
        <v>54.999999999999993</v>
      </c>
      <c r="J7731" s="2">
        <v>775</v>
      </c>
      <c r="K7731" s="3">
        <f t="shared" si="120"/>
        <v>42624.999999999993</v>
      </c>
      <c r="L7731" s="3">
        <v>25574.999999999996</v>
      </c>
    </row>
    <row r="7732" spans="1:12" x14ac:dyDescent="0.25">
      <c r="A7732" t="s">
        <v>19</v>
      </c>
      <c r="B7732">
        <v>1197831</v>
      </c>
      <c r="C7732" s="1">
        <v>44534</v>
      </c>
      <c r="D7732" t="s">
        <v>12</v>
      </c>
      <c r="E7732" t="s">
        <v>66</v>
      </c>
      <c r="F7732" t="s">
        <v>67</v>
      </c>
      <c r="G7732" t="s">
        <v>41</v>
      </c>
      <c r="H7732" t="s">
        <v>35</v>
      </c>
      <c r="I7732" s="3">
        <v>60</v>
      </c>
      <c r="J7732" s="2">
        <v>675</v>
      </c>
      <c r="K7732" s="3">
        <f t="shared" si="120"/>
        <v>40500</v>
      </c>
      <c r="L7732" s="3">
        <v>24300</v>
      </c>
    </row>
    <row r="7733" spans="1:12" x14ac:dyDescent="0.25">
      <c r="A7733" t="s">
        <v>19</v>
      </c>
      <c r="B7733">
        <v>1197831</v>
      </c>
      <c r="C7733" s="1">
        <v>44534</v>
      </c>
      <c r="D7733" t="s">
        <v>12</v>
      </c>
      <c r="E7733" t="s">
        <v>66</v>
      </c>
      <c r="F7733" t="s">
        <v>67</v>
      </c>
      <c r="G7733" t="s">
        <v>41</v>
      </c>
      <c r="H7733" t="s">
        <v>37</v>
      </c>
      <c r="I7733" s="3">
        <v>60</v>
      </c>
      <c r="J7733" s="2">
        <v>525</v>
      </c>
      <c r="K7733" s="3">
        <f t="shared" si="120"/>
        <v>31500</v>
      </c>
      <c r="L7733" s="3">
        <v>15750</v>
      </c>
    </row>
    <row r="7734" spans="1:12" x14ac:dyDescent="0.25">
      <c r="A7734" t="s">
        <v>19</v>
      </c>
      <c r="B7734">
        <v>1197831</v>
      </c>
      <c r="C7734" s="1">
        <v>44534</v>
      </c>
      <c r="D7734" t="s">
        <v>12</v>
      </c>
      <c r="E7734" t="s">
        <v>66</v>
      </c>
      <c r="F7734" t="s">
        <v>67</v>
      </c>
      <c r="G7734" t="s">
        <v>41</v>
      </c>
      <c r="H7734" t="s">
        <v>16</v>
      </c>
      <c r="I7734" s="3">
        <v>65</v>
      </c>
      <c r="J7734" s="2">
        <v>725</v>
      </c>
      <c r="K7734" s="3">
        <f t="shared" si="120"/>
        <v>47125</v>
      </c>
      <c r="L7734" s="3">
        <v>21206.249999999996</v>
      </c>
    </row>
    <row r="7735" spans="1:12" x14ac:dyDescent="0.25">
      <c r="A7735" t="s">
        <v>19</v>
      </c>
      <c r="B7735">
        <v>1197831</v>
      </c>
      <c r="C7735" s="1">
        <v>44534</v>
      </c>
      <c r="D7735" t="s">
        <v>12</v>
      </c>
      <c r="E7735" t="s">
        <v>66</v>
      </c>
      <c r="F7735" t="s">
        <v>67</v>
      </c>
      <c r="G7735" t="s">
        <v>15</v>
      </c>
      <c r="H7735" t="s">
        <v>22</v>
      </c>
      <c r="I7735" s="3">
        <v>43</v>
      </c>
      <c r="J7735" s="2">
        <v>147</v>
      </c>
      <c r="K7735" s="3">
        <f t="shared" si="120"/>
        <v>6321</v>
      </c>
      <c r="L7735" s="3">
        <v>3729.3900000000003</v>
      </c>
    </row>
    <row r="7736" spans="1:12" x14ac:dyDescent="0.25">
      <c r="A7736" t="s">
        <v>19</v>
      </c>
      <c r="B7736">
        <v>1185732</v>
      </c>
      <c r="C7736" s="1">
        <v>44534</v>
      </c>
      <c r="D7736" t="s">
        <v>29</v>
      </c>
      <c r="E7736" t="s">
        <v>55</v>
      </c>
      <c r="F7736" t="s">
        <v>56</v>
      </c>
      <c r="G7736" t="s">
        <v>15</v>
      </c>
      <c r="H7736" t="s">
        <v>17</v>
      </c>
      <c r="I7736" s="3">
        <v>44</v>
      </c>
      <c r="J7736" s="2">
        <v>102</v>
      </c>
      <c r="K7736" s="3">
        <f t="shared" si="120"/>
        <v>4488</v>
      </c>
      <c r="L7736" s="3">
        <v>2603.04</v>
      </c>
    </row>
    <row r="7737" spans="1:12" x14ac:dyDescent="0.25">
      <c r="A7737" t="s">
        <v>19</v>
      </c>
      <c r="B7737">
        <v>1197831</v>
      </c>
      <c r="C7737" s="1">
        <v>44534</v>
      </c>
      <c r="D7737" t="s">
        <v>12</v>
      </c>
      <c r="E7737" t="s">
        <v>66</v>
      </c>
      <c r="F7737" t="s">
        <v>67</v>
      </c>
      <c r="G7737" t="s">
        <v>15</v>
      </c>
      <c r="H7737" t="s">
        <v>35</v>
      </c>
      <c r="I7737" s="3">
        <v>47</v>
      </c>
      <c r="J7737" s="2">
        <v>223</v>
      </c>
      <c r="K7737" s="3">
        <f t="shared" si="120"/>
        <v>10481</v>
      </c>
      <c r="L7737" s="3">
        <v>5869.3600000000006</v>
      </c>
    </row>
    <row r="7738" spans="1:12" x14ac:dyDescent="0.25">
      <c r="A7738" t="s">
        <v>19</v>
      </c>
      <c r="B7738">
        <v>1197831</v>
      </c>
      <c r="C7738" s="1">
        <v>44534</v>
      </c>
      <c r="D7738" t="s">
        <v>12</v>
      </c>
      <c r="E7738" t="s">
        <v>66</v>
      </c>
      <c r="F7738" t="s">
        <v>67</v>
      </c>
      <c r="G7738" t="s">
        <v>15</v>
      </c>
      <c r="H7738" t="s">
        <v>38</v>
      </c>
      <c r="I7738" s="3">
        <v>40</v>
      </c>
      <c r="J7738" s="2">
        <v>240</v>
      </c>
      <c r="K7738" s="3">
        <f t="shared" si="120"/>
        <v>9600</v>
      </c>
      <c r="L7738" s="3">
        <v>5280</v>
      </c>
    </row>
    <row r="7739" spans="1:12" x14ac:dyDescent="0.25">
      <c r="A7739" t="s">
        <v>19</v>
      </c>
      <c r="B7739">
        <v>1197831</v>
      </c>
      <c r="C7739" s="1">
        <v>44534</v>
      </c>
      <c r="D7739" t="s">
        <v>12</v>
      </c>
      <c r="E7739" t="s">
        <v>66</v>
      </c>
      <c r="F7739" t="s">
        <v>67</v>
      </c>
      <c r="G7739" t="s">
        <v>15</v>
      </c>
      <c r="H7739" t="s">
        <v>17</v>
      </c>
      <c r="I7739" s="3">
        <v>41</v>
      </c>
      <c r="J7739" s="2">
        <v>240</v>
      </c>
      <c r="K7739" s="3">
        <f t="shared" si="120"/>
        <v>9840</v>
      </c>
      <c r="L7739" s="3">
        <v>5313.6</v>
      </c>
    </row>
    <row r="7740" spans="1:12" x14ac:dyDescent="0.25">
      <c r="A7740" t="s">
        <v>19</v>
      </c>
      <c r="B7740">
        <v>1185732</v>
      </c>
      <c r="C7740" s="1">
        <v>44534</v>
      </c>
      <c r="D7740" t="s">
        <v>29</v>
      </c>
      <c r="E7740" t="s">
        <v>55</v>
      </c>
      <c r="F7740" t="s">
        <v>56</v>
      </c>
      <c r="G7740" t="s">
        <v>41</v>
      </c>
      <c r="H7740" t="s">
        <v>17</v>
      </c>
      <c r="I7740" s="3">
        <v>54</v>
      </c>
      <c r="J7740" s="2">
        <v>75</v>
      </c>
      <c r="K7740" s="3">
        <f t="shared" si="120"/>
        <v>4050</v>
      </c>
      <c r="L7740" s="3">
        <v>2146.5</v>
      </c>
    </row>
    <row r="7741" spans="1:12" x14ac:dyDescent="0.25">
      <c r="A7741" t="s">
        <v>19</v>
      </c>
      <c r="B7741">
        <v>1197831</v>
      </c>
      <c r="C7741" s="1">
        <v>44534</v>
      </c>
      <c r="D7741" t="s">
        <v>12</v>
      </c>
      <c r="E7741" t="s">
        <v>66</v>
      </c>
      <c r="F7741" t="s">
        <v>67</v>
      </c>
      <c r="G7741" t="s">
        <v>41</v>
      </c>
      <c r="H7741" t="s">
        <v>22</v>
      </c>
      <c r="I7741" s="3">
        <v>50</v>
      </c>
      <c r="J7741" s="2">
        <v>133</v>
      </c>
      <c r="K7741" s="3">
        <f t="shared" si="120"/>
        <v>6650</v>
      </c>
      <c r="L7741" s="3">
        <v>3391.5</v>
      </c>
    </row>
    <row r="7742" spans="1:12" x14ac:dyDescent="0.25">
      <c r="A7742" t="s">
        <v>19</v>
      </c>
      <c r="B7742">
        <v>1197831</v>
      </c>
      <c r="C7742" s="1">
        <v>44534</v>
      </c>
      <c r="D7742" t="s">
        <v>12</v>
      </c>
      <c r="E7742" t="s">
        <v>66</v>
      </c>
      <c r="F7742" t="s">
        <v>67</v>
      </c>
      <c r="G7742" t="s">
        <v>41</v>
      </c>
      <c r="H7742" t="s">
        <v>35</v>
      </c>
      <c r="I7742" s="3">
        <v>56</v>
      </c>
      <c r="J7742" s="2">
        <v>176</v>
      </c>
      <c r="K7742" s="3">
        <f t="shared" si="120"/>
        <v>9856</v>
      </c>
      <c r="L7742" s="3">
        <v>4730.88</v>
      </c>
    </row>
    <row r="7743" spans="1:12" x14ac:dyDescent="0.25">
      <c r="A7743" t="s">
        <v>19</v>
      </c>
      <c r="B7743">
        <v>1197831</v>
      </c>
      <c r="C7743" s="1">
        <v>44534</v>
      </c>
      <c r="D7743" t="s">
        <v>12</v>
      </c>
      <c r="E7743" t="s">
        <v>66</v>
      </c>
      <c r="F7743" t="s">
        <v>67</v>
      </c>
      <c r="G7743" t="s">
        <v>15</v>
      </c>
      <c r="H7743" t="s">
        <v>37</v>
      </c>
      <c r="I7743" s="3">
        <v>44</v>
      </c>
      <c r="J7743" s="2">
        <v>184</v>
      </c>
      <c r="K7743" s="3">
        <f t="shared" si="120"/>
        <v>8096</v>
      </c>
      <c r="L7743" s="3">
        <v>3886.08</v>
      </c>
    </row>
    <row r="7744" spans="1:12" x14ac:dyDescent="0.25">
      <c r="A7744" t="s">
        <v>19</v>
      </c>
      <c r="B7744">
        <v>1197831</v>
      </c>
      <c r="C7744" s="1">
        <v>44534</v>
      </c>
      <c r="D7744" t="s">
        <v>12</v>
      </c>
      <c r="E7744" t="s">
        <v>66</v>
      </c>
      <c r="F7744" t="s">
        <v>67</v>
      </c>
      <c r="G7744" t="s">
        <v>41</v>
      </c>
      <c r="H7744" t="s">
        <v>38</v>
      </c>
      <c r="I7744" s="3">
        <v>54</v>
      </c>
      <c r="J7744" s="2">
        <v>233</v>
      </c>
      <c r="K7744" s="3">
        <f t="shared" si="120"/>
        <v>12582</v>
      </c>
      <c r="L7744" s="3">
        <v>5787.7199999999993</v>
      </c>
    </row>
    <row r="7745" spans="1:12" x14ac:dyDescent="0.25">
      <c r="A7745" t="s">
        <v>19</v>
      </c>
      <c r="B7745">
        <v>1197831</v>
      </c>
      <c r="C7745" s="1">
        <v>44534</v>
      </c>
      <c r="D7745" t="s">
        <v>12</v>
      </c>
      <c r="E7745" t="s">
        <v>66</v>
      </c>
      <c r="F7745" t="s">
        <v>67</v>
      </c>
      <c r="G7745" t="s">
        <v>41</v>
      </c>
      <c r="H7745" t="s">
        <v>17</v>
      </c>
      <c r="I7745" s="3">
        <v>51</v>
      </c>
      <c r="J7745" s="2">
        <v>209</v>
      </c>
      <c r="K7745" s="3">
        <f t="shared" si="120"/>
        <v>10659</v>
      </c>
      <c r="L7745" s="3">
        <v>4903.1399999999994</v>
      </c>
    </row>
    <row r="7746" spans="1:12" x14ac:dyDescent="0.25">
      <c r="A7746" t="s">
        <v>19</v>
      </c>
      <c r="B7746">
        <v>1197831</v>
      </c>
      <c r="C7746" s="1">
        <v>44534</v>
      </c>
      <c r="D7746" t="s">
        <v>12</v>
      </c>
      <c r="E7746" t="s">
        <v>66</v>
      </c>
      <c r="F7746" t="s">
        <v>67</v>
      </c>
      <c r="G7746" t="s">
        <v>15</v>
      </c>
      <c r="H7746" t="s">
        <v>16</v>
      </c>
      <c r="I7746" s="3">
        <v>47</v>
      </c>
      <c r="J7746" s="2">
        <v>232</v>
      </c>
      <c r="K7746" s="3">
        <f t="shared" si="120"/>
        <v>10904</v>
      </c>
      <c r="L7746" s="3">
        <v>4252.5599999999986</v>
      </c>
    </row>
    <row r="7747" spans="1:12" x14ac:dyDescent="0.25">
      <c r="A7747" t="s">
        <v>19</v>
      </c>
      <c r="B7747">
        <v>1197831</v>
      </c>
      <c r="C7747" s="1">
        <v>44534</v>
      </c>
      <c r="D7747" t="s">
        <v>12</v>
      </c>
      <c r="E7747" t="s">
        <v>66</v>
      </c>
      <c r="F7747" t="s">
        <v>67</v>
      </c>
      <c r="G7747" t="s">
        <v>41</v>
      </c>
      <c r="H7747" t="s">
        <v>37</v>
      </c>
      <c r="I7747" s="3">
        <v>59</v>
      </c>
      <c r="J7747" s="2">
        <v>142</v>
      </c>
      <c r="K7747" s="3">
        <f t="shared" ref="K7747:K7810" si="121">I7747*J7747</f>
        <v>8378</v>
      </c>
      <c r="L7747" s="3">
        <v>2932.3</v>
      </c>
    </row>
    <row r="7748" spans="1:12" x14ac:dyDescent="0.25">
      <c r="A7748" t="s">
        <v>19</v>
      </c>
      <c r="B7748">
        <v>1197831</v>
      </c>
      <c r="C7748" s="1">
        <v>44534</v>
      </c>
      <c r="D7748" t="s">
        <v>12</v>
      </c>
      <c r="E7748" t="s">
        <v>66</v>
      </c>
      <c r="F7748" t="s">
        <v>67</v>
      </c>
      <c r="G7748" t="s">
        <v>41</v>
      </c>
      <c r="H7748" t="s">
        <v>16</v>
      </c>
      <c r="I7748" s="3">
        <v>60</v>
      </c>
      <c r="J7748" s="2">
        <v>196</v>
      </c>
      <c r="K7748" s="3">
        <f t="shared" si="121"/>
        <v>11760</v>
      </c>
      <c r="L7748" s="3">
        <v>3645.5999999999995</v>
      </c>
    </row>
    <row r="7749" spans="1:12" x14ac:dyDescent="0.25">
      <c r="A7749" t="s">
        <v>26</v>
      </c>
      <c r="B7749">
        <v>1185732</v>
      </c>
      <c r="C7749" s="1">
        <v>44535</v>
      </c>
      <c r="D7749" t="s">
        <v>32</v>
      </c>
      <c r="E7749" t="s">
        <v>46</v>
      </c>
      <c r="F7749" t="s">
        <v>47</v>
      </c>
      <c r="G7749" t="s">
        <v>41</v>
      </c>
      <c r="H7749" t="s">
        <v>35</v>
      </c>
      <c r="I7749" s="3">
        <v>60.000000000000007</v>
      </c>
      <c r="J7749" s="2">
        <v>825</v>
      </c>
      <c r="K7749" s="3">
        <f t="shared" si="121"/>
        <v>49500.000000000007</v>
      </c>
      <c r="L7749" s="3">
        <v>37125.000000000007</v>
      </c>
    </row>
    <row r="7750" spans="1:12" x14ac:dyDescent="0.25">
      <c r="A7750" t="s">
        <v>26</v>
      </c>
      <c r="B7750">
        <v>1185732</v>
      </c>
      <c r="C7750" s="1">
        <v>44535</v>
      </c>
      <c r="D7750" t="s">
        <v>32</v>
      </c>
      <c r="E7750" t="s">
        <v>46</v>
      </c>
      <c r="F7750" t="s">
        <v>47</v>
      </c>
      <c r="G7750" t="s">
        <v>41</v>
      </c>
      <c r="H7750" t="s">
        <v>37</v>
      </c>
      <c r="I7750" s="3">
        <v>60.000000000000007</v>
      </c>
      <c r="J7750" s="2">
        <v>775</v>
      </c>
      <c r="K7750" s="3">
        <f t="shared" si="121"/>
        <v>46500.000000000007</v>
      </c>
      <c r="L7750" s="3">
        <v>32550.000000000007</v>
      </c>
    </row>
    <row r="7751" spans="1:12" x14ac:dyDescent="0.25">
      <c r="A7751" t="s">
        <v>11</v>
      </c>
      <c r="B7751">
        <v>1185732</v>
      </c>
      <c r="C7751" s="1">
        <v>44535</v>
      </c>
      <c r="D7751" t="s">
        <v>57</v>
      </c>
      <c r="E7751" t="s">
        <v>78</v>
      </c>
      <c r="F7751" t="s">
        <v>79</v>
      </c>
      <c r="G7751" t="s">
        <v>18</v>
      </c>
      <c r="H7751" t="s">
        <v>38</v>
      </c>
      <c r="I7751" s="3">
        <v>60</v>
      </c>
      <c r="J7751" s="2">
        <v>525</v>
      </c>
      <c r="K7751" s="3">
        <f t="shared" si="121"/>
        <v>31500</v>
      </c>
      <c r="L7751" s="3">
        <v>22050</v>
      </c>
    </row>
    <row r="7752" spans="1:12" x14ac:dyDescent="0.25">
      <c r="A7752" t="s">
        <v>11</v>
      </c>
      <c r="B7752">
        <v>1185732</v>
      </c>
      <c r="C7752" s="1">
        <v>44535</v>
      </c>
      <c r="D7752" t="s">
        <v>57</v>
      </c>
      <c r="E7752" t="s">
        <v>78</v>
      </c>
      <c r="F7752" t="s">
        <v>79</v>
      </c>
      <c r="G7752" t="s">
        <v>18</v>
      </c>
      <c r="H7752" t="s">
        <v>35</v>
      </c>
      <c r="I7752" s="3">
        <v>50</v>
      </c>
      <c r="J7752" s="2">
        <v>275</v>
      </c>
      <c r="K7752" s="3">
        <f t="shared" si="121"/>
        <v>13750</v>
      </c>
      <c r="L7752" s="3">
        <v>9625</v>
      </c>
    </row>
    <row r="7753" spans="1:12" x14ac:dyDescent="0.25">
      <c r="A7753" t="s">
        <v>11</v>
      </c>
      <c r="B7753">
        <v>1185732</v>
      </c>
      <c r="C7753" s="1">
        <v>44535</v>
      </c>
      <c r="D7753" t="s">
        <v>57</v>
      </c>
      <c r="E7753" t="s">
        <v>78</v>
      </c>
      <c r="F7753" t="s">
        <v>79</v>
      </c>
      <c r="G7753" t="s">
        <v>18</v>
      </c>
      <c r="H7753" t="s">
        <v>37</v>
      </c>
      <c r="I7753" s="3">
        <v>50</v>
      </c>
      <c r="J7753" s="2">
        <v>225</v>
      </c>
      <c r="K7753" s="3">
        <f t="shared" si="121"/>
        <v>11250</v>
      </c>
      <c r="L7753" s="3">
        <v>7875</v>
      </c>
    </row>
    <row r="7754" spans="1:12" x14ac:dyDescent="0.25">
      <c r="A7754" t="s">
        <v>19</v>
      </c>
      <c r="B7754">
        <v>1185732</v>
      </c>
      <c r="C7754" s="1">
        <v>44535</v>
      </c>
      <c r="D7754" t="s">
        <v>32</v>
      </c>
      <c r="E7754" t="s">
        <v>46</v>
      </c>
      <c r="F7754" t="s">
        <v>47</v>
      </c>
      <c r="G7754" t="s">
        <v>41</v>
      </c>
      <c r="H7754" t="s">
        <v>17</v>
      </c>
      <c r="I7754" s="3">
        <v>60.000000000000007</v>
      </c>
      <c r="J7754" s="2">
        <v>875</v>
      </c>
      <c r="K7754" s="3">
        <f t="shared" si="121"/>
        <v>52500.000000000007</v>
      </c>
      <c r="L7754" s="3">
        <v>34125.000000000015</v>
      </c>
    </row>
    <row r="7755" spans="1:12" x14ac:dyDescent="0.25">
      <c r="A7755" t="s">
        <v>26</v>
      </c>
      <c r="B7755">
        <v>1185732</v>
      </c>
      <c r="C7755" s="1">
        <v>44535</v>
      </c>
      <c r="D7755" t="s">
        <v>32</v>
      </c>
      <c r="E7755" t="s">
        <v>46</v>
      </c>
      <c r="F7755" t="s">
        <v>47</v>
      </c>
      <c r="G7755" t="s">
        <v>41</v>
      </c>
      <c r="H7755" t="s">
        <v>22</v>
      </c>
      <c r="I7755" s="3">
        <v>70</v>
      </c>
      <c r="J7755" s="2">
        <v>775</v>
      </c>
      <c r="K7755" s="3">
        <f t="shared" si="121"/>
        <v>54250</v>
      </c>
      <c r="L7755" s="3">
        <v>35262.5</v>
      </c>
    </row>
    <row r="7756" spans="1:12" x14ac:dyDescent="0.25">
      <c r="A7756" t="s">
        <v>11</v>
      </c>
      <c r="B7756">
        <v>1185732</v>
      </c>
      <c r="C7756" s="1">
        <v>44535</v>
      </c>
      <c r="D7756" t="s">
        <v>57</v>
      </c>
      <c r="E7756" t="s">
        <v>78</v>
      </c>
      <c r="F7756" t="s">
        <v>79</v>
      </c>
      <c r="G7756" t="s">
        <v>18</v>
      </c>
      <c r="H7756" t="s">
        <v>17</v>
      </c>
      <c r="I7756" s="3">
        <v>50</v>
      </c>
      <c r="J7756" s="2">
        <v>325</v>
      </c>
      <c r="K7756" s="3">
        <f t="shared" si="121"/>
        <v>16250</v>
      </c>
      <c r="L7756" s="3">
        <v>10562.5</v>
      </c>
    </row>
    <row r="7757" spans="1:12" x14ac:dyDescent="0.25">
      <c r="A7757" t="s">
        <v>19</v>
      </c>
      <c r="B7757">
        <v>1185732</v>
      </c>
      <c r="C7757" s="1">
        <v>44535</v>
      </c>
      <c r="D7757" t="s">
        <v>29</v>
      </c>
      <c r="E7757" t="s">
        <v>55</v>
      </c>
      <c r="F7757" t="s">
        <v>56</v>
      </c>
      <c r="G7757" t="s">
        <v>15</v>
      </c>
      <c r="H7757" t="s">
        <v>35</v>
      </c>
      <c r="I7757" s="3">
        <v>55.000000000000007</v>
      </c>
      <c r="J7757" s="2">
        <v>225</v>
      </c>
      <c r="K7757" s="3">
        <f t="shared" si="121"/>
        <v>12375.000000000002</v>
      </c>
      <c r="L7757" s="3">
        <v>7425.0000000000018</v>
      </c>
    </row>
    <row r="7758" spans="1:12" x14ac:dyDescent="0.25">
      <c r="A7758" t="s">
        <v>11</v>
      </c>
      <c r="B7758">
        <v>1185732</v>
      </c>
      <c r="C7758" s="1">
        <v>44535</v>
      </c>
      <c r="D7758" t="s">
        <v>57</v>
      </c>
      <c r="E7758" t="s">
        <v>78</v>
      </c>
      <c r="F7758" t="s">
        <v>79</v>
      </c>
      <c r="G7758" t="s">
        <v>18</v>
      </c>
      <c r="H7758" t="s">
        <v>16</v>
      </c>
      <c r="I7758" s="3">
        <v>64.999999999999986</v>
      </c>
      <c r="J7758" s="2">
        <v>325</v>
      </c>
      <c r="K7758" s="3">
        <f t="shared" si="121"/>
        <v>21124.999999999996</v>
      </c>
      <c r="L7758" s="3">
        <v>12674.999999999996</v>
      </c>
    </row>
    <row r="7759" spans="1:12" x14ac:dyDescent="0.25">
      <c r="A7759" t="s">
        <v>19</v>
      </c>
      <c r="B7759">
        <v>1185732</v>
      </c>
      <c r="C7759" s="1">
        <v>44535</v>
      </c>
      <c r="D7759" t="s">
        <v>32</v>
      </c>
      <c r="E7759" t="s">
        <v>46</v>
      </c>
      <c r="F7759" t="s">
        <v>47</v>
      </c>
      <c r="G7759" t="s">
        <v>41</v>
      </c>
      <c r="H7759" t="s">
        <v>38</v>
      </c>
      <c r="I7759" s="3">
        <v>70</v>
      </c>
      <c r="J7759" s="2">
        <v>1075</v>
      </c>
      <c r="K7759" s="3">
        <f t="shared" si="121"/>
        <v>75250</v>
      </c>
      <c r="L7759" s="3">
        <v>41387.5</v>
      </c>
    </row>
    <row r="7760" spans="1:12" x14ac:dyDescent="0.25">
      <c r="A7760" t="s">
        <v>26</v>
      </c>
      <c r="B7760">
        <v>1185732</v>
      </c>
      <c r="C7760" s="1">
        <v>44535</v>
      </c>
      <c r="D7760" t="s">
        <v>32</v>
      </c>
      <c r="E7760" t="s">
        <v>46</v>
      </c>
      <c r="F7760" t="s">
        <v>47</v>
      </c>
      <c r="G7760" t="s">
        <v>41</v>
      </c>
      <c r="H7760" t="s">
        <v>16</v>
      </c>
      <c r="I7760" s="3">
        <v>75</v>
      </c>
      <c r="J7760" s="2">
        <v>875</v>
      </c>
      <c r="K7760" s="3">
        <f t="shared" si="121"/>
        <v>65625</v>
      </c>
      <c r="L7760" s="3">
        <v>32812.5</v>
      </c>
    </row>
    <row r="7761" spans="1:12" x14ac:dyDescent="0.25">
      <c r="A7761" t="s">
        <v>11</v>
      </c>
      <c r="B7761">
        <v>1185732</v>
      </c>
      <c r="C7761" s="1">
        <v>44535</v>
      </c>
      <c r="D7761" t="s">
        <v>57</v>
      </c>
      <c r="E7761" t="s">
        <v>78</v>
      </c>
      <c r="F7761" t="s">
        <v>79</v>
      </c>
      <c r="G7761" t="s">
        <v>18</v>
      </c>
      <c r="H7761" t="s">
        <v>22</v>
      </c>
      <c r="I7761" s="3">
        <v>60</v>
      </c>
      <c r="J7761" s="2">
        <v>225</v>
      </c>
      <c r="K7761" s="3">
        <f t="shared" si="121"/>
        <v>13500</v>
      </c>
      <c r="L7761" s="3">
        <v>6750</v>
      </c>
    </row>
    <row r="7762" spans="1:12" x14ac:dyDescent="0.25">
      <c r="A7762" t="s">
        <v>26</v>
      </c>
      <c r="B7762">
        <v>1185732</v>
      </c>
      <c r="C7762" s="1">
        <v>44535</v>
      </c>
      <c r="D7762" t="s">
        <v>32</v>
      </c>
      <c r="E7762" t="s">
        <v>46</v>
      </c>
      <c r="F7762" t="s">
        <v>47</v>
      </c>
      <c r="G7762" t="s">
        <v>41</v>
      </c>
      <c r="H7762" t="s">
        <v>35</v>
      </c>
      <c r="I7762" s="3">
        <v>56</v>
      </c>
      <c r="J7762" s="2">
        <v>215</v>
      </c>
      <c r="K7762" s="3">
        <f t="shared" si="121"/>
        <v>12040</v>
      </c>
      <c r="L7762" s="3">
        <v>7826</v>
      </c>
    </row>
    <row r="7763" spans="1:12" x14ac:dyDescent="0.25">
      <c r="A7763" t="s">
        <v>11</v>
      </c>
      <c r="B7763">
        <v>1185732</v>
      </c>
      <c r="C7763" s="1">
        <v>44535</v>
      </c>
      <c r="D7763" t="s">
        <v>57</v>
      </c>
      <c r="E7763" t="s">
        <v>78</v>
      </c>
      <c r="F7763" t="s">
        <v>79</v>
      </c>
      <c r="G7763" t="s">
        <v>41</v>
      </c>
      <c r="H7763" t="s">
        <v>38</v>
      </c>
      <c r="I7763" s="3">
        <v>54</v>
      </c>
      <c r="J7763" s="2">
        <v>147</v>
      </c>
      <c r="K7763" s="3">
        <f t="shared" si="121"/>
        <v>7938</v>
      </c>
      <c r="L7763" s="3">
        <v>4604.04</v>
      </c>
    </row>
    <row r="7764" spans="1:12" x14ac:dyDescent="0.25">
      <c r="A7764" t="s">
        <v>11</v>
      </c>
      <c r="B7764">
        <v>1185732</v>
      </c>
      <c r="C7764" s="1">
        <v>44535</v>
      </c>
      <c r="D7764" t="s">
        <v>57</v>
      </c>
      <c r="E7764" t="s">
        <v>78</v>
      </c>
      <c r="F7764" t="s">
        <v>79</v>
      </c>
      <c r="G7764" t="s">
        <v>41</v>
      </c>
      <c r="H7764" t="s">
        <v>35</v>
      </c>
      <c r="I7764" s="3">
        <v>47</v>
      </c>
      <c r="J7764" s="2">
        <v>83</v>
      </c>
      <c r="K7764" s="3">
        <f t="shared" si="121"/>
        <v>3901</v>
      </c>
      <c r="L7764" s="3">
        <v>2262.58</v>
      </c>
    </row>
    <row r="7765" spans="1:12" x14ac:dyDescent="0.25">
      <c r="A7765" t="s">
        <v>11</v>
      </c>
      <c r="B7765">
        <v>1185732</v>
      </c>
      <c r="C7765" s="1">
        <v>44535</v>
      </c>
      <c r="D7765" t="s">
        <v>57</v>
      </c>
      <c r="E7765" t="s">
        <v>78</v>
      </c>
      <c r="F7765" t="s">
        <v>79</v>
      </c>
      <c r="G7765" t="s">
        <v>41</v>
      </c>
      <c r="H7765" t="s">
        <v>37</v>
      </c>
      <c r="I7765" s="3">
        <v>49</v>
      </c>
      <c r="J7765" s="2">
        <v>61</v>
      </c>
      <c r="K7765" s="3">
        <f t="shared" si="121"/>
        <v>2989</v>
      </c>
      <c r="L7765" s="3">
        <v>1703.73</v>
      </c>
    </row>
    <row r="7766" spans="1:12" x14ac:dyDescent="0.25">
      <c r="A7766" t="s">
        <v>19</v>
      </c>
      <c r="B7766">
        <v>1185732</v>
      </c>
      <c r="C7766" s="1">
        <v>44535</v>
      </c>
      <c r="D7766" t="s">
        <v>32</v>
      </c>
      <c r="E7766" t="s">
        <v>46</v>
      </c>
      <c r="F7766" t="s">
        <v>47</v>
      </c>
      <c r="G7766" t="s">
        <v>41</v>
      </c>
      <c r="H7766" t="s">
        <v>17</v>
      </c>
      <c r="I7766" s="3">
        <v>58</v>
      </c>
      <c r="J7766" s="2">
        <v>219</v>
      </c>
      <c r="K7766" s="3">
        <f t="shared" si="121"/>
        <v>12702</v>
      </c>
      <c r="L7766" s="3">
        <v>6986.1</v>
      </c>
    </row>
    <row r="7767" spans="1:12" x14ac:dyDescent="0.25">
      <c r="A7767" t="s">
        <v>26</v>
      </c>
      <c r="B7767">
        <v>1185732</v>
      </c>
      <c r="C7767" s="1">
        <v>44535</v>
      </c>
      <c r="D7767" t="s">
        <v>32</v>
      </c>
      <c r="E7767" t="s">
        <v>46</v>
      </c>
      <c r="F7767" t="s">
        <v>47</v>
      </c>
      <c r="G7767" t="s">
        <v>41</v>
      </c>
      <c r="H7767" t="s">
        <v>22</v>
      </c>
      <c r="I7767" s="3">
        <v>66</v>
      </c>
      <c r="J7767" s="2">
        <v>225</v>
      </c>
      <c r="K7767" s="3">
        <f t="shared" si="121"/>
        <v>14850</v>
      </c>
      <c r="L7767" s="3">
        <v>8167.5000000000009</v>
      </c>
    </row>
    <row r="7768" spans="1:12" x14ac:dyDescent="0.25">
      <c r="A7768" t="s">
        <v>26</v>
      </c>
      <c r="B7768">
        <v>1185732</v>
      </c>
      <c r="C7768" s="1">
        <v>44535</v>
      </c>
      <c r="D7768" t="s">
        <v>32</v>
      </c>
      <c r="E7768" t="s">
        <v>46</v>
      </c>
      <c r="F7768" t="s">
        <v>47</v>
      </c>
      <c r="G7768" t="s">
        <v>41</v>
      </c>
      <c r="H7768" t="s">
        <v>37</v>
      </c>
      <c r="I7768" s="3">
        <v>59</v>
      </c>
      <c r="J7768" s="2">
        <v>194</v>
      </c>
      <c r="K7768" s="3">
        <f t="shared" si="121"/>
        <v>11446</v>
      </c>
      <c r="L7768" s="3">
        <v>6295.3</v>
      </c>
    </row>
    <row r="7769" spans="1:12" x14ac:dyDescent="0.25">
      <c r="A7769" t="s">
        <v>11</v>
      </c>
      <c r="B7769">
        <v>1185732</v>
      </c>
      <c r="C7769" s="1">
        <v>44535</v>
      </c>
      <c r="D7769" t="s">
        <v>57</v>
      </c>
      <c r="E7769" t="s">
        <v>78</v>
      </c>
      <c r="F7769" t="s">
        <v>79</v>
      </c>
      <c r="G7769" t="s">
        <v>41</v>
      </c>
      <c r="H7769" t="s">
        <v>17</v>
      </c>
      <c r="I7769" s="3">
        <v>47</v>
      </c>
      <c r="J7769" s="2">
        <v>91</v>
      </c>
      <c r="K7769" s="3">
        <f t="shared" si="121"/>
        <v>4277</v>
      </c>
      <c r="L7769" s="3">
        <v>2266.8100000000004</v>
      </c>
    </row>
    <row r="7770" spans="1:12" x14ac:dyDescent="0.25">
      <c r="A7770" t="s">
        <v>19</v>
      </c>
      <c r="B7770">
        <v>1185732</v>
      </c>
      <c r="C7770" s="1">
        <v>44535</v>
      </c>
      <c r="D7770" t="s">
        <v>29</v>
      </c>
      <c r="E7770" t="s">
        <v>55</v>
      </c>
      <c r="F7770" t="s">
        <v>56</v>
      </c>
      <c r="G7770" t="s">
        <v>15</v>
      </c>
      <c r="H7770" t="s">
        <v>35</v>
      </c>
      <c r="I7770" s="3">
        <v>38</v>
      </c>
      <c r="J7770" s="2">
        <v>79</v>
      </c>
      <c r="K7770" s="3">
        <f t="shared" si="121"/>
        <v>3002</v>
      </c>
      <c r="L7770" s="3">
        <v>1591.0600000000002</v>
      </c>
    </row>
    <row r="7771" spans="1:12" x14ac:dyDescent="0.25">
      <c r="A7771" t="s">
        <v>19</v>
      </c>
      <c r="B7771">
        <v>1185732</v>
      </c>
      <c r="C7771" s="1">
        <v>44535</v>
      </c>
      <c r="D7771" t="s">
        <v>29</v>
      </c>
      <c r="E7771" t="s">
        <v>55</v>
      </c>
      <c r="F7771" t="s">
        <v>56</v>
      </c>
      <c r="G7771" t="s">
        <v>41</v>
      </c>
      <c r="H7771" t="s">
        <v>35</v>
      </c>
      <c r="I7771" s="3">
        <v>54</v>
      </c>
      <c r="J7771" s="2">
        <v>61</v>
      </c>
      <c r="K7771" s="3">
        <f t="shared" si="121"/>
        <v>3294</v>
      </c>
      <c r="L7771" s="3">
        <v>1482.3000000000002</v>
      </c>
    </row>
    <row r="7772" spans="1:12" x14ac:dyDescent="0.25">
      <c r="A7772" t="s">
        <v>11</v>
      </c>
      <c r="B7772">
        <v>1185732</v>
      </c>
      <c r="C7772" s="1">
        <v>44535</v>
      </c>
      <c r="D7772" t="s">
        <v>57</v>
      </c>
      <c r="E7772" t="s">
        <v>78</v>
      </c>
      <c r="F7772" t="s">
        <v>79</v>
      </c>
      <c r="G7772" t="s">
        <v>41</v>
      </c>
      <c r="H7772" t="s">
        <v>16</v>
      </c>
      <c r="I7772" s="3">
        <v>59</v>
      </c>
      <c r="J7772" s="2">
        <v>88</v>
      </c>
      <c r="K7772" s="3">
        <f t="shared" si="121"/>
        <v>5192</v>
      </c>
      <c r="L7772" s="3">
        <v>2336.3999999999996</v>
      </c>
    </row>
    <row r="7773" spans="1:12" x14ac:dyDescent="0.25">
      <c r="A7773" t="s">
        <v>19</v>
      </c>
      <c r="B7773">
        <v>1185732</v>
      </c>
      <c r="C7773" s="1">
        <v>44535</v>
      </c>
      <c r="D7773" t="s">
        <v>32</v>
      </c>
      <c r="E7773" t="s">
        <v>46</v>
      </c>
      <c r="F7773" t="s">
        <v>47</v>
      </c>
      <c r="G7773" t="s">
        <v>41</v>
      </c>
      <c r="H7773" t="s">
        <v>38</v>
      </c>
      <c r="I7773" s="3">
        <v>67</v>
      </c>
      <c r="J7773" s="2">
        <v>290</v>
      </c>
      <c r="K7773" s="3">
        <f t="shared" si="121"/>
        <v>19430</v>
      </c>
      <c r="L7773" s="3">
        <v>7772</v>
      </c>
    </row>
    <row r="7774" spans="1:12" x14ac:dyDescent="0.25">
      <c r="A7774" t="s">
        <v>26</v>
      </c>
      <c r="B7774">
        <v>1185732</v>
      </c>
      <c r="C7774" s="1">
        <v>44535</v>
      </c>
      <c r="D7774" t="s">
        <v>32</v>
      </c>
      <c r="E7774" t="s">
        <v>46</v>
      </c>
      <c r="F7774" t="s">
        <v>47</v>
      </c>
      <c r="G7774" t="s">
        <v>41</v>
      </c>
      <c r="H7774" t="s">
        <v>16</v>
      </c>
      <c r="I7774" s="3">
        <v>68</v>
      </c>
      <c r="J7774" s="2">
        <v>228</v>
      </c>
      <c r="K7774" s="3">
        <f t="shared" si="121"/>
        <v>15504</v>
      </c>
      <c r="L7774" s="3">
        <v>6201.6</v>
      </c>
    </row>
    <row r="7775" spans="1:12" x14ac:dyDescent="0.25">
      <c r="A7775" t="s">
        <v>11</v>
      </c>
      <c r="B7775">
        <v>1185732</v>
      </c>
      <c r="C7775" s="1">
        <v>44535</v>
      </c>
      <c r="D7775" t="s">
        <v>57</v>
      </c>
      <c r="E7775" t="s">
        <v>78</v>
      </c>
      <c r="F7775" t="s">
        <v>79</v>
      </c>
      <c r="G7775" t="s">
        <v>41</v>
      </c>
      <c r="H7775" t="s">
        <v>22</v>
      </c>
      <c r="I7775" s="3">
        <v>59</v>
      </c>
      <c r="J7775" s="2">
        <v>59</v>
      </c>
      <c r="K7775" s="3">
        <f t="shared" si="121"/>
        <v>3481</v>
      </c>
      <c r="L7775" s="3">
        <v>1357.5900000000001</v>
      </c>
    </row>
    <row r="7776" spans="1:12" x14ac:dyDescent="0.25">
      <c r="A7776" t="s">
        <v>26</v>
      </c>
      <c r="B7776">
        <v>1185732</v>
      </c>
      <c r="C7776" s="1">
        <v>44536</v>
      </c>
      <c r="D7776" t="s">
        <v>29</v>
      </c>
      <c r="E7776" t="s">
        <v>91</v>
      </c>
      <c r="F7776" t="s">
        <v>92</v>
      </c>
      <c r="G7776" t="s">
        <v>18</v>
      </c>
      <c r="H7776" t="s">
        <v>22</v>
      </c>
      <c r="I7776" s="3">
        <v>60</v>
      </c>
      <c r="J7776" s="2">
        <v>275</v>
      </c>
      <c r="K7776" s="3">
        <f t="shared" si="121"/>
        <v>16500</v>
      </c>
      <c r="L7776" s="3">
        <v>11550</v>
      </c>
    </row>
    <row r="7777" spans="1:12" x14ac:dyDescent="0.25">
      <c r="A7777" t="s">
        <v>26</v>
      </c>
      <c r="B7777">
        <v>1185732</v>
      </c>
      <c r="C7777" s="1">
        <v>44536</v>
      </c>
      <c r="D7777" t="s">
        <v>29</v>
      </c>
      <c r="E7777" t="s">
        <v>48</v>
      </c>
      <c r="F7777" t="s">
        <v>49</v>
      </c>
      <c r="G7777" t="s">
        <v>18</v>
      </c>
      <c r="H7777" t="s">
        <v>22</v>
      </c>
      <c r="I7777" s="3">
        <v>60</v>
      </c>
      <c r="J7777" s="2">
        <v>225</v>
      </c>
      <c r="K7777" s="3">
        <f t="shared" si="121"/>
        <v>13500</v>
      </c>
      <c r="L7777" s="3">
        <v>9450</v>
      </c>
    </row>
    <row r="7778" spans="1:12" x14ac:dyDescent="0.25">
      <c r="A7778" t="s">
        <v>26</v>
      </c>
      <c r="B7778">
        <v>1185732</v>
      </c>
      <c r="C7778" s="1">
        <v>44536</v>
      </c>
      <c r="D7778" t="s">
        <v>29</v>
      </c>
      <c r="E7778" t="s">
        <v>91</v>
      </c>
      <c r="F7778" t="s">
        <v>92</v>
      </c>
      <c r="G7778" t="s">
        <v>18</v>
      </c>
      <c r="H7778" t="s">
        <v>38</v>
      </c>
      <c r="I7778" s="3">
        <v>60</v>
      </c>
      <c r="J7778" s="2">
        <v>550</v>
      </c>
      <c r="K7778" s="3">
        <f t="shared" si="121"/>
        <v>33000</v>
      </c>
      <c r="L7778" s="3">
        <v>21450</v>
      </c>
    </row>
    <row r="7779" spans="1:12" x14ac:dyDescent="0.25">
      <c r="A7779" t="s">
        <v>26</v>
      </c>
      <c r="B7779">
        <v>1185732</v>
      </c>
      <c r="C7779" s="1">
        <v>44536</v>
      </c>
      <c r="D7779" t="s">
        <v>29</v>
      </c>
      <c r="E7779" t="s">
        <v>91</v>
      </c>
      <c r="F7779" t="s">
        <v>92</v>
      </c>
      <c r="G7779" t="s">
        <v>18</v>
      </c>
      <c r="H7779" t="s">
        <v>17</v>
      </c>
      <c r="I7779" s="3">
        <v>50</v>
      </c>
      <c r="J7779" s="2">
        <v>350</v>
      </c>
      <c r="K7779" s="3">
        <f t="shared" si="121"/>
        <v>17500</v>
      </c>
      <c r="L7779" s="3">
        <v>11375</v>
      </c>
    </row>
    <row r="7780" spans="1:12" x14ac:dyDescent="0.25">
      <c r="A7780" t="s">
        <v>26</v>
      </c>
      <c r="B7780">
        <v>1185732</v>
      </c>
      <c r="C7780" s="1">
        <v>44536</v>
      </c>
      <c r="D7780" t="s">
        <v>29</v>
      </c>
      <c r="E7780" t="s">
        <v>48</v>
      </c>
      <c r="F7780" t="s">
        <v>49</v>
      </c>
      <c r="G7780" t="s">
        <v>18</v>
      </c>
      <c r="H7780" t="s">
        <v>38</v>
      </c>
      <c r="I7780" s="3">
        <v>60</v>
      </c>
      <c r="J7780" s="2">
        <v>500</v>
      </c>
      <c r="K7780" s="3">
        <f t="shared" si="121"/>
        <v>30000</v>
      </c>
      <c r="L7780" s="3">
        <v>19500</v>
      </c>
    </row>
    <row r="7781" spans="1:12" x14ac:dyDescent="0.25">
      <c r="A7781" t="s">
        <v>26</v>
      </c>
      <c r="B7781">
        <v>1185732</v>
      </c>
      <c r="C7781" s="1">
        <v>44536</v>
      </c>
      <c r="D7781" t="s">
        <v>29</v>
      </c>
      <c r="E7781" t="s">
        <v>48</v>
      </c>
      <c r="F7781" t="s">
        <v>49</v>
      </c>
      <c r="G7781" t="s">
        <v>18</v>
      </c>
      <c r="H7781" t="s">
        <v>17</v>
      </c>
      <c r="I7781" s="3">
        <v>50</v>
      </c>
      <c r="J7781" s="2">
        <v>300</v>
      </c>
      <c r="K7781" s="3">
        <f t="shared" si="121"/>
        <v>15000</v>
      </c>
      <c r="L7781" s="3">
        <v>9750</v>
      </c>
    </row>
    <row r="7782" spans="1:12" x14ac:dyDescent="0.25">
      <c r="A7782" t="s">
        <v>19</v>
      </c>
      <c r="B7782">
        <v>1185732</v>
      </c>
      <c r="C7782" s="1">
        <v>44536</v>
      </c>
      <c r="D7782" t="s">
        <v>29</v>
      </c>
      <c r="E7782" t="s">
        <v>55</v>
      </c>
      <c r="F7782" t="s">
        <v>56</v>
      </c>
      <c r="G7782" t="s">
        <v>15</v>
      </c>
      <c r="H7782" t="s">
        <v>37</v>
      </c>
      <c r="I7782" s="3">
        <v>55.000000000000007</v>
      </c>
      <c r="J7782" s="2">
        <v>200</v>
      </c>
      <c r="K7782" s="3">
        <f t="shared" si="121"/>
        <v>11000.000000000002</v>
      </c>
      <c r="L7782" s="3">
        <v>6600.0000000000018</v>
      </c>
    </row>
    <row r="7783" spans="1:12" x14ac:dyDescent="0.25">
      <c r="A7783" t="s">
        <v>26</v>
      </c>
      <c r="B7783">
        <v>1185732</v>
      </c>
      <c r="C7783" s="1">
        <v>44536</v>
      </c>
      <c r="D7783" t="s">
        <v>29</v>
      </c>
      <c r="E7783" t="s">
        <v>91</v>
      </c>
      <c r="F7783" t="s">
        <v>92</v>
      </c>
      <c r="G7783" t="s">
        <v>18</v>
      </c>
      <c r="H7783" t="s">
        <v>35</v>
      </c>
      <c r="I7783" s="3">
        <v>50</v>
      </c>
      <c r="J7783" s="2">
        <v>325</v>
      </c>
      <c r="K7783" s="3">
        <f t="shared" si="121"/>
        <v>16250</v>
      </c>
      <c r="L7783" s="3">
        <v>9750</v>
      </c>
    </row>
    <row r="7784" spans="1:12" x14ac:dyDescent="0.25">
      <c r="A7784" t="s">
        <v>26</v>
      </c>
      <c r="B7784">
        <v>1185732</v>
      </c>
      <c r="C7784" s="1">
        <v>44536</v>
      </c>
      <c r="D7784" t="s">
        <v>29</v>
      </c>
      <c r="E7784" t="s">
        <v>91</v>
      </c>
      <c r="F7784" t="s">
        <v>92</v>
      </c>
      <c r="G7784" t="s">
        <v>18</v>
      </c>
      <c r="H7784" t="s">
        <v>37</v>
      </c>
      <c r="I7784" s="3">
        <v>50</v>
      </c>
      <c r="J7784" s="2">
        <v>275</v>
      </c>
      <c r="K7784" s="3">
        <f t="shared" si="121"/>
        <v>13750</v>
      </c>
      <c r="L7784" s="3">
        <v>8250</v>
      </c>
    </row>
    <row r="7785" spans="1:12" x14ac:dyDescent="0.25">
      <c r="A7785" t="s">
        <v>26</v>
      </c>
      <c r="B7785">
        <v>1185732</v>
      </c>
      <c r="C7785" s="1">
        <v>44536</v>
      </c>
      <c r="D7785" t="s">
        <v>29</v>
      </c>
      <c r="E7785" t="s">
        <v>48</v>
      </c>
      <c r="F7785" t="s">
        <v>49</v>
      </c>
      <c r="G7785" t="s">
        <v>18</v>
      </c>
      <c r="H7785" t="s">
        <v>35</v>
      </c>
      <c r="I7785" s="3">
        <v>50</v>
      </c>
      <c r="J7785" s="2">
        <v>275</v>
      </c>
      <c r="K7785" s="3">
        <f t="shared" si="121"/>
        <v>13750</v>
      </c>
      <c r="L7785" s="3">
        <v>8250</v>
      </c>
    </row>
    <row r="7786" spans="1:12" x14ac:dyDescent="0.25">
      <c r="A7786" t="s">
        <v>26</v>
      </c>
      <c r="B7786">
        <v>1185732</v>
      </c>
      <c r="C7786" s="1">
        <v>44536</v>
      </c>
      <c r="D7786" t="s">
        <v>29</v>
      </c>
      <c r="E7786" t="s">
        <v>48</v>
      </c>
      <c r="F7786" t="s">
        <v>49</v>
      </c>
      <c r="G7786" t="s">
        <v>18</v>
      </c>
      <c r="H7786" t="s">
        <v>37</v>
      </c>
      <c r="I7786" s="3">
        <v>50</v>
      </c>
      <c r="J7786" s="2">
        <v>225</v>
      </c>
      <c r="K7786" s="3">
        <f t="shared" si="121"/>
        <v>11250</v>
      </c>
      <c r="L7786" s="3">
        <v>6750</v>
      </c>
    </row>
    <row r="7787" spans="1:12" x14ac:dyDescent="0.25">
      <c r="A7787" t="s">
        <v>26</v>
      </c>
      <c r="B7787">
        <v>1185732</v>
      </c>
      <c r="C7787" s="1">
        <v>44536</v>
      </c>
      <c r="D7787" t="s">
        <v>29</v>
      </c>
      <c r="E7787" t="s">
        <v>48</v>
      </c>
      <c r="F7787" t="s">
        <v>49</v>
      </c>
      <c r="G7787" t="s">
        <v>18</v>
      </c>
      <c r="H7787" t="s">
        <v>16</v>
      </c>
      <c r="I7787" s="3">
        <v>64.999999999999986</v>
      </c>
      <c r="J7787" s="2">
        <v>325</v>
      </c>
      <c r="K7787" s="3">
        <f t="shared" si="121"/>
        <v>21124.999999999996</v>
      </c>
      <c r="L7787" s="3">
        <v>12674.999999999996</v>
      </c>
    </row>
    <row r="7788" spans="1:12" x14ac:dyDescent="0.25">
      <c r="A7788" t="s">
        <v>26</v>
      </c>
      <c r="B7788">
        <v>1185732</v>
      </c>
      <c r="C7788" s="1">
        <v>44536</v>
      </c>
      <c r="D7788" t="s">
        <v>29</v>
      </c>
      <c r="E7788" t="s">
        <v>91</v>
      </c>
      <c r="F7788" t="s">
        <v>92</v>
      </c>
      <c r="G7788" t="s">
        <v>18</v>
      </c>
      <c r="H7788" t="s">
        <v>16</v>
      </c>
      <c r="I7788" s="3">
        <v>64.999999999999986</v>
      </c>
      <c r="J7788" s="2">
        <v>375</v>
      </c>
      <c r="K7788" s="3">
        <f t="shared" si="121"/>
        <v>24374.999999999996</v>
      </c>
      <c r="L7788" s="3">
        <v>14624.999999999995</v>
      </c>
    </row>
    <row r="7789" spans="1:12" x14ac:dyDescent="0.25">
      <c r="A7789" t="s">
        <v>26</v>
      </c>
      <c r="B7789">
        <v>1185732</v>
      </c>
      <c r="C7789" s="1">
        <v>44536</v>
      </c>
      <c r="D7789" t="s">
        <v>29</v>
      </c>
      <c r="E7789" t="s">
        <v>48</v>
      </c>
      <c r="F7789" t="s">
        <v>49</v>
      </c>
      <c r="G7789" t="s">
        <v>15</v>
      </c>
      <c r="H7789" t="s">
        <v>22</v>
      </c>
      <c r="I7789" s="3">
        <v>41</v>
      </c>
      <c r="J7789" s="2">
        <v>74</v>
      </c>
      <c r="K7789" s="3">
        <f t="shared" si="121"/>
        <v>3034</v>
      </c>
      <c r="L7789" s="3">
        <v>1911.42</v>
      </c>
    </row>
    <row r="7790" spans="1:12" x14ac:dyDescent="0.25">
      <c r="A7790" t="s">
        <v>26</v>
      </c>
      <c r="B7790">
        <v>1185732</v>
      </c>
      <c r="C7790" s="1">
        <v>44536</v>
      </c>
      <c r="D7790" t="s">
        <v>29</v>
      </c>
      <c r="E7790" t="s">
        <v>48</v>
      </c>
      <c r="F7790" t="s">
        <v>49</v>
      </c>
      <c r="G7790" t="s">
        <v>15</v>
      </c>
      <c r="H7790" t="s">
        <v>17</v>
      </c>
      <c r="I7790" s="3">
        <v>37</v>
      </c>
      <c r="J7790" s="2">
        <v>102</v>
      </c>
      <c r="K7790" s="3">
        <f t="shared" si="121"/>
        <v>3774</v>
      </c>
      <c r="L7790" s="3">
        <v>2377.62</v>
      </c>
    </row>
    <row r="7791" spans="1:12" x14ac:dyDescent="0.25">
      <c r="A7791" t="s">
        <v>26</v>
      </c>
      <c r="B7791">
        <v>1185732</v>
      </c>
      <c r="C7791" s="1">
        <v>44536</v>
      </c>
      <c r="D7791" t="s">
        <v>29</v>
      </c>
      <c r="E7791" t="s">
        <v>48</v>
      </c>
      <c r="F7791" t="s">
        <v>49</v>
      </c>
      <c r="G7791" t="s">
        <v>15</v>
      </c>
      <c r="H7791" t="s">
        <v>38</v>
      </c>
      <c r="I7791" s="3">
        <v>48</v>
      </c>
      <c r="J7791" s="2">
        <v>160</v>
      </c>
      <c r="K7791" s="3">
        <f t="shared" si="121"/>
        <v>7680</v>
      </c>
      <c r="L7791" s="3">
        <v>4684.8</v>
      </c>
    </row>
    <row r="7792" spans="1:12" x14ac:dyDescent="0.25">
      <c r="A7792" t="s">
        <v>26</v>
      </c>
      <c r="B7792">
        <v>1185732</v>
      </c>
      <c r="C7792" s="1">
        <v>44536</v>
      </c>
      <c r="D7792" t="s">
        <v>29</v>
      </c>
      <c r="E7792" t="s">
        <v>48</v>
      </c>
      <c r="F7792" t="s">
        <v>49</v>
      </c>
      <c r="G7792" t="s">
        <v>41</v>
      </c>
      <c r="H7792" t="s">
        <v>22</v>
      </c>
      <c r="I7792" s="3">
        <v>56</v>
      </c>
      <c r="J7792" s="2">
        <v>68</v>
      </c>
      <c r="K7792" s="3">
        <f t="shared" si="121"/>
        <v>3808</v>
      </c>
      <c r="L7792" s="3">
        <v>2170.56</v>
      </c>
    </row>
    <row r="7793" spans="1:12" x14ac:dyDescent="0.25">
      <c r="A7793" t="s">
        <v>26</v>
      </c>
      <c r="B7793">
        <v>1185732</v>
      </c>
      <c r="C7793" s="1">
        <v>44536</v>
      </c>
      <c r="D7793" t="s">
        <v>29</v>
      </c>
      <c r="E7793" t="s">
        <v>48</v>
      </c>
      <c r="F7793" t="s">
        <v>49</v>
      </c>
      <c r="G7793" t="s">
        <v>15</v>
      </c>
      <c r="H7793" t="s">
        <v>37</v>
      </c>
      <c r="I7793" s="3">
        <v>34</v>
      </c>
      <c r="J7793" s="2">
        <v>77</v>
      </c>
      <c r="K7793" s="3">
        <f t="shared" si="121"/>
        <v>2618</v>
      </c>
      <c r="L7793" s="3">
        <v>1492.2599999999998</v>
      </c>
    </row>
    <row r="7794" spans="1:12" x14ac:dyDescent="0.25">
      <c r="A7794" t="s">
        <v>26</v>
      </c>
      <c r="B7794">
        <v>1185732</v>
      </c>
      <c r="C7794" s="1">
        <v>44536</v>
      </c>
      <c r="D7794" t="s">
        <v>29</v>
      </c>
      <c r="E7794" t="s">
        <v>48</v>
      </c>
      <c r="F7794" t="s">
        <v>49</v>
      </c>
      <c r="G7794" t="s">
        <v>15</v>
      </c>
      <c r="H7794" t="s">
        <v>16</v>
      </c>
      <c r="I7794" s="3">
        <v>51</v>
      </c>
      <c r="J7794" s="2">
        <v>111</v>
      </c>
      <c r="K7794" s="3">
        <f t="shared" si="121"/>
        <v>5661</v>
      </c>
      <c r="L7794" s="3">
        <v>3226.7699999999995</v>
      </c>
    </row>
    <row r="7795" spans="1:12" x14ac:dyDescent="0.25">
      <c r="A7795" t="s">
        <v>26</v>
      </c>
      <c r="B7795">
        <v>1185732</v>
      </c>
      <c r="C7795" s="1">
        <v>44536</v>
      </c>
      <c r="D7795" t="s">
        <v>29</v>
      </c>
      <c r="E7795" t="s">
        <v>91</v>
      </c>
      <c r="F7795" t="s">
        <v>92</v>
      </c>
      <c r="G7795" t="s">
        <v>41</v>
      </c>
      <c r="H7795" t="s">
        <v>22</v>
      </c>
      <c r="I7795" s="3">
        <v>55</v>
      </c>
      <c r="J7795" s="2">
        <v>83</v>
      </c>
      <c r="K7795" s="3">
        <f t="shared" si="121"/>
        <v>4565</v>
      </c>
      <c r="L7795" s="3">
        <v>2510.75</v>
      </c>
    </row>
    <row r="7796" spans="1:12" x14ac:dyDescent="0.25">
      <c r="A7796" t="s">
        <v>19</v>
      </c>
      <c r="B7796">
        <v>1185732</v>
      </c>
      <c r="C7796" s="1">
        <v>44536</v>
      </c>
      <c r="D7796" t="s">
        <v>29</v>
      </c>
      <c r="E7796" t="s">
        <v>55</v>
      </c>
      <c r="F7796" t="s">
        <v>56</v>
      </c>
      <c r="G7796" t="s">
        <v>15</v>
      </c>
      <c r="H7796" t="s">
        <v>37</v>
      </c>
      <c r="I7796" s="3">
        <v>43</v>
      </c>
      <c r="J7796" s="2">
        <v>62</v>
      </c>
      <c r="K7796" s="3">
        <f t="shared" si="121"/>
        <v>2666</v>
      </c>
      <c r="L7796" s="3">
        <v>1439.64</v>
      </c>
    </row>
    <row r="7797" spans="1:12" x14ac:dyDescent="0.25">
      <c r="A7797" t="s">
        <v>26</v>
      </c>
      <c r="B7797">
        <v>1185732</v>
      </c>
      <c r="C7797" s="1">
        <v>44536</v>
      </c>
      <c r="D7797" t="s">
        <v>29</v>
      </c>
      <c r="E7797" t="s">
        <v>48</v>
      </c>
      <c r="F7797" t="s">
        <v>49</v>
      </c>
      <c r="G7797" t="s">
        <v>15</v>
      </c>
      <c r="H7797" t="s">
        <v>35</v>
      </c>
      <c r="I7797" s="3">
        <v>40</v>
      </c>
      <c r="J7797" s="2">
        <v>88</v>
      </c>
      <c r="K7797" s="3">
        <f t="shared" si="121"/>
        <v>3520</v>
      </c>
      <c r="L7797" s="3">
        <v>1865.6</v>
      </c>
    </row>
    <row r="7798" spans="1:12" x14ac:dyDescent="0.25">
      <c r="A7798" t="s">
        <v>26</v>
      </c>
      <c r="B7798">
        <v>1185732</v>
      </c>
      <c r="C7798" s="1">
        <v>44536</v>
      </c>
      <c r="D7798" t="s">
        <v>29</v>
      </c>
      <c r="E7798" t="s">
        <v>91</v>
      </c>
      <c r="F7798" t="s">
        <v>92</v>
      </c>
      <c r="G7798" t="s">
        <v>41</v>
      </c>
      <c r="H7798" t="s">
        <v>17</v>
      </c>
      <c r="I7798" s="3">
        <v>49</v>
      </c>
      <c r="J7798" s="2">
        <v>105</v>
      </c>
      <c r="K7798" s="3">
        <f t="shared" si="121"/>
        <v>5145</v>
      </c>
      <c r="L7798" s="3">
        <v>2675.4</v>
      </c>
    </row>
    <row r="7799" spans="1:12" x14ac:dyDescent="0.25">
      <c r="A7799" t="s">
        <v>26</v>
      </c>
      <c r="B7799">
        <v>1185732</v>
      </c>
      <c r="C7799" s="1">
        <v>44536</v>
      </c>
      <c r="D7799" t="s">
        <v>29</v>
      </c>
      <c r="E7799" t="s">
        <v>48</v>
      </c>
      <c r="F7799" t="s">
        <v>49</v>
      </c>
      <c r="G7799" t="s">
        <v>41</v>
      </c>
      <c r="H7799" t="s">
        <v>17</v>
      </c>
      <c r="I7799" s="3">
        <v>45</v>
      </c>
      <c r="J7799" s="2">
        <v>78</v>
      </c>
      <c r="K7799" s="3">
        <f t="shared" si="121"/>
        <v>3510</v>
      </c>
      <c r="L7799" s="3">
        <v>1825.2</v>
      </c>
    </row>
    <row r="7800" spans="1:12" x14ac:dyDescent="0.25">
      <c r="A7800" t="s">
        <v>26</v>
      </c>
      <c r="B7800">
        <v>1185732</v>
      </c>
      <c r="C7800" s="1">
        <v>44536</v>
      </c>
      <c r="D7800" t="s">
        <v>29</v>
      </c>
      <c r="E7800" t="s">
        <v>91</v>
      </c>
      <c r="F7800" t="s">
        <v>92</v>
      </c>
      <c r="G7800" t="s">
        <v>41</v>
      </c>
      <c r="H7800" t="s">
        <v>38</v>
      </c>
      <c r="I7800" s="3">
        <v>55</v>
      </c>
      <c r="J7800" s="2">
        <v>149</v>
      </c>
      <c r="K7800" s="3">
        <f t="shared" si="121"/>
        <v>8195</v>
      </c>
      <c r="L7800" s="3">
        <v>4261.3999999999996</v>
      </c>
    </row>
    <row r="7801" spans="1:12" x14ac:dyDescent="0.25">
      <c r="A7801" t="s">
        <v>26</v>
      </c>
      <c r="B7801">
        <v>1185732</v>
      </c>
      <c r="C7801" s="1">
        <v>44536</v>
      </c>
      <c r="D7801" t="s">
        <v>29</v>
      </c>
      <c r="E7801" t="s">
        <v>91</v>
      </c>
      <c r="F7801" t="s">
        <v>92</v>
      </c>
      <c r="G7801" t="s">
        <v>41</v>
      </c>
      <c r="H7801" t="s">
        <v>35</v>
      </c>
      <c r="I7801" s="3">
        <v>49</v>
      </c>
      <c r="J7801" s="2">
        <v>91</v>
      </c>
      <c r="K7801" s="3">
        <f t="shared" si="121"/>
        <v>4459</v>
      </c>
      <c r="L7801" s="3">
        <v>2229.5</v>
      </c>
    </row>
    <row r="7802" spans="1:12" x14ac:dyDescent="0.25">
      <c r="A7802" t="s">
        <v>26</v>
      </c>
      <c r="B7802">
        <v>1185732</v>
      </c>
      <c r="C7802" s="1">
        <v>44536</v>
      </c>
      <c r="D7802" t="s">
        <v>29</v>
      </c>
      <c r="E7802" t="s">
        <v>48</v>
      </c>
      <c r="F7802" t="s">
        <v>49</v>
      </c>
      <c r="G7802" t="s">
        <v>41</v>
      </c>
      <c r="H7802" t="s">
        <v>38</v>
      </c>
      <c r="I7802" s="3">
        <v>54</v>
      </c>
      <c r="J7802" s="2">
        <v>135</v>
      </c>
      <c r="K7802" s="3">
        <f t="shared" si="121"/>
        <v>7290</v>
      </c>
      <c r="L7802" s="3">
        <v>3645</v>
      </c>
    </row>
    <row r="7803" spans="1:12" x14ac:dyDescent="0.25">
      <c r="A7803" t="s">
        <v>26</v>
      </c>
      <c r="B7803">
        <v>1185732</v>
      </c>
      <c r="C7803" s="1">
        <v>44536</v>
      </c>
      <c r="D7803" t="s">
        <v>29</v>
      </c>
      <c r="E7803" t="s">
        <v>48</v>
      </c>
      <c r="F7803" t="s">
        <v>49</v>
      </c>
      <c r="G7803" t="s">
        <v>41</v>
      </c>
      <c r="H7803" t="s">
        <v>37</v>
      </c>
      <c r="I7803" s="3">
        <v>48</v>
      </c>
      <c r="J7803" s="2">
        <v>65</v>
      </c>
      <c r="K7803" s="3">
        <f t="shared" si="121"/>
        <v>3120</v>
      </c>
      <c r="L7803" s="3">
        <v>1560</v>
      </c>
    </row>
    <row r="7804" spans="1:12" x14ac:dyDescent="0.25">
      <c r="A7804" t="s">
        <v>26</v>
      </c>
      <c r="B7804">
        <v>1185732</v>
      </c>
      <c r="C7804" s="1">
        <v>44536</v>
      </c>
      <c r="D7804" t="s">
        <v>29</v>
      </c>
      <c r="E7804" t="s">
        <v>91</v>
      </c>
      <c r="F7804" t="s">
        <v>92</v>
      </c>
      <c r="G7804" t="s">
        <v>41</v>
      </c>
      <c r="H7804" t="s">
        <v>37</v>
      </c>
      <c r="I7804" s="3">
        <v>47</v>
      </c>
      <c r="J7804" s="2">
        <v>83</v>
      </c>
      <c r="K7804" s="3">
        <f t="shared" si="121"/>
        <v>3901</v>
      </c>
      <c r="L7804" s="3">
        <v>1911.49</v>
      </c>
    </row>
    <row r="7805" spans="1:12" x14ac:dyDescent="0.25">
      <c r="A7805" t="s">
        <v>26</v>
      </c>
      <c r="B7805">
        <v>1185732</v>
      </c>
      <c r="C7805" s="1">
        <v>44536</v>
      </c>
      <c r="D7805" t="s">
        <v>29</v>
      </c>
      <c r="E7805" t="s">
        <v>48</v>
      </c>
      <c r="F7805" t="s">
        <v>49</v>
      </c>
      <c r="G7805" t="s">
        <v>41</v>
      </c>
      <c r="H7805" t="s">
        <v>35</v>
      </c>
      <c r="I7805" s="3">
        <v>47</v>
      </c>
      <c r="J7805" s="2">
        <v>74</v>
      </c>
      <c r="K7805" s="3">
        <f t="shared" si="121"/>
        <v>3478</v>
      </c>
      <c r="L7805" s="3">
        <v>1704.22</v>
      </c>
    </row>
    <row r="7806" spans="1:12" x14ac:dyDescent="0.25">
      <c r="A7806" t="s">
        <v>19</v>
      </c>
      <c r="B7806">
        <v>1185732</v>
      </c>
      <c r="C7806" s="1">
        <v>44536</v>
      </c>
      <c r="D7806" t="s">
        <v>29</v>
      </c>
      <c r="E7806" t="s">
        <v>55</v>
      </c>
      <c r="F7806" t="s">
        <v>56</v>
      </c>
      <c r="G7806" t="s">
        <v>41</v>
      </c>
      <c r="H7806" t="s">
        <v>37</v>
      </c>
      <c r="I7806" s="3">
        <v>53</v>
      </c>
      <c r="J7806" s="2">
        <v>58</v>
      </c>
      <c r="K7806" s="3">
        <f t="shared" si="121"/>
        <v>3074</v>
      </c>
      <c r="L7806" s="3">
        <v>1414.04</v>
      </c>
    </row>
    <row r="7807" spans="1:12" x14ac:dyDescent="0.25">
      <c r="A7807" t="s">
        <v>26</v>
      </c>
      <c r="B7807">
        <v>1185732</v>
      </c>
      <c r="C7807" s="1">
        <v>44536</v>
      </c>
      <c r="D7807" t="s">
        <v>29</v>
      </c>
      <c r="E7807" t="s">
        <v>91</v>
      </c>
      <c r="F7807" t="s">
        <v>92</v>
      </c>
      <c r="G7807" t="s">
        <v>41</v>
      </c>
      <c r="H7807" t="s">
        <v>16</v>
      </c>
      <c r="I7807" s="3">
        <v>59</v>
      </c>
      <c r="J7807" s="2">
        <v>101</v>
      </c>
      <c r="K7807" s="3">
        <f t="shared" si="121"/>
        <v>5959</v>
      </c>
      <c r="L7807" s="3">
        <v>2741.14</v>
      </c>
    </row>
    <row r="7808" spans="1:12" x14ac:dyDescent="0.25">
      <c r="A7808" t="s">
        <v>26</v>
      </c>
      <c r="B7808">
        <v>1185732</v>
      </c>
      <c r="C7808" s="1">
        <v>44536</v>
      </c>
      <c r="D7808" t="s">
        <v>29</v>
      </c>
      <c r="E7808" t="s">
        <v>48</v>
      </c>
      <c r="F7808" t="s">
        <v>49</v>
      </c>
      <c r="G7808" t="s">
        <v>41</v>
      </c>
      <c r="H7808" t="s">
        <v>16</v>
      </c>
      <c r="I7808" s="3">
        <v>60</v>
      </c>
      <c r="J7808" s="2">
        <v>85</v>
      </c>
      <c r="K7808" s="3">
        <f t="shared" si="121"/>
        <v>5100</v>
      </c>
      <c r="L7808" s="3">
        <v>2295</v>
      </c>
    </row>
    <row r="7809" spans="1:12" x14ac:dyDescent="0.25">
      <c r="A7809" t="s">
        <v>19</v>
      </c>
      <c r="B7809">
        <v>1185732</v>
      </c>
      <c r="C7809" s="1">
        <v>44537</v>
      </c>
      <c r="D7809" t="s">
        <v>29</v>
      </c>
      <c r="E7809" t="s">
        <v>55</v>
      </c>
      <c r="F7809" t="s">
        <v>56</v>
      </c>
      <c r="G7809" t="s">
        <v>15</v>
      </c>
      <c r="H7809" t="s">
        <v>22</v>
      </c>
      <c r="I7809" s="3">
        <v>65</v>
      </c>
      <c r="J7809" s="2">
        <v>175</v>
      </c>
      <c r="K7809" s="3">
        <f t="shared" si="121"/>
        <v>11375</v>
      </c>
      <c r="L7809" s="3">
        <v>7393.75</v>
      </c>
    </row>
    <row r="7810" spans="1:12" x14ac:dyDescent="0.25">
      <c r="A7810" t="s">
        <v>19</v>
      </c>
      <c r="B7810">
        <v>1185732</v>
      </c>
      <c r="C7810" s="1">
        <v>44537</v>
      </c>
      <c r="D7810" t="s">
        <v>29</v>
      </c>
      <c r="E7810" t="s">
        <v>55</v>
      </c>
      <c r="F7810" t="s">
        <v>56</v>
      </c>
      <c r="G7810" t="s">
        <v>15</v>
      </c>
      <c r="H7810" t="s">
        <v>22</v>
      </c>
      <c r="I7810" s="3">
        <v>46</v>
      </c>
      <c r="J7810" s="2">
        <v>54</v>
      </c>
      <c r="K7810" s="3">
        <f t="shared" si="121"/>
        <v>2484</v>
      </c>
      <c r="L7810" s="3">
        <v>1515.2400000000002</v>
      </c>
    </row>
    <row r="7811" spans="1:12" x14ac:dyDescent="0.25">
      <c r="A7811" t="s">
        <v>19</v>
      </c>
      <c r="B7811">
        <v>1185732</v>
      </c>
      <c r="C7811" s="1">
        <v>44537</v>
      </c>
      <c r="D7811" t="s">
        <v>29</v>
      </c>
      <c r="E7811" t="s">
        <v>55</v>
      </c>
      <c r="F7811" t="s">
        <v>56</v>
      </c>
      <c r="G7811" t="s">
        <v>41</v>
      </c>
      <c r="H7811" t="s">
        <v>22</v>
      </c>
      <c r="I7811" s="3">
        <v>61</v>
      </c>
      <c r="J7811" s="2">
        <v>46</v>
      </c>
      <c r="K7811" s="3">
        <f t="shared" ref="K7811:K7874" si="122">I7811*J7811</f>
        <v>2806</v>
      </c>
      <c r="L7811" s="3">
        <v>1515.24</v>
      </c>
    </row>
    <row r="7812" spans="1:12" x14ac:dyDescent="0.25">
      <c r="A7812" t="s">
        <v>27</v>
      </c>
      <c r="B7812">
        <v>1185732</v>
      </c>
      <c r="C7812" s="1">
        <v>44538</v>
      </c>
      <c r="D7812" t="s">
        <v>29</v>
      </c>
      <c r="E7812" t="s">
        <v>60</v>
      </c>
      <c r="F7812" t="s">
        <v>61</v>
      </c>
      <c r="G7812" t="s">
        <v>18</v>
      </c>
      <c r="H7812" t="s">
        <v>35</v>
      </c>
      <c r="I7812" s="3">
        <v>55.000000000000007</v>
      </c>
      <c r="J7812" s="2">
        <v>625</v>
      </c>
      <c r="K7812" s="3">
        <f t="shared" si="122"/>
        <v>34375.000000000007</v>
      </c>
      <c r="L7812" s="3">
        <v>25781.250000000007</v>
      </c>
    </row>
    <row r="7813" spans="1:12" x14ac:dyDescent="0.25">
      <c r="A7813" t="s">
        <v>27</v>
      </c>
      <c r="B7813">
        <v>1185732</v>
      </c>
      <c r="C7813" s="1">
        <v>44538</v>
      </c>
      <c r="D7813" t="s">
        <v>29</v>
      </c>
      <c r="E7813" t="s">
        <v>60</v>
      </c>
      <c r="F7813" t="s">
        <v>61</v>
      </c>
      <c r="G7813" t="s">
        <v>18</v>
      </c>
      <c r="H7813" t="s">
        <v>37</v>
      </c>
      <c r="I7813" s="3">
        <v>55.000000000000007</v>
      </c>
      <c r="J7813" s="2">
        <v>575</v>
      </c>
      <c r="K7813" s="3">
        <f t="shared" si="122"/>
        <v>31625.000000000004</v>
      </c>
      <c r="L7813" s="3">
        <v>22137.500000000007</v>
      </c>
    </row>
    <row r="7814" spans="1:12" x14ac:dyDescent="0.25">
      <c r="A7814" t="s">
        <v>19</v>
      </c>
      <c r="B7814">
        <v>1185732</v>
      </c>
      <c r="C7814" s="1">
        <v>44538</v>
      </c>
      <c r="D7814" t="s">
        <v>29</v>
      </c>
      <c r="E7814" t="s">
        <v>55</v>
      </c>
      <c r="F7814" t="s">
        <v>56</v>
      </c>
      <c r="G7814" t="s">
        <v>15</v>
      </c>
      <c r="H7814" t="s">
        <v>16</v>
      </c>
      <c r="I7814" s="3">
        <v>70</v>
      </c>
      <c r="J7814" s="2">
        <v>350</v>
      </c>
      <c r="K7814" s="3">
        <f t="shared" si="122"/>
        <v>24500</v>
      </c>
      <c r="L7814" s="3">
        <v>17150</v>
      </c>
    </row>
    <row r="7815" spans="1:12" x14ac:dyDescent="0.25">
      <c r="A7815" t="s">
        <v>19</v>
      </c>
      <c r="B7815">
        <v>1185732</v>
      </c>
      <c r="C7815" s="1">
        <v>44538</v>
      </c>
      <c r="D7815" t="s">
        <v>57</v>
      </c>
      <c r="E7815" t="s">
        <v>76</v>
      </c>
      <c r="F7815" t="s">
        <v>77</v>
      </c>
      <c r="G7815" t="s">
        <v>18</v>
      </c>
      <c r="H7815" t="s">
        <v>17</v>
      </c>
      <c r="I7815" s="3">
        <v>50</v>
      </c>
      <c r="J7815" s="2">
        <v>300</v>
      </c>
      <c r="K7815" s="3">
        <f t="shared" si="122"/>
        <v>15000</v>
      </c>
      <c r="L7815" s="3">
        <v>10500</v>
      </c>
    </row>
    <row r="7816" spans="1:12" x14ac:dyDescent="0.25">
      <c r="A7816" t="s">
        <v>19</v>
      </c>
      <c r="B7816">
        <v>1185732</v>
      </c>
      <c r="C7816" s="1">
        <v>44538</v>
      </c>
      <c r="D7816" t="s">
        <v>57</v>
      </c>
      <c r="E7816" t="s">
        <v>76</v>
      </c>
      <c r="F7816" t="s">
        <v>77</v>
      </c>
      <c r="G7816" t="s">
        <v>18</v>
      </c>
      <c r="H7816" t="s">
        <v>35</v>
      </c>
      <c r="I7816" s="3">
        <v>50</v>
      </c>
      <c r="J7816" s="2">
        <v>250</v>
      </c>
      <c r="K7816" s="3">
        <f t="shared" si="122"/>
        <v>12500</v>
      </c>
      <c r="L7816" s="3">
        <v>8750</v>
      </c>
    </row>
    <row r="7817" spans="1:12" x14ac:dyDescent="0.25">
      <c r="A7817" t="s">
        <v>19</v>
      </c>
      <c r="B7817">
        <v>1185732</v>
      </c>
      <c r="C7817" s="1">
        <v>44538</v>
      </c>
      <c r="D7817" t="s">
        <v>57</v>
      </c>
      <c r="E7817" t="s">
        <v>76</v>
      </c>
      <c r="F7817" t="s">
        <v>77</v>
      </c>
      <c r="G7817" t="s">
        <v>18</v>
      </c>
      <c r="H7817" t="s">
        <v>37</v>
      </c>
      <c r="I7817" s="3">
        <v>50</v>
      </c>
      <c r="J7817" s="2">
        <v>200</v>
      </c>
      <c r="K7817" s="3">
        <f t="shared" si="122"/>
        <v>10000</v>
      </c>
      <c r="L7817" s="3">
        <v>7000</v>
      </c>
    </row>
    <row r="7818" spans="1:12" x14ac:dyDescent="0.25">
      <c r="A7818" t="s">
        <v>11</v>
      </c>
      <c r="B7818">
        <v>1185732</v>
      </c>
      <c r="C7818" s="1">
        <v>44538</v>
      </c>
      <c r="D7818" t="s">
        <v>29</v>
      </c>
      <c r="E7818" t="s">
        <v>60</v>
      </c>
      <c r="F7818" t="s">
        <v>61</v>
      </c>
      <c r="G7818" t="s">
        <v>18</v>
      </c>
      <c r="H7818" t="s">
        <v>17</v>
      </c>
      <c r="I7818" s="3">
        <v>55.000000000000007</v>
      </c>
      <c r="J7818" s="2">
        <v>675</v>
      </c>
      <c r="K7818" s="3">
        <f t="shared" si="122"/>
        <v>37125.000000000007</v>
      </c>
      <c r="L7818" s="3">
        <v>24131.250000000007</v>
      </c>
    </row>
    <row r="7819" spans="1:12" x14ac:dyDescent="0.25">
      <c r="A7819" t="s">
        <v>27</v>
      </c>
      <c r="B7819">
        <v>1185732</v>
      </c>
      <c r="C7819" s="1">
        <v>44538</v>
      </c>
      <c r="D7819" t="s">
        <v>29</v>
      </c>
      <c r="E7819" t="s">
        <v>60</v>
      </c>
      <c r="F7819" t="s">
        <v>61</v>
      </c>
      <c r="G7819" t="s">
        <v>18</v>
      </c>
      <c r="H7819" t="s">
        <v>22</v>
      </c>
      <c r="I7819" s="3">
        <v>65</v>
      </c>
      <c r="J7819" s="2">
        <v>575</v>
      </c>
      <c r="K7819" s="3">
        <f t="shared" si="122"/>
        <v>37375</v>
      </c>
      <c r="L7819" s="3">
        <v>24293.75</v>
      </c>
    </row>
    <row r="7820" spans="1:12" x14ac:dyDescent="0.25">
      <c r="A7820" t="s">
        <v>19</v>
      </c>
      <c r="B7820">
        <v>1185732</v>
      </c>
      <c r="C7820" s="1">
        <v>44538</v>
      </c>
      <c r="D7820" t="s">
        <v>57</v>
      </c>
      <c r="E7820" t="s">
        <v>76</v>
      </c>
      <c r="F7820" t="s">
        <v>77</v>
      </c>
      <c r="G7820" t="s">
        <v>18</v>
      </c>
      <c r="H7820" t="s">
        <v>38</v>
      </c>
      <c r="I7820" s="3">
        <v>60</v>
      </c>
      <c r="J7820" s="2">
        <v>500</v>
      </c>
      <c r="K7820" s="3">
        <f t="shared" si="122"/>
        <v>30000</v>
      </c>
      <c r="L7820" s="3">
        <v>19500</v>
      </c>
    </row>
    <row r="7821" spans="1:12" x14ac:dyDescent="0.25">
      <c r="A7821" t="s">
        <v>19</v>
      </c>
      <c r="B7821">
        <v>1185732</v>
      </c>
      <c r="C7821" s="1">
        <v>44538</v>
      </c>
      <c r="D7821" t="s">
        <v>57</v>
      </c>
      <c r="E7821" t="s">
        <v>76</v>
      </c>
      <c r="F7821" t="s">
        <v>77</v>
      </c>
      <c r="G7821" t="s">
        <v>18</v>
      </c>
      <c r="H7821" t="s">
        <v>22</v>
      </c>
      <c r="I7821" s="3">
        <v>60</v>
      </c>
      <c r="J7821" s="2">
        <v>200</v>
      </c>
      <c r="K7821" s="3">
        <f t="shared" si="122"/>
        <v>12000</v>
      </c>
      <c r="L7821" s="3">
        <v>7800</v>
      </c>
    </row>
    <row r="7822" spans="1:12" x14ac:dyDescent="0.25">
      <c r="A7822" t="s">
        <v>19</v>
      </c>
      <c r="B7822">
        <v>1185732</v>
      </c>
      <c r="C7822" s="1">
        <v>44538</v>
      </c>
      <c r="D7822" t="s">
        <v>57</v>
      </c>
      <c r="E7822" t="s">
        <v>76</v>
      </c>
      <c r="F7822" t="s">
        <v>77</v>
      </c>
      <c r="G7822" t="s">
        <v>18</v>
      </c>
      <c r="H7822" t="s">
        <v>16</v>
      </c>
      <c r="I7822" s="3">
        <v>64.999999999999986</v>
      </c>
      <c r="J7822" s="2">
        <v>300</v>
      </c>
      <c r="K7822" s="3">
        <f t="shared" si="122"/>
        <v>19499.999999999996</v>
      </c>
      <c r="L7822" s="3">
        <v>11699.999999999998</v>
      </c>
    </row>
    <row r="7823" spans="1:12" x14ac:dyDescent="0.25">
      <c r="A7823" t="s">
        <v>11</v>
      </c>
      <c r="B7823">
        <v>1185732</v>
      </c>
      <c r="C7823" s="1">
        <v>44538</v>
      </c>
      <c r="D7823" t="s">
        <v>29</v>
      </c>
      <c r="E7823" t="s">
        <v>60</v>
      </c>
      <c r="F7823" t="s">
        <v>61</v>
      </c>
      <c r="G7823" t="s">
        <v>18</v>
      </c>
      <c r="H7823" t="s">
        <v>38</v>
      </c>
      <c r="I7823" s="3">
        <v>65</v>
      </c>
      <c r="J7823" s="2">
        <v>875</v>
      </c>
      <c r="K7823" s="3">
        <f t="shared" si="122"/>
        <v>56875</v>
      </c>
      <c r="L7823" s="3">
        <v>31281.25</v>
      </c>
    </row>
    <row r="7824" spans="1:12" x14ac:dyDescent="0.25">
      <c r="A7824" t="s">
        <v>27</v>
      </c>
      <c r="B7824">
        <v>1185732</v>
      </c>
      <c r="C7824" s="1">
        <v>44538</v>
      </c>
      <c r="D7824" t="s">
        <v>29</v>
      </c>
      <c r="E7824" t="s">
        <v>60</v>
      </c>
      <c r="F7824" t="s">
        <v>61</v>
      </c>
      <c r="G7824" t="s">
        <v>18</v>
      </c>
      <c r="H7824" t="s">
        <v>16</v>
      </c>
      <c r="I7824" s="3">
        <v>70</v>
      </c>
      <c r="J7824" s="2">
        <v>675</v>
      </c>
      <c r="K7824" s="3">
        <f t="shared" si="122"/>
        <v>47250</v>
      </c>
      <c r="L7824" s="3">
        <v>23625</v>
      </c>
    </row>
    <row r="7825" spans="1:12" x14ac:dyDescent="0.25">
      <c r="A7825" t="s">
        <v>19</v>
      </c>
      <c r="B7825">
        <v>1185732</v>
      </c>
      <c r="C7825" s="1">
        <v>44538</v>
      </c>
      <c r="D7825" t="s">
        <v>29</v>
      </c>
      <c r="E7825" t="s">
        <v>55</v>
      </c>
      <c r="F7825" t="s">
        <v>56</v>
      </c>
      <c r="G7825" t="s">
        <v>15</v>
      </c>
      <c r="H7825" t="s">
        <v>16</v>
      </c>
      <c r="I7825" s="3">
        <v>49</v>
      </c>
      <c r="J7825" s="2">
        <v>123</v>
      </c>
      <c r="K7825" s="3">
        <f t="shared" si="122"/>
        <v>6027</v>
      </c>
      <c r="L7825" s="3">
        <v>3857.28</v>
      </c>
    </row>
    <row r="7826" spans="1:12" x14ac:dyDescent="0.25">
      <c r="A7826" t="s">
        <v>27</v>
      </c>
      <c r="B7826">
        <v>1185732</v>
      </c>
      <c r="C7826" s="1">
        <v>44538</v>
      </c>
      <c r="D7826" t="s">
        <v>29</v>
      </c>
      <c r="E7826" t="s">
        <v>60</v>
      </c>
      <c r="F7826" t="s">
        <v>61</v>
      </c>
      <c r="G7826" t="s">
        <v>41</v>
      </c>
      <c r="H7826" t="s">
        <v>35</v>
      </c>
      <c r="I7826" s="3">
        <v>52</v>
      </c>
      <c r="J7826" s="2">
        <v>163</v>
      </c>
      <c r="K7826" s="3">
        <f t="shared" si="122"/>
        <v>8476</v>
      </c>
      <c r="L7826" s="3">
        <v>5170.3599999999997</v>
      </c>
    </row>
    <row r="7827" spans="1:12" x14ac:dyDescent="0.25">
      <c r="A7827" t="s">
        <v>27</v>
      </c>
      <c r="B7827">
        <v>1185732</v>
      </c>
      <c r="C7827" s="1">
        <v>44538</v>
      </c>
      <c r="D7827" t="s">
        <v>29</v>
      </c>
      <c r="E7827" t="s">
        <v>60</v>
      </c>
      <c r="F7827" t="s">
        <v>61</v>
      </c>
      <c r="G7827" t="s">
        <v>41</v>
      </c>
      <c r="H7827" t="s">
        <v>37</v>
      </c>
      <c r="I7827" s="3">
        <v>54</v>
      </c>
      <c r="J7827" s="2">
        <v>155</v>
      </c>
      <c r="K7827" s="3">
        <f t="shared" si="122"/>
        <v>8370</v>
      </c>
      <c r="L7827" s="3">
        <v>4938.3</v>
      </c>
    </row>
    <row r="7828" spans="1:12" x14ac:dyDescent="0.25">
      <c r="A7828" t="s">
        <v>19</v>
      </c>
      <c r="B7828">
        <v>1185732</v>
      </c>
      <c r="C7828" s="1">
        <v>44538</v>
      </c>
      <c r="D7828" t="s">
        <v>57</v>
      </c>
      <c r="E7828" t="s">
        <v>76</v>
      </c>
      <c r="F7828" t="s">
        <v>77</v>
      </c>
      <c r="G7828" t="s">
        <v>41</v>
      </c>
      <c r="H7828" t="s">
        <v>37</v>
      </c>
      <c r="I7828" s="3">
        <v>47</v>
      </c>
      <c r="J7828" s="2">
        <v>54</v>
      </c>
      <c r="K7828" s="3">
        <f t="shared" si="122"/>
        <v>2538</v>
      </c>
      <c r="L7828" s="3">
        <v>1497.42</v>
      </c>
    </row>
    <row r="7829" spans="1:12" x14ac:dyDescent="0.25">
      <c r="A7829" t="s">
        <v>19</v>
      </c>
      <c r="B7829">
        <v>1185732</v>
      </c>
      <c r="C7829" s="1">
        <v>44538</v>
      </c>
      <c r="D7829" t="s">
        <v>29</v>
      </c>
      <c r="E7829" t="s">
        <v>55</v>
      </c>
      <c r="F7829" t="s">
        <v>56</v>
      </c>
      <c r="G7829" t="s">
        <v>41</v>
      </c>
      <c r="H7829" t="s">
        <v>16</v>
      </c>
      <c r="I7829" s="3">
        <v>64</v>
      </c>
      <c r="J7829" s="2">
        <v>95</v>
      </c>
      <c r="K7829" s="3">
        <f t="shared" si="122"/>
        <v>6080</v>
      </c>
      <c r="L7829" s="3">
        <v>3465.6</v>
      </c>
    </row>
    <row r="7830" spans="1:12" x14ac:dyDescent="0.25">
      <c r="A7830" t="s">
        <v>19</v>
      </c>
      <c r="B7830">
        <v>1185732</v>
      </c>
      <c r="C7830" s="1">
        <v>44538</v>
      </c>
      <c r="D7830" t="s">
        <v>57</v>
      </c>
      <c r="E7830" t="s">
        <v>76</v>
      </c>
      <c r="F7830" t="s">
        <v>77</v>
      </c>
      <c r="G7830" t="s">
        <v>41</v>
      </c>
      <c r="H7830" t="s">
        <v>17</v>
      </c>
      <c r="I7830" s="3">
        <v>46</v>
      </c>
      <c r="J7830" s="2">
        <v>75</v>
      </c>
      <c r="K7830" s="3">
        <f t="shared" si="122"/>
        <v>3450</v>
      </c>
      <c r="L7830" s="3">
        <v>1897.5000000000002</v>
      </c>
    </row>
    <row r="7831" spans="1:12" x14ac:dyDescent="0.25">
      <c r="A7831" t="s">
        <v>19</v>
      </c>
      <c r="B7831">
        <v>1185732</v>
      </c>
      <c r="C7831" s="1">
        <v>44538</v>
      </c>
      <c r="D7831" t="s">
        <v>57</v>
      </c>
      <c r="E7831" t="s">
        <v>76</v>
      </c>
      <c r="F7831" t="s">
        <v>77</v>
      </c>
      <c r="G7831" t="s">
        <v>41</v>
      </c>
      <c r="H7831" t="s">
        <v>22</v>
      </c>
      <c r="I7831" s="3">
        <v>58</v>
      </c>
      <c r="J7831" s="2">
        <v>54</v>
      </c>
      <c r="K7831" s="3">
        <f t="shared" si="122"/>
        <v>3132</v>
      </c>
      <c r="L7831" s="3">
        <v>1722.6000000000001</v>
      </c>
    </row>
    <row r="7832" spans="1:12" x14ac:dyDescent="0.25">
      <c r="A7832" t="s">
        <v>19</v>
      </c>
      <c r="B7832">
        <v>1185732</v>
      </c>
      <c r="C7832" s="1">
        <v>44538</v>
      </c>
      <c r="D7832" t="s">
        <v>57</v>
      </c>
      <c r="E7832" t="s">
        <v>76</v>
      </c>
      <c r="F7832" t="s">
        <v>77</v>
      </c>
      <c r="G7832" t="s">
        <v>41</v>
      </c>
      <c r="H7832" t="s">
        <v>35</v>
      </c>
      <c r="I7832" s="3">
        <v>48</v>
      </c>
      <c r="J7832" s="2">
        <v>73</v>
      </c>
      <c r="K7832" s="3">
        <f t="shared" si="122"/>
        <v>3504</v>
      </c>
      <c r="L7832" s="3">
        <v>1927.2</v>
      </c>
    </row>
    <row r="7833" spans="1:12" x14ac:dyDescent="0.25">
      <c r="A7833" t="s">
        <v>27</v>
      </c>
      <c r="B7833">
        <v>1185732</v>
      </c>
      <c r="C7833" s="1">
        <v>44538</v>
      </c>
      <c r="D7833" t="s">
        <v>29</v>
      </c>
      <c r="E7833" t="s">
        <v>60</v>
      </c>
      <c r="F7833" t="s">
        <v>61</v>
      </c>
      <c r="G7833" t="s">
        <v>41</v>
      </c>
      <c r="H7833" t="s">
        <v>22</v>
      </c>
      <c r="I7833" s="3">
        <v>60</v>
      </c>
      <c r="J7833" s="2">
        <v>155</v>
      </c>
      <c r="K7833" s="3">
        <f t="shared" si="122"/>
        <v>9300</v>
      </c>
      <c r="L7833" s="3">
        <v>5022</v>
      </c>
    </row>
    <row r="7834" spans="1:12" x14ac:dyDescent="0.25">
      <c r="A7834" t="s">
        <v>19</v>
      </c>
      <c r="B7834">
        <v>1185732</v>
      </c>
      <c r="C7834" s="1">
        <v>44538</v>
      </c>
      <c r="D7834" t="s">
        <v>57</v>
      </c>
      <c r="E7834" t="s">
        <v>76</v>
      </c>
      <c r="F7834" t="s">
        <v>77</v>
      </c>
      <c r="G7834" t="s">
        <v>41</v>
      </c>
      <c r="H7834" t="s">
        <v>38</v>
      </c>
      <c r="I7834" s="3">
        <v>55</v>
      </c>
      <c r="J7834" s="2">
        <v>150</v>
      </c>
      <c r="K7834" s="3">
        <f t="shared" si="122"/>
        <v>8250</v>
      </c>
      <c r="L7834" s="3">
        <v>4455</v>
      </c>
    </row>
    <row r="7835" spans="1:12" x14ac:dyDescent="0.25">
      <c r="A7835" t="s">
        <v>11</v>
      </c>
      <c r="B7835">
        <v>1185732</v>
      </c>
      <c r="C7835" s="1">
        <v>44538</v>
      </c>
      <c r="D7835" t="s">
        <v>29</v>
      </c>
      <c r="E7835" t="s">
        <v>60</v>
      </c>
      <c r="F7835" t="s">
        <v>61</v>
      </c>
      <c r="G7835" t="s">
        <v>41</v>
      </c>
      <c r="H7835" t="s">
        <v>17</v>
      </c>
      <c r="I7835" s="3">
        <v>51</v>
      </c>
      <c r="J7835" s="2">
        <v>169</v>
      </c>
      <c r="K7835" s="3">
        <f t="shared" si="122"/>
        <v>8619</v>
      </c>
      <c r="L7835" s="3">
        <v>4309.5</v>
      </c>
    </row>
    <row r="7836" spans="1:12" x14ac:dyDescent="0.25">
      <c r="A7836" t="s">
        <v>19</v>
      </c>
      <c r="B7836">
        <v>1185732</v>
      </c>
      <c r="C7836" s="1">
        <v>44538</v>
      </c>
      <c r="D7836" t="s">
        <v>57</v>
      </c>
      <c r="E7836" t="s">
        <v>76</v>
      </c>
      <c r="F7836" t="s">
        <v>77</v>
      </c>
      <c r="G7836" t="s">
        <v>41</v>
      </c>
      <c r="H7836" t="s">
        <v>16</v>
      </c>
      <c r="I7836" s="3">
        <v>63</v>
      </c>
      <c r="J7836" s="2">
        <v>78</v>
      </c>
      <c r="K7836" s="3">
        <f t="shared" si="122"/>
        <v>4914</v>
      </c>
      <c r="L7836" s="3">
        <v>2309.58</v>
      </c>
    </row>
    <row r="7837" spans="1:12" x14ac:dyDescent="0.25">
      <c r="A7837" t="s">
        <v>11</v>
      </c>
      <c r="B7837">
        <v>1185732</v>
      </c>
      <c r="C7837" s="1">
        <v>44538</v>
      </c>
      <c r="D7837" t="s">
        <v>29</v>
      </c>
      <c r="E7837" t="s">
        <v>60</v>
      </c>
      <c r="F7837" t="s">
        <v>61</v>
      </c>
      <c r="G7837" t="s">
        <v>41</v>
      </c>
      <c r="H7837" t="s">
        <v>38</v>
      </c>
      <c r="I7837" s="3">
        <v>59</v>
      </c>
      <c r="J7837" s="2">
        <v>245</v>
      </c>
      <c r="K7837" s="3">
        <f t="shared" si="122"/>
        <v>14455</v>
      </c>
      <c r="L7837" s="3">
        <v>6071.0999999999985</v>
      </c>
    </row>
    <row r="7838" spans="1:12" x14ac:dyDescent="0.25">
      <c r="A7838" t="s">
        <v>27</v>
      </c>
      <c r="B7838">
        <v>1185732</v>
      </c>
      <c r="C7838" s="1">
        <v>44538</v>
      </c>
      <c r="D7838" t="s">
        <v>29</v>
      </c>
      <c r="E7838" t="s">
        <v>60</v>
      </c>
      <c r="F7838" t="s">
        <v>61</v>
      </c>
      <c r="G7838" t="s">
        <v>41</v>
      </c>
      <c r="H7838" t="s">
        <v>16</v>
      </c>
      <c r="I7838" s="3">
        <v>69</v>
      </c>
      <c r="J7838" s="2">
        <v>182</v>
      </c>
      <c r="K7838" s="3">
        <f t="shared" si="122"/>
        <v>12558</v>
      </c>
      <c r="L7838" s="3">
        <v>4520.88</v>
      </c>
    </row>
    <row r="7839" spans="1:12" x14ac:dyDescent="0.25">
      <c r="A7839" t="s">
        <v>26</v>
      </c>
      <c r="B7839">
        <v>1128299</v>
      </c>
      <c r="C7839" s="1">
        <v>44539</v>
      </c>
      <c r="D7839" t="s">
        <v>12</v>
      </c>
      <c r="E7839" t="s">
        <v>20</v>
      </c>
      <c r="F7839" t="s">
        <v>21</v>
      </c>
      <c r="G7839" t="s">
        <v>15</v>
      </c>
      <c r="H7839" t="s">
        <v>22</v>
      </c>
      <c r="I7839" s="3">
        <v>90.000000000000014</v>
      </c>
      <c r="J7839" s="2">
        <v>425</v>
      </c>
      <c r="K7839" s="3">
        <f t="shared" si="122"/>
        <v>38250.000000000007</v>
      </c>
      <c r="L7839" s="3">
        <v>32512.500000000007</v>
      </c>
    </row>
    <row r="7840" spans="1:12" x14ac:dyDescent="0.25">
      <c r="A7840" t="s">
        <v>23</v>
      </c>
      <c r="B7840">
        <v>1128299</v>
      </c>
      <c r="C7840" s="1">
        <v>44539</v>
      </c>
      <c r="D7840" t="s">
        <v>12</v>
      </c>
      <c r="E7840" t="s">
        <v>20</v>
      </c>
      <c r="F7840" t="s">
        <v>21</v>
      </c>
      <c r="G7840" t="s">
        <v>15</v>
      </c>
      <c r="H7840" t="s">
        <v>17</v>
      </c>
      <c r="I7840" s="3">
        <v>85.000000000000014</v>
      </c>
      <c r="J7840" s="2">
        <v>700</v>
      </c>
      <c r="K7840" s="3">
        <f t="shared" si="122"/>
        <v>59500.000000000007</v>
      </c>
      <c r="L7840" s="3">
        <v>47600.000000000015</v>
      </c>
    </row>
    <row r="7841" spans="1:12" x14ac:dyDescent="0.25">
      <c r="A7841" t="s">
        <v>23</v>
      </c>
      <c r="B7841">
        <v>1128299</v>
      </c>
      <c r="C7841" s="1">
        <v>44539</v>
      </c>
      <c r="D7841" t="s">
        <v>12</v>
      </c>
      <c r="E7841" t="s">
        <v>20</v>
      </c>
      <c r="F7841" t="s">
        <v>21</v>
      </c>
      <c r="G7841" t="s">
        <v>15</v>
      </c>
      <c r="H7841" t="s">
        <v>38</v>
      </c>
      <c r="I7841" s="3">
        <v>75.000000000000014</v>
      </c>
      <c r="J7841" s="2">
        <v>700</v>
      </c>
      <c r="K7841" s="3">
        <f t="shared" si="122"/>
        <v>52500.000000000007</v>
      </c>
      <c r="L7841" s="3">
        <v>39375.000000000015</v>
      </c>
    </row>
    <row r="7842" spans="1:12" x14ac:dyDescent="0.25">
      <c r="A7842" t="s">
        <v>26</v>
      </c>
      <c r="B7842">
        <v>1128299</v>
      </c>
      <c r="C7842" s="1">
        <v>44539</v>
      </c>
      <c r="D7842" t="s">
        <v>12</v>
      </c>
      <c r="E7842" t="s">
        <v>20</v>
      </c>
      <c r="F7842" t="s">
        <v>21</v>
      </c>
      <c r="G7842" t="s">
        <v>15</v>
      </c>
      <c r="H7842" t="s">
        <v>35</v>
      </c>
      <c r="I7842" s="3">
        <v>80.000000000000014</v>
      </c>
      <c r="J7842" s="2">
        <v>500</v>
      </c>
      <c r="K7842" s="3">
        <f t="shared" si="122"/>
        <v>40000.000000000007</v>
      </c>
      <c r="L7842" s="3">
        <v>30000.000000000007</v>
      </c>
    </row>
    <row r="7843" spans="1:12" x14ac:dyDescent="0.25">
      <c r="A7843" t="s">
        <v>26</v>
      </c>
      <c r="B7843">
        <v>1128299</v>
      </c>
      <c r="C7843" s="1">
        <v>44539</v>
      </c>
      <c r="D7843" t="s">
        <v>12</v>
      </c>
      <c r="E7843" t="s">
        <v>20</v>
      </c>
      <c r="F7843" t="s">
        <v>21</v>
      </c>
      <c r="G7843" t="s">
        <v>15</v>
      </c>
      <c r="H7843" t="s">
        <v>37</v>
      </c>
      <c r="I7843" s="3">
        <v>80.000000000000014</v>
      </c>
      <c r="J7843" s="2">
        <v>500</v>
      </c>
      <c r="K7843" s="3">
        <f t="shared" si="122"/>
        <v>40000.000000000007</v>
      </c>
      <c r="L7843" s="3">
        <v>30000.000000000007</v>
      </c>
    </row>
    <row r="7844" spans="1:12" x14ac:dyDescent="0.25">
      <c r="A7844" t="s">
        <v>11</v>
      </c>
      <c r="B7844">
        <v>1185732</v>
      </c>
      <c r="C7844" s="1">
        <v>44539</v>
      </c>
      <c r="D7844" t="s">
        <v>57</v>
      </c>
      <c r="E7844" t="s">
        <v>103</v>
      </c>
      <c r="F7844" t="s">
        <v>104</v>
      </c>
      <c r="G7844" t="s">
        <v>18</v>
      </c>
      <c r="H7844" t="s">
        <v>22</v>
      </c>
      <c r="I7844" s="3">
        <v>60</v>
      </c>
      <c r="J7844" s="2">
        <v>300</v>
      </c>
      <c r="K7844" s="3">
        <f t="shared" si="122"/>
        <v>18000</v>
      </c>
      <c r="L7844" s="3">
        <v>12600</v>
      </c>
    </row>
    <row r="7845" spans="1:12" x14ac:dyDescent="0.25">
      <c r="A7845" t="s">
        <v>36</v>
      </c>
      <c r="B7845">
        <v>1185732</v>
      </c>
      <c r="C7845" s="1">
        <v>44539</v>
      </c>
      <c r="D7845" t="s">
        <v>57</v>
      </c>
      <c r="E7845" t="s">
        <v>110</v>
      </c>
      <c r="F7845" t="s">
        <v>111</v>
      </c>
      <c r="G7845" t="s">
        <v>41</v>
      </c>
      <c r="H7845" t="s">
        <v>17</v>
      </c>
      <c r="I7845" s="3">
        <v>65.000000000000014</v>
      </c>
      <c r="J7845" s="2">
        <v>625</v>
      </c>
      <c r="K7845" s="3">
        <f t="shared" si="122"/>
        <v>40625.000000000007</v>
      </c>
      <c r="L7845" s="3">
        <v>26406.250000000011</v>
      </c>
    </row>
    <row r="7846" spans="1:12" x14ac:dyDescent="0.25">
      <c r="A7846" t="s">
        <v>11</v>
      </c>
      <c r="B7846">
        <v>1185732</v>
      </c>
      <c r="C7846" s="1">
        <v>44539</v>
      </c>
      <c r="D7846" t="s">
        <v>57</v>
      </c>
      <c r="E7846" t="s">
        <v>110</v>
      </c>
      <c r="F7846" t="s">
        <v>111</v>
      </c>
      <c r="G7846" t="s">
        <v>41</v>
      </c>
      <c r="H7846" t="s">
        <v>22</v>
      </c>
      <c r="I7846" s="3">
        <v>75.000000000000014</v>
      </c>
      <c r="J7846" s="2">
        <v>525</v>
      </c>
      <c r="K7846" s="3">
        <f t="shared" si="122"/>
        <v>39375.000000000007</v>
      </c>
      <c r="L7846" s="3">
        <v>25593.750000000007</v>
      </c>
    </row>
    <row r="7847" spans="1:12" x14ac:dyDescent="0.25">
      <c r="A7847" t="s">
        <v>11</v>
      </c>
      <c r="B7847">
        <v>1185732</v>
      </c>
      <c r="C7847" s="1">
        <v>44539</v>
      </c>
      <c r="D7847" t="s">
        <v>57</v>
      </c>
      <c r="E7847" t="s">
        <v>103</v>
      </c>
      <c r="F7847" t="s">
        <v>104</v>
      </c>
      <c r="G7847" t="s">
        <v>18</v>
      </c>
      <c r="H7847" t="s">
        <v>35</v>
      </c>
      <c r="I7847" s="3">
        <v>50</v>
      </c>
      <c r="J7847" s="2">
        <v>350</v>
      </c>
      <c r="K7847" s="3">
        <f t="shared" si="122"/>
        <v>17500</v>
      </c>
      <c r="L7847" s="3">
        <v>11375</v>
      </c>
    </row>
    <row r="7848" spans="1:12" x14ac:dyDescent="0.25">
      <c r="A7848" t="s">
        <v>11</v>
      </c>
      <c r="B7848">
        <v>1185732</v>
      </c>
      <c r="C7848" s="1">
        <v>44539</v>
      </c>
      <c r="D7848" t="s">
        <v>57</v>
      </c>
      <c r="E7848" t="s">
        <v>103</v>
      </c>
      <c r="F7848" t="s">
        <v>104</v>
      </c>
      <c r="G7848" t="s">
        <v>18</v>
      </c>
      <c r="H7848" t="s">
        <v>37</v>
      </c>
      <c r="I7848" s="3">
        <v>50</v>
      </c>
      <c r="J7848" s="2">
        <v>300</v>
      </c>
      <c r="K7848" s="3">
        <f t="shared" si="122"/>
        <v>15000</v>
      </c>
      <c r="L7848" s="3">
        <v>9750</v>
      </c>
    </row>
    <row r="7849" spans="1:12" x14ac:dyDescent="0.25">
      <c r="A7849" t="s">
        <v>36</v>
      </c>
      <c r="B7849">
        <v>1185732</v>
      </c>
      <c r="C7849" s="1">
        <v>44539</v>
      </c>
      <c r="D7849" t="s">
        <v>57</v>
      </c>
      <c r="E7849" t="s">
        <v>110</v>
      </c>
      <c r="F7849" t="s">
        <v>111</v>
      </c>
      <c r="G7849" t="s">
        <v>41</v>
      </c>
      <c r="H7849" t="s">
        <v>38</v>
      </c>
      <c r="I7849" s="3">
        <v>75.000000000000014</v>
      </c>
      <c r="J7849" s="2">
        <v>825</v>
      </c>
      <c r="K7849" s="3">
        <f t="shared" si="122"/>
        <v>61875.000000000015</v>
      </c>
      <c r="L7849" s="3">
        <v>37125.000000000007</v>
      </c>
    </row>
    <row r="7850" spans="1:12" x14ac:dyDescent="0.25">
      <c r="A7850" t="s">
        <v>11</v>
      </c>
      <c r="B7850">
        <v>1185732</v>
      </c>
      <c r="C7850" s="1">
        <v>44539</v>
      </c>
      <c r="D7850" t="s">
        <v>57</v>
      </c>
      <c r="E7850" t="s">
        <v>110</v>
      </c>
      <c r="F7850" t="s">
        <v>111</v>
      </c>
      <c r="G7850" t="s">
        <v>41</v>
      </c>
      <c r="H7850" t="s">
        <v>35</v>
      </c>
      <c r="I7850" s="3">
        <v>65.000000000000014</v>
      </c>
      <c r="J7850" s="2">
        <v>575</v>
      </c>
      <c r="K7850" s="3">
        <f t="shared" si="122"/>
        <v>37375.000000000007</v>
      </c>
      <c r="L7850" s="3">
        <v>22425.000000000004</v>
      </c>
    </row>
    <row r="7851" spans="1:12" x14ac:dyDescent="0.25">
      <c r="A7851" t="s">
        <v>11</v>
      </c>
      <c r="B7851">
        <v>1185732</v>
      </c>
      <c r="C7851" s="1">
        <v>44539</v>
      </c>
      <c r="D7851" t="s">
        <v>57</v>
      </c>
      <c r="E7851" t="s">
        <v>110</v>
      </c>
      <c r="F7851" t="s">
        <v>111</v>
      </c>
      <c r="G7851" t="s">
        <v>41</v>
      </c>
      <c r="H7851" t="s">
        <v>37</v>
      </c>
      <c r="I7851" s="3">
        <v>65.000000000000014</v>
      </c>
      <c r="J7851" s="2">
        <v>525</v>
      </c>
      <c r="K7851" s="3">
        <f t="shared" si="122"/>
        <v>34125.000000000007</v>
      </c>
      <c r="L7851" s="3">
        <v>20475.000000000004</v>
      </c>
    </row>
    <row r="7852" spans="1:12" x14ac:dyDescent="0.25">
      <c r="A7852" t="s">
        <v>11</v>
      </c>
      <c r="B7852">
        <v>1185732</v>
      </c>
      <c r="C7852" s="1">
        <v>44539</v>
      </c>
      <c r="D7852" t="s">
        <v>57</v>
      </c>
      <c r="E7852" t="s">
        <v>103</v>
      </c>
      <c r="F7852" t="s">
        <v>104</v>
      </c>
      <c r="G7852" t="s">
        <v>18</v>
      </c>
      <c r="H7852" t="s">
        <v>38</v>
      </c>
      <c r="I7852" s="3">
        <v>60</v>
      </c>
      <c r="J7852" s="2">
        <v>600</v>
      </c>
      <c r="K7852" s="3">
        <f t="shared" si="122"/>
        <v>36000</v>
      </c>
      <c r="L7852" s="3">
        <v>21600</v>
      </c>
    </row>
    <row r="7853" spans="1:12" x14ac:dyDescent="0.25">
      <c r="A7853" t="s">
        <v>11</v>
      </c>
      <c r="B7853">
        <v>1185732</v>
      </c>
      <c r="C7853" s="1">
        <v>44539</v>
      </c>
      <c r="D7853" t="s">
        <v>57</v>
      </c>
      <c r="E7853" t="s">
        <v>103</v>
      </c>
      <c r="F7853" t="s">
        <v>104</v>
      </c>
      <c r="G7853" t="s">
        <v>18</v>
      </c>
      <c r="H7853" t="s">
        <v>17</v>
      </c>
      <c r="I7853" s="3">
        <v>50</v>
      </c>
      <c r="J7853" s="2">
        <v>400</v>
      </c>
      <c r="K7853" s="3">
        <f t="shared" si="122"/>
        <v>20000</v>
      </c>
      <c r="L7853" s="3">
        <v>12000</v>
      </c>
    </row>
    <row r="7854" spans="1:12" x14ac:dyDescent="0.25">
      <c r="A7854" t="s">
        <v>26</v>
      </c>
      <c r="B7854">
        <v>1128299</v>
      </c>
      <c r="C7854" s="1">
        <v>44539</v>
      </c>
      <c r="D7854" t="s">
        <v>12</v>
      </c>
      <c r="E7854" t="s">
        <v>20</v>
      </c>
      <c r="F7854" t="s">
        <v>21</v>
      </c>
      <c r="G7854" t="s">
        <v>15</v>
      </c>
      <c r="H7854" t="s">
        <v>16</v>
      </c>
      <c r="I7854" s="3">
        <v>95.000000000000014</v>
      </c>
      <c r="J7854" s="2">
        <v>525</v>
      </c>
      <c r="K7854" s="3">
        <f t="shared" si="122"/>
        <v>49875.000000000007</v>
      </c>
      <c r="L7854" s="3">
        <v>29925</v>
      </c>
    </row>
    <row r="7855" spans="1:12" x14ac:dyDescent="0.25">
      <c r="A7855" t="s">
        <v>11</v>
      </c>
      <c r="B7855">
        <v>1185732</v>
      </c>
      <c r="C7855" s="1">
        <v>44539</v>
      </c>
      <c r="D7855" t="s">
        <v>57</v>
      </c>
      <c r="E7855" t="s">
        <v>103</v>
      </c>
      <c r="F7855" t="s">
        <v>104</v>
      </c>
      <c r="G7855" t="s">
        <v>18</v>
      </c>
      <c r="H7855" t="s">
        <v>16</v>
      </c>
      <c r="I7855" s="3">
        <v>64.999999999999986</v>
      </c>
      <c r="J7855" s="2">
        <v>400</v>
      </c>
      <c r="K7855" s="3">
        <f t="shared" si="122"/>
        <v>25999.999999999993</v>
      </c>
      <c r="L7855" s="3">
        <v>15599.999999999995</v>
      </c>
    </row>
    <row r="7856" spans="1:12" x14ac:dyDescent="0.25">
      <c r="A7856" t="s">
        <v>19</v>
      </c>
      <c r="B7856">
        <v>1185732</v>
      </c>
      <c r="C7856" s="1">
        <v>44539</v>
      </c>
      <c r="D7856" t="s">
        <v>29</v>
      </c>
      <c r="E7856" t="s">
        <v>55</v>
      </c>
      <c r="F7856" t="s">
        <v>56</v>
      </c>
      <c r="G7856" t="s">
        <v>15</v>
      </c>
      <c r="H7856" t="s">
        <v>38</v>
      </c>
      <c r="I7856" s="3">
        <v>65</v>
      </c>
      <c r="J7856" s="2">
        <v>475</v>
      </c>
      <c r="K7856" s="3">
        <f t="shared" si="122"/>
        <v>30875</v>
      </c>
      <c r="L7856" s="3">
        <v>15437.5</v>
      </c>
    </row>
    <row r="7857" spans="1:12" x14ac:dyDescent="0.25">
      <c r="A7857" t="s">
        <v>11</v>
      </c>
      <c r="B7857">
        <v>1185732</v>
      </c>
      <c r="C7857" s="1">
        <v>44539</v>
      </c>
      <c r="D7857" t="s">
        <v>57</v>
      </c>
      <c r="E7857" t="s">
        <v>110</v>
      </c>
      <c r="F7857" t="s">
        <v>111</v>
      </c>
      <c r="G7857" t="s">
        <v>41</v>
      </c>
      <c r="H7857" t="s">
        <v>16</v>
      </c>
      <c r="I7857" s="3">
        <v>80</v>
      </c>
      <c r="J7857" s="2">
        <v>625</v>
      </c>
      <c r="K7857" s="3">
        <f t="shared" si="122"/>
        <v>50000</v>
      </c>
      <c r="L7857" s="3">
        <v>25000</v>
      </c>
    </row>
    <row r="7858" spans="1:12" x14ac:dyDescent="0.25">
      <c r="A7858" t="s">
        <v>26</v>
      </c>
      <c r="B7858">
        <v>1128299</v>
      </c>
      <c r="C7858" s="1">
        <v>44539</v>
      </c>
      <c r="D7858" t="s">
        <v>12</v>
      </c>
      <c r="E7858" t="s">
        <v>20</v>
      </c>
      <c r="F7858" t="s">
        <v>21</v>
      </c>
      <c r="G7858" t="s">
        <v>41</v>
      </c>
      <c r="H7858" t="s">
        <v>22</v>
      </c>
      <c r="I7858" s="3">
        <v>84</v>
      </c>
      <c r="J7858" s="2">
        <v>128</v>
      </c>
      <c r="K7858" s="3">
        <f t="shared" si="122"/>
        <v>10752</v>
      </c>
      <c r="L7858" s="3">
        <v>7956.48</v>
      </c>
    </row>
    <row r="7859" spans="1:12" x14ac:dyDescent="0.25">
      <c r="A7859" t="s">
        <v>23</v>
      </c>
      <c r="B7859">
        <v>1128299</v>
      </c>
      <c r="C7859" s="1">
        <v>44539</v>
      </c>
      <c r="D7859" t="s">
        <v>12</v>
      </c>
      <c r="E7859" t="s">
        <v>20</v>
      </c>
      <c r="F7859" t="s">
        <v>21</v>
      </c>
      <c r="G7859" t="s">
        <v>41</v>
      </c>
      <c r="H7859" t="s">
        <v>17</v>
      </c>
      <c r="I7859" s="3">
        <v>77</v>
      </c>
      <c r="J7859" s="2">
        <v>182</v>
      </c>
      <c r="K7859" s="3">
        <f t="shared" si="122"/>
        <v>14014</v>
      </c>
      <c r="L7859" s="3">
        <v>9809.7999999999993</v>
      </c>
    </row>
    <row r="7860" spans="1:12" x14ac:dyDescent="0.25">
      <c r="A7860" t="s">
        <v>26</v>
      </c>
      <c r="B7860">
        <v>1128299</v>
      </c>
      <c r="C7860" s="1">
        <v>44539</v>
      </c>
      <c r="D7860" t="s">
        <v>12</v>
      </c>
      <c r="E7860" t="s">
        <v>20</v>
      </c>
      <c r="F7860" t="s">
        <v>21</v>
      </c>
      <c r="G7860" t="s">
        <v>41</v>
      </c>
      <c r="H7860" t="s">
        <v>35</v>
      </c>
      <c r="I7860" s="3">
        <v>74</v>
      </c>
      <c r="J7860" s="2">
        <v>135</v>
      </c>
      <c r="K7860" s="3">
        <f t="shared" si="122"/>
        <v>9990</v>
      </c>
      <c r="L7860" s="3">
        <v>6493.5</v>
      </c>
    </row>
    <row r="7861" spans="1:12" x14ac:dyDescent="0.25">
      <c r="A7861" t="s">
        <v>26</v>
      </c>
      <c r="B7861">
        <v>1128299</v>
      </c>
      <c r="C7861" s="1">
        <v>44539</v>
      </c>
      <c r="D7861" t="s">
        <v>12</v>
      </c>
      <c r="E7861" t="s">
        <v>20</v>
      </c>
      <c r="F7861" t="s">
        <v>21</v>
      </c>
      <c r="G7861" t="s">
        <v>41</v>
      </c>
      <c r="H7861" t="s">
        <v>37</v>
      </c>
      <c r="I7861" s="3">
        <v>73</v>
      </c>
      <c r="J7861" s="2">
        <v>145</v>
      </c>
      <c r="K7861" s="3">
        <f t="shared" si="122"/>
        <v>10585</v>
      </c>
      <c r="L7861" s="3">
        <v>6880.25</v>
      </c>
    </row>
    <row r="7862" spans="1:12" x14ac:dyDescent="0.25">
      <c r="A7862" t="s">
        <v>23</v>
      </c>
      <c r="B7862">
        <v>1128299</v>
      </c>
      <c r="C7862" s="1">
        <v>44539</v>
      </c>
      <c r="D7862" t="s">
        <v>12</v>
      </c>
      <c r="E7862" t="s">
        <v>20</v>
      </c>
      <c r="F7862" t="s">
        <v>21</v>
      </c>
      <c r="G7862" t="s">
        <v>41</v>
      </c>
      <c r="H7862" t="s">
        <v>38</v>
      </c>
      <c r="I7862" s="3">
        <v>68</v>
      </c>
      <c r="J7862" s="2">
        <v>189</v>
      </c>
      <c r="K7862" s="3">
        <f t="shared" si="122"/>
        <v>12852</v>
      </c>
      <c r="L7862" s="3">
        <v>7711.2</v>
      </c>
    </row>
    <row r="7863" spans="1:12" x14ac:dyDescent="0.25">
      <c r="A7863" t="s">
        <v>11</v>
      </c>
      <c r="B7863">
        <v>1185732</v>
      </c>
      <c r="C7863" s="1">
        <v>44539</v>
      </c>
      <c r="D7863" t="s">
        <v>57</v>
      </c>
      <c r="E7863" t="s">
        <v>103</v>
      </c>
      <c r="F7863" t="s">
        <v>104</v>
      </c>
      <c r="G7863" t="s">
        <v>41</v>
      </c>
      <c r="H7863" t="s">
        <v>22</v>
      </c>
      <c r="I7863" s="3">
        <v>54</v>
      </c>
      <c r="J7863" s="2">
        <v>84</v>
      </c>
      <c r="K7863" s="3">
        <f t="shared" si="122"/>
        <v>4536</v>
      </c>
      <c r="L7863" s="3">
        <v>2585.52</v>
      </c>
    </row>
    <row r="7864" spans="1:12" x14ac:dyDescent="0.25">
      <c r="A7864" t="s">
        <v>11</v>
      </c>
      <c r="B7864">
        <v>1185732</v>
      </c>
      <c r="C7864" s="1">
        <v>44539</v>
      </c>
      <c r="D7864" t="s">
        <v>57</v>
      </c>
      <c r="E7864" t="s">
        <v>103</v>
      </c>
      <c r="F7864" t="s">
        <v>104</v>
      </c>
      <c r="G7864" t="s">
        <v>41</v>
      </c>
      <c r="H7864" t="s">
        <v>35</v>
      </c>
      <c r="I7864" s="3">
        <v>49</v>
      </c>
      <c r="J7864" s="2">
        <v>105</v>
      </c>
      <c r="K7864" s="3">
        <f t="shared" si="122"/>
        <v>5145</v>
      </c>
      <c r="L7864" s="3">
        <v>2778.3</v>
      </c>
    </row>
    <row r="7865" spans="1:12" x14ac:dyDescent="0.25">
      <c r="A7865" t="s">
        <v>36</v>
      </c>
      <c r="B7865">
        <v>1185732</v>
      </c>
      <c r="C7865" s="1">
        <v>44539</v>
      </c>
      <c r="D7865" t="s">
        <v>57</v>
      </c>
      <c r="E7865" t="s">
        <v>110</v>
      </c>
      <c r="F7865" t="s">
        <v>111</v>
      </c>
      <c r="G7865" t="s">
        <v>41</v>
      </c>
      <c r="H7865" t="s">
        <v>17</v>
      </c>
      <c r="I7865" s="3">
        <v>60</v>
      </c>
      <c r="J7865" s="2">
        <v>181</v>
      </c>
      <c r="K7865" s="3">
        <f t="shared" si="122"/>
        <v>10860</v>
      </c>
      <c r="L7865" s="3">
        <v>5755.8</v>
      </c>
    </row>
    <row r="7866" spans="1:12" x14ac:dyDescent="0.25">
      <c r="A7866" t="s">
        <v>11</v>
      </c>
      <c r="B7866">
        <v>1185732</v>
      </c>
      <c r="C7866" s="1">
        <v>44539</v>
      </c>
      <c r="D7866" t="s">
        <v>57</v>
      </c>
      <c r="E7866" t="s">
        <v>110</v>
      </c>
      <c r="F7866" t="s">
        <v>111</v>
      </c>
      <c r="G7866" t="s">
        <v>41</v>
      </c>
      <c r="H7866" t="s">
        <v>22</v>
      </c>
      <c r="I7866" s="3">
        <v>68</v>
      </c>
      <c r="J7866" s="2">
        <v>142</v>
      </c>
      <c r="K7866" s="3">
        <f t="shared" si="122"/>
        <v>9656</v>
      </c>
      <c r="L7866" s="3">
        <v>4924.5600000000004</v>
      </c>
    </row>
    <row r="7867" spans="1:12" x14ac:dyDescent="0.25">
      <c r="A7867" t="s">
        <v>26</v>
      </c>
      <c r="B7867">
        <v>1128299</v>
      </c>
      <c r="C7867" s="1">
        <v>44539</v>
      </c>
      <c r="D7867" t="s">
        <v>12</v>
      </c>
      <c r="E7867" t="s">
        <v>20</v>
      </c>
      <c r="F7867" t="s">
        <v>21</v>
      </c>
      <c r="G7867" t="s">
        <v>41</v>
      </c>
      <c r="H7867" t="s">
        <v>16</v>
      </c>
      <c r="I7867" s="3">
        <v>89</v>
      </c>
      <c r="J7867" s="2">
        <v>142</v>
      </c>
      <c r="K7867" s="3">
        <f t="shared" si="122"/>
        <v>12638</v>
      </c>
      <c r="L7867" s="3">
        <v>6319</v>
      </c>
    </row>
    <row r="7868" spans="1:12" x14ac:dyDescent="0.25">
      <c r="A7868" t="s">
        <v>36</v>
      </c>
      <c r="B7868">
        <v>1185732</v>
      </c>
      <c r="C7868" s="1">
        <v>44539</v>
      </c>
      <c r="D7868" t="s">
        <v>57</v>
      </c>
      <c r="E7868" t="s">
        <v>110</v>
      </c>
      <c r="F7868" t="s">
        <v>111</v>
      </c>
      <c r="G7868" t="s">
        <v>41</v>
      </c>
      <c r="H7868" t="s">
        <v>38</v>
      </c>
      <c r="I7868" s="3">
        <v>70</v>
      </c>
      <c r="J7868" s="2">
        <v>231</v>
      </c>
      <c r="K7868" s="3">
        <f t="shared" si="122"/>
        <v>16170</v>
      </c>
      <c r="L7868" s="3">
        <v>8085</v>
      </c>
    </row>
    <row r="7869" spans="1:12" x14ac:dyDescent="0.25">
      <c r="A7869" t="s">
        <v>11</v>
      </c>
      <c r="B7869">
        <v>1185732</v>
      </c>
      <c r="C7869" s="1">
        <v>44539</v>
      </c>
      <c r="D7869" t="s">
        <v>57</v>
      </c>
      <c r="E7869" t="s">
        <v>110</v>
      </c>
      <c r="F7869" t="s">
        <v>111</v>
      </c>
      <c r="G7869" t="s">
        <v>41</v>
      </c>
      <c r="H7869" t="s">
        <v>37</v>
      </c>
      <c r="I7869" s="3">
        <v>63</v>
      </c>
      <c r="J7869" s="2">
        <v>147</v>
      </c>
      <c r="K7869" s="3">
        <f t="shared" si="122"/>
        <v>9261</v>
      </c>
      <c r="L7869" s="3">
        <v>4630.5</v>
      </c>
    </row>
    <row r="7870" spans="1:12" x14ac:dyDescent="0.25">
      <c r="A7870" t="s">
        <v>11</v>
      </c>
      <c r="B7870">
        <v>1185732</v>
      </c>
      <c r="C7870" s="1">
        <v>44539</v>
      </c>
      <c r="D7870" t="s">
        <v>57</v>
      </c>
      <c r="E7870" t="s">
        <v>103</v>
      </c>
      <c r="F7870" t="s">
        <v>104</v>
      </c>
      <c r="G7870" t="s">
        <v>41</v>
      </c>
      <c r="H7870" t="s">
        <v>37</v>
      </c>
      <c r="I7870" s="3">
        <v>45</v>
      </c>
      <c r="J7870" s="2">
        <v>87</v>
      </c>
      <c r="K7870" s="3">
        <f t="shared" si="122"/>
        <v>3915</v>
      </c>
      <c r="L7870" s="3">
        <v>1957.5</v>
      </c>
    </row>
    <row r="7871" spans="1:12" x14ac:dyDescent="0.25">
      <c r="A7871" t="s">
        <v>11</v>
      </c>
      <c r="B7871">
        <v>1185732</v>
      </c>
      <c r="C7871" s="1">
        <v>44539</v>
      </c>
      <c r="D7871" t="s">
        <v>57</v>
      </c>
      <c r="E7871" t="s">
        <v>103</v>
      </c>
      <c r="F7871" t="s">
        <v>104</v>
      </c>
      <c r="G7871" t="s">
        <v>41</v>
      </c>
      <c r="H7871" t="s">
        <v>16</v>
      </c>
      <c r="I7871" s="3">
        <v>62</v>
      </c>
      <c r="J7871" s="2">
        <v>120</v>
      </c>
      <c r="K7871" s="3">
        <f t="shared" si="122"/>
        <v>7440</v>
      </c>
      <c r="L7871" s="3">
        <v>3720</v>
      </c>
    </row>
    <row r="7872" spans="1:12" x14ac:dyDescent="0.25">
      <c r="A7872" t="s">
        <v>11</v>
      </c>
      <c r="B7872">
        <v>1185732</v>
      </c>
      <c r="C7872" s="1">
        <v>44539</v>
      </c>
      <c r="D7872" t="s">
        <v>57</v>
      </c>
      <c r="E7872" t="s">
        <v>103</v>
      </c>
      <c r="F7872" t="s">
        <v>104</v>
      </c>
      <c r="G7872" t="s">
        <v>41</v>
      </c>
      <c r="H7872" t="s">
        <v>38</v>
      </c>
      <c r="I7872" s="3">
        <v>58</v>
      </c>
      <c r="J7872" s="2">
        <v>150</v>
      </c>
      <c r="K7872" s="3">
        <f t="shared" si="122"/>
        <v>8700</v>
      </c>
      <c r="L7872" s="3">
        <v>4263</v>
      </c>
    </row>
    <row r="7873" spans="1:12" x14ac:dyDescent="0.25">
      <c r="A7873" t="s">
        <v>11</v>
      </c>
      <c r="B7873">
        <v>1185732</v>
      </c>
      <c r="C7873" s="1">
        <v>44539</v>
      </c>
      <c r="D7873" t="s">
        <v>57</v>
      </c>
      <c r="E7873" t="s">
        <v>110</v>
      </c>
      <c r="F7873" t="s">
        <v>111</v>
      </c>
      <c r="G7873" t="s">
        <v>41</v>
      </c>
      <c r="H7873" t="s">
        <v>35</v>
      </c>
      <c r="I7873" s="3">
        <v>59</v>
      </c>
      <c r="J7873" s="2">
        <v>161</v>
      </c>
      <c r="K7873" s="3">
        <f t="shared" si="122"/>
        <v>9499</v>
      </c>
      <c r="L7873" s="3">
        <v>4559.5199999999995</v>
      </c>
    </row>
    <row r="7874" spans="1:12" x14ac:dyDescent="0.25">
      <c r="A7874" t="s">
        <v>19</v>
      </c>
      <c r="B7874">
        <v>1185732</v>
      </c>
      <c r="C7874" s="1">
        <v>44539</v>
      </c>
      <c r="D7874" t="s">
        <v>29</v>
      </c>
      <c r="E7874" t="s">
        <v>55</v>
      </c>
      <c r="F7874" t="s">
        <v>56</v>
      </c>
      <c r="G7874" t="s">
        <v>15</v>
      </c>
      <c r="H7874" t="s">
        <v>38</v>
      </c>
      <c r="I7874" s="3">
        <v>46</v>
      </c>
      <c r="J7874" s="2">
        <v>162</v>
      </c>
      <c r="K7874" s="3">
        <f t="shared" si="122"/>
        <v>7452</v>
      </c>
      <c r="L7874" s="3">
        <v>3576.96</v>
      </c>
    </row>
    <row r="7875" spans="1:12" x14ac:dyDescent="0.25">
      <c r="A7875" t="s">
        <v>11</v>
      </c>
      <c r="B7875">
        <v>1185732</v>
      </c>
      <c r="C7875" s="1">
        <v>44539</v>
      </c>
      <c r="D7875" t="s">
        <v>57</v>
      </c>
      <c r="E7875" t="s">
        <v>103</v>
      </c>
      <c r="F7875" t="s">
        <v>104</v>
      </c>
      <c r="G7875" t="s">
        <v>41</v>
      </c>
      <c r="H7875" t="s">
        <v>17</v>
      </c>
      <c r="I7875" s="3">
        <v>49</v>
      </c>
      <c r="J7875" s="2">
        <v>108</v>
      </c>
      <c r="K7875" s="3">
        <f t="shared" ref="K7875:K7938" si="123">I7875*J7875</f>
        <v>5292</v>
      </c>
      <c r="L7875" s="3">
        <v>2381.3999999999996</v>
      </c>
    </row>
    <row r="7876" spans="1:12" x14ac:dyDescent="0.25">
      <c r="A7876" t="s">
        <v>19</v>
      </c>
      <c r="B7876">
        <v>1185732</v>
      </c>
      <c r="C7876" s="1">
        <v>44539</v>
      </c>
      <c r="D7876" t="s">
        <v>29</v>
      </c>
      <c r="E7876" t="s">
        <v>55</v>
      </c>
      <c r="F7876" t="s">
        <v>56</v>
      </c>
      <c r="G7876" t="s">
        <v>41</v>
      </c>
      <c r="H7876" t="s">
        <v>38</v>
      </c>
      <c r="I7876" s="3">
        <v>62</v>
      </c>
      <c r="J7876" s="2">
        <v>143</v>
      </c>
      <c r="K7876" s="3">
        <f t="shared" si="123"/>
        <v>8866</v>
      </c>
      <c r="L7876" s="3">
        <v>3546.4000000000005</v>
      </c>
    </row>
    <row r="7877" spans="1:12" x14ac:dyDescent="0.25">
      <c r="A7877" t="s">
        <v>11</v>
      </c>
      <c r="B7877">
        <v>1185732</v>
      </c>
      <c r="C7877" s="1">
        <v>44539</v>
      </c>
      <c r="D7877" t="s">
        <v>57</v>
      </c>
      <c r="E7877" t="s">
        <v>110</v>
      </c>
      <c r="F7877" t="s">
        <v>111</v>
      </c>
      <c r="G7877" t="s">
        <v>41</v>
      </c>
      <c r="H7877" t="s">
        <v>16</v>
      </c>
      <c r="I7877" s="3">
        <v>74</v>
      </c>
      <c r="J7877" s="2">
        <v>156</v>
      </c>
      <c r="K7877" s="3">
        <f t="shared" si="123"/>
        <v>11544</v>
      </c>
      <c r="L7877" s="3">
        <v>4617.6000000000004</v>
      </c>
    </row>
    <row r="7878" spans="1:12" x14ac:dyDescent="0.25">
      <c r="A7878" t="s">
        <v>19</v>
      </c>
      <c r="B7878">
        <v>1185732</v>
      </c>
      <c r="C7878" s="1">
        <v>44540</v>
      </c>
      <c r="D7878" t="s">
        <v>12</v>
      </c>
      <c r="E7878" t="s">
        <v>62</v>
      </c>
      <c r="F7878" t="s">
        <v>63</v>
      </c>
      <c r="G7878" t="s">
        <v>18</v>
      </c>
      <c r="H7878" t="s">
        <v>16</v>
      </c>
      <c r="I7878" s="3">
        <v>60</v>
      </c>
      <c r="J7878" s="2">
        <v>600</v>
      </c>
      <c r="K7878" s="3">
        <f t="shared" si="123"/>
        <v>36000</v>
      </c>
      <c r="L7878" s="3">
        <v>27000</v>
      </c>
    </row>
    <row r="7879" spans="1:12" x14ac:dyDescent="0.25">
      <c r="A7879" t="s">
        <v>27</v>
      </c>
      <c r="B7879">
        <v>1185732</v>
      </c>
      <c r="C7879" s="1">
        <v>44540</v>
      </c>
      <c r="D7879" t="s">
        <v>12</v>
      </c>
      <c r="E7879" t="s">
        <v>62</v>
      </c>
      <c r="F7879" t="s">
        <v>63</v>
      </c>
      <c r="G7879" t="s">
        <v>18</v>
      </c>
      <c r="H7879" t="s">
        <v>17</v>
      </c>
      <c r="I7879" s="3">
        <v>45.000000000000007</v>
      </c>
      <c r="J7879" s="2">
        <v>600</v>
      </c>
      <c r="K7879" s="3">
        <f t="shared" si="123"/>
        <v>27000.000000000004</v>
      </c>
      <c r="L7879" s="3">
        <v>18900.000000000007</v>
      </c>
    </row>
    <row r="7880" spans="1:12" x14ac:dyDescent="0.25">
      <c r="A7880" t="s">
        <v>19</v>
      </c>
      <c r="B7880">
        <v>1185732</v>
      </c>
      <c r="C7880" s="1">
        <v>44540</v>
      </c>
      <c r="D7880" t="s">
        <v>12</v>
      </c>
      <c r="E7880" t="s">
        <v>62</v>
      </c>
      <c r="F7880" t="s">
        <v>63</v>
      </c>
      <c r="G7880" t="s">
        <v>18</v>
      </c>
      <c r="H7880" t="s">
        <v>22</v>
      </c>
      <c r="I7880" s="3">
        <v>55.000000000000007</v>
      </c>
      <c r="J7880" s="2">
        <v>500</v>
      </c>
      <c r="K7880" s="3">
        <f t="shared" si="123"/>
        <v>27500.000000000004</v>
      </c>
      <c r="L7880" s="3">
        <v>19250.000000000007</v>
      </c>
    </row>
    <row r="7881" spans="1:12" x14ac:dyDescent="0.25">
      <c r="A7881" t="s">
        <v>19</v>
      </c>
      <c r="B7881">
        <v>1185732</v>
      </c>
      <c r="C7881" s="1">
        <v>44540</v>
      </c>
      <c r="D7881" t="s">
        <v>29</v>
      </c>
      <c r="E7881" t="s">
        <v>55</v>
      </c>
      <c r="F7881" t="s">
        <v>56</v>
      </c>
      <c r="G7881" t="s">
        <v>15</v>
      </c>
      <c r="H7881" t="s">
        <v>17</v>
      </c>
      <c r="I7881" s="3">
        <v>50</v>
      </c>
      <c r="J7881" s="2">
        <v>275</v>
      </c>
      <c r="K7881" s="3">
        <f t="shared" si="123"/>
        <v>13750</v>
      </c>
      <c r="L7881" s="3">
        <v>9625</v>
      </c>
    </row>
    <row r="7882" spans="1:12" x14ac:dyDescent="0.25">
      <c r="A7882" t="s">
        <v>11</v>
      </c>
      <c r="B7882">
        <v>1185732</v>
      </c>
      <c r="C7882" s="1">
        <v>44540</v>
      </c>
      <c r="D7882" t="s">
        <v>12</v>
      </c>
      <c r="E7882" t="s">
        <v>101</v>
      </c>
      <c r="F7882" t="s">
        <v>102</v>
      </c>
      <c r="G7882" t="s">
        <v>18</v>
      </c>
      <c r="H7882" t="s">
        <v>35</v>
      </c>
      <c r="I7882" s="3">
        <v>30.000000000000004</v>
      </c>
      <c r="J7882" s="2">
        <v>450</v>
      </c>
      <c r="K7882" s="3">
        <f t="shared" si="123"/>
        <v>13500.000000000002</v>
      </c>
      <c r="L7882" s="3">
        <v>8775.0000000000036</v>
      </c>
    </row>
    <row r="7883" spans="1:12" x14ac:dyDescent="0.25">
      <c r="A7883" t="s">
        <v>11</v>
      </c>
      <c r="B7883">
        <v>1185732</v>
      </c>
      <c r="C7883" s="1">
        <v>44540</v>
      </c>
      <c r="D7883" t="s">
        <v>12</v>
      </c>
      <c r="E7883" t="s">
        <v>101</v>
      </c>
      <c r="F7883" t="s">
        <v>102</v>
      </c>
      <c r="G7883" t="s">
        <v>18</v>
      </c>
      <c r="H7883" t="s">
        <v>17</v>
      </c>
      <c r="I7883" s="3">
        <v>30.000000000000004</v>
      </c>
      <c r="J7883" s="2">
        <v>500</v>
      </c>
      <c r="K7883" s="3">
        <f t="shared" si="123"/>
        <v>15000.000000000002</v>
      </c>
      <c r="L7883" s="3">
        <v>9750.0000000000036</v>
      </c>
    </row>
    <row r="7884" spans="1:12" x14ac:dyDescent="0.25">
      <c r="A7884" t="s">
        <v>36</v>
      </c>
      <c r="B7884">
        <v>1185732</v>
      </c>
      <c r="C7884" s="1">
        <v>44540</v>
      </c>
      <c r="D7884" t="s">
        <v>29</v>
      </c>
      <c r="E7884" t="s">
        <v>80</v>
      </c>
      <c r="F7884" t="s">
        <v>81</v>
      </c>
      <c r="G7884" t="s">
        <v>18</v>
      </c>
      <c r="H7884" t="s">
        <v>37</v>
      </c>
      <c r="I7884" s="3">
        <v>60.000000000000007</v>
      </c>
      <c r="J7884" s="2">
        <v>325</v>
      </c>
      <c r="K7884" s="3">
        <f t="shared" si="123"/>
        <v>19500.000000000004</v>
      </c>
      <c r="L7884" s="3">
        <v>12675.000000000004</v>
      </c>
    </row>
    <row r="7885" spans="1:12" x14ac:dyDescent="0.25">
      <c r="A7885" t="s">
        <v>19</v>
      </c>
      <c r="B7885">
        <v>1185732</v>
      </c>
      <c r="C7885" s="1">
        <v>44540</v>
      </c>
      <c r="D7885" t="s">
        <v>12</v>
      </c>
      <c r="E7885" t="s">
        <v>62</v>
      </c>
      <c r="F7885" t="s">
        <v>63</v>
      </c>
      <c r="G7885" t="s">
        <v>18</v>
      </c>
      <c r="H7885" t="s">
        <v>35</v>
      </c>
      <c r="I7885" s="3">
        <v>45.000000000000007</v>
      </c>
      <c r="J7885" s="2">
        <v>550</v>
      </c>
      <c r="K7885" s="3">
        <f t="shared" si="123"/>
        <v>24750.000000000004</v>
      </c>
      <c r="L7885" s="3">
        <v>16087.500000000004</v>
      </c>
    </row>
    <row r="7886" spans="1:12" x14ac:dyDescent="0.25">
      <c r="A7886" t="s">
        <v>19</v>
      </c>
      <c r="B7886">
        <v>1185732</v>
      </c>
      <c r="C7886" s="1">
        <v>44540</v>
      </c>
      <c r="D7886" t="s">
        <v>12</v>
      </c>
      <c r="E7886" t="s">
        <v>62</v>
      </c>
      <c r="F7886" t="s">
        <v>63</v>
      </c>
      <c r="G7886" t="s">
        <v>18</v>
      </c>
      <c r="H7886" t="s">
        <v>37</v>
      </c>
      <c r="I7886" s="3">
        <v>45.000000000000007</v>
      </c>
      <c r="J7886" s="2">
        <v>500</v>
      </c>
      <c r="K7886" s="3">
        <f t="shared" si="123"/>
        <v>22500.000000000004</v>
      </c>
      <c r="L7886" s="3">
        <v>14625.000000000004</v>
      </c>
    </row>
    <row r="7887" spans="1:12" x14ac:dyDescent="0.25">
      <c r="A7887" t="s">
        <v>11</v>
      </c>
      <c r="B7887">
        <v>1185732</v>
      </c>
      <c r="C7887" s="1">
        <v>44540</v>
      </c>
      <c r="D7887" t="s">
        <v>12</v>
      </c>
      <c r="E7887" t="s">
        <v>101</v>
      </c>
      <c r="F7887" t="s">
        <v>102</v>
      </c>
      <c r="G7887" t="s">
        <v>18</v>
      </c>
      <c r="H7887" t="s">
        <v>22</v>
      </c>
      <c r="I7887" s="3">
        <v>40</v>
      </c>
      <c r="J7887" s="2">
        <v>400</v>
      </c>
      <c r="K7887" s="3">
        <f t="shared" si="123"/>
        <v>16000</v>
      </c>
      <c r="L7887" s="3">
        <v>10400</v>
      </c>
    </row>
    <row r="7888" spans="1:12" x14ac:dyDescent="0.25">
      <c r="A7888" t="s">
        <v>36</v>
      </c>
      <c r="B7888">
        <v>1185732</v>
      </c>
      <c r="C7888" s="1">
        <v>44540</v>
      </c>
      <c r="D7888" t="s">
        <v>29</v>
      </c>
      <c r="E7888" t="s">
        <v>80</v>
      </c>
      <c r="F7888" t="s">
        <v>81</v>
      </c>
      <c r="G7888" t="s">
        <v>18</v>
      </c>
      <c r="H7888" t="s">
        <v>35</v>
      </c>
      <c r="I7888" s="3">
        <v>60.000000000000007</v>
      </c>
      <c r="J7888" s="2">
        <v>375</v>
      </c>
      <c r="K7888" s="3">
        <f t="shared" si="123"/>
        <v>22500.000000000004</v>
      </c>
      <c r="L7888" s="3">
        <v>14625.000000000004</v>
      </c>
    </row>
    <row r="7889" spans="1:12" x14ac:dyDescent="0.25">
      <c r="A7889" t="s">
        <v>36</v>
      </c>
      <c r="B7889">
        <v>1185732</v>
      </c>
      <c r="C7889" s="1">
        <v>44540</v>
      </c>
      <c r="D7889" t="s">
        <v>29</v>
      </c>
      <c r="E7889" t="s">
        <v>80</v>
      </c>
      <c r="F7889" t="s">
        <v>81</v>
      </c>
      <c r="G7889" t="s">
        <v>18</v>
      </c>
      <c r="H7889" t="s">
        <v>22</v>
      </c>
      <c r="I7889" s="3">
        <v>70</v>
      </c>
      <c r="J7889" s="2">
        <v>325</v>
      </c>
      <c r="K7889" s="3">
        <f t="shared" si="123"/>
        <v>22750</v>
      </c>
      <c r="L7889" s="3">
        <v>14787.5</v>
      </c>
    </row>
    <row r="7890" spans="1:12" x14ac:dyDescent="0.25">
      <c r="A7890" t="s">
        <v>11</v>
      </c>
      <c r="B7890">
        <v>1185732</v>
      </c>
      <c r="C7890" s="1">
        <v>44540</v>
      </c>
      <c r="D7890" t="s">
        <v>12</v>
      </c>
      <c r="E7890" t="s">
        <v>101</v>
      </c>
      <c r="F7890" t="s">
        <v>102</v>
      </c>
      <c r="G7890" t="s">
        <v>18</v>
      </c>
      <c r="H7890" t="s">
        <v>38</v>
      </c>
      <c r="I7890" s="3">
        <v>40</v>
      </c>
      <c r="J7890" s="2">
        <v>700</v>
      </c>
      <c r="K7890" s="3">
        <f t="shared" si="123"/>
        <v>28000</v>
      </c>
      <c r="L7890" s="3">
        <v>16800</v>
      </c>
    </row>
    <row r="7891" spans="1:12" x14ac:dyDescent="0.25">
      <c r="A7891" t="s">
        <v>36</v>
      </c>
      <c r="B7891">
        <v>1185732</v>
      </c>
      <c r="C7891" s="1">
        <v>44540</v>
      </c>
      <c r="D7891" t="s">
        <v>29</v>
      </c>
      <c r="E7891" t="s">
        <v>80</v>
      </c>
      <c r="F7891" t="s">
        <v>81</v>
      </c>
      <c r="G7891" t="s">
        <v>18</v>
      </c>
      <c r="H7891" t="s">
        <v>16</v>
      </c>
      <c r="I7891" s="3">
        <v>75</v>
      </c>
      <c r="J7891" s="2">
        <v>425</v>
      </c>
      <c r="K7891" s="3">
        <f t="shared" si="123"/>
        <v>31875</v>
      </c>
      <c r="L7891" s="3">
        <v>19125</v>
      </c>
    </row>
    <row r="7892" spans="1:12" x14ac:dyDescent="0.25">
      <c r="A7892" t="s">
        <v>11</v>
      </c>
      <c r="B7892">
        <v>1185732</v>
      </c>
      <c r="C7892" s="1">
        <v>44540</v>
      </c>
      <c r="D7892" t="s">
        <v>12</v>
      </c>
      <c r="E7892" t="s">
        <v>101</v>
      </c>
      <c r="F7892" t="s">
        <v>102</v>
      </c>
      <c r="G7892" t="s">
        <v>18</v>
      </c>
      <c r="H7892" t="s">
        <v>37</v>
      </c>
      <c r="I7892" s="3">
        <v>30.000000000000004</v>
      </c>
      <c r="J7892" s="2">
        <v>400</v>
      </c>
      <c r="K7892" s="3">
        <f t="shared" si="123"/>
        <v>12000.000000000002</v>
      </c>
      <c r="L7892" s="3">
        <v>7200</v>
      </c>
    </row>
    <row r="7893" spans="1:12" x14ac:dyDescent="0.25">
      <c r="A7893" t="s">
        <v>36</v>
      </c>
      <c r="B7893">
        <v>1185732</v>
      </c>
      <c r="C7893" s="1">
        <v>44540</v>
      </c>
      <c r="D7893" t="s">
        <v>29</v>
      </c>
      <c r="E7893" t="s">
        <v>80</v>
      </c>
      <c r="F7893" t="s">
        <v>81</v>
      </c>
      <c r="G7893" t="s">
        <v>18</v>
      </c>
      <c r="H7893" t="s">
        <v>38</v>
      </c>
      <c r="I7893" s="3">
        <v>70</v>
      </c>
      <c r="J7893" s="2">
        <v>600</v>
      </c>
      <c r="K7893" s="3">
        <f t="shared" si="123"/>
        <v>42000</v>
      </c>
      <c r="L7893" s="3">
        <v>23100</v>
      </c>
    </row>
    <row r="7894" spans="1:12" x14ac:dyDescent="0.25">
      <c r="A7894" t="s">
        <v>36</v>
      </c>
      <c r="B7894">
        <v>1185732</v>
      </c>
      <c r="C7894" s="1">
        <v>44540</v>
      </c>
      <c r="D7894" t="s">
        <v>29</v>
      </c>
      <c r="E7894" t="s">
        <v>80</v>
      </c>
      <c r="F7894" t="s">
        <v>81</v>
      </c>
      <c r="G7894" t="s">
        <v>18</v>
      </c>
      <c r="H7894" t="s">
        <v>17</v>
      </c>
      <c r="I7894" s="3">
        <v>60.000000000000007</v>
      </c>
      <c r="J7894" s="2">
        <v>400</v>
      </c>
      <c r="K7894" s="3">
        <f t="shared" si="123"/>
        <v>24000.000000000004</v>
      </c>
      <c r="L7894" s="3">
        <v>13200</v>
      </c>
    </row>
    <row r="7895" spans="1:12" x14ac:dyDescent="0.25">
      <c r="A7895" t="s">
        <v>27</v>
      </c>
      <c r="B7895">
        <v>1185732</v>
      </c>
      <c r="C7895" s="1">
        <v>44540</v>
      </c>
      <c r="D7895" t="s">
        <v>12</v>
      </c>
      <c r="E7895" t="s">
        <v>62</v>
      </c>
      <c r="F7895" t="s">
        <v>63</v>
      </c>
      <c r="G7895" t="s">
        <v>18</v>
      </c>
      <c r="H7895" t="s">
        <v>38</v>
      </c>
      <c r="I7895" s="3">
        <v>55.000000000000007</v>
      </c>
      <c r="J7895" s="2">
        <v>800</v>
      </c>
      <c r="K7895" s="3">
        <f t="shared" si="123"/>
        <v>44000.000000000007</v>
      </c>
      <c r="L7895" s="3">
        <v>22000.000000000004</v>
      </c>
    </row>
    <row r="7896" spans="1:12" x14ac:dyDescent="0.25">
      <c r="A7896" t="s">
        <v>11</v>
      </c>
      <c r="B7896">
        <v>1185732</v>
      </c>
      <c r="C7896" s="1">
        <v>44540</v>
      </c>
      <c r="D7896" t="s">
        <v>12</v>
      </c>
      <c r="E7896" t="s">
        <v>101</v>
      </c>
      <c r="F7896" t="s">
        <v>102</v>
      </c>
      <c r="G7896" t="s">
        <v>18</v>
      </c>
      <c r="H7896" t="s">
        <v>16</v>
      </c>
      <c r="I7896" s="3">
        <v>44.999999999999986</v>
      </c>
      <c r="J7896" s="2">
        <v>500</v>
      </c>
      <c r="K7896" s="3">
        <f t="shared" si="123"/>
        <v>22499.999999999993</v>
      </c>
      <c r="L7896" s="3">
        <v>11249.999999999996</v>
      </c>
    </row>
    <row r="7897" spans="1:12" x14ac:dyDescent="0.25">
      <c r="A7897" t="s">
        <v>19</v>
      </c>
      <c r="B7897">
        <v>1185732</v>
      </c>
      <c r="C7897" s="1">
        <v>44540</v>
      </c>
      <c r="D7897" t="s">
        <v>29</v>
      </c>
      <c r="E7897" t="s">
        <v>55</v>
      </c>
      <c r="F7897" t="s">
        <v>56</v>
      </c>
      <c r="G7897" t="s">
        <v>15</v>
      </c>
      <c r="H7897" t="s">
        <v>17</v>
      </c>
      <c r="I7897" s="3">
        <v>40</v>
      </c>
      <c r="J7897" s="2">
        <v>91</v>
      </c>
      <c r="K7897" s="3">
        <f t="shared" si="123"/>
        <v>3640</v>
      </c>
      <c r="L7897" s="3">
        <v>2402.4</v>
      </c>
    </row>
    <row r="7898" spans="1:12" x14ac:dyDescent="0.25">
      <c r="A7898" t="s">
        <v>19</v>
      </c>
      <c r="B7898">
        <v>1185732</v>
      </c>
      <c r="C7898" s="1">
        <v>44540</v>
      </c>
      <c r="D7898" t="s">
        <v>12</v>
      </c>
      <c r="E7898" t="s">
        <v>62</v>
      </c>
      <c r="F7898" t="s">
        <v>63</v>
      </c>
      <c r="G7898" t="s">
        <v>41</v>
      </c>
      <c r="H7898" t="s">
        <v>16</v>
      </c>
      <c r="I7898" s="3">
        <v>56</v>
      </c>
      <c r="J7898" s="2">
        <v>174</v>
      </c>
      <c r="K7898" s="3">
        <f t="shared" si="123"/>
        <v>9744</v>
      </c>
      <c r="L7898" s="3">
        <v>6236.16</v>
      </c>
    </row>
    <row r="7899" spans="1:12" x14ac:dyDescent="0.25">
      <c r="A7899" t="s">
        <v>11</v>
      </c>
      <c r="B7899">
        <v>1185732</v>
      </c>
      <c r="C7899" s="1">
        <v>44540</v>
      </c>
      <c r="D7899" t="s">
        <v>12</v>
      </c>
      <c r="E7899" t="s">
        <v>101</v>
      </c>
      <c r="F7899" t="s">
        <v>102</v>
      </c>
      <c r="G7899" t="s">
        <v>15</v>
      </c>
      <c r="H7899" t="s">
        <v>35</v>
      </c>
      <c r="I7899" s="3">
        <v>20</v>
      </c>
      <c r="J7899" s="2">
        <v>153</v>
      </c>
      <c r="K7899" s="3">
        <f t="shared" si="123"/>
        <v>3060</v>
      </c>
      <c r="L7899" s="3">
        <v>1927.8</v>
      </c>
    </row>
    <row r="7900" spans="1:12" x14ac:dyDescent="0.25">
      <c r="A7900" t="s">
        <v>36</v>
      </c>
      <c r="B7900">
        <v>1185732</v>
      </c>
      <c r="C7900" s="1">
        <v>44540</v>
      </c>
      <c r="D7900" t="s">
        <v>29</v>
      </c>
      <c r="E7900" t="s">
        <v>80</v>
      </c>
      <c r="F7900" t="s">
        <v>81</v>
      </c>
      <c r="G7900" t="s">
        <v>15</v>
      </c>
      <c r="H7900" t="s">
        <v>35</v>
      </c>
      <c r="I7900" s="3">
        <v>44</v>
      </c>
      <c r="J7900" s="2">
        <v>131</v>
      </c>
      <c r="K7900" s="3">
        <f t="shared" si="123"/>
        <v>5764</v>
      </c>
      <c r="L7900" s="3">
        <v>3458.4</v>
      </c>
    </row>
    <row r="7901" spans="1:12" x14ac:dyDescent="0.25">
      <c r="A7901" t="s">
        <v>19</v>
      </c>
      <c r="B7901">
        <v>1185732</v>
      </c>
      <c r="C7901" s="1">
        <v>44540</v>
      </c>
      <c r="D7901" t="s">
        <v>29</v>
      </c>
      <c r="E7901" t="s">
        <v>55</v>
      </c>
      <c r="F7901" t="s">
        <v>56</v>
      </c>
      <c r="G7901" t="s">
        <v>41</v>
      </c>
      <c r="H7901" t="s">
        <v>17</v>
      </c>
      <c r="I7901" s="3">
        <v>48</v>
      </c>
      <c r="J7901" s="2">
        <v>80</v>
      </c>
      <c r="K7901" s="3">
        <f t="shared" si="123"/>
        <v>3840</v>
      </c>
      <c r="L7901" s="3">
        <v>2304</v>
      </c>
    </row>
    <row r="7902" spans="1:12" x14ac:dyDescent="0.25">
      <c r="A7902" t="s">
        <v>27</v>
      </c>
      <c r="B7902">
        <v>1185732</v>
      </c>
      <c r="C7902" s="1">
        <v>44540</v>
      </c>
      <c r="D7902" t="s">
        <v>12</v>
      </c>
      <c r="E7902" t="s">
        <v>62</v>
      </c>
      <c r="F7902" t="s">
        <v>63</v>
      </c>
      <c r="G7902" t="s">
        <v>41</v>
      </c>
      <c r="H7902" t="s">
        <v>17</v>
      </c>
      <c r="I7902" s="3">
        <v>44</v>
      </c>
      <c r="J7902" s="2">
        <v>168</v>
      </c>
      <c r="K7902" s="3">
        <f t="shared" si="123"/>
        <v>7392</v>
      </c>
      <c r="L7902" s="3">
        <v>4361.2800000000007</v>
      </c>
    </row>
    <row r="7903" spans="1:12" x14ac:dyDescent="0.25">
      <c r="A7903" t="s">
        <v>11</v>
      </c>
      <c r="B7903">
        <v>1185732</v>
      </c>
      <c r="C7903" s="1">
        <v>44540</v>
      </c>
      <c r="D7903" t="s">
        <v>12</v>
      </c>
      <c r="E7903" t="s">
        <v>101</v>
      </c>
      <c r="F7903" t="s">
        <v>102</v>
      </c>
      <c r="G7903" t="s">
        <v>15</v>
      </c>
      <c r="H7903" t="s">
        <v>22</v>
      </c>
      <c r="I7903" s="3">
        <v>27</v>
      </c>
      <c r="J7903" s="2">
        <v>124</v>
      </c>
      <c r="K7903" s="3">
        <f t="shared" si="123"/>
        <v>3348</v>
      </c>
      <c r="L7903" s="3">
        <v>1975.3200000000002</v>
      </c>
    </row>
    <row r="7904" spans="1:12" x14ac:dyDescent="0.25">
      <c r="A7904" t="s">
        <v>36</v>
      </c>
      <c r="B7904">
        <v>1185732</v>
      </c>
      <c r="C7904" s="1">
        <v>44540</v>
      </c>
      <c r="D7904" t="s">
        <v>29</v>
      </c>
      <c r="E7904" t="s">
        <v>80</v>
      </c>
      <c r="F7904" t="s">
        <v>81</v>
      </c>
      <c r="G7904" t="s">
        <v>15</v>
      </c>
      <c r="H7904" t="s">
        <v>37</v>
      </c>
      <c r="I7904" s="3">
        <v>44</v>
      </c>
      <c r="J7904" s="2">
        <v>101</v>
      </c>
      <c r="K7904" s="3">
        <f t="shared" si="123"/>
        <v>4444</v>
      </c>
      <c r="L7904" s="3">
        <v>2577.52</v>
      </c>
    </row>
    <row r="7905" spans="1:12" x14ac:dyDescent="0.25">
      <c r="A7905" t="s">
        <v>36</v>
      </c>
      <c r="B7905">
        <v>1185732</v>
      </c>
      <c r="C7905" s="1">
        <v>44540</v>
      </c>
      <c r="D7905" t="s">
        <v>29</v>
      </c>
      <c r="E7905" t="s">
        <v>80</v>
      </c>
      <c r="F7905" t="s">
        <v>81</v>
      </c>
      <c r="G7905" t="s">
        <v>15</v>
      </c>
      <c r="H7905" t="s">
        <v>22</v>
      </c>
      <c r="I7905" s="3">
        <v>48</v>
      </c>
      <c r="J7905" s="2">
        <v>104</v>
      </c>
      <c r="K7905" s="3">
        <f t="shared" si="123"/>
        <v>4992</v>
      </c>
      <c r="L7905" s="3">
        <v>2895.36</v>
      </c>
    </row>
    <row r="7906" spans="1:12" x14ac:dyDescent="0.25">
      <c r="A7906" t="s">
        <v>11</v>
      </c>
      <c r="B7906">
        <v>1185732</v>
      </c>
      <c r="C7906" s="1">
        <v>44540</v>
      </c>
      <c r="D7906" t="s">
        <v>12</v>
      </c>
      <c r="E7906" t="s">
        <v>101</v>
      </c>
      <c r="F7906" t="s">
        <v>102</v>
      </c>
      <c r="G7906" t="s">
        <v>15</v>
      </c>
      <c r="H7906" t="s">
        <v>17</v>
      </c>
      <c r="I7906" s="3">
        <v>22</v>
      </c>
      <c r="J7906" s="2">
        <v>170</v>
      </c>
      <c r="K7906" s="3">
        <f t="shared" si="123"/>
        <v>3740</v>
      </c>
      <c r="L7906" s="3">
        <v>2169.1999999999998</v>
      </c>
    </row>
    <row r="7907" spans="1:12" x14ac:dyDescent="0.25">
      <c r="A7907" t="s">
        <v>11</v>
      </c>
      <c r="B7907">
        <v>1185732</v>
      </c>
      <c r="C7907" s="1">
        <v>44540</v>
      </c>
      <c r="D7907" t="s">
        <v>12</v>
      </c>
      <c r="E7907" t="s">
        <v>101</v>
      </c>
      <c r="F7907" t="s">
        <v>102</v>
      </c>
      <c r="G7907" t="s">
        <v>15</v>
      </c>
      <c r="H7907" t="s">
        <v>37</v>
      </c>
      <c r="I7907" s="3">
        <v>22</v>
      </c>
      <c r="J7907" s="2">
        <v>136</v>
      </c>
      <c r="K7907" s="3">
        <f t="shared" si="123"/>
        <v>2992</v>
      </c>
      <c r="L7907" s="3">
        <v>1735.36</v>
      </c>
    </row>
    <row r="7908" spans="1:12" x14ac:dyDescent="0.25">
      <c r="A7908" t="s">
        <v>36</v>
      </c>
      <c r="B7908">
        <v>1185732</v>
      </c>
      <c r="C7908" s="1">
        <v>44540</v>
      </c>
      <c r="D7908" t="s">
        <v>29</v>
      </c>
      <c r="E7908" t="s">
        <v>80</v>
      </c>
      <c r="F7908" t="s">
        <v>81</v>
      </c>
      <c r="G7908" t="s">
        <v>41</v>
      </c>
      <c r="H7908" t="s">
        <v>37</v>
      </c>
      <c r="I7908" s="3">
        <v>56</v>
      </c>
      <c r="J7908" s="2">
        <v>81</v>
      </c>
      <c r="K7908" s="3">
        <f t="shared" si="123"/>
        <v>4536</v>
      </c>
      <c r="L7908" s="3">
        <v>2494.8000000000002</v>
      </c>
    </row>
    <row r="7909" spans="1:12" x14ac:dyDescent="0.25">
      <c r="A7909" t="s">
        <v>19</v>
      </c>
      <c r="B7909">
        <v>1185732</v>
      </c>
      <c r="C7909" s="1">
        <v>44540</v>
      </c>
      <c r="D7909" t="s">
        <v>12</v>
      </c>
      <c r="E7909" t="s">
        <v>62</v>
      </c>
      <c r="F7909" t="s">
        <v>63</v>
      </c>
      <c r="G7909" t="s">
        <v>41</v>
      </c>
      <c r="H7909" t="s">
        <v>22</v>
      </c>
      <c r="I7909" s="3">
        <v>54</v>
      </c>
      <c r="J7909" s="2">
        <v>145</v>
      </c>
      <c r="K7909" s="3">
        <f t="shared" si="123"/>
        <v>7830</v>
      </c>
      <c r="L7909" s="3">
        <v>4306.5</v>
      </c>
    </row>
    <row r="7910" spans="1:12" x14ac:dyDescent="0.25">
      <c r="A7910" t="s">
        <v>19</v>
      </c>
      <c r="B7910">
        <v>1185732</v>
      </c>
      <c r="C7910" s="1">
        <v>44540</v>
      </c>
      <c r="D7910" t="s">
        <v>12</v>
      </c>
      <c r="E7910" t="s">
        <v>62</v>
      </c>
      <c r="F7910" t="s">
        <v>63</v>
      </c>
      <c r="G7910" t="s">
        <v>41</v>
      </c>
      <c r="H7910" t="s">
        <v>35</v>
      </c>
      <c r="I7910" s="3">
        <v>44</v>
      </c>
      <c r="J7910" s="2">
        <v>165</v>
      </c>
      <c r="K7910" s="3">
        <f t="shared" si="123"/>
        <v>7260</v>
      </c>
      <c r="L7910" s="3">
        <v>3920.4</v>
      </c>
    </row>
    <row r="7911" spans="1:12" x14ac:dyDescent="0.25">
      <c r="A7911" t="s">
        <v>11</v>
      </c>
      <c r="B7911">
        <v>1185732</v>
      </c>
      <c r="C7911" s="1">
        <v>44540</v>
      </c>
      <c r="D7911" t="s">
        <v>12</v>
      </c>
      <c r="E7911" t="s">
        <v>101</v>
      </c>
      <c r="F7911" t="s">
        <v>102</v>
      </c>
      <c r="G7911" t="s">
        <v>15</v>
      </c>
      <c r="H7911" t="s">
        <v>38</v>
      </c>
      <c r="I7911" s="3">
        <v>29</v>
      </c>
      <c r="J7911" s="2">
        <v>231</v>
      </c>
      <c r="K7911" s="3">
        <f t="shared" si="123"/>
        <v>6699</v>
      </c>
      <c r="L7911" s="3">
        <v>3617.46</v>
      </c>
    </row>
    <row r="7912" spans="1:12" x14ac:dyDescent="0.25">
      <c r="A7912" t="s">
        <v>11</v>
      </c>
      <c r="B7912">
        <v>1185732</v>
      </c>
      <c r="C7912" s="1">
        <v>44540</v>
      </c>
      <c r="D7912" t="s">
        <v>12</v>
      </c>
      <c r="E7912" t="s">
        <v>101</v>
      </c>
      <c r="F7912" t="s">
        <v>102</v>
      </c>
      <c r="G7912" t="s">
        <v>41</v>
      </c>
      <c r="H7912" t="s">
        <v>35</v>
      </c>
      <c r="I7912" s="3">
        <v>29</v>
      </c>
      <c r="J7912" s="2">
        <v>113</v>
      </c>
      <c r="K7912" s="3">
        <f t="shared" si="123"/>
        <v>3277</v>
      </c>
      <c r="L7912" s="3">
        <v>1736.8100000000002</v>
      </c>
    </row>
    <row r="7913" spans="1:12" x14ac:dyDescent="0.25">
      <c r="A7913" t="s">
        <v>36</v>
      </c>
      <c r="B7913">
        <v>1185732</v>
      </c>
      <c r="C7913" s="1">
        <v>44540</v>
      </c>
      <c r="D7913" t="s">
        <v>29</v>
      </c>
      <c r="E7913" t="s">
        <v>80</v>
      </c>
      <c r="F7913" t="s">
        <v>81</v>
      </c>
      <c r="G7913" t="s">
        <v>41</v>
      </c>
      <c r="H7913" t="s">
        <v>35</v>
      </c>
      <c r="I7913" s="3">
        <v>55</v>
      </c>
      <c r="J7913" s="2">
        <v>113</v>
      </c>
      <c r="K7913" s="3">
        <f t="shared" si="123"/>
        <v>6215</v>
      </c>
      <c r="L7913" s="3">
        <v>3293.9500000000003</v>
      </c>
    </row>
    <row r="7914" spans="1:12" x14ac:dyDescent="0.25">
      <c r="A7914" t="s">
        <v>36</v>
      </c>
      <c r="B7914">
        <v>1185732</v>
      </c>
      <c r="C7914" s="1">
        <v>44540</v>
      </c>
      <c r="D7914" t="s">
        <v>29</v>
      </c>
      <c r="E7914" t="s">
        <v>80</v>
      </c>
      <c r="F7914" t="s">
        <v>81</v>
      </c>
      <c r="G7914" t="s">
        <v>15</v>
      </c>
      <c r="H7914" t="s">
        <v>16</v>
      </c>
      <c r="I7914" s="3">
        <v>60</v>
      </c>
      <c r="J7914" s="2">
        <v>145</v>
      </c>
      <c r="K7914" s="3">
        <f t="shared" si="123"/>
        <v>8700</v>
      </c>
      <c r="L7914" s="3">
        <v>4611</v>
      </c>
    </row>
    <row r="7915" spans="1:12" x14ac:dyDescent="0.25">
      <c r="A7915" t="s">
        <v>36</v>
      </c>
      <c r="B7915">
        <v>1185732</v>
      </c>
      <c r="C7915" s="1">
        <v>44540</v>
      </c>
      <c r="D7915" t="s">
        <v>29</v>
      </c>
      <c r="E7915" t="s">
        <v>80</v>
      </c>
      <c r="F7915" t="s">
        <v>81</v>
      </c>
      <c r="G7915" t="s">
        <v>41</v>
      </c>
      <c r="H7915" t="s">
        <v>22</v>
      </c>
      <c r="I7915" s="3">
        <v>67</v>
      </c>
      <c r="J7915" s="2">
        <v>81</v>
      </c>
      <c r="K7915" s="3">
        <f t="shared" si="123"/>
        <v>5427</v>
      </c>
      <c r="L7915" s="3">
        <v>2822.04</v>
      </c>
    </row>
    <row r="7916" spans="1:12" x14ac:dyDescent="0.25">
      <c r="A7916" t="s">
        <v>36</v>
      </c>
      <c r="B7916">
        <v>1185732</v>
      </c>
      <c r="C7916" s="1">
        <v>44540</v>
      </c>
      <c r="D7916" t="s">
        <v>29</v>
      </c>
      <c r="E7916" t="s">
        <v>80</v>
      </c>
      <c r="F7916" t="s">
        <v>81</v>
      </c>
      <c r="G7916" t="s">
        <v>15</v>
      </c>
      <c r="H7916" t="s">
        <v>38</v>
      </c>
      <c r="I7916" s="3">
        <v>48</v>
      </c>
      <c r="J7916" s="2">
        <v>186</v>
      </c>
      <c r="K7916" s="3">
        <f t="shared" si="123"/>
        <v>8928</v>
      </c>
      <c r="L7916" s="3">
        <v>4642.5600000000004</v>
      </c>
    </row>
    <row r="7917" spans="1:12" x14ac:dyDescent="0.25">
      <c r="A7917" t="s">
        <v>11</v>
      </c>
      <c r="B7917">
        <v>1185732</v>
      </c>
      <c r="C7917" s="1">
        <v>44540</v>
      </c>
      <c r="D7917" t="s">
        <v>12</v>
      </c>
      <c r="E7917" t="s">
        <v>101</v>
      </c>
      <c r="F7917" t="s">
        <v>102</v>
      </c>
      <c r="G7917" t="s">
        <v>41</v>
      </c>
      <c r="H7917" t="s">
        <v>17</v>
      </c>
      <c r="I7917" s="3">
        <v>28</v>
      </c>
      <c r="J7917" s="2">
        <v>145</v>
      </c>
      <c r="K7917" s="3">
        <f t="shared" si="123"/>
        <v>4060</v>
      </c>
      <c r="L7917" s="3">
        <v>2070.6000000000004</v>
      </c>
    </row>
    <row r="7918" spans="1:12" x14ac:dyDescent="0.25">
      <c r="A7918" t="s">
        <v>19</v>
      </c>
      <c r="B7918">
        <v>1185732</v>
      </c>
      <c r="C7918" s="1">
        <v>44540</v>
      </c>
      <c r="D7918" t="s">
        <v>12</v>
      </c>
      <c r="E7918" t="s">
        <v>62</v>
      </c>
      <c r="F7918" t="s">
        <v>63</v>
      </c>
      <c r="G7918" t="s">
        <v>41</v>
      </c>
      <c r="H7918" t="s">
        <v>37</v>
      </c>
      <c r="I7918" s="3">
        <v>44</v>
      </c>
      <c r="J7918" s="2">
        <v>135</v>
      </c>
      <c r="K7918" s="3">
        <f t="shared" si="123"/>
        <v>5940</v>
      </c>
      <c r="L7918" s="3">
        <v>3029.4</v>
      </c>
    </row>
    <row r="7919" spans="1:12" x14ac:dyDescent="0.25">
      <c r="A7919" t="s">
        <v>11</v>
      </c>
      <c r="B7919">
        <v>1185732</v>
      </c>
      <c r="C7919" s="1">
        <v>44540</v>
      </c>
      <c r="D7919" t="s">
        <v>12</v>
      </c>
      <c r="E7919" t="s">
        <v>101</v>
      </c>
      <c r="F7919" t="s">
        <v>102</v>
      </c>
      <c r="G7919" t="s">
        <v>41</v>
      </c>
      <c r="H7919" t="s">
        <v>22</v>
      </c>
      <c r="I7919" s="3">
        <v>38</v>
      </c>
      <c r="J7919" s="2">
        <v>112</v>
      </c>
      <c r="K7919" s="3">
        <f t="shared" si="123"/>
        <v>4256</v>
      </c>
      <c r="L7919" s="3">
        <v>2128</v>
      </c>
    </row>
    <row r="7920" spans="1:12" x14ac:dyDescent="0.25">
      <c r="A7920" t="s">
        <v>11</v>
      </c>
      <c r="B7920">
        <v>1185732</v>
      </c>
      <c r="C7920" s="1">
        <v>44540</v>
      </c>
      <c r="D7920" t="s">
        <v>12</v>
      </c>
      <c r="E7920" t="s">
        <v>101</v>
      </c>
      <c r="F7920" t="s">
        <v>102</v>
      </c>
      <c r="G7920" t="s">
        <v>41</v>
      </c>
      <c r="H7920" t="s">
        <v>37</v>
      </c>
      <c r="I7920" s="3">
        <v>27</v>
      </c>
      <c r="J7920" s="2">
        <v>112</v>
      </c>
      <c r="K7920" s="3">
        <f t="shared" si="123"/>
        <v>3024</v>
      </c>
      <c r="L7920" s="3">
        <v>1481.76</v>
      </c>
    </row>
    <row r="7921" spans="1:12" x14ac:dyDescent="0.25">
      <c r="A7921" t="s">
        <v>36</v>
      </c>
      <c r="B7921">
        <v>1185732</v>
      </c>
      <c r="C7921" s="1">
        <v>44540</v>
      </c>
      <c r="D7921" t="s">
        <v>29</v>
      </c>
      <c r="E7921" t="s">
        <v>80</v>
      </c>
      <c r="F7921" t="s">
        <v>81</v>
      </c>
      <c r="G7921" t="s">
        <v>15</v>
      </c>
      <c r="H7921" t="s">
        <v>17</v>
      </c>
      <c r="I7921" s="3">
        <v>41</v>
      </c>
      <c r="J7921" s="2">
        <v>132</v>
      </c>
      <c r="K7921" s="3">
        <f t="shared" si="123"/>
        <v>5412</v>
      </c>
      <c r="L7921" s="3">
        <v>2651.88</v>
      </c>
    </row>
    <row r="7922" spans="1:12" x14ac:dyDescent="0.25">
      <c r="A7922" t="s">
        <v>36</v>
      </c>
      <c r="B7922">
        <v>1185732</v>
      </c>
      <c r="C7922" s="1">
        <v>44540</v>
      </c>
      <c r="D7922" t="s">
        <v>29</v>
      </c>
      <c r="E7922" t="s">
        <v>80</v>
      </c>
      <c r="F7922" t="s">
        <v>81</v>
      </c>
      <c r="G7922" t="s">
        <v>41</v>
      </c>
      <c r="H7922" t="s">
        <v>16</v>
      </c>
      <c r="I7922" s="3">
        <v>68</v>
      </c>
      <c r="J7922" s="2">
        <v>106</v>
      </c>
      <c r="K7922" s="3">
        <f t="shared" si="123"/>
        <v>7208</v>
      </c>
      <c r="L7922" s="3">
        <v>3459.8399999999997</v>
      </c>
    </row>
    <row r="7923" spans="1:12" x14ac:dyDescent="0.25">
      <c r="A7923" t="s">
        <v>11</v>
      </c>
      <c r="B7923">
        <v>1185732</v>
      </c>
      <c r="C7923" s="1">
        <v>44540</v>
      </c>
      <c r="D7923" t="s">
        <v>12</v>
      </c>
      <c r="E7923" t="s">
        <v>101</v>
      </c>
      <c r="F7923" t="s">
        <v>102</v>
      </c>
      <c r="G7923" t="s">
        <v>15</v>
      </c>
      <c r="H7923" t="s">
        <v>16</v>
      </c>
      <c r="I7923" s="3">
        <v>29</v>
      </c>
      <c r="J7923" s="2">
        <v>170</v>
      </c>
      <c r="K7923" s="3">
        <f t="shared" si="123"/>
        <v>4930</v>
      </c>
      <c r="L7923" s="3">
        <v>2366.4</v>
      </c>
    </row>
    <row r="7924" spans="1:12" x14ac:dyDescent="0.25">
      <c r="A7924" t="s">
        <v>11</v>
      </c>
      <c r="B7924">
        <v>1185732</v>
      </c>
      <c r="C7924" s="1">
        <v>44540</v>
      </c>
      <c r="D7924" t="s">
        <v>12</v>
      </c>
      <c r="E7924" t="s">
        <v>101</v>
      </c>
      <c r="F7924" t="s">
        <v>102</v>
      </c>
      <c r="G7924" t="s">
        <v>41</v>
      </c>
      <c r="H7924" t="s">
        <v>38</v>
      </c>
      <c r="I7924" s="3">
        <v>39</v>
      </c>
      <c r="J7924" s="2">
        <v>203</v>
      </c>
      <c r="K7924" s="3">
        <f t="shared" si="123"/>
        <v>7917</v>
      </c>
      <c r="L7924" s="3">
        <v>3562.6499999999996</v>
      </c>
    </row>
    <row r="7925" spans="1:12" x14ac:dyDescent="0.25">
      <c r="A7925" t="s">
        <v>36</v>
      </c>
      <c r="B7925">
        <v>1185732</v>
      </c>
      <c r="C7925" s="1">
        <v>44540</v>
      </c>
      <c r="D7925" t="s">
        <v>29</v>
      </c>
      <c r="E7925" t="s">
        <v>80</v>
      </c>
      <c r="F7925" t="s">
        <v>81</v>
      </c>
      <c r="G7925" t="s">
        <v>41</v>
      </c>
      <c r="H7925" t="s">
        <v>17</v>
      </c>
      <c r="I7925" s="3">
        <v>55</v>
      </c>
      <c r="J7925" s="2">
        <v>100</v>
      </c>
      <c r="K7925" s="3">
        <f t="shared" si="123"/>
        <v>5500</v>
      </c>
      <c r="L7925" s="3">
        <v>2474.9999999999995</v>
      </c>
    </row>
    <row r="7926" spans="1:12" x14ac:dyDescent="0.25">
      <c r="A7926" t="s">
        <v>36</v>
      </c>
      <c r="B7926">
        <v>1185732</v>
      </c>
      <c r="C7926" s="1">
        <v>44540</v>
      </c>
      <c r="D7926" t="s">
        <v>29</v>
      </c>
      <c r="E7926" t="s">
        <v>80</v>
      </c>
      <c r="F7926" t="s">
        <v>81</v>
      </c>
      <c r="G7926" t="s">
        <v>41</v>
      </c>
      <c r="H7926" t="s">
        <v>38</v>
      </c>
      <c r="I7926" s="3">
        <v>64</v>
      </c>
      <c r="J7926" s="2">
        <v>168</v>
      </c>
      <c r="K7926" s="3">
        <f t="shared" si="123"/>
        <v>10752</v>
      </c>
      <c r="L7926" s="3">
        <v>4300.8</v>
      </c>
    </row>
    <row r="7927" spans="1:12" x14ac:dyDescent="0.25">
      <c r="A7927" t="s">
        <v>27</v>
      </c>
      <c r="B7927">
        <v>1185732</v>
      </c>
      <c r="C7927" s="1">
        <v>44540</v>
      </c>
      <c r="D7927" t="s">
        <v>12</v>
      </c>
      <c r="E7927" t="s">
        <v>62</v>
      </c>
      <c r="F7927" t="s">
        <v>63</v>
      </c>
      <c r="G7927" t="s">
        <v>41</v>
      </c>
      <c r="H7927" t="s">
        <v>38</v>
      </c>
      <c r="I7927" s="3">
        <v>52</v>
      </c>
      <c r="J7927" s="2">
        <v>224</v>
      </c>
      <c r="K7927" s="3">
        <f t="shared" si="123"/>
        <v>11648</v>
      </c>
      <c r="L7927" s="3">
        <v>4542.72</v>
      </c>
    </row>
    <row r="7928" spans="1:12" x14ac:dyDescent="0.25">
      <c r="A7928" t="s">
        <v>11</v>
      </c>
      <c r="B7928">
        <v>1185732</v>
      </c>
      <c r="C7928" s="1">
        <v>44540</v>
      </c>
      <c r="D7928" t="s">
        <v>12</v>
      </c>
      <c r="E7928" t="s">
        <v>101</v>
      </c>
      <c r="F7928" t="s">
        <v>102</v>
      </c>
      <c r="G7928" t="s">
        <v>41</v>
      </c>
      <c r="H7928" t="s">
        <v>16</v>
      </c>
      <c r="I7928" s="3">
        <v>42</v>
      </c>
      <c r="J7928" s="2">
        <v>125</v>
      </c>
      <c r="K7928" s="3">
        <f t="shared" si="123"/>
        <v>5250</v>
      </c>
      <c r="L7928" s="3">
        <v>2047.5</v>
      </c>
    </row>
    <row r="7929" spans="1:12" x14ac:dyDescent="0.25">
      <c r="A7929" t="s">
        <v>26</v>
      </c>
      <c r="B7929">
        <v>1185732</v>
      </c>
      <c r="C7929" s="1">
        <v>44541</v>
      </c>
      <c r="D7929" t="s">
        <v>57</v>
      </c>
      <c r="E7929" t="s">
        <v>74</v>
      </c>
      <c r="F7929" t="s">
        <v>75</v>
      </c>
      <c r="G7929" t="s">
        <v>41</v>
      </c>
      <c r="H7929" t="s">
        <v>17</v>
      </c>
      <c r="I7929" s="3">
        <v>50</v>
      </c>
      <c r="J7929" s="2">
        <v>300</v>
      </c>
      <c r="K7929" s="3">
        <f t="shared" si="123"/>
        <v>15000</v>
      </c>
      <c r="L7929" s="3">
        <v>10500</v>
      </c>
    </row>
    <row r="7930" spans="1:12" x14ac:dyDescent="0.25">
      <c r="A7930" t="s">
        <v>26</v>
      </c>
      <c r="B7930">
        <v>1185732</v>
      </c>
      <c r="C7930" s="1">
        <v>44541</v>
      </c>
      <c r="D7930" t="s">
        <v>57</v>
      </c>
      <c r="E7930" t="s">
        <v>74</v>
      </c>
      <c r="F7930" t="s">
        <v>75</v>
      </c>
      <c r="G7930" t="s">
        <v>41</v>
      </c>
      <c r="H7930" t="s">
        <v>35</v>
      </c>
      <c r="I7930" s="3">
        <v>50</v>
      </c>
      <c r="J7930" s="2">
        <v>250</v>
      </c>
      <c r="K7930" s="3">
        <f t="shared" si="123"/>
        <v>12500</v>
      </c>
      <c r="L7930" s="3">
        <v>8750</v>
      </c>
    </row>
    <row r="7931" spans="1:12" x14ac:dyDescent="0.25">
      <c r="A7931" t="s">
        <v>26</v>
      </c>
      <c r="B7931">
        <v>1185732</v>
      </c>
      <c r="C7931" s="1">
        <v>44541</v>
      </c>
      <c r="D7931" t="s">
        <v>57</v>
      </c>
      <c r="E7931" t="s">
        <v>74</v>
      </c>
      <c r="F7931" t="s">
        <v>75</v>
      </c>
      <c r="G7931" t="s">
        <v>41</v>
      </c>
      <c r="H7931" t="s">
        <v>37</v>
      </c>
      <c r="I7931" s="3">
        <v>50</v>
      </c>
      <c r="J7931" s="2">
        <v>200</v>
      </c>
      <c r="K7931" s="3">
        <f t="shared" si="123"/>
        <v>10000</v>
      </c>
      <c r="L7931" s="3">
        <v>7000</v>
      </c>
    </row>
    <row r="7932" spans="1:12" x14ac:dyDescent="0.25">
      <c r="A7932" t="s">
        <v>19</v>
      </c>
      <c r="B7932">
        <v>1185732</v>
      </c>
      <c r="C7932" s="1">
        <v>44541</v>
      </c>
      <c r="D7932" t="s">
        <v>29</v>
      </c>
      <c r="E7932" t="s">
        <v>55</v>
      </c>
      <c r="F7932" t="s">
        <v>56</v>
      </c>
      <c r="G7932" t="s">
        <v>15</v>
      </c>
      <c r="H7932" t="s">
        <v>35</v>
      </c>
      <c r="I7932" s="3">
        <v>45</v>
      </c>
      <c r="J7932" s="2">
        <v>200</v>
      </c>
      <c r="K7932" s="3">
        <f t="shared" si="123"/>
        <v>9000</v>
      </c>
      <c r="L7932" s="3">
        <v>5850</v>
      </c>
    </row>
    <row r="7933" spans="1:12" x14ac:dyDescent="0.25">
      <c r="A7933" t="s">
        <v>26</v>
      </c>
      <c r="B7933">
        <v>1185732</v>
      </c>
      <c r="C7933" s="1">
        <v>44541</v>
      </c>
      <c r="D7933" t="s">
        <v>57</v>
      </c>
      <c r="E7933" t="s">
        <v>74</v>
      </c>
      <c r="F7933" t="s">
        <v>75</v>
      </c>
      <c r="G7933" t="s">
        <v>41</v>
      </c>
      <c r="H7933" t="s">
        <v>38</v>
      </c>
      <c r="I7933" s="3">
        <v>60</v>
      </c>
      <c r="J7933" s="2">
        <v>500</v>
      </c>
      <c r="K7933" s="3">
        <f t="shared" si="123"/>
        <v>30000</v>
      </c>
      <c r="L7933" s="3">
        <v>19500</v>
      </c>
    </row>
    <row r="7934" spans="1:12" x14ac:dyDescent="0.25">
      <c r="A7934" t="s">
        <v>26</v>
      </c>
      <c r="B7934">
        <v>1185732</v>
      </c>
      <c r="C7934" s="1">
        <v>44541</v>
      </c>
      <c r="D7934" t="s">
        <v>57</v>
      </c>
      <c r="E7934" t="s">
        <v>74</v>
      </c>
      <c r="F7934" t="s">
        <v>75</v>
      </c>
      <c r="G7934" t="s">
        <v>41</v>
      </c>
      <c r="H7934" t="s">
        <v>22</v>
      </c>
      <c r="I7934" s="3">
        <v>60</v>
      </c>
      <c r="J7934" s="2">
        <v>200</v>
      </c>
      <c r="K7934" s="3">
        <f t="shared" si="123"/>
        <v>12000</v>
      </c>
      <c r="L7934" s="3">
        <v>7800</v>
      </c>
    </row>
    <row r="7935" spans="1:12" x14ac:dyDescent="0.25">
      <c r="A7935" t="s">
        <v>26</v>
      </c>
      <c r="B7935">
        <v>1185732</v>
      </c>
      <c r="C7935" s="1">
        <v>44541</v>
      </c>
      <c r="D7935" t="s">
        <v>57</v>
      </c>
      <c r="E7935" t="s">
        <v>74</v>
      </c>
      <c r="F7935" t="s">
        <v>75</v>
      </c>
      <c r="G7935" t="s">
        <v>41</v>
      </c>
      <c r="H7935" t="s">
        <v>16</v>
      </c>
      <c r="I7935" s="3">
        <v>64.999999999999986</v>
      </c>
      <c r="J7935" s="2">
        <v>300</v>
      </c>
      <c r="K7935" s="3">
        <f t="shared" si="123"/>
        <v>19499.999999999996</v>
      </c>
      <c r="L7935" s="3">
        <v>11699.999999999998</v>
      </c>
    </row>
    <row r="7936" spans="1:12" x14ac:dyDescent="0.25">
      <c r="A7936" t="s">
        <v>19</v>
      </c>
      <c r="B7936">
        <v>1185732</v>
      </c>
      <c r="C7936" s="1">
        <v>44541</v>
      </c>
      <c r="D7936" t="s">
        <v>29</v>
      </c>
      <c r="E7936" t="s">
        <v>55</v>
      </c>
      <c r="F7936" t="s">
        <v>56</v>
      </c>
      <c r="G7936" t="s">
        <v>15</v>
      </c>
      <c r="H7936" t="s">
        <v>35</v>
      </c>
      <c r="I7936" s="3">
        <v>32</v>
      </c>
      <c r="J7936" s="2">
        <v>60</v>
      </c>
      <c r="K7936" s="3">
        <f t="shared" si="123"/>
        <v>1920</v>
      </c>
      <c r="L7936" s="3">
        <v>1152</v>
      </c>
    </row>
    <row r="7937" spans="1:12" x14ac:dyDescent="0.25">
      <c r="A7937" t="s">
        <v>26</v>
      </c>
      <c r="B7937">
        <v>1185732</v>
      </c>
      <c r="C7937" s="1">
        <v>44541</v>
      </c>
      <c r="D7937" t="s">
        <v>57</v>
      </c>
      <c r="E7937" t="s">
        <v>74</v>
      </c>
      <c r="F7937" t="s">
        <v>75</v>
      </c>
      <c r="G7937" t="s">
        <v>41</v>
      </c>
      <c r="H7937" t="s">
        <v>35</v>
      </c>
      <c r="I7937" s="3">
        <v>45</v>
      </c>
      <c r="J7937" s="2">
        <v>73</v>
      </c>
      <c r="K7937" s="3">
        <f t="shared" si="123"/>
        <v>3285</v>
      </c>
      <c r="L7937" s="3">
        <v>1905.3</v>
      </c>
    </row>
    <row r="7938" spans="1:12" x14ac:dyDescent="0.25">
      <c r="A7938" t="s">
        <v>26</v>
      </c>
      <c r="B7938">
        <v>1185732</v>
      </c>
      <c r="C7938" s="1">
        <v>44541</v>
      </c>
      <c r="D7938" t="s">
        <v>57</v>
      </c>
      <c r="E7938" t="s">
        <v>74</v>
      </c>
      <c r="F7938" t="s">
        <v>75</v>
      </c>
      <c r="G7938" t="s">
        <v>41</v>
      </c>
      <c r="H7938" t="s">
        <v>17</v>
      </c>
      <c r="I7938" s="3">
        <v>45</v>
      </c>
      <c r="J7938" s="2">
        <v>75</v>
      </c>
      <c r="K7938" s="3">
        <f t="shared" si="123"/>
        <v>3375</v>
      </c>
      <c r="L7938" s="3">
        <v>1923.75</v>
      </c>
    </row>
    <row r="7939" spans="1:12" x14ac:dyDescent="0.25">
      <c r="A7939" t="s">
        <v>26</v>
      </c>
      <c r="B7939">
        <v>1185732</v>
      </c>
      <c r="C7939" s="1">
        <v>44541</v>
      </c>
      <c r="D7939" t="s">
        <v>57</v>
      </c>
      <c r="E7939" t="s">
        <v>74</v>
      </c>
      <c r="F7939" t="s">
        <v>75</v>
      </c>
      <c r="G7939" t="s">
        <v>41</v>
      </c>
      <c r="H7939" t="s">
        <v>22</v>
      </c>
      <c r="I7939" s="3">
        <v>56</v>
      </c>
      <c r="J7939" s="2">
        <v>50</v>
      </c>
      <c r="K7939" s="3">
        <f t="shared" ref="K7939:K8002" si="124">I7939*J7939</f>
        <v>2800</v>
      </c>
      <c r="L7939" s="3">
        <v>1540.0000000000002</v>
      </c>
    </row>
    <row r="7940" spans="1:12" x14ac:dyDescent="0.25">
      <c r="A7940" t="s">
        <v>19</v>
      </c>
      <c r="B7940">
        <v>1185732</v>
      </c>
      <c r="C7940" s="1">
        <v>44541</v>
      </c>
      <c r="D7940" t="s">
        <v>29</v>
      </c>
      <c r="E7940" t="s">
        <v>55</v>
      </c>
      <c r="F7940" t="s">
        <v>56</v>
      </c>
      <c r="G7940" t="s">
        <v>41</v>
      </c>
      <c r="H7940" t="s">
        <v>35</v>
      </c>
      <c r="I7940" s="3">
        <v>41</v>
      </c>
      <c r="J7940" s="2">
        <v>50</v>
      </c>
      <c r="K7940" s="3">
        <f t="shared" si="124"/>
        <v>2050</v>
      </c>
      <c r="L7940" s="3">
        <v>1127.5</v>
      </c>
    </row>
    <row r="7941" spans="1:12" x14ac:dyDescent="0.25">
      <c r="A7941" t="s">
        <v>26</v>
      </c>
      <c r="B7941">
        <v>1185732</v>
      </c>
      <c r="C7941" s="1">
        <v>44541</v>
      </c>
      <c r="D7941" t="s">
        <v>57</v>
      </c>
      <c r="E7941" t="s">
        <v>74</v>
      </c>
      <c r="F7941" t="s">
        <v>75</v>
      </c>
      <c r="G7941" t="s">
        <v>41</v>
      </c>
      <c r="H7941" t="s">
        <v>37</v>
      </c>
      <c r="I7941" s="3">
        <v>45</v>
      </c>
      <c r="J7941" s="2">
        <v>50</v>
      </c>
      <c r="K7941" s="3">
        <f t="shared" si="124"/>
        <v>2250</v>
      </c>
      <c r="L7941" s="3">
        <v>1237.5</v>
      </c>
    </row>
    <row r="7942" spans="1:12" x14ac:dyDescent="0.25">
      <c r="A7942" t="s">
        <v>26</v>
      </c>
      <c r="B7942">
        <v>1185732</v>
      </c>
      <c r="C7942" s="1">
        <v>44541</v>
      </c>
      <c r="D7942" t="s">
        <v>57</v>
      </c>
      <c r="E7942" t="s">
        <v>74</v>
      </c>
      <c r="F7942" t="s">
        <v>75</v>
      </c>
      <c r="G7942" t="s">
        <v>41</v>
      </c>
      <c r="H7942" t="s">
        <v>38</v>
      </c>
      <c r="I7942" s="3">
        <v>58</v>
      </c>
      <c r="J7942" s="2">
        <v>140</v>
      </c>
      <c r="K7942" s="3">
        <f t="shared" si="124"/>
        <v>8120</v>
      </c>
      <c r="L7942" s="3">
        <v>4384.8</v>
      </c>
    </row>
    <row r="7943" spans="1:12" x14ac:dyDescent="0.25">
      <c r="A7943" t="s">
        <v>26</v>
      </c>
      <c r="B7943">
        <v>1185732</v>
      </c>
      <c r="C7943" s="1">
        <v>44541</v>
      </c>
      <c r="D7943" t="s">
        <v>57</v>
      </c>
      <c r="E7943" t="s">
        <v>74</v>
      </c>
      <c r="F7943" t="s">
        <v>75</v>
      </c>
      <c r="G7943" t="s">
        <v>41</v>
      </c>
      <c r="H7943" t="s">
        <v>16</v>
      </c>
      <c r="I7943" s="3">
        <v>64</v>
      </c>
      <c r="J7943" s="2">
        <v>75</v>
      </c>
      <c r="K7943" s="3">
        <f t="shared" si="124"/>
        <v>4800</v>
      </c>
      <c r="L7943" s="3">
        <v>2304</v>
      </c>
    </row>
    <row r="7944" spans="1:12" x14ac:dyDescent="0.25">
      <c r="A7944" t="s">
        <v>19</v>
      </c>
      <c r="B7944">
        <v>1128299</v>
      </c>
      <c r="C7944" s="1">
        <v>44542</v>
      </c>
      <c r="D7944" t="s">
        <v>32</v>
      </c>
      <c r="E7944" t="s">
        <v>44</v>
      </c>
      <c r="F7944" t="s">
        <v>45</v>
      </c>
      <c r="G7944" t="s">
        <v>41</v>
      </c>
      <c r="H7944" t="s">
        <v>16</v>
      </c>
      <c r="I7944" s="3">
        <v>70</v>
      </c>
      <c r="J7944" s="2">
        <v>500</v>
      </c>
      <c r="K7944" s="3">
        <f t="shared" si="124"/>
        <v>35000</v>
      </c>
      <c r="L7944" s="3">
        <v>26250</v>
      </c>
    </row>
    <row r="7945" spans="1:12" x14ac:dyDescent="0.25">
      <c r="A7945" t="s">
        <v>19</v>
      </c>
      <c r="B7945">
        <v>1197831</v>
      </c>
      <c r="C7945" s="1">
        <v>44542</v>
      </c>
      <c r="D7945" t="s">
        <v>57</v>
      </c>
      <c r="E7945" t="s">
        <v>72</v>
      </c>
      <c r="F7945" t="s">
        <v>73</v>
      </c>
      <c r="G7945" t="s">
        <v>41</v>
      </c>
      <c r="H7945" t="s">
        <v>37</v>
      </c>
      <c r="I7945" s="3">
        <v>60.000000000000007</v>
      </c>
      <c r="J7945" s="2">
        <v>300</v>
      </c>
      <c r="K7945" s="3">
        <f t="shared" si="124"/>
        <v>18000.000000000004</v>
      </c>
      <c r="L7945" s="3">
        <v>11700.000000000004</v>
      </c>
    </row>
    <row r="7946" spans="1:12" x14ac:dyDescent="0.25">
      <c r="A7946" t="s">
        <v>19</v>
      </c>
      <c r="B7946">
        <v>1185732</v>
      </c>
      <c r="C7946" s="1">
        <v>44542</v>
      </c>
      <c r="D7946" t="s">
        <v>29</v>
      </c>
      <c r="E7946" t="s">
        <v>55</v>
      </c>
      <c r="F7946" t="s">
        <v>56</v>
      </c>
      <c r="G7946" t="s">
        <v>15</v>
      </c>
      <c r="H7946" t="s">
        <v>37</v>
      </c>
      <c r="I7946" s="3">
        <v>45</v>
      </c>
      <c r="J7946" s="2">
        <v>175</v>
      </c>
      <c r="K7946" s="3">
        <f t="shared" si="124"/>
        <v>7875</v>
      </c>
      <c r="L7946" s="3">
        <v>5118.75</v>
      </c>
    </row>
    <row r="7947" spans="1:12" x14ac:dyDescent="0.25">
      <c r="A7947" t="s">
        <v>19</v>
      </c>
      <c r="B7947">
        <v>1128299</v>
      </c>
      <c r="C7947" s="1">
        <v>44542</v>
      </c>
      <c r="D7947" t="s">
        <v>32</v>
      </c>
      <c r="E7947" t="s">
        <v>44</v>
      </c>
      <c r="F7947" t="s">
        <v>45</v>
      </c>
      <c r="G7947" t="s">
        <v>41</v>
      </c>
      <c r="H7947" t="s">
        <v>35</v>
      </c>
      <c r="I7947" s="3">
        <v>55.000000000000007</v>
      </c>
      <c r="J7947" s="2">
        <v>475</v>
      </c>
      <c r="K7947" s="3">
        <f t="shared" si="124"/>
        <v>26125.000000000004</v>
      </c>
      <c r="L7947" s="3">
        <v>16981.250000000004</v>
      </c>
    </row>
    <row r="7948" spans="1:12" x14ac:dyDescent="0.25">
      <c r="A7948" t="s">
        <v>19</v>
      </c>
      <c r="B7948">
        <v>1128299</v>
      </c>
      <c r="C7948" s="1">
        <v>44542</v>
      </c>
      <c r="D7948" t="s">
        <v>32</v>
      </c>
      <c r="E7948" t="s">
        <v>44</v>
      </c>
      <c r="F7948" t="s">
        <v>45</v>
      </c>
      <c r="G7948" t="s">
        <v>41</v>
      </c>
      <c r="H7948" t="s">
        <v>22</v>
      </c>
      <c r="I7948" s="3">
        <v>65</v>
      </c>
      <c r="J7948" s="2">
        <v>400</v>
      </c>
      <c r="K7948" s="3">
        <f t="shared" si="124"/>
        <v>26000</v>
      </c>
      <c r="L7948" s="3">
        <v>16900</v>
      </c>
    </row>
    <row r="7949" spans="1:12" x14ac:dyDescent="0.25">
      <c r="A7949" t="s">
        <v>19</v>
      </c>
      <c r="B7949">
        <v>1197831</v>
      </c>
      <c r="C7949" s="1">
        <v>44542</v>
      </c>
      <c r="D7949" t="s">
        <v>57</v>
      </c>
      <c r="E7949" t="s">
        <v>72</v>
      </c>
      <c r="F7949" t="s">
        <v>73</v>
      </c>
      <c r="G7949" t="s">
        <v>41</v>
      </c>
      <c r="H7949" t="s">
        <v>38</v>
      </c>
      <c r="I7949" s="3">
        <v>70</v>
      </c>
      <c r="J7949" s="2">
        <v>600</v>
      </c>
      <c r="K7949" s="3">
        <f t="shared" si="124"/>
        <v>42000</v>
      </c>
      <c r="L7949" s="3">
        <v>27300</v>
      </c>
    </row>
    <row r="7950" spans="1:12" x14ac:dyDescent="0.25">
      <c r="A7950" t="s">
        <v>19</v>
      </c>
      <c r="B7950">
        <v>1197831</v>
      </c>
      <c r="C7950" s="1">
        <v>44542</v>
      </c>
      <c r="D7950" t="s">
        <v>57</v>
      </c>
      <c r="E7950" t="s">
        <v>72</v>
      </c>
      <c r="F7950" t="s">
        <v>73</v>
      </c>
      <c r="G7950" t="s">
        <v>41</v>
      </c>
      <c r="H7950" t="s">
        <v>17</v>
      </c>
      <c r="I7950" s="3">
        <v>60.000000000000007</v>
      </c>
      <c r="J7950" s="2">
        <v>400</v>
      </c>
      <c r="K7950" s="3">
        <f t="shared" si="124"/>
        <v>24000.000000000004</v>
      </c>
      <c r="L7950" s="3">
        <v>15600.000000000004</v>
      </c>
    </row>
    <row r="7951" spans="1:12" x14ac:dyDescent="0.25">
      <c r="A7951" t="s">
        <v>19</v>
      </c>
      <c r="B7951">
        <v>1197831</v>
      </c>
      <c r="C7951" s="1">
        <v>44542</v>
      </c>
      <c r="D7951" t="s">
        <v>57</v>
      </c>
      <c r="E7951" t="s">
        <v>72</v>
      </c>
      <c r="F7951" t="s">
        <v>73</v>
      </c>
      <c r="G7951" t="s">
        <v>41</v>
      </c>
      <c r="H7951" t="s">
        <v>35</v>
      </c>
      <c r="I7951" s="3">
        <v>60.000000000000007</v>
      </c>
      <c r="J7951" s="2">
        <v>350</v>
      </c>
      <c r="K7951" s="3">
        <f t="shared" si="124"/>
        <v>21000.000000000004</v>
      </c>
      <c r="L7951" s="3">
        <v>13650.000000000004</v>
      </c>
    </row>
    <row r="7952" spans="1:12" x14ac:dyDescent="0.25">
      <c r="A7952" t="s">
        <v>19</v>
      </c>
      <c r="B7952">
        <v>1197831</v>
      </c>
      <c r="C7952" s="1">
        <v>44542</v>
      </c>
      <c r="D7952" t="s">
        <v>57</v>
      </c>
      <c r="E7952" t="s">
        <v>72</v>
      </c>
      <c r="F7952" t="s">
        <v>73</v>
      </c>
      <c r="G7952" t="s">
        <v>41</v>
      </c>
      <c r="H7952" t="s">
        <v>22</v>
      </c>
      <c r="I7952" s="3">
        <v>70</v>
      </c>
      <c r="J7952" s="2">
        <v>300</v>
      </c>
      <c r="K7952" s="3">
        <f t="shared" si="124"/>
        <v>21000</v>
      </c>
      <c r="L7952" s="3">
        <v>13650</v>
      </c>
    </row>
    <row r="7953" spans="1:12" x14ac:dyDescent="0.25">
      <c r="A7953" t="s">
        <v>19</v>
      </c>
      <c r="B7953">
        <v>1197831</v>
      </c>
      <c r="C7953" s="1">
        <v>44542</v>
      </c>
      <c r="D7953" t="s">
        <v>57</v>
      </c>
      <c r="E7953" t="s">
        <v>72</v>
      </c>
      <c r="F7953" t="s">
        <v>73</v>
      </c>
      <c r="G7953" t="s">
        <v>41</v>
      </c>
      <c r="H7953" t="s">
        <v>16</v>
      </c>
      <c r="I7953" s="3">
        <v>75</v>
      </c>
      <c r="J7953" s="2">
        <v>400</v>
      </c>
      <c r="K7953" s="3">
        <f t="shared" si="124"/>
        <v>30000</v>
      </c>
      <c r="L7953" s="3">
        <v>19500</v>
      </c>
    </row>
    <row r="7954" spans="1:12" x14ac:dyDescent="0.25">
      <c r="A7954" t="s">
        <v>26</v>
      </c>
      <c r="B7954">
        <v>1128299</v>
      </c>
      <c r="C7954" s="1">
        <v>44542</v>
      </c>
      <c r="D7954" t="s">
        <v>32</v>
      </c>
      <c r="E7954" t="s">
        <v>44</v>
      </c>
      <c r="F7954" t="s">
        <v>45</v>
      </c>
      <c r="G7954" t="s">
        <v>41</v>
      </c>
      <c r="H7954" t="s">
        <v>38</v>
      </c>
      <c r="I7954" s="3">
        <v>55.000000000000007</v>
      </c>
      <c r="J7954" s="2">
        <v>675</v>
      </c>
      <c r="K7954" s="3">
        <f t="shared" si="124"/>
        <v>37125.000000000007</v>
      </c>
      <c r="L7954" s="3">
        <v>22275.000000000004</v>
      </c>
    </row>
    <row r="7955" spans="1:12" x14ac:dyDescent="0.25">
      <c r="A7955" t="s">
        <v>26</v>
      </c>
      <c r="B7955">
        <v>1128299</v>
      </c>
      <c r="C7955" s="1">
        <v>44542</v>
      </c>
      <c r="D7955" t="s">
        <v>32</v>
      </c>
      <c r="E7955" t="s">
        <v>44</v>
      </c>
      <c r="F7955" t="s">
        <v>45</v>
      </c>
      <c r="G7955" t="s">
        <v>41</v>
      </c>
      <c r="H7955" t="s">
        <v>17</v>
      </c>
      <c r="I7955" s="3">
        <v>60.000000000000007</v>
      </c>
      <c r="J7955" s="2">
        <v>675</v>
      </c>
      <c r="K7955" s="3">
        <f t="shared" si="124"/>
        <v>40500.000000000007</v>
      </c>
      <c r="L7955" s="3">
        <v>24300.000000000004</v>
      </c>
    </row>
    <row r="7956" spans="1:12" x14ac:dyDescent="0.25">
      <c r="A7956" t="s">
        <v>19</v>
      </c>
      <c r="B7956">
        <v>1128299</v>
      </c>
      <c r="C7956" s="1">
        <v>44542</v>
      </c>
      <c r="D7956" t="s">
        <v>32</v>
      </c>
      <c r="E7956" t="s">
        <v>44</v>
      </c>
      <c r="F7956" t="s">
        <v>45</v>
      </c>
      <c r="G7956" t="s">
        <v>41</v>
      </c>
      <c r="H7956" t="s">
        <v>37</v>
      </c>
      <c r="I7956" s="3">
        <v>55.000000000000007</v>
      </c>
      <c r="J7956" s="2">
        <v>475</v>
      </c>
      <c r="K7956" s="3">
        <f t="shared" si="124"/>
        <v>26125.000000000004</v>
      </c>
      <c r="L7956" s="3">
        <v>15675</v>
      </c>
    </row>
    <row r="7957" spans="1:12" x14ac:dyDescent="0.25">
      <c r="A7957" t="s">
        <v>19</v>
      </c>
      <c r="B7957">
        <v>1128299</v>
      </c>
      <c r="C7957" s="1">
        <v>44542</v>
      </c>
      <c r="D7957" t="s">
        <v>32</v>
      </c>
      <c r="E7957" t="s">
        <v>44</v>
      </c>
      <c r="F7957" t="s">
        <v>45</v>
      </c>
      <c r="G7957" t="s">
        <v>15</v>
      </c>
      <c r="H7957" t="s">
        <v>16</v>
      </c>
      <c r="I7957" s="3">
        <v>47</v>
      </c>
      <c r="J7957" s="2">
        <v>160</v>
      </c>
      <c r="K7957" s="3">
        <f t="shared" si="124"/>
        <v>7520</v>
      </c>
      <c r="L7957" s="3">
        <v>5264</v>
      </c>
    </row>
    <row r="7958" spans="1:12" x14ac:dyDescent="0.25">
      <c r="A7958" t="s">
        <v>19</v>
      </c>
      <c r="B7958">
        <v>1128299</v>
      </c>
      <c r="C7958" s="1">
        <v>44542</v>
      </c>
      <c r="D7958" t="s">
        <v>32</v>
      </c>
      <c r="E7958" t="s">
        <v>44</v>
      </c>
      <c r="F7958" t="s">
        <v>45</v>
      </c>
      <c r="G7958" t="s">
        <v>41</v>
      </c>
      <c r="H7958" t="s">
        <v>16</v>
      </c>
      <c r="I7958" s="3">
        <v>64</v>
      </c>
      <c r="J7958" s="2">
        <v>135</v>
      </c>
      <c r="K7958" s="3">
        <f t="shared" si="124"/>
        <v>8640</v>
      </c>
      <c r="L7958" s="3">
        <v>5616</v>
      </c>
    </row>
    <row r="7959" spans="1:12" x14ac:dyDescent="0.25">
      <c r="A7959" t="s">
        <v>19</v>
      </c>
      <c r="B7959">
        <v>1128299</v>
      </c>
      <c r="C7959" s="1">
        <v>44542</v>
      </c>
      <c r="D7959" t="s">
        <v>32</v>
      </c>
      <c r="E7959" t="s">
        <v>44</v>
      </c>
      <c r="F7959" t="s">
        <v>45</v>
      </c>
      <c r="G7959" t="s">
        <v>15</v>
      </c>
      <c r="H7959" t="s">
        <v>22</v>
      </c>
      <c r="I7959" s="3">
        <v>44</v>
      </c>
      <c r="J7959" s="2">
        <v>120</v>
      </c>
      <c r="K7959" s="3">
        <f t="shared" si="124"/>
        <v>5280</v>
      </c>
      <c r="L7959" s="3">
        <v>3273.6</v>
      </c>
    </row>
    <row r="7960" spans="1:12" x14ac:dyDescent="0.25">
      <c r="A7960" t="s">
        <v>19</v>
      </c>
      <c r="B7960">
        <v>1185732</v>
      </c>
      <c r="C7960" s="1">
        <v>44542</v>
      </c>
      <c r="D7960" t="s">
        <v>29</v>
      </c>
      <c r="E7960" t="s">
        <v>55</v>
      </c>
      <c r="F7960" t="s">
        <v>56</v>
      </c>
      <c r="G7960" t="s">
        <v>15</v>
      </c>
      <c r="H7960" t="s">
        <v>37</v>
      </c>
      <c r="I7960" s="3">
        <v>32</v>
      </c>
      <c r="J7960" s="2">
        <v>53</v>
      </c>
      <c r="K7960" s="3">
        <f t="shared" si="124"/>
        <v>1696</v>
      </c>
      <c r="L7960" s="3">
        <v>1000.64</v>
      </c>
    </row>
    <row r="7961" spans="1:12" x14ac:dyDescent="0.25">
      <c r="A7961" t="s">
        <v>19</v>
      </c>
      <c r="B7961">
        <v>1128299</v>
      </c>
      <c r="C7961" s="1">
        <v>44542</v>
      </c>
      <c r="D7961" t="s">
        <v>32</v>
      </c>
      <c r="E7961" t="s">
        <v>44</v>
      </c>
      <c r="F7961" t="s">
        <v>45</v>
      </c>
      <c r="G7961" t="s">
        <v>15</v>
      </c>
      <c r="H7961" t="s">
        <v>35</v>
      </c>
      <c r="I7961" s="3">
        <v>36</v>
      </c>
      <c r="J7961" s="2">
        <v>147</v>
      </c>
      <c r="K7961" s="3">
        <f t="shared" si="124"/>
        <v>5292</v>
      </c>
      <c r="L7961" s="3">
        <v>3069.36</v>
      </c>
    </row>
    <row r="7962" spans="1:12" x14ac:dyDescent="0.25">
      <c r="A7962" t="s">
        <v>19</v>
      </c>
      <c r="B7962">
        <v>1128299</v>
      </c>
      <c r="C7962" s="1">
        <v>44542</v>
      </c>
      <c r="D7962" t="s">
        <v>32</v>
      </c>
      <c r="E7962" t="s">
        <v>44</v>
      </c>
      <c r="F7962" t="s">
        <v>45</v>
      </c>
      <c r="G7962" t="s">
        <v>15</v>
      </c>
      <c r="H7962" t="s">
        <v>37</v>
      </c>
      <c r="I7962" s="3">
        <v>40</v>
      </c>
      <c r="J7962" s="2">
        <v>143</v>
      </c>
      <c r="K7962" s="3">
        <f t="shared" si="124"/>
        <v>5720</v>
      </c>
      <c r="L7962" s="3">
        <v>3260.3999999999996</v>
      </c>
    </row>
    <row r="7963" spans="1:12" x14ac:dyDescent="0.25">
      <c r="A7963" t="s">
        <v>19</v>
      </c>
      <c r="B7963">
        <v>1197831</v>
      </c>
      <c r="C7963" s="1">
        <v>44542</v>
      </c>
      <c r="D7963" t="s">
        <v>57</v>
      </c>
      <c r="E7963" t="s">
        <v>72</v>
      </c>
      <c r="F7963" t="s">
        <v>73</v>
      </c>
      <c r="G7963" t="s">
        <v>41</v>
      </c>
      <c r="H7963" t="s">
        <v>37</v>
      </c>
      <c r="I7963" s="3">
        <v>59</v>
      </c>
      <c r="J7963" s="2">
        <v>90</v>
      </c>
      <c r="K7963" s="3">
        <f t="shared" si="124"/>
        <v>5310</v>
      </c>
      <c r="L7963" s="3">
        <v>2920.5000000000005</v>
      </c>
    </row>
    <row r="7964" spans="1:12" x14ac:dyDescent="0.25">
      <c r="A7964" t="s">
        <v>19</v>
      </c>
      <c r="B7964">
        <v>1197831</v>
      </c>
      <c r="C7964" s="1">
        <v>44542</v>
      </c>
      <c r="D7964" t="s">
        <v>57</v>
      </c>
      <c r="E7964" t="s">
        <v>72</v>
      </c>
      <c r="F7964" t="s">
        <v>73</v>
      </c>
      <c r="G7964" t="s">
        <v>41</v>
      </c>
      <c r="H7964" t="s">
        <v>35</v>
      </c>
      <c r="I7964" s="3">
        <v>58</v>
      </c>
      <c r="J7964" s="2">
        <v>95</v>
      </c>
      <c r="K7964" s="3">
        <f t="shared" si="124"/>
        <v>5510</v>
      </c>
      <c r="L7964" s="3">
        <v>2975.4</v>
      </c>
    </row>
    <row r="7965" spans="1:12" x14ac:dyDescent="0.25">
      <c r="A7965" t="s">
        <v>19</v>
      </c>
      <c r="B7965">
        <v>1197831</v>
      </c>
      <c r="C7965" s="1">
        <v>44542</v>
      </c>
      <c r="D7965" t="s">
        <v>57</v>
      </c>
      <c r="E7965" t="s">
        <v>72</v>
      </c>
      <c r="F7965" t="s">
        <v>73</v>
      </c>
      <c r="G7965" t="s">
        <v>41</v>
      </c>
      <c r="H7965" t="s">
        <v>16</v>
      </c>
      <c r="I7965" s="3">
        <v>68</v>
      </c>
      <c r="J7965" s="2">
        <v>112</v>
      </c>
      <c r="K7965" s="3">
        <f t="shared" si="124"/>
        <v>7616</v>
      </c>
      <c r="L7965" s="3">
        <v>4112.6400000000003</v>
      </c>
    </row>
    <row r="7966" spans="1:12" x14ac:dyDescent="0.25">
      <c r="A7966" t="s">
        <v>19</v>
      </c>
      <c r="B7966">
        <v>1185732</v>
      </c>
      <c r="C7966" s="1">
        <v>44542</v>
      </c>
      <c r="D7966" t="s">
        <v>29</v>
      </c>
      <c r="E7966" t="s">
        <v>55</v>
      </c>
      <c r="F7966" t="s">
        <v>56</v>
      </c>
      <c r="G7966" t="s">
        <v>41</v>
      </c>
      <c r="H7966" t="s">
        <v>37</v>
      </c>
      <c r="I7966" s="3">
        <v>41</v>
      </c>
      <c r="J7966" s="2">
        <v>53</v>
      </c>
      <c r="K7966" s="3">
        <f t="shared" si="124"/>
        <v>2173</v>
      </c>
      <c r="L7966" s="3">
        <v>1151.69</v>
      </c>
    </row>
    <row r="7967" spans="1:12" x14ac:dyDescent="0.25">
      <c r="A7967" t="s">
        <v>26</v>
      </c>
      <c r="B7967">
        <v>1128299</v>
      </c>
      <c r="C7967" s="1">
        <v>44542</v>
      </c>
      <c r="D7967" t="s">
        <v>32</v>
      </c>
      <c r="E7967" t="s">
        <v>44</v>
      </c>
      <c r="F7967" t="s">
        <v>45</v>
      </c>
      <c r="G7967" t="s">
        <v>15</v>
      </c>
      <c r="H7967" t="s">
        <v>38</v>
      </c>
      <c r="I7967" s="3">
        <v>42</v>
      </c>
      <c r="J7967" s="2">
        <v>209</v>
      </c>
      <c r="K7967" s="3">
        <f t="shared" si="124"/>
        <v>8778</v>
      </c>
      <c r="L7967" s="3">
        <v>4652.34</v>
      </c>
    </row>
    <row r="7968" spans="1:12" x14ac:dyDescent="0.25">
      <c r="A7968" t="s">
        <v>26</v>
      </c>
      <c r="B7968">
        <v>1128299</v>
      </c>
      <c r="C7968" s="1">
        <v>44542</v>
      </c>
      <c r="D7968" t="s">
        <v>32</v>
      </c>
      <c r="E7968" t="s">
        <v>44</v>
      </c>
      <c r="F7968" t="s">
        <v>45</v>
      </c>
      <c r="G7968" t="s">
        <v>15</v>
      </c>
      <c r="H7968" t="s">
        <v>17</v>
      </c>
      <c r="I7968" s="3">
        <v>39</v>
      </c>
      <c r="J7968" s="2">
        <v>223</v>
      </c>
      <c r="K7968" s="3">
        <f t="shared" si="124"/>
        <v>8697</v>
      </c>
      <c r="L7968" s="3">
        <v>4609.41</v>
      </c>
    </row>
    <row r="7969" spans="1:12" x14ac:dyDescent="0.25">
      <c r="A7969" t="s">
        <v>19</v>
      </c>
      <c r="B7969">
        <v>1128299</v>
      </c>
      <c r="C7969" s="1">
        <v>44542</v>
      </c>
      <c r="D7969" t="s">
        <v>32</v>
      </c>
      <c r="E7969" t="s">
        <v>44</v>
      </c>
      <c r="F7969" t="s">
        <v>45</v>
      </c>
      <c r="G7969" t="s">
        <v>41</v>
      </c>
      <c r="H7969" t="s">
        <v>35</v>
      </c>
      <c r="I7969" s="3">
        <v>53</v>
      </c>
      <c r="J7969" s="2">
        <v>138</v>
      </c>
      <c r="K7969" s="3">
        <f t="shared" si="124"/>
        <v>7314</v>
      </c>
      <c r="L7969" s="3">
        <v>3657</v>
      </c>
    </row>
    <row r="7970" spans="1:12" x14ac:dyDescent="0.25">
      <c r="A7970" t="s">
        <v>19</v>
      </c>
      <c r="B7970">
        <v>1128299</v>
      </c>
      <c r="C7970" s="1">
        <v>44542</v>
      </c>
      <c r="D7970" t="s">
        <v>32</v>
      </c>
      <c r="E7970" t="s">
        <v>44</v>
      </c>
      <c r="F7970" t="s">
        <v>45</v>
      </c>
      <c r="G7970" t="s">
        <v>41</v>
      </c>
      <c r="H7970" t="s">
        <v>37</v>
      </c>
      <c r="I7970" s="3">
        <v>51</v>
      </c>
      <c r="J7970" s="2">
        <v>128</v>
      </c>
      <c r="K7970" s="3">
        <f t="shared" si="124"/>
        <v>6528</v>
      </c>
      <c r="L7970" s="3">
        <v>3264</v>
      </c>
    </row>
    <row r="7971" spans="1:12" x14ac:dyDescent="0.25">
      <c r="A7971" t="s">
        <v>19</v>
      </c>
      <c r="B7971">
        <v>1128299</v>
      </c>
      <c r="C7971" s="1">
        <v>44542</v>
      </c>
      <c r="D7971" t="s">
        <v>32</v>
      </c>
      <c r="E7971" t="s">
        <v>44</v>
      </c>
      <c r="F7971" t="s">
        <v>45</v>
      </c>
      <c r="G7971" t="s">
        <v>41</v>
      </c>
      <c r="H7971" t="s">
        <v>22</v>
      </c>
      <c r="I7971" s="3">
        <v>64</v>
      </c>
      <c r="J7971" s="2">
        <v>116</v>
      </c>
      <c r="K7971" s="3">
        <f t="shared" si="124"/>
        <v>7424</v>
      </c>
      <c r="L7971" s="3">
        <v>3712</v>
      </c>
    </row>
    <row r="7972" spans="1:12" x14ac:dyDescent="0.25">
      <c r="A7972" t="s">
        <v>19</v>
      </c>
      <c r="B7972">
        <v>1197831</v>
      </c>
      <c r="C7972" s="1">
        <v>44542</v>
      </c>
      <c r="D7972" t="s">
        <v>57</v>
      </c>
      <c r="E7972" t="s">
        <v>72</v>
      </c>
      <c r="F7972" t="s">
        <v>73</v>
      </c>
      <c r="G7972" t="s">
        <v>41</v>
      </c>
      <c r="H7972" t="s">
        <v>38</v>
      </c>
      <c r="I7972" s="3">
        <v>66</v>
      </c>
      <c r="J7972" s="2">
        <v>150</v>
      </c>
      <c r="K7972" s="3">
        <f t="shared" si="124"/>
        <v>9900</v>
      </c>
      <c r="L7972" s="3">
        <v>4950</v>
      </c>
    </row>
    <row r="7973" spans="1:12" x14ac:dyDescent="0.25">
      <c r="A7973" t="s">
        <v>19</v>
      </c>
      <c r="B7973">
        <v>1197831</v>
      </c>
      <c r="C7973" s="1">
        <v>44542</v>
      </c>
      <c r="D7973" t="s">
        <v>57</v>
      </c>
      <c r="E7973" t="s">
        <v>72</v>
      </c>
      <c r="F7973" t="s">
        <v>73</v>
      </c>
      <c r="G7973" t="s">
        <v>41</v>
      </c>
      <c r="H7973" t="s">
        <v>17</v>
      </c>
      <c r="I7973" s="3">
        <v>59</v>
      </c>
      <c r="J7973" s="2">
        <v>120</v>
      </c>
      <c r="K7973" s="3">
        <f t="shared" si="124"/>
        <v>7080</v>
      </c>
      <c r="L7973" s="3">
        <v>3540</v>
      </c>
    </row>
    <row r="7974" spans="1:12" x14ac:dyDescent="0.25">
      <c r="A7974" t="s">
        <v>19</v>
      </c>
      <c r="B7974">
        <v>1197831</v>
      </c>
      <c r="C7974" s="1">
        <v>44542</v>
      </c>
      <c r="D7974" t="s">
        <v>57</v>
      </c>
      <c r="E7974" t="s">
        <v>72</v>
      </c>
      <c r="F7974" t="s">
        <v>73</v>
      </c>
      <c r="G7974" t="s">
        <v>41</v>
      </c>
      <c r="H7974" t="s">
        <v>22</v>
      </c>
      <c r="I7974" s="3">
        <v>64</v>
      </c>
      <c r="J7974" s="2">
        <v>81</v>
      </c>
      <c r="K7974" s="3">
        <f t="shared" si="124"/>
        <v>5184</v>
      </c>
      <c r="L7974" s="3">
        <v>2592</v>
      </c>
    </row>
    <row r="7975" spans="1:12" x14ac:dyDescent="0.25">
      <c r="A7975" t="s">
        <v>26</v>
      </c>
      <c r="B7975">
        <v>1128299</v>
      </c>
      <c r="C7975" s="1">
        <v>44542</v>
      </c>
      <c r="D7975" t="s">
        <v>32</v>
      </c>
      <c r="E7975" t="s">
        <v>44</v>
      </c>
      <c r="F7975" t="s">
        <v>45</v>
      </c>
      <c r="G7975" t="s">
        <v>41</v>
      </c>
      <c r="H7975" t="s">
        <v>17</v>
      </c>
      <c r="I7975" s="3">
        <v>58</v>
      </c>
      <c r="J7975" s="2">
        <v>189</v>
      </c>
      <c r="K7975" s="3">
        <f t="shared" si="124"/>
        <v>10962</v>
      </c>
      <c r="L7975" s="3">
        <v>5152.1399999999994</v>
      </c>
    </row>
    <row r="7976" spans="1:12" x14ac:dyDescent="0.25">
      <c r="A7976" t="s">
        <v>26</v>
      </c>
      <c r="B7976">
        <v>1128299</v>
      </c>
      <c r="C7976" s="1">
        <v>44542</v>
      </c>
      <c r="D7976" t="s">
        <v>32</v>
      </c>
      <c r="E7976" t="s">
        <v>44</v>
      </c>
      <c r="F7976" t="s">
        <v>45</v>
      </c>
      <c r="G7976" t="s">
        <v>41</v>
      </c>
      <c r="H7976" t="s">
        <v>38</v>
      </c>
      <c r="I7976" s="3">
        <v>50</v>
      </c>
      <c r="J7976" s="2">
        <v>203</v>
      </c>
      <c r="K7976" s="3">
        <f t="shared" si="124"/>
        <v>10150</v>
      </c>
      <c r="L7976" s="3">
        <v>4567.5</v>
      </c>
    </row>
    <row r="7977" spans="1:12" x14ac:dyDescent="0.25">
      <c r="A7977" t="s">
        <v>36</v>
      </c>
      <c r="B7977">
        <v>1185732</v>
      </c>
      <c r="C7977" s="1">
        <v>44543</v>
      </c>
      <c r="D7977" t="s">
        <v>29</v>
      </c>
      <c r="E7977" t="s">
        <v>50</v>
      </c>
      <c r="F7977" t="s">
        <v>51</v>
      </c>
      <c r="G7977" t="s">
        <v>18</v>
      </c>
      <c r="H7977" t="s">
        <v>35</v>
      </c>
      <c r="I7977" s="3">
        <v>55.000000000000007</v>
      </c>
      <c r="J7977" s="2">
        <v>350</v>
      </c>
      <c r="K7977" s="3">
        <f t="shared" si="124"/>
        <v>19250.000000000004</v>
      </c>
      <c r="L7977" s="3">
        <v>14437.500000000004</v>
      </c>
    </row>
    <row r="7978" spans="1:12" x14ac:dyDescent="0.25">
      <c r="A7978" t="s">
        <v>36</v>
      </c>
      <c r="B7978">
        <v>1185732</v>
      </c>
      <c r="C7978" s="1">
        <v>44543</v>
      </c>
      <c r="D7978" t="s">
        <v>29</v>
      </c>
      <c r="E7978" t="s">
        <v>50</v>
      </c>
      <c r="F7978" t="s">
        <v>51</v>
      </c>
      <c r="G7978" t="s">
        <v>18</v>
      </c>
      <c r="H7978" t="s">
        <v>37</v>
      </c>
      <c r="I7978" s="3">
        <v>55.000000000000007</v>
      </c>
      <c r="J7978" s="2">
        <v>300</v>
      </c>
      <c r="K7978" s="3">
        <f t="shared" si="124"/>
        <v>16500.000000000004</v>
      </c>
      <c r="L7978" s="3">
        <v>12375.000000000004</v>
      </c>
    </row>
    <row r="7979" spans="1:12" x14ac:dyDescent="0.25">
      <c r="A7979" t="s">
        <v>36</v>
      </c>
      <c r="B7979">
        <v>1185732</v>
      </c>
      <c r="C7979" s="1">
        <v>44543</v>
      </c>
      <c r="D7979" t="s">
        <v>29</v>
      </c>
      <c r="E7979" t="s">
        <v>50</v>
      </c>
      <c r="F7979" t="s">
        <v>51</v>
      </c>
      <c r="G7979" t="s">
        <v>18</v>
      </c>
      <c r="H7979" t="s">
        <v>22</v>
      </c>
      <c r="I7979" s="3">
        <v>65</v>
      </c>
      <c r="J7979" s="2">
        <v>300</v>
      </c>
      <c r="K7979" s="3">
        <f t="shared" si="124"/>
        <v>19500</v>
      </c>
      <c r="L7979" s="3">
        <v>14625</v>
      </c>
    </row>
    <row r="7980" spans="1:12" x14ac:dyDescent="0.25">
      <c r="A7980" t="s">
        <v>27</v>
      </c>
      <c r="B7980">
        <v>1185732</v>
      </c>
      <c r="C7980" s="1">
        <v>44543</v>
      </c>
      <c r="D7980" t="s">
        <v>29</v>
      </c>
      <c r="E7980" t="s">
        <v>89</v>
      </c>
      <c r="F7980" t="s">
        <v>90</v>
      </c>
      <c r="G7980" t="s">
        <v>18</v>
      </c>
      <c r="H7980" t="s">
        <v>22</v>
      </c>
      <c r="I7980" s="3">
        <v>65</v>
      </c>
      <c r="J7980" s="2">
        <v>325</v>
      </c>
      <c r="K7980" s="3">
        <f t="shared" si="124"/>
        <v>21125</v>
      </c>
      <c r="L7980" s="3">
        <v>14787.5</v>
      </c>
    </row>
    <row r="7981" spans="1:12" x14ac:dyDescent="0.25">
      <c r="A7981" t="s">
        <v>36</v>
      </c>
      <c r="B7981">
        <v>1185732</v>
      </c>
      <c r="C7981" s="1">
        <v>44543</v>
      </c>
      <c r="D7981" t="s">
        <v>29</v>
      </c>
      <c r="E7981" t="s">
        <v>50</v>
      </c>
      <c r="F7981" t="s">
        <v>51</v>
      </c>
      <c r="G7981" t="s">
        <v>18</v>
      </c>
      <c r="H7981" t="s">
        <v>38</v>
      </c>
      <c r="I7981" s="3">
        <v>65</v>
      </c>
      <c r="J7981" s="2">
        <v>575</v>
      </c>
      <c r="K7981" s="3">
        <f t="shared" si="124"/>
        <v>37375</v>
      </c>
      <c r="L7981" s="3">
        <v>26162.5</v>
      </c>
    </row>
    <row r="7982" spans="1:12" x14ac:dyDescent="0.25">
      <c r="A7982" t="s">
        <v>36</v>
      </c>
      <c r="B7982">
        <v>1185732</v>
      </c>
      <c r="C7982" s="1">
        <v>44543</v>
      </c>
      <c r="D7982" t="s">
        <v>29</v>
      </c>
      <c r="E7982" t="s">
        <v>50</v>
      </c>
      <c r="F7982" t="s">
        <v>51</v>
      </c>
      <c r="G7982" t="s">
        <v>18</v>
      </c>
      <c r="H7982" t="s">
        <v>17</v>
      </c>
      <c r="I7982" s="3">
        <v>55.000000000000007</v>
      </c>
      <c r="J7982" s="2">
        <v>375</v>
      </c>
      <c r="K7982" s="3">
        <f t="shared" si="124"/>
        <v>20625.000000000004</v>
      </c>
      <c r="L7982" s="3">
        <v>14437.500000000004</v>
      </c>
    </row>
    <row r="7983" spans="1:12" x14ac:dyDescent="0.25">
      <c r="A7983" t="s">
        <v>36</v>
      </c>
      <c r="B7983">
        <v>1185732</v>
      </c>
      <c r="C7983" s="1">
        <v>44543</v>
      </c>
      <c r="D7983" t="s">
        <v>29</v>
      </c>
      <c r="E7983" t="s">
        <v>50</v>
      </c>
      <c r="F7983" t="s">
        <v>51</v>
      </c>
      <c r="G7983" t="s">
        <v>18</v>
      </c>
      <c r="H7983" t="s">
        <v>16</v>
      </c>
      <c r="I7983" s="3">
        <v>70</v>
      </c>
      <c r="J7983" s="2">
        <v>400</v>
      </c>
      <c r="K7983" s="3">
        <f t="shared" si="124"/>
        <v>28000</v>
      </c>
      <c r="L7983" s="3">
        <v>19600</v>
      </c>
    </row>
    <row r="7984" spans="1:12" x14ac:dyDescent="0.25">
      <c r="A7984" t="s">
        <v>19</v>
      </c>
      <c r="B7984">
        <v>1185732</v>
      </c>
      <c r="C7984" s="1">
        <v>44543</v>
      </c>
      <c r="D7984" t="s">
        <v>29</v>
      </c>
      <c r="E7984" t="s">
        <v>55</v>
      </c>
      <c r="F7984" t="s">
        <v>56</v>
      </c>
      <c r="G7984" t="s">
        <v>15</v>
      </c>
      <c r="H7984" t="s">
        <v>22</v>
      </c>
      <c r="I7984" s="3">
        <v>54.999999999999993</v>
      </c>
      <c r="J7984" s="2">
        <v>125</v>
      </c>
      <c r="K7984" s="3">
        <f t="shared" si="124"/>
        <v>6874.9999999999991</v>
      </c>
      <c r="L7984" s="3">
        <v>4812.4999999999982</v>
      </c>
    </row>
    <row r="7985" spans="1:12" x14ac:dyDescent="0.25">
      <c r="A7985" t="s">
        <v>27</v>
      </c>
      <c r="B7985">
        <v>1185732</v>
      </c>
      <c r="C7985" s="1">
        <v>44543</v>
      </c>
      <c r="D7985" t="s">
        <v>29</v>
      </c>
      <c r="E7985" t="s">
        <v>89</v>
      </c>
      <c r="F7985" t="s">
        <v>90</v>
      </c>
      <c r="G7985" t="s">
        <v>18</v>
      </c>
      <c r="H7985" t="s">
        <v>38</v>
      </c>
      <c r="I7985" s="3">
        <v>65</v>
      </c>
      <c r="J7985" s="2">
        <v>600</v>
      </c>
      <c r="K7985" s="3">
        <f t="shared" si="124"/>
        <v>39000</v>
      </c>
      <c r="L7985" s="3">
        <v>25350</v>
      </c>
    </row>
    <row r="7986" spans="1:12" x14ac:dyDescent="0.25">
      <c r="A7986" t="s">
        <v>27</v>
      </c>
      <c r="B7986">
        <v>1185732</v>
      </c>
      <c r="C7986" s="1">
        <v>44543</v>
      </c>
      <c r="D7986" t="s">
        <v>29</v>
      </c>
      <c r="E7986" t="s">
        <v>89</v>
      </c>
      <c r="F7986" t="s">
        <v>90</v>
      </c>
      <c r="G7986" t="s">
        <v>18</v>
      </c>
      <c r="H7986" t="s">
        <v>17</v>
      </c>
      <c r="I7986" s="3">
        <v>55.000000000000007</v>
      </c>
      <c r="J7986" s="2">
        <v>400</v>
      </c>
      <c r="K7986" s="3">
        <f t="shared" si="124"/>
        <v>22000.000000000004</v>
      </c>
      <c r="L7986" s="3">
        <v>14300.000000000004</v>
      </c>
    </row>
    <row r="7987" spans="1:12" x14ac:dyDescent="0.25">
      <c r="A7987" t="s">
        <v>27</v>
      </c>
      <c r="B7987">
        <v>1185732</v>
      </c>
      <c r="C7987" s="1">
        <v>44543</v>
      </c>
      <c r="D7987" t="s">
        <v>29</v>
      </c>
      <c r="E7987" t="s">
        <v>89</v>
      </c>
      <c r="F7987" t="s">
        <v>90</v>
      </c>
      <c r="G7987" t="s">
        <v>18</v>
      </c>
      <c r="H7987" t="s">
        <v>35</v>
      </c>
      <c r="I7987" s="3">
        <v>55.000000000000007</v>
      </c>
      <c r="J7987" s="2">
        <v>375</v>
      </c>
      <c r="K7987" s="3">
        <f t="shared" si="124"/>
        <v>20625.000000000004</v>
      </c>
      <c r="L7987" s="3">
        <v>12375.000000000002</v>
      </c>
    </row>
    <row r="7988" spans="1:12" x14ac:dyDescent="0.25">
      <c r="A7988" t="s">
        <v>27</v>
      </c>
      <c r="B7988">
        <v>1185732</v>
      </c>
      <c r="C7988" s="1">
        <v>44543</v>
      </c>
      <c r="D7988" t="s">
        <v>29</v>
      </c>
      <c r="E7988" t="s">
        <v>89</v>
      </c>
      <c r="F7988" t="s">
        <v>90</v>
      </c>
      <c r="G7988" t="s">
        <v>18</v>
      </c>
      <c r="H7988" t="s">
        <v>37</v>
      </c>
      <c r="I7988" s="3">
        <v>55.000000000000007</v>
      </c>
      <c r="J7988" s="2">
        <v>325</v>
      </c>
      <c r="K7988" s="3">
        <f t="shared" si="124"/>
        <v>17875.000000000004</v>
      </c>
      <c r="L7988" s="3">
        <v>10725.000000000002</v>
      </c>
    </row>
    <row r="7989" spans="1:12" x14ac:dyDescent="0.25">
      <c r="A7989" t="s">
        <v>27</v>
      </c>
      <c r="B7989">
        <v>1185732</v>
      </c>
      <c r="C7989" s="1">
        <v>44543</v>
      </c>
      <c r="D7989" t="s">
        <v>29</v>
      </c>
      <c r="E7989" t="s">
        <v>89</v>
      </c>
      <c r="F7989" t="s">
        <v>90</v>
      </c>
      <c r="G7989" t="s">
        <v>18</v>
      </c>
      <c r="H7989" t="s">
        <v>16</v>
      </c>
      <c r="I7989" s="3">
        <v>70</v>
      </c>
      <c r="J7989" s="2">
        <v>425</v>
      </c>
      <c r="K7989" s="3">
        <f t="shared" si="124"/>
        <v>29750</v>
      </c>
      <c r="L7989" s="3">
        <v>17850</v>
      </c>
    </row>
    <row r="7990" spans="1:12" x14ac:dyDescent="0.25">
      <c r="A7990" t="s">
        <v>36</v>
      </c>
      <c r="B7990">
        <v>1185732</v>
      </c>
      <c r="C7990" s="1">
        <v>44543</v>
      </c>
      <c r="D7990" t="s">
        <v>29</v>
      </c>
      <c r="E7990" t="s">
        <v>50</v>
      </c>
      <c r="F7990" t="s">
        <v>51</v>
      </c>
      <c r="G7990" t="s">
        <v>15</v>
      </c>
      <c r="H7990" t="s">
        <v>35</v>
      </c>
      <c r="I7990" s="3">
        <v>36</v>
      </c>
      <c r="J7990" s="2">
        <v>112</v>
      </c>
      <c r="K7990" s="3">
        <f t="shared" si="124"/>
        <v>4032</v>
      </c>
      <c r="L7990" s="3">
        <v>2943.3599999999997</v>
      </c>
    </row>
    <row r="7991" spans="1:12" x14ac:dyDescent="0.25">
      <c r="A7991" t="s">
        <v>36</v>
      </c>
      <c r="B7991">
        <v>1185732</v>
      </c>
      <c r="C7991" s="1">
        <v>44543</v>
      </c>
      <c r="D7991" t="s">
        <v>29</v>
      </c>
      <c r="E7991" t="s">
        <v>50</v>
      </c>
      <c r="F7991" t="s">
        <v>51</v>
      </c>
      <c r="G7991" t="s">
        <v>15</v>
      </c>
      <c r="H7991" t="s">
        <v>37</v>
      </c>
      <c r="I7991" s="3">
        <v>43</v>
      </c>
      <c r="J7991" s="2">
        <v>105</v>
      </c>
      <c r="K7991" s="3">
        <f t="shared" si="124"/>
        <v>4515</v>
      </c>
      <c r="L7991" s="3">
        <v>3250.8</v>
      </c>
    </row>
    <row r="7992" spans="1:12" x14ac:dyDescent="0.25">
      <c r="A7992" t="s">
        <v>36</v>
      </c>
      <c r="B7992">
        <v>1185732</v>
      </c>
      <c r="C7992" s="1">
        <v>44543</v>
      </c>
      <c r="D7992" t="s">
        <v>29</v>
      </c>
      <c r="E7992" t="s">
        <v>50</v>
      </c>
      <c r="F7992" t="s">
        <v>51</v>
      </c>
      <c r="G7992" t="s">
        <v>15</v>
      </c>
      <c r="H7992" t="s">
        <v>22</v>
      </c>
      <c r="I7992" s="3">
        <v>52</v>
      </c>
      <c r="J7992" s="2">
        <v>90</v>
      </c>
      <c r="K7992" s="3">
        <f t="shared" si="124"/>
        <v>4680</v>
      </c>
      <c r="L7992" s="3">
        <v>3322.8</v>
      </c>
    </row>
    <row r="7993" spans="1:12" x14ac:dyDescent="0.25">
      <c r="A7993" t="s">
        <v>36</v>
      </c>
      <c r="B7993">
        <v>1185732</v>
      </c>
      <c r="C7993" s="1">
        <v>44543</v>
      </c>
      <c r="D7993" t="s">
        <v>29</v>
      </c>
      <c r="E7993" t="s">
        <v>50</v>
      </c>
      <c r="F7993" t="s">
        <v>51</v>
      </c>
      <c r="G7993" t="s">
        <v>15</v>
      </c>
      <c r="H7993" t="s">
        <v>17</v>
      </c>
      <c r="I7993" s="3">
        <v>37</v>
      </c>
      <c r="J7993" s="2">
        <v>113</v>
      </c>
      <c r="K7993" s="3">
        <f t="shared" si="124"/>
        <v>4181</v>
      </c>
      <c r="L7993" s="3">
        <v>2843.08</v>
      </c>
    </row>
    <row r="7994" spans="1:12" x14ac:dyDescent="0.25">
      <c r="A7994" t="s">
        <v>36</v>
      </c>
      <c r="B7994">
        <v>1185732</v>
      </c>
      <c r="C7994" s="1">
        <v>44543</v>
      </c>
      <c r="D7994" t="s">
        <v>29</v>
      </c>
      <c r="E7994" t="s">
        <v>50</v>
      </c>
      <c r="F7994" t="s">
        <v>51</v>
      </c>
      <c r="G7994" t="s">
        <v>15</v>
      </c>
      <c r="H7994" t="s">
        <v>16</v>
      </c>
      <c r="I7994" s="3">
        <v>51</v>
      </c>
      <c r="J7994" s="2">
        <v>128</v>
      </c>
      <c r="K7994" s="3">
        <f t="shared" si="124"/>
        <v>6528</v>
      </c>
      <c r="L7994" s="3">
        <v>4373.76</v>
      </c>
    </row>
    <row r="7995" spans="1:12" x14ac:dyDescent="0.25">
      <c r="A7995" t="s">
        <v>19</v>
      </c>
      <c r="B7995">
        <v>1185732</v>
      </c>
      <c r="C7995" s="1">
        <v>44543</v>
      </c>
      <c r="D7995" t="s">
        <v>29</v>
      </c>
      <c r="E7995" t="s">
        <v>55</v>
      </c>
      <c r="F7995" t="s">
        <v>56</v>
      </c>
      <c r="G7995" t="s">
        <v>15</v>
      </c>
      <c r="H7995" t="s">
        <v>22</v>
      </c>
      <c r="I7995" s="3">
        <v>36</v>
      </c>
      <c r="J7995" s="2">
        <v>41</v>
      </c>
      <c r="K7995" s="3">
        <f t="shared" si="124"/>
        <v>1476</v>
      </c>
      <c r="L7995" s="3">
        <v>974.16000000000008</v>
      </c>
    </row>
    <row r="7996" spans="1:12" x14ac:dyDescent="0.25">
      <c r="A7996" t="s">
        <v>36</v>
      </c>
      <c r="B7996">
        <v>1185732</v>
      </c>
      <c r="C7996" s="1">
        <v>44543</v>
      </c>
      <c r="D7996" t="s">
        <v>29</v>
      </c>
      <c r="E7996" t="s">
        <v>50</v>
      </c>
      <c r="F7996" t="s">
        <v>51</v>
      </c>
      <c r="G7996" t="s">
        <v>15</v>
      </c>
      <c r="H7996" t="s">
        <v>38</v>
      </c>
      <c r="I7996" s="3">
        <v>51</v>
      </c>
      <c r="J7996" s="2">
        <v>178</v>
      </c>
      <c r="K7996" s="3">
        <f t="shared" si="124"/>
        <v>9078</v>
      </c>
      <c r="L7996" s="3">
        <v>5900.7000000000007</v>
      </c>
    </row>
    <row r="7997" spans="1:12" x14ac:dyDescent="0.25">
      <c r="A7997" t="s">
        <v>36</v>
      </c>
      <c r="B7997">
        <v>1185732</v>
      </c>
      <c r="C7997" s="1">
        <v>44543</v>
      </c>
      <c r="D7997" t="s">
        <v>29</v>
      </c>
      <c r="E7997" t="s">
        <v>50</v>
      </c>
      <c r="F7997" t="s">
        <v>51</v>
      </c>
      <c r="G7997" t="s">
        <v>41</v>
      </c>
      <c r="H7997" t="s">
        <v>37</v>
      </c>
      <c r="I7997" s="3">
        <v>52</v>
      </c>
      <c r="J7997" s="2">
        <v>75</v>
      </c>
      <c r="K7997" s="3">
        <f t="shared" si="124"/>
        <v>3900</v>
      </c>
      <c r="L7997" s="3">
        <v>2418</v>
      </c>
    </row>
    <row r="7998" spans="1:12" x14ac:dyDescent="0.25">
      <c r="A7998" t="s">
        <v>36</v>
      </c>
      <c r="B7998">
        <v>1185732</v>
      </c>
      <c r="C7998" s="1">
        <v>44543</v>
      </c>
      <c r="D7998" t="s">
        <v>29</v>
      </c>
      <c r="E7998" t="s">
        <v>50</v>
      </c>
      <c r="F7998" t="s">
        <v>51</v>
      </c>
      <c r="G7998" t="s">
        <v>41</v>
      </c>
      <c r="H7998" t="s">
        <v>22</v>
      </c>
      <c r="I7998" s="3">
        <v>62</v>
      </c>
      <c r="J7998" s="2">
        <v>84</v>
      </c>
      <c r="K7998" s="3">
        <f t="shared" si="124"/>
        <v>5208</v>
      </c>
      <c r="L7998" s="3">
        <v>3176.88</v>
      </c>
    </row>
    <row r="7999" spans="1:12" x14ac:dyDescent="0.25">
      <c r="A7999" t="s">
        <v>36</v>
      </c>
      <c r="B7999">
        <v>1185732</v>
      </c>
      <c r="C7999" s="1">
        <v>44543</v>
      </c>
      <c r="D7999" t="s">
        <v>29</v>
      </c>
      <c r="E7999" t="s">
        <v>50</v>
      </c>
      <c r="F7999" t="s">
        <v>51</v>
      </c>
      <c r="G7999" t="s">
        <v>41</v>
      </c>
      <c r="H7999" t="s">
        <v>35</v>
      </c>
      <c r="I7999" s="3">
        <v>51</v>
      </c>
      <c r="J7999" s="2">
        <v>98</v>
      </c>
      <c r="K7999" s="3">
        <f t="shared" si="124"/>
        <v>4998</v>
      </c>
      <c r="L7999" s="3">
        <v>3048.7799999999997</v>
      </c>
    </row>
    <row r="8000" spans="1:12" x14ac:dyDescent="0.25">
      <c r="A8000" t="s">
        <v>27</v>
      </c>
      <c r="B8000">
        <v>1185732</v>
      </c>
      <c r="C8000" s="1">
        <v>44543</v>
      </c>
      <c r="D8000" t="s">
        <v>29</v>
      </c>
      <c r="E8000" t="s">
        <v>89</v>
      </c>
      <c r="F8000" t="s">
        <v>90</v>
      </c>
      <c r="G8000" t="s">
        <v>41</v>
      </c>
      <c r="H8000" t="s">
        <v>22</v>
      </c>
      <c r="I8000" s="3">
        <v>61</v>
      </c>
      <c r="J8000" s="2">
        <v>91</v>
      </c>
      <c r="K8000" s="3">
        <f t="shared" si="124"/>
        <v>5551</v>
      </c>
      <c r="L8000" s="3">
        <v>3330.6</v>
      </c>
    </row>
    <row r="8001" spans="1:12" x14ac:dyDescent="0.25">
      <c r="A8001" t="s">
        <v>36</v>
      </c>
      <c r="B8001">
        <v>1185732</v>
      </c>
      <c r="C8001" s="1">
        <v>44543</v>
      </c>
      <c r="D8001" t="s">
        <v>29</v>
      </c>
      <c r="E8001" t="s">
        <v>50</v>
      </c>
      <c r="F8001" t="s">
        <v>51</v>
      </c>
      <c r="G8001" t="s">
        <v>41</v>
      </c>
      <c r="H8001" t="s">
        <v>17</v>
      </c>
      <c r="I8001" s="3">
        <v>53</v>
      </c>
      <c r="J8001" s="2">
        <v>105</v>
      </c>
      <c r="K8001" s="3">
        <f t="shared" si="124"/>
        <v>5565</v>
      </c>
      <c r="L8001" s="3">
        <v>3339</v>
      </c>
    </row>
    <row r="8002" spans="1:12" x14ac:dyDescent="0.25">
      <c r="A8002" t="s">
        <v>36</v>
      </c>
      <c r="B8002">
        <v>1185732</v>
      </c>
      <c r="C8002" s="1">
        <v>44543</v>
      </c>
      <c r="D8002" t="s">
        <v>29</v>
      </c>
      <c r="E8002" t="s">
        <v>50</v>
      </c>
      <c r="F8002" t="s">
        <v>51</v>
      </c>
      <c r="G8002" t="s">
        <v>41</v>
      </c>
      <c r="H8002" t="s">
        <v>38</v>
      </c>
      <c r="I8002" s="3">
        <v>64</v>
      </c>
      <c r="J8002" s="2">
        <v>150</v>
      </c>
      <c r="K8002" s="3">
        <f t="shared" si="124"/>
        <v>9600</v>
      </c>
      <c r="L8002" s="3">
        <v>5664</v>
      </c>
    </row>
    <row r="8003" spans="1:12" x14ac:dyDescent="0.25">
      <c r="A8003" t="s">
        <v>36</v>
      </c>
      <c r="B8003">
        <v>1185732</v>
      </c>
      <c r="C8003" s="1">
        <v>44543</v>
      </c>
      <c r="D8003" t="s">
        <v>29</v>
      </c>
      <c r="E8003" t="s">
        <v>50</v>
      </c>
      <c r="F8003" t="s">
        <v>51</v>
      </c>
      <c r="G8003" t="s">
        <v>41</v>
      </c>
      <c r="H8003" t="s">
        <v>16</v>
      </c>
      <c r="I8003" s="3">
        <v>65</v>
      </c>
      <c r="J8003" s="2">
        <v>112</v>
      </c>
      <c r="K8003" s="3">
        <f t="shared" ref="K8003:K8066" si="125">I8003*J8003</f>
        <v>7280</v>
      </c>
      <c r="L8003" s="3">
        <v>4076.8</v>
      </c>
    </row>
    <row r="8004" spans="1:12" x14ac:dyDescent="0.25">
      <c r="A8004" t="s">
        <v>19</v>
      </c>
      <c r="B8004">
        <v>1185732</v>
      </c>
      <c r="C8004" s="1">
        <v>44543</v>
      </c>
      <c r="D8004" t="s">
        <v>29</v>
      </c>
      <c r="E8004" t="s">
        <v>55</v>
      </c>
      <c r="F8004" t="s">
        <v>56</v>
      </c>
      <c r="G8004" t="s">
        <v>41</v>
      </c>
      <c r="H8004" t="s">
        <v>22</v>
      </c>
      <c r="I8004" s="3">
        <v>50</v>
      </c>
      <c r="J8004" s="2">
        <v>36</v>
      </c>
      <c r="K8004" s="3">
        <f t="shared" si="125"/>
        <v>1800</v>
      </c>
      <c r="L8004" s="3">
        <v>990.00000000000011</v>
      </c>
    </row>
    <row r="8005" spans="1:12" x14ac:dyDescent="0.25">
      <c r="A8005" t="s">
        <v>27</v>
      </c>
      <c r="B8005">
        <v>1185732</v>
      </c>
      <c r="C8005" s="1">
        <v>44543</v>
      </c>
      <c r="D8005" t="s">
        <v>29</v>
      </c>
      <c r="E8005" t="s">
        <v>89</v>
      </c>
      <c r="F8005" t="s">
        <v>90</v>
      </c>
      <c r="G8005" t="s">
        <v>41</v>
      </c>
      <c r="H8005" t="s">
        <v>38</v>
      </c>
      <c r="I8005" s="3">
        <v>62</v>
      </c>
      <c r="J8005" s="2">
        <v>168</v>
      </c>
      <c r="K8005" s="3">
        <f t="shared" si="125"/>
        <v>10416</v>
      </c>
      <c r="L8005" s="3">
        <v>5520.4800000000005</v>
      </c>
    </row>
    <row r="8006" spans="1:12" x14ac:dyDescent="0.25">
      <c r="A8006" t="s">
        <v>27</v>
      </c>
      <c r="B8006">
        <v>1185732</v>
      </c>
      <c r="C8006" s="1">
        <v>44543</v>
      </c>
      <c r="D8006" t="s">
        <v>29</v>
      </c>
      <c r="E8006" t="s">
        <v>89</v>
      </c>
      <c r="F8006" t="s">
        <v>90</v>
      </c>
      <c r="G8006" t="s">
        <v>41</v>
      </c>
      <c r="H8006" t="s">
        <v>17</v>
      </c>
      <c r="I8006" s="3">
        <v>50</v>
      </c>
      <c r="J8006" s="2">
        <v>100</v>
      </c>
      <c r="K8006" s="3">
        <f t="shared" si="125"/>
        <v>5000</v>
      </c>
      <c r="L8006" s="3">
        <v>2600</v>
      </c>
    </row>
    <row r="8007" spans="1:12" x14ac:dyDescent="0.25">
      <c r="A8007" t="s">
        <v>27</v>
      </c>
      <c r="B8007">
        <v>1185732</v>
      </c>
      <c r="C8007" s="1">
        <v>44543</v>
      </c>
      <c r="D8007" t="s">
        <v>29</v>
      </c>
      <c r="E8007" t="s">
        <v>89</v>
      </c>
      <c r="F8007" t="s">
        <v>90</v>
      </c>
      <c r="G8007" t="s">
        <v>41</v>
      </c>
      <c r="H8007" t="s">
        <v>16</v>
      </c>
      <c r="I8007" s="3">
        <v>65</v>
      </c>
      <c r="J8007" s="2">
        <v>123</v>
      </c>
      <c r="K8007" s="3">
        <f t="shared" si="125"/>
        <v>7995</v>
      </c>
      <c r="L8007" s="3">
        <v>3997.5</v>
      </c>
    </row>
    <row r="8008" spans="1:12" x14ac:dyDescent="0.25">
      <c r="A8008" t="s">
        <v>27</v>
      </c>
      <c r="B8008">
        <v>1185732</v>
      </c>
      <c r="C8008" s="1">
        <v>44543</v>
      </c>
      <c r="D8008" t="s">
        <v>29</v>
      </c>
      <c r="E8008" t="s">
        <v>89</v>
      </c>
      <c r="F8008" t="s">
        <v>90</v>
      </c>
      <c r="G8008" t="s">
        <v>41</v>
      </c>
      <c r="H8008" t="s">
        <v>35</v>
      </c>
      <c r="I8008" s="3">
        <v>50</v>
      </c>
      <c r="J8008" s="2">
        <v>109</v>
      </c>
      <c r="K8008" s="3">
        <f t="shared" si="125"/>
        <v>5450</v>
      </c>
      <c r="L8008" s="3">
        <v>2507</v>
      </c>
    </row>
    <row r="8009" spans="1:12" x14ac:dyDescent="0.25">
      <c r="A8009" t="s">
        <v>27</v>
      </c>
      <c r="B8009">
        <v>1185732</v>
      </c>
      <c r="C8009" s="1">
        <v>44543</v>
      </c>
      <c r="D8009" t="s">
        <v>29</v>
      </c>
      <c r="E8009" t="s">
        <v>89</v>
      </c>
      <c r="F8009" t="s">
        <v>90</v>
      </c>
      <c r="G8009" t="s">
        <v>41</v>
      </c>
      <c r="H8009" t="s">
        <v>37</v>
      </c>
      <c r="I8009" s="3">
        <v>53</v>
      </c>
      <c r="J8009" s="2">
        <v>98</v>
      </c>
      <c r="K8009" s="3">
        <f t="shared" si="125"/>
        <v>5194</v>
      </c>
      <c r="L8009" s="3">
        <v>2389.2399999999998</v>
      </c>
    </row>
    <row r="8010" spans="1:12" x14ac:dyDescent="0.25">
      <c r="A8010" t="s">
        <v>19</v>
      </c>
      <c r="B8010">
        <v>1185732</v>
      </c>
      <c r="C8010" s="1">
        <v>44544</v>
      </c>
      <c r="D8010" t="s">
        <v>29</v>
      </c>
      <c r="E8010" t="s">
        <v>55</v>
      </c>
      <c r="F8010" t="s">
        <v>56</v>
      </c>
      <c r="G8010" t="s">
        <v>15</v>
      </c>
      <c r="H8010" t="s">
        <v>16</v>
      </c>
      <c r="I8010" s="3">
        <v>60</v>
      </c>
      <c r="J8010" s="2">
        <v>225</v>
      </c>
      <c r="K8010" s="3">
        <f t="shared" si="125"/>
        <v>13500</v>
      </c>
      <c r="L8010" s="3">
        <v>10125</v>
      </c>
    </row>
    <row r="8011" spans="1:12" x14ac:dyDescent="0.25">
      <c r="A8011" t="s">
        <v>19</v>
      </c>
      <c r="B8011">
        <v>1185732</v>
      </c>
      <c r="C8011" s="1">
        <v>44544</v>
      </c>
      <c r="D8011" t="s">
        <v>29</v>
      </c>
      <c r="E8011" t="s">
        <v>55</v>
      </c>
      <c r="F8011" t="s">
        <v>56</v>
      </c>
      <c r="G8011" t="s">
        <v>15</v>
      </c>
      <c r="H8011" t="s">
        <v>16</v>
      </c>
      <c r="I8011" s="3">
        <v>48</v>
      </c>
      <c r="J8011" s="2">
        <v>79</v>
      </c>
      <c r="K8011" s="3">
        <f t="shared" si="125"/>
        <v>3792</v>
      </c>
      <c r="L8011" s="3">
        <v>2616.48</v>
      </c>
    </row>
    <row r="8012" spans="1:12" x14ac:dyDescent="0.25">
      <c r="A8012" t="s">
        <v>19</v>
      </c>
      <c r="B8012">
        <v>1185732</v>
      </c>
      <c r="C8012" s="1">
        <v>44544</v>
      </c>
      <c r="D8012" t="s">
        <v>29</v>
      </c>
      <c r="E8012" t="s">
        <v>55</v>
      </c>
      <c r="F8012" t="s">
        <v>56</v>
      </c>
      <c r="G8012" t="s">
        <v>41</v>
      </c>
      <c r="H8012" t="s">
        <v>16</v>
      </c>
      <c r="I8012" s="3">
        <v>55</v>
      </c>
      <c r="J8012" s="2">
        <v>61</v>
      </c>
      <c r="K8012" s="3">
        <f t="shared" si="125"/>
        <v>3355</v>
      </c>
      <c r="L8012" s="3">
        <v>2013</v>
      </c>
    </row>
    <row r="8013" spans="1:12" x14ac:dyDescent="0.25">
      <c r="A8013" t="s">
        <v>19</v>
      </c>
      <c r="B8013">
        <v>1185732</v>
      </c>
      <c r="C8013" s="1">
        <v>44545</v>
      </c>
      <c r="D8013" t="s">
        <v>57</v>
      </c>
      <c r="E8013" t="s">
        <v>70</v>
      </c>
      <c r="F8013" t="s">
        <v>71</v>
      </c>
      <c r="G8013" t="s">
        <v>18</v>
      </c>
      <c r="H8013" t="s">
        <v>35</v>
      </c>
      <c r="I8013" s="3">
        <v>50</v>
      </c>
      <c r="J8013" s="2">
        <v>600</v>
      </c>
      <c r="K8013" s="3">
        <f t="shared" si="125"/>
        <v>30000</v>
      </c>
      <c r="L8013" s="3">
        <v>21000</v>
      </c>
    </row>
    <row r="8014" spans="1:12" x14ac:dyDescent="0.25">
      <c r="A8014" t="s">
        <v>19</v>
      </c>
      <c r="B8014">
        <v>1185732</v>
      </c>
      <c r="C8014" s="1">
        <v>44545</v>
      </c>
      <c r="D8014" t="s">
        <v>57</v>
      </c>
      <c r="E8014" t="s">
        <v>70</v>
      </c>
      <c r="F8014" t="s">
        <v>71</v>
      </c>
      <c r="G8014" t="s">
        <v>18</v>
      </c>
      <c r="H8014" t="s">
        <v>37</v>
      </c>
      <c r="I8014" s="3">
        <v>50</v>
      </c>
      <c r="J8014" s="2">
        <v>550</v>
      </c>
      <c r="K8014" s="3">
        <f t="shared" si="125"/>
        <v>27500</v>
      </c>
      <c r="L8014" s="3">
        <v>17875</v>
      </c>
    </row>
    <row r="8015" spans="1:12" x14ac:dyDescent="0.25">
      <c r="A8015" t="s">
        <v>26</v>
      </c>
      <c r="B8015">
        <v>1185732</v>
      </c>
      <c r="C8015" s="1">
        <v>44545</v>
      </c>
      <c r="D8015" t="s">
        <v>57</v>
      </c>
      <c r="E8015" t="s">
        <v>70</v>
      </c>
      <c r="F8015" t="s">
        <v>71</v>
      </c>
      <c r="G8015" t="s">
        <v>18</v>
      </c>
      <c r="H8015" t="s">
        <v>17</v>
      </c>
      <c r="I8015" s="3">
        <v>50</v>
      </c>
      <c r="J8015" s="2">
        <v>650</v>
      </c>
      <c r="K8015" s="3">
        <f t="shared" si="125"/>
        <v>32500</v>
      </c>
      <c r="L8015" s="3">
        <v>19500</v>
      </c>
    </row>
    <row r="8016" spans="1:12" x14ac:dyDescent="0.25">
      <c r="A8016" t="s">
        <v>19</v>
      </c>
      <c r="B8016">
        <v>1185732</v>
      </c>
      <c r="C8016" s="1">
        <v>44545</v>
      </c>
      <c r="D8016" t="s">
        <v>57</v>
      </c>
      <c r="E8016" t="s">
        <v>70</v>
      </c>
      <c r="F8016" t="s">
        <v>71</v>
      </c>
      <c r="G8016" t="s">
        <v>18</v>
      </c>
      <c r="H8016" t="s">
        <v>22</v>
      </c>
      <c r="I8016" s="3">
        <v>60</v>
      </c>
      <c r="J8016" s="2">
        <v>550</v>
      </c>
      <c r="K8016" s="3">
        <f t="shared" si="125"/>
        <v>33000</v>
      </c>
      <c r="L8016" s="3">
        <v>19800</v>
      </c>
    </row>
    <row r="8017" spans="1:12" x14ac:dyDescent="0.25">
      <c r="A8017" t="s">
        <v>19</v>
      </c>
      <c r="B8017">
        <v>1185732</v>
      </c>
      <c r="C8017" s="1">
        <v>44545</v>
      </c>
      <c r="D8017" t="s">
        <v>29</v>
      </c>
      <c r="E8017" t="s">
        <v>55</v>
      </c>
      <c r="F8017" t="s">
        <v>56</v>
      </c>
      <c r="G8017" t="s">
        <v>15</v>
      </c>
      <c r="H8017" t="s">
        <v>38</v>
      </c>
      <c r="I8017" s="3">
        <v>60</v>
      </c>
      <c r="J8017" s="2">
        <v>400</v>
      </c>
      <c r="K8017" s="3">
        <f t="shared" si="125"/>
        <v>24000</v>
      </c>
      <c r="L8017" s="3">
        <v>12000</v>
      </c>
    </row>
    <row r="8018" spans="1:12" x14ac:dyDescent="0.25">
      <c r="A8018" t="s">
        <v>26</v>
      </c>
      <c r="B8018">
        <v>1185732</v>
      </c>
      <c r="C8018" s="1">
        <v>44545</v>
      </c>
      <c r="D8018" t="s">
        <v>57</v>
      </c>
      <c r="E8018" t="s">
        <v>70</v>
      </c>
      <c r="F8018" t="s">
        <v>71</v>
      </c>
      <c r="G8018" t="s">
        <v>18</v>
      </c>
      <c r="H8018" t="s">
        <v>38</v>
      </c>
      <c r="I8018" s="3">
        <v>60</v>
      </c>
      <c r="J8018" s="2">
        <v>850</v>
      </c>
      <c r="K8018" s="3">
        <f t="shared" si="125"/>
        <v>51000</v>
      </c>
      <c r="L8018" s="3">
        <v>25500</v>
      </c>
    </row>
    <row r="8019" spans="1:12" x14ac:dyDescent="0.25">
      <c r="A8019" t="s">
        <v>19</v>
      </c>
      <c r="B8019">
        <v>1185732</v>
      </c>
      <c r="C8019" s="1">
        <v>44545</v>
      </c>
      <c r="D8019" t="s">
        <v>57</v>
      </c>
      <c r="E8019" t="s">
        <v>70</v>
      </c>
      <c r="F8019" t="s">
        <v>71</v>
      </c>
      <c r="G8019" t="s">
        <v>18</v>
      </c>
      <c r="H8019" t="s">
        <v>16</v>
      </c>
      <c r="I8019" s="3">
        <v>64.999999999999986</v>
      </c>
      <c r="J8019" s="2">
        <v>650</v>
      </c>
      <c r="K8019" s="3">
        <f t="shared" si="125"/>
        <v>42249.999999999993</v>
      </c>
      <c r="L8019" s="3">
        <v>19012.499999999993</v>
      </c>
    </row>
    <row r="8020" spans="1:12" x14ac:dyDescent="0.25">
      <c r="A8020" t="s">
        <v>19</v>
      </c>
      <c r="B8020">
        <v>1185732</v>
      </c>
      <c r="C8020" s="1">
        <v>44545</v>
      </c>
      <c r="D8020" t="s">
        <v>57</v>
      </c>
      <c r="E8020" t="s">
        <v>70</v>
      </c>
      <c r="F8020" t="s">
        <v>71</v>
      </c>
      <c r="G8020" t="s">
        <v>41</v>
      </c>
      <c r="H8020" t="s">
        <v>35</v>
      </c>
      <c r="I8020" s="3">
        <v>48</v>
      </c>
      <c r="J8020" s="2">
        <v>168</v>
      </c>
      <c r="K8020" s="3">
        <f t="shared" si="125"/>
        <v>8064</v>
      </c>
      <c r="L8020" s="3">
        <v>4435.2000000000007</v>
      </c>
    </row>
    <row r="8021" spans="1:12" x14ac:dyDescent="0.25">
      <c r="A8021" t="s">
        <v>19</v>
      </c>
      <c r="B8021">
        <v>1185732</v>
      </c>
      <c r="C8021" s="1">
        <v>44545</v>
      </c>
      <c r="D8021" t="s">
        <v>57</v>
      </c>
      <c r="E8021" t="s">
        <v>70</v>
      </c>
      <c r="F8021" t="s">
        <v>71</v>
      </c>
      <c r="G8021" t="s">
        <v>41</v>
      </c>
      <c r="H8021" t="s">
        <v>37</v>
      </c>
      <c r="I8021" s="3">
        <v>48</v>
      </c>
      <c r="J8021" s="2">
        <v>138</v>
      </c>
      <c r="K8021" s="3">
        <f t="shared" si="125"/>
        <v>6624</v>
      </c>
      <c r="L8021" s="3">
        <v>3444.48</v>
      </c>
    </row>
    <row r="8022" spans="1:12" x14ac:dyDescent="0.25">
      <c r="A8022" t="s">
        <v>19</v>
      </c>
      <c r="B8022">
        <v>1185732</v>
      </c>
      <c r="C8022" s="1">
        <v>44545</v>
      </c>
      <c r="D8022" t="s">
        <v>57</v>
      </c>
      <c r="E8022" t="s">
        <v>70</v>
      </c>
      <c r="F8022" t="s">
        <v>71</v>
      </c>
      <c r="G8022" t="s">
        <v>41</v>
      </c>
      <c r="H8022" t="s">
        <v>22</v>
      </c>
      <c r="I8022" s="3">
        <v>55</v>
      </c>
      <c r="J8022" s="2">
        <v>143</v>
      </c>
      <c r="K8022" s="3">
        <f t="shared" si="125"/>
        <v>7865</v>
      </c>
      <c r="L8022" s="3">
        <v>3775.2</v>
      </c>
    </row>
    <row r="8023" spans="1:12" x14ac:dyDescent="0.25">
      <c r="A8023" t="s">
        <v>26</v>
      </c>
      <c r="B8023">
        <v>1185732</v>
      </c>
      <c r="C8023" s="1">
        <v>44545</v>
      </c>
      <c r="D8023" t="s">
        <v>57</v>
      </c>
      <c r="E8023" t="s">
        <v>70</v>
      </c>
      <c r="F8023" t="s">
        <v>71</v>
      </c>
      <c r="G8023" t="s">
        <v>41</v>
      </c>
      <c r="H8023" t="s">
        <v>17</v>
      </c>
      <c r="I8023" s="3">
        <v>46</v>
      </c>
      <c r="J8023" s="2">
        <v>176</v>
      </c>
      <c r="K8023" s="3">
        <f t="shared" si="125"/>
        <v>8096</v>
      </c>
      <c r="L8023" s="3">
        <v>3805.12</v>
      </c>
    </row>
    <row r="8024" spans="1:12" x14ac:dyDescent="0.25">
      <c r="A8024" t="s">
        <v>19</v>
      </c>
      <c r="B8024">
        <v>1185732</v>
      </c>
      <c r="C8024" s="1">
        <v>44545</v>
      </c>
      <c r="D8024" t="s">
        <v>29</v>
      </c>
      <c r="E8024" t="s">
        <v>55</v>
      </c>
      <c r="F8024" t="s">
        <v>56</v>
      </c>
      <c r="G8024" t="s">
        <v>15</v>
      </c>
      <c r="H8024" t="s">
        <v>38</v>
      </c>
      <c r="I8024" s="3">
        <v>47</v>
      </c>
      <c r="J8024" s="2">
        <v>124</v>
      </c>
      <c r="K8024" s="3">
        <f t="shared" si="125"/>
        <v>5828</v>
      </c>
      <c r="L8024" s="3">
        <v>2739.16</v>
      </c>
    </row>
    <row r="8025" spans="1:12" x14ac:dyDescent="0.25">
      <c r="A8025" t="s">
        <v>26</v>
      </c>
      <c r="B8025">
        <v>1185732</v>
      </c>
      <c r="C8025" s="1">
        <v>44545</v>
      </c>
      <c r="D8025" t="s">
        <v>57</v>
      </c>
      <c r="E8025" t="s">
        <v>70</v>
      </c>
      <c r="F8025" t="s">
        <v>71</v>
      </c>
      <c r="G8025" t="s">
        <v>41</v>
      </c>
      <c r="H8025" t="s">
        <v>38</v>
      </c>
      <c r="I8025" s="3">
        <v>55</v>
      </c>
      <c r="J8025" s="2">
        <v>255</v>
      </c>
      <c r="K8025" s="3">
        <f t="shared" si="125"/>
        <v>14025</v>
      </c>
      <c r="L8025" s="3">
        <v>5469.75</v>
      </c>
    </row>
    <row r="8026" spans="1:12" x14ac:dyDescent="0.25">
      <c r="A8026" t="s">
        <v>19</v>
      </c>
      <c r="B8026">
        <v>1185732</v>
      </c>
      <c r="C8026" s="1">
        <v>44545</v>
      </c>
      <c r="D8026" t="s">
        <v>29</v>
      </c>
      <c r="E8026" t="s">
        <v>55</v>
      </c>
      <c r="F8026" t="s">
        <v>56</v>
      </c>
      <c r="G8026" t="s">
        <v>41</v>
      </c>
      <c r="H8026" t="s">
        <v>38</v>
      </c>
      <c r="I8026" s="3">
        <v>55</v>
      </c>
      <c r="J8026" s="2">
        <v>104</v>
      </c>
      <c r="K8026" s="3">
        <f t="shared" si="125"/>
        <v>5720</v>
      </c>
      <c r="L8026" s="3">
        <v>2173.6</v>
      </c>
    </row>
    <row r="8027" spans="1:12" x14ac:dyDescent="0.25">
      <c r="A8027" t="s">
        <v>19</v>
      </c>
      <c r="B8027">
        <v>1185732</v>
      </c>
      <c r="C8027" s="1">
        <v>44545</v>
      </c>
      <c r="D8027" t="s">
        <v>57</v>
      </c>
      <c r="E8027" t="s">
        <v>70</v>
      </c>
      <c r="F8027" t="s">
        <v>71</v>
      </c>
      <c r="G8027" t="s">
        <v>41</v>
      </c>
      <c r="H8027" t="s">
        <v>16</v>
      </c>
      <c r="I8027" s="3">
        <v>59</v>
      </c>
      <c r="J8027" s="2">
        <v>163</v>
      </c>
      <c r="K8027" s="3">
        <f t="shared" si="125"/>
        <v>9617</v>
      </c>
      <c r="L8027" s="3">
        <v>3365.95</v>
      </c>
    </row>
    <row r="8028" spans="1:12" x14ac:dyDescent="0.25">
      <c r="A8028" t="s">
        <v>11</v>
      </c>
      <c r="B8028">
        <v>1128299</v>
      </c>
      <c r="C8028" s="1">
        <v>44546</v>
      </c>
      <c r="D8028" t="s">
        <v>32</v>
      </c>
      <c r="E8028" t="s">
        <v>33</v>
      </c>
      <c r="F8028" t="s">
        <v>34</v>
      </c>
      <c r="G8028" t="s">
        <v>18</v>
      </c>
      <c r="H8028" t="s">
        <v>22</v>
      </c>
      <c r="I8028" s="3">
        <v>90.000000000000014</v>
      </c>
      <c r="J8028" s="2">
        <v>525</v>
      </c>
      <c r="K8028" s="3">
        <f t="shared" si="125"/>
        <v>47250.000000000007</v>
      </c>
      <c r="L8028" s="3">
        <v>37800.000000000007</v>
      </c>
    </row>
    <row r="8029" spans="1:12" x14ac:dyDescent="0.25">
      <c r="A8029" t="s">
        <v>23</v>
      </c>
      <c r="B8029">
        <v>1128299</v>
      </c>
      <c r="C8029" s="1">
        <v>44546</v>
      </c>
      <c r="D8029" t="s">
        <v>32</v>
      </c>
      <c r="E8029" t="s">
        <v>33</v>
      </c>
      <c r="F8029" t="s">
        <v>34</v>
      </c>
      <c r="G8029" t="s">
        <v>18</v>
      </c>
      <c r="H8029" t="s">
        <v>17</v>
      </c>
      <c r="I8029" s="3">
        <v>85.000000000000014</v>
      </c>
      <c r="J8029" s="2">
        <v>800</v>
      </c>
      <c r="K8029" s="3">
        <f t="shared" si="125"/>
        <v>68000.000000000015</v>
      </c>
      <c r="L8029" s="3">
        <v>51000.000000000015</v>
      </c>
    </row>
    <row r="8030" spans="1:12" x14ac:dyDescent="0.25">
      <c r="A8030" t="s">
        <v>23</v>
      </c>
      <c r="B8030">
        <v>1128299</v>
      </c>
      <c r="C8030" s="1">
        <v>44546</v>
      </c>
      <c r="D8030" t="s">
        <v>32</v>
      </c>
      <c r="E8030" t="s">
        <v>33</v>
      </c>
      <c r="F8030" t="s">
        <v>34</v>
      </c>
      <c r="G8030" t="s">
        <v>18</v>
      </c>
      <c r="H8030" t="s">
        <v>38</v>
      </c>
      <c r="I8030" s="3">
        <v>75.000000000000014</v>
      </c>
      <c r="J8030" s="2">
        <v>800</v>
      </c>
      <c r="K8030" s="3">
        <f t="shared" si="125"/>
        <v>60000.000000000015</v>
      </c>
      <c r="L8030" s="3">
        <v>42000.000000000015</v>
      </c>
    </row>
    <row r="8031" spans="1:12" x14ac:dyDescent="0.25">
      <c r="A8031" t="s">
        <v>19</v>
      </c>
      <c r="B8031">
        <v>1185732</v>
      </c>
      <c r="C8031" s="1">
        <v>44546</v>
      </c>
      <c r="D8031" t="s">
        <v>29</v>
      </c>
      <c r="E8031" t="s">
        <v>55</v>
      </c>
      <c r="F8031" t="s">
        <v>56</v>
      </c>
      <c r="G8031" t="s">
        <v>15</v>
      </c>
      <c r="H8031" t="s">
        <v>17</v>
      </c>
      <c r="I8031" s="3">
        <v>50</v>
      </c>
      <c r="J8031" s="2">
        <v>225</v>
      </c>
      <c r="K8031" s="3">
        <f t="shared" si="125"/>
        <v>11250</v>
      </c>
      <c r="L8031" s="3">
        <v>7875</v>
      </c>
    </row>
    <row r="8032" spans="1:12" x14ac:dyDescent="0.25">
      <c r="A8032" t="s">
        <v>11</v>
      </c>
      <c r="B8032">
        <v>1128299</v>
      </c>
      <c r="C8032" s="1">
        <v>44546</v>
      </c>
      <c r="D8032" t="s">
        <v>32</v>
      </c>
      <c r="E8032" t="s">
        <v>33</v>
      </c>
      <c r="F8032" t="s">
        <v>34</v>
      </c>
      <c r="G8032" t="s">
        <v>18</v>
      </c>
      <c r="H8032" t="s">
        <v>35</v>
      </c>
      <c r="I8032" s="3">
        <v>80.000000000000014</v>
      </c>
      <c r="J8032" s="2">
        <v>600</v>
      </c>
      <c r="K8032" s="3">
        <f t="shared" si="125"/>
        <v>48000.000000000007</v>
      </c>
      <c r="L8032" s="3">
        <v>33600.000000000007</v>
      </c>
    </row>
    <row r="8033" spans="1:12" x14ac:dyDescent="0.25">
      <c r="A8033" t="s">
        <v>11</v>
      </c>
      <c r="B8033">
        <v>1128299</v>
      </c>
      <c r="C8033" s="1">
        <v>44546</v>
      </c>
      <c r="D8033" t="s">
        <v>32</v>
      </c>
      <c r="E8033" t="s">
        <v>33</v>
      </c>
      <c r="F8033" t="s">
        <v>34</v>
      </c>
      <c r="G8033" t="s">
        <v>18</v>
      </c>
      <c r="H8033" t="s">
        <v>37</v>
      </c>
      <c r="I8033" s="3">
        <v>80.000000000000014</v>
      </c>
      <c r="J8033" s="2">
        <v>600</v>
      </c>
      <c r="K8033" s="3">
        <f t="shared" si="125"/>
        <v>48000.000000000007</v>
      </c>
      <c r="L8033" s="3">
        <v>33600.000000000007</v>
      </c>
    </row>
    <row r="8034" spans="1:12" x14ac:dyDescent="0.25">
      <c r="A8034" t="s">
        <v>19</v>
      </c>
      <c r="B8034">
        <v>1128299</v>
      </c>
      <c r="C8034" s="1">
        <v>44546</v>
      </c>
      <c r="D8034" t="s">
        <v>52</v>
      </c>
      <c r="E8034" t="s">
        <v>64</v>
      </c>
      <c r="F8034" t="s">
        <v>65</v>
      </c>
      <c r="G8034" t="s">
        <v>41</v>
      </c>
      <c r="H8034" t="s">
        <v>16</v>
      </c>
      <c r="I8034" s="3">
        <v>90.000000000000028</v>
      </c>
      <c r="J8034" s="2">
        <v>625</v>
      </c>
      <c r="K8034" s="3">
        <f t="shared" si="125"/>
        <v>56250.000000000015</v>
      </c>
      <c r="L8034" s="3">
        <v>36562.500000000015</v>
      </c>
    </row>
    <row r="8035" spans="1:12" x14ac:dyDescent="0.25">
      <c r="A8035" t="s">
        <v>26</v>
      </c>
      <c r="B8035">
        <v>1185732</v>
      </c>
      <c r="C8035" s="1">
        <v>44546</v>
      </c>
      <c r="D8035" t="s">
        <v>52</v>
      </c>
      <c r="E8035" t="s">
        <v>112</v>
      </c>
      <c r="F8035" t="s">
        <v>113</v>
      </c>
      <c r="G8035" t="s">
        <v>41</v>
      </c>
      <c r="H8035" t="s">
        <v>17</v>
      </c>
      <c r="I8035" s="3">
        <v>60.000000000000007</v>
      </c>
      <c r="J8035" s="2">
        <v>575</v>
      </c>
      <c r="K8035" s="3">
        <f t="shared" si="125"/>
        <v>34500.000000000007</v>
      </c>
      <c r="L8035" s="3">
        <v>22425.000000000007</v>
      </c>
    </row>
    <row r="8036" spans="1:12" x14ac:dyDescent="0.25">
      <c r="A8036" t="s">
        <v>26</v>
      </c>
      <c r="B8036">
        <v>1185732</v>
      </c>
      <c r="C8036" s="1">
        <v>44546</v>
      </c>
      <c r="D8036" t="s">
        <v>52</v>
      </c>
      <c r="E8036" t="s">
        <v>112</v>
      </c>
      <c r="F8036" t="s">
        <v>113</v>
      </c>
      <c r="G8036" t="s">
        <v>41</v>
      </c>
      <c r="H8036" t="s">
        <v>22</v>
      </c>
      <c r="I8036" s="3">
        <v>70</v>
      </c>
      <c r="J8036" s="2">
        <v>475</v>
      </c>
      <c r="K8036" s="3">
        <f t="shared" si="125"/>
        <v>33250</v>
      </c>
      <c r="L8036" s="3">
        <v>21612.5</v>
      </c>
    </row>
    <row r="8037" spans="1:12" x14ac:dyDescent="0.25">
      <c r="A8037" t="s">
        <v>11</v>
      </c>
      <c r="B8037">
        <v>1128299</v>
      </c>
      <c r="C8037" s="1">
        <v>44546</v>
      </c>
      <c r="D8037" t="s">
        <v>52</v>
      </c>
      <c r="E8037" t="s">
        <v>64</v>
      </c>
      <c r="F8037" t="s">
        <v>65</v>
      </c>
      <c r="G8037" t="s">
        <v>41</v>
      </c>
      <c r="H8037" t="s">
        <v>38</v>
      </c>
      <c r="I8037" s="3">
        <v>70.000000000000014</v>
      </c>
      <c r="J8037" s="2">
        <v>800</v>
      </c>
      <c r="K8037" s="3">
        <f t="shared" si="125"/>
        <v>56000.000000000015</v>
      </c>
      <c r="L8037" s="3">
        <v>33600.000000000015</v>
      </c>
    </row>
    <row r="8038" spans="1:12" x14ac:dyDescent="0.25">
      <c r="A8038" t="s">
        <v>11</v>
      </c>
      <c r="B8038">
        <v>1128299</v>
      </c>
      <c r="C8038" s="1">
        <v>44546</v>
      </c>
      <c r="D8038" t="s">
        <v>52</v>
      </c>
      <c r="E8038" t="s">
        <v>64</v>
      </c>
      <c r="F8038" t="s">
        <v>65</v>
      </c>
      <c r="G8038" t="s">
        <v>41</v>
      </c>
      <c r="H8038" t="s">
        <v>17</v>
      </c>
      <c r="I8038" s="3">
        <v>80.000000000000028</v>
      </c>
      <c r="J8038" s="2">
        <v>800</v>
      </c>
      <c r="K8038" s="3">
        <f t="shared" si="125"/>
        <v>64000.000000000022</v>
      </c>
      <c r="L8038" s="3">
        <v>38400.000000000015</v>
      </c>
    </row>
    <row r="8039" spans="1:12" x14ac:dyDescent="0.25">
      <c r="A8039" t="s">
        <v>19</v>
      </c>
      <c r="B8039">
        <v>1128299</v>
      </c>
      <c r="C8039" s="1">
        <v>44546</v>
      </c>
      <c r="D8039" t="s">
        <v>52</v>
      </c>
      <c r="E8039" t="s">
        <v>64</v>
      </c>
      <c r="F8039" t="s">
        <v>65</v>
      </c>
      <c r="G8039" t="s">
        <v>41</v>
      </c>
      <c r="H8039" t="s">
        <v>35</v>
      </c>
      <c r="I8039" s="3">
        <v>75.000000000000028</v>
      </c>
      <c r="J8039" s="2">
        <v>600</v>
      </c>
      <c r="K8039" s="3">
        <f t="shared" si="125"/>
        <v>45000.000000000015</v>
      </c>
      <c r="L8039" s="3">
        <v>27000.000000000011</v>
      </c>
    </row>
    <row r="8040" spans="1:12" x14ac:dyDescent="0.25">
      <c r="A8040" t="s">
        <v>19</v>
      </c>
      <c r="B8040">
        <v>1128299</v>
      </c>
      <c r="C8040" s="1">
        <v>44546</v>
      </c>
      <c r="D8040" t="s">
        <v>52</v>
      </c>
      <c r="E8040" t="s">
        <v>64</v>
      </c>
      <c r="F8040" t="s">
        <v>65</v>
      </c>
      <c r="G8040" t="s">
        <v>41</v>
      </c>
      <c r="H8040" t="s">
        <v>37</v>
      </c>
      <c r="I8040" s="3">
        <v>75.000000000000028</v>
      </c>
      <c r="J8040" s="2">
        <v>600</v>
      </c>
      <c r="K8040" s="3">
        <f t="shared" si="125"/>
        <v>45000.000000000015</v>
      </c>
      <c r="L8040" s="3">
        <v>27000.000000000011</v>
      </c>
    </row>
    <row r="8041" spans="1:12" x14ac:dyDescent="0.25">
      <c r="A8041" t="s">
        <v>26</v>
      </c>
      <c r="B8041">
        <v>1185732</v>
      </c>
      <c r="C8041" s="1">
        <v>44546</v>
      </c>
      <c r="D8041" t="s">
        <v>52</v>
      </c>
      <c r="E8041" t="s">
        <v>112</v>
      </c>
      <c r="F8041" t="s">
        <v>113</v>
      </c>
      <c r="G8041" t="s">
        <v>41</v>
      </c>
      <c r="H8041" t="s">
        <v>38</v>
      </c>
      <c r="I8041" s="3">
        <v>70</v>
      </c>
      <c r="J8041" s="2">
        <v>775</v>
      </c>
      <c r="K8041" s="3">
        <f t="shared" si="125"/>
        <v>54250</v>
      </c>
      <c r="L8041" s="3">
        <v>32550</v>
      </c>
    </row>
    <row r="8042" spans="1:12" x14ac:dyDescent="0.25">
      <c r="A8042" t="s">
        <v>26</v>
      </c>
      <c r="B8042">
        <v>1185732</v>
      </c>
      <c r="C8042" s="1">
        <v>44546</v>
      </c>
      <c r="D8042" t="s">
        <v>52</v>
      </c>
      <c r="E8042" t="s">
        <v>112</v>
      </c>
      <c r="F8042" t="s">
        <v>113</v>
      </c>
      <c r="G8042" t="s">
        <v>41</v>
      </c>
      <c r="H8042" t="s">
        <v>35</v>
      </c>
      <c r="I8042" s="3">
        <v>60.000000000000007</v>
      </c>
      <c r="J8042" s="2">
        <v>525</v>
      </c>
      <c r="K8042" s="3">
        <f t="shared" si="125"/>
        <v>31500.000000000004</v>
      </c>
      <c r="L8042" s="3">
        <v>18900.000000000004</v>
      </c>
    </row>
    <row r="8043" spans="1:12" x14ac:dyDescent="0.25">
      <c r="A8043" t="s">
        <v>26</v>
      </c>
      <c r="B8043">
        <v>1185732</v>
      </c>
      <c r="C8043" s="1">
        <v>44546</v>
      </c>
      <c r="D8043" t="s">
        <v>52</v>
      </c>
      <c r="E8043" t="s">
        <v>112</v>
      </c>
      <c r="F8043" t="s">
        <v>113</v>
      </c>
      <c r="G8043" t="s">
        <v>41</v>
      </c>
      <c r="H8043" t="s">
        <v>37</v>
      </c>
      <c r="I8043" s="3">
        <v>60.000000000000007</v>
      </c>
      <c r="J8043" s="2">
        <v>475</v>
      </c>
      <c r="K8043" s="3">
        <f t="shared" si="125"/>
        <v>28500.000000000004</v>
      </c>
      <c r="L8043" s="3">
        <v>17100.000000000004</v>
      </c>
    </row>
    <row r="8044" spans="1:12" x14ac:dyDescent="0.25">
      <c r="A8044" t="s">
        <v>19</v>
      </c>
      <c r="B8044">
        <v>1185732</v>
      </c>
      <c r="C8044" s="1">
        <v>44546</v>
      </c>
      <c r="D8044" t="s">
        <v>29</v>
      </c>
      <c r="E8044" t="s">
        <v>105</v>
      </c>
      <c r="F8044" t="s">
        <v>47</v>
      </c>
      <c r="G8044" t="s">
        <v>18</v>
      </c>
      <c r="H8044" t="s">
        <v>38</v>
      </c>
      <c r="I8044" s="3">
        <v>65</v>
      </c>
      <c r="J8044" s="2">
        <v>650</v>
      </c>
      <c r="K8044" s="3">
        <f t="shared" si="125"/>
        <v>42250</v>
      </c>
      <c r="L8044" s="3">
        <v>25350</v>
      </c>
    </row>
    <row r="8045" spans="1:12" x14ac:dyDescent="0.25">
      <c r="A8045" t="s">
        <v>19</v>
      </c>
      <c r="B8045">
        <v>1185732</v>
      </c>
      <c r="C8045" s="1">
        <v>44546</v>
      </c>
      <c r="D8045" t="s">
        <v>29</v>
      </c>
      <c r="E8045" t="s">
        <v>105</v>
      </c>
      <c r="F8045" t="s">
        <v>47</v>
      </c>
      <c r="G8045" t="s">
        <v>18</v>
      </c>
      <c r="H8045" t="s">
        <v>37</v>
      </c>
      <c r="I8045" s="3">
        <v>55.000000000000007</v>
      </c>
      <c r="J8045" s="2">
        <v>350</v>
      </c>
      <c r="K8045" s="3">
        <f t="shared" si="125"/>
        <v>19250.000000000004</v>
      </c>
      <c r="L8045" s="3">
        <v>11550.000000000002</v>
      </c>
    </row>
    <row r="8046" spans="1:12" x14ac:dyDescent="0.25">
      <c r="A8046" t="s">
        <v>19</v>
      </c>
      <c r="B8046">
        <v>1185732</v>
      </c>
      <c r="C8046" s="1">
        <v>44546</v>
      </c>
      <c r="D8046" t="s">
        <v>29</v>
      </c>
      <c r="E8046" t="s">
        <v>105</v>
      </c>
      <c r="F8046" t="s">
        <v>47</v>
      </c>
      <c r="G8046" t="s">
        <v>18</v>
      </c>
      <c r="H8046" t="s">
        <v>22</v>
      </c>
      <c r="I8046" s="3">
        <v>65</v>
      </c>
      <c r="J8046" s="2">
        <v>350</v>
      </c>
      <c r="K8046" s="3">
        <f t="shared" si="125"/>
        <v>22750</v>
      </c>
      <c r="L8046" s="3">
        <v>13650</v>
      </c>
    </row>
    <row r="8047" spans="1:12" x14ac:dyDescent="0.25">
      <c r="A8047" t="s">
        <v>19</v>
      </c>
      <c r="B8047">
        <v>1185732</v>
      </c>
      <c r="C8047" s="1">
        <v>44546</v>
      </c>
      <c r="D8047" t="s">
        <v>29</v>
      </c>
      <c r="E8047" t="s">
        <v>105</v>
      </c>
      <c r="F8047" t="s">
        <v>47</v>
      </c>
      <c r="G8047" t="s">
        <v>18</v>
      </c>
      <c r="H8047" t="s">
        <v>16</v>
      </c>
      <c r="I8047" s="3">
        <v>70</v>
      </c>
      <c r="J8047" s="2">
        <v>450</v>
      </c>
      <c r="K8047" s="3">
        <f t="shared" si="125"/>
        <v>31500</v>
      </c>
      <c r="L8047" s="3">
        <v>18900</v>
      </c>
    </row>
    <row r="8048" spans="1:12" x14ac:dyDescent="0.25">
      <c r="A8048" t="s">
        <v>19</v>
      </c>
      <c r="B8048">
        <v>1185732</v>
      </c>
      <c r="C8048" s="1">
        <v>44546</v>
      </c>
      <c r="D8048" t="s">
        <v>29</v>
      </c>
      <c r="E8048" t="s">
        <v>105</v>
      </c>
      <c r="F8048" t="s">
        <v>47</v>
      </c>
      <c r="G8048" t="s">
        <v>18</v>
      </c>
      <c r="H8048" t="s">
        <v>17</v>
      </c>
      <c r="I8048" s="3">
        <v>55.000000000000007</v>
      </c>
      <c r="J8048" s="2">
        <v>450</v>
      </c>
      <c r="K8048" s="3">
        <f t="shared" si="125"/>
        <v>24750.000000000004</v>
      </c>
      <c r="L8048" s="3">
        <v>14850</v>
      </c>
    </row>
    <row r="8049" spans="1:12" x14ac:dyDescent="0.25">
      <c r="A8049" t="s">
        <v>11</v>
      </c>
      <c r="B8049">
        <v>1185732</v>
      </c>
      <c r="C8049" s="1">
        <v>44546</v>
      </c>
      <c r="D8049" t="s">
        <v>29</v>
      </c>
      <c r="E8049" t="s">
        <v>105</v>
      </c>
      <c r="F8049" t="s">
        <v>47</v>
      </c>
      <c r="G8049" t="s">
        <v>18</v>
      </c>
      <c r="H8049" t="s">
        <v>35</v>
      </c>
      <c r="I8049" s="3">
        <v>55.000000000000007</v>
      </c>
      <c r="J8049" s="2">
        <v>400</v>
      </c>
      <c r="K8049" s="3">
        <f t="shared" si="125"/>
        <v>22000.000000000004</v>
      </c>
      <c r="L8049" s="3">
        <v>13200</v>
      </c>
    </row>
    <row r="8050" spans="1:12" x14ac:dyDescent="0.25">
      <c r="A8050" t="s">
        <v>11</v>
      </c>
      <c r="B8050">
        <v>1128299</v>
      </c>
      <c r="C8050" s="1">
        <v>44546</v>
      </c>
      <c r="D8050" t="s">
        <v>32</v>
      </c>
      <c r="E8050" t="s">
        <v>33</v>
      </c>
      <c r="F8050" t="s">
        <v>34</v>
      </c>
      <c r="G8050" t="s">
        <v>18</v>
      </c>
      <c r="H8050" t="s">
        <v>16</v>
      </c>
      <c r="I8050" s="3">
        <v>95.000000000000014</v>
      </c>
      <c r="J8050" s="2">
        <v>625</v>
      </c>
      <c r="K8050" s="3">
        <f t="shared" si="125"/>
        <v>59375.000000000007</v>
      </c>
      <c r="L8050" s="3">
        <v>32656.250000000007</v>
      </c>
    </row>
    <row r="8051" spans="1:12" x14ac:dyDescent="0.25">
      <c r="A8051" t="s">
        <v>19</v>
      </c>
      <c r="B8051">
        <v>1128299</v>
      </c>
      <c r="C8051" s="1">
        <v>44546</v>
      </c>
      <c r="D8051" t="s">
        <v>52</v>
      </c>
      <c r="E8051" t="s">
        <v>64</v>
      </c>
      <c r="F8051" t="s">
        <v>65</v>
      </c>
      <c r="G8051" t="s">
        <v>41</v>
      </c>
      <c r="H8051" t="s">
        <v>22</v>
      </c>
      <c r="I8051" s="3">
        <v>85.000000000000014</v>
      </c>
      <c r="J8051" s="2">
        <v>525</v>
      </c>
      <c r="K8051" s="3">
        <f t="shared" si="125"/>
        <v>44625.000000000007</v>
      </c>
      <c r="L8051" s="3">
        <v>24543.750000000004</v>
      </c>
    </row>
    <row r="8052" spans="1:12" x14ac:dyDescent="0.25">
      <c r="A8052" t="s">
        <v>26</v>
      </c>
      <c r="B8052">
        <v>1185732</v>
      </c>
      <c r="C8052" s="1">
        <v>44546</v>
      </c>
      <c r="D8052" t="s">
        <v>52</v>
      </c>
      <c r="E8052" t="s">
        <v>112</v>
      </c>
      <c r="F8052" t="s">
        <v>113</v>
      </c>
      <c r="G8052" t="s">
        <v>41</v>
      </c>
      <c r="H8052" t="s">
        <v>16</v>
      </c>
      <c r="I8052" s="3">
        <v>75</v>
      </c>
      <c r="J8052" s="2">
        <v>575</v>
      </c>
      <c r="K8052" s="3">
        <f t="shared" si="125"/>
        <v>43125</v>
      </c>
      <c r="L8052" s="3">
        <v>21562.5</v>
      </c>
    </row>
    <row r="8053" spans="1:12" x14ac:dyDescent="0.25">
      <c r="A8053" t="s">
        <v>11</v>
      </c>
      <c r="B8053">
        <v>1128299</v>
      </c>
      <c r="C8053" s="1">
        <v>44546</v>
      </c>
      <c r="D8053" t="s">
        <v>32</v>
      </c>
      <c r="E8053" t="s">
        <v>33</v>
      </c>
      <c r="F8053" t="s">
        <v>34</v>
      </c>
      <c r="G8053" t="s">
        <v>15</v>
      </c>
      <c r="H8053" t="s">
        <v>22</v>
      </c>
      <c r="I8053" s="3">
        <v>64</v>
      </c>
      <c r="J8053" s="2">
        <v>179</v>
      </c>
      <c r="K8053" s="3">
        <f t="shared" si="125"/>
        <v>11456</v>
      </c>
      <c r="L8053" s="3">
        <v>8477.44</v>
      </c>
    </row>
    <row r="8054" spans="1:12" x14ac:dyDescent="0.25">
      <c r="A8054" t="s">
        <v>23</v>
      </c>
      <c r="B8054">
        <v>1128299</v>
      </c>
      <c r="C8054" s="1">
        <v>44546</v>
      </c>
      <c r="D8054" t="s">
        <v>32</v>
      </c>
      <c r="E8054" t="s">
        <v>33</v>
      </c>
      <c r="F8054" t="s">
        <v>34</v>
      </c>
      <c r="G8054" t="s">
        <v>15</v>
      </c>
      <c r="H8054" t="s">
        <v>17</v>
      </c>
      <c r="I8054" s="3">
        <v>55</v>
      </c>
      <c r="J8054" s="2">
        <v>256</v>
      </c>
      <c r="K8054" s="3">
        <f t="shared" si="125"/>
        <v>14080</v>
      </c>
      <c r="L8054" s="3">
        <v>9715.2000000000007</v>
      </c>
    </row>
    <row r="8055" spans="1:12" x14ac:dyDescent="0.25">
      <c r="A8055" t="s">
        <v>19</v>
      </c>
      <c r="B8055">
        <v>1185732</v>
      </c>
      <c r="C8055" s="1">
        <v>44546</v>
      </c>
      <c r="D8055" t="s">
        <v>29</v>
      </c>
      <c r="E8055" t="s">
        <v>55</v>
      </c>
      <c r="F8055" t="s">
        <v>56</v>
      </c>
      <c r="G8055" t="s">
        <v>15</v>
      </c>
      <c r="H8055" t="s">
        <v>17</v>
      </c>
      <c r="I8055" s="3">
        <v>35</v>
      </c>
      <c r="J8055" s="2">
        <v>68</v>
      </c>
      <c r="K8055" s="3">
        <f t="shared" si="125"/>
        <v>2380</v>
      </c>
      <c r="L8055" s="3">
        <v>1618.4</v>
      </c>
    </row>
    <row r="8056" spans="1:12" x14ac:dyDescent="0.25">
      <c r="A8056" t="s">
        <v>11</v>
      </c>
      <c r="B8056">
        <v>1128299</v>
      </c>
      <c r="C8056" s="1">
        <v>44546</v>
      </c>
      <c r="D8056" t="s">
        <v>32</v>
      </c>
      <c r="E8056" t="s">
        <v>33</v>
      </c>
      <c r="F8056" t="s">
        <v>34</v>
      </c>
      <c r="G8056" t="s">
        <v>15</v>
      </c>
      <c r="H8056" t="s">
        <v>35</v>
      </c>
      <c r="I8056" s="3">
        <v>64</v>
      </c>
      <c r="J8056" s="2">
        <v>204</v>
      </c>
      <c r="K8056" s="3">
        <f t="shared" si="125"/>
        <v>13056</v>
      </c>
      <c r="L8056" s="3">
        <v>8747.52</v>
      </c>
    </row>
    <row r="8057" spans="1:12" x14ac:dyDescent="0.25">
      <c r="A8057" t="s">
        <v>11</v>
      </c>
      <c r="B8057">
        <v>1128299</v>
      </c>
      <c r="C8057" s="1">
        <v>44546</v>
      </c>
      <c r="D8057" t="s">
        <v>32</v>
      </c>
      <c r="E8057" t="s">
        <v>33</v>
      </c>
      <c r="F8057" t="s">
        <v>34</v>
      </c>
      <c r="G8057" t="s">
        <v>15</v>
      </c>
      <c r="H8057" t="s">
        <v>37</v>
      </c>
      <c r="I8057" s="3">
        <v>58</v>
      </c>
      <c r="J8057" s="2">
        <v>204</v>
      </c>
      <c r="K8057" s="3">
        <f t="shared" si="125"/>
        <v>11832</v>
      </c>
      <c r="L8057" s="3">
        <v>7809.1200000000008</v>
      </c>
    </row>
    <row r="8058" spans="1:12" x14ac:dyDescent="0.25">
      <c r="A8058" t="s">
        <v>23</v>
      </c>
      <c r="B8058">
        <v>1128299</v>
      </c>
      <c r="C8058" s="1">
        <v>44546</v>
      </c>
      <c r="D8058" t="s">
        <v>32</v>
      </c>
      <c r="E8058" t="s">
        <v>33</v>
      </c>
      <c r="F8058" t="s">
        <v>34</v>
      </c>
      <c r="G8058" t="s">
        <v>41</v>
      </c>
      <c r="H8058" t="s">
        <v>17</v>
      </c>
      <c r="I8058" s="3">
        <v>82</v>
      </c>
      <c r="J8058" s="2">
        <v>200</v>
      </c>
      <c r="K8058" s="3">
        <f t="shared" si="125"/>
        <v>16400</v>
      </c>
      <c r="L8058" s="3">
        <v>10660</v>
      </c>
    </row>
    <row r="8059" spans="1:12" x14ac:dyDescent="0.25">
      <c r="A8059" t="s">
        <v>11</v>
      </c>
      <c r="B8059">
        <v>1128299</v>
      </c>
      <c r="C8059" s="1">
        <v>44546</v>
      </c>
      <c r="D8059" t="s">
        <v>32</v>
      </c>
      <c r="E8059" t="s">
        <v>33</v>
      </c>
      <c r="F8059" t="s">
        <v>34</v>
      </c>
      <c r="G8059" t="s">
        <v>41</v>
      </c>
      <c r="H8059" t="s">
        <v>22</v>
      </c>
      <c r="I8059" s="3">
        <v>86</v>
      </c>
      <c r="J8059" s="2">
        <v>147</v>
      </c>
      <c r="K8059" s="3">
        <f t="shared" si="125"/>
        <v>12642</v>
      </c>
      <c r="L8059" s="3">
        <v>8217.2999999999993</v>
      </c>
    </row>
    <row r="8060" spans="1:12" x14ac:dyDescent="0.25">
      <c r="A8060" t="s">
        <v>23</v>
      </c>
      <c r="B8060">
        <v>1128299</v>
      </c>
      <c r="C8060" s="1">
        <v>44546</v>
      </c>
      <c r="D8060" t="s">
        <v>32</v>
      </c>
      <c r="E8060" t="s">
        <v>33</v>
      </c>
      <c r="F8060" t="s">
        <v>34</v>
      </c>
      <c r="G8060" t="s">
        <v>15</v>
      </c>
      <c r="H8060" t="s">
        <v>38</v>
      </c>
      <c r="I8060" s="3">
        <v>58</v>
      </c>
      <c r="J8060" s="2">
        <v>280</v>
      </c>
      <c r="K8060" s="3">
        <f t="shared" si="125"/>
        <v>16240</v>
      </c>
      <c r="L8060" s="3">
        <v>10393.6</v>
      </c>
    </row>
    <row r="8061" spans="1:12" x14ac:dyDescent="0.25">
      <c r="A8061" t="s">
        <v>26</v>
      </c>
      <c r="B8061">
        <v>1185732</v>
      </c>
      <c r="C8061" s="1">
        <v>44546</v>
      </c>
      <c r="D8061" t="s">
        <v>52</v>
      </c>
      <c r="E8061" t="s">
        <v>112</v>
      </c>
      <c r="F8061" t="s">
        <v>113</v>
      </c>
      <c r="G8061" t="s">
        <v>15</v>
      </c>
      <c r="H8061" t="s">
        <v>17</v>
      </c>
      <c r="I8061" s="3">
        <v>44</v>
      </c>
      <c r="J8061" s="2">
        <v>201</v>
      </c>
      <c r="K8061" s="3">
        <f t="shared" si="125"/>
        <v>8844</v>
      </c>
      <c r="L8061" s="3">
        <v>5571.72</v>
      </c>
    </row>
    <row r="8062" spans="1:12" x14ac:dyDescent="0.25">
      <c r="A8062" t="s">
        <v>26</v>
      </c>
      <c r="B8062">
        <v>1185732</v>
      </c>
      <c r="C8062" s="1">
        <v>44546</v>
      </c>
      <c r="D8062" t="s">
        <v>52</v>
      </c>
      <c r="E8062" t="s">
        <v>112</v>
      </c>
      <c r="F8062" t="s">
        <v>113</v>
      </c>
      <c r="G8062" t="s">
        <v>15</v>
      </c>
      <c r="H8062" t="s">
        <v>22</v>
      </c>
      <c r="I8062" s="3">
        <v>54</v>
      </c>
      <c r="J8062" s="2">
        <v>157</v>
      </c>
      <c r="K8062" s="3">
        <f t="shared" si="125"/>
        <v>8478</v>
      </c>
      <c r="L8062" s="3">
        <v>5256.3600000000006</v>
      </c>
    </row>
    <row r="8063" spans="1:12" x14ac:dyDescent="0.25">
      <c r="A8063" t="s">
        <v>23</v>
      </c>
      <c r="B8063">
        <v>1128299</v>
      </c>
      <c r="C8063" s="1">
        <v>44546</v>
      </c>
      <c r="D8063" t="s">
        <v>32</v>
      </c>
      <c r="E8063" t="s">
        <v>33</v>
      </c>
      <c r="F8063" t="s">
        <v>34</v>
      </c>
      <c r="G8063" t="s">
        <v>41</v>
      </c>
      <c r="H8063" t="s">
        <v>38</v>
      </c>
      <c r="I8063" s="3">
        <v>72</v>
      </c>
      <c r="J8063" s="2">
        <v>216</v>
      </c>
      <c r="K8063" s="3">
        <f t="shared" si="125"/>
        <v>15552</v>
      </c>
      <c r="L8063" s="3">
        <v>9331.2000000000007</v>
      </c>
    </row>
    <row r="8064" spans="1:12" x14ac:dyDescent="0.25">
      <c r="A8064" t="s">
        <v>19</v>
      </c>
      <c r="B8064">
        <v>1128299</v>
      </c>
      <c r="C8064" s="1">
        <v>44546</v>
      </c>
      <c r="D8064" t="s">
        <v>52</v>
      </c>
      <c r="E8064" t="s">
        <v>64</v>
      </c>
      <c r="F8064" t="s">
        <v>65</v>
      </c>
      <c r="G8064" t="s">
        <v>15</v>
      </c>
      <c r="H8064" t="s">
        <v>16</v>
      </c>
      <c r="I8064" s="3">
        <v>59</v>
      </c>
      <c r="J8064" s="2">
        <v>194</v>
      </c>
      <c r="K8064" s="3">
        <f t="shared" si="125"/>
        <v>11446</v>
      </c>
      <c r="L8064" s="3">
        <v>6867.6</v>
      </c>
    </row>
    <row r="8065" spans="1:12" x14ac:dyDescent="0.25">
      <c r="A8065" t="s">
        <v>11</v>
      </c>
      <c r="B8065">
        <v>1128299</v>
      </c>
      <c r="C8065" s="1">
        <v>44546</v>
      </c>
      <c r="D8065" t="s">
        <v>32</v>
      </c>
      <c r="E8065" t="s">
        <v>33</v>
      </c>
      <c r="F8065" t="s">
        <v>34</v>
      </c>
      <c r="G8065" t="s">
        <v>41</v>
      </c>
      <c r="H8065" t="s">
        <v>35</v>
      </c>
      <c r="I8065" s="3">
        <v>75</v>
      </c>
      <c r="J8065" s="2">
        <v>174</v>
      </c>
      <c r="K8065" s="3">
        <f t="shared" si="125"/>
        <v>13050</v>
      </c>
      <c r="L8065" s="3">
        <v>7830</v>
      </c>
    </row>
    <row r="8066" spans="1:12" x14ac:dyDescent="0.25">
      <c r="A8066" t="s">
        <v>11</v>
      </c>
      <c r="B8066">
        <v>1128299</v>
      </c>
      <c r="C8066" s="1">
        <v>44546</v>
      </c>
      <c r="D8066" t="s">
        <v>32</v>
      </c>
      <c r="E8066" t="s">
        <v>33</v>
      </c>
      <c r="F8066" t="s">
        <v>34</v>
      </c>
      <c r="G8066" t="s">
        <v>41</v>
      </c>
      <c r="H8066" t="s">
        <v>37</v>
      </c>
      <c r="I8066" s="3">
        <v>78</v>
      </c>
      <c r="J8066" s="2">
        <v>180</v>
      </c>
      <c r="K8066" s="3">
        <f t="shared" si="125"/>
        <v>14040</v>
      </c>
      <c r="L8066" s="3">
        <v>8283.6</v>
      </c>
    </row>
    <row r="8067" spans="1:12" x14ac:dyDescent="0.25">
      <c r="A8067" t="s">
        <v>19</v>
      </c>
      <c r="B8067">
        <v>1185732</v>
      </c>
      <c r="C8067" s="1">
        <v>44546</v>
      </c>
      <c r="D8067" t="s">
        <v>29</v>
      </c>
      <c r="E8067" t="s">
        <v>55</v>
      </c>
      <c r="F8067" t="s">
        <v>56</v>
      </c>
      <c r="G8067" t="s">
        <v>41</v>
      </c>
      <c r="H8067" t="s">
        <v>17</v>
      </c>
      <c r="I8067" s="3">
        <v>47</v>
      </c>
      <c r="J8067" s="2">
        <v>63</v>
      </c>
      <c r="K8067" s="3">
        <f t="shared" ref="K8067:K8130" si="126">I8067*J8067</f>
        <v>2961</v>
      </c>
      <c r="L8067" s="3">
        <v>1717.38</v>
      </c>
    </row>
    <row r="8068" spans="1:12" x14ac:dyDescent="0.25">
      <c r="A8068" t="s">
        <v>19</v>
      </c>
      <c r="B8068">
        <v>1128299</v>
      </c>
      <c r="C8068" s="1">
        <v>44546</v>
      </c>
      <c r="D8068" t="s">
        <v>52</v>
      </c>
      <c r="E8068" t="s">
        <v>64</v>
      </c>
      <c r="F8068" t="s">
        <v>65</v>
      </c>
      <c r="G8068" t="s">
        <v>15</v>
      </c>
      <c r="H8068" t="s">
        <v>35</v>
      </c>
      <c r="I8068" s="3">
        <v>53</v>
      </c>
      <c r="J8068" s="2">
        <v>192</v>
      </c>
      <c r="K8068" s="3">
        <f t="shared" si="126"/>
        <v>10176</v>
      </c>
      <c r="L8068" s="3">
        <v>5800.3200000000006</v>
      </c>
    </row>
    <row r="8069" spans="1:12" x14ac:dyDescent="0.25">
      <c r="A8069" t="s">
        <v>11</v>
      </c>
      <c r="B8069">
        <v>1128299</v>
      </c>
      <c r="C8069" s="1">
        <v>44546</v>
      </c>
      <c r="D8069" t="s">
        <v>52</v>
      </c>
      <c r="E8069" t="s">
        <v>64</v>
      </c>
      <c r="F8069" t="s">
        <v>65</v>
      </c>
      <c r="G8069" t="s">
        <v>15</v>
      </c>
      <c r="H8069" t="s">
        <v>17</v>
      </c>
      <c r="I8069" s="3">
        <v>52</v>
      </c>
      <c r="J8069" s="2">
        <v>248</v>
      </c>
      <c r="K8069" s="3">
        <f t="shared" si="126"/>
        <v>12896</v>
      </c>
      <c r="L8069" s="3">
        <v>7221.7600000000011</v>
      </c>
    </row>
    <row r="8070" spans="1:12" x14ac:dyDescent="0.25">
      <c r="A8070" t="s">
        <v>19</v>
      </c>
      <c r="B8070">
        <v>1128299</v>
      </c>
      <c r="C8070" s="1">
        <v>44546</v>
      </c>
      <c r="D8070" t="s">
        <v>52</v>
      </c>
      <c r="E8070" t="s">
        <v>64</v>
      </c>
      <c r="F8070" t="s">
        <v>65</v>
      </c>
      <c r="G8070" t="s">
        <v>41</v>
      </c>
      <c r="H8070" t="s">
        <v>16</v>
      </c>
      <c r="I8070" s="3">
        <v>87</v>
      </c>
      <c r="J8070" s="2">
        <v>175</v>
      </c>
      <c r="K8070" s="3">
        <f t="shared" si="126"/>
        <v>15225</v>
      </c>
      <c r="L8070" s="3">
        <v>8373.75</v>
      </c>
    </row>
    <row r="8071" spans="1:12" x14ac:dyDescent="0.25">
      <c r="A8071" t="s">
        <v>26</v>
      </c>
      <c r="B8071">
        <v>1185732</v>
      </c>
      <c r="C8071" s="1">
        <v>44546</v>
      </c>
      <c r="D8071" t="s">
        <v>52</v>
      </c>
      <c r="E8071" t="s">
        <v>112</v>
      </c>
      <c r="F8071" t="s">
        <v>113</v>
      </c>
      <c r="G8071" t="s">
        <v>15</v>
      </c>
      <c r="H8071" t="s">
        <v>35</v>
      </c>
      <c r="I8071" s="3">
        <v>43</v>
      </c>
      <c r="J8071" s="2">
        <v>158</v>
      </c>
      <c r="K8071" s="3">
        <f t="shared" si="126"/>
        <v>6794</v>
      </c>
      <c r="L8071" s="3">
        <v>3736.7</v>
      </c>
    </row>
    <row r="8072" spans="1:12" x14ac:dyDescent="0.25">
      <c r="A8072" t="s">
        <v>11</v>
      </c>
      <c r="B8072">
        <v>1128299</v>
      </c>
      <c r="C8072" s="1">
        <v>44546</v>
      </c>
      <c r="D8072" t="s">
        <v>52</v>
      </c>
      <c r="E8072" t="s">
        <v>64</v>
      </c>
      <c r="F8072" t="s">
        <v>65</v>
      </c>
      <c r="G8072" t="s">
        <v>15</v>
      </c>
      <c r="H8072" t="s">
        <v>38</v>
      </c>
      <c r="I8072" s="3">
        <v>46</v>
      </c>
      <c r="J8072" s="2">
        <v>272</v>
      </c>
      <c r="K8072" s="3">
        <f t="shared" si="126"/>
        <v>12512</v>
      </c>
      <c r="L8072" s="3">
        <v>6756.4800000000005</v>
      </c>
    </row>
    <row r="8073" spans="1:12" x14ac:dyDescent="0.25">
      <c r="A8073" t="s">
        <v>19</v>
      </c>
      <c r="B8073">
        <v>1128299</v>
      </c>
      <c r="C8073" s="1">
        <v>44546</v>
      </c>
      <c r="D8073" t="s">
        <v>52</v>
      </c>
      <c r="E8073" t="s">
        <v>64</v>
      </c>
      <c r="F8073" t="s">
        <v>65</v>
      </c>
      <c r="G8073" t="s">
        <v>15</v>
      </c>
      <c r="H8073" t="s">
        <v>37</v>
      </c>
      <c r="I8073" s="3">
        <v>53</v>
      </c>
      <c r="J8073" s="2">
        <v>192</v>
      </c>
      <c r="K8073" s="3">
        <f t="shared" si="126"/>
        <v>10176</v>
      </c>
      <c r="L8073" s="3">
        <v>5393.2800000000007</v>
      </c>
    </row>
    <row r="8074" spans="1:12" x14ac:dyDescent="0.25">
      <c r="A8074" t="s">
        <v>26</v>
      </c>
      <c r="B8074">
        <v>1185732</v>
      </c>
      <c r="C8074" s="1">
        <v>44546</v>
      </c>
      <c r="D8074" t="s">
        <v>52</v>
      </c>
      <c r="E8074" t="s">
        <v>112</v>
      </c>
      <c r="F8074" t="s">
        <v>113</v>
      </c>
      <c r="G8074" t="s">
        <v>15</v>
      </c>
      <c r="H8074" t="s">
        <v>38</v>
      </c>
      <c r="I8074" s="3">
        <v>48</v>
      </c>
      <c r="J8074" s="2">
        <v>256</v>
      </c>
      <c r="K8074" s="3">
        <f t="shared" si="126"/>
        <v>12288</v>
      </c>
      <c r="L8074" s="3">
        <v>6512.6399999999994</v>
      </c>
    </row>
    <row r="8075" spans="1:12" x14ac:dyDescent="0.25">
      <c r="A8075" t="s">
        <v>26</v>
      </c>
      <c r="B8075">
        <v>1185732</v>
      </c>
      <c r="C8075" s="1">
        <v>44546</v>
      </c>
      <c r="D8075" t="s">
        <v>52</v>
      </c>
      <c r="E8075" t="s">
        <v>112</v>
      </c>
      <c r="F8075" t="s">
        <v>113</v>
      </c>
      <c r="G8075" t="s">
        <v>15</v>
      </c>
      <c r="H8075" t="s">
        <v>37</v>
      </c>
      <c r="I8075" s="3">
        <v>41</v>
      </c>
      <c r="J8075" s="2">
        <v>143</v>
      </c>
      <c r="K8075" s="3">
        <f t="shared" si="126"/>
        <v>5863</v>
      </c>
      <c r="L8075" s="3">
        <v>3107.39</v>
      </c>
    </row>
    <row r="8076" spans="1:12" x14ac:dyDescent="0.25">
      <c r="A8076" t="s">
        <v>11</v>
      </c>
      <c r="B8076">
        <v>1128299</v>
      </c>
      <c r="C8076" s="1">
        <v>44546</v>
      </c>
      <c r="D8076" t="s">
        <v>32</v>
      </c>
      <c r="E8076" t="s">
        <v>33</v>
      </c>
      <c r="F8076" t="s">
        <v>34</v>
      </c>
      <c r="G8076" t="s">
        <v>15</v>
      </c>
      <c r="H8076" t="s">
        <v>16</v>
      </c>
      <c r="I8076" s="3">
        <v>64</v>
      </c>
      <c r="J8076" s="2">
        <v>200</v>
      </c>
      <c r="K8076" s="3">
        <f t="shared" si="126"/>
        <v>12800</v>
      </c>
      <c r="L8076" s="3">
        <v>6656</v>
      </c>
    </row>
    <row r="8077" spans="1:12" x14ac:dyDescent="0.25">
      <c r="A8077" t="s">
        <v>19</v>
      </c>
      <c r="B8077">
        <v>1128299</v>
      </c>
      <c r="C8077" s="1">
        <v>44546</v>
      </c>
      <c r="D8077" t="s">
        <v>52</v>
      </c>
      <c r="E8077" t="s">
        <v>64</v>
      </c>
      <c r="F8077" t="s">
        <v>65</v>
      </c>
      <c r="G8077" t="s">
        <v>15</v>
      </c>
      <c r="H8077" t="s">
        <v>22</v>
      </c>
      <c r="I8077" s="3">
        <v>55</v>
      </c>
      <c r="J8077" s="2">
        <v>168</v>
      </c>
      <c r="K8077" s="3">
        <f t="shared" si="126"/>
        <v>9240</v>
      </c>
      <c r="L8077" s="3">
        <v>4804.8</v>
      </c>
    </row>
    <row r="8078" spans="1:12" x14ac:dyDescent="0.25">
      <c r="A8078" t="s">
        <v>26</v>
      </c>
      <c r="B8078">
        <v>1185732</v>
      </c>
      <c r="C8078" s="1">
        <v>44546</v>
      </c>
      <c r="D8078" t="s">
        <v>52</v>
      </c>
      <c r="E8078" t="s">
        <v>112</v>
      </c>
      <c r="F8078" t="s">
        <v>113</v>
      </c>
      <c r="G8078" t="s">
        <v>41</v>
      </c>
      <c r="H8078" t="s">
        <v>17</v>
      </c>
      <c r="I8078" s="3">
        <v>58</v>
      </c>
      <c r="J8078" s="2">
        <v>155</v>
      </c>
      <c r="K8078" s="3">
        <f t="shared" si="126"/>
        <v>8990</v>
      </c>
      <c r="L8078" s="3">
        <v>4584.8999999999996</v>
      </c>
    </row>
    <row r="8079" spans="1:12" x14ac:dyDescent="0.25">
      <c r="A8079" t="s">
        <v>11</v>
      </c>
      <c r="B8079">
        <v>1128299</v>
      </c>
      <c r="C8079" s="1">
        <v>44546</v>
      </c>
      <c r="D8079" t="s">
        <v>52</v>
      </c>
      <c r="E8079" t="s">
        <v>64</v>
      </c>
      <c r="F8079" t="s">
        <v>65</v>
      </c>
      <c r="G8079" t="s">
        <v>41</v>
      </c>
      <c r="H8079" t="s">
        <v>17</v>
      </c>
      <c r="I8079" s="3">
        <v>72</v>
      </c>
      <c r="J8079" s="2">
        <v>216</v>
      </c>
      <c r="K8079" s="3">
        <f t="shared" si="126"/>
        <v>15552</v>
      </c>
      <c r="L8079" s="3">
        <v>7776</v>
      </c>
    </row>
    <row r="8080" spans="1:12" x14ac:dyDescent="0.25">
      <c r="A8080" t="s">
        <v>26</v>
      </c>
      <c r="B8080">
        <v>1185732</v>
      </c>
      <c r="C8080" s="1">
        <v>44546</v>
      </c>
      <c r="D8080" t="s">
        <v>52</v>
      </c>
      <c r="E8080" t="s">
        <v>112</v>
      </c>
      <c r="F8080" t="s">
        <v>113</v>
      </c>
      <c r="G8080" t="s">
        <v>41</v>
      </c>
      <c r="H8080" t="s">
        <v>22</v>
      </c>
      <c r="I8080" s="3">
        <v>65</v>
      </c>
      <c r="J8080" s="2">
        <v>124</v>
      </c>
      <c r="K8080" s="3">
        <f t="shared" si="126"/>
        <v>8060</v>
      </c>
      <c r="L8080" s="3">
        <v>4030</v>
      </c>
    </row>
    <row r="8081" spans="1:12" x14ac:dyDescent="0.25">
      <c r="A8081" t="s">
        <v>19</v>
      </c>
      <c r="B8081">
        <v>1185732</v>
      </c>
      <c r="C8081" s="1">
        <v>44546</v>
      </c>
      <c r="D8081" t="s">
        <v>29</v>
      </c>
      <c r="E8081" t="s">
        <v>105</v>
      </c>
      <c r="F8081" t="s">
        <v>47</v>
      </c>
      <c r="G8081" t="s">
        <v>41</v>
      </c>
      <c r="H8081" t="s">
        <v>22</v>
      </c>
      <c r="I8081" s="3">
        <v>61</v>
      </c>
      <c r="J8081" s="2">
        <v>95</v>
      </c>
      <c r="K8081" s="3">
        <f t="shared" si="126"/>
        <v>5795</v>
      </c>
      <c r="L8081" s="3">
        <v>2897.5</v>
      </c>
    </row>
    <row r="8082" spans="1:12" x14ac:dyDescent="0.25">
      <c r="A8082" t="s">
        <v>19</v>
      </c>
      <c r="B8082">
        <v>1185732</v>
      </c>
      <c r="C8082" s="1">
        <v>44546</v>
      </c>
      <c r="D8082" t="s">
        <v>29</v>
      </c>
      <c r="E8082" t="s">
        <v>105</v>
      </c>
      <c r="F8082" t="s">
        <v>47</v>
      </c>
      <c r="G8082" t="s">
        <v>41</v>
      </c>
      <c r="H8082" t="s">
        <v>37</v>
      </c>
      <c r="I8082" s="3">
        <v>53</v>
      </c>
      <c r="J8082" s="2">
        <v>102</v>
      </c>
      <c r="K8082" s="3">
        <f t="shared" si="126"/>
        <v>5406</v>
      </c>
      <c r="L8082" s="3">
        <v>2648.94</v>
      </c>
    </row>
    <row r="8083" spans="1:12" x14ac:dyDescent="0.25">
      <c r="A8083" t="s">
        <v>11</v>
      </c>
      <c r="B8083">
        <v>1128299</v>
      </c>
      <c r="C8083" s="1">
        <v>44546</v>
      </c>
      <c r="D8083" t="s">
        <v>52</v>
      </c>
      <c r="E8083" t="s">
        <v>64</v>
      </c>
      <c r="F8083" t="s">
        <v>65</v>
      </c>
      <c r="G8083" t="s">
        <v>41</v>
      </c>
      <c r="H8083" t="s">
        <v>38</v>
      </c>
      <c r="I8083" s="3">
        <v>69</v>
      </c>
      <c r="J8083" s="2">
        <v>240</v>
      </c>
      <c r="K8083" s="3">
        <f t="shared" si="126"/>
        <v>16560</v>
      </c>
      <c r="L8083" s="3">
        <v>7948.7999999999993</v>
      </c>
    </row>
    <row r="8084" spans="1:12" x14ac:dyDescent="0.25">
      <c r="A8084" t="s">
        <v>19</v>
      </c>
      <c r="B8084">
        <v>1128299</v>
      </c>
      <c r="C8084" s="1">
        <v>44546</v>
      </c>
      <c r="D8084" t="s">
        <v>52</v>
      </c>
      <c r="E8084" t="s">
        <v>64</v>
      </c>
      <c r="F8084" t="s">
        <v>65</v>
      </c>
      <c r="G8084" t="s">
        <v>41</v>
      </c>
      <c r="H8084" t="s">
        <v>35</v>
      </c>
      <c r="I8084" s="3">
        <v>69</v>
      </c>
      <c r="J8084" s="2">
        <v>162</v>
      </c>
      <c r="K8084" s="3">
        <f t="shared" si="126"/>
        <v>11178</v>
      </c>
      <c r="L8084" s="3">
        <v>5365.44</v>
      </c>
    </row>
    <row r="8085" spans="1:12" x14ac:dyDescent="0.25">
      <c r="A8085" t="s">
        <v>26</v>
      </c>
      <c r="B8085">
        <v>1185732</v>
      </c>
      <c r="C8085" s="1">
        <v>44546</v>
      </c>
      <c r="D8085" t="s">
        <v>52</v>
      </c>
      <c r="E8085" t="s">
        <v>112</v>
      </c>
      <c r="F8085" t="s">
        <v>113</v>
      </c>
      <c r="G8085" t="s">
        <v>41</v>
      </c>
      <c r="H8085" t="s">
        <v>37</v>
      </c>
      <c r="I8085" s="3">
        <v>56</v>
      </c>
      <c r="J8085" s="2">
        <v>133</v>
      </c>
      <c r="K8085" s="3">
        <f t="shared" si="126"/>
        <v>7448</v>
      </c>
      <c r="L8085" s="3">
        <v>3575.04</v>
      </c>
    </row>
    <row r="8086" spans="1:12" x14ac:dyDescent="0.25">
      <c r="A8086" t="s">
        <v>19</v>
      </c>
      <c r="B8086">
        <v>1185732</v>
      </c>
      <c r="C8086" s="1">
        <v>44546</v>
      </c>
      <c r="D8086" t="s">
        <v>29</v>
      </c>
      <c r="E8086" t="s">
        <v>105</v>
      </c>
      <c r="F8086" t="s">
        <v>47</v>
      </c>
      <c r="G8086" t="s">
        <v>41</v>
      </c>
      <c r="H8086" t="s">
        <v>38</v>
      </c>
      <c r="I8086" s="3">
        <v>60</v>
      </c>
      <c r="J8086" s="2">
        <v>176</v>
      </c>
      <c r="K8086" s="3">
        <f t="shared" si="126"/>
        <v>10560</v>
      </c>
      <c r="L8086" s="3">
        <v>5068.8</v>
      </c>
    </row>
    <row r="8087" spans="1:12" x14ac:dyDescent="0.25">
      <c r="A8087" t="s">
        <v>19</v>
      </c>
      <c r="B8087">
        <v>1185732</v>
      </c>
      <c r="C8087" s="1">
        <v>44546</v>
      </c>
      <c r="D8087" t="s">
        <v>29</v>
      </c>
      <c r="E8087" t="s">
        <v>105</v>
      </c>
      <c r="F8087" t="s">
        <v>47</v>
      </c>
      <c r="G8087" t="s">
        <v>41</v>
      </c>
      <c r="H8087" t="s">
        <v>17</v>
      </c>
      <c r="I8087" s="3">
        <v>52</v>
      </c>
      <c r="J8087" s="2">
        <v>135</v>
      </c>
      <c r="K8087" s="3">
        <f t="shared" si="126"/>
        <v>7020</v>
      </c>
      <c r="L8087" s="3">
        <v>3369.6</v>
      </c>
    </row>
    <row r="8088" spans="1:12" x14ac:dyDescent="0.25">
      <c r="A8088" t="s">
        <v>26</v>
      </c>
      <c r="B8088">
        <v>1185732</v>
      </c>
      <c r="C8088" s="1">
        <v>44546</v>
      </c>
      <c r="D8088" t="s">
        <v>52</v>
      </c>
      <c r="E8088" t="s">
        <v>112</v>
      </c>
      <c r="F8088" t="s">
        <v>113</v>
      </c>
      <c r="G8088" t="s">
        <v>41</v>
      </c>
      <c r="H8088" t="s">
        <v>38</v>
      </c>
      <c r="I8088" s="3">
        <v>68</v>
      </c>
      <c r="J8088" s="2">
        <v>194</v>
      </c>
      <c r="K8088" s="3">
        <f t="shared" si="126"/>
        <v>13192</v>
      </c>
      <c r="L8088" s="3">
        <v>6200.24</v>
      </c>
    </row>
    <row r="8089" spans="1:12" x14ac:dyDescent="0.25">
      <c r="A8089" t="s">
        <v>11</v>
      </c>
      <c r="B8089">
        <v>1185732</v>
      </c>
      <c r="C8089" s="1">
        <v>44546</v>
      </c>
      <c r="D8089" t="s">
        <v>29</v>
      </c>
      <c r="E8089" t="s">
        <v>105</v>
      </c>
      <c r="F8089" t="s">
        <v>47</v>
      </c>
      <c r="G8089" t="s">
        <v>41</v>
      </c>
      <c r="H8089" t="s">
        <v>35</v>
      </c>
      <c r="I8089" s="3">
        <v>50</v>
      </c>
      <c r="J8089" s="2">
        <v>112</v>
      </c>
      <c r="K8089" s="3">
        <f t="shared" si="126"/>
        <v>5600</v>
      </c>
      <c r="L8089" s="3">
        <v>2632</v>
      </c>
    </row>
    <row r="8090" spans="1:12" x14ac:dyDescent="0.25">
      <c r="A8090" t="s">
        <v>19</v>
      </c>
      <c r="B8090">
        <v>1128299</v>
      </c>
      <c r="C8090" s="1">
        <v>44546</v>
      </c>
      <c r="D8090" t="s">
        <v>52</v>
      </c>
      <c r="E8090" t="s">
        <v>64</v>
      </c>
      <c r="F8090" t="s">
        <v>65</v>
      </c>
      <c r="G8090" t="s">
        <v>41</v>
      </c>
      <c r="H8090" t="s">
        <v>37</v>
      </c>
      <c r="I8090" s="3">
        <v>72</v>
      </c>
      <c r="J8090" s="2">
        <v>156</v>
      </c>
      <c r="K8090" s="3">
        <f t="shared" si="126"/>
        <v>11232</v>
      </c>
      <c r="L8090" s="3">
        <v>5166.7199999999993</v>
      </c>
    </row>
    <row r="8091" spans="1:12" x14ac:dyDescent="0.25">
      <c r="A8091" t="s">
        <v>26</v>
      </c>
      <c r="B8091">
        <v>1185732</v>
      </c>
      <c r="C8091" s="1">
        <v>44546</v>
      </c>
      <c r="D8091" t="s">
        <v>52</v>
      </c>
      <c r="E8091" t="s">
        <v>112</v>
      </c>
      <c r="F8091" t="s">
        <v>113</v>
      </c>
      <c r="G8091" t="s">
        <v>41</v>
      </c>
      <c r="H8091" t="s">
        <v>35</v>
      </c>
      <c r="I8091" s="3">
        <v>59</v>
      </c>
      <c r="J8091" s="2">
        <v>137</v>
      </c>
      <c r="K8091" s="3">
        <f t="shared" si="126"/>
        <v>8083</v>
      </c>
      <c r="L8091" s="3">
        <v>3718.1799999999994</v>
      </c>
    </row>
    <row r="8092" spans="1:12" x14ac:dyDescent="0.25">
      <c r="A8092" t="s">
        <v>11</v>
      </c>
      <c r="B8092">
        <v>1128299</v>
      </c>
      <c r="C8092" s="1">
        <v>44546</v>
      </c>
      <c r="D8092" t="s">
        <v>32</v>
      </c>
      <c r="E8092" t="s">
        <v>33</v>
      </c>
      <c r="F8092" t="s">
        <v>34</v>
      </c>
      <c r="G8092" t="s">
        <v>41</v>
      </c>
      <c r="H8092" t="s">
        <v>16</v>
      </c>
      <c r="I8092" s="3">
        <v>87</v>
      </c>
      <c r="J8092" s="2">
        <v>156</v>
      </c>
      <c r="K8092" s="3">
        <f t="shared" si="126"/>
        <v>13572</v>
      </c>
      <c r="L8092" s="3">
        <v>6107.4</v>
      </c>
    </row>
    <row r="8093" spans="1:12" x14ac:dyDescent="0.25">
      <c r="A8093" t="s">
        <v>19</v>
      </c>
      <c r="B8093">
        <v>1185732</v>
      </c>
      <c r="C8093" s="1">
        <v>44546</v>
      </c>
      <c r="D8093" t="s">
        <v>29</v>
      </c>
      <c r="E8093" t="s">
        <v>105</v>
      </c>
      <c r="F8093" t="s">
        <v>47</v>
      </c>
      <c r="G8093" t="s">
        <v>41</v>
      </c>
      <c r="H8093" t="s">
        <v>16</v>
      </c>
      <c r="I8093" s="3">
        <v>68</v>
      </c>
      <c r="J8093" s="2">
        <v>122</v>
      </c>
      <c r="K8093" s="3">
        <f t="shared" si="126"/>
        <v>8296</v>
      </c>
      <c r="L8093" s="3">
        <v>3733.2</v>
      </c>
    </row>
    <row r="8094" spans="1:12" x14ac:dyDescent="0.25">
      <c r="A8094" t="s">
        <v>26</v>
      </c>
      <c r="B8094">
        <v>1185732</v>
      </c>
      <c r="C8094" s="1">
        <v>44546</v>
      </c>
      <c r="D8094" t="s">
        <v>52</v>
      </c>
      <c r="E8094" t="s">
        <v>112</v>
      </c>
      <c r="F8094" t="s">
        <v>113</v>
      </c>
      <c r="G8094" t="s">
        <v>15</v>
      </c>
      <c r="H8094" t="s">
        <v>16</v>
      </c>
      <c r="I8094" s="3">
        <v>53</v>
      </c>
      <c r="J8094" s="2">
        <v>178</v>
      </c>
      <c r="K8094" s="3">
        <f t="shared" si="126"/>
        <v>9434</v>
      </c>
      <c r="L8094" s="3">
        <v>4245.2999999999993</v>
      </c>
    </row>
    <row r="8095" spans="1:12" x14ac:dyDescent="0.25">
      <c r="A8095" t="s">
        <v>19</v>
      </c>
      <c r="B8095">
        <v>1128299</v>
      </c>
      <c r="C8095" s="1">
        <v>44546</v>
      </c>
      <c r="D8095" t="s">
        <v>52</v>
      </c>
      <c r="E8095" t="s">
        <v>64</v>
      </c>
      <c r="F8095" t="s">
        <v>65</v>
      </c>
      <c r="G8095" t="s">
        <v>41</v>
      </c>
      <c r="H8095" t="s">
        <v>22</v>
      </c>
      <c r="I8095" s="3">
        <v>82</v>
      </c>
      <c r="J8095" s="2">
        <v>131</v>
      </c>
      <c r="K8095" s="3">
        <f t="shared" si="126"/>
        <v>10742</v>
      </c>
      <c r="L8095" s="3">
        <v>4511.6399999999994</v>
      </c>
    </row>
    <row r="8096" spans="1:12" x14ac:dyDescent="0.25">
      <c r="A8096" t="s">
        <v>26</v>
      </c>
      <c r="B8096">
        <v>1185732</v>
      </c>
      <c r="C8096" s="1">
        <v>44546</v>
      </c>
      <c r="D8096" t="s">
        <v>52</v>
      </c>
      <c r="E8096" t="s">
        <v>112</v>
      </c>
      <c r="F8096" t="s">
        <v>113</v>
      </c>
      <c r="G8096" t="s">
        <v>41</v>
      </c>
      <c r="H8096" t="s">
        <v>16</v>
      </c>
      <c r="I8096" s="3">
        <v>71</v>
      </c>
      <c r="J8096" s="2">
        <v>144</v>
      </c>
      <c r="K8096" s="3">
        <f t="shared" si="126"/>
        <v>10224</v>
      </c>
      <c r="L8096" s="3">
        <v>3987.3600000000006</v>
      </c>
    </row>
    <row r="8097" spans="1:12" x14ac:dyDescent="0.25">
      <c r="A8097" t="s">
        <v>36</v>
      </c>
      <c r="B8097">
        <v>1185732</v>
      </c>
      <c r="C8097" s="1">
        <v>44547</v>
      </c>
      <c r="D8097" t="s">
        <v>29</v>
      </c>
      <c r="E8097" t="s">
        <v>30</v>
      </c>
      <c r="F8097" t="s">
        <v>31</v>
      </c>
      <c r="G8097" t="s">
        <v>15</v>
      </c>
      <c r="H8097" t="s">
        <v>22</v>
      </c>
      <c r="I8097" s="3">
        <v>65</v>
      </c>
      <c r="J8097" s="2">
        <v>200</v>
      </c>
      <c r="K8097" s="3">
        <f t="shared" si="126"/>
        <v>13000</v>
      </c>
      <c r="L8097" s="3">
        <v>9750</v>
      </c>
    </row>
    <row r="8098" spans="1:12" x14ac:dyDescent="0.25">
      <c r="A8098" t="s">
        <v>19</v>
      </c>
      <c r="B8098">
        <v>1185732</v>
      </c>
      <c r="C8098" s="1">
        <v>44547</v>
      </c>
      <c r="D8098" t="s">
        <v>29</v>
      </c>
      <c r="E8098" t="s">
        <v>68</v>
      </c>
      <c r="F8098" t="s">
        <v>69</v>
      </c>
      <c r="G8098" t="s">
        <v>15</v>
      </c>
      <c r="H8098" t="s">
        <v>37</v>
      </c>
      <c r="I8098" s="3">
        <v>65.000000000000014</v>
      </c>
      <c r="J8098" s="2">
        <v>350</v>
      </c>
      <c r="K8098" s="3">
        <f t="shared" si="126"/>
        <v>22750.000000000004</v>
      </c>
      <c r="L8098" s="3">
        <v>15925.000000000005</v>
      </c>
    </row>
    <row r="8099" spans="1:12" x14ac:dyDescent="0.25">
      <c r="A8099" t="s">
        <v>19</v>
      </c>
      <c r="B8099">
        <v>1185732</v>
      </c>
      <c r="C8099" s="1">
        <v>44547</v>
      </c>
      <c r="D8099" t="s">
        <v>29</v>
      </c>
      <c r="E8099" t="s">
        <v>68</v>
      </c>
      <c r="F8099" t="s">
        <v>69</v>
      </c>
      <c r="G8099" t="s">
        <v>15</v>
      </c>
      <c r="H8099" t="s">
        <v>22</v>
      </c>
      <c r="I8099" s="3">
        <v>75.000000000000014</v>
      </c>
      <c r="J8099" s="2">
        <v>350</v>
      </c>
      <c r="K8099" s="3">
        <f t="shared" si="126"/>
        <v>26250.000000000004</v>
      </c>
      <c r="L8099" s="3">
        <v>18375.000000000007</v>
      </c>
    </row>
    <row r="8100" spans="1:12" x14ac:dyDescent="0.25">
      <c r="A8100" t="s">
        <v>19</v>
      </c>
      <c r="B8100">
        <v>1185732</v>
      </c>
      <c r="C8100" s="1">
        <v>44547</v>
      </c>
      <c r="D8100" t="s">
        <v>29</v>
      </c>
      <c r="E8100" t="s">
        <v>68</v>
      </c>
      <c r="F8100" t="s">
        <v>69</v>
      </c>
      <c r="G8100" t="s">
        <v>15</v>
      </c>
      <c r="H8100" t="s">
        <v>35</v>
      </c>
      <c r="I8100" s="3">
        <v>65.000000000000014</v>
      </c>
      <c r="J8100" s="2">
        <v>400</v>
      </c>
      <c r="K8100" s="3">
        <f t="shared" si="126"/>
        <v>26000.000000000007</v>
      </c>
      <c r="L8100" s="3">
        <v>18200.000000000007</v>
      </c>
    </row>
    <row r="8101" spans="1:12" x14ac:dyDescent="0.25">
      <c r="A8101" t="s">
        <v>36</v>
      </c>
      <c r="B8101">
        <v>1185732</v>
      </c>
      <c r="C8101" s="1">
        <v>44547</v>
      </c>
      <c r="D8101" t="s">
        <v>29</v>
      </c>
      <c r="E8101" t="s">
        <v>30</v>
      </c>
      <c r="F8101" t="s">
        <v>31</v>
      </c>
      <c r="G8101" t="s">
        <v>15</v>
      </c>
      <c r="H8101" t="s">
        <v>37</v>
      </c>
      <c r="I8101" s="3">
        <v>55.000000000000007</v>
      </c>
      <c r="J8101" s="2">
        <v>200</v>
      </c>
      <c r="K8101" s="3">
        <f t="shared" si="126"/>
        <v>11000.000000000002</v>
      </c>
      <c r="L8101" s="3">
        <v>7700.0000000000018</v>
      </c>
    </row>
    <row r="8102" spans="1:12" x14ac:dyDescent="0.25">
      <c r="A8102" t="s">
        <v>36</v>
      </c>
      <c r="B8102">
        <v>1185732</v>
      </c>
      <c r="C8102" s="1">
        <v>44547</v>
      </c>
      <c r="D8102" t="s">
        <v>29</v>
      </c>
      <c r="E8102" t="s">
        <v>30</v>
      </c>
      <c r="F8102" t="s">
        <v>31</v>
      </c>
      <c r="G8102" t="s">
        <v>15</v>
      </c>
      <c r="H8102" t="s">
        <v>17</v>
      </c>
      <c r="I8102" s="3">
        <v>55.000000000000007</v>
      </c>
      <c r="J8102" s="2">
        <v>275</v>
      </c>
      <c r="K8102" s="3">
        <f t="shared" si="126"/>
        <v>15125.000000000002</v>
      </c>
      <c r="L8102" s="3">
        <v>9831.2500000000036</v>
      </c>
    </row>
    <row r="8103" spans="1:12" x14ac:dyDescent="0.25">
      <c r="A8103" t="s">
        <v>19</v>
      </c>
      <c r="B8103">
        <v>1185732</v>
      </c>
      <c r="C8103" s="1">
        <v>44547</v>
      </c>
      <c r="D8103" t="s">
        <v>29</v>
      </c>
      <c r="E8103" t="s">
        <v>55</v>
      </c>
      <c r="F8103" t="s">
        <v>56</v>
      </c>
      <c r="G8103" t="s">
        <v>15</v>
      </c>
      <c r="H8103" t="s">
        <v>35</v>
      </c>
      <c r="I8103" s="3">
        <v>50</v>
      </c>
      <c r="J8103" s="2">
        <v>125</v>
      </c>
      <c r="K8103" s="3">
        <f t="shared" si="126"/>
        <v>6250</v>
      </c>
      <c r="L8103" s="3">
        <v>4062.5</v>
      </c>
    </row>
    <row r="8104" spans="1:12" x14ac:dyDescent="0.25">
      <c r="A8104" t="s">
        <v>36</v>
      </c>
      <c r="B8104">
        <v>1185732</v>
      </c>
      <c r="C8104" s="1">
        <v>44547</v>
      </c>
      <c r="D8104" t="s">
        <v>29</v>
      </c>
      <c r="E8104" t="s">
        <v>30</v>
      </c>
      <c r="F8104" t="s">
        <v>31</v>
      </c>
      <c r="G8104" t="s">
        <v>15</v>
      </c>
      <c r="H8104" t="s">
        <v>38</v>
      </c>
      <c r="I8104" s="3">
        <v>65</v>
      </c>
      <c r="J8104" s="2">
        <v>475</v>
      </c>
      <c r="K8104" s="3">
        <f t="shared" si="126"/>
        <v>30875</v>
      </c>
      <c r="L8104" s="3">
        <v>20068.75</v>
      </c>
    </row>
    <row r="8105" spans="1:12" x14ac:dyDescent="0.25">
      <c r="A8105" t="s">
        <v>19</v>
      </c>
      <c r="B8105">
        <v>1185732</v>
      </c>
      <c r="C8105" s="1">
        <v>44547</v>
      </c>
      <c r="D8105" t="s">
        <v>57</v>
      </c>
      <c r="E8105" t="s">
        <v>106</v>
      </c>
      <c r="F8105" t="s">
        <v>107</v>
      </c>
      <c r="G8105" t="s">
        <v>18</v>
      </c>
      <c r="H8105" t="s">
        <v>17</v>
      </c>
      <c r="I8105" s="3">
        <v>35</v>
      </c>
      <c r="J8105" s="2">
        <v>450</v>
      </c>
      <c r="K8105" s="3">
        <f t="shared" si="126"/>
        <v>15750</v>
      </c>
      <c r="L8105" s="3">
        <v>10237.5</v>
      </c>
    </row>
    <row r="8106" spans="1:12" x14ac:dyDescent="0.25">
      <c r="A8106" t="s">
        <v>11</v>
      </c>
      <c r="B8106">
        <v>1185732</v>
      </c>
      <c r="C8106" s="1">
        <v>44547</v>
      </c>
      <c r="D8106" t="s">
        <v>57</v>
      </c>
      <c r="E8106" t="s">
        <v>106</v>
      </c>
      <c r="F8106" t="s">
        <v>107</v>
      </c>
      <c r="G8106" t="s">
        <v>18</v>
      </c>
      <c r="H8106" t="s">
        <v>35</v>
      </c>
      <c r="I8106" s="3">
        <v>35</v>
      </c>
      <c r="J8106" s="2">
        <v>400</v>
      </c>
      <c r="K8106" s="3">
        <f t="shared" si="126"/>
        <v>14000</v>
      </c>
      <c r="L8106" s="3">
        <v>9100</v>
      </c>
    </row>
    <row r="8107" spans="1:12" x14ac:dyDescent="0.25">
      <c r="A8107" t="s">
        <v>11</v>
      </c>
      <c r="B8107">
        <v>1185732</v>
      </c>
      <c r="C8107" s="1">
        <v>44547</v>
      </c>
      <c r="D8107" t="s">
        <v>57</v>
      </c>
      <c r="E8107" t="s">
        <v>106</v>
      </c>
      <c r="F8107" t="s">
        <v>107</v>
      </c>
      <c r="G8107" t="s">
        <v>18</v>
      </c>
      <c r="H8107" t="s">
        <v>22</v>
      </c>
      <c r="I8107" s="3">
        <v>44.999999999999993</v>
      </c>
      <c r="J8107" s="2">
        <v>350</v>
      </c>
      <c r="K8107" s="3">
        <f t="shared" si="126"/>
        <v>15749.999999999998</v>
      </c>
      <c r="L8107" s="3">
        <v>10237.499999999998</v>
      </c>
    </row>
    <row r="8108" spans="1:12" x14ac:dyDescent="0.25">
      <c r="A8108" t="s">
        <v>19</v>
      </c>
      <c r="B8108">
        <v>1185732</v>
      </c>
      <c r="C8108" s="1">
        <v>44547</v>
      </c>
      <c r="D8108" t="s">
        <v>29</v>
      </c>
      <c r="E8108" t="s">
        <v>68</v>
      </c>
      <c r="F8108" t="s">
        <v>69</v>
      </c>
      <c r="G8108" t="s">
        <v>15</v>
      </c>
      <c r="H8108" t="s">
        <v>16</v>
      </c>
      <c r="I8108" s="3">
        <v>80</v>
      </c>
      <c r="J8108" s="2">
        <v>450</v>
      </c>
      <c r="K8108" s="3">
        <f t="shared" si="126"/>
        <v>36000</v>
      </c>
      <c r="L8108" s="3">
        <v>23400</v>
      </c>
    </row>
    <row r="8109" spans="1:12" x14ac:dyDescent="0.25">
      <c r="A8109" t="s">
        <v>36</v>
      </c>
      <c r="B8109">
        <v>1185732</v>
      </c>
      <c r="C8109" s="1">
        <v>44547</v>
      </c>
      <c r="D8109" t="s">
        <v>29</v>
      </c>
      <c r="E8109" t="s">
        <v>30</v>
      </c>
      <c r="F8109" t="s">
        <v>31</v>
      </c>
      <c r="G8109" t="s">
        <v>15</v>
      </c>
      <c r="H8109" t="s">
        <v>35</v>
      </c>
      <c r="I8109" s="3">
        <v>55.000000000000007</v>
      </c>
      <c r="J8109" s="2">
        <v>250</v>
      </c>
      <c r="K8109" s="3">
        <f t="shared" si="126"/>
        <v>13750.000000000002</v>
      </c>
      <c r="L8109" s="3">
        <v>8250.0000000000036</v>
      </c>
    </row>
    <row r="8110" spans="1:12" x14ac:dyDescent="0.25">
      <c r="A8110" t="s">
        <v>19</v>
      </c>
      <c r="B8110">
        <v>1185732</v>
      </c>
      <c r="C8110" s="1">
        <v>44547</v>
      </c>
      <c r="D8110" t="s">
        <v>29</v>
      </c>
      <c r="E8110" t="s">
        <v>68</v>
      </c>
      <c r="F8110" t="s">
        <v>69</v>
      </c>
      <c r="G8110" t="s">
        <v>15</v>
      </c>
      <c r="H8110" t="s">
        <v>38</v>
      </c>
      <c r="I8110" s="3">
        <v>75.000000000000014</v>
      </c>
      <c r="J8110" s="2">
        <v>625</v>
      </c>
      <c r="K8110" s="3">
        <f t="shared" si="126"/>
        <v>46875.000000000007</v>
      </c>
      <c r="L8110" s="3">
        <v>28125.000000000007</v>
      </c>
    </row>
    <row r="8111" spans="1:12" x14ac:dyDescent="0.25">
      <c r="A8111" t="s">
        <v>36</v>
      </c>
      <c r="B8111">
        <v>1185732</v>
      </c>
      <c r="C8111" s="1">
        <v>44547</v>
      </c>
      <c r="D8111" t="s">
        <v>29</v>
      </c>
      <c r="E8111" t="s">
        <v>30</v>
      </c>
      <c r="F8111" t="s">
        <v>31</v>
      </c>
      <c r="G8111" t="s">
        <v>15</v>
      </c>
      <c r="H8111" t="s">
        <v>16</v>
      </c>
      <c r="I8111" s="3">
        <v>70</v>
      </c>
      <c r="J8111" s="2">
        <v>300</v>
      </c>
      <c r="K8111" s="3">
        <f t="shared" si="126"/>
        <v>21000</v>
      </c>
      <c r="L8111" s="3">
        <v>12600</v>
      </c>
    </row>
    <row r="8112" spans="1:12" x14ac:dyDescent="0.25">
      <c r="A8112" t="s">
        <v>11</v>
      </c>
      <c r="B8112">
        <v>1185732</v>
      </c>
      <c r="C8112" s="1">
        <v>44547</v>
      </c>
      <c r="D8112" t="s">
        <v>57</v>
      </c>
      <c r="E8112" t="s">
        <v>106</v>
      </c>
      <c r="F8112" t="s">
        <v>107</v>
      </c>
      <c r="G8112" t="s">
        <v>18</v>
      </c>
      <c r="H8112" t="s">
        <v>37</v>
      </c>
      <c r="I8112" s="3">
        <v>35</v>
      </c>
      <c r="J8112" s="2">
        <v>350</v>
      </c>
      <c r="K8112" s="3">
        <f t="shared" si="126"/>
        <v>12250</v>
      </c>
      <c r="L8112" s="3">
        <v>7350</v>
      </c>
    </row>
    <row r="8113" spans="1:12" x14ac:dyDescent="0.25">
      <c r="A8113" t="s">
        <v>19</v>
      </c>
      <c r="B8113">
        <v>1185732</v>
      </c>
      <c r="C8113" s="1">
        <v>44547</v>
      </c>
      <c r="D8113" t="s">
        <v>29</v>
      </c>
      <c r="E8113" t="s">
        <v>68</v>
      </c>
      <c r="F8113" t="s">
        <v>69</v>
      </c>
      <c r="G8113" t="s">
        <v>15</v>
      </c>
      <c r="H8113" t="s">
        <v>17</v>
      </c>
      <c r="I8113" s="3">
        <v>65.000000000000014</v>
      </c>
      <c r="J8113" s="2">
        <v>425</v>
      </c>
      <c r="K8113" s="3">
        <f t="shared" si="126"/>
        <v>27625.000000000007</v>
      </c>
      <c r="L8113" s="3">
        <v>16575.000000000004</v>
      </c>
    </row>
    <row r="8114" spans="1:12" x14ac:dyDescent="0.25">
      <c r="A8114" t="s">
        <v>19</v>
      </c>
      <c r="B8114">
        <v>1185732</v>
      </c>
      <c r="C8114" s="1">
        <v>44547</v>
      </c>
      <c r="D8114" t="s">
        <v>57</v>
      </c>
      <c r="E8114" t="s">
        <v>106</v>
      </c>
      <c r="F8114" t="s">
        <v>107</v>
      </c>
      <c r="G8114" t="s">
        <v>18</v>
      </c>
      <c r="H8114" t="s">
        <v>38</v>
      </c>
      <c r="I8114" s="3">
        <v>44.999999999999993</v>
      </c>
      <c r="J8114" s="2">
        <v>650</v>
      </c>
      <c r="K8114" s="3">
        <f t="shared" si="126"/>
        <v>29249.999999999996</v>
      </c>
      <c r="L8114" s="3">
        <v>17549.999999999993</v>
      </c>
    </row>
    <row r="8115" spans="1:12" x14ac:dyDescent="0.25">
      <c r="A8115" t="s">
        <v>11</v>
      </c>
      <c r="B8115">
        <v>1185732</v>
      </c>
      <c r="C8115" s="1">
        <v>44547</v>
      </c>
      <c r="D8115" t="s">
        <v>57</v>
      </c>
      <c r="E8115" t="s">
        <v>106</v>
      </c>
      <c r="F8115" t="s">
        <v>107</v>
      </c>
      <c r="G8115" t="s">
        <v>18</v>
      </c>
      <c r="H8115" t="s">
        <v>16</v>
      </c>
      <c r="I8115" s="3">
        <v>49.999999999999986</v>
      </c>
      <c r="J8115" s="2">
        <v>450</v>
      </c>
      <c r="K8115" s="3">
        <f t="shared" si="126"/>
        <v>22499.999999999993</v>
      </c>
      <c r="L8115" s="3">
        <v>11249.999999999996</v>
      </c>
    </row>
    <row r="8116" spans="1:12" x14ac:dyDescent="0.25">
      <c r="A8116" t="s">
        <v>19</v>
      </c>
      <c r="B8116">
        <v>1185732</v>
      </c>
      <c r="C8116" s="1">
        <v>44547</v>
      </c>
      <c r="D8116" t="s">
        <v>29</v>
      </c>
      <c r="E8116" t="s">
        <v>68</v>
      </c>
      <c r="F8116" t="s">
        <v>69</v>
      </c>
      <c r="G8116" t="s">
        <v>15</v>
      </c>
      <c r="H8116" t="s">
        <v>37</v>
      </c>
      <c r="I8116" s="3">
        <v>49</v>
      </c>
      <c r="J8116" s="2">
        <v>116</v>
      </c>
      <c r="K8116" s="3">
        <f t="shared" si="126"/>
        <v>5684</v>
      </c>
      <c r="L8116" s="3">
        <v>3694.6000000000004</v>
      </c>
    </row>
    <row r="8117" spans="1:12" x14ac:dyDescent="0.25">
      <c r="A8117" t="s">
        <v>36</v>
      </c>
      <c r="B8117">
        <v>1185732</v>
      </c>
      <c r="C8117" s="1">
        <v>44547</v>
      </c>
      <c r="D8117" t="s">
        <v>29</v>
      </c>
      <c r="E8117" t="s">
        <v>30</v>
      </c>
      <c r="F8117" t="s">
        <v>31</v>
      </c>
      <c r="G8117" t="s">
        <v>41</v>
      </c>
      <c r="H8117" t="s">
        <v>22</v>
      </c>
      <c r="I8117" s="3">
        <v>60</v>
      </c>
      <c r="J8117" s="2">
        <v>54</v>
      </c>
      <c r="K8117" s="3">
        <f t="shared" si="126"/>
        <v>3240</v>
      </c>
      <c r="L8117" s="3">
        <v>2073.6000000000004</v>
      </c>
    </row>
    <row r="8118" spans="1:12" x14ac:dyDescent="0.25">
      <c r="A8118" t="s">
        <v>19</v>
      </c>
      <c r="B8118">
        <v>1185732</v>
      </c>
      <c r="C8118" s="1">
        <v>44547</v>
      </c>
      <c r="D8118" t="s">
        <v>29</v>
      </c>
      <c r="E8118" t="s">
        <v>68</v>
      </c>
      <c r="F8118" t="s">
        <v>69</v>
      </c>
      <c r="G8118" t="s">
        <v>15</v>
      </c>
      <c r="H8118" t="s">
        <v>35</v>
      </c>
      <c r="I8118" s="3">
        <v>47</v>
      </c>
      <c r="J8118" s="2">
        <v>128</v>
      </c>
      <c r="K8118" s="3">
        <f t="shared" si="126"/>
        <v>6016</v>
      </c>
      <c r="L8118" s="3">
        <v>3850.2400000000002</v>
      </c>
    </row>
    <row r="8119" spans="1:12" x14ac:dyDescent="0.25">
      <c r="A8119" t="s">
        <v>19</v>
      </c>
      <c r="B8119">
        <v>1185732</v>
      </c>
      <c r="C8119" s="1">
        <v>44547</v>
      </c>
      <c r="D8119" t="s">
        <v>29</v>
      </c>
      <c r="E8119" t="s">
        <v>68</v>
      </c>
      <c r="F8119" t="s">
        <v>69</v>
      </c>
      <c r="G8119" t="s">
        <v>15</v>
      </c>
      <c r="H8119" t="s">
        <v>22</v>
      </c>
      <c r="I8119" s="3">
        <v>50</v>
      </c>
      <c r="J8119" s="2">
        <v>123</v>
      </c>
      <c r="K8119" s="3">
        <f t="shared" si="126"/>
        <v>6150</v>
      </c>
      <c r="L8119" s="3">
        <v>3874.5</v>
      </c>
    </row>
    <row r="8120" spans="1:12" x14ac:dyDescent="0.25">
      <c r="A8120" t="s">
        <v>19</v>
      </c>
      <c r="B8120">
        <v>1185732</v>
      </c>
      <c r="C8120" s="1">
        <v>44547</v>
      </c>
      <c r="D8120" t="s">
        <v>29</v>
      </c>
      <c r="E8120" t="s">
        <v>55</v>
      </c>
      <c r="F8120" t="s">
        <v>56</v>
      </c>
      <c r="G8120" t="s">
        <v>15</v>
      </c>
      <c r="H8120" t="s">
        <v>35</v>
      </c>
      <c r="I8120" s="3">
        <v>38</v>
      </c>
      <c r="J8120" s="2">
        <v>38</v>
      </c>
      <c r="K8120" s="3">
        <f t="shared" si="126"/>
        <v>1444</v>
      </c>
      <c r="L8120" s="3">
        <v>895.28</v>
      </c>
    </row>
    <row r="8121" spans="1:12" x14ac:dyDescent="0.25">
      <c r="A8121" t="s">
        <v>19</v>
      </c>
      <c r="B8121">
        <v>1185732</v>
      </c>
      <c r="C8121" s="1">
        <v>44547</v>
      </c>
      <c r="D8121" t="s">
        <v>29</v>
      </c>
      <c r="E8121" t="s">
        <v>68</v>
      </c>
      <c r="F8121" t="s">
        <v>69</v>
      </c>
      <c r="G8121" t="s">
        <v>15</v>
      </c>
      <c r="H8121" t="s">
        <v>16</v>
      </c>
      <c r="I8121" s="3">
        <v>61</v>
      </c>
      <c r="J8121" s="2">
        <v>144</v>
      </c>
      <c r="K8121" s="3">
        <f t="shared" si="126"/>
        <v>8784</v>
      </c>
      <c r="L8121" s="3">
        <v>5270.4</v>
      </c>
    </row>
    <row r="8122" spans="1:12" x14ac:dyDescent="0.25">
      <c r="A8122" t="s">
        <v>19</v>
      </c>
      <c r="B8122">
        <v>1185732</v>
      </c>
      <c r="C8122" s="1">
        <v>44547</v>
      </c>
      <c r="D8122" t="s">
        <v>29</v>
      </c>
      <c r="E8122" t="s">
        <v>68</v>
      </c>
      <c r="F8122" t="s">
        <v>69</v>
      </c>
      <c r="G8122" t="s">
        <v>41</v>
      </c>
      <c r="H8122" t="s">
        <v>35</v>
      </c>
      <c r="I8122" s="3">
        <v>62</v>
      </c>
      <c r="J8122" s="2">
        <v>108</v>
      </c>
      <c r="K8122" s="3">
        <f t="shared" si="126"/>
        <v>6696</v>
      </c>
      <c r="L8122" s="3">
        <v>3883.6800000000003</v>
      </c>
    </row>
    <row r="8123" spans="1:12" x14ac:dyDescent="0.25">
      <c r="A8123" t="s">
        <v>19</v>
      </c>
      <c r="B8123">
        <v>1185732</v>
      </c>
      <c r="C8123" s="1">
        <v>44547</v>
      </c>
      <c r="D8123" t="s">
        <v>29</v>
      </c>
      <c r="E8123" t="s">
        <v>68</v>
      </c>
      <c r="F8123" t="s">
        <v>69</v>
      </c>
      <c r="G8123" t="s">
        <v>15</v>
      </c>
      <c r="H8123" t="s">
        <v>17</v>
      </c>
      <c r="I8123" s="3">
        <v>49</v>
      </c>
      <c r="J8123" s="2">
        <v>128</v>
      </c>
      <c r="K8123" s="3">
        <f t="shared" si="126"/>
        <v>6272</v>
      </c>
      <c r="L8123" s="3">
        <v>3637.7599999999998</v>
      </c>
    </row>
    <row r="8124" spans="1:12" x14ac:dyDescent="0.25">
      <c r="A8124" t="s">
        <v>36</v>
      </c>
      <c r="B8124">
        <v>1185732</v>
      </c>
      <c r="C8124" s="1">
        <v>44547</v>
      </c>
      <c r="D8124" t="s">
        <v>29</v>
      </c>
      <c r="E8124" t="s">
        <v>30</v>
      </c>
      <c r="F8124" t="s">
        <v>31</v>
      </c>
      <c r="G8124" t="s">
        <v>41</v>
      </c>
      <c r="H8124" t="s">
        <v>37</v>
      </c>
      <c r="I8124" s="3">
        <v>52</v>
      </c>
      <c r="J8124" s="2">
        <v>50</v>
      </c>
      <c r="K8124" s="3">
        <f t="shared" si="126"/>
        <v>2600</v>
      </c>
      <c r="L8124" s="3">
        <v>1482</v>
      </c>
    </row>
    <row r="8125" spans="1:12" x14ac:dyDescent="0.25">
      <c r="A8125" t="s">
        <v>19</v>
      </c>
      <c r="B8125">
        <v>1185732</v>
      </c>
      <c r="C8125" s="1">
        <v>44547</v>
      </c>
      <c r="D8125" t="s">
        <v>29</v>
      </c>
      <c r="E8125" t="s">
        <v>68</v>
      </c>
      <c r="F8125" t="s">
        <v>69</v>
      </c>
      <c r="G8125" t="s">
        <v>41</v>
      </c>
      <c r="H8125" t="s">
        <v>22</v>
      </c>
      <c r="I8125" s="3">
        <v>74</v>
      </c>
      <c r="J8125" s="2">
        <v>105</v>
      </c>
      <c r="K8125" s="3">
        <f t="shared" si="126"/>
        <v>7770</v>
      </c>
      <c r="L8125" s="3">
        <v>4428.8999999999996</v>
      </c>
    </row>
    <row r="8126" spans="1:12" x14ac:dyDescent="0.25">
      <c r="A8126" t="s">
        <v>19</v>
      </c>
      <c r="B8126">
        <v>1185732</v>
      </c>
      <c r="C8126" s="1">
        <v>44547</v>
      </c>
      <c r="D8126" t="s">
        <v>29</v>
      </c>
      <c r="E8126" t="s">
        <v>68</v>
      </c>
      <c r="F8126" t="s">
        <v>69</v>
      </c>
      <c r="G8126" t="s">
        <v>41</v>
      </c>
      <c r="H8126" t="s">
        <v>37</v>
      </c>
      <c r="I8126" s="3">
        <v>62</v>
      </c>
      <c r="J8126" s="2">
        <v>88</v>
      </c>
      <c r="K8126" s="3">
        <f t="shared" si="126"/>
        <v>5456</v>
      </c>
      <c r="L8126" s="3">
        <v>3055.36</v>
      </c>
    </row>
    <row r="8127" spans="1:12" x14ac:dyDescent="0.25">
      <c r="A8127" t="s">
        <v>19</v>
      </c>
      <c r="B8127">
        <v>1185732</v>
      </c>
      <c r="C8127" s="1">
        <v>44547</v>
      </c>
      <c r="D8127" t="s">
        <v>29</v>
      </c>
      <c r="E8127" t="s">
        <v>55</v>
      </c>
      <c r="F8127" t="s">
        <v>56</v>
      </c>
      <c r="G8127" t="s">
        <v>41</v>
      </c>
      <c r="H8127" t="s">
        <v>35</v>
      </c>
      <c r="I8127" s="3">
        <v>48</v>
      </c>
      <c r="J8127" s="2">
        <v>34</v>
      </c>
      <c r="K8127" s="3">
        <f t="shared" si="126"/>
        <v>1632</v>
      </c>
      <c r="L8127" s="3">
        <v>897.6</v>
      </c>
    </row>
    <row r="8128" spans="1:12" x14ac:dyDescent="0.25">
      <c r="A8128" t="s">
        <v>11</v>
      </c>
      <c r="B8128">
        <v>1185732</v>
      </c>
      <c r="C8128" s="1">
        <v>44547</v>
      </c>
      <c r="D8128" t="s">
        <v>57</v>
      </c>
      <c r="E8128" t="s">
        <v>106</v>
      </c>
      <c r="F8128" t="s">
        <v>107</v>
      </c>
      <c r="G8128" t="s">
        <v>41</v>
      </c>
      <c r="H8128" t="s">
        <v>35</v>
      </c>
      <c r="I8128" s="3">
        <v>32</v>
      </c>
      <c r="J8128" s="2">
        <v>120</v>
      </c>
      <c r="K8128" s="3">
        <f t="shared" si="126"/>
        <v>3840</v>
      </c>
      <c r="L8128" s="3">
        <v>2035.2</v>
      </c>
    </row>
    <row r="8129" spans="1:12" x14ac:dyDescent="0.25">
      <c r="A8129" t="s">
        <v>19</v>
      </c>
      <c r="B8129">
        <v>1185732</v>
      </c>
      <c r="C8129" s="1">
        <v>44547</v>
      </c>
      <c r="D8129" t="s">
        <v>29</v>
      </c>
      <c r="E8129" t="s">
        <v>68</v>
      </c>
      <c r="F8129" t="s">
        <v>69</v>
      </c>
      <c r="G8129" t="s">
        <v>15</v>
      </c>
      <c r="H8129" t="s">
        <v>38</v>
      </c>
      <c r="I8129" s="3">
        <v>49</v>
      </c>
      <c r="J8129" s="2">
        <v>200</v>
      </c>
      <c r="K8129" s="3">
        <f t="shared" si="126"/>
        <v>9800</v>
      </c>
      <c r="L8129" s="3">
        <v>5194</v>
      </c>
    </row>
    <row r="8130" spans="1:12" x14ac:dyDescent="0.25">
      <c r="A8130" t="s">
        <v>19</v>
      </c>
      <c r="B8130">
        <v>1185732</v>
      </c>
      <c r="C8130" s="1">
        <v>44547</v>
      </c>
      <c r="D8130" t="s">
        <v>57</v>
      </c>
      <c r="E8130" t="s">
        <v>106</v>
      </c>
      <c r="F8130" t="s">
        <v>107</v>
      </c>
      <c r="G8130" t="s">
        <v>41</v>
      </c>
      <c r="H8130" t="s">
        <v>17</v>
      </c>
      <c r="I8130" s="3">
        <v>32</v>
      </c>
      <c r="J8130" s="2">
        <v>113</v>
      </c>
      <c r="K8130" s="3">
        <f t="shared" si="126"/>
        <v>3616</v>
      </c>
      <c r="L8130" s="3">
        <v>1880.3200000000002</v>
      </c>
    </row>
    <row r="8131" spans="1:12" x14ac:dyDescent="0.25">
      <c r="A8131" t="s">
        <v>36</v>
      </c>
      <c r="B8131">
        <v>1185732</v>
      </c>
      <c r="C8131" s="1">
        <v>44547</v>
      </c>
      <c r="D8131" t="s">
        <v>29</v>
      </c>
      <c r="E8131" t="s">
        <v>30</v>
      </c>
      <c r="F8131" t="s">
        <v>31</v>
      </c>
      <c r="G8131" t="s">
        <v>41</v>
      </c>
      <c r="H8131" t="s">
        <v>38</v>
      </c>
      <c r="I8131" s="3">
        <v>62</v>
      </c>
      <c r="J8131" s="2">
        <v>138</v>
      </c>
      <c r="K8131" s="3">
        <f t="shared" ref="K8131:K8194" si="127">I8131*J8131</f>
        <v>8556</v>
      </c>
      <c r="L8131" s="3">
        <v>4449.12</v>
      </c>
    </row>
    <row r="8132" spans="1:12" x14ac:dyDescent="0.25">
      <c r="A8132" t="s">
        <v>19</v>
      </c>
      <c r="B8132">
        <v>1185732</v>
      </c>
      <c r="C8132" s="1">
        <v>44547</v>
      </c>
      <c r="D8132" t="s">
        <v>29</v>
      </c>
      <c r="E8132" t="s">
        <v>68</v>
      </c>
      <c r="F8132" t="s">
        <v>69</v>
      </c>
      <c r="G8132" t="s">
        <v>41</v>
      </c>
      <c r="H8132" t="s">
        <v>16</v>
      </c>
      <c r="I8132" s="3">
        <v>74</v>
      </c>
      <c r="J8132" s="2">
        <v>117</v>
      </c>
      <c r="K8132" s="3">
        <f t="shared" si="127"/>
        <v>8658</v>
      </c>
      <c r="L8132" s="3">
        <v>4415.58</v>
      </c>
    </row>
    <row r="8133" spans="1:12" x14ac:dyDescent="0.25">
      <c r="A8133" t="s">
        <v>36</v>
      </c>
      <c r="B8133">
        <v>1185732</v>
      </c>
      <c r="C8133" s="1">
        <v>44547</v>
      </c>
      <c r="D8133" t="s">
        <v>29</v>
      </c>
      <c r="E8133" t="s">
        <v>30</v>
      </c>
      <c r="F8133" t="s">
        <v>31</v>
      </c>
      <c r="G8133" t="s">
        <v>41</v>
      </c>
      <c r="H8133" t="s">
        <v>17</v>
      </c>
      <c r="I8133" s="3">
        <v>53</v>
      </c>
      <c r="J8133" s="2">
        <v>74</v>
      </c>
      <c r="K8133" s="3">
        <f t="shared" si="127"/>
        <v>3922</v>
      </c>
      <c r="L8133" s="3">
        <v>1961</v>
      </c>
    </row>
    <row r="8134" spans="1:12" x14ac:dyDescent="0.25">
      <c r="A8134" t="s">
        <v>36</v>
      </c>
      <c r="B8134">
        <v>1185732</v>
      </c>
      <c r="C8134" s="1">
        <v>44547</v>
      </c>
      <c r="D8134" t="s">
        <v>29</v>
      </c>
      <c r="E8134" t="s">
        <v>30</v>
      </c>
      <c r="F8134" t="s">
        <v>31</v>
      </c>
      <c r="G8134" t="s">
        <v>41</v>
      </c>
      <c r="H8134" t="s">
        <v>35</v>
      </c>
      <c r="I8134" s="3">
        <v>52</v>
      </c>
      <c r="J8134" s="2">
        <v>68</v>
      </c>
      <c r="K8134" s="3">
        <f t="shared" si="127"/>
        <v>3536</v>
      </c>
      <c r="L8134" s="3">
        <v>1768</v>
      </c>
    </row>
    <row r="8135" spans="1:12" x14ac:dyDescent="0.25">
      <c r="A8135" t="s">
        <v>11</v>
      </c>
      <c r="B8135">
        <v>1185732</v>
      </c>
      <c r="C8135" s="1">
        <v>44547</v>
      </c>
      <c r="D8135" t="s">
        <v>57</v>
      </c>
      <c r="E8135" t="s">
        <v>106</v>
      </c>
      <c r="F8135" t="s">
        <v>107</v>
      </c>
      <c r="G8135" t="s">
        <v>41</v>
      </c>
      <c r="H8135" t="s">
        <v>22</v>
      </c>
      <c r="I8135" s="3">
        <v>42</v>
      </c>
      <c r="J8135" s="2">
        <v>88</v>
      </c>
      <c r="K8135" s="3">
        <f t="shared" si="127"/>
        <v>3696</v>
      </c>
      <c r="L8135" s="3">
        <v>1848</v>
      </c>
    </row>
    <row r="8136" spans="1:12" x14ac:dyDescent="0.25">
      <c r="A8136" t="s">
        <v>19</v>
      </c>
      <c r="B8136">
        <v>1185732</v>
      </c>
      <c r="C8136" s="1">
        <v>44547</v>
      </c>
      <c r="D8136" t="s">
        <v>57</v>
      </c>
      <c r="E8136" t="s">
        <v>106</v>
      </c>
      <c r="F8136" t="s">
        <v>107</v>
      </c>
      <c r="G8136" t="s">
        <v>41</v>
      </c>
      <c r="H8136" t="s">
        <v>38</v>
      </c>
      <c r="I8136" s="3">
        <v>41</v>
      </c>
      <c r="J8136" s="2">
        <v>163</v>
      </c>
      <c r="K8136" s="3">
        <f t="shared" si="127"/>
        <v>6683</v>
      </c>
      <c r="L8136" s="3">
        <v>3207.8399999999997</v>
      </c>
    </row>
    <row r="8137" spans="1:12" x14ac:dyDescent="0.25">
      <c r="A8137" t="s">
        <v>11</v>
      </c>
      <c r="B8137">
        <v>1185732</v>
      </c>
      <c r="C8137" s="1">
        <v>44547</v>
      </c>
      <c r="D8137" t="s">
        <v>57</v>
      </c>
      <c r="E8137" t="s">
        <v>106</v>
      </c>
      <c r="F8137" t="s">
        <v>107</v>
      </c>
      <c r="G8137" t="s">
        <v>41</v>
      </c>
      <c r="H8137" t="s">
        <v>37</v>
      </c>
      <c r="I8137" s="3">
        <v>34</v>
      </c>
      <c r="J8137" s="2">
        <v>88</v>
      </c>
      <c r="K8137" s="3">
        <f t="shared" si="127"/>
        <v>2992</v>
      </c>
      <c r="L8137" s="3">
        <v>1436.1599999999999</v>
      </c>
    </row>
    <row r="8138" spans="1:12" x14ac:dyDescent="0.25">
      <c r="A8138" t="s">
        <v>36</v>
      </c>
      <c r="B8138">
        <v>1185732</v>
      </c>
      <c r="C8138" s="1">
        <v>44547</v>
      </c>
      <c r="D8138" t="s">
        <v>29</v>
      </c>
      <c r="E8138" t="s">
        <v>30</v>
      </c>
      <c r="F8138" t="s">
        <v>31</v>
      </c>
      <c r="G8138" t="s">
        <v>41</v>
      </c>
      <c r="H8138" t="s">
        <v>16</v>
      </c>
      <c r="I8138" s="3">
        <v>69</v>
      </c>
      <c r="J8138" s="2">
        <v>75</v>
      </c>
      <c r="K8138" s="3">
        <f t="shared" si="127"/>
        <v>5175</v>
      </c>
      <c r="L8138" s="3">
        <v>2432.25</v>
      </c>
    </row>
    <row r="8139" spans="1:12" x14ac:dyDescent="0.25">
      <c r="A8139" t="s">
        <v>19</v>
      </c>
      <c r="B8139">
        <v>1185732</v>
      </c>
      <c r="C8139" s="1">
        <v>44547</v>
      </c>
      <c r="D8139" t="s">
        <v>29</v>
      </c>
      <c r="E8139" t="s">
        <v>68</v>
      </c>
      <c r="F8139" t="s">
        <v>69</v>
      </c>
      <c r="G8139" t="s">
        <v>41</v>
      </c>
      <c r="H8139" t="s">
        <v>38</v>
      </c>
      <c r="I8139" s="3">
        <v>71</v>
      </c>
      <c r="J8139" s="2">
        <v>169</v>
      </c>
      <c r="K8139" s="3">
        <f t="shared" si="127"/>
        <v>11999</v>
      </c>
      <c r="L8139" s="3">
        <v>5399.5499999999993</v>
      </c>
    </row>
    <row r="8140" spans="1:12" x14ac:dyDescent="0.25">
      <c r="A8140" t="s">
        <v>19</v>
      </c>
      <c r="B8140">
        <v>1185732</v>
      </c>
      <c r="C8140" s="1">
        <v>44547</v>
      </c>
      <c r="D8140" t="s">
        <v>29</v>
      </c>
      <c r="E8140" t="s">
        <v>68</v>
      </c>
      <c r="F8140" t="s">
        <v>69</v>
      </c>
      <c r="G8140" t="s">
        <v>41</v>
      </c>
      <c r="H8140" t="s">
        <v>17</v>
      </c>
      <c r="I8140" s="3">
        <v>59</v>
      </c>
      <c r="J8140" s="2">
        <v>115</v>
      </c>
      <c r="K8140" s="3">
        <f t="shared" si="127"/>
        <v>6785</v>
      </c>
      <c r="L8140" s="3">
        <v>3053.2499999999995</v>
      </c>
    </row>
    <row r="8141" spans="1:12" x14ac:dyDescent="0.25">
      <c r="A8141" t="s">
        <v>11</v>
      </c>
      <c r="B8141">
        <v>1185732</v>
      </c>
      <c r="C8141" s="1">
        <v>44547</v>
      </c>
      <c r="D8141" t="s">
        <v>57</v>
      </c>
      <c r="E8141" t="s">
        <v>106</v>
      </c>
      <c r="F8141" t="s">
        <v>107</v>
      </c>
      <c r="G8141" t="s">
        <v>41</v>
      </c>
      <c r="H8141" t="s">
        <v>16</v>
      </c>
      <c r="I8141" s="3">
        <v>47</v>
      </c>
      <c r="J8141" s="2">
        <v>126</v>
      </c>
      <c r="K8141" s="3">
        <f t="shared" si="127"/>
        <v>5922</v>
      </c>
      <c r="L8141" s="3">
        <v>2309.58</v>
      </c>
    </row>
    <row r="8142" spans="1:12" x14ac:dyDescent="0.25">
      <c r="A8142" t="s">
        <v>19</v>
      </c>
      <c r="B8142">
        <v>1185732</v>
      </c>
      <c r="C8142" s="1">
        <v>44548</v>
      </c>
      <c r="D8142" t="s">
        <v>29</v>
      </c>
      <c r="E8142" t="s">
        <v>55</v>
      </c>
      <c r="F8142" t="s">
        <v>56</v>
      </c>
      <c r="G8142" t="s">
        <v>15</v>
      </c>
      <c r="H8142" t="s">
        <v>37</v>
      </c>
      <c r="I8142" s="3">
        <v>50</v>
      </c>
      <c r="J8142" s="2">
        <v>100</v>
      </c>
      <c r="K8142" s="3">
        <f t="shared" si="127"/>
        <v>5000</v>
      </c>
      <c r="L8142" s="3">
        <v>3250</v>
      </c>
    </row>
    <row r="8143" spans="1:12" x14ac:dyDescent="0.25">
      <c r="A8143" t="s">
        <v>19</v>
      </c>
      <c r="B8143">
        <v>1185732</v>
      </c>
      <c r="C8143" s="1">
        <v>44548</v>
      </c>
      <c r="D8143" t="s">
        <v>29</v>
      </c>
      <c r="E8143" t="s">
        <v>55</v>
      </c>
      <c r="F8143" t="s">
        <v>56</v>
      </c>
      <c r="G8143" t="s">
        <v>15</v>
      </c>
      <c r="H8143" t="s">
        <v>37</v>
      </c>
      <c r="I8143" s="3">
        <v>40</v>
      </c>
      <c r="J8143" s="2">
        <v>34</v>
      </c>
      <c r="K8143" s="3">
        <f t="shared" si="127"/>
        <v>1360</v>
      </c>
      <c r="L8143" s="3">
        <v>843.2</v>
      </c>
    </row>
    <row r="8144" spans="1:12" x14ac:dyDescent="0.25">
      <c r="A8144" t="s">
        <v>19</v>
      </c>
      <c r="B8144">
        <v>1185732</v>
      </c>
      <c r="C8144" s="1">
        <v>44548</v>
      </c>
      <c r="D8144" t="s">
        <v>29</v>
      </c>
      <c r="E8144" t="s">
        <v>55</v>
      </c>
      <c r="F8144" t="s">
        <v>56</v>
      </c>
      <c r="G8144" t="s">
        <v>41</v>
      </c>
      <c r="H8144" t="s">
        <v>37</v>
      </c>
      <c r="I8144" s="3">
        <v>48</v>
      </c>
      <c r="J8144" s="2">
        <v>29</v>
      </c>
      <c r="K8144" s="3">
        <f t="shared" si="127"/>
        <v>1392</v>
      </c>
      <c r="L8144" s="3">
        <v>765.6</v>
      </c>
    </row>
    <row r="8145" spans="1:12" x14ac:dyDescent="0.25">
      <c r="A8145" t="s">
        <v>19</v>
      </c>
      <c r="B8145">
        <v>1185732</v>
      </c>
      <c r="C8145" s="1">
        <v>44549</v>
      </c>
      <c r="D8145" t="s">
        <v>29</v>
      </c>
      <c r="E8145" t="s">
        <v>55</v>
      </c>
      <c r="F8145" t="s">
        <v>56</v>
      </c>
      <c r="G8145" t="s">
        <v>15</v>
      </c>
      <c r="H8145" t="s">
        <v>22</v>
      </c>
      <c r="I8145" s="3">
        <v>60</v>
      </c>
      <c r="J8145" s="2">
        <v>100</v>
      </c>
      <c r="K8145" s="3">
        <f t="shared" si="127"/>
        <v>6000</v>
      </c>
      <c r="L8145" s="3">
        <v>4200</v>
      </c>
    </row>
    <row r="8146" spans="1:12" x14ac:dyDescent="0.25">
      <c r="A8146" t="s">
        <v>11</v>
      </c>
      <c r="B8146">
        <v>1197831</v>
      </c>
      <c r="C8146" s="1">
        <v>44549</v>
      </c>
      <c r="D8146" t="s">
        <v>52</v>
      </c>
      <c r="E8146" t="s">
        <v>114</v>
      </c>
      <c r="F8146" t="s">
        <v>115</v>
      </c>
      <c r="G8146" t="s">
        <v>41</v>
      </c>
      <c r="H8146" t="s">
        <v>17</v>
      </c>
      <c r="I8146" s="3">
        <v>60.000000000000007</v>
      </c>
      <c r="J8146" s="2">
        <v>500</v>
      </c>
      <c r="K8146" s="3">
        <f t="shared" si="127"/>
        <v>30000.000000000004</v>
      </c>
      <c r="L8146" s="3">
        <v>19500.000000000007</v>
      </c>
    </row>
    <row r="8147" spans="1:12" x14ac:dyDescent="0.25">
      <c r="A8147" t="s">
        <v>11</v>
      </c>
      <c r="B8147">
        <v>1197831</v>
      </c>
      <c r="C8147" s="1">
        <v>44549</v>
      </c>
      <c r="D8147" t="s">
        <v>52</v>
      </c>
      <c r="E8147" t="s">
        <v>114</v>
      </c>
      <c r="F8147" t="s">
        <v>115</v>
      </c>
      <c r="G8147" t="s">
        <v>41</v>
      </c>
      <c r="H8147" t="s">
        <v>22</v>
      </c>
      <c r="I8147" s="3">
        <v>70</v>
      </c>
      <c r="J8147" s="2">
        <v>400</v>
      </c>
      <c r="K8147" s="3">
        <f t="shared" si="127"/>
        <v>28000</v>
      </c>
      <c r="L8147" s="3">
        <v>18200</v>
      </c>
    </row>
    <row r="8148" spans="1:12" x14ac:dyDescent="0.25">
      <c r="A8148" t="s">
        <v>27</v>
      </c>
      <c r="B8148">
        <v>1197831</v>
      </c>
      <c r="C8148" s="1">
        <v>44549</v>
      </c>
      <c r="D8148" t="s">
        <v>52</v>
      </c>
      <c r="E8148" t="s">
        <v>116</v>
      </c>
      <c r="F8148" t="s">
        <v>117</v>
      </c>
      <c r="G8148" t="s">
        <v>41</v>
      </c>
      <c r="H8148" t="s">
        <v>17</v>
      </c>
      <c r="I8148" s="3">
        <v>60.000000000000007</v>
      </c>
      <c r="J8148" s="2">
        <v>425</v>
      </c>
      <c r="K8148" s="3">
        <f t="shared" si="127"/>
        <v>25500.000000000004</v>
      </c>
      <c r="L8148" s="3">
        <v>16575.000000000004</v>
      </c>
    </row>
    <row r="8149" spans="1:12" x14ac:dyDescent="0.25">
      <c r="A8149" t="s">
        <v>27</v>
      </c>
      <c r="B8149">
        <v>1197831</v>
      </c>
      <c r="C8149" s="1">
        <v>44549</v>
      </c>
      <c r="D8149" t="s">
        <v>52</v>
      </c>
      <c r="E8149" t="s">
        <v>116</v>
      </c>
      <c r="F8149" t="s">
        <v>117</v>
      </c>
      <c r="G8149" t="s">
        <v>41</v>
      </c>
      <c r="H8149" t="s">
        <v>22</v>
      </c>
      <c r="I8149" s="3">
        <v>70</v>
      </c>
      <c r="J8149" s="2">
        <v>325</v>
      </c>
      <c r="K8149" s="3">
        <f t="shared" si="127"/>
        <v>22750</v>
      </c>
      <c r="L8149" s="3">
        <v>14787.5</v>
      </c>
    </row>
    <row r="8150" spans="1:12" x14ac:dyDescent="0.25">
      <c r="A8150" t="s">
        <v>11</v>
      </c>
      <c r="B8150">
        <v>1197831</v>
      </c>
      <c r="C8150" s="1">
        <v>44549</v>
      </c>
      <c r="D8150" t="s">
        <v>52</v>
      </c>
      <c r="E8150" t="s">
        <v>114</v>
      </c>
      <c r="F8150" t="s">
        <v>115</v>
      </c>
      <c r="G8150" t="s">
        <v>41</v>
      </c>
      <c r="H8150" t="s">
        <v>38</v>
      </c>
      <c r="I8150" s="3">
        <v>70</v>
      </c>
      <c r="J8150" s="2">
        <v>700</v>
      </c>
      <c r="K8150" s="3">
        <f t="shared" si="127"/>
        <v>49000</v>
      </c>
      <c r="L8150" s="3">
        <v>29400</v>
      </c>
    </row>
    <row r="8151" spans="1:12" x14ac:dyDescent="0.25">
      <c r="A8151" t="s">
        <v>11</v>
      </c>
      <c r="B8151">
        <v>1197831</v>
      </c>
      <c r="C8151" s="1">
        <v>44549</v>
      </c>
      <c r="D8151" t="s">
        <v>52</v>
      </c>
      <c r="E8151" t="s">
        <v>114</v>
      </c>
      <c r="F8151" t="s">
        <v>115</v>
      </c>
      <c r="G8151" t="s">
        <v>41</v>
      </c>
      <c r="H8151" t="s">
        <v>35</v>
      </c>
      <c r="I8151" s="3">
        <v>60.000000000000007</v>
      </c>
      <c r="J8151" s="2">
        <v>450</v>
      </c>
      <c r="K8151" s="3">
        <f t="shared" si="127"/>
        <v>27000.000000000004</v>
      </c>
      <c r="L8151" s="3">
        <v>16200.000000000004</v>
      </c>
    </row>
    <row r="8152" spans="1:12" x14ac:dyDescent="0.25">
      <c r="A8152" t="s">
        <v>11</v>
      </c>
      <c r="B8152">
        <v>1197831</v>
      </c>
      <c r="C8152" s="1">
        <v>44549</v>
      </c>
      <c r="D8152" t="s">
        <v>52</v>
      </c>
      <c r="E8152" t="s">
        <v>114</v>
      </c>
      <c r="F8152" t="s">
        <v>115</v>
      </c>
      <c r="G8152" t="s">
        <v>41</v>
      </c>
      <c r="H8152" t="s">
        <v>16</v>
      </c>
      <c r="I8152" s="3">
        <v>75</v>
      </c>
      <c r="J8152" s="2">
        <v>500</v>
      </c>
      <c r="K8152" s="3">
        <f t="shared" si="127"/>
        <v>37500</v>
      </c>
      <c r="L8152" s="3">
        <v>22500</v>
      </c>
    </row>
    <row r="8153" spans="1:12" x14ac:dyDescent="0.25">
      <c r="A8153" t="s">
        <v>27</v>
      </c>
      <c r="B8153">
        <v>1197831</v>
      </c>
      <c r="C8153" s="1">
        <v>44549</v>
      </c>
      <c r="D8153" t="s">
        <v>52</v>
      </c>
      <c r="E8153" t="s">
        <v>116</v>
      </c>
      <c r="F8153" t="s">
        <v>117</v>
      </c>
      <c r="G8153" t="s">
        <v>41</v>
      </c>
      <c r="H8153" t="s">
        <v>38</v>
      </c>
      <c r="I8153" s="3">
        <v>70</v>
      </c>
      <c r="J8153" s="2">
        <v>625</v>
      </c>
      <c r="K8153" s="3">
        <f t="shared" si="127"/>
        <v>43750</v>
      </c>
      <c r="L8153" s="3">
        <v>26250</v>
      </c>
    </row>
    <row r="8154" spans="1:12" x14ac:dyDescent="0.25">
      <c r="A8154" t="s">
        <v>27</v>
      </c>
      <c r="B8154">
        <v>1197831</v>
      </c>
      <c r="C8154" s="1">
        <v>44549</v>
      </c>
      <c r="D8154" t="s">
        <v>52</v>
      </c>
      <c r="E8154" t="s">
        <v>116</v>
      </c>
      <c r="F8154" t="s">
        <v>117</v>
      </c>
      <c r="G8154" t="s">
        <v>41</v>
      </c>
      <c r="H8154" t="s">
        <v>37</v>
      </c>
      <c r="I8154" s="3">
        <v>60.000000000000007</v>
      </c>
      <c r="J8154" s="2">
        <v>325</v>
      </c>
      <c r="K8154" s="3">
        <f t="shared" si="127"/>
        <v>19500.000000000004</v>
      </c>
      <c r="L8154" s="3">
        <v>11700.000000000002</v>
      </c>
    </row>
    <row r="8155" spans="1:12" x14ac:dyDescent="0.25">
      <c r="A8155" t="s">
        <v>27</v>
      </c>
      <c r="B8155">
        <v>1197831</v>
      </c>
      <c r="C8155" s="1">
        <v>44549</v>
      </c>
      <c r="D8155" t="s">
        <v>52</v>
      </c>
      <c r="E8155" t="s">
        <v>116</v>
      </c>
      <c r="F8155" t="s">
        <v>117</v>
      </c>
      <c r="G8155" t="s">
        <v>41</v>
      </c>
      <c r="H8155" t="s">
        <v>16</v>
      </c>
      <c r="I8155" s="3">
        <v>75</v>
      </c>
      <c r="J8155" s="2">
        <v>425</v>
      </c>
      <c r="K8155" s="3">
        <f t="shared" si="127"/>
        <v>31875</v>
      </c>
      <c r="L8155" s="3">
        <v>19125</v>
      </c>
    </row>
    <row r="8156" spans="1:12" x14ac:dyDescent="0.25">
      <c r="A8156" t="s">
        <v>11</v>
      </c>
      <c r="B8156">
        <v>1197831</v>
      </c>
      <c r="C8156" s="1">
        <v>44549</v>
      </c>
      <c r="D8156" t="s">
        <v>52</v>
      </c>
      <c r="E8156" t="s">
        <v>114</v>
      </c>
      <c r="F8156" t="s">
        <v>115</v>
      </c>
      <c r="G8156" t="s">
        <v>41</v>
      </c>
      <c r="H8156" t="s">
        <v>37</v>
      </c>
      <c r="I8156" s="3">
        <v>60.000000000000007</v>
      </c>
      <c r="J8156" s="2">
        <v>400</v>
      </c>
      <c r="K8156" s="3">
        <f t="shared" si="127"/>
        <v>24000.000000000004</v>
      </c>
      <c r="L8156" s="3">
        <v>14400</v>
      </c>
    </row>
    <row r="8157" spans="1:12" x14ac:dyDescent="0.25">
      <c r="A8157" t="s">
        <v>27</v>
      </c>
      <c r="B8157">
        <v>1197831</v>
      </c>
      <c r="C8157" s="1">
        <v>44549</v>
      </c>
      <c r="D8157" t="s">
        <v>52</v>
      </c>
      <c r="E8157" t="s">
        <v>116</v>
      </c>
      <c r="F8157" t="s">
        <v>117</v>
      </c>
      <c r="G8157" t="s">
        <v>41</v>
      </c>
      <c r="H8157" t="s">
        <v>35</v>
      </c>
      <c r="I8157" s="3">
        <v>60.000000000000007</v>
      </c>
      <c r="J8157" s="2">
        <v>375</v>
      </c>
      <c r="K8157" s="3">
        <f t="shared" si="127"/>
        <v>22500.000000000004</v>
      </c>
      <c r="L8157" s="3">
        <v>13500</v>
      </c>
    </row>
    <row r="8158" spans="1:12" x14ac:dyDescent="0.25">
      <c r="A8158" t="s">
        <v>19</v>
      </c>
      <c r="B8158">
        <v>1185732</v>
      </c>
      <c r="C8158" s="1">
        <v>44549</v>
      </c>
      <c r="D8158" t="s">
        <v>29</v>
      </c>
      <c r="E8158" t="s">
        <v>55</v>
      </c>
      <c r="F8158" t="s">
        <v>56</v>
      </c>
      <c r="G8158" t="s">
        <v>15</v>
      </c>
      <c r="H8158" t="s">
        <v>22</v>
      </c>
      <c r="I8158" s="3">
        <v>43</v>
      </c>
      <c r="J8158" s="2">
        <v>30</v>
      </c>
      <c r="K8158" s="3">
        <f t="shared" si="127"/>
        <v>1290</v>
      </c>
      <c r="L8158" s="3">
        <v>864.30000000000007</v>
      </c>
    </row>
    <row r="8159" spans="1:12" x14ac:dyDescent="0.25">
      <c r="A8159" t="s">
        <v>27</v>
      </c>
      <c r="B8159">
        <v>1197831</v>
      </c>
      <c r="C8159" s="1">
        <v>44549</v>
      </c>
      <c r="D8159" t="s">
        <v>52</v>
      </c>
      <c r="E8159" t="s">
        <v>116</v>
      </c>
      <c r="F8159" t="s">
        <v>117</v>
      </c>
      <c r="G8159" t="s">
        <v>15</v>
      </c>
      <c r="H8159" t="s">
        <v>17</v>
      </c>
      <c r="I8159" s="3">
        <v>47</v>
      </c>
      <c r="J8159" s="2">
        <v>149</v>
      </c>
      <c r="K8159" s="3">
        <f t="shared" si="127"/>
        <v>7003</v>
      </c>
      <c r="L8159" s="3">
        <v>4341.8600000000006</v>
      </c>
    </row>
    <row r="8160" spans="1:12" x14ac:dyDescent="0.25">
      <c r="A8160" t="s">
        <v>11</v>
      </c>
      <c r="B8160">
        <v>1197831</v>
      </c>
      <c r="C8160" s="1">
        <v>44549</v>
      </c>
      <c r="D8160" t="s">
        <v>52</v>
      </c>
      <c r="E8160" t="s">
        <v>114</v>
      </c>
      <c r="F8160" t="s">
        <v>115</v>
      </c>
      <c r="G8160" t="s">
        <v>15</v>
      </c>
      <c r="H8160" t="s">
        <v>17</v>
      </c>
      <c r="I8160" s="3">
        <v>46</v>
      </c>
      <c r="J8160" s="2">
        <v>155</v>
      </c>
      <c r="K8160" s="3">
        <f t="shared" si="127"/>
        <v>7130</v>
      </c>
      <c r="L8160" s="3">
        <v>4278</v>
      </c>
    </row>
    <row r="8161" spans="1:12" x14ac:dyDescent="0.25">
      <c r="A8161" t="s">
        <v>11</v>
      </c>
      <c r="B8161">
        <v>1197831</v>
      </c>
      <c r="C8161" s="1">
        <v>44549</v>
      </c>
      <c r="D8161" t="s">
        <v>52</v>
      </c>
      <c r="E8161" t="s">
        <v>114</v>
      </c>
      <c r="F8161" t="s">
        <v>115</v>
      </c>
      <c r="G8161" t="s">
        <v>15</v>
      </c>
      <c r="H8161" t="s">
        <v>22</v>
      </c>
      <c r="I8161" s="3">
        <v>50</v>
      </c>
      <c r="J8161" s="2">
        <v>132</v>
      </c>
      <c r="K8161" s="3">
        <f t="shared" si="127"/>
        <v>6600</v>
      </c>
      <c r="L8161" s="3">
        <v>3960</v>
      </c>
    </row>
    <row r="8162" spans="1:12" x14ac:dyDescent="0.25">
      <c r="A8162" t="s">
        <v>27</v>
      </c>
      <c r="B8162">
        <v>1197831</v>
      </c>
      <c r="C8162" s="1">
        <v>44549</v>
      </c>
      <c r="D8162" t="s">
        <v>52</v>
      </c>
      <c r="E8162" t="s">
        <v>116</v>
      </c>
      <c r="F8162" t="s">
        <v>117</v>
      </c>
      <c r="G8162" t="s">
        <v>15</v>
      </c>
      <c r="H8162" t="s">
        <v>22</v>
      </c>
      <c r="I8162" s="3">
        <v>55</v>
      </c>
      <c r="J8162" s="2">
        <v>98</v>
      </c>
      <c r="K8162" s="3">
        <f t="shared" si="127"/>
        <v>5390</v>
      </c>
      <c r="L8162" s="3">
        <v>3234</v>
      </c>
    </row>
    <row r="8163" spans="1:12" x14ac:dyDescent="0.25">
      <c r="A8163" t="s">
        <v>27</v>
      </c>
      <c r="B8163">
        <v>1197831</v>
      </c>
      <c r="C8163" s="1">
        <v>44549</v>
      </c>
      <c r="D8163" t="s">
        <v>52</v>
      </c>
      <c r="E8163" t="s">
        <v>116</v>
      </c>
      <c r="F8163" t="s">
        <v>117</v>
      </c>
      <c r="G8163" t="s">
        <v>15</v>
      </c>
      <c r="H8163" t="s">
        <v>38</v>
      </c>
      <c r="I8163" s="3">
        <v>55</v>
      </c>
      <c r="J8163" s="2">
        <v>200</v>
      </c>
      <c r="K8163" s="3">
        <f t="shared" si="127"/>
        <v>11000</v>
      </c>
      <c r="L8163" s="3">
        <v>6380</v>
      </c>
    </row>
    <row r="8164" spans="1:12" x14ac:dyDescent="0.25">
      <c r="A8164" t="s">
        <v>19</v>
      </c>
      <c r="B8164">
        <v>1185732</v>
      </c>
      <c r="C8164" s="1">
        <v>44549</v>
      </c>
      <c r="D8164" t="s">
        <v>29</v>
      </c>
      <c r="E8164" t="s">
        <v>55</v>
      </c>
      <c r="F8164" t="s">
        <v>56</v>
      </c>
      <c r="G8164" t="s">
        <v>41</v>
      </c>
      <c r="H8164" t="s">
        <v>22</v>
      </c>
      <c r="I8164" s="3">
        <v>56</v>
      </c>
      <c r="J8164" s="2">
        <v>27</v>
      </c>
      <c r="K8164" s="3">
        <f t="shared" si="127"/>
        <v>1512</v>
      </c>
      <c r="L8164" s="3">
        <v>861.84</v>
      </c>
    </row>
    <row r="8165" spans="1:12" x14ac:dyDescent="0.25">
      <c r="A8165" t="s">
        <v>27</v>
      </c>
      <c r="B8165">
        <v>1197831</v>
      </c>
      <c r="C8165" s="1">
        <v>44549</v>
      </c>
      <c r="D8165" t="s">
        <v>52</v>
      </c>
      <c r="E8165" t="s">
        <v>116</v>
      </c>
      <c r="F8165" t="s">
        <v>117</v>
      </c>
      <c r="G8165" t="s">
        <v>15</v>
      </c>
      <c r="H8165" t="s">
        <v>16</v>
      </c>
      <c r="I8165" s="3">
        <v>51</v>
      </c>
      <c r="J8165" s="2">
        <v>128</v>
      </c>
      <c r="K8165" s="3">
        <f t="shared" si="127"/>
        <v>6528</v>
      </c>
      <c r="L8165" s="3">
        <v>3720.9599999999996</v>
      </c>
    </row>
    <row r="8166" spans="1:12" x14ac:dyDescent="0.25">
      <c r="A8166" t="s">
        <v>11</v>
      </c>
      <c r="B8166">
        <v>1197831</v>
      </c>
      <c r="C8166" s="1">
        <v>44549</v>
      </c>
      <c r="D8166" t="s">
        <v>52</v>
      </c>
      <c r="E8166" t="s">
        <v>114</v>
      </c>
      <c r="F8166" t="s">
        <v>115</v>
      </c>
      <c r="G8166" t="s">
        <v>15</v>
      </c>
      <c r="H8166" t="s">
        <v>35</v>
      </c>
      <c r="I8166" s="3">
        <v>43</v>
      </c>
      <c r="J8166" s="2">
        <v>149</v>
      </c>
      <c r="K8166" s="3">
        <f t="shared" si="127"/>
        <v>6407</v>
      </c>
      <c r="L8166" s="3">
        <v>3587.92</v>
      </c>
    </row>
    <row r="8167" spans="1:12" x14ac:dyDescent="0.25">
      <c r="A8167" t="s">
        <v>27</v>
      </c>
      <c r="B8167">
        <v>1197831</v>
      </c>
      <c r="C8167" s="1">
        <v>44549</v>
      </c>
      <c r="D8167" t="s">
        <v>52</v>
      </c>
      <c r="E8167" t="s">
        <v>116</v>
      </c>
      <c r="F8167" t="s">
        <v>117</v>
      </c>
      <c r="G8167" t="s">
        <v>41</v>
      </c>
      <c r="H8167" t="s">
        <v>17</v>
      </c>
      <c r="I8167" s="3">
        <v>58</v>
      </c>
      <c r="J8167" s="2">
        <v>119</v>
      </c>
      <c r="K8167" s="3">
        <f t="shared" si="127"/>
        <v>6902</v>
      </c>
      <c r="L8167" s="3">
        <v>3796.1000000000004</v>
      </c>
    </row>
    <row r="8168" spans="1:12" x14ac:dyDescent="0.25">
      <c r="A8168" t="s">
        <v>11</v>
      </c>
      <c r="B8168">
        <v>1197831</v>
      </c>
      <c r="C8168" s="1">
        <v>44549</v>
      </c>
      <c r="D8168" t="s">
        <v>52</v>
      </c>
      <c r="E8168" t="s">
        <v>114</v>
      </c>
      <c r="F8168" t="s">
        <v>115</v>
      </c>
      <c r="G8168" t="s">
        <v>15</v>
      </c>
      <c r="H8168" t="s">
        <v>16</v>
      </c>
      <c r="I8168" s="3">
        <v>55</v>
      </c>
      <c r="J8168" s="2">
        <v>170</v>
      </c>
      <c r="K8168" s="3">
        <f t="shared" si="127"/>
        <v>9350</v>
      </c>
      <c r="L8168" s="3">
        <v>5142.5</v>
      </c>
    </row>
    <row r="8169" spans="1:12" x14ac:dyDescent="0.25">
      <c r="A8169" t="s">
        <v>27</v>
      </c>
      <c r="B8169">
        <v>1197831</v>
      </c>
      <c r="C8169" s="1">
        <v>44549</v>
      </c>
      <c r="D8169" t="s">
        <v>52</v>
      </c>
      <c r="E8169" t="s">
        <v>116</v>
      </c>
      <c r="F8169" t="s">
        <v>117</v>
      </c>
      <c r="G8169" t="s">
        <v>15</v>
      </c>
      <c r="H8169" t="s">
        <v>35</v>
      </c>
      <c r="I8169" s="3">
        <v>44</v>
      </c>
      <c r="J8169" s="2">
        <v>131</v>
      </c>
      <c r="K8169" s="3">
        <f t="shared" si="127"/>
        <v>5764</v>
      </c>
      <c r="L8169" s="3">
        <v>3170.2</v>
      </c>
    </row>
    <row r="8170" spans="1:12" x14ac:dyDescent="0.25">
      <c r="A8170" t="s">
        <v>27</v>
      </c>
      <c r="B8170">
        <v>1197831</v>
      </c>
      <c r="C8170" s="1">
        <v>44549</v>
      </c>
      <c r="D8170" t="s">
        <v>52</v>
      </c>
      <c r="E8170" t="s">
        <v>116</v>
      </c>
      <c r="F8170" t="s">
        <v>117</v>
      </c>
      <c r="G8170" t="s">
        <v>15</v>
      </c>
      <c r="H8170" t="s">
        <v>37</v>
      </c>
      <c r="I8170" s="3">
        <v>45</v>
      </c>
      <c r="J8170" s="2">
        <v>114</v>
      </c>
      <c r="K8170" s="3">
        <f t="shared" si="127"/>
        <v>5130</v>
      </c>
      <c r="L8170" s="3">
        <v>2821.5</v>
      </c>
    </row>
    <row r="8171" spans="1:12" x14ac:dyDescent="0.25">
      <c r="A8171" t="s">
        <v>11</v>
      </c>
      <c r="B8171">
        <v>1197831</v>
      </c>
      <c r="C8171" s="1">
        <v>44549</v>
      </c>
      <c r="D8171" t="s">
        <v>52</v>
      </c>
      <c r="E8171" t="s">
        <v>114</v>
      </c>
      <c r="F8171" t="s">
        <v>115</v>
      </c>
      <c r="G8171" t="s">
        <v>15</v>
      </c>
      <c r="H8171" t="s">
        <v>37</v>
      </c>
      <c r="I8171" s="3">
        <v>40</v>
      </c>
      <c r="J8171" s="2">
        <v>124</v>
      </c>
      <c r="K8171" s="3">
        <f t="shared" si="127"/>
        <v>4960</v>
      </c>
      <c r="L8171" s="3">
        <v>2678.4</v>
      </c>
    </row>
    <row r="8172" spans="1:12" x14ac:dyDescent="0.25">
      <c r="A8172" t="s">
        <v>11</v>
      </c>
      <c r="B8172">
        <v>1197831</v>
      </c>
      <c r="C8172" s="1">
        <v>44549</v>
      </c>
      <c r="D8172" t="s">
        <v>52</v>
      </c>
      <c r="E8172" t="s">
        <v>114</v>
      </c>
      <c r="F8172" t="s">
        <v>115</v>
      </c>
      <c r="G8172" t="s">
        <v>15</v>
      </c>
      <c r="H8172" t="s">
        <v>38</v>
      </c>
      <c r="I8172" s="3">
        <v>55</v>
      </c>
      <c r="J8172" s="2">
        <v>238</v>
      </c>
      <c r="K8172" s="3">
        <f t="shared" si="127"/>
        <v>13090</v>
      </c>
      <c r="L8172" s="3">
        <v>7068.5999999999995</v>
      </c>
    </row>
    <row r="8173" spans="1:12" x14ac:dyDescent="0.25">
      <c r="A8173" t="s">
        <v>11</v>
      </c>
      <c r="B8173">
        <v>1197831</v>
      </c>
      <c r="C8173" s="1">
        <v>44549</v>
      </c>
      <c r="D8173" t="s">
        <v>52</v>
      </c>
      <c r="E8173" t="s">
        <v>114</v>
      </c>
      <c r="F8173" t="s">
        <v>115</v>
      </c>
      <c r="G8173" t="s">
        <v>41</v>
      </c>
      <c r="H8173" t="s">
        <v>17</v>
      </c>
      <c r="I8173" s="3">
        <v>54</v>
      </c>
      <c r="J8173" s="2">
        <v>140</v>
      </c>
      <c r="K8173" s="3">
        <f t="shared" si="127"/>
        <v>7560</v>
      </c>
      <c r="L8173" s="3">
        <v>4006.8</v>
      </c>
    </row>
    <row r="8174" spans="1:12" x14ac:dyDescent="0.25">
      <c r="A8174" t="s">
        <v>27</v>
      </c>
      <c r="B8174">
        <v>1197831</v>
      </c>
      <c r="C8174" s="1">
        <v>44549</v>
      </c>
      <c r="D8174" t="s">
        <v>52</v>
      </c>
      <c r="E8174" t="s">
        <v>116</v>
      </c>
      <c r="F8174" t="s">
        <v>117</v>
      </c>
      <c r="G8174" t="s">
        <v>41</v>
      </c>
      <c r="H8174" t="s">
        <v>22</v>
      </c>
      <c r="I8174" s="3">
        <v>69</v>
      </c>
      <c r="J8174" s="2">
        <v>81</v>
      </c>
      <c r="K8174" s="3">
        <f t="shared" si="127"/>
        <v>5589</v>
      </c>
      <c r="L8174" s="3">
        <v>2906.28</v>
      </c>
    </row>
    <row r="8175" spans="1:12" x14ac:dyDescent="0.25">
      <c r="A8175" t="s">
        <v>11</v>
      </c>
      <c r="B8175">
        <v>1197831</v>
      </c>
      <c r="C8175" s="1">
        <v>44549</v>
      </c>
      <c r="D8175" t="s">
        <v>52</v>
      </c>
      <c r="E8175" t="s">
        <v>114</v>
      </c>
      <c r="F8175" t="s">
        <v>115</v>
      </c>
      <c r="G8175" t="s">
        <v>41</v>
      </c>
      <c r="H8175" t="s">
        <v>22</v>
      </c>
      <c r="I8175" s="3">
        <v>64</v>
      </c>
      <c r="J8175" s="2">
        <v>112</v>
      </c>
      <c r="K8175" s="3">
        <f t="shared" si="127"/>
        <v>7168</v>
      </c>
      <c r="L8175" s="3">
        <v>3655.6800000000003</v>
      </c>
    </row>
    <row r="8176" spans="1:12" x14ac:dyDescent="0.25">
      <c r="A8176" t="s">
        <v>27</v>
      </c>
      <c r="B8176">
        <v>1197831</v>
      </c>
      <c r="C8176" s="1">
        <v>44549</v>
      </c>
      <c r="D8176" t="s">
        <v>52</v>
      </c>
      <c r="E8176" t="s">
        <v>116</v>
      </c>
      <c r="F8176" t="s">
        <v>117</v>
      </c>
      <c r="G8176" t="s">
        <v>41</v>
      </c>
      <c r="H8176" t="s">
        <v>35</v>
      </c>
      <c r="I8176" s="3">
        <v>55</v>
      </c>
      <c r="J8176" s="2">
        <v>101</v>
      </c>
      <c r="K8176" s="3">
        <f t="shared" si="127"/>
        <v>5555</v>
      </c>
      <c r="L8176" s="3">
        <v>2777.5</v>
      </c>
    </row>
    <row r="8177" spans="1:12" x14ac:dyDescent="0.25">
      <c r="A8177" t="s">
        <v>27</v>
      </c>
      <c r="B8177">
        <v>1197831</v>
      </c>
      <c r="C8177" s="1">
        <v>44549</v>
      </c>
      <c r="D8177" t="s">
        <v>52</v>
      </c>
      <c r="E8177" t="s">
        <v>116</v>
      </c>
      <c r="F8177" t="s">
        <v>117</v>
      </c>
      <c r="G8177" t="s">
        <v>41</v>
      </c>
      <c r="H8177" t="s">
        <v>16</v>
      </c>
      <c r="I8177" s="3">
        <v>68</v>
      </c>
      <c r="J8177" s="2">
        <v>123</v>
      </c>
      <c r="K8177" s="3">
        <f t="shared" si="127"/>
        <v>8364</v>
      </c>
      <c r="L8177" s="3">
        <v>4182</v>
      </c>
    </row>
    <row r="8178" spans="1:12" x14ac:dyDescent="0.25">
      <c r="A8178" t="s">
        <v>11</v>
      </c>
      <c r="B8178">
        <v>1197831</v>
      </c>
      <c r="C8178" s="1">
        <v>44549</v>
      </c>
      <c r="D8178" t="s">
        <v>52</v>
      </c>
      <c r="E8178" t="s">
        <v>114</v>
      </c>
      <c r="F8178" t="s">
        <v>115</v>
      </c>
      <c r="G8178" t="s">
        <v>41</v>
      </c>
      <c r="H8178" t="s">
        <v>37</v>
      </c>
      <c r="I8178" s="3">
        <v>57</v>
      </c>
      <c r="J8178" s="2">
        <v>120</v>
      </c>
      <c r="K8178" s="3">
        <f t="shared" si="127"/>
        <v>6840</v>
      </c>
      <c r="L8178" s="3">
        <v>3351.6</v>
      </c>
    </row>
    <row r="8179" spans="1:12" x14ac:dyDescent="0.25">
      <c r="A8179" t="s">
        <v>11</v>
      </c>
      <c r="B8179">
        <v>1197831</v>
      </c>
      <c r="C8179" s="1">
        <v>44549</v>
      </c>
      <c r="D8179" t="s">
        <v>52</v>
      </c>
      <c r="E8179" t="s">
        <v>114</v>
      </c>
      <c r="F8179" t="s">
        <v>115</v>
      </c>
      <c r="G8179" t="s">
        <v>41</v>
      </c>
      <c r="H8179" t="s">
        <v>16</v>
      </c>
      <c r="I8179" s="3">
        <v>70</v>
      </c>
      <c r="J8179" s="2">
        <v>150</v>
      </c>
      <c r="K8179" s="3">
        <f t="shared" si="127"/>
        <v>10500</v>
      </c>
      <c r="L8179" s="3">
        <v>5145</v>
      </c>
    </row>
    <row r="8180" spans="1:12" x14ac:dyDescent="0.25">
      <c r="A8180" t="s">
        <v>27</v>
      </c>
      <c r="B8180">
        <v>1197831</v>
      </c>
      <c r="C8180" s="1">
        <v>44549</v>
      </c>
      <c r="D8180" t="s">
        <v>52</v>
      </c>
      <c r="E8180" t="s">
        <v>116</v>
      </c>
      <c r="F8180" t="s">
        <v>117</v>
      </c>
      <c r="G8180" t="s">
        <v>41</v>
      </c>
      <c r="H8180" t="s">
        <v>37</v>
      </c>
      <c r="I8180" s="3">
        <v>54</v>
      </c>
      <c r="J8180" s="2">
        <v>94</v>
      </c>
      <c r="K8180" s="3">
        <f t="shared" si="127"/>
        <v>5076</v>
      </c>
      <c r="L8180" s="3">
        <v>2385.7199999999998</v>
      </c>
    </row>
    <row r="8181" spans="1:12" x14ac:dyDescent="0.25">
      <c r="A8181" t="s">
        <v>11</v>
      </c>
      <c r="B8181">
        <v>1197831</v>
      </c>
      <c r="C8181" s="1">
        <v>44549</v>
      </c>
      <c r="D8181" t="s">
        <v>52</v>
      </c>
      <c r="E8181" t="s">
        <v>114</v>
      </c>
      <c r="F8181" t="s">
        <v>115</v>
      </c>
      <c r="G8181" t="s">
        <v>41</v>
      </c>
      <c r="H8181" t="s">
        <v>35</v>
      </c>
      <c r="I8181" s="3">
        <v>55</v>
      </c>
      <c r="J8181" s="2">
        <v>126</v>
      </c>
      <c r="K8181" s="3">
        <f t="shared" si="127"/>
        <v>6930</v>
      </c>
      <c r="L8181" s="3">
        <v>3187.7999999999997</v>
      </c>
    </row>
    <row r="8182" spans="1:12" x14ac:dyDescent="0.25">
      <c r="A8182" t="s">
        <v>11</v>
      </c>
      <c r="B8182">
        <v>1197831</v>
      </c>
      <c r="C8182" s="1">
        <v>44549</v>
      </c>
      <c r="D8182" t="s">
        <v>52</v>
      </c>
      <c r="E8182" t="s">
        <v>114</v>
      </c>
      <c r="F8182" t="s">
        <v>115</v>
      </c>
      <c r="G8182" t="s">
        <v>41</v>
      </c>
      <c r="H8182" t="s">
        <v>38</v>
      </c>
      <c r="I8182" s="3">
        <v>67</v>
      </c>
      <c r="J8182" s="2">
        <v>203</v>
      </c>
      <c r="K8182" s="3">
        <f t="shared" si="127"/>
        <v>13601</v>
      </c>
      <c r="L8182" s="3">
        <v>6120.45</v>
      </c>
    </row>
    <row r="8183" spans="1:12" x14ac:dyDescent="0.25">
      <c r="A8183" t="s">
        <v>27</v>
      </c>
      <c r="B8183">
        <v>1197831</v>
      </c>
      <c r="C8183" s="1">
        <v>44549</v>
      </c>
      <c r="D8183" t="s">
        <v>52</v>
      </c>
      <c r="E8183" t="s">
        <v>116</v>
      </c>
      <c r="F8183" t="s">
        <v>117</v>
      </c>
      <c r="G8183" t="s">
        <v>41</v>
      </c>
      <c r="H8183" t="s">
        <v>38</v>
      </c>
      <c r="I8183" s="3">
        <v>64</v>
      </c>
      <c r="J8183" s="2">
        <v>169</v>
      </c>
      <c r="K8183" s="3">
        <f t="shared" si="127"/>
        <v>10816</v>
      </c>
      <c r="L8183" s="3">
        <v>4867.2</v>
      </c>
    </row>
    <row r="8184" spans="1:12" x14ac:dyDescent="0.25">
      <c r="A8184" t="s">
        <v>19</v>
      </c>
      <c r="B8184">
        <v>1185732</v>
      </c>
      <c r="C8184" s="1">
        <v>44550</v>
      </c>
      <c r="D8184" t="s">
        <v>29</v>
      </c>
      <c r="E8184" t="s">
        <v>55</v>
      </c>
      <c r="F8184" t="s">
        <v>56</v>
      </c>
      <c r="G8184" t="s">
        <v>15</v>
      </c>
      <c r="H8184" t="s">
        <v>16</v>
      </c>
      <c r="I8184" s="3">
        <v>64.999999999999986</v>
      </c>
      <c r="J8184" s="2">
        <v>225</v>
      </c>
      <c r="K8184" s="3">
        <f t="shared" si="127"/>
        <v>14624.999999999996</v>
      </c>
      <c r="L8184" s="3">
        <v>10968.749999999996</v>
      </c>
    </row>
    <row r="8185" spans="1:12" x14ac:dyDescent="0.25">
      <c r="A8185" t="s">
        <v>19</v>
      </c>
      <c r="B8185">
        <v>1185732</v>
      </c>
      <c r="C8185" s="1">
        <v>44550</v>
      </c>
      <c r="D8185" t="s">
        <v>29</v>
      </c>
      <c r="E8185" t="s">
        <v>87</v>
      </c>
      <c r="F8185" t="s">
        <v>88</v>
      </c>
      <c r="G8185" t="s">
        <v>18</v>
      </c>
      <c r="H8185" t="s">
        <v>22</v>
      </c>
      <c r="I8185" s="3">
        <v>60</v>
      </c>
      <c r="J8185" s="2">
        <v>175</v>
      </c>
      <c r="K8185" s="3">
        <f t="shared" si="127"/>
        <v>10500</v>
      </c>
      <c r="L8185" s="3">
        <v>7350</v>
      </c>
    </row>
    <row r="8186" spans="1:12" x14ac:dyDescent="0.25">
      <c r="A8186" t="s">
        <v>19</v>
      </c>
      <c r="B8186">
        <v>1185732</v>
      </c>
      <c r="C8186" s="1">
        <v>44550</v>
      </c>
      <c r="D8186" t="s">
        <v>29</v>
      </c>
      <c r="E8186" t="s">
        <v>87</v>
      </c>
      <c r="F8186" t="s">
        <v>88</v>
      </c>
      <c r="G8186" t="s">
        <v>18</v>
      </c>
      <c r="H8186" t="s">
        <v>16</v>
      </c>
      <c r="I8186" s="3">
        <v>64.999999999999986</v>
      </c>
      <c r="J8186" s="2">
        <v>275</v>
      </c>
      <c r="K8186" s="3">
        <f t="shared" si="127"/>
        <v>17874.999999999996</v>
      </c>
      <c r="L8186" s="3">
        <v>12512.499999999996</v>
      </c>
    </row>
    <row r="8187" spans="1:12" x14ac:dyDescent="0.25">
      <c r="A8187" t="s">
        <v>36</v>
      </c>
      <c r="B8187">
        <v>1185732</v>
      </c>
      <c r="C8187" s="1">
        <v>44550</v>
      </c>
      <c r="D8187" t="s">
        <v>12</v>
      </c>
      <c r="E8187" t="s">
        <v>24</v>
      </c>
      <c r="F8187" t="s">
        <v>25</v>
      </c>
      <c r="G8187" t="s">
        <v>15</v>
      </c>
      <c r="H8187" t="s">
        <v>17</v>
      </c>
      <c r="I8187" s="3">
        <v>65.000000000000014</v>
      </c>
      <c r="J8187" s="2">
        <v>400</v>
      </c>
      <c r="K8187" s="3">
        <f t="shared" si="127"/>
        <v>26000.000000000007</v>
      </c>
      <c r="L8187" s="3">
        <v>16900.000000000004</v>
      </c>
    </row>
    <row r="8188" spans="1:12" x14ac:dyDescent="0.25">
      <c r="A8188" t="s">
        <v>19</v>
      </c>
      <c r="B8188">
        <v>1185732</v>
      </c>
      <c r="C8188" s="1">
        <v>44550</v>
      </c>
      <c r="D8188" t="s">
        <v>29</v>
      </c>
      <c r="E8188" t="s">
        <v>87</v>
      </c>
      <c r="F8188" t="s">
        <v>88</v>
      </c>
      <c r="G8188" t="s">
        <v>18</v>
      </c>
      <c r="H8188" t="s">
        <v>17</v>
      </c>
      <c r="I8188" s="3">
        <v>50</v>
      </c>
      <c r="J8188" s="2">
        <v>250</v>
      </c>
      <c r="K8188" s="3">
        <f t="shared" si="127"/>
        <v>12500</v>
      </c>
      <c r="L8188" s="3">
        <v>8125</v>
      </c>
    </row>
    <row r="8189" spans="1:12" x14ac:dyDescent="0.25">
      <c r="A8189" t="s">
        <v>19</v>
      </c>
      <c r="B8189">
        <v>1185732</v>
      </c>
      <c r="C8189" s="1">
        <v>44550</v>
      </c>
      <c r="D8189" t="s">
        <v>29</v>
      </c>
      <c r="E8189" t="s">
        <v>87</v>
      </c>
      <c r="F8189" t="s">
        <v>88</v>
      </c>
      <c r="G8189" t="s">
        <v>18</v>
      </c>
      <c r="H8189" t="s">
        <v>35</v>
      </c>
      <c r="I8189" s="3">
        <v>50</v>
      </c>
      <c r="J8189" s="2">
        <v>225</v>
      </c>
      <c r="K8189" s="3">
        <f t="shared" si="127"/>
        <v>11250</v>
      </c>
      <c r="L8189" s="3">
        <v>7312.5</v>
      </c>
    </row>
    <row r="8190" spans="1:12" x14ac:dyDescent="0.25">
      <c r="A8190" t="s">
        <v>19</v>
      </c>
      <c r="B8190">
        <v>1185732</v>
      </c>
      <c r="C8190" s="1">
        <v>44550</v>
      </c>
      <c r="D8190" t="s">
        <v>29</v>
      </c>
      <c r="E8190" t="s">
        <v>87</v>
      </c>
      <c r="F8190" t="s">
        <v>88</v>
      </c>
      <c r="G8190" t="s">
        <v>18</v>
      </c>
      <c r="H8190" t="s">
        <v>37</v>
      </c>
      <c r="I8190" s="3">
        <v>50</v>
      </c>
      <c r="J8190" s="2">
        <v>175</v>
      </c>
      <c r="K8190" s="3">
        <f t="shared" si="127"/>
        <v>8750</v>
      </c>
      <c r="L8190" s="3">
        <v>5687.5</v>
      </c>
    </row>
    <row r="8191" spans="1:12" x14ac:dyDescent="0.25">
      <c r="A8191" t="s">
        <v>36</v>
      </c>
      <c r="B8191">
        <v>1185732</v>
      </c>
      <c r="C8191" s="1">
        <v>44550</v>
      </c>
      <c r="D8191" t="s">
        <v>12</v>
      </c>
      <c r="E8191" t="s">
        <v>24</v>
      </c>
      <c r="F8191" t="s">
        <v>25</v>
      </c>
      <c r="G8191" t="s">
        <v>15</v>
      </c>
      <c r="H8191" t="s">
        <v>38</v>
      </c>
      <c r="I8191" s="3">
        <v>75.000000000000014</v>
      </c>
      <c r="J8191" s="2">
        <v>600</v>
      </c>
      <c r="K8191" s="3">
        <f t="shared" si="127"/>
        <v>45000.000000000007</v>
      </c>
      <c r="L8191" s="3">
        <v>29250</v>
      </c>
    </row>
    <row r="8192" spans="1:12" x14ac:dyDescent="0.25">
      <c r="A8192" t="s">
        <v>36</v>
      </c>
      <c r="B8192">
        <v>1185732</v>
      </c>
      <c r="C8192" s="1">
        <v>44550</v>
      </c>
      <c r="D8192" t="s">
        <v>29</v>
      </c>
      <c r="E8192" t="s">
        <v>30</v>
      </c>
      <c r="F8192" t="s">
        <v>31</v>
      </c>
      <c r="G8192" t="s">
        <v>15</v>
      </c>
      <c r="H8192" t="s">
        <v>16</v>
      </c>
      <c r="I8192" s="3">
        <v>60</v>
      </c>
      <c r="J8192" s="2">
        <v>375</v>
      </c>
      <c r="K8192" s="3">
        <f t="shared" si="127"/>
        <v>22500</v>
      </c>
      <c r="L8192" s="3">
        <v>13500</v>
      </c>
    </row>
    <row r="8193" spans="1:12" x14ac:dyDescent="0.25">
      <c r="A8193" t="s">
        <v>19</v>
      </c>
      <c r="B8193">
        <v>1185732</v>
      </c>
      <c r="C8193" s="1">
        <v>44550</v>
      </c>
      <c r="D8193" t="s">
        <v>29</v>
      </c>
      <c r="E8193" t="s">
        <v>87</v>
      </c>
      <c r="F8193" t="s">
        <v>88</v>
      </c>
      <c r="G8193" t="s">
        <v>18</v>
      </c>
      <c r="H8193" t="s">
        <v>38</v>
      </c>
      <c r="I8193" s="3">
        <v>60</v>
      </c>
      <c r="J8193" s="2">
        <v>450</v>
      </c>
      <c r="K8193" s="3">
        <f t="shared" si="127"/>
        <v>27000</v>
      </c>
      <c r="L8193" s="3">
        <v>16200</v>
      </c>
    </row>
    <row r="8194" spans="1:12" x14ac:dyDescent="0.25">
      <c r="A8194" t="s">
        <v>19</v>
      </c>
      <c r="B8194">
        <v>1185732</v>
      </c>
      <c r="C8194" s="1">
        <v>44550</v>
      </c>
      <c r="D8194" t="s">
        <v>29</v>
      </c>
      <c r="E8194" t="s">
        <v>55</v>
      </c>
      <c r="F8194" t="s">
        <v>56</v>
      </c>
      <c r="G8194" t="s">
        <v>15</v>
      </c>
      <c r="H8194" t="s">
        <v>16</v>
      </c>
      <c r="I8194" s="3">
        <v>42</v>
      </c>
      <c r="J8194" s="2">
        <v>74</v>
      </c>
      <c r="K8194" s="3">
        <f t="shared" si="127"/>
        <v>3108</v>
      </c>
      <c r="L8194" s="3">
        <v>2113.44</v>
      </c>
    </row>
    <row r="8195" spans="1:12" x14ac:dyDescent="0.25">
      <c r="A8195" t="s">
        <v>19</v>
      </c>
      <c r="B8195">
        <v>1185732</v>
      </c>
      <c r="C8195" s="1">
        <v>44550</v>
      </c>
      <c r="D8195" t="s">
        <v>29</v>
      </c>
      <c r="E8195" t="s">
        <v>55</v>
      </c>
      <c r="F8195" t="s">
        <v>56</v>
      </c>
      <c r="G8195" t="s">
        <v>41</v>
      </c>
      <c r="H8195" t="s">
        <v>16</v>
      </c>
      <c r="I8195" s="3">
        <v>60</v>
      </c>
      <c r="J8195" s="2">
        <v>63</v>
      </c>
      <c r="K8195" s="3">
        <f t="shared" ref="K8195:K8258" si="128">I8195*J8195</f>
        <v>3780</v>
      </c>
      <c r="L8195" s="3">
        <v>2305.8000000000002</v>
      </c>
    </row>
    <row r="8196" spans="1:12" x14ac:dyDescent="0.25">
      <c r="A8196" t="s">
        <v>19</v>
      </c>
      <c r="B8196">
        <v>1185732</v>
      </c>
      <c r="C8196" s="1">
        <v>44550</v>
      </c>
      <c r="D8196" t="s">
        <v>29</v>
      </c>
      <c r="E8196" t="s">
        <v>87</v>
      </c>
      <c r="F8196" t="s">
        <v>88</v>
      </c>
      <c r="G8196" t="s">
        <v>41</v>
      </c>
      <c r="H8196" t="s">
        <v>22</v>
      </c>
      <c r="I8196" s="3">
        <v>54</v>
      </c>
      <c r="J8196" s="2">
        <v>51</v>
      </c>
      <c r="K8196" s="3">
        <f t="shared" si="128"/>
        <v>2754</v>
      </c>
      <c r="L8196" s="3">
        <v>1624.8600000000001</v>
      </c>
    </row>
    <row r="8197" spans="1:12" x14ac:dyDescent="0.25">
      <c r="A8197" t="s">
        <v>19</v>
      </c>
      <c r="B8197">
        <v>1185732</v>
      </c>
      <c r="C8197" s="1">
        <v>44550</v>
      </c>
      <c r="D8197" t="s">
        <v>29</v>
      </c>
      <c r="E8197" t="s">
        <v>87</v>
      </c>
      <c r="F8197" t="s">
        <v>88</v>
      </c>
      <c r="G8197" t="s">
        <v>41</v>
      </c>
      <c r="H8197" t="s">
        <v>16</v>
      </c>
      <c r="I8197" s="3">
        <v>61</v>
      </c>
      <c r="J8197" s="2">
        <v>72</v>
      </c>
      <c r="K8197" s="3">
        <f t="shared" si="128"/>
        <v>4392</v>
      </c>
      <c r="L8197" s="3">
        <v>2547.36</v>
      </c>
    </row>
    <row r="8198" spans="1:12" x14ac:dyDescent="0.25">
      <c r="A8198" t="s">
        <v>19</v>
      </c>
      <c r="B8198">
        <v>1185732</v>
      </c>
      <c r="C8198" s="1">
        <v>44550</v>
      </c>
      <c r="D8198" t="s">
        <v>29</v>
      </c>
      <c r="E8198" t="s">
        <v>87</v>
      </c>
      <c r="F8198" t="s">
        <v>88</v>
      </c>
      <c r="G8198" t="s">
        <v>41</v>
      </c>
      <c r="H8198" t="s">
        <v>35</v>
      </c>
      <c r="I8198" s="3">
        <v>45</v>
      </c>
      <c r="J8198" s="2">
        <v>65</v>
      </c>
      <c r="K8198" s="3">
        <f t="shared" si="128"/>
        <v>2925</v>
      </c>
      <c r="L8198" s="3">
        <v>1550.25</v>
      </c>
    </row>
    <row r="8199" spans="1:12" x14ac:dyDescent="0.25">
      <c r="A8199" t="s">
        <v>19</v>
      </c>
      <c r="B8199">
        <v>1185732</v>
      </c>
      <c r="C8199" s="1">
        <v>44550</v>
      </c>
      <c r="D8199" t="s">
        <v>29</v>
      </c>
      <c r="E8199" t="s">
        <v>87</v>
      </c>
      <c r="F8199" t="s">
        <v>88</v>
      </c>
      <c r="G8199" t="s">
        <v>41</v>
      </c>
      <c r="H8199" t="s">
        <v>37</v>
      </c>
      <c r="I8199" s="3">
        <v>49</v>
      </c>
      <c r="J8199" s="2">
        <v>44</v>
      </c>
      <c r="K8199" s="3">
        <f t="shared" si="128"/>
        <v>2156</v>
      </c>
      <c r="L8199" s="3">
        <v>1142.68</v>
      </c>
    </row>
    <row r="8200" spans="1:12" x14ac:dyDescent="0.25">
      <c r="A8200" t="s">
        <v>36</v>
      </c>
      <c r="B8200">
        <v>1185732</v>
      </c>
      <c r="C8200" s="1">
        <v>44550</v>
      </c>
      <c r="D8200" t="s">
        <v>12</v>
      </c>
      <c r="E8200" t="s">
        <v>24</v>
      </c>
      <c r="F8200" t="s">
        <v>25</v>
      </c>
      <c r="G8200" t="s">
        <v>41</v>
      </c>
      <c r="H8200" t="s">
        <v>38</v>
      </c>
      <c r="I8200" s="3">
        <v>69</v>
      </c>
      <c r="J8200" s="2">
        <v>174</v>
      </c>
      <c r="K8200" s="3">
        <f t="shared" si="128"/>
        <v>12006</v>
      </c>
      <c r="L8200" s="3">
        <v>6363.1799999999994</v>
      </c>
    </row>
    <row r="8201" spans="1:12" x14ac:dyDescent="0.25">
      <c r="A8201" t="s">
        <v>36</v>
      </c>
      <c r="B8201">
        <v>1185732</v>
      </c>
      <c r="C8201" s="1">
        <v>44550</v>
      </c>
      <c r="D8201" t="s">
        <v>12</v>
      </c>
      <c r="E8201" t="s">
        <v>24</v>
      </c>
      <c r="F8201" t="s">
        <v>25</v>
      </c>
      <c r="G8201" t="s">
        <v>41</v>
      </c>
      <c r="H8201" t="s">
        <v>17</v>
      </c>
      <c r="I8201" s="3">
        <v>60</v>
      </c>
      <c r="J8201" s="2">
        <v>112</v>
      </c>
      <c r="K8201" s="3">
        <f t="shared" si="128"/>
        <v>6720</v>
      </c>
      <c r="L8201" s="3">
        <v>3561.6</v>
      </c>
    </row>
    <row r="8202" spans="1:12" x14ac:dyDescent="0.25">
      <c r="A8202" t="s">
        <v>19</v>
      </c>
      <c r="B8202">
        <v>1185732</v>
      </c>
      <c r="C8202" s="1">
        <v>44550</v>
      </c>
      <c r="D8202" t="s">
        <v>29</v>
      </c>
      <c r="E8202" t="s">
        <v>87</v>
      </c>
      <c r="F8202" t="s">
        <v>88</v>
      </c>
      <c r="G8202" t="s">
        <v>41</v>
      </c>
      <c r="H8202" t="s">
        <v>38</v>
      </c>
      <c r="I8202" s="3">
        <v>57</v>
      </c>
      <c r="J8202" s="2">
        <v>122</v>
      </c>
      <c r="K8202" s="3">
        <f t="shared" si="128"/>
        <v>6954</v>
      </c>
      <c r="L8202" s="3">
        <v>3477</v>
      </c>
    </row>
    <row r="8203" spans="1:12" x14ac:dyDescent="0.25">
      <c r="A8203" t="s">
        <v>19</v>
      </c>
      <c r="B8203">
        <v>1185732</v>
      </c>
      <c r="C8203" s="1">
        <v>44550</v>
      </c>
      <c r="D8203" t="s">
        <v>29</v>
      </c>
      <c r="E8203" t="s">
        <v>87</v>
      </c>
      <c r="F8203" t="s">
        <v>88</v>
      </c>
      <c r="G8203" t="s">
        <v>41</v>
      </c>
      <c r="H8203" t="s">
        <v>17</v>
      </c>
      <c r="I8203" s="3">
        <v>46</v>
      </c>
      <c r="J8203" s="2">
        <v>65</v>
      </c>
      <c r="K8203" s="3">
        <f t="shared" si="128"/>
        <v>2990</v>
      </c>
      <c r="L8203" s="3">
        <v>1495</v>
      </c>
    </row>
    <row r="8204" spans="1:12" x14ac:dyDescent="0.25">
      <c r="A8204" t="s">
        <v>36</v>
      </c>
      <c r="B8204">
        <v>1185732</v>
      </c>
      <c r="C8204" s="1">
        <v>44550</v>
      </c>
      <c r="D8204" t="s">
        <v>29</v>
      </c>
      <c r="E8204" t="s">
        <v>30</v>
      </c>
      <c r="F8204" t="s">
        <v>31</v>
      </c>
      <c r="G8204" t="s">
        <v>41</v>
      </c>
      <c r="H8204" t="s">
        <v>16</v>
      </c>
      <c r="I8204" s="3">
        <v>58</v>
      </c>
      <c r="J8204" s="2">
        <v>113</v>
      </c>
      <c r="K8204" s="3">
        <f t="shared" si="128"/>
        <v>6554</v>
      </c>
      <c r="L8204" s="3">
        <v>3014.8399999999997</v>
      </c>
    </row>
    <row r="8205" spans="1:12" x14ac:dyDescent="0.25">
      <c r="A8205" t="s">
        <v>19</v>
      </c>
      <c r="B8205">
        <v>1185732</v>
      </c>
      <c r="C8205" s="1">
        <v>44551</v>
      </c>
      <c r="D8205" t="s">
        <v>32</v>
      </c>
      <c r="E8205" t="s">
        <v>120</v>
      </c>
      <c r="F8205" t="s">
        <v>121</v>
      </c>
      <c r="G8205" t="s">
        <v>41</v>
      </c>
      <c r="H8205" t="s">
        <v>17</v>
      </c>
      <c r="I8205" s="3">
        <v>55.000000000000007</v>
      </c>
      <c r="J8205" s="2">
        <v>325</v>
      </c>
      <c r="K8205" s="3">
        <f t="shared" si="128"/>
        <v>17875.000000000004</v>
      </c>
      <c r="L8205" s="3">
        <v>11618.750000000004</v>
      </c>
    </row>
    <row r="8206" spans="1:12" x14ac:dyDescent="0.25">
      <c r="A8206" t="s">
        <v>36</v>
      </c>
      <c r="B8206">
        <v>1185732</v>
      </c>
      <c r="C8206" s="1">
        <v>44551</v>
      </c>
      <c r="D8206" t="s">
        <v>29</v>
      </c>
      <c r="E8206" t="s">
        <v>30</v>
      </c>
      <c r="F8206" t="s">
        <v>31</v>
      </c>
      <c r="G8206" t="s">
        <v>15</v>
      </c>
      <c r="H8206" t="s">
        <v>38</v>
      </c>
      <c r="I8206" s="3">
        <v>54.999999999999993</v>
      </c>
      <c r="J8206" s="2">
        <v>525</v>
      </c>
      <c r="K8206" s="3">
        <f t="shared" si="128"/>
        <v>28874.999999999996</v>
      </c>
      <c r="L8206" s="3">
        <v>18768.749999999996</v>
      </c>
    </row>
    <row r="8207" spans="1:12" x14ac:dyDescent="0.25">
      <c r="A8207" t="s">
        <v>19</v>
      </c>
      <c r="B8207">
        <v>1185732</v>
      </c>
      <c r="C8207" s="1">
        <v>44551</v>
      </c>
      <c r="D8207" t="s">
        <v>32</v>
      </c>
      <c r="E8207" t="s">
        <v>120</v>
      </c>
      <c r="F8207" t="s">
        <v>121</v>
      </c>
      <c r="G8207" t="s">
        <v>41</v>
      </c>
      <c r="H8207" t="s">
        <v>22</v>
      </c>
      <c r="I8207" s="3">
        <v>60</v>
      </c>
      <c r="J8207" s="2">
        <v>225</v>
      </c>
      <c r="K8207" s="3">
        <f t="shared" si="128"/>
        <v>13500</v>
      </c>
      <c r="L8207" s="3">
        <v>8775</v>
      </c>
    </row>
    <row r="8208" spans="1:12" x14ac:dyDescent="0.25">
      <c r="A8208" t="s">
        <v>19</v>
      </c>
      <c r="B8208">
        <v>1185732</v>
      </c>
      <c r="C8208" s="1">
        <v>44551</v>
      </c>
      <c r="D8208" t="s">
        <v>32</v>
      </c>
      <c r="E8208" t="s">
        <v>120</v>
      </c>
      <c r="F8208" t="s">
        <v>121</v>
      </c>
      <c r="G8208" t="s">
        <v>41</v>
      </c>
      <c r="H8208" t="s">
        <v>38</v>
      </c>
      <c r="I8208" s="3">
        <v>65</v>
      </c>
      <c r="J8208" s="2">
        <v>525</v>
      </c>
      <c r="K8208" s="3">
        <f t="shared" si="128"/>
        <v>34125</v>
      </c>
      <c r="L8208" s="3">
        <v>20475</v>
      </c>
    </row>
    <row r="8209" spans="1:12" x14ac:dyDescent="0.25">
      <c r="A8209" t="s">
        <v>19</v>
      </c>
      <c r="B8209">
        <v>1185732</v>
      </c>
      <c r="C8209" s="1">
        <v>44551</v>
      </c>
      <c r="D8209" t="s">
        <v>32</v>
      </c>
      <c r="E8209" t="s">
        <v>120</v>
      </c>
      <c r="F8209" t="s">
        <v>121</v>
      </c>
      <c r="G8209" t="s">
        <v>41</v>
      </c>
      <c r="H8209" t="s">
        <v>35</v>
      </c>
      <c r="I8209" s="3">
        <v>55.000000000000007</v>
      </c>
      <c r="J8209" s="2">
        <v>275</v>
      </c>
      <c r="K8209" s="3">
        <f t="shared" si="128"/>
        <v>15125.000000000002</v>
      </c>
      <c r="L8209" s="3">
        <v>9075.0000000000018</v>
      </c>
    </row>
    <row r="8210" spans="1:12" x14ac:dyDescent="0.25">
      <c r="A8210" t="s">
        <v>19</v>
      </c>
      <c r="B8210">
        <v>1185732</v>
      </c>
      <c r="C8210" s="1">
        <v>44551</v>
      </c>
      <c r="D8210" t="s">
        <v>32</v>
      </c>
      <c r="E8210" t="s">
        <v>120</v>
      </c>
      <c r="F8210" t="s">
        <v>121</v>
      </c>
      <c r="G8210" t="s">
        <v>41</v>
      </c>
      <c r="H8210" t="s">
        <v>37</v>
      </c>
      <c r="I8210" s="3">
        <v>50</v>
      </c>
      <c r="J8210" s="2">
        <v>225</v>
      </c>
      <c r="K8210" s="3">
        <f t="shared" si="128"/>
        <v>11250</v>
      </c>
      <c r="L8210" s="3">
        <v>6750</v>
      </c>
    </row>
    <row r="8211" spans="1:12" x14ac:dyDescent="0.25">
      <c r="A8211" t="s">
        <v>19</v>
      </c>
      <c r="B8211">
        <v>1185732</v>
      </c>
      <c r="C8211" s="1">
        <v>44551</v>
      </c>
      <c r="D8211" t="s">
        <v>32</v>
      </c>
      <c r="E8211" t="s">
        <v>120</v>
      </c>
      <c r="F8211" t="s">
        <v>121</v>
      </c>
      <c r="G8211" t="s">
        <v>41</v>
      </c>
      <c r="H8211" t="s">
        <v>16</v>
      </c>
      <c r="I8211" s="3">
        <v>64.999999999999986</v>
      </c>
      <c r="J8211" s="2">
        <v>325</v>
      </c>
      <c r="K8211" s="3">
        <f t="shared" si="128"/>
        <v>21124.999999999996</v>
      </c>
      <c r="L8211" s="3">
        <v>12674.999999999996</v>
      </c>
    </row>
    <row r="8212" spans="1:12" x14ac:dyDescent="0.25">
      <c r="A8212" t="s">
        <v>19</v>
      </c>
      <c r="B8212">
        <v>1185732</v>
      </c>
      <c r="C8212" s="1">
        <v>44551</v>
      </c>
      <c r="D8212" t="s">
        <v>29</v>
      </c>
      <c r="E8212" t="s">
        <v>55</v>
      </c>
      <c r="F8212" t="s">
        <v>56</v>
      </c>
      <c r="G8212" t="s">
        <v>15</v>
      </c>
      <c r="H8212" t="s">
        <v>38</v>
      </c>
      <c r="I8212" s="3">
        <v>70</v>
      </c>
      <c r="J8212" s="2">
        <v>375</v>
      </c>
      <c r="K8212" s="3">
        <f t="shared" si="128"/>
        <v>26250</v>
      </c>
      <c r="L8212" s="3">
        <v>11812.5</v>
      </c>
    </row>
    <row r="8213" spans="1:12" x14ac:dyDescent="0.25">
      <c r="A8213" t="s">
        <v>36</v>
      </c>
      <c r="B8213">
        <v>1185732</v>
      </c>
      <c r="C8213" s="1">
        <v>44551</v>
      </c>
      <c r="D8213" t="s">
        <v>29</v>
      </c>
      <c r="E8213" t="s">
        <v>30</v>
      </c>
      <c r="F8213" t="s">
        <v>31</v>
      </c>
      <c r="G8213" t="s">
        <v>41</v>
      </c>
      <c r="H8213" t="s">
        <v>38</v>
      </c>
      <c r="I8213" s="3">
        <v>50</v>
      </c>
      <c r="J8213" s="2">
        <v>147</v>
      </c>
      <c r="K8213" s="3">
        <f t="shared" si="128"/>
        <v>7350</v>
      </c>
      <c r="L8213" s="3">
        <v>3969.0000000000005</v>
      </c>
    </row>
    <row r="8214" spans="1:12" x14ac:dyDescent="0.25">
      <c r="A8214" t="s">
        <v>19</v>
      </c>
      <c r="B8214">
        <v>1185732</v>
      </c>
      <c r="C8214" s="1">
        <v>44551</v>
      </c>
      <c r="D8214" t="s">
        <v>32</v>
      </c>
      <c r="E8214" t="s">
        <v>120</v>
      </c>
      <c r="F8214" t="s">
        <v>121</v>
      </c>
      <c r="G8214" t="s">
        <v>41</v>
      </c>
      <c r="H8214" t="s">
        <v>22</v>
      </c>
      <c r="I8214" s="3">
        <v>54</v>
      </c>
      <c r="J8214" s="2">
        <v>68</v>
      </c>
      <c r="K8214" s="3">
        <f t="shared" si="128"/>
        <v>3672</v>
      </c>
      <c r="L8214" s="3">
        <v>1946.16</v>
      </c>
    </row>
    <row r="8215" spans="1:12" x14ac:dyDescent="0.25">
      <c r="A8215" t="s">
        <v>19</v>
      </c>
      <c r="B8215">
        <v>1185732</v>
      </c>
      <c r="C8215" s="1">
        <v>44551</v>
      </c>
      <c r="D8215" t="s">
        <v>32</v>
      </c>
      <c r="E8215" t="s">
        <v>120</v>
      </c>
      <c r="F8215" t="s">
        <v>121</v>
      </c>
      <c r="G8215" t="s">
        <v>41</v>
      </c>
      <c r="H8215" t="s">
        <v>17</v>
      </c>
      <c r="I8215" s="3">
        <v>52</v>
      </c>
      <c r="J8215" s="2">
        <v>98</v>
      </c>
      <c r="K8215" s="3">
        <f t="shared" si="128"/>
        <v>5096</v>
      </c>
      <c r="L8215" s="3">
        <v>2649.92</v>
      </c>
    </row>
    <row r="8216" spans="1:12" x14ac:dyDescent="0.25">
      <c r="A8216" t="s">
        <v>19</v>
      </c>
      <c r="B8216">
        <v>1185732</v>
      </c>
      <c r="C8216" s="1">
        <v>44551</v>
      </c>
      <c r="D8216" t="s">
        <v>32</v>
      </c>
      <c r="E8216" t="s">
        <v>120</v>
      </c>
      <c r="F8216" t="s">
        <v>121</v>
      </c>
      <c r="G8216" t="s">
        <v>41</v>
      </c>
      <c r="H8216" t="s">
        <v>37</v>
      </c>
      <c r="I8216" s="3">
        <v>49</v>
      </c>
      <c r="J8216" s="2">
        <v>68</v>
      </c>
      <c r="K8216" s="3">
        <f t="shared" si="128"/>
        <v>3332</v>
      </c>
      <c r="L8216" s="3">
        <v>1566.04</v>
      </c>
    </row>
    <row r="8217" spans="1:12" x14ac:dyDescent="0.25">
      <c r="A8217" t="s">
        <v>19</v>
      </c>
      <c r="B8217">
        <v>1185732</v>
      </c>
      <c r="C8217" s="1">
        <v>44551</v>
      </c>
      <c r="D8217" t="s">
        <v>32</v>
      </c>
      <c r="E8217" t="s">
        <v>120</v>
      </c>
      <c r="F8217" t="s">
        <v>121</v>
      </c>
      <c r="G8217" t="s">
        <v>41</v>
      </c>
      <c r="H8217" t="s">
        <v>16</v>
      </c>
      <c r="I8217" s="3">
        <v>64</v>
      </c>
      <c r="J8217" s="2">
        <v>98</v>
      </c>
      <c r="K8217" s="3">
        <f t="shared" si="128"/>
        <v>6272</v>
      </c>
      <c r="L8217" s="3">
        <v>2947.8399999999997</v>
      </c>
    </row>
    <row r="8218" spans="1:12" x14ac:dyDescent="0.25">
      <c r="A8218" t="s">
        <v>19</v>
      </c>
      <c r="B8218">
        <v>1185732</v>
      </c>
      <c r="C8218" s="1">
        <v>44551</v>
      </c>
      <c r="D8218" t="s">
        <v>32</v>
      </c>
      <c r="E8218" t="s">
        <v>120</v>
      </c>
      <c r="F8218" t="s">
        <v>121</v>
      </c>
      <c r="G8218" t="s">
        <v>41</v>
      </c>
      <c r="H8218" t="s">
        <v>38</v>
      </c>
      <c r="I8218" s="3">
        <v>59</v>
      </c>
      <c r="J8218" s="2">
        <v>158</v>
      </c>
      <c r="K8218" s="3">
        <f t="shared" si="128"/>
        <v>9322</v>
      </c>
      <c r="L8218" s="3">
        <v>4194.8999999999996</v>
      </c>
    </row>
    <row r="8219" spans="1:12" x14ac:dyDescent="0.25">
      <c r="A8219" t="s">
        <v>19</v>
      </c>
      <c r="B8219">
        <v>1185732</v>
      </c>
      <c r="C8219" s="1">
        <v>44551</v>
      </c>
      <c r="D8219" t="s">
        <v>32</v>
      </c>
      <c r="E8219" t="s">
        <v>120</v>
      </c>
      <c r="F8219" t="s">
        <v>121</v>
      </c>
      <c r="G8219" t="s">
        <v>41</v>
      </c>
      <c r="H8219" t="s">
        <v>35</v>
      </c>
      <c r="I8219" s="3">
        <v>51</v>
      </c>
      <c r="J8219" s="2">
        <v>74</v>
      </c>
      <c r="K8219" s="3">
        <f t="shared" si="128"/>
        <v>3774</v>
      </c>
      <c r="L8219" s="3">
        <v>1698.2999999999997</v>
      </c>
    </row>
    <row r="8220" spans="1:12" x14ac:dyDescent="0.25">
      <c r="A8220" t="s">
        <v>19</v>
      </c>
      <c r="B8220">
        <v>1185732</v>
      </c>
      <c r="C8220" s="1">
        <v>44551</v>
      </c>
      <c r="D8220" t="s">
        <v>29</v>
      </c>
      <c r="E8220" t="s">
        <v>55</v>
      </c>
      <c r="F8220" t="s">
        <v>56</v>
      </c>
      <c r="G8220" t="s">
        <v>15</v>
      </c>
      <c r="H8220" t="s">
        <v>38</v>
      </c>
      <c r="I8220" s="3">
        <v>48</v>
      </c>
      <c r="J8220" s="2">
        <v>124</v>
      </c>
      <c r="K8220" s="3">
        <f t="shared" si="128"/>
        <v>5952</v>
      </c>
      <c r="L8220" s="3">
        <v>2380.7999999999993</v>
      </c>
    </row>
    <row r="8221" spans="1:12" x14ac:dyDescent="0.25">
      <c r="A8221" t="s">
        <v>19</v>
      </c>
      <c r="B8221">
        <v>1185732</v>
      </c>
      <c r="C8221" s="1">
        <v>44551</v>
      </c>
      <c r="D8221" t="s">
        <v>29</v>
      </c>
      <c r="E8221" t="s">
        <v>55</v>
      </c>
      <c r="F8221" t="s">
        <v>56</v>
      </c>
      <c r="G8221" t="s">
        <v>41</v>
      </c>
      <c r="H8221" t="s">
        <v>38</v>
      </c>
      <c r="I8221" s="3">
        <v>66</v>
      </c>
      <c r="J8221" s="2">
        <v>113</v>
      </c>
      <c r="K8221" s="3">
        <f t="shared" si="128"/>
        <v>7458</v>
      </c>
      <c r="L8221" s="3">
        <v>2610.3000000000002</v>
      </c>
    </row>
    <row r="8222" spans="1:12" x14ac:dyDescent="0.25">
      <c r="A8222" t="s">
        <v>27</v>
      </c>
      <c r="B8222">
        <v>1128299</v>
      </c>
      <c r="C8222" s="1">
        <v>44552</v>
      </c>
      <c r="D8222" t="s">
        <v>12</v>
      </c>
      <c r="E8222" t="s">
        <v>39</v>
      </c>
      <c r="F8222" t="s">
        <v>40</v>
      </c>
      <c r="G8222" t="s">
        <v>41</v>
      </c>
      <c r="H8222" t="s">
        <v>16</v>
      </c>
      <c r="I8222" s="3">
        <v>60.000000000000007</v>
      </c>
      <c r="J8222" s="2">
        <v>450</v>
      </c>
      <c r="K8222" s="3">
        <f t="shared" si="128"/>
        <v>27000.000000000004</v>
      </c>
      <c r="L8222" s="3">
        <v>20250.000000000007</v>
      </c>
    </row>
    <row r="8223" spans="1:12" x14ac:dyDescent="0.25">
      <c r="A8223" t="s">
        <v>27</v>
      </c>
      <c r="B8223">
        <v>1128299</v>
      </c>
      <c r="C8223" s="1">
        <v>44552</v>
      </c>
      <c r="D8223" t="s">
        <v>12</v>
      </c>
      <c r="E8223" t="s">
        <v>39</v>
      </c>
      <c r="F8223" t="s">
        <v>40</v>
      </c>
      <c r="G8223" t="s">
        <v>41</v>
      </c>
      <c r="H8223" t="s">
        <v>22</v>
      </c>
      <c r="I8223" s="3">
        <v>55.000000000000007</v>
      </c>
      <c r="J8223" s="2">
        <v>350</v>
      </c>
      <c r="K8223" s="3">
        <f t="shared" si="128"/>
        <v>19250.000000000004</v>
      </c>
      <c r="L8223" s="3">
        <v>13475.000000000004</v>
      </c>
    </row>
    <row r="8224" spans="1:12" x14ac:dyDescent="0.25">
      <c r="A8224" t="s">
        <v>19</v>
      </c>
      <c r="B8224">
        <v>1128299</v>
      </c>
      <c r="C8224" s="1">
        <v>44552</v>
      </c>
      <c r="D8224" t="s">
        <v>12</v>
      </c>
      <c r="E8224" t="s">
        <v>39</v>
      </c>
      <c r="F8224" t="s">
        <v>40</v>
      </c>
      <c r="G8224" t="s">
        <v>41</v>
      </c>
      <c r="H8224" t="s">
        <v>38</v>
      </c>
      <c r="I8224" s="3">
        <v>45.000000000000007</v>
      </c>
      <c r="J8224" s="2">
        <v>625</v>
      </c>
      <c r="K8224" s="3">
        <f t="shared" si="128"/>
        <v>28125.000000000004</v>
      </c>
      <c r="L8224" s="3">
        <v>18281.250000000007</v>
      </c>
    </row>
    <row r="8225" spans="1:12" x14ac:dyDescent="0.25">
      <c r="A8225" t="s">
        <v>27</v>
      </c>
      <c r="B8225">
        <v>1128299</v>
      </c>
      <c r="C8225" s="1">
        <v>44552</v>
      </c>
      <c r="D8225" t="s">
        <v>12</v>
      </c>
      <c r="E8225" t="s">
        <v>39</v>
      </c>
      <c r="F8225" t="s">
        <v>40</v>
      </c>
      <c r="G8225" t="s">
        <v>41</v>
      </c>
      <c r="H8225" t="s">
        <v>35</v>
      </c>
      <c r="I8225" s="3">
        <v>45.000000000000007</v>
      </c>
      <c r="J8225" s="2">
        <v>425</v>
      </c>
      <c r="K8225" s="3">
        <f t="shared" si="128"/>
        <v>19125.000000000004</v>
      </c>
      <c r="L8225" s="3">
        <v>12431.250000000004</v>
      </c>
    </row>
    <row r="8226" spans="1:12" x14ac:dyDescent="0.25">
      <c r="A8226" t="s">
        <v>27</v>
      </c>
      <c r="B8226">
        <v>1128299</v>
      </c>
      <c r="C8226" s="1">
        <v>44552</v>
      </c>
      <c r="D8226" t="s">
        <v>12</v>
      </c>
      <c r="E8226" t="s">
        <v>39</v>
      </c>
      <c r="F8226" t="s">
        <v>40</v>
      </c>
      <c r="G8226" t="s">
        <v>41</v>
      </c>
      <c r="H8226" t="s">
        <v>37</v>
      </c>
      <c r="I8226" s="3">
        <v>45.000000000000007</v>
      </c>
      <c r="J8226" s="2">
        <v>425</v>
      </c>
      <c r="K8226" s="3">
        <f t="shared" si="128"/>
        <v>19125.000000000004</v>
      </c>
      <c r="L8226" s="3">
        <v>12431.250000000004</v>
      </c>
    </row>
    <row r="8227" spans="1:12" x14ac:dyDescent="0.25">
      <c r="A8227" t="s">
        <v>19</v>
      </c>
      <c r="B8227">
        <v>1185732</v>
      </c>
      <c r="C8227" s="1">
        <v>44552</v>
      </c>
      <c r="D8227" t="s">
        <v>29</v>
      </c>
      <c r="E8227" t="s">
        <v>55</v>
      </c>
      <c r="F8227" t="s">
        <v>56</v>
      </c>
      <c r="G8227" t="s">
        <v>15</v>
      </c>
      <c r="H8227" t="s">
        <v>17</v>
      </c>
      <c r="I8227" s="3">
        <v>60.000000000000007</v>
      </c>
      <c r="J8227" s="2">
        <v>200</v>
      </c>
      <c r="K8227" s="3">
        <f t="shared" si="128"/>
        <v>12000.000000000002</v>
      </c>
      <c r="L8227" s="3">
        <v>7800.0000000000018</v>
      </c>
    </row>
    <row r="8228" spans="1:12" x14ac:dyDescent="0.25">
      <c r="A8228" t="s">
        <v>36</v>
      </c>
      <c r="B8228">
        <v>1185732</v>
      </c>
      <c r="C8228" s="1">
        <v>44552</v>
      </c>
      <c r="D8228" t="s">
        <v>29</v>
      </c>
      <c r="E8228" t="s">
        <v>30</v>
      </c>
      <c r="F8228" t="s">
        <v>31</v>
      </c>
      <c r="G8228" t="s">
        <v>15</v>
      </c>
      <c r="H8228" t="s">
        <v>17</v>
      </c>
      <c r="I8228" s="3">
        <v>50</v>
      </c>
      <c r="J8228" s="2">
        <v>300</v>
      </c>
      <c r="K8228" s="3">
        <f t="shared" si="128"/>
        <v>15000</v>
      </c>
      <c r="L8228" s="3">
        <v>9750</v>
      </c>
    </row>
    <row r="8229" spans="1:12" x14ac:dyDescent="0.25">
      <c r="A8229" t="s">
        <v>19</v>
      </c>
      <c r="B8229">
        <v>1128299</v>
      </c>
      <c r="C8229" s="1">
        <v>44552</v>
      </c>
      <c r="D8229" t="s">
        <v>12</v>
      </c>
      <c r="E8229" t="s">
        <v>39</v>
      </c>
      <c r="F8229" t="s">
        <v>40</v>
      </c>
      <c r="G8229" t="s">
        <v>41</v>
      </c>
      <c r="H8229" t="s">
        <v>17</v>
      </c>
      <c r="I8229" s="3">
        <v>50.000000000000014</v>
      </c>
      <c r="J8229" s="2">
        <v>625</v>
      </c>
      <c r="K8229" s="3">
        <f t="shared" si="128"/>
        <v>31250.000000000007</v>
      </c>
      <c r="L8229" s="3">
        <v>18750.000000000007</v>
      </c>
    </row>
    <row r="8230" spans="1:12" x14ac:dyDescent="0.25">
      <c r="A8230" t="s">
        <v>27</v>
      </c>
      <c r="B8230">
        <v>1128299</v>
      </c>
      <c r="C8230" s="1">
        <v>44552</v>
      </c>
      <c r="D8230" t="s">
        <v>12</v>
      </c>
      <c r="E8230" t="s">
        <v>39</v>
      </c>
      <c r="F8230" t="s">
        <v>40</v>
      </c>
      <c r="G8230" t="s">
        <v>15</v>
      </c>
      <c r="H8230" t="s">
        <v>16</v>
      </c>
      <c r="I8230" s="3">
        <v>43</v>
      </c>
      <c r="J8230" s="2">
        <v>135</v>
      </c>
      <c r="K8230" s="3">
        <f t="shared" si="128"/>
        <v>5805</v>
      </c>
      <c r="L8230" s="3">
        <v>4179.6000000000004</v>
      </c>
    </row>
    <row r="8231" spans="1:12" x14ac:dyDescent="0.25">
      <c r="A8231" t="s">
        <v>27</v>
      </c>
      <c r="B8231">
        <v>1128299</v>
      </c>
      <c r="C8231" s="1">
        <v>44552</v>
      </c>
      <c r="D8231" t="s">
        <v>12</v>
      </c>
      <c r="E8231" t="s">
        <v>39</v>
      </c>
      <c r="F8231" t="s">
        <v>40</v>
      </c>
      <c r="G8231" t="s">
        <v>15</v>
      </c>
      <c r="H8231" t="s">
        <v>22</v>
      </c>
      <c r="I8231" s="3">
        <v>42</v>
      </c>
      <c r="J8231" s="2">
        <v>109</v>
      </c>
      <c r="K8231" s="3">
        <f t="shared" si="128"/>
        <v>4578</v>
      </c>
      <c r="L8231" s="3">
        <v>3021.4800000000005</v>
      </c>
    </row>
    <row r="8232" spans="1:12" x14ac:dyDescent="0.25">
      <c r="A8232" t="s">
        <v>27</v>
      </c>
      <c r="B8232">
        <v>1128299</v>
      </c>
      <c r="C8232" s="1">
        <v>44552</v>
      </c>
      <c r="D8232" t="s">
        <v>12</v>
      </c>
      <c r="E8232" t="s">
        <v>39</v>
      </c>
      <c r="F8232" t="s">
        <v>40</v>
      </c>
      <c r="G8232" t="s">
        <v>41</v>
      </c>
      <c r="H8232" t="s">
        <v>16</v>
      </c>
      <c r="I8232" s="3">
        <v>58</v>
      </c>
      <c r="J8232" s="2">
        <v>135</v>
      </c>
      <c r="K8232" s="3">
        <f t="shared" si="128"/>
        <v>7830</v>
      </c>
      <c r="L8232" s="3">
        <v>4932.8999999999996</v>
      </c>
    </row>
    <row r="8233" spans="1:12" x14ac:dyDescent="0.25">
      <c r="A8233" t="s">
        <v>19</v>
      </c>
      <c r="B8233">
        <v>1128299</v>
      </c>
      <c r="C8233" s="1">
        <v>44552</v>
      </c>
      <c r="D8233" t="s">
        <v>12</v>
      </c>
      <c r="E8233" t="s">
        <v>39</v>
      </c>
      <c r="F8233" t="s">
        <v>40</v>
      </c>
      <c r="G8233" t="s">
        <v>15</v>
      </c>
      <c r="H8233" t="s">
        <v>38</v>
      </c>
      <c r="I8233" s="3">
        <v>35</v>
      </c>
      <c r="J8233" s="2">
        <v>194</v>
      </c>
      <c r="K8233" s="3">
        <f t="shared" si="128"/>
        <v>6790</v>
      </c>
      <c r="L8233" s="3">
        <v>4074</v>
      </c>
    </row>
    <row r="8234" spans="1:12" x14ac:dyDescent="0.25">
      <c r="A8234" t="s">
        <v>27</v>
      </c>
      <c r="B8234">
        <v>1128299</v>
      </c>
      <c r="C8234" s="1">
        <v>44552</v>
      </c>
      <c r="D8234" t="s">
        <v>12</v>
      </c>
      <c r="E8234" t="s">
        <v>39</v>
      </c>
      <c r="F8234" t="s">
        <v>40</v>
      </c>
      <c r="G8234" t="s">
        <v>15</v>
      </c>
      <c r="H8234" t="s">
        <v>37</v>
      </c>
      <c r="I8234" s="3">
        <v>32</v>
      </c>
      <c r="J8234" s="2">
        <v>128</v>
      </c>
      <c r="K8234" s="3">
        <f t="shared" si="128"/>
        <v>4096</v>
      </c>
      <c r="L8234" s="3">
        <v>2416.6400000000003</v>
      </c>
    </row>
    <row r="8235" spans="1:12" x14ac:dyDescent="0.25">
      <c r="A8235" t="s">
        <v>27</v>
      </c>
      <c r="B8235">
        <v>1128299</v>
      </c>
      <c r="C8235" s="1">
        <v>44552</v>
      </c>
      <c r="D8235" t="s">
        <v>12</v>
      </c>
      <c r="E8235" t="s">
        <v>39</v>
      </c>
      <c r="F8235" t="s">
        <v>40</v>
      </c>
      <c r="G8235" t="s">
        <v>15</v>
      </c>
      <c r="H8235" t="s">
        <v>35</v>
      </c>
      <c r="I8235" s="3">
        <v>35</v>
      </c>
      <c r="J8235" s="2">
        <v>136</v>
      </c>
      <c r="K8235" s="3">
        <f t="shared" si="128"/>
        <v>4760</v>
      </c>
      <c r="L8235" s="3">
        <v>2808.4</v>
      </c>
    </row>
    <row r="8236" spans="1:12" x14ac:dyDescent="0.25">
      <c r="A8236" t="s">
        <v>19</v>
      </c>
      <c r="B8236">
        <v>1185732</v>
      </c>
      <c r="C8236" s="1">
        <v>44552</v>
      </c>
      <c r="D8236" t="s">
        <v>29</v>
      </c>
      <c r="E8236" t="s">
        <v>55</v>
      </c>
      <c r="F8236" t="s">
        <v>56</v>
      </c>
      <c r="G8236" t="s">
        <v>15</v>
      </c>
      <c r="H8236" t="s">
        <v>17</v>
      </c>
      <c r="I8236" s="3">
        <v>43</v>
      </c>
      <c r="J8236" s="2">
        <v>68</v>
      </c>
      <c r="K8236" s="3">
        <f t="shared" si="128"/>
        <v>2924</v>
      </c>
      <c r="L8236" s="3">
        <v>1695.92</v>
      </c>
    </row>
    <row r="8237" spans="1:12" x14ac:dyDescent="0.25">
      <c r="A8237" t="s">
        <v>27</v>
      </c>
      <c r="B8237">
        <v>1128299</v>
      </c>
      <c r="C8237" s="1">
        <v>44552</v>
      </c>
      <c r="D8237" t="s">
        <v>12</v>
      </c>
      <c r="E8237" t="s">
        <v>39</v>
      </c>
      <c r="F8237" t="s">
        <v>40</v>
      </c>
      <c r="G8237" t="s">
        <v>41</v>
      </c>
      <c r="H8237" t="s">
        <v>22</v>
      </c>
      <c r="I8237" s="3">
        <v>52</v>
      </c>
      <c r="J8237" s="2">
        <v>88</v>
      </c>
      <c r="K8237" s="3">
        <f t="shared" si="128"/>
        <v>4576</v>
      </c>
      <c r="L8237" s="3">
        <v>2608.3199999999997</v>
      </c>
    </row>
    <row r="8238" spans="1:12" x14ac:dyDescent="0.25">
      <c r="A8238" t="s">
        <v>27</v>
      </c>
      <c r="B8238">
        <v>1128299</v>
      </c>
      <c r="C8238" s="1">
        <v>44552</v>
      </c>
      <c r="D8238" t="s">
        <v>12</v>
      </c>
      <c r="E8238" t="s">
        <v>39</v>
      </c>
      <c r="F8238" t="s">
        <v>40</v>
      </c>
      <c r="G8238" t="s">
        <v>41</v>
      </c>
      <c r="H8238" t="s">
        <v>37</v>
      </c>
      <c r="I8238" s="3">
        <v>44</v>
      </c>
      <c r="J8238" s="2">
        <v>115</v>
      </c>
      <c r="K8238" s="3">
        <f t="shared" si="128"/>
        <v>5060</v>
      </c>
      <c r="L8238" s="3">
        <v>2783</v>
      </c>
    </row>
    <row r="8239" spans="1:12" x14ac:dyDescent="0.25">
      <c r="A8239" t="s">
        <v>19</v>
      </c>
      <c r="B8239">
        <v>1128299</v>
      </c>
      <c r="C8239" s="1">
        <v>44552</v>
      </c>
      <c r="D8239" t="s">
        <v>12</v>
      </c>
      <c r="E8239" t="s">
        <v>39</v>
      </c>
      <c r="F8239" t="s">
        <v>40</v>
      </c>
      <c r="G8239" t="s">
        <v>41</v>
      </c>
      <c r="H8239" t="s">
        <v>38</v>
      </c>
      <c r="I8239" s="3">
        <v>44</v>
      </c>
      <c r="J8239" s="2">
        <v>181</v>
      </c>
      <c r="K8239" s="3">
        <f t="shared" si="128"/>
        <v>7964</v>
      </c>
      <c r="L8239" s="3">
        <v>4300.5600000000004</v>
      </c>
    </row>
    <row r="8240" spans="1:12" x14ac:dyDescent="0.25">
      <c r="A8240" t="s">
        <v>19</v>
      </c>
      <c r="B8240">
        <v>1128299</v>
      </c>
      <c r="C8240" s="1">
        <v>44552</v>
      </c>
      <c r="D8240" t="s">
        <v>12</v>
      </c>
      <c r="E8240" t="s">
        <v>39</v>
      </c>
      <c r="F8240" t="s">
        <v>40</v>
      </c>
      <c r="G8240" t="s">
        <v>15</v>
      </c>
      <c r="H8240" t="s">
        <v>17</v>
      </c>
      <c r="I8240" s="3">
        <v>33</v>
      </c>
      <c r="J8240" s="2">
        <v>213</v>
      </c>
      <c r="K8240" s="3">
        <f t="shared" si="128"/>
        <v>7029</v>
      </c>
      <c r="L8240" s="3">
        <v>3795.66</v>
      </c>
    </row>
    <row r="8241" spans="1:12" x14ac:dyDescent="0.25">
      <c r="A8241" t="s">
        <v>19</v>
      </c>
      <c r="B8241">
        <v>1185732</v>
      </c>
      <c r="C8241" s="1">
        <v>44552</v>
      </c>
      <c r="D8241" t="s">
        <v>29</v>
      </c>
      <c r="E8241" t="s">
        <v>55</v>
      </c>
      <c r="F8241" t="s">
        <v>56</v>
      </c>
      <c r="G8241" t="s">
        <v>41</v>
      </c>
      <c r="H8241" t="s">
        <v>17</v>
      </c>
      <c r="I8241" s="3">
        <v>55</v>
      </c>
      <c r="J8241" s="2">
        <v>60</v>
      </c>
      <c r="K8241" s="3">
        <f t="shared" si="128"/>
        <v>3300</v>
      </c>
      <c r="L8241" s="3">
        <v>1749</v>
      </c>
    </row>
    <row r="8242" spans="1:12" x14ac:dyDescent="0.25">
      <c r="A8242" t="s">
        <v>36</v>
      </c>
      <c r="B8242">
        <v>1185732</v>
      </c>
      <c r="C8242" s="1">
        <v>44552</v>
      </c>
      <c r="D8242" t="s">
        <v>29</v>
      </c>
      <c r="E8242" t="s">
        <v>30</v>
      </c>
      <c r="F8242" t="s">
        <v>31</v>
      </c>
      <c r="G8242" t="s">
        <v>41</v>
      </c>
      <c r="H8242" t="s">
        <v>17</v>
      </c>
      <c r="I8242" s="3">
        <v>49</v>
      </c>
      <c r="J8242" s="2">
        <v>90</v>
      </c>
      <c r="K8242" s="3">
        <f t="shared" si="128"/>
        <v>4410</v>
      </c>
      <c r="L8242" s="3">
        <v>2337.3000000000002</v>
      </c>
    </row>
    <row r="8243" spans="1:12" x14ac:dyDescent="0.25">
      <c r="A8243" t="s">
        <v>27</v>
      </c>
      <c r="B8243">
        <v>1128299</v>
      </c>
      <c r="C8243" s="1">
        <v>44552</v>
      </c>
      <c r="D8243" t="s">
        <v>12</v>
      </c>
      <c r="E8243" t="s">
        <v>39</v>
      </c>
      <c r="F8243" t="s">
        <v>40</v>
      </c>
      <c r="G8243" t="s">
        <v>41</v>
      </c>
      <c r="H8243" t="s">
        <v>35</v>
      </c>
      <c r="I8243" s="3">
        <v>43</v>
      </c>
      <c r="J8243" s="2">
        <v>123</v>
      </c>
      <c r="K8243" s="3">
        <f t="shared" si="128"/>
        <v>5289</v>
      </c>
      <c r="L8243" s="3">
        <v>2750.28</v>
      </c>
    </row>
    <row r="8244" spans="1:12" x14ac:dyDescent="0.25">
      <c r="A8244" t="s">
        <v>19</v>
      </c>
      <c r="B8244">
        <v>1128299</v>
      </c>
      <c r="C8244" s="1">
        <v>44552</v>
      </c>
      <c r="D8244" t="s">
        <v>12</v>
      </c>
      <c r="E8244" t="s">
        <v>39</v>
      </c>
      <c r="F8244" t="s">
        <v>40</v>
      </c>
      <c r="G8244" t="s">
        <v>41</v>
      </c>
      <c r="H8244" t="s">
        <v>17</v>
      </c>
      <c r="I8244" s="3">
        <v>49</v>
      </c>
      <c r="J8244" s="2">
        <v>175</v>
      </c>
      <c r="K8244" s="3">
        <f t="shared" si="128"/>
        <v>8575</v>
      </c>
      <c r="L8244" s="3">
        <v>3944.5</v>
      </c>
    </row>
    <row r="8245" spans="1:12" x14ac:dyDescent="0.25">
      <c r="A8245" t="s">
        <v>26</v>
      </c>
      <c r="B8245">
        <v>1128299</v>
      </c>
      <c r="C8245" s="1">
        <v>44553</v>
      </c>
      <c r="D8245" t="s">
        <v>32</v>
      </c>
      <c r="E8245" t="s">
        <v>82</v>
      </c>
      <c r="F8245" t="s">
        <v>83</v>
      </c>
      <c r="G8245" t="s">
        <v>18</v>
      </c>
      <c r="H8245" t="s">
        <v>16</v>
      </c>
      <c r="I8245" s="3">
        <v>85.000000000000014</v>
      </c>
      <c r="J8245" s="2">
        <v>575</v>
      </c>
      <c r="K8245" s="3">
        <f t="shared" si="128"/>
        <v>48875.000000000007</v>
      </c>
      <c r="L8245" s="3">
        <v>34212.500000000007</v>
      </c>
    </row>
    <row r="8246" spans="1:12" x14ac:dyDescent="0.25">
      <c r="A8246" t="s">
        <v>11</v>
      </c>
      <c r="B8246">
        <v>1128299</v>
      </c>
      <c r="C8246" s="1">
        <v>44553</v>
      </c>
      <c r="D8246" t="s">
        <v>12</v>
      </c>
      <c r="E8246" t="s">
        <v>84</v>
      </c>
      <c r="F8246" t="s">
        <v>31</v>
      </c>
      <c r="G8246" t="s">
        <v>18</v>
      </c>
      <c r="H8246" t="s">
        <v>16</v>
      </c>
      <c r="I8246" s="3">
        <v>85.000000000000014</v>
      </c>
      <c r="J8246" s="2">
        <v>575</v>
      </c>
      <c r="K8246" s="3">
        <f t="shared" si="128"/>
        <v>48875.000000000007</v>
      </c>
      <c r="L8246" s="3">
        <v>34212.500000000007</v>
      </c>
    </row>
    <row r="8247" spans="1:12" x14ac:dyDescent="0.25">
      <c r="A8247" t="s">
        <v>19</v>
      </c>
      <c r="B8247">
        <v>1128299</v>
      </c>
      <c r="C8247" s="1">
        <v>44553</v>
      </c>
      <c r="D8247" t="s">
        <v>32</v>
      </c>
      <c r="E8247" t="s">
        <v>82</v>
      </c>
      <c r="F8247" t="s">
        <v>83</v>
      </c>
      <c r="G8247" t="s">
        <v>18</v>
      </c>
      <c r="H8247" t="s">
        <v>38</v>
      </c>
      <c r="I8247" s="3">
        <v>65.000000000000014</v>
      </c>
      <c r="J8247" s="2">
        <v>750</v>
      </c>
      <c r="K8247" s="3">
        <f t="shared" si="128"/>
        <v>48750.000000000007</v>
      </c>
      <c r="L8247" s="3">
        <v>31687.500000000011</v>
      </c>
    </row>
    <row r="8248" spans="1:12" x14ac:dyDescent="0.25">
      <c r="A8248" t="s">
        <v>11</v>
      </c>
      <c r="B8248">
        <v>1128299</v>
      </c>
      <c r="C8248" s="1">
        <v>44553</v>
      </c>
      <c r="D8248" t="s">
        <v>12</v>
      </c>
      <c r="E8248" t="s">
        <v>84</v>
      </c>
      <c r="F8248" t="s">
        <v>31</v>
      </c>
      <c r="G8248" t="s">
        <v>18</v>
      </c>
      <c r="H8248" t="s">
        <v>38</v>
      </c>
      <c r="I8248" s="3">
        <v>65.000000000000014</v>
      </c>
      <c r="J8248" s="2">
        <v>750</v>
      </c>
      <c r="K8248" s="3">
        <f t="shared" si="128"/>
        <v>48750.000000000007</v>
      </c>
      <c r="L8248" s="3">
        <v>31687.500000000011</v>
      </c>
    </row>
    <row r="8249" spans="1:12" x14ac:dyDescent="0.25">
      <c r="A8249" t="s">
        <v>19</v>
      </c>
      <c r="B8249">
        <v>1128299</v>
      </c>
      <c r="C8249" s="1">
        <v>44553</v>
      </c>
      <c r="D8249" t="s">
        <v>32</v>
      </c>
      <c r="E8249" t="s">
        <v>82</v>
      </c>
      <c r="F8249" t="s">
        <v>83</v>
      </c>
      <c r="G8249" t="s">
        <v>18</v>
      </c>
      <c r="H8249" t="s">
        <v>17</v>
      </c>
      <c r="I8249" s="3">
        <v>75.000000000000028</v>
      </c>
      <c r="J8249" s="2">
        <v>750</v>
      </c>
      <c r="K8249" s="3">
        <f t="shared" si="128"/>
        <v>56250.000000000022</v>
      </c>
      <c r="L8249" s="3">
        <v>36562.500000000015</v>
      </c>
    </row>
    <row r="8250" spans="1:12" x14ac:dyDescent="0.25">
      <c r="A8250" t="s">
        <v>26</v>
      </c>
      <c r="B8250">
        <v>1128299</v>
      </c>
      <c r="C8250" s="1">
        <v>44553</v>
      </c>
      <c r="D8250" t="s">
        <v>32</v>
      </c>
      <c r="E8250" t="s">
        <v>82</v>
      </c>
      <c r="F8250" t="s">
        <v>83</v>
      </c>
      <c r="G8250" t="s">
        <v>18</v>
      </c>
      <c r="H8250" t="s">
        <v>35</v>
      </c>
      <c r="I8250" s="3">
        <v>70.000000000000014</v>
      </c>
      <c r="J8250" s="2">
        <v>550</v>
      </c>
      <c r="K8250" s="3">
        <f t="shared" si="128"/>
        <v>38500.000000000007</v>
      </c>
      <c r="L8250" s="3">
        <v>25025.000000000007</v>
      </c>
    </row>
    <row r="8251" spans="1:12" x14ac:dyDescent="0.25">
      <c r="A8251" t="s">
        <v>26</v>
      </c>
      <c r="B8251">
        <v>1128299</v>
      </c>
      <c r="C8251" s="1">
        <v>44553</v>
      </c>
      <c r="D8251" t="s">
        <v>32</v>
      </c>
      <c r="E8251" t="s">
        <v>82</v>
      </c>
      <c r="F8251" t="s">
        <v>83</v>
      </c>
      <c r="G8251" t="s">
        <v>18</v>
      </c>
      <c r="H8251" t="s">
        <v>37</v>
      </c>
      <c r="I8251" s="3">
        <v>70.000000000000014</v>
      </c>
      <c r="J8251" s="2">
        <v>550</v>
      </c>
      <c r="K8251" s="3">
        <f t="shared" si="128"/>
        <v>38500.000000000007</v>
      </c>
      <c r="L8251" s="3">
        <v>25025.000000000007</v>
      </c>
    </row>
    <row r="8252" spans="1:12" x14ac:dyDescent="0.25">
      <c r="A8252" t="s">
        <v>11</v>
      </c>
      <c r="B8252">
        <v>1128299</v>
      </c>
      <c r="C8252" s="1">
        <v>44553</v>
      </c>
      <c r="D8252" t="s">
        <v>12</v>
      </c>
      <c r="E8252" t="s">
        <v>84</v>
      </c>
      <c r="F8252" t="s">
        <v>31</v>
      </c>
      <c r="G8252" t="s">
        <v>18</v>
      </c>
      <c r="H8252" t="s">
        <v>17</v>
      </c>
      <c r="I8252" s="3">
        <v>75.000000000000028</v>
      </c>
      <c r="J8252" s="2">
        <v>750</v>
      </c>
      <c r="K8252" s="3">
        <f t="shared" si="128"/>
        <v>56250.000000000022</v>
      </c>
      <c r="L8252" s="3">
        <v>36562.500000000015</v>
      </c>
    </row>
    <row r="8253" spans="1:12" x14ac:dyDescent="0.25">
      <c r="A8253" t="s">
        <v>11</v>
      </c>
      <c r="B8253">
        <v>1128299</v>
      </c>
      <c r="C8253" s="1">
        <v>44553</v>
      </c>
      <c r="D8253" t="s">
        <v>12</v>
      </c>
      <c r="E8253" t="s">
        <v>84</v>
      </c>
      <c r="F8253" t="s">
        <v>31</v>
      </c>
      <c r="G8253" t="s">
        <v>18</v>
      </c>
      <c r="H8253" t="s">
        <v>35</v>
      </c>
      <c r="I8253" s="3">
        <v>70.000000000000014</v>
      </c>
      <c r="J8253" s="2">
        <v>550</v>
      </c>
      <c r="K8253" s="3">
        <f t="shared" si="128"/>
        <v>38500.000000000007</v>
      </c>
      <c r="L8253" s="3">
        <v>25025.000000000007</v>
      </c>
    </row>
    <row r="8254" spans="1:12" x14ac:dyDescent="0.25">
      <c r="A8254" t="s">
        <v>11</v>
      </c>
      <c r="B8254">
        <v>1128299</v>
      </c>
      <c r="C8254" s="1">
        <v>44553</v>
      </c>
      <c r="D8254" t="s">
        <v>12</v>
      </c>
      <c r="E8254" t="s">
        <v>84</v>
      </c>
      <c r="F8254" t="s">
        <v>31</v>
      </c>
      <c r="G8254" t="s">
        <v>18</v>
      </c>
      <c r="H8254" t="s">
        <v>37</v>
      </c>
      <c r="I8254" s="3">
        <v>70.000000000000014</v>
      </c>
      <c r="J8254" s="2">
        <v>550</v>
      </c>
      <c r="K8254" s="3">
        <f t="shared" si="128"/>
        <v>38500.000000000007</v>
      </c>
      <c r="L8254" s="3">
        <v>25025.000000000007</v>
      </c>
    </row>
    <row r="8255" spans="1:12" x14ac:dyDescent="0.25">
      <c r="A8255" t="s">
        <v>19</v>
      </c>
      <c r="B8255">
        <v>1185732</v>
      </c>
      <c r="C8255" s="1">
        <v>44553</v>
      </c>
      <c r="D8255" t="s">
        <v>29</v>
      </c>
      <c r="E8255" t="s">
        <v>55</v>
      </c>
      <c r="F8255" t="s">
        <v>56</v>
      </c>
      <c r="G8255" t="s">
        <v>15</v>
      </c>
      <c r="H8255" t="s">
        <v>35</v>
      </c>
      <c r="I8255" s="3">
        <v>60.000000000000007</v>
      </c>
      <c r="J8255" s="2">
        <v>195</v>
      </c>
      <c r="K8255" s="3">
        <f t="shared" si="128"/>
        <v>11700.000000000002</v>
      </c>
      <c r="L8255" s="3">
        <v>7020.0000000000018</v>
      </c>
    </row>
    <row r="8256" spans="1:12" x14ac:dyDescent="0.25">
      <c r="A8256" t="s">
        <v>36</v>
      </c>
      <c r="B8256">
        <v>1185732</v>
      </c>
      <c r="C8256" s="1">
        <v>44553</v>
      </c>
      <c r="D8256" t="s">
        <v>29</v>
      </c>
      <c r="E8256" t="s">
        <v>30</v>
      </c>
      <c r="F8256" t="s">
        <v>31</v>
      </c>
      <c r="G8256" t="s">
        <v>15</v>
      </c>
      <c r="H8256" t="s">
        <v>35</v>
      </c>
      <c r="I8256" s="3">
        <v>45</v>
      </c>
      <c r="J8256" s="2">
        <v>225</v>
      </c>
      <c r="K8256" s="3">
        <f t="shared" si="128"/>
        <v>10125</v>
      </c>
      <c r="L8256" s="3">
        <v>6075</v>
      </c>
    </row>
    <row r="8257" spans="1:12" x14ac:dyDescent="0.25">
      <c r="A8257" t="s">
        <v>26</v>
      </c>
      <c r="B8257">
        <v>1128299</v>
      </c>
      <c r="C8257" s="1">
        <v>44553</v>
      </c>
      <c r="D8257" t="s">
        <v>32</v>
      </c>
      <c r="E8257" t="s">
        <v>82</v>
      </c>
      <c r="F8257" t="s">
        <v>83</v>
      </c>
      <c r="G8257" t="s">
        <v>18</v>
      </c>
      <c r="H8257" t="s">
        <v>22</v>
      </c>
      <c r="I8257" s="3">
        <v>80.000000000000014</v>
      </c>
      <c r="J8257" s="2">
        <v>475</v>
      </c>
      <c r="K8257" s="3">
        <f t="shared" si="128"/>
        <v>38000.000000000007</v>
      </c>
      <c r="L8257" s="3">
        <v>22800.000000000004</v>
      </c>
    </row>
    <row r="8258" spans="1:12" x14ac:dyDescent="0.25">
      <c r="A8258" t="s">
        <v>11</v>
      </c>
      <c r="B8258">
        <v>1128299</v>
      </c>
      <c r="C8258" s="1">
        <v>44553</v>
      </c>
      <c r="D8258" t="s">
        <v>12</v>
      </c>
      <c r="E8258" t="s">
        <v>84</v>
      </c>
      <c r="F8258" t="s">
        <v>31</v>
      </c>
      <c r="G8258" t="s">
        <v>18</v>
      </c>
      <c r="H8258" t="s">
        <v>22</v>
      </c>
      <c r="I8258" s="3">
        <v>80.000000000000014</v>
      </c>
      <c r="J8258" s="2">
        <v>475</v>
      </c>
      <c r="K8258" s="3">
        <f t="shared" si="128"/>
        <v>38000.000000000007</v>
      </c>
      <c r="L8258" s="3">
        <v>22800.000000000004</v>
      </c>
    </row>
    <row r="8259" spans="1:12" x14ac:dyDescent="0.25">
      <c r="A8259" t="s">
        <v>11</v>
      </c>
      <c r="B8259">
        <v>1128299</v>
      </c>
      <c r="C8259" s="1">
        <v>44553</v>
      </c>
      <c r="D8259" t="s">
        <v>12</v>
      </c>
      <c r="E8259" t="s">
        <v>84</v>
      </c>
      <c r="F8259" t="s">
        <v>31</v>
      </c>
      <c r="G8259" t="s">
        <v>15</v>
      </c>
      <c r="H8259" t="s">
        <v>16</v>
      </c>
      <c r="I8259" s="3">
        <v>55</v>
      </c>
      <c r="J8259" s="2">
        <v>201</v>
      </c>
      <c r="K8259" s="3">
        <f t="shared" ref="K8259:K8322" si="129">I8259*J8259</f>
        <v>11055</v>
      </c>
      <c r="L8259" s="3">
        <v>7296.3</v>
      </c>
    </row>
    <row r="8260" spans="1:12" x14ac:dyDescent="0.25">
      <c r="A8260" t="s">
        <v>26</v>
      </c>
      <c r="B8260">
        <v>1128299</v>
      </c>
      <c r="C8260" s="1">
        <v>44553</v>
      </c>
      <c r="D8260" t="s">
        <v>32</v>
      </c>
      <c r="E8260" t="s">
        <v>82</v>
      </c>
      <c r="F8260" t="s">
        <v>83</v>
      </c>
      <c r="G8260" t="s">
        <v>15</v>
      </c>
      <c r="H8260" t="s">
        <v>16</v>
      </c>
      <c r="I8260" s="3">
        <v>65</v>
      </c>
      <c r="J8260" s="2">
        <v>190</v>
      </c>
      <c r="K8260" s="3">
        <f t="shared" si="129"/>
        <v>12350</v>
      </c>
      <c r="L8260" s="3">
        <v>8027.5</v>
      </c>
    </row>
    <row r="8261" spans="1:12" x14ac:dyDescent="0.25">
      <c r="A8261" t="s">
        <v>11</v>
      </c>
      <c r="B8261">
        <v>1128299</v>
      </c>
      <c r="C8261" s="1">
        <v>44553</v>
      </c>
      <c r="D8261" t="s">
        <v>12</v>
      </c>
      <c r="E8261" t="s">
        <v>84</v>
      </c>
      <c r="F8261" t="s">
        <v>31</v>
      </c>
      <c r="G8261" t="s">
        <v>15</v>
      </c>
      <c r="H8261" t="s">
        <v>37</v>
      </c>
      <c r="I8261" s="3">
        <v>53</v>
      </c>
      <c r="J8261" s="2">
        <v>165</v>
      </c>
      <c r="K8261" s="3">
        <f t="shared" si="129"/>
        <v>8745</v>
      </c>
      <c r="L8261" s="3">
        <v>5334.4500000000007</v>
      </c>
    </row>
    <row r="8262" spans="1:12" x14ac:dyDescent="0.25">
      <c r="A8262" t="s">
        <v>26</v>
      </c>
      <c r="B8262">
        <v>1128299</v>
      </c>
      <c r="C8262" s="1">
        <v>44553</v>
      </c>
      <c r="D8262" t="s">
        <v>32</v>
      </c>
      <c r="E8262" t="s">
        <v>82</v>
      </c>
      <c r="F8262" t="s">
        <v>83</v>
      </c>
      <c r="G8262" t="s">
        <v>15</v>
      </c>
      <c r="H8262" t="s">
        <v>37</v>
      </c>
      <c r="I8262" s="3">
        <v>51</v>
      </c>
      <c r="J8262" s="2">
        <v>176</v>
      </c>
      <c r="K8262" s="3">
        <f t="shared" si="129"/>
        <v>8976</v>
      </c>
      <c r="L8262" s="3">
        <v>5475.3600000000006</v>
      </c>
    </row>
    <row r="8263" spans="1:12" x14ac:dyDescent="0.25">
      <c r="A8263" t="s">
        <v>19</v>
      </c>
      <c r="B8263">
        <v>1128299</v>
      </c>
      <c r="C8263" s="1">
        <v>44553</v>
      </c>
      <c r="D8263" t="s">
        <v>32</v>
      </c>
      <c r="E8263" t="s">
        <v>82</v>
      </c>
      <c r="F8263" t="s">
        <v>83</v>
      </c>
      <c r="G8263" t="s">
        <v>15</v>
      </c>
      <c r="H8263" t="s">
        <v>38</v>
      </c>
      <c r="I8263" s="3">
        <v>49</v>
      </c>
      <c r="J8263" s="2">
        <v>248</v>
      </c>
      <c r="K8263" s="3">
        <f t="shared" si="129"/>
        <v>12152</v>
      </c>
      <c r="L8263" s="3">
        <v>7291.2000000000007</v>
      </c>
    </row>
    <row r="8264" spans="1:12" x14ac:dyDescent="0.25">
      <c r="A8264" t="s">
        <v>11</v>
      </c>
      <c r="B8264">
        <v>1128299</v>
      </c>
      <c r="C8264" s="1">
        <v>44553</v>
      </c>
      <c r="D8264" t="s">
        <v>12</v>
      </c>
      <c r="E8264" t="s">
        <v>84</v>
      </c>
      <c r="F8264" t="s">
        <v>31</v>
      </c>
      <c r="G8264" t="s">
        <v>15</v>
      </c>
      <c r="H8264" t="s">
        <v>17</v>
      </c>
      <c r="I8264" s="3">
        <v>56</v>
      </c>
      <c r="J8264" s="2">
        <v>233</v>
      </c>
      <c r="K8264" s="3">
        <f t="shared" si="129"/>
        <v>13048</v>
      </c>
      <c r="L8264" s="3">
        <v>7828.8</v>
      </c>
    </row>
    <row r="8265" spans="1:12" x14ac:dyDescent="0.25">
      <c r="A8265" t="s">
        <v>11</v>
      </c>
      <c r="B8265">
        <v>1128299</v>
      </c>
      <c r="C8265" s="1">
        <v>44553</v>
      </c>
      <c r="D8265" t="s">
        <v>12</v>
      </c>
      <c r="E8265" t="s">
        <v>84</v>
      </c>
      <c r="F8265" t="s">
        <v>31</v>
      </c>
      <c r="G8265" t="s">
        <v>41</v>
      </c>
      <c r="H8265" t="s">
        <v>16</v>
      </c>
      <c r="I8265" s="3">
        <v>77</v>
      </c>
      <c r="J8265" s="2">
        <v>173</v>
      </c>
      <c r="K8265" s="3">
        <f t="shared" si="129"/>
        <v>13321</v>
      </c>
      <c r="L8265" s="3">
        <v>7992.5999999999995</v>
      </c>
    </row>
    <row r="8266" spans="1:12" x14ac:dyDescent="0.25">
      <c r="A8266" t="s">
        <v>26</v>
      </c>
      <c r="B8266">
        <v>1128299</v>
      </c>
      <c r="C8266" s="1">
        <v>44553</v>
      </c>
      <c r="D8266" t="s">
        <v>32</v>
      </c>
      <c r="E8266" t="s">
        <v>82</v>
      </c>
      <c r="F8266" t="s">
        <v>83</v>
      </c>
      <c r="G8266" t="s">
        <v>15</v>
      </c>
      <c r="H8266" t="s">
        <v>35</v>
      </c>
      <c r="I8266" s="3">
        <v>53</v>
      </c>
      <c r="J8266" s="2">
        <v>165</v>
      </c>
      <c r="K8266" s="3">
        <f t="shared" si="129"/>
        <v>8745</v>
      </c>
      <c r="L8266" s="3">
        <v>5247</v>
      </c>
    </row>
    <row r="8267" spans="1:12" x14ac:dyDescent="0.25">
      <c r="A8267" t="s">
        <v>19</v>
      </c>
      <c r="B8267">
        <v>1128299</v>
      </c>
      <c r="C8267" s="1">
        <v>44553</v>
      </c>
      <c r="D8267" t="s">
        <v>32</v>
      </c>
      <c r="E8267" t="s">
        <v>82</v>
      </c>
      <c r="F8267" t="s">
        <v>83</v>
      </c>
      <c r="G8267" t="s">
        <v>15</v>
      </c>
      <c r="H8267" t="s">
        <v>17</v>
      </c>
      <c r="I8267" s="3">
        <v>54</v>
      </c>
      <c r="J8267" s="2">
        <v>225</v>
      </c>
      <c r="K8267" s="3">
        <f t="shared" si="129"/>
        <v>12150</v>
      </c>
      <c r="L8267" s="3">
        <v>7168.5</v>
      </c>
    </row>
    <row r="8268" spans="1:12" x14ac:dyDescent="0.25">
      <c r="A8268" t="s">
        <v>11</v>
      </c>
      <c r="B8268">
        <v>1128299</v>
      </c>
      <c r="C8268" s="1">
        <v>44553</v>
      </c>
      <c r="D8268" t="s">
        <v>12</v>
      </c>
      <c r="E8268" t="s">
        <v>84</v>
      </c>
      <c r="F8268" t="s">
        <v>31</v>
      </c>
      <c r="G8268" t="s">
        <v>15</v>
      </c>
      <c r="H8268" t="s">
        <v>35</v>
      </c>
      <c r="I8268" s="3">
        <v>48</v>
      </c>
      <c r="J8268" s="2">
        <v>193</v>
      </c>
      <c r="K8268" s="3">
        <f t="shared" si="129"/>
        <v>9264</v>
      </c>
      <c r="L8268" s="3">
        <v>5465.76</v>
      </c>
    </row>
    <row r="8269" spans="1:12" x14ac:dyDescent="0.25">
      <c r="A8269" t="s">
        <v>11</v>
      </c>
      <c r="B8269">
        <v>1128299</v>
      </c>
      <c r="C8269" s="1">
        <v>44553</v>
      </c>
      <c r="D8269" t="s">
        <v>12</v>
      </c>
      <c r="E8269" t="s">
        <v>84</v>
      </c>
      <c r="F8269" t="s">
        <v>31</v>
      </c>
      <c r="G8269" t="s">
        <v>15</v>
      </c>
      <c r="H8269" t="s">
        <v>38</v>
      </c>
      <c r="I8269" s="3">
        <v>51</v>
      </c>
      <c r="J8269" s="2">
        <v>225</v>
      </c>
      <c r="K8269" s="3">
        <f t="shared" si="129"/>
        <v>11475</v>
      </c>
      <c r="L8269" s="3">
        <v>6655.5</v>
      </c>
    </row>
    <row r="8270" spans="1:12" x14ac:dyDescent="0.25">
      <c r="A8270" t="s">
        <v>26</v>
      </c>
      <c r="B8270">
        <v>1128299</v>
      </c>
      <c r="C8270" s="1">
        <v>44553</v>
      </c>
      <c r="D8270" t="s">
        <v>32</v>
      </c>
      <c r="E8270" t="s">
        <v>82</v>
      </c>
      <c r="F8270" t="s">
        <v>83</v>
      </c>
      <c r="G8270" t="s">
        <v>15</v>
      </c>
      <c r="H8270" t="s">
        <v>22</v>
      </c>
      <c r="I8270" s="3">
        <v>59</v>
      </c>
      <c r="J8270" s="2">
        <v>157</v>
      </c>
      <c r="K8270" s="3">
        <f t="shared" si="129"/>
        <v>9263</v>
      </c>
      <c r="L8270" s="3">
        <v>5372.5399999999991</v>
      </c>
    </row>
    <row r="8271" spans="1:12" x14ac:dyDescent="0.25">
      <c r="A8271" t="s">
        <v>26</v>
      </c>
      <c r="B8271">
        <v>1128299</v>
      </c>
      <c r="C8271" s="1">
        <v>44553</v>
      </c>
      <c r="D8271" t="s">
        <v>32</v>
      </c>
      <c r="E8271" t="s">
        <v>82</v>
      </c>
      <c r="F8271" t="s">
        <v>83</v>
      </c>
      <c r="G8271" t="s">
        <v>41</v>
      </c>
      <c r="H8271" t="s">
        <v>16</v>
      </c>
      <c r="I8271" s="3">
        <v>82</v>
      </c>
      <c r="J8271" s="2">
        <v>150</v>
      </c>
      <c r="K8271" s="3">
        <f t="shared" si="129"/>
        <v>12300</v>
      </c>
      <c r="L8271" s="3">
        <v>7011</v>
      </c>
    </row>
    <row r="8272" spans="1:12" x14ac:dyDescent="0.25">
      <c r="A8272" t="s">
        <v>19</v>
      </c>
      <c r="B8272">
        <v>1185732</v>
      </c>
      <c r="C8272" s="1">
        <v>44553</v>
      </c>
      <c r="D8272" t="s">
        <v>29</v>
      </c>
      <c r="E8272" t="s">
        <v>55</v>
      </c>
      <c r="F8272" t="s">
        <v>56</v>
      </c>
      <c r="G8272" t="s">
        <v>15</v>
      </c>
      <c r="H8272" t="s">
        <v>35</v>
      </c>
      <c r="I8272" s="3">
        <v>47</v>
      </c>
      <c r="J8272" s="2">
        <v>66</v>
      </c>
      <c r="K8272" s="3">
        <f t="shared" si="129"/>
        <v>3102</v>
      </c>
      <c r="L8272" s="3">
        <v>1737.1200000000001</v>
      </c>
    </row>
    <row r="8273" spans="1:12" x14ac:dyDescent="0.25">
      <c r="A8273" t="s">
        <v>11</v>
      </c>
      <c r="B8273">
        <v>1128299</v>
      </c>
      <c r="C8273" s="1">
        <v>44553</v>
      </c>
      <c r="D8273" t="s">
        <v>12</v>
      </c>
      <c r="E8273" t="s">
        <v>84</v>
      </c>
      <c r="F8273" t="s">
        <v>31</v>
      </c>
      <c r="G8273" t="s">
        <v>41</v>
      </c>
      <c r="H8273" t="s">
        <v>35</v>
      </c>
      <c r="I8273" s="3">
        <v>67</v>
      </c>
      <c r="J8273" s="2">
        <v>165</v>
      </c>
      <c r="K8273" s="3">
        <f t="shared" si="129"/>
        <v>11055</v>
      </c>
      <c r="L8273" s="3">
        <v>6080.2500000000009</v>
      </c>
    </row>
    <row r="8274" spans="1:12" x14ac:dyDescent="0.25">
      <c r="A8274" t="s">
        <v>11</v>
      </c>
      <c r="B8274">
        <v>1128299</v>
      </c>
      <c r="C8274" s="1">
        <v>44553</v>
      </c>
      <c r="D8274" t="s">
        <v>12</v>
      </c>
      <c r="E8274" t="s">
        <v>84</v>
      </c>
      <c r="F8274" t="s">
        <v>31</v>
      </c>
      <c r="G8274" t="s">
        <v>41</v>
      </c>
      <c r="H8274" t="s">
        <v>37</v>
      </c>
      <c r="I8274" s="3">
        <v>67</v>
      </c>
      <c r="J8274" s="2">
        <v>143</v>
      </c>
      <c r="K8274" s="3">
        <f t="shared" si="129"/>
        <v>9581</v>
      </c>
      <c r="L8274" s="3">
        <v>5269.55</v>
      </c>
    </row>
    <row r="8275" spans="1:12" x14ac:dyDescent="0.25">
      <c r="A8275" t="s">
        <v>19</v>
      </c>
      <c r="B8275">
        <v>1128299</v>
      </c>
      <c r="C8275" s="1">
        <v>44553</v>
      </c>
      <c r="D8275" t="s">
        <v>32</v>
      </c>
      <c r="E8275" t="s">
        <v>82</v>
      </c>
      <c r="F8275" t="s">
        <v>83</v>
      </c>
      <c r="G8275" t="s">
        <v>41</v>
      </c>
      <c r="H8275" t="s">
        <v>17</v>
      </c>
      <c r="I8275" s="3">
        <v>74</v>
      </c>
      <c r="J8275" s="2">
        <v>225</v>
      </c>
      <c r="K8275" s="3">
        <f t="shared" si="129"/>
        <v>16650</v>
      </c>
      <c r="L8275" s="3">
        <v>9157.5</v>
      </c>
    </row>
    <row r="8276" spans="1:12" x14ac:dyDescent="0.25">
      <c r="A8276" t="s">
        <v>11</v>
      </c>
      <c r="B8276">
        <v>1128299</v>
      </c>
      <c r="C8276" s="1">
        <v>44553</v>
      </c>
      <c r="D8276" t="s">
        <v>12</v>
      </c>
      <c r="E8276" t="s">
        <v>84</v>
      </c>
      <c r="F8276" t="s">
        <v>31</v>
      </c>
      <c r="G8276" t="s">
        <v>41</v>
      </c>
      <c r="H8276" t="s">
        <v>17</v>
      </c>
      <c r="I8276" s="3">
        <v>72</v>
      </c>
      <c r="J8276" s="2">
        <v>218</v>
      </c>
      <c r="K8276" s="3">
        <f t="shared" si="129"/>
        <v>15696</v>
      </c>
      <c r="L8276" s="3">
        <v>8318.880000000001</v>
      </c>
    </row>
    <row r="8277" spans="1:12" x14ac:dyDescent="0.25">
      <c r="A8277" t="s">
        <v>19</v>
      </c>
      <c r="B8277">
        <v>1128299</v>
      </c>
      <c r="C8277" s="1">
        <v>44553</v>
      </c>
      <c r="D8277" t="s">
        <v>32</v>
      </c>
      <c r="E8277" t="s">
        <v>82</v>
      </c>
      <c r="F8277" t="s">
        <v>83</v>
      </c>
      <c r="G8277" t="s">
        <v>41</v>
      </c>
      <c r="H8277" t="s">
        <v>38</v>
      </c>
      <c r="I8277" s="3">
        <v>60</v>
      </c>
      <c r="J8277" s="2">
        <v>225</v>
      </c>
      <c r="K8277" s="3">
        <f t="shared" si="129"/>
        <v>13500</v>
      </c>
      <c r="L8277" s="3">
        <v>7155</v>
      </c>
    </row>
    <row r="8278" spans="1:12" x14ac:dyDescent="0.25">
      <c r="A8278" t="s">
        <v>11</v>
      </c>
      <c r="B8278">
        <v>1128299</v>
      </c>
      <c r="C8278" s="1">
        <v>44553</v>
      </c>
      <c r="D8278" t="s">
        <v>12</v>
      </c>
      <c r="E8278" t="s">
        <v>84</v>
      </c>
      <c r="F8278" t="s">
        <v>31</v>
      </c>
      <c r="G8278" t="s">
        <v>15</v>
      </c>
      <c r="H8278" t="s">
        <v>22</v>
      </c>
      <c r="I8278" s="3">
        <v>54</v>
      </c>
      <c r="J8278" s="2">
        <v>157</v>
      </c>
      <c r="K8278" s="3">
        <f t="shared" si="129"/>
        <v>8478</v>
      </c>
      <c r="L8278" s="3">
        <v>4493.34</v>
      </c>
    </row>
    <row r="8279" spans="1:12" x14ac:dyDescent="0.25">
      <c r="A8279" t="s">
        <v>11</v>
      </c>
      <c r="B8279">
        <v>1128299</v>
      </c>
      <c r="C8279" s="1">
        <v>44553</v>
      </c>
      <c r="D8279" t="s">
        <v>12</v>
      </c>
      <c r="E8279" t="s">
        <v>84</v>
      </c>
      <c r="F8279" t="s">
        <v>31</v>
      </c>
      <c r="G8279" t="s">
        <v>41</v>
      </c>
      <c r="H8279" t="s">
        <v>38</v>
      </c>
      <c r="I8279" s="3">
        <v>61</v>
      </c>
      <c r="J8279" s="2">
        <v>188</v>
      </c>
      <c r="K8279" s="3">
        <f t="shared" si="129"/>
        <v>11468</v>
      </c>
      <c r="L8279" s="3">
        <v>5963.3600000000006</v>
      </c>
    </row>
    <row r="8280" spans="1:12" x14ac:dyDescent="0.25">
      <c r="A8280" t="s">
        <v>26</v>
      </c>
      <c r="B8280">
        <v>1128299</v>
      </c>
      <c r="C8280" s="1">
        <v>44553</v>
      </c>
      <c r="D8280" t="s">
        <v>32</v>
      </c>
      <c r="E8280" t="s">
        <v>82</v>
      </c>
      <c r="F8280" t="s">
        <v>83</v>
      </c>
      <c r="G8280" t="s">
        <v>41</v>
      </c>
      <c r="H8280" t="s">
        <v>35</v>
      </c>
      <c r="I8280" s="3">
        <v>64</v>
      </c>
      <c r="J8280" s="2">
        <v>154</v>
      </c>
      <c r="K8280" s="3">
        <f t="shared" si="129"/>
        <v>9856</v>
      </c>
      <c r="L8280" s="3">
        <v>5125.12</v>
      </c>
    </row>
    <row r="8281" spans="1:12" x14ac:dyDescent="0.25">
      <c r="A8281" t="s">
        <v>36</v>
      </c>
      <c r="B8281">
        <v>1185732</v>
      </c>
      <c r="C8281" s="1">
        <v>44553</v>
      </c>
      <c r="D8281" t="s">
        <v>29</v>
      </c>
      <c r="E8281" t="s">
        <v>30</v>
      </c>
      <c r="F8281" t="s">
        <v>31</v>
      </c>
      <c r="G8281" t="s">
        <v>41</v>
      </c>
      <c r="H8281" t="s">
        <v>35</v>
      </c>
      <c r="I8281" s="3">
        <v>41</v>
      </c>
      <c r="J8281" s="2">
        <v>68</v>
      </c>
      <c r="K8281" s="3">
        <f t="shared" si="129"/>
        <v>2788</v>
      </c>
      <c r="L8281" s="3">
        <v>1394</v>
      </c>
    </row>
    <row r="8282" spans="1:12" x14ac:dyDescent="0.25">
      <c r="A8282" t="s">
        <v>26</v>
      </c>
      <c r="B8282">
        <v>1128299</v>
      </c>
      <c r="C8282" s="1">
        <v>44553</v>
      </c>
      <c r="D8282" t="s">
        <v>32</v>
      </c>
      <c r="E8282" t="s">
        <v>82</v>
      </c>
      <c r="F8282" t="s">
        <v>83</v>
      </c>
      <c r="G8282" t="s">
        <v>41</v>
      </c>
      <c r="H8282" t="s">
        <v>37</v>
      </c>
      <c r="I8282" s="3">
        <v>67</v>
      </c>
      <c r="J8282" s="2">
        <v>160</v>
      </c>
      <c r="K8282" s="3">
        <f t="shared" si="129"/>
        <v>10720</v>
      </c>
      <c r="L8282" s="3">
        <v>5360</v>
      </c>
    </row>
    <row r="8283" spans="1:12" x14ac:dyDescent="0.25">
      <c r="A8283" t="s">
        <v>11</v>
      </c>
      <c r="B8283">
        <v>1128299</v>
      </c>
      <c r="C8283" s="1">
        <v>44553</v>
      </c>
      <c r="D8283" t="s">
        <v>12</v>
      </c>
      <c r="E8283" t="s">
        <v>84</v>
      </c>
      <c r="F8283" t="s">
        <v>31</v>
      </c>
      <c r="G8283" t="s">
        <v>41</v>
      </c>
      <c r="H8283" t="s">
        <v>22</v>
      </c>
      <c r="I8283" s="3">
        <v>72</v>
      </c>
      <c r="J8283" s="2">
        <v>133</v>
      </c>
      <c r="K8283" s="3">
        <f t="shared" si="129"/>
        <v>9576</v>
      </c>
      <c r="L8283" s="3">
        <v>4788</v>
      </c>
    </row>
    <row r="8284" spans="1:12" x14ac:dyDescent="0.25">
      <c r="A8284" t="s">
        <v>26</v>
      </c>
      <c r="B8284">
        <v>1128299</v>
      </c>
      <c r="C8284" s="1">
        <v>44553</v>
      </c>
      <c r="D8284" t="s">
        <v>32</v>
      </c>
      <c r="E8284" t="s">
        <v>82</v>
      </c>
      <c r="F8284" t="s">
        <v>83</v>
      </c>
      <c r="G8284" t="s">
        <v>41</v>
      </c>
      <c r="H8284" t="s">
        <v>22</v>
      </c>
      <c r="I8284" s="3">
        <v>72</v>
      </c>
      <c r="J8284" s="2">
        <v>133</v>
      </c>
      <c r="K8284" s="3">
        <f t="shared" si="129"/>
        <v>9576</v>
      </c>
      <c r="L8284" s="3">
        <v>4692.24</v>
      </c>
    </row>
    <row r="8285" spans="1:12" x14ac:dyDescent="0.25">
      <c r="A8285" t="s">
        <v>19</v>
      </c>
      <c r="B8285">
        <v>1185732</v>
      </c>
      <c r="C8285" s="1">
        <v>44553</v>
      </c>
      <c r="D8285" t="s">
        <v>29</v>
      </c>
      <c r="E8285" t="s">
        <v>55</v>
      </c>
      <c r="F8285" t="s">
        <v>56</v>
      </c>
      <c r="G8285" t="s">
        <v>41</v>
      </c>
      <c r="H8285" t="s">
        <v>35</v>
      </c>
      <c r="I8285" s="3">
        <v>55</v>
      </c>
      <c r="J8285" s="2">
        <v>55</v>
      </c>
      <c r="K8285" s="3">
        <f t="shared" si="129"/>
        <v>3025</v>
      </c>
      <c r="L8285" s="3">
        <v>1421.75</v>
      </c>
    </row>
    <row r="8286" spans="1:12" x14ac:dyDescent="0.25">
      <c r="A8286" t="s">
        <v>36</v>
      </c>
      <c r="B8286">
        <v>1185732</v>
      </c>
      <c r="C8286" s="1">
        <v>44554</v>
      </c>
      <c r="D8286" t="s">
        <v>29</v>
      </c>
      <c r="E8286" t="s">
        <v>30</v>
      </c>
      <c r="F8286" t="s">
        <v>31</v>
      </c>
      <c r="G8286" t="s">
        <v>15</v>
      </c>
      <c r="H8286" t="s">
        <v>37</v>
      </c>
      <c r="I8286" s="3">
        <v>45</v>
      </c>
      <c r="J8286" s="2">
        <v>175</v>
      </c>
      <c r="K8286" s="3">
        <f t="shared" si="129"/>
        <v>7875</v>
      </c>
      <c r="L8286" s="3">
        <v>5512.5</v>
      </c>
    </row>
    <row r="8287" spans="1:12" x14ac:dyDescent="0.25">
      <c r="A8287" t="s">
        <v>19</v>
      </c>
      <c r="B8287">
        <v>1185732</v>
      </c>
      <c r="C8287" s="1">
        <v>44554</v>
      </c>
      <c r="D8287" t="s">
        <v>29</v>
      </c>
      <c r="E8287" t="s">
        <v>55</v>
      </c>
      <c r="F8287" t="s">
        <v>56</v>
      </c>
      <c r="G8287" t="s">
        <v>15</v>
      </c>
      <c r="H8287" t="s">
        <v>37</v>
      </c>
      <c r="I8287" s="3">
        <v>60.000000000000007</v>
      </c>
      <c r="J8287" s="2">
        <v>175</v>
      </c>
      <c r="K8287" s="3">
        <f t="shared" si="129"/>
        <v>10500.000000000002</v>
      </c>
      <c r="L8287" s="3">
        <v>6300.0000000000018</v>
      </c>
    </row>
    <row r="8288" spans="1:12" x14ac:dyDescent="0.25">
      <c r="A8288" t="s">
        <v>36</v>
      </c>
      <c r="B8288">
        <v>1185732</v>
      </c>
      <c r="C8288" s="1">
        <v>44554</v>
      </c>
      <c r="D8288" t="s">
        <v>29</v>
      </c>
      <c r="E8288" t="s">
        <v>30</v>
      </c>
      <c r="F8288" t="s">
        <v>31</v>
      </c>
      <c r="G8288" t="s">
        <v>41</v>
      </c>
      <c r="H8288" t="s">
        <v>37</v>
      </c>
      <c r="I8288" s="3">
        <v>41</v>
      </c>
      <c r="J8288" s="2">
        <v>51</v>
      </c>
      <c r="K8288" s="3">
        <f t="shared" si="129"/>
        <v>2091</v>
      </c>
      <c r="L8288" s="3">
        <v>1233.69</v>
      </c>
    </row>
    <row r="8289" spans="1:12" x14ac:dyDescent="0.25">
      <c r="A8289" t="s">
        <v>19</v>
      </c>
      <c r="B8289">
        <v>1185732</v>
      </c>
      <c r="C8289" s="1">
        <v>44554</v>
      </c>
      <c r="D8289" t="s">
        <v>29</v>
      </c>
      <c r="E8289" t="s">
        <v>55</v>
      </c>
      <c r="F8289" t="s">
        <v>56</v>
      </c>
      <c r="G8289" t="s">
        <v>15</v>
      </c>
      <c r="H8289" t="s">
        <v>37</v>
      </c>
      <c r="I8289" s="3">
        <v>43</v>
      </c>
      <c r="J8289" s="2">
        <v>60</v>
      </c>
      <c r="K8289" s="3">
        <f t="shared" si="129"/>
        <v>2580</v>
      </c>
      <c r="L8289" s="3">
        <v>1393.2</v>
      </c>
    </row>
    <row r="8290" spans="1:12" x14ac:dyDescent="0.25">
      <c r="A8290" t="s">
        <v>19</v>
      </c>
      <c r="B8290">
        <v>1185732</v>
      </c>
      <c r="C8290" s="1">
        <v>44554</v>
      </c>
      <c r="D8290" t="s">
        <v>29</v>
      </c>
      <c r="E8290" t="s">
        <v>55</v>
      </c>
      <c r="F8290" t="s">
        <v>56</v>
      </c>
      <c r="G8290" t="s">
        <v>41</v>
      </c>
      <c r="H8290" t="s">
        <v>37</v>
      </c>
      <c r="I8290" s="3">
        <v>56</v>
      </c>
      <c r="J8290" s="2">
        <v>44</v>
      </c>
      <c r="K8290" s="3">
        <f t="shared" si="129"/>
        <v>2464</v>
      </c>
      <c r="L8290" s="3">
        <v>1207.3599999999999</v>
      </c>
    </row>
    <row r="8291" spans="1:12" x14ac:dyDescent="0.25">
      <c r="A8291" t="s">
        <v>36</v>
      </c>
      <c r="B8291">
        <v>1185732</v>
      </c>
      <c r="C8291" s="1">
        <v>44555</v>
      </c>
      <c r="D8291" t="s">
        <v>29</v>
      </c>
      <c r="E8291" t="s">
        <v>30</v>
      </c>
      <c r="F8291" t="s">
        <v>31</v>
      </c>
      <c r="G8291" t="s">
        <v>15</v>
      </c>
      <c r="H8291" t="s">
        <v>22</v>
      </c>
      <c r="I8291" s="3">
        <v>54.999999999999993</v>
      </c>
      <c r="J8291" s="2">
        <v>150</v>
      </c>
      <c r="K8291" s="3">
        <f t="shared" si="129"/>
        <v>8249.9999999999982</v>
      </c>
      <c r="L8291" s="3">
        <v>6187.4999999999982</v>
      </c>
    </row>
    <row r="8292" spans="1:12" x14ac:dyDescent="0.25">
      <c r="A8292" t="s">
        <v>26</v>
      </c>
      <c r="B8292">
        <v>1128299</v>
      </c>
      <c r="C8292" s="1">
        <v>44555</v>
      </c>
      <c r="D8292" t="s">
        <v>12</v>
      </c>
      <c r="E8292" t="s">
        <v>42</v>
      </c>
      <c r="F8292" t="s">
        <v>43</v>
      </c>
      <c r="G8292" t="s">
        <v>41</v>
      </c>
      <c r="H8292" t="s">
        <v>16</v>
      </c>
      <c r="I8292" s="3">
        <v>75.000000000000014</v>
      </c>
      <c r="J8292" s="2">
        <v>525</v>
      </c>
      <c r="K8292" s="3">
        <f t="shared" si="129"/>
        <v>39375.000000000007</v>
      </c>
      <c r="L8292" s="3">
        <v>29531.250000000007</v>
      </c>
    </row>
    <row r="8293" spans="1:12" x14ac:dyDescent="0.25">
      <c r="A8293" t="s">
        <v>26</v>
      </c>
      <c r="B8293">
        <v>1128299</v>
      </c>
      <c r="C8293" s="1">
        <v>44555</v>
      </c>
      <c r="D8293" t="s">
        <v>12</v>
      </c>
      <c r="E8293" t="s">
        <v>42</v>
      </c>
      <c r="F8293" t="s">
        <v>43</v>
      </c>
      <c r="G8293" t="s">
        <v>41</v>
      </c>
      <c r="H8293" t="s">
        <v>22</v>
      </c>
      <c r="I8293" s="3">
        <v>70</v>
      </c>
      <c r="J8293" s="2">
        <v>425</v>
      </c>
      <c r="K8293" s="3">
        <f t="shared" si="129"/>
        <v>29750</v>
      </c>
      <c r="L8293" s="3">
        <v>20825</v>
      </c>
    </row>
    <row r="8294" spans="1:12" x14ac:dyDescent="0.25">
      <c r="A8294" t="s">
        <v>26</v>
      </c>
      <c r="B8294">
        <v>1128299</v>
      </c>
      <c r="C8294" s="1">
        <v>44555</v>
      </c>
      <c r="D8294" t="s">
        <v>12</v>
      </c>
      <c r="E8294" t="s">
        <v>42</v>
      </c>
      <c r="F8294" t="s">
        <v>43</v>
      </c>
      <c r="G8294" t="s">
        <v>41</v>
      </c>
      <c r="H8294" t="s">
        <v>35</v>
      </c>
      <c r="I8294" s="3">
        <v>60.000000000000007</v>
      </c>
      <c r="J8294" s="2">
        <v>500</v>
      </c>
      <c r="K8294" s="3">
        <f t="shared" si="129"/>
        <v>30000.000000000004</v>
      </c>
      <c r="L8294" s="3">
        <v>19500.000000000007</v>
      </c>
    </row>
    <row r="8295" spans="1:12" x14ac:dyDescent="0.25">
      <c r="A8295" t="s">
        <v>26</v>
      </c>
      <c r="B8295">
        <v>1128299</v>
      </c>
      <c r="C8295" s="1">
        <v>44555</v>
      </c>
      <c r="D8295" t="s">
        <v>12</v>
      </c>
      <c r="E8295" t="s">
        <v>42</v>
      </c>
      <c r="F8295" t="s">
        <v>43</v>
      </c>
      <c r="G8295" t="s">
        <v>41</v>
      </c>
      <c r="H8295" t="s">
        <v>37</v>
      </c>
      <c r="I8295" s="3">
        <v>60.000000000000007</v>
      </c>
      <c r="J8295" s="2">
        <v>500</v>
      </c>
      <c r="K8295" s="3">
        <f t="shared" si="129"/>
        <v>30000.000000000004</v>
      </c>
      <c r="L8295" s="3">
        <v>19500.000000000007</v>
      </c>
    </row>
    <row r="8296" spans="1:12" x14ac:dyDescent="0.25">
      <c r="A8296" t="s">
        <v>19</v>
      </c>
      <c r="B8296">
        <v>1185732</v>
      </c>
      <c r="C8296" s="1">
        <v>44555</v>
      </c>
      <c r="D8296" t="s">
        <v>29</v>
      </c>
      <c r="E8296" t="s">
        <v>55</v>
      </c>
      <c r="F8296" t="s">
        <v>56</v>
      </c>
      <c r="G8296" t="s">
        <v>15</v>
      </c>
      <c r="H8296" t="s">
        <v>22</v>
      </c>
      <c r="I8296" s="3">
        <v>70</v>
      </c>
      <c r="J8296" s="2">
        <v>150</v>
      </c>
      <c r="K8296" s="3">
        <f t="shared" si="129"/>
        <v>10500</v>
      </c>
      <c r="L8296" s="3">
        <v>6825</v>
      </c>
    </row>
    <row r="8297" spans="1:12" x14ac:dyDescent="0.25">
      <c r="A8297" t="s">
        <v>27</v>
      </c>
      <c r="B8297">
        <v>1128299</v>
      </c>
      <c r="C8297" s="1">
        <v>44555</v>
      </c>
      <c r="D8297" t="s">
        <v>12</v>
      </c>
      <c r="E8297" t="s">
        <v>42</v>
      </c>
      <c r="F8297" t="s">
        <v>43</v>
      </c>
      <c r="G8297" t="s">
        <v>41</v>
      </c>
      <c r="H8297" t="s">
        <v>38</v>
      </c>
      <c r="I8297" s="3">
        <v>60.000000000000007</v>
      </c>
      <c r="J8297" s="2">
        <v>700</v>
      </c>
      <c r="K8297" s="3">
        <f t="shared" si="129"/>
        <v>42000.000000000007</v>
      </c>
      <c r="L8297" s="3">
        <v>27300.000000000007</v>
      </c>
    </row>
    <row r="8298" spans="1:12" x14ac:dyDescent="0.25">
      <c r="A8298" t="s">
        <v>27</v>
      </c>
      <c r="B8298">
        <v>1128299</v>
      </c>
      <c r="C8298" s="1">
        <v>44555</v>
      </c>
      <c r="D8298" t="s">
        <v>12</v>
      </c>
      <c r="E8298" t="s">
        <v>42</v>
      </c>
      <c r="F8298" t="s">
        <v>43</v>
      </c>
      <c r="G8298" t="s">
        <v>41</v>
      </c>
      <c r="H8298" t="s">
        <v>17</v>
      </c>
      <c r="I8298" s="3">
        <v>65.000000000000014</v>
      </c>
      <c r="J8298" s="2">
        <v>700</v>
      </c>
      <c r="K8298" s="3">
        <f t="shared" si="129"/>
        <v>45500.000000000007</v>
      </c>
      <c r="L8298" s="3">
        <v>27300.000000000007</v>
      </c>
    </row>
    <row r="8299" spans="1:12" x14ac:dyDescent="0.25">
      <c r="A8299" t="s">
        <v>26</v>
      </c>
      <c r="B8299">
        <v>1128299</v>
      </c>
      <c r="C8299" s="1">
        <v>44555</v>
      </c>
      <c r="D8299" t="s">
        <v>12</v>
      </c>
      <c r="E8299" t="s">
        <v>42</v>
      </c>
      <c r="F8299" t="s">
        <v>43</v>
      </c>
      <c r="G8299" t="s">
        <v>15</v>
      </c>
      <c r="H8299" t="s">
        <v>16</v>
      </c>
      <c r="I8299" s="3">
        <v>56</v>
      </c>
      <c r="J8299" s="2">
        <v>173</v>
      </c>
      <c r="K8299" s="3">
        <f t="shared" si="129"/>
        <v>9688</v>
      </c>
      <c r="L8299" s="3">
        <v>7072.24</v>
      </c>
    </row>
    <row r="8300" spans="1:12" x14ac:dyDescent="0.25">
      <c r="A8300" t="s">
        <v>26</v>
      </c>
      <c r="B8300">
        <v>1128299</v>
      </c>
      <c r="C8300" s="1">
        <v>44555</v>
      </c>
      <c r="D8300" t="s">
        <v>12</v>
      </c>
      <c r="E8300" t="s">
        <v>42</v>
      </c>
      <c r="F8300" t="s">
        <v>43</v>
      </c>
      <c r="G8300" t="s">
        <v>15</v>
      </c>
      <c r="H8300" t="s">
        <v>22</v>
      </c>
      <c r="I8300" s="3">
        <v>55</v>
      </c>
      <c r="J8300" s="2">
        <v>128</v>
      </c>
      <c r="K8300" s="3">
        <f t="shared" si="129"/>
        <v>7040</v>
      </c>
      <c r="L8300" s="3">
        <v>4716.8</v>
      </c>
    </row>
    <row r="8301" spans="1:12" x14ac:dyDescent="0.25">
      <c r="A8301" t="s">
        <v>26</v>
      </c>
      <c r="B8301">
        <v>1128299</v>
      </c>
      <c r="C8301" s="1">
        <v>44555</v>
      </c>
      <c r="D8301" t="s">
        <v>12</v>
      </c>
      <c r="E8301" t="s">
        <v>42</v>
      </c>
      <c r="F8301" t="s">
        <v>43</v>
      </c>
      <c r="G8301" t="s">
        <v>41</v>
      </c>
      <c r="H8301" t="s">
        <v>16</v>
      </c>
      <c r="I8301" s="3">
        <v>72</v>
      </c>
      <c r="J8301" s="2">
        <v>131</v>
      </c>
      <c r="K8301" s="3">
        <f t="shared" si="129"/>
        <v>9432</v>
      </c>
      <c r="L8301" s="3">
        <v>6130.8</v>
      </c>
    </row>
    <row r="8302" spans="1:12" x14ac:dyDescent="0.25">
      <c r="A8302" t="s">
        <v>36</v>
      </c>
      <c r="B8302">
        <v>1185732</v>
      </c>
      <c r="C8302" s="1">
        <v>44555</v>
      </c>
      <c r="D8302" t="s">
        <v>29</v>
      </c>
      <c r="E8302" t="s">
        <v>30</v>
      </c>
      <c r="F8302" t="s">
        <v>31</v>
      </c>
      <c r="G8302" t="s">
        <v>41</v>
      </c>
      <c r="H8302" t="s">
        <v>22</v>
      </c>
      <c r="I8302" s="3">
        <v>54</v>
      </c>
      <c r="J8302" s="2">
        <v>41</v>
      </c>
      <c r="K8302" s="3">
        <f t="shared" si="129"/>
        <v>2214</v>
      </c>
      <c r="L8302" s="3">
        <v>1394.8200000000002</v>
      </c>
    </row>
    <row r="8303" spans="1:12" x14ac:dyDescent="0.25">
      <c r="A8303" t="s">
        <v>19</v>
      </c>
      <c r="B8303">
        <v>1185732</v>
      </c>
      <c r="C8303" s="1">
        <v>44555</v>
      </c>
      <c r="D8303" t="s">
        <v>29</v>
      </c>
      <c r="E8303" t="s">
        <v>55</v>
      </c>
      <c r="F8303" t="s">
        <v>56</v>
      </c>
      <c r="G8303" t="s">
        <v>15</v>
      </c>
      <c r="H8303" t="s">
        <v>22</v>
      </c>
      <c r="I8303" s="3">
        <v>51</v>
      </c>
      <c r="J8303" s="2">
        <v>48</v>
      </c>
      <c r="K8303" s="3">
        <f t="shared" si="129"/>
        <v>2448</v>
      </c>
      <c r="L8303" s="3">
        <v>1493.2800000000002</v>
      </c>
    </row>
    <row r="8304" spans="1:12" x14ac:dyDescent="0.25">
      <c r="A8304" t="s">
        <v>26</v>
      </c>
      <c r="B8304">
        <v>1128299</v>
      </c>
      <c r="C8304" s="1">
        <v>44555</v>
      </c>
      <c r="D8304" t="s">
        <v>12</v>
      </c>
      <c r="E8304" t="s">
        <v>42</v>
      </c>
      <c r="F8304" t="s">
        <v>43</v>
      </c>
      <c r="G8304" t="s">
        <v>15</v>
      </c>
      <c r="H8304" t="s">
        <v>37</v>
      </c>
      <c r="I8304" s="3">
        <v>45</v>
      </c>
      <c r="J8304" s="2">
        <v>160</v>
      </c>
      <c r="K8304" s="3">
        <f t="shared" si="129"/>
        <v>7200</v>
      </c>
      <c r="L8304" s="3">
        <v>4320</v>
      </c>
    </row>
    <row r="8305" spans="1:12" x14ac:dyDescent="0.25">
      <c r="A8305" t="s">
        <v>26</v>
      </c>
      <c r="B8305">
        <v>1128299</v>
      </c>
      <c r="C8305" s="1">
        <v>44555</v>
      </c>
      <c r="D8305" t="s">
        <v>12</v>
      </c>
      <c r="E8305" t="s">
        <v>42</v>
      </c>
      <c r="F8305" t="s">
        <v>43</v>
      </c>
      <c r="G8305" t="s">
        <v>15</v>
      </c>
      <c r="H8305" t="s">
        <v>35</v>
      </c>
      <c r="I8305" s="3">
        <v>44</v>
      </c>
      <c r="J8305" s="2">
        <v>150</v>
      </c>
      <c r="K8305" s="3">
        <f t="shared" si="129"/>
        <v>6600</v>
      </c>
      <c r="L8305" s="3">
        <v>3894</v>
      </c>
    </row>
    <row r="8306" spans="1:12" x14ac:dyDescent="0.25">
      <c r="A8306" t="s">
        <v>27</v>
      </c>
      <c r="B8306">
        <v>1128299</v>
      </c>
      <c r="C8306" s="1">
        <v>44555</v>
      </c>
      <c r="D8306" t="s">
        <v>12</v>
      </c>
      <c r="E8306" t="s">
        <v>42</v>
      </c>
      <c r="F8306" t="s">
        <v>43</v>
      </c>
      <c r="G8306" t="s">
        <v>15</v>
      </c>
      <c r="H8306" t="s">
        <v>38</v>
      </c>
      <c r="I8306" s="3">
        <v>44</v>
      </c>
      <c r="J8306" s="2">
        <v>238</v>
      </c>
      <c r="K8306" s="3">
        <f t="shared" si="129"/>
        <v>10472</v>
      </c>
      <c r="L8306" s="3">
        <v>6073.76</v>
      </c>
    </row>
    <row r="8307" spans="1:12" x14ac:dyDescent="0.25">
      <c r="A8307" t="s">
        <v>26</v>
      </c>
      <c r="B8307">
        <v>1128299</v>
      </c>
      <c r="C8307" s="1">
        <v>44555</v>
      </c>
      <c r="D8307" t="s">
        <v>12</v>
      </c>
      <c r="E8307" t="s">
        <v>42</v>
      </c>
      <c r="F8307" t="s">
        <v>43</v>
      </c>
      <c r="G8307" t="s">
        <v>41</v>
      </c>
      <c r="H8307" t="s">
        <v>22</v>
      </c>
      <c r="I8307" s="3">
        <v>64</v>
      </c>
      <c r="J8307" s="2">
        <v>119</v>
      </c>
      <c r="K8307" s="3">
        <f t="shared" si="129"/>
        <v>7616</v>
      </c>
      <c r="L8307" s="3">
        <v>4188.8</v>
      </c>
    </row>
    <row r="8308" spans="1:12" x14ac:dyDescent="0.25">
      <c r="A8308" t="s">
        <v>27</v>
      </c>
      <c r="B8308">
        <v>1128299</v>
      </c>
      <c r="C8308" s="1">
        <v>44555</v>
      </c>
      <c r="D8308" t="s">
        <v>12</v>
      </c>
      <c r="E8308" t="s">
        <v>42</v>
      </c>
      <c r="F8308" t="s">
        <v>43</v>
      </c>
      <c r="G8308" t="s">
        <v>41</v>
      </c>
      <c r="H8308" t="s">
        <v>38</v>
      </c>
      <c r="I8308" s="3">
        <v>55</v>
      </c>
      <c r="J8308" s="2">
        <v>210</v>
      </c>
      <c r="K8308" s="3">
        <f t="shared" si="129"/>
        <v>11550</v>
      </c>
      <c r="L8308" s="3">
        <v>6237</v>
      </c>
    </row>
    <row r="8309" spans="1:12" x14ac:dyDescent="0.25">
      <c r="A8309" t="s">
        <v>26</v>
      </c>
      <c r="B8309">
        <v>1128299</v>
      </c>
      <c r="C8309" s="1">
        <v>44555</v>
      </c>
      <c r="D8309" t="s">
        <v>12</v>
      </c>
      <c r="E8309" t="s">
        <v>42</v>
      </c>
      <c r="F8309" t="s">
        <v>43</v>
      </c>
      <c r="G8309" t="s">
        <v>41</v>
      </c>
      <c r="H8309" t="s">
        <v>37</v>
      </c>
      <c r="I8309" s="3">
        <v>55</v>
      </c>
      <c r="J8309" s="2">
        <v>145</v>
      </c>
      <c r="K8309" s="3">
        <f t="shared" si="129"/>
        <v>7975</v>
      </c>
      <c r="L8309" s="3">
        <v>4306.5</v>
      </c>
    </row>
    <row r="8310" spans="1:12" x14ac:dyDescent="0.25">
      <c r="A8310" t="s">
        <v>27</v>
      </c>
      <c r="B8310">
        <v>1128299</v>
      </c>
      <c r="C8310" s="1">
        <v>44555</v>
      </c>
      <c r="D8310" t="s">
        <v>12</v>
      </c>
      <c r="E8310" t="s">
        <v>42</v>
      </c>
      <c r="F8310" t="s">
        <v>43</v>
      </c>
      <c r="G8310" t="s">
        <v>15</v>
      </c>
      <c r="H8310" t="s">
        <v>17</v>
      </c>
      <c r="I8310" s="3">
        <v>47</v>
      </c>
      <c r="J8310" s="2">
        <v>217</v>
      </c>
      <c r="K8310" s="3">
        <f t="shared" si="129"/>
        <v>10199</v>
      </c>
      <c r="L8310" s="3">
        <v>5405.4699999999993</v>
      </c>
    </row>
    <row r="8311" spans="1:12" x14ac:dyDescent="0.25">
      <c r="A8311" t="s">
        <v>19</v>
      </c>
      <c r="B8311">
        <v>1185732</v>
      </c>
      <c r="C8311" s="1">
        <v>44555</v>
      </c>
      <c r="D8311" t="s">
        <v>29</v>
      </c>
      <c r="E8311" t="s">
        <v>55</v>
      </c>
      <c r="F8311" t="s">
        <v>56</v>
      </c>
      <c r="G8311" t="s">
        <v>41</v>
      </c>
      <c r="H8311" t="s">
        <v>22</v>
      </c>
      <c r="I8311" s="3">
        <v>64</v>
      </c>
      <c r="J8311" s="2">
        <v>42</v>
      </c>
      <c r="K8311" s="3">
        <f t="shared" si="129"/>
        <v>2688</v>
      </c>
      <c r="L8311" s="3">
        <v>1397.76</v>
      </c>
    </row>
    <row r="8312" spans="1:12" x14ac:dyDescent="0.25">
      <c r="A8312" t="s">
        <v>26</v>
      </c>
      <c r="B8312">
        <v>1128299</v>
      </c>
      <c r="C8312" s="1">
        <v>44555</v>
      </c>
      <c r="D8312" t="s">
        <v>12</v>
      </c>
      <c r="E8312" t="s">
        <v>42</v>
      </c>
      <c r="F8312" t="s">
        <v>43</v>
      </c>
      <c r="G8312" t="s">
        <v>41</v>
      </c>
      <c r="H8312" t="s">
        <v>35</v>
      </c>
      <c r="I8312" s="3">
        <v>59</v>
      </c>
      <c r="J8312" s="2">
        <v>130</v>
      </c>
      <c r="K8312" s="3">
        <f t="shared" si="129"/>
        <v>7670</v>
      </c>
      <c r="L8312" s="3">
        <v>3911.7000000000003</v>
      </c>
    </row>
    <row r="8313" spans="1:12" x14ac:dyDescent="0.25">
      <c r="A8313" t="s">
        <v>27</v>
      </c>
      <c r="B8313">
        <v>1128299</v>
      </c>
      <c r="C8313" s="1">
        <v>44555</v>
      </c>
      <c r="D8313" t="s">
        <v>12</v>
      </c>
      <c r="E8313" t="s">
        <v>42</v>
      </c>
      <c r="F8313" t="s">
        <v>43</v>
      </c>
      <c r="G8313" t="s">
        <v>41</v>
      </c>
      <c r="H8313" t="s">
        <v>17</v>
      </c>
      <c r="I8313" s="3">
        <v>61</v>
      </c>
      <c r="J8313" s="2">
        <v>182</v>
      </c>
      <c r="K8313" s="3">
        <f t="shared" si="129"/>
        <v>11102</v>
      </c>
      <c r="L8313" s="3">
        <v>5551</v>
      </c>
    </row>
    <row r="8314" spans="1:12" x14ac:dyDescent="0.25">
      <c r="A8314" t="s">
        <v>19</v>
      </c>
      <c r="B8314">
        <v>1185732</v>
      </c>
      <c r="C8314" s="1">
        <v>44556</v>
      </c>
      <c r="D8314" t="s">
        <v>29</v>
      </c>
      <c r="E8314" t="s">
        <v>55</v>
      </c>
      <c r="F8314" t="s">
        <v>56</v>
      </c>
      <c r="G8314" t="s">
        <v>15</v>
      </c>
      <c r="H8314" t="s">
        <v>16</v>
      </c>
      <c r="I8314" s="3">
        <v>75</v>
      </c>
      <c r="J8314" s="2">
        <v>250</v>
      </c>
      <c r="K8314" s="3">
        <f t="shared" si="129"/>
        <v>18750</v>
      </c>
      <c r="L8314" s="3">
        <v>13125</v>
      </c>
    </row>
    <row r="8315" spans="1:12" x14ac:dyDescent="0.25">
      <c r="A8315" t="s">
        <v>36</v>
      </c>
      <c r="B8315">
        <v>1185732</v>
      </c>
      <c r="C8315" s="1">
        <v>44556</v>
      </c>
      <c r="D8315" t="s">
        <v>29</v>
      </c>
      <c r="E8315" t="s">
        <v>30</v>
      </c>
      <c r="F8315" t="s">
        <v>31</v>
      </c>
      <c r="G8315" t="s">
        <v>15</v>
      </c>
      <c r="H8315" t="s">
        <v>16</v>
      </c>
      <c r="I8315" s="3">
        <v>60</v>
      </c>
      <c r="J8315" s="2">
        <v>325</v>
      </c>
      <c r="K8315" s="3">
        <f t="shared" si="129"/>
        <v>19500</v>
      </c>
      <c r="L8315" s="3">
        <v>11700</v>
      </c>
    </row>
    <row r="8316" spans="1:12" x14ac:dyDescent="0.25">
      <c r="A8316" t="s">
        <v>19</v>
      </c>
      <c r="B8316">
        <v>1185732</v>
      </c>
      <c r="C8316" s="1">
        <v>44556</v>
      </c>
      <c r="D8316" t="s">
        <v>29</v>
      </c>
      <c r="E8316" t="s">
        <v>55</v>
      </c>
      <c r="F8316" t="s">
        <v>56</v>
      </c>
      <c r="G8316" t="s">
        <v>15</v>
      </c>
      <c r="H8316" t="s">
        <v>16</v>
      </c>
      <c r="I8316" s="3">
        <v>53</v>
      </c>
      <c r="J8316" s="2">
        <v>75</v>
      </c>
      <c r="K8316" s="3">
        <f t="shared" si="129"/>
        <v>3975</v>
      </c>
      <c r="L8316" s="3">
        <v>2544</v>
      </c>
    </row>
    <row r="8317" spans="1:12" x14ac:dyDescent="0.25">
      <c r="A8317" t="s">
        <v>19</v>
      </c>
      <c r="B8317">
        <v>1185732</v>
      </c>
      <c r="C8317" s="1">
        <v>44556</v>
      </c>
      <c r="D8317" t="s">
        <v>29</v>
      </c>
      <c r="E8317" t="s">
        <v>55</v>
      </c>
      <c r="F8317" t="s">
        <v>56</v>
      </c>
      <c r="G8317" t="s">
        <v>41</v>
      </c>
      <c r="H8317" t="s">
        <v>16</v>
      </c>
      <c r="I8317" s="3">
        <v>71</v>
      </c>
      <c r="J8317" s="2">
        <v>65</v>
      </c>
      <c r="K8317" s="3">
        <f t="shared" si="129"/>
        <v>4615</v>
      </c>
      <c r="L8317" s="3">
        <v>2584.4</v>
      </c>
    </row>
    <row r="8318" spans="1:12" x14ac:dyDescent="0.25">
      <c r="A8318" t="s">
        <v>36</v>
      </c>
      <c r="B8318">
        <v>1185732</v>
      </c>
      <c r="C8318" s="1">
        <v>44556</v>
      </c>
      <c r="D8318" t="s">
        <v>29</v>
      </c>
      <c r="E8318" t="s">
        <v>30</v>
      </c>
      <c r="F8318" t="s">
        <v>31</v>
      </c>
      <c r="G8318" t="s">
        <v>41</v>
      </c>
      <c r="H8318" t="s">
        <v>16</v>
      </c>
      <c r="I8318" s="3">
        <v>54</v>
      </c>
      <c r="J8318" s="2">
        <v>91</v>
      </c>
      <c r="K8318" s="3">
        <f t="shared" si="129"/>
        <v>4914</v>
      </c>
      <c r="L8318" s="3">
        <v>2260.4399999999996</v>
      </c>
    </row>
    <row r="8319" spans="1:12" x14ac:dyDescent="0.25">
      <c r="A8319" t="s">
        <v>36</v>
      </c>
      <c r="B8319">
        <v>1185732</v>
      </c>
      <c r="C8319" s="1">
        <v>44557</v>
      </c>
      <c r="D8319" t="s">
        <v>29</v>
      </c>
      <c r="E8319" t="s">
        <v>30</v>
      </c>
      <c r="F8319" t="s">
        <v>31</v>
      </c>
      <c r="G8319" t="s">
        <v>15</v>
      </c>
      <c r="H8319" t="s">
        <v>38</v>
      </c>
      <c r="I8319" s="3">
        <v>54.999999999999993</v>
      </c>
      <c r="J8319" s="2">
        <v>450</v>
      </c>
      <c r="K8319" s="3">
        <f t="shared" si="129"/>
        <v>24749.999999999996</v>
      </c>
      <c r="L8319" s="3">
        <v>16087.5</v>
      </c>
    </row>
    <row r="8320" spans="1:12" x14ac:dyDescent="0.25">
      <c r="A8320" t="s">
        <v>19</v>
      </c>
      <c r="B8320">
        <v>1185732</v>
      </c>
      <c r="C8320" s="1">
        <v>44557</v>
      </c>
      <c r="D8320" t="s">
        <v>29</v>
      </c>
      <c r="E8320" t="s">
        <v>55</v>
      </c>
      <c r="F8320" t="s">
        <v>56</v>
      </c>
      <c r="G8320" t="s">
        <v>15</v>
      </c>
      <c r="H8320" t="s">
        <v>38</v>
      </c>
      <c r="I8320" s="3">
        <v>70</v>
      </c>
      <c r="J8320" s="2">
        <v>475</v>
      </c>
      <c r="K8320" s="3">
        <f t="shared" si="129"/>
        <v>33250</v>
      </c>
      <c r="L8320" s="3">
        <v>14962.499999999996</v>
      </c>
    </row>
    <row r="8321" spans="1:12" x14ac:dyDescent="0.25">
      <c r="A8321" t="s">
        <v>36</v>
      </c>
      <c r="B8321">
        <v>1185732</v>
      </c>
      <c r="C8321" s="1">
        <v>44557</v>
      </c>
      <c r="D8321" t="s">
        <v>29</v>
      </c>
      <c r="E8321" t="s">
        <v>30</v>
      </c>
      <c r="F8321" t="s">
        <v>31</v>
      </c>
      <c r="G8321" t="s">
        <v>41</v>
      </c>
      <c r="H8321" t="s">
        <v>38</v>
      </c>
      <c r="I8321" s="3">
        <v>53</v>
      </c>
      <c r="J8321" s="2">
        <v>122</v>
      </c>
      <c r="K8321" s="3">
        <f t="shared" si="129"/>
        <v>6466</v>
      </c>
      <c r="L8321" s="3">
        <v>3362.32</v>
      </c>
    </row>
    <row r="8322" spans="1:12" x14ac:dyDescent="0.25">
      <c r="A8322" t="s">
        <v>19</v>
      </c>
      <c r="B8322">
        <v>1185732</v>
      </c>
      <c r="C8322" s="1">
        <v>44557</v>
      </c>
      <c r="D8322" t="s">
        <v>29</v>
      </c>
      <c r="E8322" t="s">
        <v>55</v>
      </c>
      <c r="F8322" t="s">
        <v>56</v>
      </c>
      <c r="G8322" t="s">
        <v>15</v>
      </c>
      <c r="H8322" t="s">
        <v>38</v>
      </c>
      <c r="I8322" s="3">
        <v>53</v>
      </c>
      <c r="J8322" s="2">
        <v>143</v>
      </c>
      <c r="K8322" s="3">
        <f t="shared" si="129"/>
        <v>7579</v>
      </c>
      <c r="L8322" s="3">
        <v>2955.8099999999995</v>
      </c>
    </row>
    <row r="8323" spans="1:12" x14ac:dyDescent="0.25">
      <c r="A8323" t="s">
        <v>19</v>
      </c>
      <c r="B8323">
        <v>1185732</v>
      </c>
      <c r="C8323" s="1">
        <v>44557</v>
      </c>
      <c r="D8323" t="s">
        <v>29</v>
      </c>
      <c r="E8323" t="s">
        <v>55</v>
      </c>
      <c r="F8323" t="s">
        <v>56</v>
      </c>
      <c r="G8323" t="s">
        <v>41</v>
      </c>
      <c r="H8323" t="s">
        <v>38</v>
      </c>
      <c r="I8323" s="3">
        <v>67</v>
      </c>
      <c r="J8323" s="2">
        <v>124</v>
      </c>
      <c r="K8323" s="3">
        <f t="shared" ref="K8323:K8343" si="130">I8323*J8323</f>
        <v>8308</v>
      </c>
      <c r="L8323" s="3">
        <v>2575.4799999999996</v>
      </c>
    </row>
    <row r="8324" spans="1:12" x14ac:dyDescent="0.25">
      <c r="A8324" t="s">
        <v>19</v>
      </c>
      <c r="B8324">
        <v>1185732</v>
      </c>
      <c r="C8324" s="1">
        <v>44558</v>
      </c>
      <c r="D8324" t="s">
        <v>29</v>
      </c>
      <c r="E8324" t="s">
        <v>55</v>
      </c>
      <c r="F8324" t="s">
        <v>56</v>
      </c>
      <c r="G8324" t="s">
        <v>15</v>
      </c>
      <c r="H8324" t="s">
        <v>17</v>
      </c>
      <c r="I8324" s="3">
        <v>60.000000000000007</v>
      </c>
      <c r="J8324" s="2">
        <v>275</v>
      </c>
      <c r="K8324" s="3">
        <f t="shared" si="130"/>
        <v>16500.000000000004</v>
      </c>
      <c r="L8324" s="3">
        <v>10725.000000000004</v>
      </c>
    </row>
    <row r="8325" spans="1:12" x14ac:dyDescent="0.25">
      <c r="A8325" t="s">
        <v>36</v>
      </c>
      <c r="B8325">
        <v>1185732</v>
      </c>
      <c r="C8325" s="1">
        <v>44558</v>
      </c>
      <c r="D8325" t="s">
        <v>29</v>
      </c>
      <c r="E8325" t="s">
        <v>30</v>
      </c>
      <c r="F8325" t="s">
        <v>31</v>
      </c>
      <c r="G8325" t="s">
        <v>15</v>
      </c>
      <c r="H8325" t="s">
        <v>17</v>
      </c>
      <c r="I8325" s="3">
        <v>50</v>
      </c>
      <c r="J8325" s="2">
        <v>250</v>
      </c>
      <c r="K8325" s="3">
        <f t="shared" si="130"/>
        <v>12500</v>
      </c>
      <c r="L8325" s="3">
        <v>8125</v>
      </c>
    </row>
    <row r="8326" spans="1:12" x14ac:dyDescent="0.25">
      <c r="A8326" t="s">
        <v>19</v>
      </c>
      <c r="B8326">
        <v>1185732</v>
      </c>
      <c r="C8326" s="1">
        <v>44558</v>
      </c>
      <c r="D8326" t="s">
        <v>29</v>
      </c>
      <c r="E8326" t="s">
        <v>55</v>
      </c>
      <c r="F8326" t="s">
        <v>56</v>
      </c>
      <c r="G8326" t="s">
        <v>15</v>
      </c>
      <c r="H8326" t="s">
        <v>17</v>
      </c>
      <c r="I8326" s="3">
        <v>47</v>
      </c>
      <c r="J8326" s="2">
        <v>85</v>
      </c>
      <c r="K8326" s="3">
        <f t="shared" si="130"/>
        <v>3995</v>
      </c>
      <c r="L8326" s="3">
        <v>2357.0500000000002</v>
      </c>
    </row>
    <row r="8327" spans="1:12" x14ac:dyDescent="0.25">
      <c r="A8327" t="s">
        <v>19</v>
      </c>
      <c r="B8327">
        <v>1185732</v>
      </c>
      <c r="C8327" s="1">
        <v>44558</v>
      </c>
      <c r="D8327" t="s">
        <v>29</v>
      </c>
      <c r="E8327" t="s">
        <v>55</v>
      </c>
      <c r="F8327" t="s">
        <v>56</v>
      </c>
      <c r="G8327" t="s">
        <v>41</v>
      </c>
      <c r="H8327" t="s">
        <v>17</v>
      </c>
      <c r="I8327" s="3">
        <v>55</v>
      </c>
      <c r="J8327" s="2">
        <v>69</v>
      </c>
      <c r="K8327" s="3">
        <f t="shared" si="130"/>
        <v>3795</v>
      </c>
      <c r="L8327" s="3">
        <v>2087.25</v>
      </c>
    </row>
    <row r="8328" spans="1:12" x14ac:dyDescent="0.25">
      <c r="A8328" t="s">
        <v>36</v>
      </c>
      <c r="B8328">
        <v>1185732</v>
      </c>
      <c r="C8328" s="1">
        <v>44558</v>
      </c>
      <c r="D8328" t="s">
        <v>29</v>
      </c>
      <c r="E8328" t="s">
        <v>30</v>
      </c>
      <c r="F8328" t="s">
        <v>31</v>
      </c>
      <c r="G8328" t="s">
        <v>41</v>
      </c>
      <c r="H8328" t="s">
        <v>17</v>
      </c>
      <c r="I8328" s="3">
        <v>46</v>
      </c>
      <c r="J8328" s="2">
        <v>70</v>
      </c>
      <c r="K8328" s="3">
        <f t="shared" si="130"/>
        <v>3220</v>
      </c>
      <c r="L8328" s="3">
        <v>1706.6000000000001</v>
      </c>
    </row>
    <row r="8329" spans="1:12" x14ac:dyDescent="0.25">
      <c r="A8329" t="s">
        <v>19</v>
      </c>
      <c r="B8329">
        <v>1185732</v>
      </c>
      <c r="C8329" s="1">
        <v>44559</v>
      </c>
      <c r="D8329" t="s">
        <v>29</v>
      </c>
      <c r="E8329" t="s">
        <v>55</v>
      </c>
      <c r="F8329" t="s">
        <v>56</v>
      </c>
      <c r="G8329" t="s">
        <v>15</v>
      </c>
      <c r="H8329" t="s">
        <v>35</v>
      </c>
      <c r="I8329" s="3">
        <v>60.000000000000007</v>
      </c>
      <c r="J8329" s="2">
        <v>225</v>
      </c>
      <c r="K8329" s="3">
        <f t="shared" si="130"/>
        <v>13500.000000000002</v>
      </c>
      <c r="L8329" s="3">
        <v>8100.0000000000027</v>
      </c>
    </row>
    <row r="8330" spans="1:12" x14ac:dyDescent="0.25">
      <c r="A8330" t="s">
        <v>36</v>
      </c>
      <c r="B8330">
        <v>1185732</v>
      </c>
      <c r="C8330" s="1">
        <v>44559</v>
      </c>
      <c r="D8330" t="s">
        <v>29</v>
      </c>
      <c r="E8330" t="s">
        <v>30</v>
      </c>
      <c r="F8330" t="s">
        <v>31</v>
      </c>
      <c r="G8330" t="s">
        <v>15</v>
      </c>
      <c r="H8330" t="s">
        <v>35</v>
      </c>
      <c r="I8330" s="3">
        <v>45</v>
      </c>
      <c r="J8330" s="2">
        <v>150</v>
      </c>
      <c r="K8330" s="3">
        <f t="shared" si="130"/>
        <v>6750</v>
      </c>
      <c r="L8330" s="3">
        <v>4050</v>
      </c>
    </row>
    <row r="8331" spans="1:12" x14ac:dyDescent="0.25">
      <c r="A8331" t="s">
        <v>19</v>
      </c>
      <c r="B8331">
        <v>1185732</v>
      </c>
      <c r="C8331" s="1">
        <v>44559</v>
      </c>
      <c r="D8331" t="s">
        <v>29</v>
      </c>
      <c r="E8331" t="s">
        <v>55</v>
      </c>
      <c r="F8331" t="s">
        <v>56</v>
      </c>
      <c r="G8331" t="s">
        <v>15</v>
      </c>
      <c r="H8331" t="s">
        <v>35</v>
      </c>
      <c r="I8331" s="3">
        <v>44</v>
      </c>
      <c r="J8331" s="2">
        <v>79</v>
      </c>
      <c r="K8331" s="3">
        <f t="shared" si="130"/>
        <v>3476</v>
      </c>
      <c r="L8331" s="3">
        <v>1946.5600000000002</v>
      </c>
    </row>
    <row r="8332" spans="1:12" x14ac:dyDescent="0.25">
      <c r="A8332" t="s">
        <v>19</v>
      </c>
      <c r="B8332">
        <v>1185732</v>
      </c>
      <c r="C8332" s="1">
        <v>44559</v>
      </c>
      <c r="D8332" t="s">
        <v>29</v>
      </c>
      <c r="E8332" t="s">
        <v>55</v>
      </c>
      <c r="F8332" t="s">
        <v>56</v>
      </c>
      <c r="G8332" t="s">
        <v>41</v>
      </c>
      <c r="H8332" t="s">
        <v>35</v>
      </c>
      <c r="I8332" s="3">
        <v>55</v>
      </c>
      <c r="J8332" s="2">
        <v>65</v>
      </c>
      <c r="K8332" s="3">
        <f t="shared" si="130"/>
        <v>3575</v>
      </c>
      <c r="L8332" s="3">
        <v>1680.25</v>
      </c>
    </row>
    <row r="8333" spans="1:12" x14ac:dyDescent="0.25">
      <c r="A8333" t="s">
        <v>36</v>
      </c>
      <c r="B8333">
        <v>1185732</v>
      </c>
      <c r="C8333" s="1">
        <v>44559</v>
      </c>
      <c r="D8333" t="s">
        <v>29</v>
      </c>
      <c r="E8333" t="s">
        <v>30</v>
      </c>
      <c r="F8333" t="s">
        <v>31</v>
      </c>
      <c r="G8333" t="s">
        <v>41</v>
      </c>
      <c r="H8333" t="s">
        <v>35</v>
      </c>
      <c r="I8333" s="3">
        <v>41</v>
      </c>
      <c r="J8333" s="2">
        <v>38</v>
      </c>
      <c r="K8333" s="3">
        <f t="shared" si="130"/>
        <v>1558</v>
      </c>
      <c r="L8333" s="3">
        <v>701.10000000000014</v>
      </c>
    </row>
    <row r="8334" spans="1:12" x14ac:dyDescent="0.25">
      <c r="A8334" t="s">
        <v>36</v>
      </c>
      <c r="B8334">
        <v>1185732</v>
      </c>
      <c r="C8334" s="1">
        <v>44560</v>
      </c>
      <c r="D8334" t="s">
        <v>29</v>
      </c>
      <c r="E8334" t="s">
        <v>30</v>
      </c>
      <c r="F8334" t="s">
        <v>31</v>
      </c>
      <c r="G8334" t="s">
        <v>15</v>
      </c>
      <c r="H8334" t="s">
        <v>37</v>
      </c>
      <c r="I8334" s="3">
        <v>45</v>
      </c>
      <c r="J8334" s="2">
        <v>125</v>
      </c>
      <c r="K8334" s="3">
        <f t="shared" si="130"/>
        <v>5625</v>
      </c>
      <c r="L8334" s="3">
        <v>3937.5</v>
      </c>
    </row>
    <row r="8335" spans="1:12" x14ac:dyDescent="0.25">
      <c r="A8335" t="s">
        <v>19</v>
      </c>
      <c r="B8335">
        <v>1185732</v>
      </c>
      <c r="C8335" s="1">
        <v>44560</v>
      </c>
      <c r="D8335" t="s">
        <v>29</v>
      </c>
      <c r="E8335" t="s">
        <v>55</v>
      </c>
      <c r="F8335" t="s">
        <v>56</v>
      </c>
      <c r="G8335" t="s">
        <v>15</v>
      </c>
      <c r="H8335" t="s">
        <v>37</v>
      </c>
      <c r="I8335" s="3">
        <v>60.000000000000007</v>
      </c>
      <c r="J8335" s="2">
        <v>175</v>
      </c>
      <c r="K8335" s="3">
        <f t="shared" si="130"/>
        <v>10500.000000000002</v>
      </c>
      <c r="L8335" s="3">
        <v>6300.0000000000018</v>
      </c>
    </row>
    <row r="8336" spans="1:12" x14ac:dyDescent="0.25">
      <c r="A8336" t="s">
        <v>36</v>
      </c>
      <c r="B8336">
        <v>1185732</v>
      </c>
      <c r="C8336" s="1">
        <v>44560</v>
      </c>
      <c r="D8336" t="s">
        <v>29</v>
      </c>
      <c r="E8336" t="s">
        <v>30</v>
      </c>
      <c r="F8336" t="s">
        <v>31</v>
      </c>
      <c r="G8336" t="s">
        <v>41</v>
      </c>
      <c r="H8336" t="s">
        <v>37</v>
      </c>
      <c r="I8336" s="3">
        <v>42</v>
      </c>
      <c r="J8336" s="2">
        <v>36</v>
      </c>
      <c r="K8336" s="3">
        <f t="shared" si="130"/>
        <v>1512</v>
      </c>
      <c r="L8336" s="3">
        <v>831.6</v>
      </c>
    </row>
    <row r="8337" spans="1:12" x14ac:dyDescent="0.25">
      <c r="A8337" t="s">
        <v>19</v>
      </c>
      <c r="B8337">
        <v>1185732</v>
      </c>
      <c r="C8337" s="1">
        <v>44560</v>
      </c>
      <c r="D8337" t="s">
        <v>29</v>
      </c>
      <c r="E8337" t="s">
        <v>55</v>
      </c>
      <c r="F8337" t="s">
        <v>56</v>
      </c>
      <c r="G8337" t="s">
        <v>15</v>
      </c>
      <c r="H8337" t="s">
        <v>37</v>
      </c>
      <c r="I8337" s="3">
        <v>40</v>
      </c>
      <c r="J8337" s="2">
        <v>53</v>
      </c>
      <c r="K8337" s="3">
        <f t="shared" si="130"/>
        <v>2120</v>
      </c>
      <c r="L8337" s="3">
        <v>1166</v>
      </c>
    </row>
    <row r="8338" spans="1:12" x14ac:dyDescent="0.25">
      <c r="A8338" t="s">
        <v>19</v>
      </c>
      <c r="B8338">
        <v>1185732</v>
      </c>
      <c r="C8338" s="1">
        <v>44560</v>
      </c>
      <c r="D8338" t="s">
        <v>29</v>
      </c>
      <c r="E8338" t="s">
        <v>55</v>
      </c>
      <c r="F8338" t="s">
        <v>56</v>
      </c>
      <c r="G8338" t="s">
        <v>41</v>
      </c>
      <c r="H8338" t="s">
        <v>37</v>
      </c>
      <c r="I8338" s="3">
        <v>57</v>
      </c>
      <c r="J8338" s="2">
        <v>53</v>
      </c>
      <c r="K8338" s="3">
        <f t="shared" si="130"/>
        <v>3021</v>
      </c>
      <c r="L8338" s="3">
        <v>1419.87</v>
      </c>
    </row>
    <row r="8339" spans="1:12" x14ac:dyDescent="0.25">
      <c r="A8339" t="s">
        <v>36</v>
      </c>
      <c r="B8339">
        <v>1185732</v>
      </c>
      <c r="C8339" s="1">
        <v>44561</v>
      </c>
      <c r="D8339" t="s">
        <v>29</v>
      </c>
      <c r="E8339" t="s">
        <v>30</v>
      </c>
      <c r="F8339" t="s">
        <v>31</v>
      </c>
      <c r="G8339" t="s">
        <v>15</v>
      </c>
      <c r="H8339" t="s">
        <v>22</v>
      </c>
      <c r="I8339" s="3">
        <v>54.999999999999993</v>
      </c>
      <c r="J8339" s="2">
        <v>125</v>
      </c>
      <c r="K8339" s="3">
        <f t="shared" si="130"/>
        <v>6874.9999999999991</v>
      </c>
      <c r="L8339" s="3">
        <v>5156.2499999999982</v>
      </c>
    </row>
    <row r="8340" spans="1:12" x14ac:dyDescent="0.25">
      <c r="A8340" t="s">
        <v>19</v>
      </c>
      <c r="B8340">
        <v>1185732</v>
      </c>
      <c r="C8340" s="1">
        <v>44561</v>
      </c>
      <c r="D8340" t="s">
        <v>29</v>
      </c>
      <c r="E8340" t="s">
        <v>55</v>
      </c>
      <c r="F8340" t="s">
        <v>56</v>
      </c>
      <c r="G8340" t="s">
        <v>15</v>
      </c>
      <c r="H8340" t="s">
        <v>22</v>
      </c>
      <c r="I8340" s="3">
        <v>70</v>
      </c>
      <c r="J8340" s="2">
        <v>175</v>
      </c>
      <c r="K8340" s="3">
        <f t="shared" si="130"/>
        <v>12250</v>
      </c>
      <c r="L8340" s="3">
        <v>7962.5</v>
      </c>
    </row>
    <row r="8341" spans="1:12" x14ac:dyDescent="0.25">
      <c r="A8341" t="s">
        <v>36</v>
      </c>
      <c r="B8341">
        <v>1185732</v>
      </c>
      <c r="C8341" s="1">
        <v>44561</v>
      </c>
      <c r="D8341" t="s">
        <v>29</v>
      </c>
      <c r="E8341" t="s">
        <v>30</v>
      </c>
      <c r="F8341" t="s">
        <v>31</v>
      </c>
      <c r="G8341" t="s">
        <v>41</v>
      </c>
      <c r="H8341" t="s">
        <v>22</v>
      </c>
      <c r="I8341" s="3">
        <v>52</v>
      </c>
      <c r="J8341" s="2">
        <v>36</v>
      </c>
      <c r="K8341" s="3">
        <f t="shared" si="130"/>
        <v>1872</v>
      </c>
      <c r="L8341" s="3">
        <v>1179.3600000000001</v>
      </c>
    </row>
    <row r="8342" spans="1:12" x14ac:dyDescent="0.25">
      <c r="A8342" t="s">
        <v>19</v>
      </c>
      <c r="B8342">
        <v>1185732</v>
      </c>
      <c r="C8342" s="1">
        <v>44561</v>
      </c>
      <c r="D8342" t="s">
        <v>29</v>
      </c>
      <c r="E8342" t="s">
        <v>55</v>
      </c>
      <c r="F8342" t="s">
        <v>56</v>
      </c>
      <c r="G8342" t="s">
        <v>15</v>
      </c>
      <c r="H8342" t="s">
        <v>22</v>
      </c>
      <c r="I8342" s="3">
        <v>46</v>
      </c>
      <c r="J8342" s="2">
        <v>56</v>
      </c>
      <c r="K8342" s="3">
        <f t="shared" si="130"/>
        <v>2576</v>
      </c>
      <c r="L8342" s="3">
        <v>1571.3600000000001</v>
      </c>
    </row>
    <row r="8343" spans="1:12" x14ac:dyDescent="0.25">
      <c r="A8343" t="s">
        <v>19</v>
      </c>
      <c r="B8343">
        <v>1185732</v>
      </c>
      <c r="C8343" s="1">
        <v>44561</v>
      </c>
      <c r="D8343" t="s">
        <v>29</v>
      </c>
      <c r="E8343" t="s">
        <v>55</v>
      </c>
      <c r="F8343" t="s">
        <v>56</v>
      </c>
      <c r="G8343" t="s">
        <v>41</v>
      </c>
      <c r="H8343" t="s">
        <v>22</v>
      </c>
      <c r="I8343" s="3">
        <v>63</v>
      </c>
      <c r="J8343" s="2">
        <v>47</v>
      </c>
      <c r="K8343" s="3">
        <f t="shared" si="130"/>
        <v>2961</v>
      </c>
      <c r="L8343" s="3">
        <v>1598.94</v>
      </c>
    </row>
  </sheetData>
  <sortState xmlns:xlrd2="http://schemas.microsoft.com/office/spreadsheetml/2017/richdata2" ref="A2:L8343">
    <sortCondition ref="C2:C8343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4FC8-6F8D-40CD-A16F-9E6C93728FBE}">
  <dimension ref="A1:B6"/>
  <sheetViews>
    <sheetView workbookViewId="0"/>
  </sheetViews>
  <sheetFormatPr defaultRowHeight="15.75" x14ac:dyDescent="0.25"/>
  <cols>
    <col min="1" max="1" width="34.375" bestFit="1" customWidth="1"/>
    <col min="2" max="2" width="13.75" bestFit="1" customWidth="1"/>
  </cols>
  <sheetData>
    <row r="1" spans="1:2" x14ac:dyDescent="0.25">
      <c r="A1" s="8" t="s">
        <v>123</v>
      </c>
    </row>
    <row r="3" spans="1:2" x14ac:dyDescent="0.25">
      <c r="A3" t="s">
        <v>124</v>
      </c>
      <c r="B3" s="6">
        <f>SUM(AdidasSales2021[Sales])</f>
        <v>95929325</v>
      </c>
    </row>
    <row r="4" spans="1:2" x14ac:dyDescent="0.25">
      <c r="A4" t="s">
        <v>10</v>
      </c>
      <c r="B4" s="5">
        <f>SUM(AdidasSales2021[COGS])</f>
        <v>57719862.379999869</v>
      </c>
    </row>
    <row r="5" spans="1:2" x14ac:dyDescent="0.25">
      <c r="A5" t="s">
        <v>125</v>
      </c>
      <c r="B5" s="6">
        <f>B3-B4</f>
        <v>38209462.620000131</v>
      </c>
    </row>
    <row r="6" spans="1:2" x14ac:dyDescent="0.25">
      <c r="A6" t="s">
        <v>126</v>
      </c>
      <c r="B6" s="7">
        <f>B5/B3</f>
        <v>0.39830846949043092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Regional Analysis</vt:lpstr>
      <vt:lpstr>Product Analysis</vt:lpstr>
      <vt:lpstr>Retailer Analysis</vt:lpstr>
      <vt:lpstr>Monthly Analysis</vt:lpstr>
      <vt:lpstr>Sales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Cathey</dc:creator>
  <cp:lastModifiedBy>Trevor Galloway</cp:lastModifiedBy>
  <dcterms:created xsi:type="dcterms:W3CDTF">2023-07-21T18:03:54Z</dcterms:created>
  <dcterms:modified xsi:type="dcterms:W3CDTF">2026-10-25T06:32:16Z</dcterms:modified>
</cp:coreProperties>
</file>